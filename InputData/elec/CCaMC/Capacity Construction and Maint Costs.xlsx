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saido\Documents\eps-brazil-cpl\InputData\elec\CCaMC\"/>
    </mc:Choice>
  </mc:AlternateContent>
  <bookViews>
    <workbookView xWindow="0" yWindow="765" windowWidth="34200" windowHeight="21375" firstSheet="4" activeTab="7"/>
  </bookViews>
  <sheets>
    <sheet name="About" sheetId="1" r:id="rId1"/>
    <sheet name="solar thermal" sheetId="3" r:id="rId2"/>
    <sheet name="nuclear" sheetId="4" r:id="rId3"/>
    <sheet name="capital processing" sheetId="5" r:id="rId4"/>
    <sheet name="Cal" sheetId="16" r:id="rId5"/>
    <sheet name="Projections - CABRI" sheetId="17" r:id="rId6"/>
    <sheet name="Projections - CPL estimations" sheetId="18" r:id="rId7"/>
    <sheet name="CCaMC-AFOaMCpUC-pre-ret" sheetId="6" r:id="rId8"/>
    <sheet name="CCaMC-AFOaMCpUC-pre-nonret" sheetId="7" r:id="rId9"/>
    <sheet name="CCaMC-AFOaMCpUC-new" sheetId="8" r:id="rId10"/>
    <sheet name="CCaMC-VOaMCpUC-pre-ret" sheetId="9" r:id="rId11"/>
    <sheet name="CCaMC-VOaMCpUC-pre-nonret" sheetId="10" r:id="rId12"/>
    <sheet name="CCaMC-VOaMCpUC-new" sheetId="11" r:id="rId13"/>
    <sheet name="CCaMC-BCCpUC" sheetId="12" r:id="rId14"/>
    <sheet name="CCaMC-BSCpUC" sheetId="13" r:id="rId15"/>
  </sheet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9" roundtripDataSignature="AMtx7mgE8SvcDr1XnmEra9+mR2GrWqzDGQ=="/>
    </ext>
  </extLst>
</workbook>
</file>

<file path=xl/calcChain.xml><?xml version="1.0" encoding="utf-8"?>
<calcChain xmlns="http://schemas.openxmlformats.org/spreadsheetml/2006/main">
  <c r="C2" i="6" l="1"/>
  <c r="D2" i="6"/>
  <c r="E2" i="6"/>
  <c r="F2" i="6"/>
  <c r="G2" i="6"/>
  <c r="H2" i="6"/>
  <c r="I2" i="6"/>
  <c r="J2" i="6"/>
  <c r="K2" i="6"/>
  <c r="L2" i="6"/>
  <c r="M2" i="6"/>
  <c r="N2" i="6"/>
  <c r="O2" i="6"/>
  <c r="P2" i="6"/>
  <c r="Q2" i="6"/>
  <c r="R2" i="6"/>
  <c r="S2" i="6"/>
  <c r="T2" i="6"/>
  <c r="U2" i="6"/>
  <c r="V2" i="6"/>
  <c r="W2" i="6"/>
  <c r="X2" i="6"/>
  <c r="Y2" i="6"/>
  <c r="Z2" i="6"/>
  <c r="AA2" i="6"/>
  <c r="AB2" i="6"/>
  <c r="AC2" i="6"/>
  <c r="AD2" i="6"/>
  <c r="AE2" i="6"/>
  <c r="AF2" i="6"/>
  <c r="C3" i="6"/>
  <c r="D3" i="6"/>
  <c r="E3" i="6"/>
  <c r="F3" i="6"/>
  <c r="G3" i="6"/>
  <c r="H3" i="6"/>
  <c r="I3" i="6"/>
  <c r="J3" i="6"/>
  <c r="K3" i="6"/>
  <c r="L3" i="6"/>
  <c r="M3" i="6"/>
  <c r="N3" i="6"/>
  <c r="O3" i="6"/>
  <c r="P3" i="6"/>
  <c r="Q3" i="6"/>
  <c r="R3" i="6"/>
  <c r="S3" i="6"/>
  <c r="T3" i="6"/>
  <c r="U3" i="6"/>
  <c r="V3" i="6"/>
  <c r="W3" i="6"/>
  <c r="X3" i="6"/>
  <c r="Y3" i="6"/>
  <c r="Z3" i="6"/>
  <c r="AA3" i="6"/>
  <c r="AB3" i="6"/>
  <c r="AC3" i="6"/>
  <c r="AD3" i="6"/>
  <c r="AE3" i="6"/>
  <c r="AF3" i="6"/>
  <c r="C4" i="6"/>
  <c r="D4" i="6"/>
  <c r="E4" i="6"/>
  <c r="F4" i="6"/>
  <c r="G4" i="6"/>
  <c r="H4" i="6"/>
  <c r="I4" i="6"/>
  <c r="J4" i="6"/>
  <c r="K4" i="6"/>
  <c r="L4" i="6"/>
  <c r="M4" i="6"/>
  <c r="N4" i="6"/>
  <c r="O4" i="6"/>
  <c r="P4" i="6"/>
  <c r="Q4" i="6"/>
  <c r="R4" i="6"/>
  <c r="S4" i="6"/>
  <c r="T4" i="6"/>
  <c r="U4" i="6"/>
  <c r="V4" i="6"/>
  <c r="W4" i="6"/>
  <c r="X4" i="6"/>
  <c r="Y4" i="6"/>
  <c r="Z4" i="6"/>
  <c r="AA4" i="6"/>
  <c r="AB4" i="6"/>
  <c r="AC4" i="6"/>
  <c r="AD4" i="6"/>
  <c r="AE4" i="6"/>
  <c r="AF4" i="6"/>
  <c r="C5" i="6"/>
  <c r="D5" i="6"/>
  <c r="E5" i="6"/>
  <c r="F5" i="6"/>
  <c r="G5" i="6"/>
  <c r="H5" i="6"/>
  <c r="I5" i="6"/>
  <c r="J5" i="6"/>
  <c r="K5" i="6"/>
  <c r="L5" i="6"/>
  <c r="M5" i="6"/>
  <c r="N5" i="6"/>
  <c r="O5" i="6"/>
  <c r="P5" i="6"/>
  <c r="Q5" i="6"/>
  <c r="R5" i="6"/>
  <c r="S5" i="6"/>
  <c r="T5" i="6"/>
  <c r="U5" i="6"/>
  <c r="V5" i="6"/>
  <c r="W5" i="6"/>
  <c r="X5" i="6"/>
  <c r="Y5" i="6"/>
  <c r="Z5" i="6"/>
  <c r="AA5" i="6"/>
  <c r="AB5" i="6"/>
  <c r="AC5" i="6"/>
  <c r="AD5" i="6"/>
  <c r="AE5" i="6"/>
  <c r="AF5" i="6"/>
  <c r="C6" i="6"/>
  <c r="D6" i="6"/>
  <c r="E6" i="6"/>
  <c r="F6" i="6"/>
  <c r="G6" i="6"/>
  <c r="H6" i="6"/>
  <c r="I6" i="6"/>
  <c r="J6" i="6"/>
  <c r="K6" i="6"/>
  <c r="L6" i="6"/>
  <c r="M6" i="6"/>
  <c r="N6" i="6"/>
  <c r="O6" i="6"/>
  <c r="P6" i="6"/>
  <c r="Q6" i="6"/>
  <c r="R6" i="6"/>
  <c r="S6" i="6"/>
  <c r="T6" i="6"/>
  <c r="U6" i="6"/>
  <c r="V6" i="6"/>
  <c r="W6" i="6"/>
  <c r="X6" i="6"/>
  <c r="Y6" i="6"/>
  <c r="Z6" i="6"/>
  <c r="AA6" i="6"/>
  <c r="AB6" i="6"/>
  <c r="AC6" i="6"/>
  <c r="AD6" i="6"/>
  <c r="AE6" i="6"/>
  <c r="AF6" i="6"/>
  <c r="C7" i="6"/>
  <c r="D7" i="6"/>
  <c r="E7" i="6"/>
  <c r="F7" i="6"/>
  <c r="G7" i="6"/>
  <c r="H7" i="6"/>
  <c r="I7" i="6"/>
  <c r="J7" i="6"/>
  <c r="K7" i="6"/>
  <c r="L7" i="6"/>
  <c r="M7" i="6"/>
  <c r="N7" i="6"/>
  <c r="O7" i="6"/>
  <c r="P7" i="6"/>
  <c r="Q7" i="6"/>
  <c r="R7" i="6"/>
  <c r="S7" i="6"/>
  <c r="T7" i="6"/>
  <c r="U7" i="6"/>
  <c r="V7" i="6"/>
  <c r="W7" i="6"/>
  <c r="X7" i="6"/>
  <c r="Y7" i="6"/>
  <c r="Z7" i="6"/>
  <c r="AA7" i="6"/>
  <c r="AB7" i="6"/>
  <c r="AC7" i="6"/>
  <c r="AD7" i="6"/>
  <c r="AE7" i="6"/>
  <c r="AF7" i="6"/>
  <c r="C8" i="6"/>
  <c r="D8" i="6"/>
  <c r="E8" i="6"/>
  <c r="F8" i="6"/>
  <c r="G8" i="6"/>
  <c r="H8" i="6"/>
  <c r="I8" i="6"/>
  <c r="J8" i="6"/>
  <c r="K8" i="6"/>
  <c r="L8" i="6"/>
  <c r="M8" i="6"/>
  <c r="N8" i="6"/>
  <c r="O8" i="6"/>
  <c r="P8" i="6"/>
  <c r="Q8" i="6"/>
  <c r="R8" i="6"/>
  <c r="S8" i="6"/>
  <c r="T8" i="6"/>
  <c r="U8" i="6"/>
  <c r="V8" i="6"/>
  <c r="W8" i="6"/>
  <c r="X8" i="6"/>
  <c r="Y8" i="6"/>
  <c r="Z8" i="6"/>
  <c r="AA8" i="6"/>
  <c r="AB8" i="6"/>
  <c r="AC8" i="6"/>
  <c r="AD8" i="6"/>
  <c r="AE8" i="6"/>
  <c r="AF8" i="6"/>
  <c r="C9" i="6"/>
  <c r="D9" i="6"/>
  <c r="E9" i="6"/>
  <c r="F9" i="6"/>
  <c r="G9" i="6"/>
  <c r="H9" i="6"/>
  <c r="I9" i="6"/>
  <c r="J9" i="6"/>
  <c r="K9" i="6"/>
  <c r="L9" i="6"/>
  <c r="M9" i="6"/>
  <c r="N9" i="6"/>
  <c r="O9" i="6"/>
  <c r="P9" i="6"/>
  <c r="Q9" i="6"/>
  <c r="R9" i="6"/>
  <c r="S9" i="6"/>
  <c r="T9" i="6"/>
  <c r="U9" i="6"/>
  <c r="V9" i="6"/>
  <c r="W9" i="6"/>
  <c r="X9" i="6"/>
  <c r="Y9" i="6"/>
  <c r="Z9" i="6"/>
  <c r="AA9" i="6"/>
  <c r="AB9" i="6"/>
  <c r="AC9" i="6"/>
  <c r="AD9" i="6"/>
  <c r="AE9" i="6"/>
  <c r="AF9" i="6"/>
  <c r="C10" i="6"/>
  <c r="D10" i="6"/>
  <c r="E10" i="6"/>
  <c r="F10" i="6"/>
  <c r="G10" i="6"/>
  <c r="H10" i="6"/>
  <c r="I10" i="6"/>
  <c r="J10" i="6"/>
  <c r="K10" i="6"/>
  <c r="L10" i="6"/>
  <c r="M10" i="6"/>
  <c r="N10" i="6"/>
  <c r="O10" i="6"/>
  <c r="P10" i="6"/>
  <c r="Q10" i="6"/>
  <c r="R10" i="6"/>
  <c r="S10" i="6"/>
  <c r="T10" i="6"/>
  <c r="U10" i="6"/>
  <c r="V10" i="6"/>
  <c r="W10" i="6"/>
  <c r="X10" i="6"/>
  <c r="Y10" i="6"/>
  <c r="Z10" i="6"/>
  <c r="AA10" i="6"/>
  <c r="AB10" i="6"/>
  <c r="AC10" i="6"/>
  <c r="AD10" i="6"/>
  <c r="AE10" i="6"/>
  <c r="AF10" i="6"/>
  <c r="C11" i="6"/>
  <c r="D11" i="6"/>
  <c r="E11" i="6"/>
  <c r="F11" i="6"/>
  <c r="G11" i="6"/>
  <c r="H11" i="6"/>
  <c r="I11" i="6"/>
  <c r="J11" i="6"/>
  <c r="K11" i="6"/>
  <c r="L11" i="6"/>
  <c r="M11" i="6"/>
  <c r="N11" i="6"/>
  <c r="O11" i="6"/>
  <c r="P11" i="6"/>
  <c r="Q11" i="6"/>
  <c r="R11" i="6"/>
  <c r="S11" i="6"/>
  <c r="T11" i="6"/>
  <c r="U11" i="6"/>
  <c r="V11" i="6"/>
  <c r="W11" i="6"/>
  <c r="X11" i="6"/>
  <c r="Y11" i="6"/>
  <c r="Z11" i="6"/>
  <c r="AA11" i="6"/>
  <c r="AB11" i="6"/>
  <c r="AC11" i="6"/>
  <c r="AD11" i="6"/>
  <c r="AE11" i="6"/>
  <c r="AF11" i="6"/>
  <c r="C12" i="6"/>
  <c r="D12" i="6"/>
  <c r="E12" i="6"/>
  <c r="F12" i="6"/>
  <c r="G12" i="6"/>
  <c r="H12" i="6"/>
  <c r="I12" i="6"/>
  <c r="J12" i="6"/>
  <c r="K12" i="6"/>
  <c r="L12" i="6"/>
  <c r="M12" i="6"/>
  <c r="N12" i="6"/>
  <c r="O12" i="6"/>
  <c r="P12" i="6"/>
  <c r="Q12" i="6"/>
  <c r="R12" i="6"/>
  <c r="S12" i="6"/>
  <c r="T12" i="6"/>
  <c r="U12" i="6"/>
  <c r="V12" i="6"/>
  <c r="W12" i="6"/>
  <c r="X12" i="6"/>
  <c r="Y12" i="6"/>
  <c r="Z12" i="6"/>
  <c r="AA12" i="6"/>
  <c r="AB12" i="6"/>
  <c r="AC12" i="6"/>
  <c r="AD12" i="6"/>
  <c r="AE12" i="6"/>
  <c r="AF12" i="6"/>
  <c r="C13" i="6"/>
  <c r="D13" i="6"/>
  <c r="E13" i="6"/>
  <c r="F13" i="6"/>
  <c r="G13" i="6"/>
  <c r="H13" i="6"/>
  <c r="I13" i="6"/>
  <c r="J13" i="6"/>
  <c r="K13" i="6"/>
  <c r="L13" i="6"/>
  <c r="M13" i="6"/>
  <c r="N13" i="6"/>
  <c r="O13" i="6"/>
  <c r="P13" i="6"/>
  <c r="Q13" i="6"/>
  <c r="R13" i="6"/>
  <c r="S13" i="6"/>
  <c r="T13" i="6"/>
  <c r="U13" i="6"/>
  <c r="V13" i="6"/>
  <c r="W13" i="6"/>
  <c r="X13" i="6"/>
  <c r="Y13" i="6"/>
  <c r="Z13" i="6"/>
  <c r="AA13" i="6"/>
  <c r="AB13" i="6"/>
  <c r="AC13" i="6"/>
  <c r="AD13" i="6"/>
  <c r="AE13" i="6"/>
  <c r="AF13" i="6"/>
  <c r="C14" i="6"/>
  <c r="D14" i="6"/>
  <c r="E14" i="6"/>
  <c r="F14" i="6"/>
  <c r="G14" i="6"/>
  <c r="H14" i="6"/>
  <c r="I14" i="6"/>
  <c r="J14" i="6"/>
  <c r="K14" i="6"/>
  <c r="L14" i="6"/>
  <c r="M14" i="6"/>
  <c r="N14" i="6"/>
  <c r="O14" i="6"/>
  <c r="P14" i="6"/>
  <c r="Q14" i="6"/>
  <c r="R14" i="6"/>
  <c r="S14" i="6"/>
  <c r="T14" i="6"/>
  <c r="U14" i="6"/>
  <c r="V14" i="6"/>
  <c r="W14" i="6"/>
  <c r="X14" i="6"/>
  <c r="Y14" i="6"/>
  <c r="Z14" i="6"/>
  <c r="AA14" i="6"/>
  <c r="AB14" i="6"/>
  <c r="AC14" i="6"/>
  <c r="AD14" i="6"/>
  <c r="AE14" i="6"/>
  <c r="AF14" i="6"/>
  <c r="C15" i="6"/>
  <c r="D15" i="6"/>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C16" i="6"/>
  <c r="D16"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C17" i="6"/>
  <c r="D17"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B3" i="6"/>
  <c r="B4" i="6"/>
  <c r="B5" i="6"/>
  <c r="B6" i="6"/>
  <c r="B7" i="6"/>
  <c r="B8" i="6"/>
  <c r="B9" i="6"/>
  <c r="B10" i="6"/>
  <c r="B11" i="6"/>
  <c r="B12" i="6"/>
  <c r="B13" i="6"/>
  <c r="B14" i="6"/>
  <c r="B15" i="6"/>
  <c r="B16" i="6"/>
  <c r="B17" i="6"/>
  <c r="B2" i="6"/>
  <c r="D94" i="18"/>
  <c r="E94" i="18"/>
  <c r="F94" i="18"/>
  <c r="G94" i="18"/>
  <c r="H94" i="18" s="1"/>
  <c r="I94" i="18" s="1"/>
  <c r="J94" i="18" s="1"/>
  <c r="K94" i="18" s="1"/>
  <c r="L94" i="18" s="1"/>
  <c r="M94" i="18" s="1"/>
  <c r="N94" i="18" s="1"/>
  <c r="O94" i="18" s="1"/>
  <c r="P94" i="18" s="1"/>
  <c r="Q94" i="18" s="1"/>
  <c r="R94" i="18" s="1"/>
  <c r="S94" i="18" s="1"/>
  <c r="T94" i="18" s="1"/>
  <c r="U94" i="18" s="1"/>
  <c r="V94" i="18" s="1"/>
  <c r="W94" i="18" s="1"/>
  <c r="X94" i="18" s="1"/>
  <c r="Y94" i="18" s="1"/>
  <c r="Z94" i="18" s="1"/>
  <c r="AA94" i="18" s="1"/>
  <c r="AB94" i="18" s="1"/>
  <c r="AC94" i="18" s="1"/>
  <c r="AD94" i="18" s="1"/>
  <c r="AE94" i="18" s="1"/>
  <c r="AF94" i="18" s="1"/>
  <c r="C94" i="18"/>
  <c r="X3" i="18"/>
  <c r="Y3" i="18"/>
  <c r="Z3" i="18"/>
  <c r="AA3" i="18"/>
  <c r="AB3" i="18"/>
  <c r="AC3" i="18"/>
  <c r="AD3" i="18"/>
  <c r="AE3" i="18"/>
  <c r="X4" i="18"/>
  <c r="Y4" i="18"/>
  <c r="Z4" i="18"/>
  <c r="AA4" i="18"/>
  <c r="AB4" i="18"/>
  <c r="AC4" i="18"/>
  <c r="AD4" i="18"/>
  <c r="AE4" i="18"/>
  <c r="X5" i="18"/>
  <c r="Y5" i="18"/>
  <c r="Z5" i="18"/>
  <c r="AA5" i="18"/>
  <c r="AB5" i="18"/>
  <c r="AC5" i="18"/>
  <c r="AD5" i="18"/>
  <c r="AE5" i="18"/>
  <c r="X6" i="18"/>
  <c r="Y6" i="18"/>
  <c r="Z6" i="18"/>
  <c r="AA6" i="18"/>
  <c r="AB6" i="18"/>
  <c r="AC6" i="18"/>
  <c r="AD6" i="18"/>
  <c r="AE6" i="18"/>
  <c r="X7" i="18"/>
  <c r="Y7" i="18"/>
  <c r="Z7" i="18"/>
  <c r="AA7" i="18"/>
  <c r="AB7" i="18"/>
  <c r="AC7" i="18"/>
  <c r="AD7" i="18"/>
  <c r="AE7" i="18"/>
  <c r="X8" i="18"/>
  <c r="Y8" i="18"/>
  <c r="Z8" i="18"/>
  <c r="AA8" i="18"/>
  <c r="AB8" i="18"/>
  <c r="AC8" i="18"/>
  <c r="AD8" i="18"/>
  <c r="AE8" i="18"/>
  <c r="X9" i="18"/>
  <c r="Y9" i="18"/>
  <c r="Z9" i="18"/>
  <c r="AA9" i="18"/>
  <c r="AB9" i="18"/>
  <c r="AC9" i="18"/>
  <c r="AD9" i="18"/>
  <c r="AE9" i="18"/>
  <c r="X10" i="18"/>
  <c r="Y10" i="18"/>
  <c r="Z10" i="18"/>
  <c r="AA10" i="18"/>
  <c r="AB10" i="18"/>
  <c r="AC10" i="18"/>
  <c r="AD10" i="18"/>
  <c r="AE10" i="18"/>
  <c r="X11" i="18"/>
  <c r="Y11" i="18"/>
  <c r="Z11" i="18"/>
  <c r="AA11" i="18"/>
  <c r="AB11" i="18"/>
  <c r="AC11" i="18"/>
  <c r="AD11" i="18"/>
  <c r="AE11" i="18"/>
  <c r="X12" i="18"/>
  <c r="Y12" i="18"/>
  <c r="Z12" i="18"/>
  <c r="AA12" i="18"/>
  <c r="AB12" i="18"/>
  <c r="AC12" i="18"/>
  <c r="AD12" i="18"/>
  <c r="AE12" i="18"/>
  <c r="X13" i="18"/>
  <c r="Y13" i="18"/>
  <c r="Z13" i="18"/>
  <c r="AA13" i="18"/>
  <c r="AB13" i="18"/>
  <c r="AC13" i="18"/>
  <c r="AD13" i="18"/>
  <c r="AE13" i="18"/>
  <c r="X15" i="18"/>
  <c r="Y15" i="18"/>
  <c r="Z15" i="18"/>
  <c r="AA15" i="18"/>
  <c r="AB15" i="18"/>
  <c r="AC15" i="18"/>
  <c r="AD15" i="18"/>
  <c r="AE15" i="18"/>
  <c r="X16" i="18"/>
  <c r="Y16" i="18"/>
  <c r="Z16" i="18"/>
  <c r="AA16" i="18"/>
  <c r="AB16" i="18"/>
  <c r="AC16" i="18"/>
  <c r="AD16" i="18"/>
  <c r="AE16" i="18"/>
  <c r="X17" i="18"/>
  <c r="Y17" i="18"/>
  <c r="Z17" i="18"/>
  <c r="AA17" i="18"/>
  <c r="AB17" i="18"/>
  <c r="AC17" i="18"/>
  <c r="AD17" i="18"/>
  <c r="AE17" i="18"/>
  <c r="X18" i="18"/>
  <c r="Y18" i="18"/>
  <c r="Z18" i="18"/>
  <c r="AA18" i="18"/>
  <c r="AB18" i="18"/>
  <c r="AC18" i="18"/>
  <c r="AD18" i="18"/>
  <c r="AE18" i="18"/>
  <c r="W4" i="18"/>
  <c r="W5" i="18"/>
  <c r="W6" i="18"/>
  <c r="W7" i="18"/>
  <c r="W8" i="18"/>
  <c r="W9" i="18"/>
  <c r="W10" i="18"/>
  <c r="W11" i="18"/>
  <c r="W12" i="18"/>
  <c r="W13" i="18"/>
  <c r="W15" i="18"/>
  <c r="W16" i="18"/>
  <c r="W17" i="18"/>
  <c r="W18" i="18"/>
  <c r="W3" i="18"/>
  <c r="X83" i="18"/>
  <c r="Y83" i="18"/>
  <c r="Z83" i="18"/>
  <c r="AA83" i="18"/>
  <c r="AB83" i="18"/>
  <c r="AC83" i="18"/>
  <c r="AD83" i="18"/>
  <c r="AE83" i="18"/>
  <c r="X84" i="18"/>
  <c r="Y84" i="18"/>
  <c r="Z84" i="18"/>
  <c r="AA84" i="18"/>
  <c r="AB84" i="18"/>
  <c r="AC84" i="18"/>
  <c r="AD84" i="18"/>
  <c r="AE84" i="18"/>
  <c r="X85" i="18"/>
  <c r="Y85" i="18"/>
  <c r="Z85" i="18"/>
  <c r="AA85" i="18"/>
  <c r="AB85" i="18"/>
  <c r="AC85" i="18"/>
  <c r="AD85" i="18"/>
  <c r="AE85" i="18"/>
  <c r="X86" i="18"/>
  <c r="Y86" i="18"/>
  <c r="Z86" i="18"/>
  <c r="AA86" i="18"/>
  <c r="AB86" i="18"/>
  <c r="AC86" i="18"/>
  <c r="AD86" i="18"/>
  <c r="AE86" i="18"/>
  <c r="X87" i="18"/>
  <c r="Y87" i="18"/>
  <c r="Z87" i="18"/>
  <c r="AA87" i="18"/>
  <c r="AB87" i="18"/>
  <c r="AC87" i="18"/>
  <c r="AD87" i="18"/>
  <c r="AE87" i="18"/>
  <c r="X88" i="18"/>
  <c r="Y88" i="18"/>
  <c r="Z88" i="18"/>
  <c r="AA88" i="18"/>
  <c r="AB88" i="18"/>
  <c r="AC88" i="18"/>
  <c r="AD88" i="18"/>
  <c r="AE88" i="18"/>
  <c r="X89" i="18"/>
  <c r="Y89" i="18"/>
  <c r="Z89" i="18"/>
  <c r="AA89" i="18"/>
  <c r="AB89" i="18"/>
  <c r="AC89" i="18"/>
  <c r="AD89" i="18"/>
  <c r="AE89" i="18"/>
  <c r="X90" i="18"/>
  <c r="Y90" i="18"/>
  <c r="Z90" i="18"/>
  <c r="AA90" i="18"/>
  <c r="AB90" i="18"/>
  <c r="AC90" i="18"/>
  <c r="AD90" i="18"/>
  <c r="AE90" i="18"/>
  <c r="X91" i="18"/>
  <c r="Y91" i="18"/>
  <c r="Z91" i="18"/>
  <c r="AA91" i="18"/>
  <c r="AB91" i="18"/>
  <c r="AC91" i="18"/>
  <c r="AD91" i="18"/>
  <c r="AE91" i="18"/>
  <c r="X92" i="18"/>
  <c r="Y92" i="18"/>
  <c r="Z92" i="18"/>
  <c r="AA92" i="18"/>
  <c r="AB92" i="18"/>
  <c r="AC92" i="18"/>
  <c r="AD92" i="18"/>
  <c r="AE92" i="18"/>
  <c r="X93" i="18"/>
  <c r="Y93" i="18"/>
  <c r="Z93" i="18"/>
  <c r="AA93" i="18"/>
  <c r="AB93" i="18"/>
  <c r="AC93" i="18"/>
  <c r="AD93" i="18"/>
  <c r="AE93" i="18"/>
  <c r="X95" i="18"/>
  <c r="Y95" i="18"/>
  <c r="Z95" i="18"/>
  <c r="AA95" i="18"/>
  <c r="AB95" i="18"/>
  <c r="AC95" i="18"/>
  <c r="AD95" i="18"/>
  <c r="AE95" i="18"/>
  <c r="X96" i="18"/>
  <c r="Y96" i="18"/>
  <c r="Z96" i="18"/>
  <c r="AA96" i="18"/>
  <c r="AB96" i="18"/>
  <c r="AC96" i="18"/>
  <c r="AD96" i="18"/>
  <c r="AE96" i="18"/>
  <c r="X97" i="18"/>
  <c r="Y97" i="18"/>
  <c r="Z97" i="18"/>
  <c r="AA97" i="18"/>
  <c r="AB97" i="18"/>
  <c r="AC97" i="18"/>
  <c r="AD97" i="18"/>
  <c r="AE97" i="18"/>
  <c r="X98" i="18"/>
  <c r="Y98" i="18"/>
  <c r="Z98" i="18"/>
  <c r="AA98" i="18"/>
  <c r="AB98" i="18"/>
  <c r="AC98" i="18"/>
  <c r="AD98" i="18"/>
  <c r="AE98" i="18"/>
  <c r="W84" i="18"/>
  <c r="W85" i="18"/>
  <c r="W86" i="18"/>
  <c r="W87" i="18"/>
  <c r="W88" i="18"/>
  <c r="W89" i="18"/>
  <c r="W90" i="18"/>
  <c r="W91" i="18"/>
  <c r="W92" i="18"/>
  <c r="W93" i="18"/>
  <c r="W95" i="18"/>
  <c r="W96" i="18"/>
  <c r="W97" i="18"/>
  <c r="W98" i="18"/>
  <c r="W83" i="18"/>
  <c r="AF84" i="18"/>
  <c r="AF85" i="18"/>
  <c r="AF86" i="18"/>
  <c r="AF87" i="18"/>
  <c r="AF88" i="18"/>
  <c r="AF89" i="18"/>
  <c r="AF90" i="18"/>
  <c r="AF91" i="18"/>
  <c r="AF92" i="18"/>
  <c r="AF93" i="18"/>
  <c r="AF95" i="18"/>
  <c r="AF96" i="18"/>
  <c r="AF97" i="18"/>
  <c r="AF98" i="18"/>
  <c r="V84" i="18"/>
  <c r="V85" i="18"/>
  <c r="M85" i="18" s="1"/>
  <c r="V86" i="18"/>
  <c r="V87" i="18"/>
  <c r="V88" i="18"/>
  <c r="V89" i="18"/>
  <c r="R89" i="18" s="1"/>
  <c r="V90" i="18"/>
  <c r="V91" i="18"/>
  <c r="V92" i="18"/>
  <c r="V93" i="18"/>
  <c r="M93" i="18" s="1"/>
  <c r="V95" i="18"/>
  <c r="V96" i="18"/>
  <c r="V97" i="18"/>
  <c r="U97" i="18" s="1"/>
  <c r="V98" i="18"/>
  <c r="L84" i="18"/>
  <c r="L85" i="18"/>
  <c r="L86" i="18"/>
  <c r="K86" i="18" s="1"/>
  <c r="L87" i="18"/>
  <c r="N87" i="18" s="1"/>
  <c r="L88" i="18"/>
  <c r="L89" i="18"/>
  <c r="L90" i="18"/>
  <c r="L91" i="18"/>
  <c r="L92" i="18"/>
  <c r="L93" i="18"/>
  <c r="E93" i="18" s="1"/>
  <c r="L95" i="18"/>
  <c r="N95" i="18" s="1"/>
  <c r="L96" i="18"/>
  <c r="L97" i="18"/>
  <c r="L98" i="18"/>
  <c r="B94" i="18"/>
  <c r="B95" i="18"/>
  <c r="B96" i="18"/>
  <c r="F96" i="18" s="1"/>
  <c r="B97" i="18"/>
  <c r="G97" i="18" s="1"/>
  <c r="B98" i="18"/>
  <c r="B84" i="18"/>
  <c r="B85" i="18"/>
  <c r="B86" i="18"/>
  <c r="B87" i="18"/>
  <c r="B88" i="18"/>
  <c r="B89" i="18"/>
  <c r="I89" i="18" s="1"/>
  <c r="B90" i="18"/>
  <c r="I90" i="18" s="1"/>
  <c r="B91" i="18"/>
  <c r="B92" i="18"/>
  <c r="B93" i="18"/>
  <c r="AF83" i="18"/>
  <c r="V83" i="18"/>
  <c r="L83" i="18"/>
  <c r="B83" i="18"/>
  <c r="P98" i="18"/>
  <c r="R97" i="18"/>
  <c r="H97" i="18"/>
  <c r="E97" i="18"/>
  <c r="H96" i="18"/>
  <c r="G96" i="18"/>
  <c r="D96" i="18"/>
  <c r="U95" i="18"/>
  <c r="K95" i="18"/>
  <c r="H95" i="18"/>
  <c r="D95" i="18"/>
  <c r="C95" i="18"/>
  <c r="E95" i="18"/>
  <c r="T93" i="18"/>
  <c r="F93" i="18"/>
  <c r="S92" i="18"/>
  <c r="K92" i="18"/>
  <c r="P89" i="18"/>
  <c r="U88" i="18"/>
  <c r="Q88" i="18"/>
  <c r="N88" i="18"/>
  <c r="M88" i="18"/>
  <c r="O88" i="18"/>
  <c r="E88" i="18"/>
  <c r="G88" i="18"/>
  <c r="P87" i="18"/>
  <c r="O87" i="18"/>
  <c r="H87" i="18"/>
  <c r="G87" i="18"/>
  <c r="F87" i="18"/>
  <c r="U86" i="18"/>
  <c r="F86" i="18"/>
  <c r="N85" i="18"/>
  <c r="E85" i="18"/>
  <c r="S84" i="18"/>
  <c r="D84" i="18"/>
  <c r="K84" i="18"/>
  <c r="S83" i="18"/>
  <c r="R83" i="18"/>
  <c r="K83" i="18"/>
  <c r="C83" i="18"/>
  <c r="J83" i="18"/>
  <c r="D68" i="18"/>
  <c r="E68" i="18"/>
  <c r="D69" i="18"/>
  <c r="E69" i="18"/>
  <c r="C69" i="18"/>
  <c r="B69" i="18"/>
  <c r="C66" i="18"/>
  <c r="D66" i="18"/>
  <c r="C68" i="18"/>
  <c r="E70" i="18"/>
  <c r="C72" i="18"/>
  <c r="D72" i="18"/>
  <c r="D74" i="18"/>
  <c r="E74" i="18"/>
  <c r="C75" i="18"/>
  <c r="D75" i="18"/>
  <c r="C77" i="18"/>
  <c r="D77" i="18"/>
  <c r="E77" i="18"/>
  <c r="E78" i="18"/>
  <c r="E63" i="18"/>
  <c r="C63" i="18"/>
  <c r="B63" i="18"/>
  <c r="D63" i="18" s="1"/>
  <c r="B64" i="18"/>
  <c r="B65" i="18"/>
  <c r="C65" i="18" s="1"/>
  <c r="B66" i="18"/>
  <c r="E66" i="18" s="1"/>
  <c r="B67" i="18"/>
  <c r="D67" i="18" s="1"/>
  <c r="B68" i="18"/>
  <c r="B70" i="18"/>
  <c r="B71" i="18"/>
  <c r="B72" i="18"/>
  <c r="E72" i="18" s="1"/>
  <c r="B73" i="18"/>
  <c r="B74" i="18"/>
  <c r="C74" i="18" s="1"/>
  <c r="B75" i="18"/>
  <c r="E75" i="18" s="1"/>
  <c r="B76" i="18"/>
  <c r="B77" i="18"/>
  <c r="B78" i="18"/>
  <c r="B62" i="18"/>
  <c r="C33" i="17"/>
  <c r="D33" i="17"/>
  <c r="C34" i="17"/>
  <c r="D34" i="17"/>
  <c r="C35" i="17"/>
  <c r="D35" i="17"/>
  <c r="C36" i="17"/>
  <c r="D36" i="17"/>
  <c r="C31" i="17"/>
  <c r="D31" i="17"/>
  <c r="C22" i="17"/>
  <c r="D22" i="17"/>
  <c r="C23" i="17"/>
  <c r="D23" i="17"/>
  <c r="C24" i="17"/>
  <c r="D24" i="17"/>
  <c r="C25" i="17"/>
  <c r="D25" i="17"/>
  <c r="C26" i="17"/>
  <c r="D26" i="17"/>
  <c r="C27" i="17"/>
  <c r="D27" i="17"/>
  <c r="C28" i="17"/>
  <c r="D28" i="17"/>
  <c r="C29" i="17"/>
  <c r="D29" i="17"/>
  <c r="C30" i="17"/>
  <c r="D30" i="17"/>
  <c r="B36" i="17"/>
  <c r="B35" i="17"/>
  <c r="B34" i="17"/>
  <c r="B33" i="17"/>
  <c r="B31" i="17"/>
  <c r="B30" i="17"/>
  <c r="B28" i="17"/>
  <c r="B27" i="17"/>
  <c r="B26" i="17"/>
  <c r="B25" i="17"/>
  <c r="B24" i="17"/>
  <c r="B23" i="17"/>
  <c r="B22" i="17"/>
  <c r="B32" i="17"/>
  <c r="B29" i="17"/>
  <c r="C32" i="17"/>
  <c r="D32" i="17"/>
  <c r="C21" i="17"/>
  <c r="D21" i="17"/>
  <c r="B21" i="17"/>
  <c r="V47" i="18"/>
  <c r="AF49" i="18"/>
  <c r="L50" i="18"/>
  <c r="C52" i="18"/>
  <c r="AF55" i="18"/>
  <c r="V56" i="18"/>
  <c r="AF56" i="18"/>
  <c r="V59" i="18"/>
  <c r="AF59" i="18"/>
  <c r="B52" i="18"/>
  <c r="B49" i="18"/>
  <c r="B35" i="18"/>
  <c r="C35" i="18" s="1"/>
  <c r="D35" i="18" s="1"/>
  <c r="AF29" i="18"/>
  <c r="AF47" i="18" s="1"/>
  <c r="L30" i="18"/>
  <c r="L48" i="18" s="1"/>
  <c r="V30" i="18"/>
  <c r="V48" i="18" s="1"/>
  <c r="V38" i="18"/>
  <c r="V58" i="18" s="1"/>
  <c r="AF38" i="18"/>
  <c r="AF58" i="18" s="1"/>
  <c r="L39" i="18"/>
  <c r="L59" i="18" s="1"/>
  <c r="V39" i="18"/>
  <c r="B32" i="18"/>
  <c r="B24" i="18"/>
  <c r="B44" i="18" s="1"/>
  <c r="AF4" i="18"/>
  <c r="AF25" i="18" s="1"/>
  <c r="AF5" i="18"/>
  <c r="AF26" i="18" s="1"/>
  <c r="AF45" i="18" s="1"/>
  <c r="AF6" i="18"/>
  <c r="AF27" i="18" s="1"/>
  <c r="AF54" i="18" s="1"/>
  <c r="AF7" i="18"/>
  <c r="AF28" i="18" s="1"/>
  <c r="AF46" i="18" s="1"/>
  <c r="AF8" i="18"/>
  <c r="AF9" i="18"/>
  <c r="AF30" i="18" s="1"/>
  <c r="AF48" i="18" s="1"/>
  <c r="AF10" i="18"/>
  <c r="AF31" i="18" s="1"/>
  <c r="AF11" i="18"/>
  <c r="AF32" i="18" s="1"/>
  <c r="AF12" i="18"/>
  <c r="AF33" i="18" s="1"/>
  <c r="AF50" i="18" s="1"/>
  <c r="AF13" i="18"/>
  <c r="AF34" i="18" s="1"/>
  <c r="AF51" i="18" s="1"/>
  <c r="AF15" i="18"/>
  <c r="AF36" i="18" s="1"/>
  <c r="AF53" i="18" s="1"/>
  <c r="AF16" i="18"/>
  <c r="AF37" i="18" s="1"/>
  <c r="AF57" i="18" s="1"/>
  <c r="AF17" i="18"/>
  <c r="AF18" i="18"/>
  <c r="AF39" i="18" s="1"/>
  <c r="AF3" i="18"/>
  <c r="AF24" i="18" s="1"/>
  <c r="AF44" i="18" s="1"/>
  <c r="V4" i="18"/>
  <c r="V5" i="18"/>
  <c r="X26" i="18" s="1"/>
  <c r="X45" i="18" s="1"/>
  <c r="V6" i="18"/>
  <c r="V7" i="18"/>
  <c r="V28" i="18" s="1"/>
  <c r="V46" i="18" s="1"/>
  <c r="V8" i="18"/>
  <c r="V29" i="18" s="1"/>
  <c r="V9" i="18"/>
  <c r="V10" i="18"/>
  <c r="V31" i="18" s="1"/>
  <c r="V11" i="18"/>
  <c r="V12" i="18"/>
  <c r="X33" i="18" s="1"/>
  <c r="X50" i="18" s="1"/>
  <c r="V13" i="18"/>
  <c r="X34" i="18" s="1"/>
  <c r="X51" i="18" s="1"/>
  <c r="V15" i="18"/>
  <c r="V16" i="18"/>
  <c r="V37" i="18" s="1"/>
  <c r="V57" i="18" s="1"/>
  <c r="V17" i="18"/>
  <c r="V18" i="18"/>
  <c r="V3" i="18"/>
  <c r="L4" i="18"/>
  <c r="L5" i="18"/>
  <c r="L6" i="18"/>
  <c r="L27" i="18" s="1"/>
  <c r="L54" i="18" s="1"/>
  <c r="L7" i="18"/>
  <c r="L8" i="18"/>
  <c r="L9" i="18"/>
  <c r="L10" i="18"/>
  <c r="L31" i="18" s="1"/>
  <c r="L56" i="18" s="1"/>
  <c r="L11" i="18"/>
  <c r="L12" i="18"/>
  <c r="L33" i="18" s="1"/>
  <c r="L13" i="18"/>
  <c r="L34" i="18" s="1"/>
  <c r="L51" i="18" s="1"/>
  <c r="L15" i="18"/>
  <c r="L16" i="18"/>
  <c r="L17" i="18"/>
  <c r="L18" i="18"/>
  <c r="L3" i="18"/>
  <c r="B4" i="18"/>
  <c r="B5" i="18"/>
  <c r="B6" i="18"/>
  <c r="B7" i="18"/>
  <c r="B8" i="18"/>
  <c r="B9" i="18"/>
  <c r="B10" i="18"/>
  <c r="B31" i="18" s="1"/>
  <c r="B56" i="18" s="1"/>
  <c r="B11" i="18"/>
  <c r="B12" i="18"/>
  <c r="B13" i="18"/>
  <c r="B15" i="18"/>
  <c r="B16" i="18"/>
  <c r="B17" i="18"/>
  <c r="B18" i="18"/>
  <c r="B3" i="18"/>
  <c r="D3" i="17"/>
  <c r="E3" i="17"/>
  <c r="F3" i="17"/>
  <c r="C3" i="17"/>
  <c r="R98" i="18" l="1"/>
  <c r="Q98" i="18"/>
  <c r="R90" i="18"/>
  <c r="M97" i="18"/>
  <c r="Q97" i="18"/>
  <c r="N89" i="18"/>
  <c r="P88" i="18"/>
  <c r="S90" i="18"/>
  <c r="P97" i="18"/>
  <c r="P96" i="18"/>
  <c r="R91" i="18"/>
  <c r="Q89" i="18"/>
  <c r="S91" i="18"/>
  <c r="N96" i="18"/>
  <c r="S97" i="18"/>
  <c r="O96" i="18"/>
  <c r="U85" i="18"/>
  <c r="D85" i="18"/>
  <c r="Q90" i="18"/>
  <c r="D93" i="18"/>
  <c r="F85" i="18"/>
  <c r="E86" i="18"/>
  <c r="O90" i="18"/>
  <c r="N93" i="18"/>
  <c r="G95" i="18"/>
  <c r="I97" i="18"/>
  <c r="H98" i="18"/>
  <c r="N86" i="18"/>
  <c r="T85" i="18"/>
  <c r="C86" i="18"/>
  <c r="U93" i="18"/>
  <c r="O97" i="18"/>
  <c r="I98" i="18"/>
  <c r="K91" i="18"/>
  <c r="G86" i="18"/>
  <c r="N98" i="18"/>
  <c r="I88" i="18"/>
  <c r="F95" i="18"/>
  <c r="H89" i="18"/>
  <c r="J91" i="18"/>
  <c r="F88" i="18"/>
  <c r="C91" i="18"/>
  <c r="H88" i="18"/>
  <c r="D91" i="18"/>
  <c r="D83" i="18"/>
  <c r="E84" i="18"/>
  <c r="U84" i="18"/>
  <c r="O86" i="18"/>
  <c r="C90" i="18"/>
  <c r="M92" i="18"/>
  <c r="U92" i="18"/>
  <c r="O95" i="18"/>
  <c r="J98" i="18"/>
  <c r="E83" i="18"/>
  <c r="M83" i="18"/>
  <c r="U83" i="18"/>
  <c r="F84" i="18"/>
  <c r="G85" i="18"/>
  <c r="P86" i="18"/>
  <c r="I87" i="18"/>
  <c r="Q87" i="18"/>
  <c r="J88" i="18"/>
  <c r="C89" i="18"/>
  <c r="K89" i="18"/>
  <c r="M91" i="18"/>
  <c r="U91" i="18"/>
  <c r="F92" i="18"/>
  <c r="G93" i="18"/>
  <c r="P95" i="18"/>
  <c r="I96" i="18"/>
  <c r="J97" i="18"/>
  <c r="C98" i="18"/>
  <c r="K98" i="18"/>
  <c r="F83" i="18"/>
  <c r="N83" i="18"/>
  <c r="G84" i="18"/>
  <c r="O84" i="18"/>
  <c r="H85" i="18"/>
  <c r="P85" i="18"/>
  <c r="I86" i="18"/>
  <c r="Q86" i="18"/>
  <c r="J87" i="18"/>
  <c r="R87" i="18"/>
  <c r="C88" i="18"/>
  <c r="K88" i="18"/>
  <c r="S88" i="18"/>
  <c r="D89" i="18"/>
  <c r="T89" i="18"/>
  <c r="E90" i="18"/>
  <c r="M90" i="18"/>
  <c r="U90" i="18"/>
  <c r="F91" i="18"/>
  <c r="N91" i="18"/>
  <c r="G92" i="18"/>
  <c r="O92" i="18"/>
  <c r="H93" i="18"/>
  <c r="P93" i="18"/>
  <c r="I95" i="18"/>
  <c r="Q95" i="18"/>
  <c r="J96" i="18"/>
  <c r="R96" i="18"/>
  <c r="C97" i="18"/>
  <c r="K97" i="18"/>
  <c r="D98" i="18"/>
  <c r="T98" i="18"/>
  <c r="D92" i="18"/>
  <c r="T92" i="18"/>
  <c r="M84" i="18"/>
  <c r="J89" i="18"/>
  <c r="K90" i="18"/>
  <c r="T91" i="18"/>
  <c r="E92" i="18"/>
  <c r="N84" i="18"/>
  <c r="O85" i="18"/>
  <c r="H86" i="18"/>
  <c r="R88" i="18"/>
  <c r="S89" i="18"/>
  <c r="D90" i="18"/>
  <c r="T90" i="18"/>
  <c r="E91" i="18"/>
  <c r="N92" i="18"/>
  <c r="O93" i="18"/>
  <c r="Q96" i="18"/>
  <c r="S98" i="18"/>
  <c r="G83" i="18"/>
  <c r="O83" i="18"/>
  <c r="H84" i="18"/>
  <c r="P84" i="18"/>
  <c r="I85" i="18"/>
  <c r="Q85" i="18"/>
  <c r="J86" i="18"/>
  <c r="R86" i="18"/>
  <c r="C87" i="18"/>
  <c r="K87" i="18"/>
  <c r="S87" i="18"/>
  <c r="D88" i="18"/>
  <c r="T88" i="18"/>
  <c r="E89" i="18"/>
  <c r="M89" i="18"/>
  <c r="U89" i="18"/>
  <c r="F90" i="18"/>
  <c r="N90" i="18"/>
  <c r="G91" i="18"/>
  <c r="O91" i="18"/>
  <c r="H92" i="18"/>
  <c r="P92" i="18"/>
  <c r="I93" i="18"/>
  <c r="Q93" i="18"/>
  <c r="J95" i="18"/>
  <c r="R95" i="18"/>
  <c r="C96" i="18"/>
  <c r="K96" i="18"/>
  <c r="S96" i="18"/>
  <c r="D97" i="18"/>
  <c r="T97" i="18"/>
  <c r="E98" i="18"/>
  <c r="M98" i="18"/>
  <c r="U98" i="18"/>
  <c r="P83" i="18"/>
  <c r="Q84" i="18"/>
  <c r="R85" i="18"/>
  <c r="T87" i="18"/>
  <c r="G90" i="18"/>
  <c r="H91" i="18"/>
  <c r="P91" i="18"/>
  <c r="I92" i="18"/>
  <c r="J93" i="18"/>
  <c r="R93" i="18"/>
  <c r="S95" i="18"/>
  <c r="T96" i="18"/>
  <c r="F98" i="18"/>
  <c r="T84" i="18"/>
  <c r="J90" i="18"/>
  <c r="T83" i="18"/>
  <c r="J85" i="18"/>
  <c r="S86" i="18"/>
  <c r="D87" i="18"/>
  <c r="Q92" i="18"/>
  <c r="I83" i="18"/>
  <c r="Q83" i="18"/>
  <c r="R84" i="18"/>
  <c r="C85" i="18"/>
  <c r="E87" i="18"/>
  <c r="I91" i="18"/>
  <c r="J92" i="18"/>
  <c r="T95" i="18"/>
  <c r="E96" i="18"/>
  <c r="M96" i="18"/>
  <c r="U96" i="18"/>
  <c r="F97" i="18"/>
  <c r="N97" i="18"/>
  <c r="G98" i="18"/>
  <c r="O98" i="18"/>
  <c r="H83" i="18"/>
  <c r="I84" i="18"/>
  <c r="F89" i="18"/>
  <c r="J84" i="18"/>
  <c r="K85" i="18"/>
  <c r="S85" i="18"/>
  <c r="D86" i="18"/>
  <c r="T86" i="18"/>
  <c r="M87" i="18"/>
  <c r="U87" i="18"/>
  <c r="G89" i="18"/>
  <c r="O89" i="18"/>
  <c r="H90" i="18"/>
  <c r="P90" i="18"/>
  <c r="Q91" i="18"/>
  <c r="R92" i="18"/>
  <c r="C93" i="18"/>
  <c r="K93" i="18"/>
  <c r="S93" i="18"/>
  <c r="C84" i="18"/>
  <c r="M86" i="18"/>
  <c r="C92" i="18"/>
  <c r="M95" i="18"/>
  <c r="H9" i="18"/>
  <c r="H30" i="18" s="1"/>
  <c r="H48" i="18" s="1"/>
  <c r="B30" i="18"/>
  <c r="B48" i="18" s="1"/>
  <c r="O8" i="18"/>
  <c r="O29" i="18" s="1"/>
  <c r="O47" i="18" s="1"/>
  <c r="L29" i="18"/>
  <c r="L47" i="18" s="1"/>
  <c r="H18" i="18"/>
  <c r="H39" i="18" s="1"/>
  <c r="H59" i="18" s="1"/>
  <c r="B39" i="18"/>
  <c r="B59" i="18" s="1"/>
  <c r="I17" i="18"/>
  <c r="I38" i="18" s="1"/>
  <c r="I58" i="18" s="1"/>
  <c r="O17" i="18"/>
  <c r="O38" i="18" s="1"/>
  <c r="O58" i="18" s="1"/>
  <c r="L38" i="18"/>
  <c r="L58" i="18" s="1"/>
  <c r="I8" i="18"/>
  <c r="I29" i="18" s="1"/>
  <c r="I47" i="18" s="1"/>
  <c r="X25" i="18"/>
  <c r="X55" i="18" s="1"/>
  <c r="V25" i="18"/>
  <c r="V55" i="18" s="1"/>
  <c r="E35" i="18"/>
  <c r="D52" i="18"/>
  <c r="V26" i="18"/>
  <c r="V45" i="18" s="1"/>
  <c r="C71" i="18"/>
  <c r="D71" i="18"/>
  <c r="E71" i="18"/>
  <c r="D78" i="18"/>
  <c r="C78" i="18"/>
  <c r="D70" i="18"/>
  <c r="C70" i="18"/>
  <c r="C67" i="18"/>
  <c r="D76" i="18"/>
  <c r="E76" i="18"/>
  <c r="E67" i="18"/>
  <c r="C76" i="18"/>
  <c r="E65" i="18"/>
  <c r="C73" i="18"/>
  <c r="E73" i="18"/>
  <c r="C64" i="18"/>
  <c r="D64" i="18"/>
  <c r="E64" i="18"/>
  <c r="D73" i="18"/>
  <c r="D65" i="18"/>
  <c r="O16" i="18"/>
  <c r="O37" i="18" s="1"/>
  <c r="O57" i="18" s="1"/>
  <c r="L37" i="18"/>
  <c r="L57" i="18" s="1"/>
  <c r="O7" i="18"/>
  <c r="O28" i="18" s="1"/>
  <c r="O46" i="18" s="1"/>
  <c r="L28" i="18"/>
  <c r="L46" i="18" s="1"/>
  <c r="X36" i="18"/>
  <c r="X53" i="18" s="1"/>
  <c r="V36" i="18"/>
  <c r="V53" i="18" s="1"/>
  <c r="X27" i="18"/>
  <c r="X54" i="18" s="1"/>
  <c r="V27" i="18"/>
  <c r="V54" i="18" s="1"/>
  <c r="B29" i="18"/>
  <c r="B47" i="18" s="1"/>
  <c r="J16" i="18"/>
  <c r="J37" i="18" s="1"/>
  <c r="J57" i="18" s="1"/>
  <c r="B37" i="18"/>
  <c r="B57" i="18" s="1"/>
  <c r="J7" i="18"/>
  <c r="J28" i="18" s="1"/>
  <c r="J46" i="18" s="1"/>
  <c r="O15" i="18"/>
  <c r="O36" i="18" s="1"/>
  <c r="O53" i="18" s="1"/>
  <c r="L36" i="18"/>
  <c r="L53" i="18" s="1"/>
  <c r="O6" i="18"/>
  <c r="O27" i="18" s="1"/>
  <c r="O54" i="18" s="1"/>
  <c r="B28" i="18"/>
  <c r="B46" i="18" s="1"/>
  <c r="C15" i="18"/>
  <c r="C36" i="18" s="1"/>
  <c r="C53" i="18" s="1"/>
  <c r="B36" i="18"/>
  <c r="B53" i="18" s="1"/>
  <c r="C6" i="18"/>
  <c r="C27" i="18" s="1"/>
  <c r="C54" i="18" s="1"/>
  <c r="B27" i="18"/>
  <c r="B54" i="18" s="1"/>
  <c r="O13" i="18"/>
  <c r="O34" i="18" s="1"/>
  <c r="O51" i="18" s="1"/>
  <c r="O5" i="18"/>
  <c r="O26" i="18" s="1"/>
  <c r="O45" i="18" s="1"/>
  <c r="L26" i="18"/>
  <c r="L45" i="18" s="1"/>
  <c r="V34" i="18"/>
  <c r="V51" i="18" s="1"/>
  <c r="D13" i="18"/>
  <c r="D34" i="18" s="1"/>
  <c r="D51" i="18" s="1"/>
  <c r="B34" i="18"/>
  <c r="B51" i="18" s="1"/>
  <c r="H5" i="18"/>
  <c r="H26" i="18" s="1"/>
  <c r="H45" i="18" s="1"/>
  <c r="B26" i="18"/>
  <c r="B45" i="18" s="1"/>
  <c r="O12" i="18"/>
  <c r="O33" i="18" s="1"/>
  <c r="O50" i="18" s="1"/>
  <c r="O4" i="18"/>
  <c r="O25" i="18" s="1"/>
  <c r="O55" i="18" s="1"/>
  <c r="X32" i="18"/>
  <c r="X49" i="18" s="1"/>
  <c r="V32" i="18"/>
  <c r="V49" i="18" s="1"/>
  <c r="V33" i="18"/>
  <c r="V50" i="18" s="1"/>
  <c r="E12" i="18"/>
  <c r="E33" i="18" s="1"/>
  <c r="E50" i="18" s="1"/>
  <c r="B33" i="18"/>
  <c r="B50" i="18" s="1"/>
  <c r="H4" i="18"/>
  <c r="H25" i="18" s="1"/>
  <c r="H55" i="18" s="1"/>
  <c r="B25" i="18"/>
  <c r="B55" i="18" s="1"/>
  <c r="O11" i="18"/>
  <c r="O32" i="18" s="1"/>
  <c r="O49" i="18" s="1"/>
  <c r="L32" i="18"/>
  <c r="L49" i="18" s="1"/>
  <c r="X24" i="18"/>
  <c r="X44" i="18" s="1"/>
  <c r="V24" i="18"/>
  <c r="V44" i="18" s="1"/>
  <c r="X31" i="18"/>
  <c r="X56" i="18" s="1"/>
  <c r="B38" i="18"/>
  <c r="B58" i="18" s="1"/>
  <c r="L25" i="18"/>
  <c r="L55" i="18" s="1"/>
  <c r="F11" i="18"/>
  <c r="F32" i="18" s="1"/>
  <c r="F49" i="18" s="1"/>
  <c r="O3" i="18"/>
  <c r="O24" i="18" s="1"/>
  <c r="O44" i="18" s="1"/>
  <c r="O10" i="18"/>
  <c r="O31" i="18" s="1"/>
  <c r="O56" i="18" s="1"/>
  <c r="X39" i="18"/>
  <c r="X59" i="18" s="1"/>
  <c r="X30" i="18"/>
  <c r="X48" i="18" s="1"/>
  <c r="L24" i="18"/>
  <c r="L44" i="18" s="1"/>
  <c r="X37" i="18"/>
  <c r="X57" i="18" s="1"/>
  <c r="X28" i="18"/>
  <c r="X46" i="18" s="1"/>
  <c r="H3" i="18"/>
  <c r="H24" i="18" s="1"/>
  <c r="H44" i="18" s="1"/>
  <c r="G10" i="18"/>
  <c r="G31" i="18" s="1"/>
  <c r="G56" i="18" s="1"/>
  <c r="O18" i="18"/>
  <c r="O39" i="18" s="1"/>
  <c r="O59" i="18" s="1"/>
  <c r="O9" i="18"/>
  <c r="O30" i="18" s="1"/>
  <c r="O48" i="18" s="1"/>
  <c r="X38" i="18"/>
  <c r="X58" i="18" s="1"/>
  <c r="X29" i="18"/>
  <c r="X47" i="18" s="1"/>
  <c r="G5" i="18"/>
  <c r="G26" i="18" s="1"/>
  <c r="G45" i="18" s="1"/>
  <c r="G4" i="18"/>
  <c r="G25" i="18" s="1"/>
  <c r="G55" i="18" s="1"/>
  <c r="G3" i="18"/>
  <c r="G24" i="18" s="1"/>
  <c r="G44" i="18" s="1"/>
  <c r="G18" i="18"/>
  <c r="G39" i="18" s="1"/>
  <c r="G59" i="18" s="1"/>
  <c r="H17" i="18"/>
  <c r="H38" i="18" s="1"/>
  <c r="H58" i="18" s="1"/>
  <c r="I16" i="18"/>
  <c r="I37" i="18" s="1"/>
  <c r="I57" i="18" s="1"/>
  <c r="J15" i="18"/>
  <c r="J36" i="18" s="1"/>
  <c r="J53" i="18" s="1"/>
  <c r="K13" i="18"/>
  <c r="K34" i="18" s="1"/>
  <c r="K51" i="18" s="1"/>
  <c r="C13" i="18"/>
  <c r="C34" i="18" s="1"/>
  <c r="C51" i="18" s="1"/>
  <c r="D12" i="18"/>
  <c r="D33" i="18" s="1"/>
  <c r="D50" i="18" s="1"/>
  <c r="E11" i="18"/>
  <c r="E32" i="18" s="1"/>
  <c r="E49" i="18" s="1"/>
  <c r="F10" i="18"/>
  <c r="F31" i="18" s="1"/>
  <c r="F56" i="18" s="1"/>
  <c r="G9" i="18"/>
  <c r="G30" i="18" s="1"/>
  <c r="G48" i="18" s="1"/>
  <c r="H8" i="18"/>
  <c r="H29" i="18" s="1"/>
  <c r="H47" i="18" s="1"/>
  <c r="I7" i="18"/>
  <c r="I28" i="18" s="1"/>
  <c r="I46" i="18" s="1"/>
  <c r="J6" i="18"/>
  <c r="J27" i="18" s="1"/>
  <c r="J54" i="18" s="1"/>
  <c r="M12" i="18"/>
  <c r="M33" i="18" s="1"/>
  <c r="M50" i="18" s="1"/>
  <c r="M4" i="18"/>
  <c r="M25" i="18" s="1"/>
  <c r="M55" i="18" s="1"/>
  <c r="N18" i="18"/>
  <c r="N39" i="18" s="1"/>
  <c r="N59" i="18" s="1"/>
  <c r="N17" i="18"/>
  <c r="N38" i="18" s="1"/>
  <c r="N58" i="18" s="1"/>
  <c r="N16" i="18"/>
  <c r="N37" i="18" s="1"/>
  <c r="N57" i="18" s="1"/>
  <c r="N15" i="18"/>
  <c r="N36" i="18" s="1"/>
  <c r="N53" i="18" s="1"/>
  <c r="N13" i="18"/>
  <c r="N34" i="18" s="1"/>
  <c r="N51" i="18" s="1"/>
  <c r="N12" i="18"/>
  <c r="N33" i="18" s="1"/>
  <c r="N50" i="18" s="1"/>
  <c r="N11" i="18"/>
  <c r="N32" i="18" s="1"/>
  <c r="N49" i="18" s="1"/>
  <c r="N10" i="18"/>
  <c r="N31" i="18" s="1"/>
  <c r="N56" i="18" s="1"/>
  <c r="N9" i="18"/>
  <c r="N30" i="18" s="1"/>
  <c r="N48" i="18" s="1"/>
  <c r="N8" i="18"/>
  <c r="N29" i="18" s="1"/>
  <c r="N47" i="18" s="1"/>
  <c r="N7" i="18"/>
  <c r="N28" i="18" s="1"/>
  <c r="N46" i="18" s="1"/>
  <c r="N6" i="18"/>
  <c r="N27" i="18" s="1"/>
  <c r="N54" i="18" s="1"/>
  <c r="N5" i="18"/>
  <c r="N26" i="18" s="1"/>
  <c r="N45" i="18" s="1"/>
  <c r="N4" i="18"/>
  <c r="N25" i="18" s="1"/>
  <c r="N55" i="18" s="1"/>
  <c r="N3" i="18"/>
  <c r="N24" i="18" s="1"/>
  <c r="N44" i="18" s="1"/>
  <c r="W32" i="18"/>
  <c r="W49" i="18" s="1"/>
  <c r="AE39" i="18"/>
  <c r="AE59" i="18" s="1"/>
  <c r="AE38" i="18"/>
  <c r="AE58" i="18" s="1"/>
  <c r="AE37" i="18"/>
  <c r="AE57" i="18" s="1"/>
  <c r="AE36" i="18"/>
  <c r="AE53" i="18" s="1"/>
  <c r="AE34" i="18"/>
  <c r="AE51" i="18" s="1"/>
  <c r="AE33" i="18"/>
  <c r="AE50" i="18" s="1"/>
  <c r="AE32" i="18"/>
  <c r="AE49" i="18" s="1"/>
  <c r="AE31" i="18"/>
  <c r="AE56" i="18" s="1"/>
  <c r="AE30" i="18"/>
  <c r="AE48" i="18" s="1"/>
  <c r="AE29" i="18"/>
  <c r="AE47" i="18" s="1"/>
  <c r="AE28" i="18"/>
  <c r="AE46" i="18" s="1"/>
  <c r="AE27" i="18"/>
  <c r="AE54" i="18" s="1"/>
  <c r="AE26" i="18"/>
  <c r="AE45" i="18" s="1"/>
  <c r="AE25" i="18"/>
  <c r="AE55" i="18" s="1"/>
  <c r="AE24" i="18"/>
  <c r="AE44" i="18" s="1"/>
  <c r="F5" i="18"/>
  <c r="F26" i="18" s="1"/>
  <c r="F45" i="18" s="1"/>
  <c r="F4" i="18"/>
  <c r="F25" i="18" s="1"/>
  <c r="F55" i="18" s="1"/>
  <c r="F3" i="18"/>
  <c r="F24" i="18" s="1"/>
  <c r="F44" i="18" s="1"/>
  <c r="F18" i="18"/>
  <c r="F39" i="18" s="1"/>
  <c r="F59" i="18" s="1"/>
  <c r="G17" i="18"/>
  <c r="G38" i="18" s="1"/>
  <c r="G58" i="18" s="1"/>
  <c r="H16" i="18"/>
  <c r="H37" i="18" s="1"/>
  <c r="H57" i="18" s="1"/>
  <c r="I15" i="18"/>
  <c r="I36" i="18" s="1"/>
  <c r="I53" i="18" s="1"/>
  <c r="J13" i="18"/>
  <c r="J34" i="18" s="1"/>
  <c r="J51" i="18" s="1"/>
  <c r="K12" i="18"/>
  <c r="K33" i="18" s="1"/>
  <c r="K50" i="18" s="1"/>
  <c r="C12" i="18"/>
  <c r="C33" i="18" s="1"/>
  <c r="C50" i="18" s="1"/>
  <c r="D11" i="18"/>
  <c r="D32" i="18" s="1"/>
  <c r="D49" i="18" s="1"/>
  <c r="E10" i="18"/>
  <c r="E31" i="18" s="1"/>
  <c r="E56" i="18" s="1"/>
  <c r="F9" i="18"/>
  <c r="F30" i="18" s="1"/>
  <c r="F48" i="18" s="1"/>
  <c r="G8" i="18"/>
  <c r="G29" i="18" s="1"/>
  <c r="G47" i="18" s="1"/>
  <c r="H7" i="18"/>
  <c r="H28" i="18" s="1"/>
  <c r="H46" i="18" s="1"/>
  <c r="I6" i="18"/>
  <c r="I27" i="18" s="1"/>
  <c r="I54" i="18" s="1"/>
  <c r="C3" i="18"/>
  <c r="C24" i="18" s="1"/>
  <c r="C44" i="18" s="1"/>
  <c r="M11" i="18"/>
  <c r="M32" i="18" s="1"/>
  <c r="M49" i="18" s="1"/>
  <c r="U18" i="18"/>
  <c r="U39" i="18" s="1"/>
  <c r="U59" i="18" s="1"/>
  <c r="U17" i="18"/>
  <c r="U38" i="18" s="1"/>
  <c r="U58" i="18" s="1"/>
  <c r="U16" i="18"/>
  <c r="U37" i="18" s="1"/>
  <c r="U57" i="18" s="1"/>
  <c r="U15" i="18"/>
  <c r="U36" i="18" s="1"/>
  <c r="U53" i="18" s="1"/>
  <c r="U13" i="18"/>
  <c r="U34" i="18" s="1"/>
  <c r="U51" i="18" s="1"/>
  <c r="U12" i="18"/>
  <c r="U33" i="18" s="1"/>
  <c r="U50" i="18" s="1"/>
  <c r="U11" i="18"/>
  <c r="U32" i="18" s="1"/>
  <c r="U49" i="18" s="1"/>
  <c r="U10" i="18"/>
  <c r="U31" i="18" s="1"/>
  <c r="U56" i="18" s="1"/>
  <c r="U9" i="18"/>
  <c r="U30" i="18" s="1"/>
  <c r="U48" i="18" s="1"/>
  <c r="U8" i="18"/>
  <c r="U29" i="18" s="1"/>
  <c r="U47" i="18" s="1"/>
  <c r="U7" i="18"/>
  <c r="U28" i="18" s="1"/>
  <c r="U46" i="18" s="1"/>
  <c r="U6" i="18"/>
  <c r="U27" i="18" s="1"/>
  <c r="U54" i="18" s="1"/>
  <c r="U5" i="18"/>
  <c r="U26" i="18" s="1"/>
  <c r="U45" i="18" s="1"/>
  <c r="U4" i="18"/>
  <c r="U25" i="18" s="1"/>
  <c r="U55" i="18" s="1"/>
  <c r="U3" i="18"/>
  <c r="U24" i="18" s="1"/>
  <c r="U44" i="18" s="1"/>
  <c r="W24" i="18"/>
  <c r="W44" i="18" s="1"/>
  <c r="W31" i="18"/>
  <c r="W56" i="18" s="1"/>
  <c r="AD39" i="18"/>
  <c r="AD59" i="18" s="1"/>
  <c r="AD38" i="18"/>
  <c r="AD58" i="18" s="1"/>
  <c r="AD37" i="18"/>
  <c r="AD57" i="18" s="1"/>
  <c r="AD36" i="18"/>
  <c r="AD53" i="18" s="1"/>
  <c r="AD34" i="18"/>
  <c r="AD51" i="18" s="1"/>
  <c r="AD33" i="18"/>
  <c r="AD50" i="18" s="1"/>
  <c r="AD32" i="18"/>
  <c r="AD49" i="18" s="1"/>
  <c r="AD31" i="18"/>
  <c r="AD56" i="18" s="1"/>
  <c r="AD30" i="18"/>
  <c r="AD48" i="18" s="1"/>
  <c r="AD29" i="18"/>
  <c r="AD47" i="18" s="1"/>
  <c r="AD28" i="18"/>
  <c r="AD46" i="18" s="1"/>
  <c r="AD27" i="18"/>
  <c r="AD54" i="18" s="1"/>
  <c r="AD26" i="18"/>
  <c r="AD45" i="18" s="1"/>
  <c r="AD25" i="18"/>
  <c r="AD55" i="18" s="1"/>
  <c r="AD24" i="18"/>
  <c r="AD44" i="18" s="1"/>
  <c r="C5" i="18"/>
  <c r="C26" i="18" s="1"/>
  <c r="C45" i="18" s="1"/>
  <c r="E5" i="18"/>
  <c r="E26" i="18" s="1"/>
  <c r="E45" i="18" s="1"/>
  <c r="E4" i="18"/>
  <c r="E25" i="18" s="1"/>
  <c r="E55" i="18" s="1"/>
  <c r="E3" i="18"/>
  <c r="E24" i="18" s="1"/>
  <c r="E44" i="18" s="1"/>
  <c r="E18" i="18"/>
  <c r="E39" i="18" s="1"/>
  <c r="E59" i="18" s="1"/>
  <c r="F17" i="18"/>
  <c r="F38" i="18" s="1"/>
  <c r="F58" i="18" s="1"/>
  <c r="G16" i="18"/>
  <c r="G37" i="18" s="1"/>
  <c r="G57" i="18" s="1"/>
  <c r="H15" i="18"/>
  <c r="H36" i="18" s="1"/>
  <c r="H53" i="18" s="1"/>
  <c r="I13" i="18"/>
  <c r="I34" i="18" s="1"/>
  <c r="I51" i="18" s="1"/>
  <c r="J12" i="18"/>
  <c r="J33" i="18" s="1"/>
  <c r="J50" i="18" s="1"/>
  <c r="K11" i="18"/>
  <c r="K32" i="18" s="1"/>
  <c r="K49" i="18" s="1"/>
  <c r="C11" i="18"/>
  <c r="C32" i="18" s="1"/>
  <c r="C49" i="18" s="1"/>
  <c r="D10" i="18"/>
  <c r="D31" i="18" s="1"/>
  <c r="D56" i="18" s="1"/>
  <c r="E9" i="18"/>
  <c r="E30" i="18" s="1"/>
  <c r="E48" i="18" s="1"/>
  <c r="F8" i="18"/>
  <c r="F29" i="18" s="1"/>
  <c r="F47" i="18" s="1"/>
  <c r="G7" i="18"/>
  <c r="G28" i="18" s="1"/>
  <c r="G46" i="18" s="1"/>
  <c r="H6" i="18"/>
  <c r="H27" i="18" s="1"/>
  <c r="H54" i="18" s="1"/>
  <c r="M3" i="18"/>
  <c r="M24" i="18" s="1"/>
  <c r="M44" i="18" s="1"/>
  <c r="M10" i="18"/>
  <c r="M31" i="18" s="1"/>
  <c r="M56" i="18" s="1"/>
  <c r="T18" i="18"/>
  <c r="T39" i="18" s="1"/>
  <c r="T59" i="18" s="1"/>
  <c r="T17" i="18"/>
  <c r="T38" i="18" s="1"/>
  <c r="T58" i="18" s="1"/>
  <c r="T16" i="18"/>
  <c r="T37" i="18" s="1"/>
  <c r="T57" i="18" s="1"/>
  <c r="T15" i="18"/>
  <c r="T36" i="18" s="1"/>
  <c r="T53" i="18" s="1"/>
  <c r="T13" i="18"/>
  <c r="T34" i="18" s="1"/>
  <c r="T51" i="18" s="1"/>
  <c r="T12" i="18"/>
  <c r="T33" i="18" s="1"/>
  <c r="T50" i="18" s="1"/>
  <c r="T11" i="18"/>
  <c r="T32" i="18" s="1"/>
  <c r="T49" i="18" s="1"/>
  <c r="T10" i="18"/>
  <c r="T31" i="18" s="1"/>
  <c r="T56" i="18" s="1"/>
  <c r="T9" i="18"/>
  <c r="T30" i="18" s="1"/>
  <c r="T48" i="18" s="1"/>
  <c r="T8" i="18"/>
  <c r="T29" i="18" s="1"/>
  <c r="T47" i="18" s="1"/>
  <c r="T7" i="18"/>
  <c r="T28" i="18" s="1"/>
  <c r="T46" i="18" s="1"/>
  <c r="T6" i="18"/>
  <c r="T27" i="18" s="1"/>
  <c r="T54" i="18" s="1"/>
  <c r="T5" i="18"/>
  <c r="T26" i="18" s="1"/>
  <c r="T45" i="18" s="1"/>
  <c r="T4" i="18"/>
  <c r="T25" i="18" s="1"/>
  <c r="T55" i="18" s="1"/>
  <c r="T3" i="18"/>
  <c r="T24" i="18" s="1"/>
  <c r="T44" i="18" s="1"/>
  <c r="W39" i="18"/>
  <c r="W59" i="18" s="1"/>
  <c r="W30" i="18"/>
  <c r="W48" i="18" s="1"/>
  <c r="AC39" i="18"/>
  <c r="AC59" i="18" s="1"/>
  <c r="AC38" i="18"/>
  <c r="AC58" i="18" s="1"/>
  <c r="AC37" i="18"/>
  <c r="AC57" i="18" s="1"/>
  <c r="AC36" i="18"/>
  <c r="AC53" i="18" s="1"/>
  <c r="AC34" i="18"/>
  <c r="AC51" i="18" s="1"/>
  <c r="AC33" i="18"/>
  <c r="AC50" i="18" s="1"/>
  <c r="AC32" i="18"/>
  <c r="AC49" i="18" s="1"/>
  <c r="AC31" i="18"/>
  <c r="AC56" i="18" s="1"/>
  <c r="AC30" i="18"/>
  <c r="AC48" i="18" s="1"/>
  <c r="AC29" i="18"/>
  <c r="AC47" i="18" s="1"/>
  <c r="AC28" i="18"/>
  <c r="AC46" i="18" s="1"/>
  <c r="AC27" i="18"/>
  <c r="AC54" i="18" s="1"/>
  <c r="AC26" i="18"/>
  <c r="AC45" i="18" s="1"/>
  <c r="AC25" i="18"/>
  <c r="AC55" i="18" s="1"/>
  <c r="AC24" i="18"/>
  <c r="AC44" i="18" s="1"/>
  <c r="C4" i="18"/>
  <c r="C25" i="18" s="1"/>
  <c r="C55" i="18" s="1"/>
  <c r="D5" i="18"/>
  <c r="D26" i="18" s="1"/>
  <c r="D45" i="18" s="1"/>
  <c r="D4" i="18"/>
  <c r="D25" i="18" s="1"/>
  <c r="D55" i="18" s="1"/>
  <c r="D3" i="18"/>
  <c r="D24" i="18" s="1"/>
  <c r="D44" i="18" s="1"/>
  <c r="D18" i="18"/>
  <c r="D39" i="18" s="1"/>
  <c r="D59" i="18" s="1"/>
  <c r="E17" i="18"/>
  <c r="E38" i="18" s="1"/>
  <c r="E58" i="18" s="1"/>
  <c r="F16" i="18"/>
  <c r="F37" i="18" s="1"/>
  <c r="F57" i="18" s="1"/>
  <c r="G15" i="18"/>
  <c r="G36" i="18" s="1"/>
  <c r="G53" i="18" s="1"/>
  <c r="H13" i="18"/>
  <c r="H34" i="18" s="1"/>
  <c r="H51" i="18" s="1"/>
  <c r="I12" i="18"/>
  <c r="I33" i="18" s="1"/>
  <c r="I50" i="18" s="1"/>
  <c r="J11" i="18"/>
  <c r="J32" i="18" s="1"/>
  <c r="J49" i="18" s="1"/>
  <c r="K10" i="18"/>
  <c r="K31" i="18" s="1"/>
  <c r="K56" i="18" s="1"/>
  <c r="C10" i="18"/>
  <c r="C31" i="18" s="1"/>
  <c r="C56" i="18" s="1"/>
  <c r="D9" i="18"/>
  <c r="D30" i="18" s="1"/>
  <c r="D48" i="18" s="1"/>
  <c r="E8" i="18"/>
  <c r="E29" i="18" s="1"/>
  <c r="E47" i="18" s="1"/>
  <c r="F7" i="18"/>
  <c r="F28" i="18" s="1"/>
  <c r="F46" i="18" s="1"/>
  <c r="G6" i="18"/>
  <c r="G27" i="18" s="1"/>
  <c r="G54" i="18" s="1"/>
  <c r="M18" i="18"/>
  <c r="M39" i="18" s="1"/>
  <c r="M59" i="18" s="1"/>
  <c r="M9" i="18"/>
  <c r="M30" i="18" s="1"/>
  <c r="M48" i="18" s="1"/>
  <c r="S18" i="18"/>
  <c r="S39" i="18" s="1"/>
  <c r="S59" i="18" s="1"/>
  <c r="S17" i="18"/>
  <c r="S38" i="18" s="1"/>
  <c r="S58" i="18" s="1"/>
  <c r="S16" i="18"/>
  <c r="S37" i="18" s="1"/>
  <c r="S57" i="18" s="1"/>
  <c r="S15" i="18"/>
  <c r="S36" i="18" s="1"/>
  <c r="S53" i="18" s="1"/>
  <c r="S13" i="18"/>
  <c r="S34" i="18" s="1"/>
  <c r="S51" i="18" s="1"/>
  <c r="S12" i="18"/>
  <c r="S33" i="18" s="1"/>
  <c r="S50" i="18" s="1"/>
  <c r="S11" i="18"/>
  <c r="S32" i="18" s="1"/>
  <c r="S49" i="18" s="1"/>
  <c r="S10" i="18"/>
  <c r="S31" i="18" s="1"/>
  <c r="S56" i="18" s="1"/>
  <c r="S9" i="18"/>
  <c r="S30" i="18" s="1"/>
  <c r="S48" i="18" s="1"/>
  <c r="S8" i="18"/>
  <c r="S29" i="18" s="1"/>
  <c r="S47" i="18" s="1"/>
  <c r="S7" i="18"/>
  <c r="S28" i="18" s="1"/>
  <c r="S46" i="18" s="1"/>
  <c r="S6" i="18"/>
  <c r="S27" i="18" s="1"/>
  <c r="S54" i="18" s="1"/>
  <c r="S5" i="18"/>
  <c r="S26" i="18" s="1"/>
  <c r="S45" i="18" s="1"/>
  <c r="S4" i="18"/>
  <c r="S25" i="18" s="1"/>
  <c r="S55" i="18" s="1"/>
  <c r="S3" i="18"/>
  <c r="S24" i="18" s="1"/>
  <c r="S44" i="18" s="1"/>
  <c r="W38" i="18"/>
  <c r="W58" i="18" s="1"/>
  <c r="W29" i="18"/>
  <c r="W47" i="18" s="1"/>
  <c r="AB39" i="18"/>
  <c r="AB59" i="18" s="1"/>
  <c r="AB38" i="18"/>
  <c r="AB58" i="18" s="1"/>
  <c r="AB37" i="18"/>
  <c r="AB57" i="18" s="1"/>
  <c r="AB36" i="18"/>
  <c r="AB53" i="18" s="1"/>
  <c r="AB34" i="18"/>
  <c r="AB51" i="18" s="1"/>
  <c r="AB33" i="18"/>
  <c r="AB50" i="18" s="1"/>
  <c r="AB32" i="18"/>
  <c r="AB49" i="18" s="1"/>
  <c r="AB31" i="18"/>
  <c r="AB56" i="18" s="1"/>
  <c r="AB30" i="18"/>
  <c r="AB48" i="18" s="1"/>
  <c r="AB29" i="18"/>
  <c r="AB47" i="18" s="1"/>
  <c r="AB28" i="18"/>
  <c r="AB46" i="18" s="1"/>
  <c r="AB27" i="18"/>
  <c r="AB54" i="18" s="1"/>
  <c r="AB26" i="18"/>
  <c r="AB45" i="18" s="1"/>
  <c r="AB25" i="18"/>
  <c r="AB55" i="18" s="1"/>
  <c r="AB24" i="18"/>
  <c r="AB44" i="18" s="1"/>
  <c r="K5" i="18"/>
  <c r="K26" i="18" s="1"/>
  <c r="K45" i="18" s="1"/>
  <c r="K4" i="18"/>
  <c r="K25" i="18" s="1"/>
  <c r="K55" i="18" s="1"/>
  <c r="K3" i="18"/>
  <c r="K24" i="18" s="1"/>
  <c r="K44" i="18" s="1"/>
  <c r="K18" i="18"/>
  <c r="K39" i="18" s="1"/>
  <c r="K59" i="18" s="1"/>
  <c r="C18" i="18"/>
  <c r="C39" i="18" s="1"/>
  <c r="C59" i="18" s="1"/>
  <c r="D17" i="18"/>
  <c r="D38" i="18" s="1"/>
  <c r="D58" i="18" s="1"/>
  <c r="E16" i="18"/>
  <c r="E37" i="18" s="1"/>
  <c r="E57" i="18" s="1"/>
  <c r="F15" i="18"/>
  <c r="F36" i="18" s="1"/>
  <c r="F53" i="18" s="1"/>
  <c r="G13" i="18"/>
  <c r="G34" i="18" s="1"/>
  <c r="G51" i="18" s="1"/>
  <c r="H12" i="18"/>
  <c r="H33" i="18" s="1"/>
  <c r="H50" i="18" s="1"/>
  <c r="I11" i="18"/>
  <c r="I32" i="18" s="1"/>
  <c r="I49" i="18" s="1"/>
  <c r="J10" i="18"/>
  <c r="J31" i="18" s="1"/>
  <c r="J56" i="18" s="1"/>
  <c r="K9" i="18"/>
  <c r="K30" i="18" s="1"/>
  <c r="K48" i="18" s="1"/>
  <c r="C9" i="18"/>
  <c r="C30" i="18" s="1"/>
  <c r="C48" i="18" s="1"/>
  <c r="D8" i="18"/>
  <c r="D29" i="18" s="1"/>
  <c r="D47" i="18" s="1"/>
  <c r="E7" i="18"/>
  <c r="E28" i="18" s="1"/>
  <c r="E46" i="18" s="1"/>
  <c r="F6" i="18"/>
  <c r="F27" i="18" s="1"/>
  <c r="F54" i="18" s="1"/>
  <c r="M17" i="18"/>
  <c r="M38" i="18" s="1"/>
  <c r="M58" i="18" s="1"/>
  <c r="M8" i="18"/>
  <c r="M29" i="18" s="1"/>
  <c r="M47" i="18" s="1"/>
  <c r="R18" i="18"/>
  <c r="R39" i="18" s="1"/>
  <c r="R59" i="18" s="1"/>
  <c r="R17" i="18"/>
  <c r="R38" i="18" s="1"/>
  <c r="R58" i="18" s="1"/>
  <c r="R16" i="18"/>
  <c r="R37" i="18" s="1"/>
  <c r="R57" i="18" s="1"/>
  <c r="R15" i="18"/>
  <c r="R36" i="18" s="1"/>
  <c r="R53" i="18" s="1"/>
  <c r="R13" i="18"/>
  <c r="R34" i="18" s="1"/>
  <c r="R51" i="18" s="1"/>
  <c r="R12" i="18"/>
  <c r="R33" i="18" s="1"/>
  <c r="R50" i="18" s="1"/>
  <c r="R11" i="18"/>
  <c r="R32" i="18" s="1"/>
  <c r="R49" i="18" s="1"/>
  <c r="R10" i="18"/>
  <c r="R31" i="18" s="1"/>
  <c r="R56" i="18" s="1"/>
  <c r="R9" i="18"/>
  <c r="R30" i="18" s="1"/>
  <c r="R48" i="18" s="1"/>
  <c r="R8" i="18"/>
  <c r="R29" i="18" s="1"/>
  <c r="R47" i="18" s="1"/>
  <c r="R7" i="18"/>
  <c r="R28" i="18" s="1"/>
  <c r="R46" i="18" s="1"/>
  <c r="R6" i="18"/>
  <c r="R27" i="18" s="1"/>
  <c r="R54" i="18" s="1"/>
  <c r="R5" i="18"/>
  <c r="R26" i="18" s="1"/>
  <c r="R45" i="18" s="1"/>
  <c r="R4" i="18"/>
  <c r="R25" i="18" s="1"/>
  <c r="R55" i="18" s="1"/>
  <c r="R3" i="18"/>
  <c r="R24" i="18" s="1"/>
  <c r="R44" i="18" s="1"/>
  <c r="W37" i="18"/>
  <c r="W57" i="18" s="1"/>
  <c r="W28" i="18"/>
  <c r="W46" i="18" s="1"/>
  <c r="AA39" i="18"/>
  <c r="AA59" i="18" s="1"/>
  <c r="AA38" i="18"/>
  <c r="AA58" i="18" s="1"/>
  <c r="AA37" i="18"/>
  <c r="AA57" i="18" s="1"/>
  <c r="AA36" i="18"/>
  <c r="AA53" i="18" s="1"/>
  <c r="AA34" i="18"/>
  <c r="AA51" i="18" s="1"/>
  <c r="AA33" i="18"/>
  <c r="AA50" i="18" s="1"/>
  <c r="AA32" i="18"/>
  <c r="AA49" i="18" s="1"/>
  <c r="AA31" i="18"/>
  <c r="AA56" i="18" s="1"/>
  <c r="AA30" i="18"/>
  <c r="AA48" i="18" s="1"/>
  <c r="AA29" i="18"/>
  <c r="AA47" i="18" s="1"/>
  <c r="AA28" i="18"/>
  <c r="AA46" i="18" s="1"/>
  <c r="AA27" i="18"/>
  <c r="AA54" i="18" s="1"/>
  <c r="AA26" i="18"/>
  <c r="AA45" i="18" s="1"/>
  <c r="AA25" i="18"/>
  <c r="AA55" i="18" s="1"/>
  <c r="AA24" i="18"/>
  <c r="AA44" i="18" s="1"/>
  <c r="J5" i="18"/>
  <c r="J26" i="18" s="1"/>
  <c r="J45" i="18" s="1"/>
  <c r="J4" i="18"/>
  <c r="J25" i="18" s="1"/>
  <c r="J55" i="18" s="1"/>
  <c r="J3" i="18"/>
  <c r="J24" i="18" s="1"/>
  <c r="J44" i="18" s="1"/>
  <c r="J18" i="18"/>
  <c r="J39" i="18" s="1"/>
  <c r="J59" i="18" s="1"/>
  <c r="K17" i="18"/>
  <c r="K38" i="18" s="1"/>
  <c r="K58" i="18" s="1"/>
  <c r="C17" i="18"/>
  <c r="C38" i="18" s="1"/>
  <c r="C58" i="18" s="1"/>
  <c r="D16" i="18"/>
  <c r="D37" i="18" s="1"/>
  <c r="D57" i="18" s="1"/>
  <c r="E15" i="18"/>
  <c r="E36" i="18" s="1"/>
  <c r="E53" i="18" s="1"/>
  <c r="F13" i="18"/>
  <c r="F34" i="18" s="1"/>
  <c r="F51" i="18" s="1"/>
  <c r="G12" i="18"/>
  <c r="G33" i="18" s="1"/>
  <c r="G50" i="18" s="1"/>
  <c r="H11" i="18"/>
  <c r="H32" i="18" s="1"/>
  <c r="H49" i="18" s="1"/>
  <c r="I10" i="18"/>
  <c r="I31" i="18" s="1"/>
  <c r="I56" i="18" s="1"/>
  <c r="J9" i="18"/>
  <c r="J30" i="18" s="1"/>
  <c r="J48" i="18" s="1"/>
  <c r="K8" i="18"/>
  <c r="K29" i="18" s="1"/>
  <c r="K47" i="18" s="1"/>
  <c r="C8" i="18"/>
  <c r="C29" i="18" s="1"/>
  <c r="C47" i="18" s="1"/>
  <c r="D7" i="18"/>
  <c r="D28" i="18" s="1"/>
  <c r="D46" i="18" s="1"/>
  <c r="E6" i="18"/>
  <c r="E27" i="18" s="1"/>
  <c r="E54" i="18" s="1"/>
  <c r="M16" i="18"/>
  <c r="M37" i="18" s="1"/>
  <c r="M57" i="18" s="1"/>
  <c r="M7" i="18"/>
  <c r="M28" i="18" s="1"/>
  <c r="M46" i="18" s="1"/>
  <c r="Q18" i="18"/>
  <c r="Q39" i="18" s="1"/>
  <c r="Q59" i="18" s="1"/>
  <c r="Q17" i="18"/>
  <c r="Q38" i="18" s="1"/>
  <c r="Q58" i="18" s="1"/>
  <c r="Q16" i="18"/>
  <c r="Q37" i="18" s="1"/>
  <c r="Q57" i="18" s="1"/>
  <c r="Q15" i="18"/>
  <c r="Q36" i="18" s="1"/>
  <c r="Q53" i="18" s="1"/>
  <c r="Q13" i="18"/>
  <c r="Q34" i="18" s="1"/>
  <c r="Q51" i="18" s="1"/>
  <c r="Q12" i="18"/>
  <c r="Q33" i="18" s="1"/>
  <c r="Q50" i="18" s="1"/>
  <c r="Q11" i="18"/>
  <c r="Q32" i="18" s="1"/>
  <c r="Q49" i="18" s="1"/>
  <c r="Q10" i="18"/>
  <c r="Q31" i="18" s="1"/>
  <c r="Q56" i="18" s="1"/>
  <c r="Q9" i="18"/>
  <c r="Q30" i="18" s="1"/>
  <c r="Q48" i="18" s="1"/>
  <c r="Q8" i="18"/>
  <c r="Q29" i="18" s="1"/>
  <c r="Q47" i="18" s="1"/>
  <c r="Q7" i="18"/>
  <c r="Q28" i="18" s="1"/>
  <c r="Q46" i="18" s="1"/>
  <c r="Q6" i="18"/>
  <c r="Q27" i="18" s="1"/>
  <c r="Q54" i="18" s="1"/>
  <c r="Q5" i="18"/>
  <c r="Q26" i="18" s="1"/>
  <c r="Q45" i="18" s="1"/>
  <c r="Q4" i="18"/>
  <c r="Q25" i="18" s="1"/>
  <c r="Q55" i="18" s="1"/>
  <c r="Q3" i="18"/>
  <c r="Q24" i="18" s="1"/>
  <c r="Q44" i="18" s="1"/>
  <c r="W36" i="18"/>
  <c r="W53" i="18" s="1"/>
  <c r="W27" i="18"/>
  <c r="W54" i="18" s="1"/>
  <c r="Z39" i="18"/>
  <c r="Z59" i="18" s="1"/>
  <c r="Z38" i="18"/>
  <c r="Z58" i="18" s="1"/>
  <c r="Z37" i="18"/>
  <c r="Z57" i="18" s="1"/>
  <c r="Z36" i="18"/>
  <c r="Z53" i="18" s="1"/>
  <c r="Z34" i="18"/>
  <c r="Z51" i="18" s="1"/>
  <c r="Z33" i="18"/>
  <c r="Z50" i="18" s="1"/>
  <c r="Z32" i="18"/>
  <c r="Z49" i="18" s="1"/>
  <c r="Z31" i="18"/>
  <c r="Z56" i="18" s="1"/>
  <c r="Z30" i="18"/>
  <c r="Z48" i="18" s="1"/>
  <c r="Z29" i="18"/>
  <c r="Z47" i="18" s="1"/>
  <c r="Z28" i="18"/>
  <c r="Z46" i="18" s="1"/>
  <c r="Z27" i="18"/>
  <c r="Z54" i="18" s="1"/>
  <c r="Z26" i="18"/>
  <c r="Z45" i="18" s="1"/>
  <c r="Z25" i="18"/>
  <c r="Z55" i="18" s="1"/>
  <c r="Z24" i="18"/>
  <c r="Z44" i="18" s="1"/>
  <c r="I5" i="18"/>
  <c r="I26" i="18" s="1"/>
  <c r="I45" i="18" s="1"/>
  <c r="I4" i="18"/>
  <c r="I25" i="18" s="1"/>
  <c r="I55" i="18" s="1"/>
  <c r="I3" i="18"/>
  <c r="I24" i="18" s="1"/>
  <c r="I44" i="18" s="1"/>
  <c r="I18" i="18"/>
  <c r="I39" i="18" s="1"/>
  <c r="I59" i="18" s="1"/>
  <c r="J17" i="18"/>
  <c r="J38" i="18" s="1"/>
  <c r="J58" i="18" s="1"/>
  <c r="K16" i="18"/>
  <c r="K37" i="18" s="1"/>
  <c r="K57" i="18" s="1"/>
  <c r="C16" i="18"/>
  <c r="C37" i="18" s="1"/>
  <c r="C57" i="18" s="1"/>
  <c r="D15" i="18"/>
  <c r="D36" i="18" s="1"/>
  <c r="D53" i="18" s="1"/>
  <c r="E13" i="18"/>
  <c r="E34" i="18" s="1"/>
  <c r="E51" i="18" s="1"/>
  <c r="F12" i="18"/>
  <c r="F33" i="18" s="1"/>
  <c r="F50" i="18" s="1"/>
  <c r="G11" i="18"/>
  <c r="G32" i="18" s="1"/>
  <c r="G49" i="18" s="1"/>
  <c r="H10" i="18"/>
  <c r="H31" i="18" s="1"/>
  <c r="H56" i="18" s="1"/>
  <c r="I9" i="18"/>
  <c r="I30" i="18" s="1"/>
  <c r="I48" i="18" s="1"/>
  <c r="J8" i="18"/>
  <c r="J29" i="18" s="1"/>
  <c r="J47" i="18" s="1"/>
  <c r="K7" i="18"/>
  <c r="K28" i="18" s="1"/>
  <c r="K46" i="18" s="1"/>
  <c r="C7" i="18"/>
  <c r="C28" i="18" s="1"/>
  <c r="C46" i="18" s="1"/>
  <c r="D6" i="18"/>
  <c r="D27" i="18" s="1"/>
  <c r="D54" i="18" s="1"/>
  <c r="M15" i="18"/>
  <c r="M36" i="18" s="1"/>
  <c r="M53" i="18" s="1"/>
  <c r="M6" i="18"/>
  <c r="M27" i="18" s="1"/>
  <c r="M54" i="18" s="1"/>
  <c r="P18" i="18"/>
  <c r="P39" i="18" s="1"/>
  <c r="P59" i="18" s="1"/>
  <c r="P17" i="18"/>
  <c r="P38" i="18" s="1"/>
  <c r="P58" i="18" s="1"/>
  <c r="P16" i="18"/>
  <c r="P37" i="18" s="1"/>
  <c r="P57" i="18" s="1"/>
  <c r="P15" i="18"/>
  <c r="P36" i="18" s="1"/>
  <c r="P53" i="18" s="1"/>
  <c r="P13" i="18"/>
  <c r="P34" i="18" s="1"/>
  <c r="P51" i="18" s="1"/>
  <c r="P12" i="18"/>
  <c r="P33" i="18" s="1"/>
  <c r="P50" i="18" s="1"/>
  <c r="P11" i="18"/>
  <c r="P32" i="18" s="1"/>
  <c r="P49" i="18" s="1"/>
  <c r="P10" i="18"/>
  <c r="P31" i="18" s="1"/>
  <c r="P56" i="18" s="1"/>
  <c r="P9" i="18"/>
  <c r="P30" i="18" s="1"/>
  <c r="P48" i="18" s="1"/>
  <c r="P8" i="18"/>
  <c r="P29" i="18" s="1"/>
  <c r="P47" i="18" s="1"/>
  <c r="P7" i="18"/>
  <c r="P28" i="18" s="1"/>
  <c r="P46" i="18" s="1"/>
  <c r="P6" i="18"/>
  <c r="P27" i="18" s="1"/>
  <c r="P54" i="18" s="1"/>
  <c r="P5" i="18"/>
  <c r="P26" i="18" s="1"/>
  <c r="P45" i="18" s="1"/>
  <c r="P4" i="18"/>
  <c r="P25" i="18" s="1"/>
  <c r="P55" i="18" s="1"/>
  <c r="P3" i="18"/>
  <c r="P24" i="18" s="1"/>
  <c r="P44" i="18" s="1"/>
  <c r="W34" i="18"/>
  <c r="W51" i="18" s="1"/>
  <c r="W26" i="18"/>
  <c r="W45" i="18" s="1"/>
  <c r="Y39" i="18"/>
  <c r="Y59" i="18" s="1"/>
  <c r="Y38" i="18"/>
  <c r="Y58" i="18" s="1"/>
  <c r="Y37" i="18"/>
  <c r="Y57" i="18" s="1"/>
  <c r="Y36" i="18"/>
  <c r="Y53" i="18" s="1"/>
  <c r="Y34" i="18"/>
  <c r="Y51" i="18" s="1"/>
  <c r="Y33" i="18"/>
  <c r="Y50" i="18" s="1"/>
  <c r="Y32" i="18"/>
  <c r="Y49" i="18" s="1"/>
  <c r="Y31" i="18"/>
  <c r="Y56" i="18" s="1"/>
  <c r="Y30" i="18"/>
  <c r="Y48" i="18" s="1"/>
  <c r="Y29" i="18"/>
  <c r="Y47" i="18" s="1"/>
  <c r="Y28" i="18"/>
  <c r="Y46" i="18" s="1"/>
  <c r="Y27" i="18"/>
  <c r="Y54" i="18" s="1"/>
  <c r="Y26" i="18"/>
  <c r="Y45" i="18" s="1"/>
  <c r="Y25" i="18"/>
  <c r="Y55" i="18" s="1"/>
  <c r="Y24" i="18"/>
  <c r="Y44" i="18" s="1"/>
  <c r="K15" i="18"/>
  <c r="K36" i="18" s="1"/>
  <c r="K53" i="18" s="1"/>
  <c r="K6" i="18"/>
  <c r="K27" i="18" s="1"/>
  <c r="K54" i="18" s="1"/>
  <c r="M13" i="18"/>
  <c r="M34" i="18" s="1"/>
  <c r="M51" i="18" s="1"/>
  <c r="M5" i="18"/>
  <c r="M26" i="18" s="1"/>
  <c r="M45" i="18" s="1"/>
  <c r="W33" i="18"/>
  <c r="W50" i="18" s="1"/>
  <c r="W25" i="18"/>
  <c r="W55" i="18" s="1"/>
  <c r="B25" i="16"/>
  <c r="B26" i="16"/>
  <c r="B27" i="16"/>
  <c r="B22" i="16"/>
  <c r="C32" i="16"/>
  <c r="D32" i="16"/>
  <c r="B32" i="16"/>
  <c r="B8" i="12"/>
  <c r="C4" i="12"/>
  <c r="D4" i="12"/>
  <c r="E4" i="12"/>
  <c r="F4" i="12"/>
  <c r="G4" i="12"/>
  <c r="H4" i="12"/>
  <c r="I4" i="12"/>
  <c r="J4" i="12"/>
  <c r="K4" i="12"/>
  <c r="L4" i="12"/>
  <c r="M4" i="12"/>
  <c r="N4" i="12"/>
  <c r="O4" i="12"/>
  <c r="P4" i="12"/>
  <c r="Q4" i="12"/>
  <c r="R4" i="12"/>
  <c r="S4" i="12"/>
  <c r="T4" i="12"/>
  <c r="U4" i="12"/>
  <c r="V4" i="12"/>
  <c r="W4" i="12"/>
  <c r="X4" i="12"/>
  <c r="Y4" i="12"/>
  <c r="Z4" i="12"/>
  <c r="AA4" i="12"/>
  <c r="AB4" i="12"/>
  <c r="AC4" i="12"/>
  <c r="AD4" i="12"/>
  <c r="AE4" i="12"/>
  <c r="AF4" i="12"/>
  <c r="AG4" i="12"/>
  <c r="B4" i="12"/>
  <c r="F35" i="18" l="1"/>
  <c r="E52" i="18"/>
  <c r="G35" i="18" l="1"/>
  <c r="F52" i="18"/>
  <c r="H35" i="18" l="1"/>
  <c r="G52" i="18"/>
  <c r="I35" i="18" l="1"/>
  <c r="H52" i="18"/>
  <c r="B69" i="16"/>
  <c r="K64" i="16"/>
  <c r="C26" i="16" s="1"/>
  <c r="J64" i="16"/>
  <c r="E64" i="16"/>
  <c r="D64" i="16"/>
  <c r="C25" i="16"/>
  <c r="D25" i="16" s="1"/>
  <c r="C22" i="16"/>
  <c r="C31" i="16" s="1"/>
  <c r="C23" i="16"/>
  <c r="D23" i="16"/>
  <c r="D21" i="16"/>
  <c r="C21" i="16"/>
  <c r="B23" i="16"/>
  <c r="B31" i="16"/>
  <c r="B21" i="16"/>
  <c r="I41" i="16"/>
  <c r="I42" i="16"/>
  <c r="I40" i="16"/>
  <c r="H42" i="16"/>
  <c r="H41" i="16"/>
  <c r="H40" i="16"/>
  <c r="B7" i="16"/>
  <c r="B6" i="16"/>
  <c r="B14" i="16"/>
  <c r="B15" i="16"/>
  <c r="B13" i="16"/>
  <c r="B11" i="16"/>
  <c r="B10" i="16"/>
  <c r="B8" i="16"/>
  <c r="B12" i="16"/>
  <c r="B5" i="16"/>
  <c r="B4" i="16"/>
  <c r="B3" i="16"/>
  <c r="B2" i="16"/>
  <c r="D41" i="16"/>
  <c r="D42" i="16"/>
  <c r="D43" i="16"/>
  <c r="D44" i="16"/>
  <c r="D45" i="16"/>
  <c r="D47" i="16"/>
  <c r="D48" i="16"/>
  <c r="D49" i="16"/>
  <c r="D50" i="16"/>
  <c r="D52" i="16"/>
  <c r="D53" i="16"/>
  <c r="D54" i="16"/>
  <c r="D40" i="16"/>
  <c r="C41" i="16"/>
  <c r="C42" i="16"/>
  <c r="C43" i="16"/>
  <c r="C44" i="16"/>
  <c r="C45" i="16"/>
  <c r="C47" i="16"/>
  <c r="C49" i="16"/>
  <c r="C50" i="16"/>
  <c r="C52" i="16"/>
  <c r="C53" i="16"/>
  <c r="C54" i="16"/>
  <c r="C40" i="16"/>
  <c r="C12" i="12"/>
  <c r="D12" i="12"/>
  <c r="E12" i="12"/>
  <c r="F12" i="12"/>
  <c r="G12" i="12"/>
  <c r="H12" i="12"/>
  <c r="I12" i="12"/>
  <c r="J12" i="12"/>
  <c r="K12" i="12"/>
  <c r="L12" i="12"/>
  <c r="M12" i="12"/>
  <c r="N12" i="12"/>
  <c r="O12" i="12"/>
  <c r="P12" i="12"/>
  <c r="Q12" i="12"/>
  <c r="R12" i="12"/>
  <c r="S12" i="12"/>
  <c r="T12" i="12"/>
  <c r="U12" i="12"/>
  <c r="V12" i="12"/>
  <c r="W12" i="12"/>
  <c r="X12" i="12"/>
  <c r="Y12" i="12"/>
  <c r="Z12" i="12"/>
  <c r="AA12" i="12"/>
  <c r="AB12" i="12"/>
  <c r="AC12" i="12"/>
  <c r="AD12" i="12"/>
  <c r="AE12" i="12"/>
  <c r="AF12" i="12"/>
  <c r="AG12" i="12"/>
  <c r="C13" i="12"/>
  <c r="D13" i="12"/>
  <c r="E13" i="12"/>
  <c r="F13" i="12"/>
  <c r="G13" i="12"/>
  <c r="H13" i="12"/>
  <c r="I13" i="12"/>
  <c r="J13" i="12"/>
  <c r="K13" i="12"/>
  <c r="L13" i="12"/>
  <c r="M13" i="12"/>
  <c r="N13" i="12"/>
  <c r="O13" i="12"/>
  <c r="P13" i="12"/>
  <c r="Q13" i="12"/>
  <c r="R13" i="12"/>
  <c r="S13" i="12"/>
  <c r="T13" i="12"/>
  <c r="U13" i="12"/>
  <c r="V13" i="12"/>
  <c r="W13" i="12"/>
  <c r="X13" i="12"/>
  <c r="Y13" i="12"/>
  <c r="Z13" i="12"/>
  <c r="AA13" i="12"/>
  <c r="AB13" i="12"/>
  <c r="AC13" i="12"/>
  <c r="AD13" i="12"/>
  <c r="AE13" i="12"/>
  <c r="AF13" i="12"/>
  <c r="AG13" i="12"/>
  <c r="C14" i="12"/>
  <c r="D14" i="12"/>
  <c r="E14" i="12"/>
  <c r="F14" i="12"/>
  <c r="G14" i="12"/>
  <c r="H14" i="12"/>
  <c r="I14" i="12"/>
  <c r="J14" i="12"/>
  <c r="K14" i="12"/>
  <c r="L14" i="12"/>
  <c r="M14" i="12"/>
  <c r="N14" i="12"/>
  <c r="O14" i="12"/>
  <c r="P14" i="12"/>
  <c r="Q14" i="12"/>
  <c r="R14" i="12"/>
  <c r="S14" i="12"/>
  <c r="T14" i="12"/>
  <c r="U14" i="12"/>
  <c r="V14" i="12"/>
  <c r="W14" i="12"/>
  <c r="X14" i="12"/>
  <c r="Y14" i="12"/>
  <c r="Z14" i="12"/>
  <c r="AA14" i="12"/>
  <c r="AB14" i="12"/>
  <c r="AC14" i="12"/>
  <c r="AD14" i="12"/>
  <c r="AE14" i="12"/>
  <c r="AF14" i="12"/>
  <c r="AG14" i="12"/>
  <c r="B14" i="12"/>
  <c r="B13" i="12"/>
  <c r="B12" i="12"/>
  <c r="C9" i="12"/>
  <c r="D9" i="12"/>
  <c r="E9" i="12"/>
  <c r="F9" i="12"/>
  <c r="G9" i="12"/>
  <c r="H9" i="12"/>
  <c r="I9" i="12"/>
  <c r="J9" i="12"/>
  <c r="K9" i="12"/>
  <c r="L9" i="12"/>
  <c r="M9" i="12"/>
  <c r="N9" i="12"/>
  <c r="O9" i="12"/>
  <c r="P9" i="12"/>
  <c r="Q9" i="12"/>
  <c r="R9" i="12"/>
  <c r="S9" i="12"/>
  <c r="T9" i="12"/>
  <c r="U9" i="12"/>
  <c r="V9" i="12"/>
  <c r="W9" i="12"/>
  <c r="X9" i="12"/>
  <c r="Y9" i="12"/>
  <c r="Z9" i="12"/>
  <c r="AA9" i="12"/>
  <c r="AB9" i="12"/>
  <c r="AC9" i="12"/>
  <c r="AD9" i="12"/>
  <c r="AE9" i="12"/>
  <c r="AF9" i="12"/>
  <c r="AG9" i="12"/>
  <c r="B10" i="12"/>
  <c r="B9" i="12"/>
  <c r="C7" i="12"/>
  <c r="D7" i="12"/>
  <c r="E7" i="12"/>
  <c r="F7" i="12"/>
  <c r="G7" i="12"/>
  <c r="H7" i="12"/>
  <c r="I7" i="12"/>
  <c r="J7" i="12"/>
  <c r="K7" i="12"/>
  <c r="L7" i="12"/>
  <c r="M7" i="12"/>
  <c r="N7" i="12"/>
  <c r="O7" i="12"/>
  <c r="P7" i="12"/>
  <c r="Q7" i="12"/>
  <c r="R7" i="12"/>
  <c r="S7" i="12"/>
  <c r="T7" i="12"/>
  <c r="U7" i="12"/>
  <c r="V7" i="12"/>
  <c r="W7" i="12"/>
  <c r="X7" i="12"/>
  <c r="Y7" i="12"/>
  <c r="Z7" i="12"/>
  <c r="AA7" i="12"/>
  <c r="AB7" i="12"/>
  <c r="AC7" i="12"/>
  <c r="AD7" i="12"/>
  <c r="AE7" i="12"/>
  <c r="AF7" i="12"/>
  <c r="AG7" i="12"/>
  <c r="B7" i="12"/>
  <c r="C5" i="12"/>
  <c r="D5" i="12"/>
  <c r="E5" i="12"/>
  <c r="F5" i="12"/>
  <c r="G5" i="12"/>
  <c r="H5" i="12"/>
  <c r="I5" i="12"/>
  <c r="J5" i="12"/>
  <c r="K5" i="12"/>
  <c r="L5" i="12"/>
  <c r="M5" i="12"/>
  <c r="N5" i="12"/>
  <c r="O5" i="12"/>
  <c r="P5" i="12"/>
  <c r="Q5" i="12"/>
  <c r="R5" i="12"/>
  <c r="S5" i="12"/>
  <c r="T5" i="12"/>
  <c r="U5" i="12"/>
  <c r="V5" i="12"/>
  <c r="W5" i="12"/>
  <c r="X5" i="12"/>
  <c r="Y5" i="12"/>
  <c r="Z5" i="12"/>
  <c r="AA5" i="12"/>
  <c r="AB5" i="12"/>
  <c r="AC5" i="12"/>
  <c r="AD5" i="12"/>
  <c r="AE5" i="12"/>
  <c r="AF5" i="12"/>
  <c r="AG5" i="12"/>
  <c r="C6" i="12"/>
  <c r="D6" i="12"/>
  <c r="E6" i="12"/>
  <c r="F6" i="12"/>
  <c r="G6" i="12"/>
  <c r="H6" i="12"/>
  <c r="I6" i="12"/>
  <c r="J6" i="12"/>
  <c r="K6" i="12"/>
  <c r="L6" i="12"/>
  <c r="M6" i="12"/>
  <c r="N6" i="12"/>
  <c r="O6" i="12"/>
  <c r="P6" i="12"/>
  <c r="Q6" i="12"/>
  <c r="R6" i="12"/>
  <c r="S6" i="12"/>
  <c r="T6" i="12"/>
  <c r="U6" i="12"/>
  <c r="V6" i="12"/>
  <c r="W6" i="12"/>
  <c r="X6" i="12"/>
  <c r="Y6" i="12"/>
  <c r="Z6" i="12"/>
  <c r="AA6" i="12"/>
  <c r="AB6" i="12"/>
  <c r="AC6" i="12"/>
  <c r="AD6" i="12"/>
  <c r="AE6" i="12"/>
  <c r="AF6" i="12"/>
  <c r="AG6" i="12"/>
  <c r="B6" i="12"/>
  <c r="B5" i="12"/>
  <c r="C3" i="12"/>
  <c r="D3" i="12"/>
  <c r="E3" i="12"/>
  <c r="F3" i="12"/>
  <c r="G3" i="12"/>
  <c r="H3" i="12"/>
  <c r="I3" i="12"/>
  <c r="J3" i="12"/>
  <c r="K3" i="12"/>
  <c r="L3" i="12"/>
  <c r="M3" i="12"/>
  <c r="N3" i="12"/>
  <c r="O3" i="12"/>
  <c r="P3" i="12"/>
  <c r="Q3" i="12"/>
  <c r="R3" i="12"/>
  <c r="S3" i="12"/>
  <c r="T3" i="12"/>
  <c r="U3" i="12"/>
  <c r="V3" i="12"/>
  <c r="W3" i="12"/>
  <c r="X3" i="12"/>
  <c r="Y3" i="12"/>
  <c r="Z3" i="12"/>
  <c r="AA3" i="12"/>
  <c r="AB3" i="12"/>
  <c r="AC3" i="12"/>
  <c r="AD3" i="12"/>
  <c r="AE3" i="12"/>
  <c r="AF3" i="12"/>
  <c r="AG3" i="12"/>
  <c r="B3" i="12"/>
  <c r="C2" i="12"/>
  <c r="D2" i="12"/>
  <c r="E2" i="12"/>
  <c r="F2" i="12"/>
  <c r="G2" i="12"/>
  <c r="H2" i="12"/>
  <c r="I2" i="12"/>
  <c r="J2" i="12"/>
  <c r="K2" i="12"/>
  <c r="L2" i="12"/>
  <c r="M2" i="12"/>
  <c r="N2" i="12"/>
  <c r="O2" i="12"/>
  <c r="P2" i="12"/>
  <c r="Q2" i="12"/>
  <c r="R2" i="12"/>
  <c r="S2" i="12"/>
  <c r="T2" i="12"/>
  <c r="U2" i="12"/>
  <c r="V2" i="12"/>
  <c r="W2" i="12"/>
  <c r="X2" i="12"/>
  <c r="Y2" i="12"/>
  <c r="Z2" i="12"/>
  <c r="AA2" i="12"/>
  <c r="AB2" i="12"/>
  <c r="AC2" i="12"/>
  <c r="AD2" i="12"/>
  <c r="AE2" i="12"/>
  <c r="AF2" i="12"/>
  <c r="AG2" i="12"/>
  <c r="B2" i="12"/>
  <c r="N12" i="5"/>
  <c r="N13" i="5"/>
  <c r="N11" i="5"/>
  <c r="N4" i="5"/>
  <c r="N5" i="5"/>
  <c r="N6" i="5"/>
  <c r="N7" i="5"/>
  <c r="N8" i="5"/>
  <c r="N3" i="5"/>
  <c r="N10" i="5"/>
  <c r="N9" i="5"/>
  <c r="N15" i="5"/>
  <c r="N16" i="5"/>
  <c r="N14" i="5"/>
  <c r="M15" i="5"/>
  <c r="M16" i="5"/>
  <c r="M14" i="5"/>
  <c r="M10" i="5"/>
  <c r="M9" i="5"/>
  <c r="M4" i="5"/>
  <c r="M5" i="5"/>
  <c r="M6" i="5"/>
  <c r="M7" i="5"/>
  <c r="M8" i="5"/>
  <c r="M11" i="5"/>
  <c r="M12" i="5"/>
  <c r="M13" i="5"/>
  <c r="M3" i="5"/>
  <c r="K4" i="5"/>
  <c r="K5" i="5"/>
  <c r="K6" i="5"/>
  <c r="K7" i="5"/>
  <c r="K8" i="5"/>
  <c r="K9" i="5"/>
  <c r="K10" i="5"/>
  <c r="K11" i="5"/>
  <c r="K12" i="5"/>
  <c r="K13" i="5"/>
  <c r="K14" i="5"/>
  <c r="K15" i="5"/>
  <c r="K16" i="5"/>
  <c r="K3" i="5"/>
  <c r="I4" i="5"/>
  <c r="I5" i="5"/>
  <c r="I6" i="5"/>
  <c r="I7" i="5"/>
  <c r="I8" i="5"/>
  <c r="I11" i="5"/>
  <c r="I12" i="5"/>
  <c r="I13" i="5"/>
  <c r="I3" i="5"/>
  <c r="H4" i="5"/>
  <c r="H5" i="5"/>
  <c r="H6" i="5"/>
  <c r="H7" i="5"/>
  <c r="H8" i="5"/>
  <c r="H11" i="5"/>
  <c r="H12" i="5"/>
  <c r="H13" i="5"/>
  <c r="H3" i="5"/>
  <c r="G11" i="5"/>
  <c r="G12" i="5"/>
  <c r="G13" i="5"/>
  <c r="G4" i="5"/>
  <c r="G5" i="5"/>
  <c r="G6" i="5"/>
  <c r="G7" i="5"/>
  <c r="G8" i="5"/>
  <c r="G3" i="5"/>
  <c r="F4" i="5"/>
  <c r="F5" i="5"/>
  <c r="F6" i="5"/>
  <c r="F7" i="5"/>
  <c r="F8" i="5"/>
  <c r="F11" i="5"/>
  <c r="F12" i="5"/>
  <c r="F13" i="5"/>
  <c r="F3" i="5"/>
  <c r="E7" i="5"/>
  <c r="E6" i="5"/>
  <c r="E13" i="5"/>
  <c r="E12" i="5"/>
  <c r="E11" i="5"/>
  <c r="E4" i="5"/>
  <c r="E3" i="5"/>
  <c r="E8" i="5"/>
  <c r="J35" i="18" l="1"/>
  <c r="I52" i="18"/>
  <c r="D26" i="16"/>
  <c r="D27" i="16" s="1"/>
  <c r="C27" i="16"/>
  <c r="D22" i="16"/>
  <c r="D31" i="16" s="1"/>
  <c r="K35" i="18" l="1"/>
  <c r="J52" i="18"/>
  <c r="L11" i="9"/>
  <c r="M11" i="9"/>
  <c r="AB11" i="9"/>
  <c r="AC11" i="9"/>
  <c r="K15" i="9"/>
  <c r="M15" i="9"/>
  <c r="AA15" i="9"/>
  <c r="AC15" i="9"/>
  <c r="R16" i="9"/>
  <c r="C15" i="9"/>
  <c r="C16" i="9"/>
  <c r="B3" i="9"/>
  <c r="D3" i="9" s="1"/>
  <c r="B4" i="9"/>
  <c r="G4" i="9" s="1"/>
  <c r="B5" i="9"/>
  <c r="K5" i="9" s="1"/>
  <c r="B6" i="9"/>
  <c r="F6" i="9" s="1"/>
  <c r="B7" i="9"/>
  <c r="F7" i="9" s="1"/>
  <c r="B8" i="9"/>
  <c r="E8" i="9" s="1"/>
  <c r="B9" i="9"/>
  <c r="H9" i="9" s="1"/>
  <c r="B10" i="9"/>
  <c r="K10" i="9" s="1"/>
  <c r="B11" i="9"/>
  <c r="F11" i="9" s="1"/>
  <c r="B12" i="9"/>
  <c r="G12" i="9" s="1"/>
  <c r="B13" i="9"/>
  <c r="J13" i="9" s="1"/>
  <c r="B14" i="9"/>
  <c r="E14" i="9" s="1"/>
  <c r="B15" i="9"/>
  <c r="H15" i="9" s="1"/>
  <c r="B16" i="9"/>
  <c r="K16" i="9" s="1"/>
  <c r="B17" i="9"/>
  <c r="F17" i="9" s="1"/>
  <c r="B2" i="9"/>
  <c r="D2" i="9" s="1"/>
  <c r="L35" i="18" l="1"/>
  <c r="K52" i="18"/>
  <c r="C12" i="9"/>
  <c r="AA12" i="9"/>
  <c r="AB12" i="9"/>
  <c r="U13" i="9"/>
  <c r="C13" i="9"/>
  <c r="Q13" i="9"/>
  <c r="X13" i="9"/>
  <c r="S14" i="9"/>
  <c r="L14" i="9"/>
  <c r="D8" i="9"/>
  <c r="E7" i="9"/>
  <c r="M17" i="9"/>
  <c r="N16" i="9"/>
  <c r="W15" i="9"/>
  <c r="G15" i="9"/>
  <c r="K14" i="9"/>
  <c r="V12" i="9"/>
  <c r="AA11" i="9"/>
  <c r="K11" i="9"/>
  <c r="AB8" i="9"/>
  <c r="V4" i="9"/>
  <c r="AC17" i="9"/>
  <c r="U17" i="9"/>
  <c r="J16" i="9"/>
  <c r="F15" i="9"/>
  <c r="D14" i="9"/>
  <c r="P13" i="9"/>
  <c r="T12" i="9"/>
  <c r="Y11" i="9"/>
  <c r="I11" i="9"/>
  <c r="AA8" i="9"/>
  <c r="N4" i="9"/>
  <c r="O9" i="9"/>
  <c r="V15" i="9"/>
  <c r="C9" i="9"/>
  <c r="AD16" i="9"/>
  <c r="I16" i="9"/>
  <c r="U15" i="9"/>
  <c r="E15" i="9"/>
  <c r="AF13" i="9"/>
  <c r="AF13" i="11" s="1"/>
  <c r="M13" i="9"/>
  <c r="L12" i="9"/>
  <c r="U11" i="9"/>
  <c r="E11" i="9"/>
  <c r="T8" i="9"/>
  <c r="AA3" i="9"/>
  <c r="Q16" i="9"/>
  <c r="G9" i="9"/>
  <c r="E17" i="9"/>
  <c r="C8" i="9"/>
  <c r="Z16" i="9"/>
  <c r="F16" i="9"/>
  <c r="S15" i="9"/>
  <c r="AB14" i="9"/>
  <c r="AE13" i="9"/>
  <c r="I13" i="9"/>
  <c r="K12" i="9"/>
  <c r="T11" i="9"/>
  <c r="D11" i="9"/>
  <c r="S8" i="9"/>
  <c r="S3" i="9"/>
  <c r="C4" i="9"/>
  <c r="Y16" i="9"/>
  <c r="AE15" i="9"/>
  <c r="O15" i="9"/>
  <c r="AA14" i="9"/>
  <c r="AC13" i="9"/>
  <c r="H13" i="9"/>
  <c r="F12" i="9"/>
  <c r="S11" i="9"/>
  <c r="AE9" i="9"/>
  <c r="L8" i="9"/>
  <c r="R3" i="9"/>
  <c r="C17" i="9"/>
  <c r="C3" i="9"/>
  <c r="V16" i="9"/>
  <c r="AD15" i="9"/>
  <c r="N15" i="9"/>
  <c r="T14" i="9"/>
  <c r="Y13" i="9"/>
  <c r="E13" i="9"/>
  <c r="D12" i="9"/>
  <c r="Q11" i="9"/>
  <c r="W9" i="9"/>
  <c r="K8" i="9"/>
  <c r="K3" i="9"/>
  <c r="J10" i="9"/>
  <c r="Z5" i="9"/>
  <c r="R5" i="9"/>
  <c r="C5" i="9"/>
  <c r="K17" i="9"/>
  <c r="P16" i="9"/>
  <c r="Z14" i="9"/>
  <c r="J14" i="9"/>
  <c r="W13" i="9"/>
  <c r="G13" i="9"/>
  <c r="AF10" i="9"/>
  <c r="X10" i="9"/>
  <c r="P10" i="9"/>
  <c r="H10" i="9"/>
  <c r="AC9" i="9"/>
  <c r="U9" i="9"/>
  <c r="M9" i="9"/>
  <c r="E9" i="9"/>
  <c r="Z8" i="9"/>
  <c r="R8" i="9"/>
  <c r="J8" i="9"/>
  <c r="AF5" i="9"/>
  <c r="X5" i="9"/>
  <c r="P5" i="9"/>
  <c r="H5" i="9"/>
  <c r="F4" i="9"/>
  <c r="Q3" i="9"/>
  <c r="Z10" i="9"/>
  <c r="T17" i="9"/>
  <c r="D17" i="9"/>
  <c r="Y10" i="9"/>
  <c r="Q10" i="9"/>
  <c r="I10" i="9"/>
  <c r="AD9" i="9"/>
  <c r="V9" i="9"/>
  <c r="N9" i="9"/>
  <c r="F9" i="9"/>
  <c r="Y5" i="9"/>
  <c r="Q5" i="9"/>
  <c r="I5" i="9"/>
  <c r="AA17" i="9"/>
  <c r="S17" i="9"/>
  <c r="AF16" i="9"/>
  <c r="AF16" i="11" s="1"/>
  <c r="X16" i="9"/>
  <c r="H16" i="9"/>
  <c r="R14" i="9"/>
  <c r="O13" i="9"/>
  <c r="C14" i="9"/>
  <c r="Z17" i="9"/>
  <c r="R17" i="9"/>
  <c r="J17" i="9"/>
  <c r="AE16" i="9"/>
  <c r="W16" i="9"/>
  <c r="O16" i="9"/>
  <c r="G16" i="9"/>
  <c r="AB15" i="9"/>
  <c r="T15" i="9"/>
  <c r="L15" i="9"/>
  <c r="D15" i="9"/>
  <c r="Y14" i="9"/>
  <c r="Q14" i="9"/>
  <c r="I14" i="9"/>
  <c r="AD13" i="9"/>
  <c r="V13" i="9"/>
  <c r="N13" i="9"/>
  <c r="F13" i="9"/>
  <c r="U12" i="9"/>
  <c r="E12" i="9"/>
  <c r="Z11" i="9"/>
  <c r="R11" i="9"/>
  <c r="J11" i="9"/>
  <c r="AE10" i="9"/>
  <c r="W10" i="9"/>
  <c r="O10" i="9"/>
  <c r="G10" i="9"/>
  <c r="AB9" i="9"/>
  <c r="T9" i="9"/>
  <c r="L9" i="9"/>
  <c r="D9" i="9"/>
  <c r="Y8" i="9"/>
  <c r="Q8" i="9"/>
  <c r="I8" i="9"/>
  <c r="AE5" i="9"/>
  <c r="W5" i="9"/>
  <c r="O5" i="9"/>
  <c r="G5" i="9"/>
  <c r="AF3" i="9"/>
  <c r="AF3" i="11" s="1"/>
  <c r="P3" i="9"/>
  <c r="J5" i="9"/>
  <c r="Q17" i="9"/>
  <c r="AF14" i="9"/>
  <c r="AF14" i="11" s="1"/>
  <c r="P14" i="9"/>
  <c r="V10" i="9"/>
  <c r="F10" i="9"/>
  <c r="S9" i="9"/>
  <c r="X8" i="9"/>
  <c r="X17" i="9"/>
  <c r="AC16" i="9"/>
  <c r="M16" i="9"/>
  <c r="Z15" i="9"/>
  <c r="J15" i="9"/>
  <c r="AE14" i="9"/>
  <c r="W14" i="9"/>
  <c r="O14" i="9"/>
  <c r="G14" i="9"/>
  <c r="AB13" i="9"/>
  <c r="T13" i="9"/>
  <c r="L13" i="9"/>
  <c r="D13" i="9"/>
  <c r="S12" i="9"/>
  <c r="AF11" i="9"/>
  <c r="X11" i="9"/>
  <c r="P11" i="9"/>
  <c r="H11" i="9"/>
  <c r="AC10" i="9"/>
  <c r="U10" i="9"/>
  <c r="M10" i="9"/>
  <c r="E10" i="9"/>
  <c r="Z9" i="9"/>
  <c r="R9" i="9"/>
  <c r="J9" i="9"/>
  <c r="AE8" i="9"/>
  <c r="W8" i="9"/>
  <c r="O8" i="9"/>
  <c r="G8" i="9"/>
  <c r="AC5" i="9"/>
  <c r="U5" i="9"/>
  <c r="M5" i="9"/>
  <c r="E5" i="9"/>
  <c r="Z3" i="9"/>
  <c r="J3" i="9"/>
  <c r="R10" i="9"/>
  <c r="AB17" i="9"/>
  <c r="L17" i="9"/>
  <c r="Y17" i="9"/>
  <c r="I17" i="9"/>
  <c r="X14" i="9"/>
  <c r="H14" i="9"/>
  <c r="AD10" i="9"/>
  <c r="N10" i="9"/>
  <c r="AA9" i="9"/>
  <c r="K9" i="9"/>
  <c r="AF8" i="9"/>
  <c r="AF8" i="11" s="1"/>
  <c r="P8" i="9"/>
  <c r="H8" i="9"/>
  <c r="AD5" i="9"/>
  <c r="V5" i="9"/>
  <c r="N5" i="9"/>
  <c r="F5" i="9"/>
  <c r="AF17" i="9"/>
  <c r="H17" i="9"/>
  <c r="U16" i="9"/>
  <c r="R15" i="9"/>
  <c r="C11" i="9"/>
  <c r="AE17" i="9"/>
  <c r="W17" i="9"/>
  <c r="O17" i="9"/>
  <c r="G17" i="9"/>
  <c r="AB16" i="9"/>
  <c r="T16" i="9"/>
  <c r="L16" i="9"/>
  <c r="D16" i="9"/>
  <c r="Y15" i="9"/>
  <c r="Q15" i="9"/>
  <c r="I15" i="9"/>
  <c r="AD14" i="9"/>
  <c r="V14" i="9"/>
  <c r="N14" i="9"/>
  <c r="F14" i="9"/>
  <c r="AA13" i="9"/>
  <c r="S13" i="9"/>
  <c r="K13" i="9"/>
  <c r="AD12" i="9"/>
  <c r="N12" i="9"/>
  <c r="AE11" i="9"/>
  <c r="W11" i="9"/>
  <c r="O11" i="9"/>
  <c r="G11" i="9"/>
  <c r="AB10" i="9"/>
  <c r="T10" i="9"/>
  <c r="L10" i="9"/>
  <c r="D10" i="9"/>
  <c r="Y9" i="9"/>
  <c r="Q9" i="9"/>
  <c r="I9" i="9"/>
  <c r="AD8" i="9"/>
  <c r="V8" i="9"/>
  <c r="N8" i="9"/>
  <c r="F8" i="9"/>
  <c r="AB5" i="9"/>
  <c r="T5" i="9"/>
  <c r="L5" i="9"/>
  <c r="D5" i="9"/>
  <c r="Y3" i="9"/>
  <c r="I3" i="9"/>
  <c r="P17" i="9"/>
  <c r="E16" i="9"/>
  <c r="C10" i="9"/>
  <c r="AD17" i="9"/>
  <c r="V17" i="9"/>
  <c r="N17" i="9"/>
  <c r="AA16" i="9"/>
  <c r="S16" i="9"/>
  <c r="AF15" i="9"/>
  <c r="AF15" i="11" s="1"/>
  <c r="X15" i="9"/>
  <c r="P15" i="9"/>
  <c r="AC14" i="9"/>
  <c r="U14" i="9"/>
  <c r="M14" i="9"/>
  <c r="Z13" i="9"/>
  <c r="R13" i="9"/>
  <c r="AC12" i="9"/>
  <c r="M12" i="9"/>
  <c r="AD11" i="9"/>
  <c r="V11" i="9"/>
  <c r="N11" i="9"/>
  <c r="AA10" i="9"/>
  <c r="S10" i="9"/>
  <c r="AF9" i="9"/>
  <c r="AF9" i="11" s="1"/>
  <c r="X9" i="9"/>
  <c r="P9" i="9"/>
  <c r="AC8" i="9"/>
  <c r="U8" i="9"/>
  <c r="M8" i="9"/>
  <c r="AA5" i="9"/>
  <c r="S5" i="9"/>
  <c r="AD4" i="9"/>
  <c r="X3" i="9"/>
  <c r="H3" i="9"/>
  <c r="D7" i="9"/>
  <c r="C7" i="9"/>
  <c r="AC7" i="9"/>
  <c r="U7" i="9"/>
  <c r="T7" i="9"/>
  <c r="R7" i="9"/>
  <c r="S7" i="9"/>
  <c r="L7" i="9"/>
  <c r="AB7" i="9"/>
  <c r="Q7" i="9"/>
  <c r="AA7" i="9"/>
  <c r="M7" i="9"/>
  <c r="Z7" i="9"/>
  <c r="Y7" i="9"/>
  <c r="K7" i="9"/>
  <c r="J7" i="9"/>
  <c r="I7" i="9"/>
  <c r="AF7" i="9"/>
  <c r="AF7" i="11" s="1"/>
  <c r="X7" i="9"/>
  <c r="P7" i="9"/>
  <c r="H7" i="9"/>
  <c r="AE7" i="9"/>
  <c r="W7" i="9"/>
  <c r="O7" i="9"/>
  <c r="G7" i="9"/>
  <c r="AD7" i="9"/>
  <c r="V7" i="9"/>
  <c r="N7" i="9"/>
  <c r="E6" i="9"/>
  <c r="D6" i="9"/>
  <c r="K6" i="9"/>
  <c r="J6" i="9"/>
  <c r="I6" i="9"/>
  <c r="U6" i="9"/>
  <c r="AB6" i="9"/>
  <c r="Y6" i="9"/>
  <c r="AF6" i="9"/>
  <c r="AF6" i="11" s="1"/>
  <c r="X6" i="9"/>
  <c r="P6" i="9"/>
  <c r="H6" i="9"/>
  <c r="T6" i="9"/>
  <c r="AA6" i="9"/>
  <c r="Z6" i="9"/>
  <c r="AE6" i="9"/>
  <c r="W6" i="9"/>
  <c r="O6" i="9"/>
  <c r="G6" i="9"/>
  <c r="C6" i="9"/>
  <c r="AC6" i="9"/>
  <c r="M6" i="9"/>
  <c r="L6" i="9"/>
  <c r="S6" i="9"/>
  <c r="R6" i="9"/>
  <c r="Q6" i="9"/>
  <c r="AD6" i="9"/>
  <c r="V6" i="9"/>
  <c r="N6" i="9"/>
  <c r="U4" i="9"/>
  <c r="E4" i="9"/>
  <c r="AB4" i="9"/>
  <c r="D4" i="9"/>
  <c r="AA4" i="9"/>
  <c r="R4" i="9"/>
  <c r="I4" i="9"/>
  <c r="AC4" i="9"/>
  <c r="M4" i="9"/>
  <c r="L4" i="9"/>
  <c r="K4" i="9"/>
  <c r="J4" i="9"/>
  <c r="Y4" i="9"/>
  <c r="AF4" i="9"/>
  <c r="AF4" i="11" s="1"/>
  <c r="X4" i="9"/>
  <c r="P4" i="9"/>
  <c r="H4" i="9"/>
  <c r="T4" i="9"/>
  <c r="S4" i="9"/>
  <c r="Z4" i="9"/>
  <c r="Q4" i="9"/>
  <c r="AE4" i="9"/>
  <c r="W4" i="9"/>
  <c r="O4" i="9"/>
  <c r="R12" i="9"/>
  <c r="Y12" i="9"/>
  <c r="Q12" i="9"/>
  <c r="I12" i="9"/>
  <c r="J12" i="9"/>
  <c r="H12" i="9"/>
  <c r="Z12" i="9"/>
  <c r="AF12" i="9"/>
  <c r="AF12" i="11" s="1"/>
  <c r="X12" i="9"/>
  <c r="P12" i="9"/>
  <c r="AE12" i="9"/>
  <c r="W12" i="9"/>
  <c r="O12" i="9"/>
  <c r="AE3" i="9"/>
  <c r="W3" i="9"/>
  <c r="O3" i="9"/>
  <c r="G3" i="9"/>
  <c r="AD3" i="9"/>
  <c r="F3" i="9"/>
  <c r="AC3" i="9"/>
  <c r="U3" i="9"/>
  <c r="M3" i="9"/>
  <c r="E3" i="9"/>
  <c r="V3" i="9"/>
  <c r="N3" i="9"/>
  <c r="AB3" i="9"/>
  <c r="T3" i="9"/>
  <c r="L3" i="9"/>
  <c r="S2" i="9"/>
  <c r="Z2" i="9"/>
  <c r="Y2" i="9"/>
  <c r="AF2" i="9"/>
  <c r="AF2" i="11" s="1"/>
  <c r="X2" i="9"/>
  <c r="W2" i="9"/>
  <c r="AD2" i="9"/>
  <c r="F2" i="9"/>
  <c r="C2" i="9"/>
  <c r="K2" i="9"/>
  <c r="J2" i="9"/>
  <c r="I2" i="9"/>
  <c r="H2" i="9"/>
  <c r="AE2" i="9"/>
  <c r="G2" i="9"/>
  <c r="N2" i="9"/>
  <c r="AC2" i="9"/>
  <c r="U2" i="9"/>
  <c r="M2" i="9"/>
  <c r="E2" i="9"/>
  <c r="AA2" i="9"/>
  <c r="R2" i="9"/>
  <c r="Q2" i="9"/>
  <c r="P2" i="9"/>
  <c r="O2" i="9"/>
  <c r="V2" i="9"/>
  <c r="AB2" i="9"/>
  <c r="T2" i="9"/>
  <c r="L2" i="9"/>
  <c r="AF5" i="11"/>
  <c r="AF10" i="11"/>
  <c r="AF11" i="11"/>
  <c r="AF17" i="11"/>
  <c r="AF2" i="10"/>
  <c r="AF3" i="10"/>
  <c r="AF4" i="10"/>
  <c r="AF5" i="10"/>
  <c r="AF6" i="10"/>
  <c r="AF7" i="10"/>
  <c r="AF8" i="10"/>
  <c r="AF9" i="10"/>
  <c r="AF10" i="10"/>
  <c r="AF11" i="10"/>
  <c r="AF12" i="10"/>
  <c r="AF13" i="10"/>
  <c r="AF14" i="10"/>
  <c r="AF15" i="10"/>
  <c r="AF16" i="10"/>
  <c r="AF17" i="10"/>
  <c r="M35" i="18" l="1"/>
  <c r="L52" i="18"/>
  <c r="C3" i="16"/>
  <c r="D3" i="16" s="1"/>
  <c r="C4" i="16"/>
  <c r="D4" i="16" s="1"/>
  <c r="C5" i="16"/>
  <c r="D5" i="16" s="1"/>
  <c r="C6" i="16"/>
  <c r="D6" i="16" s="1"/>
  <c r="C7" i="16"/>
  <c r="D7" i="16" s="1"/>
  <c r="C8" i="16"/>
  <c r="D8" i="16" s="1"/>
  <c r="C9" i="16"/>
  <c r="D9" i="16"/>
  <c r="C10" i="16"/>
  <c r="D10" i="16" s="1"/>
  <c r="C11" i="16"/>
  <c r="D11" i="16" s="1"/>
  <c r="C13" i="16"/>
  <c r="D13" i="16"/>
  <c r="C14" i="16"/>
  <c r="D14" i="16" s="1"/>
  <c r="C15" i="16"/>
  <c r="D15" i="16" s="1"/>
  <c r="C16" i="16"/>
  <c r="D16" i="16"/>
  <c r="C2" i="16"/>
  <c r="N35" i="18" l="1"/>
  <c r="M52" i="18"/>
  <c r="D2" i="16"/>
  <c r="O35" i="18" l="1"/>
  <c r="N52" i="18"/>
  <c r="AH13" i="3"/>
  <c r="AI13" i="3"/>
  <c r="AJ13" i="3"/>
  <c r="AK13" i="3"/>
  <c r="AL13" i="3"/>
  <c r="AM13" i="3"/>
  <c r="AN13" i="3"/>
  <c r="AO13" i="3"/>
  <c r="AP13" i="3"/>
  <c r="AQ13" i="3"/>
  <c r="AR13" i="3"/>
  <c r="AS13" i="3"/>
  <c r="AT13" i="3"/>
  <c r="AU13" i="3"/>
  <c r="AV13" i="3"/>
  <c r="AW13" i="3"/>
  <c r="AX13" i="3"/>
  <c r="AY13" i="3"/>
  <c r="AZ13" i="3"/>
  <c r="BA13" i="3"/>
  <c r="AG13" i="3"/>
  <c r="P35" i="18" l="1"/>
  <c r="O52" i="18"/>
  <c r="AK3" i="4"/>
  <c r="AL3" i="4"/>
  <c r="AM3" i="4"/>
  <c r="AN3" i="4"/>
  <c r="AO3" i="4"/>
  <c r="AP3" i="4"/>
  <c r="AQ3" i="4"/>
  <c r="AR3" i="4"/>
  <c r="AS3" i="4"/>
  <c r="AT3" i="4"/>
  <c r="AU3" i="4"/>
  <c r="AV3" i="4"/>
  <c r="AW3" i="4"/>
  <c r="AX3" i="4"/>
  <c r="AY3" i="4"/>
  <c r="AZ3" i="4"/>
  <c r="BA3" i="4"/>
  <c r="BB3" i="4"/>
  <c r="BC3" i="4"/>
  <c r="AJ3" i="4"/>
  <c r="Q35" i="18" l="1"/>
  <c r="P52" i="18"/>
  <c r="C12" i="16"/>
  <c r="D12" i="16" s="1"/>
  <c r="L4" i="8"/>
  <c r="AF4" i="8"/>
  <c r="AF5" i="8"/>
  <c r="AF6" i="8"/>
  <c r="AF14" i="8"/>
  <c r="AF17" i="8"/>
  <c r="AF9" i="8"/>
  <c r="AF11" i="8"/>
  <c r="AF2" i="8"/>
  <c r="AE17" i="10"/>
  <c r="AD17" i="10"/>
  <c r="AC17" i="10"/>
  <c r="AB17" i="10"/>
  <c r="AA17" i="10"/>
  <c r="Z17" i="10"/>
  <c r="Y17" i="10"/>
  <c r="X17" i="10"/>
  <c r="W17" i="10"/>
  <c r="V17" i="10"/>
  <c r="U17" i="10"/>
  <c r="T17" i="10"/>
  <c r="S17" i="10"/>
  <c r="R17" i="10"/>
  <c r="Q17" i="10"/>
  <c r="P17" i="10"/>
  <c r="O17" i="10"/>
  <c r="N17" i="10"/>
  <c r="M17" i="10"/>
  <c r="L17" i="10"/>
  <c r="K17" i="10"/>
  <c r="J17" i="10"/>
  <c r="I17" i="10"/>
  <c r="H17" i="10"/>
  <c r="G17" i="10"/>
  <c r="F17" i="10"/>
  <c r="E17" i="10"/>
  <c r="D17" i="10"/>
  <c r="C17" i="10"/>
  <c r="AE16" i="10"/>
  <c r="AD16" i="10"/>
  <c r="AC16" i="10"/>
  <c r="AB16" i="10"/>
  <c r="AA16" i="10"/>
  <c r="Z16" i="10"/>
  <c r="Y16" i="10"/>
  <c r="X16" i="10"/>
  <c r="W16" i="10"/>
  <c r="V16" i="10"/>
  <c r="U16" i="10"/>
  <c r="T16" i="10"/>
  <c r="S16" i="10"/>
  <c r="R16" i="10"/>
  <c r="Q16" i="10"/>
  <c r="P16" i="10"/>
  <c r="O16" i="10"/>
  <c r="N16" i="10"/>
  <c r="M16" i="10"/>
  <c r="L16" i="10"/>
  <c r="K16" i="10"/>
  <c r="J16" i="10"/>
  <c r="I16" i="10"/>
  <c r="H16" i="10"/>
  <c r="G16" i="10"/>
  <c r="F16" i="10"/>
  <c r="E16" i="10"/>
  <c r="D16" i="10"/>
  <c r="C16" i="10"/>
  <c r="AE15" i="10"/>
  <c r="AD15" i="10"/>
  <c r="AC15" i="10"/>
  <c r="AB15" i="10"/>
  <c r="AA15" i="10"/>
  <c r="Z15" i="10"/>
  <c r="Y15" i="10"/>
  <c r="X15" i="10"/>
  <c r="W15" i="10"/>
  <c r="V15" i="10"/>
  <c r="U15" i="10"/>
  <c r="T15" i="10"/>
  <c r="S15" i="10"/>
  <c r="R15" i="10"/>
  <c r="Q15" i="10"/>
  <c r="P15" i="10"/>
  <c r="O15" i="10"/>
  <c r="N15" i="10"/>
  <c r="M15" i="10"/>
  <c r="L15" i="10"/>
  <c r="K15" i="10"/>
  <c r="J15" i="10"/>
  <c r="I15" i="10"/>
  <c r="H15" i="10"/>
  <c r="G15" i="10"/>
  <c r="F15" i="10"/>
  <c r="E15" i="10"/>
  <c r="D15" i="10"/>
  <c r="C15" i="10"/>
  <c r="AE14" i="10"/>
  <c r="AD14" i="10"/>
  <c r="AC14" i="10"/>
  <c r="AB14" i="10"/>
  <c r="AA14" i="10"/>
  <c r="Z14" i="10"/>
  <c r="Y14" i="10"/>
  <c r="X14" i="10"/>
  <c r="W14" i="10"/>
  <c r="V14" i="10"/>
  <c r="U14" i="10"/>
  <c r="T14" i="10"/>
  <c r="S14" i="10"/>
  <c r="R14" i="10"/>
  <c r="Q14" i="10"/>
  <c r="P14" i="10"/>
  <c r="O14" i="10"/>
  <c r="N14" i="10"/>
  <c r="M14" i="10"/>
  <c r="L14" i="10"/>
  <c r="K14" i="10"/>
  <c r="J14" i="10"/>
  <c r="I14" i="10"/>
  <c r="H14" i="10"/>
  <c r="G14" i="10"/>
  <c r="F14" i="10"/>
  <c r="E14" i="10"/>
  <c r="D14" i="10"/>
  <c r="C14" i="10"/>
  <c r="AE13" i="10"/>
  <c r="AD13" i="10"/>
  <c r="AC13" i="10"/>
  <c r="AB13" i="10"/>
  <c r="AA13" i="10"/>
  <c r="Z13" i="10"/>
  <c r="Y13" i="10"/>
  <c r="X13" i="10"/>
  <c r="W13" i="10"/>
  <c r="V13" i="10"/>
  <c r="U13" i="10"/>
  <c r="T13" i="10"/>
  <c r="S13" i="10"/>
  <c r="R13" i="10"/>
  <c r="Q13" i="10"/>
  <c r="P13" i="10"/>
  <c r="O13" i="10"/>
  <c r="N13" i="10"/>
  <c r="M13" i="10"/>
  <c r="L13" i="10"/>
  <c r="K13" i="10"/>
  <c r="J13" i="10"/>
  <c r="I13" i="10"/>
  <c r="H13" i="10"/>
  <c r="G13" i="10"/>
  <c r="F13" i="10"/>
  <c r="E13" i="10"/>
  <c r="D13" i="10"/>
  <c r="C13" i="10"/>
  <c r="AE12" i="10"/>
  <c r="AD12" i="10"/>
  <c r="AC12" i="10"/>
  <c r="AB12" i="10"/>
  <c r="AA12" i="10"/>
  <c r="Z12" i="10"/>
  <c r="Y12" i="10"/>
  <c r="X12" i="10"/>
  <c r="W12" i="10"/>
  <c r="V12" i="10"/>
  <c r="U12" i="10"/>
  <c r="T12" i="10"/>
  <c r="S12" i="10"/>
  <c r="R12" i="10"/>
  <c r="Q12" i="10"/>
  <c r="P12" i="10"/>
  <c r="O12" i="10"/>
  <c r="N12" i="10"/>
  <c r="M12" i="10"/>
  <c r="L12" i="10"/>
  <c r="K12" i="10"/>
  <c r="J12" i="10"/>
  <c r="I12" i="10"/>
  <c r="H12" i="10"/>
  <c r="G12" i="10"/>
  <c r="F12" i="10"/>
  <c r="E12" i="10"/>
  <c r="D12" i="10"/>
  <c r="C12" i="10"/>
  <c r="AE11" i="10"/>
  <c r="AD11" i="10"/>
  <c r="AC11" i="10"/>
  <c r="AB11" i="10"/>
  <c r="AA11" i="10"/>
  <c r="Z11" i="10"/>
  <c r="Y11" i="10"/>
  <c r="X11" i="10"/>
  <c r="W11" i="10"/>
  <c r="V11" i="10"/>
  <c r="U11" i="10"/>
  <c r="T11" i="10"/>
  <c r="S11" i="10"/>
  <c r="R11" i="10"/>
  <c r="Q11" i="10"/>
  <c r="P11" i="10"/>
  <c r="O11" i="10"/>
  <c r="N11" i="10"/>
  <c r="M11" i="10"/>
  <c r="L11" i="10"/>
  <c r="K11" i="10"/>
  <c r="J11" i="10"/>
  <c r="I11" i="10"/>
  <c r="H11" i="10"/>
  <c r="G11" i="10"/>
  <c r="F11" i="10"/>
  <c r="E11" i="10"/>
  <c r="D11" i="10"/>
  <c r="C11" i="10"/>
  <c r="AE10" i="10"/>
  <c r="AD10" i="10"/>
  <c r="AC10" i="10"/>
  <c r="AB10" i="10"/>
  <c r="AA10" i="10"/>
  <c r="Z10" i="10"/>
  <c r="Y10" i="10"/>
  <c r="X10" i="10"/>
  <c r="W10" i="10"/>
  <c r="V10" i="10"/>
  <c r="U10" i="10"/>
  <c r="T10" i="10"/>
  <c r="S10" i="10"/>
  <c r="R10" i="10"/>
  <c r="Q10" i="10"/>
  <c r="P10" i="10"/>
  <c r="O10" i="10"/>
  <c r="N10" i="10"/>
  <c r="M10" i="10"/>
  <c r="L10" i="10"/>
  <c r="K10" i="10"/>
  <c r="J10" i="10"/>
  <c r="I10" i="10"/>
  <c r="H10" i="10"/>
  <c r="G10" i="10"/>
  <c r="F10" i="10"/>
  <c r="E10" i="10"/>
  <c r="D10" i="10"/>
  <c r="C10"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AE8" i="10"/>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AE3" i="10"/>
  <c r="AD3" i="10"/>
  <c r="AC3" i="10"/>
  <c r="AB3" i="10"/>
  <c r="AA3" i="10"/>
  <c r="Z3" i="10"/>
  <c r="Y3" i="10"/>
  <c r="X3" i="10"/>
  <c r="W3" i="10"/>
  <c r="V3" i="10"/>
  <c r="U3" i="10"/>
  <c r="T3" i="10"/>
  <c r="S3" i="10"/>
  <c r="R3" i="10"/>
  <c r="Q3" i="10"/>
  <c r="P3" i="10"/>
  <c r="O3" i="10"/>
  <c r="N3" i="10"/>
  <c r="M3" i="10"/>
  <c r="L3" i="10"/>
  <c r="K3" i="10"/>
  <c r="J3" i="10"/>
  <c r="I3" i="10"/>
  <c r="H3" i="10"/>
  <c r="G3" i="10"/>
  <c r="F3" i="10"/>
  <c r="E3" i="10"/>
  <c r="D3" i="10"/>
  <c r="C3" i="10"/>
  <c r="AE2" i="10"/>
  <c r="AD2" i="10"/>
  <c r="AC2" i="10"/>
  <c r="AB2" i="10"/>
  <c r="AA2" i="10"/>
  <c r="Z2" i="10"/>
  <c r="Y2" i="10"/>
  <c r="X2" i="10"/>
  <c r="W2" i="10"/>
  <c r="V2" i="10"/>
  <c r="U2" i="10"/>
  <c r="T2" i="10"/>
  <c r="S2" i="10"/>
  <c r="R2" i="10"/>
  <c r="Q2" i="10"/>
  <c r="P2" i="10"/>
  <c r="O2" i="10"/>
  <c r="N2" i="10"/>
  <c r="M2" i="10"/>
  <c r="L2" i="10"/>
  <c r="K2" i="10"/>
  <c r="J2" i="10"/>
  <c r="I2" i="10"/>
  <c r="H2" i="10"/>
  <c r="G2" i="10"/>
  <c r="F2" i="10"/>
  <c r="E2" i="10"/>
  <c r="D2" i="10"/>
  <c r="C2" i="10"/>
  <c r="B8" i="3"/>
  <c r="B7" i="3"/>
  <c r="R35" i="18" l="1"/>
  <c r="Q52" i="18"/>
  <c r="B17" i="8"/>
  <c r="K17" i="8"/>
  <c r="U16" i="8"/>
  <c r="P6" i="8"/>
  <c r="K2" i="8"/>
  <c r="S3" i="8"/>
  <c r="L2" i="8"/>
  <c r="X3" i="11"/>
  <c r="E17" i="11"/>
  <c r="H15" i="11"/>
  <c r="J13" i="11"/>
  <c r="J9" i="11"/>
  <c r="G7" i="11"/>
  <c r="B13" i="11"/>
  <c r="B9" i="11"/>
  <c r="B5" i="11"/>
  <c r="U8" i="11"/>
  <c r="AA12" i="11"/>
  <c r="X6" i="11"/>
  <c r="E10" i="11"/>
  <c r="C5" i="8"/>
  <c r="B12" i="11"/>
  <c r="B10" i="11"/>
  <c r="B8" i="11"/>
  <c r="B6" i="11"/>
  <c r="B4" i="11"/>
  <c r="AE7" i="11"/>
  <c r="G14" i="8"/>
  <c r="T11" i="8"/>
  <c r="C4" i="8"/>
  <c r="N16" i="8"/>
  <c r="AF16" i="8"/>
  <c r="C6" i="8"/>
  <c r="B6" i="8"/>
  <c r="D6" i="8"/>
  <c r="B7" i="8"/>
  <c r="D10" i="8"/>
  <c r="W14" i="8"/>
  <c r="U6" i="8"/>
  <c r="L6" i="8"/>
  <c r="S6" i="8"/>
  <c r="AB6" i="8"/>
  <c r="T6" i="8"/>
  <c r="AD6" i="8"/>
  <c r="Q6" i="8"/>
  <c r="Z6" i="8"/>
  <c r="X6" i="8"/>
  <c r="AA6" i="8"/>
  <c r="Y6" i="8"/>
  <c r="N6" i="8"/>
  <c r="O6" i="8"/>
  <c r="AE6" i="8"/>
  <c r="M6" i="8"/>
  <c r="R6" i="8"/>
  <c r="V6" i="8"/>
  <c r="W6" i="8"/>
  <c r="M10" i="8"/>
  <c r="L10" i="8"/>
  <c r="N10" i="8"/>
  <c r="O10" i="8"/>
  <c r="P10" i="8"/>
  <c r="Q10" i="8"/>
  <c r="L5" i="8"/>
  <c r="O5" i="8"/>
  <c r="W5" i="8"/>
  <c r="AE5" i="8"/>
  <c r="P5" i="8"/>
  <c r="S5" i="8"/>
  <c r="AB5" i="8"/>
  <c r="T5" i="8"/>
  <c r="Q5" i="8"/>
  <c r="Z5" i="8"/>
  <c r="AA5" i="8"/>
  <c r="AD5" i="8"/>
  <c r="N5" i="8"/>
  <c r="M5" i="8"/>
  <c r="R5" i="8"/>
  <c r="U5" i="8"/>
  <c r="V5" i="8"/>
  <c r="X5" i="8"/>
  <c r="Y5" i="8"/>
  <c r="L17" i="8"/>
  <c r="U17" i="8"/>
  <c r="N17" i="8"/>
  <c r="T17" i="8"/>
  <c r="AD17" i="8"/>
  <c r="V17" i="8"/>
  <c r="AE17" i="8"/>
  <c r="W17" i="8"/>
  <c r="O17" i="8"/>
  <c r="X17" i="8"/>
  <c r="P17" i="8"/>
  <c r="Y17" i="8"/>
  <c r="M17" i="8"/>
  <c r="Q17" i="8"/>
  <c r="Z17" i="8"/>
  <c r="R17" i="8"/>
  <c r="AA17" i="8"/>
  <c r="S17" i="8"/>
  <c r="AB17" i="8"/>
  <c r="Y13" i="11"/>
  <c r="L13" i="11"/>
  <c r="X12" i="11"/>
  <c r="P12" i="11"/>
  <c r="Z12" i="11"/>
  <c r="N12" i="11"/>
  <c r="V12" i="11"/>
  <c r="U12" i="11"/>
  <c r="R12" i="11"/>
  <c r="O12" i="11"/>
  <c r="L5" i="11"/>
  <c r="AA5" i="11"/>
  <c r="N5" i="11"/>
  <c r="S5" i="11"/>
  <c r="W5" i="11"/>
  <c r="L10" i="11"/>
  <c r="Z10" i="11"/>
  <c r="N10" i="11"/>
  <c r="AE10" i="11"/>
  <c r="AB10" i="11"/>
  <c r="W10" i="11"/>
  <c r="E10" i="8"/>
  <c r="G10" i="8"/>
  <c r="H10" i="8"/>
  <c r="I10" i="8"/>
  <c r="J10" i="8"/>
  <c r="F10" i="8"/>
  <c r="K10" i="8"/>
  <c r="H17" i="8"/>
  <c r="E17" i="8"/>
  <c r="J17" i="8"/>
  <c r="F17" i="8"/>
  <c r="I17" i="8"/>
  <c r="E13" i="11"/>
  <c r="I13" i="11"/>
  <c r="H13" i="11"/>
  <c r="F5" i="11"/>
  <c r="H5" i="11"/>
  <c r="G5" i="11"/>
  <c r="E5" i="11"/>
  <c r="J5" i="11"/>
  <c r="K5" i="11"/>
  <c r="I5" i="11"/>
  <c r="N15" i="11"/>
  <c r="K6" i="8"/>
  <c r="B15" i="8"/>
  <c r="B16" i="11"/>
  <c r="C9" i="8"/>
  <c r="D9" i="8"/>
  <c r="B9" i="8"/>
  <c r="D14" i="8"/>
  <c r="B14" i="8"/>
  <c r="C14" i="8"/>
  <c r="C3" i="11"/>
  <c r="B3" i="11"/>
  <c r="D3" i="11"/>
  <c r="H5" i="8"/>
  <c r="K9" i="8"/>
  <c r="F9" i="8"/>
  <c r="E9" i="8"/>
  <c r="H9" i="8"/>
  <c r="I9" i="8"/>
  <c r="J9" i="8"/>
  <c r="G9" i="8"/>
  <c r="O9" i="8"/>
  <c r="W9" i="8"/>
  <c r="AE9" i="8"/>
  <c r="T9" i="8"/>
  <c r="U9" i="8"/>
  <c r="AD9" i="8"/>
  <c r="R9" i="8"/>
  <c r="AA9" i="8"/>
  <c r="N9" i="8"/>
  <c r="AB9" i="8"/>
  <c r="P9" i="8"/>
  <c r="S9" i="8"/>
  <c r="V9" i="8"/>
  <c r="X9" i="8"/>
  <c r="Y9" i="8"/>
  <c r="M9" i="8"/>
  <c r="Q9" i="8"/>
  <c r="L9" i="8"/>
  <c r="Z9" i="8"/>
  <c r="E3" i="11"/>
  <c r="I3" i="11"/>
  <c r="H3" i="11"/>
  <c r="G3" i="11"/>
  <c r="L9" i="11"/>
  <c r="T9" i="11"/>
  <c r="Y9" i="11"/>
  <c r="Q9" i="11"/>
  <c r="AE9" i="11"/>
  <c r="R9" i="11"/>
  <c r="O9" i="11"/>
  <c r="N9" i="11"/>
  <c r="AA9" i="11"/>
  <c r="Z9" i="11"/>
  <c r="X9" i="11"/>
  <c r="L17" i="11"/>
  <c r="T17" i="11"/>
  <c r="O17" i="11"/>
  <c r="C17" i="8"/>
  <c r="H7" i="11"/>
  <c r="B2" i="11"/>
  <c r="D2" i="11"/>
  <c r="I5" i="8"/>
  <c r="M11" i="8"/>
  <c r="X14" i="8"/>
  <c r="F15" i="11"/>
  <c r="M15" i="11"/>
  <c r="AD15" i="11"/>
  <c r="L11" i="8"/>
  <c r="S11" i="8"/>
  <c r="AA11" i="8"/>
  <c r="U11" i="8"/>
  <c r="AD11" i="8"/>
  <c r="V11" i="8"/>
  <c r="AE11" i="8"/>
  <c r="R11" i="8"/>
  <c r="AB11" i="8"/>
  <c r="AB3" i="11"/>
  <c r="T3" i="11"/>
  <c r="AA3" i="11"/>
  <c r="S3" i="11"/>
  <c r="L3" i="11"/>
  <c r="N3" i="11"/>
  <c r="M3" i="11"/>
  <c r="Z3" i="11"/>
  <c r="P3" i="11"/>
  <c r="K16" i="8"/>
  <c r="P16" i="8"/>
  <c r="X16" i="8"/>
  <c r="B10" i="8"/>
  <c r="P8" i="11"/>
  <c r="L8" i="11"/>
  <c r="AB8" i="11"/>
  <c r="T8" i="11"/>
  <c r="M8" i="11"/>
  <c r="D17" i="8"/>
  <c r="Q11" i="8"/>
  <c r="G15" i="11"/>
  <c r="AD3" i="11"/>
  <c r="V8" i="11"/>
  <c r="E7" i="11"/>
  <c r="D5" i="8"/>
  <c r="L14" i="8"/>
  <c r="S14" i="8"/>
  <c r="AA14" i="8"/>
  <c r="T14" i="8"/>
  <c r="AB14" i="8"/>
  <c r="Q14" i="8"/>
  <c r="Y14" i="8"/>
  <c r="AF3" i="8"/>
  <c r="AA15" i="11"/>
  <c r="S15" i="11"/>
  <c r="Z15" i="11"/>
  <c r="R15" i="11"/>
  <c r="AE15" i="11"/>
  <c r="W15" i="11"/>
  <c r="O15" i="11"/>
  <c r="U15" i="11"/>
  <c r="T15" i="11"/>
  <c r="X15" i="11"/>
  <c r="AA7" i="11"/>
  <c r="S7" i="11"/>
  <c r="Z7" i="11"/>
  <c r="R7" i="11"/>
  <c r="L7" i="11"/>
  <c r="AD7" i="11"/>
  <c r="T7" i="11"/>
  <c r="W7" i="11"/>
  <c r="M7" i="11"/>
  <c r="V14" i="8"/>
  <c r="P11" i="8"/>
  <c r="D5" i="11"/>
  <c r="O3" i="11"/>
  <c r="AE3" i="11"/>
  <c r="Y7" i="11"/>
  <c r="P15" i="11"/>
  <c r="L16" i="8"/>
  <c r="E6" i="8"/>
  <c r="J6" i="8"/>
  <c r="B7" i="11"/>
  <c r="D7" i="11"/>
  <c r="H9" i="11"/>
  <c r="AD14" i="11"/>
  <c r="V14" i="11"/>
  <c r="N14" i="11"/>
  <c r="U14" i="11"/>
  <c r="M14" i="11"/>
  <c r="Z14" i="11"/>
  <c r="R14" i="11"/>
  <c r="L14" i="11"/>
  <c r="AA14" i="11"/>
  <c r="O14" i="11"/>
  <c r="Y14" i="11"/>
  <c r="AE14" i="11"/>
  <c r="Q14" i="11"/>
  <c r="AD6" i="11"/>
  <c r="V6" i="11"/>
  <c r="N6" i="11"/>
  <c r="AC6" i="11"/>
  <c r="U6" i="11"/>
  <c r="M6" i="11"/>
  <c r="L6" i="11"/>
  <c r="AB6" i="11"/>
  <c r="R6" i="11"/>
  <c r="AA6" i="11"/>
  <c r="Q6" i="11"/>
  <c r="T6" i="11"/>
  <c r="K14" i="8"/>
  <c r="I6" i="8"/>
  <c r="U14" i="8"/>
  <c r="O11" i="8"/>
  <c r="K7" i="11"/>
  <c r="Q3" i="11"/>
  <c r="AE6" i="11"/>
  <c r="AD8" i="11"/>
  <c r="S14" i="11"/>
  <c r="Q15" i="11"/>
  <c r="E14" i="8"/>
  <c r="B14" i="11"/>
  <c r="C14" i="11"/>
  <c r="C10" i="8"/>
  <c r="F6" i="8"/>
  <c r="J14" i="8"/>
  <c r="H6" i="8"/>
  <c r="AE14" i="8"/>
  <c r="R14" i="8"/>
  <c r="Z11" i="8"/>
  <c r="N11" i="8"/>
  <c r="R3" i="11"/>
  <c r="O6" i="11"/>
  <c r="N7" i="11"/>
  <c r="AC7" i="11"/>
  <c r="T14" i="11"/>
  <c r="V15" i="11"/>
  <c r="E5" i="8"/>
  <c r="G5" i="8"/>
  <c r="O7" i="11"/>
  <c r="W14" i="11"/>
  <c r="Y15" i="11"/>
  <c r="E15" i="11"/>
  <c r="J15" i="11"/>
  <c r="I15" i="11"/>
  <c r="K15" i="11"/>
  <c r="F5" i="8"/>
  <c r="I14" i="8"/>
  <c r="G6" i="8"/>
  <c r="AD14" i="8"/>
  <c r="P14" i="8"/>
  <c r="Y11" i="8"/>
  <c r="B5" i="8"/>
  <c r="H14" i="11"/>
  <c r="G14" i="11"/>
  <c r="E14" i="11"/>
  <c r="F14" i="11"/>
  <c r="J14" i="11"/>
  <c r="G6" i="11"/>
  <c r="K6" i="11"/>
  <c r="E6" i="11"/>
  <c r="F14" i="8"/>
  <c r="H14" i="8"/>
  <c r="K5" i="8"/>
  <c r="M14" i="8"/>
  <c r="R16" i="8"/>
  <c r="O14" i="8"/>
  <c r="X11" i="8"/>
  <c r="H8" i="11"/>
  <c r="I14" i="11"/>
  <c r="V3" i="11"/>
  <c r="S6" i="11"/>
  <c r="P7" i="11"/>
  <c r="R8" i="11"/>
  <c r="X14" i="11"/>
  <c r="AB15" i="11"/>
  <c r="C5" i="11"/>
  <c r="C7" i="11"/>
  <c r="U3" i="11"/>
  <c r="J5" i="8"/>
  <c r="AB16" i="8"/>
  <c r="Q16" i="8"/>
  <c r="Z14" i="8"/>
  <c r="N14" i="8"/>
  <c r="W11" i="8"/>
  <c r="D10" i="11"/>
  <c r="F6" i="11"/>
  <c r="G9" i="11"/>
  <c r="K14" i="11"/>
  <c r="Y3" i="11"/>
  <c r="W6" i="11"/>
  <c r="Q7" i="11"/>
  <c r="S8" i="11"/>
  <c r="AB14" i="11"/>
  <c r="L15" i="11"/>
  <c r="T2" i="8"/>
  <c r="AA2" i="8"/>
  <c r="S2" i="8"/>
  <c r="R2" i="8"/>
  <c r="W2" i="8"/>
  <c r="O2" i="8"/>
  <c r="AD2" i="8"/>
  <c r="N2" i="8"/>
  <c r="D2" i="8"/>
  <c r="AB4" i="8"/>
  <c r="R4" i="8"/>
  <c r="N4" i="8"/>
  <c r="T4" i="8"/>
  <c r="J4" i="8"/>
  <c r="AD4" i="8"/>
  <c r="S4" i="8"/>
  <c r="G4" i="8"/>
  <c r="AA4" i="8"/>
  <c r="M4" i="8"/>
  <c r="Z4" i="8"/>
  <c r="V4" i="8"/>
  <c r="U4" i="8"/>
  <c r="I4" i="8"/>
  <c r="H4" i="8"/>
  <c r="F4" i="8"/>
  <c r="D4" i="8"/>
  <c r="Y4" i="8"/>
  <c r="Q4" i="8"/>
  <c r="K4" i="8"/>
  <c r="X4" i="8"/>
  <c r="P4" i="8"/>
  <c r="E4" i="8"/>
  <c r="AE4" i="8"/>
  <c r="W4" i="8"/>
  <c r="O4" i="8"/>
  <c r="B4" i="8"/>
  <c r="AF15" i="8"/>
  <c r="C16" i="11"/>
  <c r="C8" i="3"/>
  <c r="D8" i="3" s="1"/>
  <c r="E8" i="3" s="1"/>
  <c r="E7" i="3" s="1"/>
  <c r="Z10" i="12" a="1"/>
  <c r="Z10" i="12" s="1"/>
  <c r="C10" i="12" a="1"/>
  <c r="C10" i="12" s="1"/>
  <c r="AA10" i="12" a="1"/>
  <c r="AA10" i="12" s="1"/>
  <c r="D10" i="12" a="1"/>
  <c r="D10" i="12" s="1"/>
  <c r="AG10" i="12" a="1"/>
  <c r="AG10" i="12" s="1"/>
  <c r="S10" i="12" a="1"/>
  <c r="S10" i="12" s="1"/>
  <c r="AC10" i="12" a="1"/>
  <c r="AC10" i="12" s="1"/>
  <c r="J10" i="12" a="1"/>
  <c r="J10" i="12" s="1"/>
  <c r="V11" i="12" a="1"/>
  <c r="V11" i="12" s="1"/>
  <c r="S35" i="18" l="1"/>
  <c r="R52" i="18"/>
  <c r="R10" i="8" s="1"/>
  <c r="J16" i="8"/>
  <c r="F16" i="8"/>
  <c r="AE16" i="8"/>
  <c r="Y16" i="8"/>
  <c r="H2" i="8"/>
  <c r="P2" i="8"/>
  <c r="AB2" i="8"/>
  <c r="AC16" i="8"/>
  <c r="T16" i="8"/>
  <c r="W16" i="8"/>
  <c r="G17" i="8"/>
  <c r="AD16" i="8"/>
  <c r="O16" i="8"/>
  <c r="AA16" i="8"/>
  <c r="S16" i="8"/>
  <c r="U2" i="8"/>
  <c r="Q2" i="8"/>
  <c r="M16" i="8"/>
  <c r="X2" i="8"/>
  <c r="Y2" i="8"/>
  <c r="V16" i="8"/>
  <c r="V2" i="8"/>
  <c r="Z2" i="8"/>
  <c r="Z16" i="8"/>
  <c r="I16" i="8"/>
  <c r="G16" i="8"/>
  <c r="H16" i="8"/>
  <c r="E16" i="8"/>
  <c r="B12" i="8"/>
  <c r="E2" i="8"/>
  <c r="G2" i="8"/>
  <c r="C2" i="8"/>
  <c r="I2" i="8"/>
  <c r="J2" i="8"/>
  <c r="F2" i="8"/>
  <c r="B2" i="8"/>
  <c r="B13" i="8"/>
  <c r="P7" i="8"/>
  <c r="O7" i="8"/>
  <c r="L3" i="8"/>
  <c r="AE3" i="8"/>
  <c r="N3" i="8"/>
  <c r="O3" i="8"/>
  <c r="AB3" i="8"/>
  <c r="B3" i="8"/>
  <c r="R3" i="8"/>
  <c r="Z3" i="8"/>
  <c r="P3" i="8"/>
  <c r="U3" i="8"/>
  <c r="Y3" i="8"/>
  <c r="AC3" i="8"/>
  <c r="M3" i="8"/>
  <c r="X3" i="8"/>
  <c r="Q3" i="8"/>
  <c r="V3" i="8"/>
  <c r="AD3" i="8"/>
  <c r="W3" i="8"/>
  <c r="T3" i="8"/>
  <c r="AA3" i="8"/>
  <c r="G7" i="8"/>
  <c r="I7" i="8"/>
  <c r="H7" i="8"/>
  <c r="F7" i="8"/>
  <c r="Z7" i="8"/>
  <c r="D7" i="8"/>
  <c r="W7" i="8"/>
  <c r="J7" i="8"/>
  <c r="K7" i="8"/>
  <c r="AA7" i="8"/>
  <c r="E7" i="8"/>
  <c r="L7" i="8"/>
  <c r="C7" i="8"/>
  <c r="AD7" i="8"/>
  <c r="O5" i="11"/>
  <c r="AA10" i="11"/>
  <c r="U7" i="11"/>
  <c r="W3" i="11"/>
  <c r="P9" i="11"/>
  <c r="AB9" i="11"/>
  <c r="F3" i="11"/>
  <c r="AB5" i="11"/>
  <c r="AA8" i="11"/>
  <c r="K3" i="11"/>
  <c r="AB7" i="11"/>
  <c r="V9" i="11"/>
  <c r="M9" i="11"/>
  <c r="X10" i="11"/>
  <c r="AD5" i="11"/>
  <c r="O13" i="11"/>
  <c r="Q10" i="11"/>
  <c r="W9" i="11"/>
  <c r="U9" i="11"/>
  <c r="K10" i="11"/>
  <c r="G13" i="11"/>
  <c r="M10" i="11"/>
  <c r="T5" i="11"/>
  <c r="T13" i="11"/>
  <c r="I6" i="11"/>
  <c r="AC2" i="8"/>
  <c r="AE2" i="8"/>
  <c r="M2" i="8"/>
  <c r="T10" i="11"/>
  <c r="R10" i="11"/>
  <c r="M12" i="11"/>
  <c r="AB12" i="11"/>
  <c r="AE12" i="11"/>
  <c r="Y12" i="11"/>
  <c r="L12" i="11"/>
  <c r="G8" i="11"/>
  <c r="P14" i="11"/>
  <c r="I10" i="11"/>
  <c r="I12" i="11"/>
  <c r="O10" i="11"/>
  <c r="V10" i="11"/>
  <c r="M5" i="11"/>
  <c r="X5" i="11"/>
  <c r="W12" i="11"/>
  <c r="S12" i="11"/>
  <c r="K12" i="11"/>
  <c r="H12" i="11"/>
  <c r="S10" i="11"/>
  <c r="R5" i="11"/>
  <c r="Q5" i="11"/>
  <c r="Q12" i="11"/>
  <c r="T12" i="11"/>
  <c r="E9" i="11"/>
  <c r="F8" i="11"/>
  <c r="K9" i="11"/>
  <c r="F12" i="11"/>
  <c r="I9" i="11"/>
  <c r="J3" i="11"/>
  <c r="G12" i="11"/>
  <c r="J8" i="11"/>
  <c r="F9" i="11"/>
  <c r="N7" i="8"/>
  <c r="U7" i="8"/>
  <c r="F13" i="11"/>
  <c r="Y7" i="8"/>
  <c r="R7" i="8"/>
  <c r="X7" i="8"/>
  <c r="T7" i="8"/>
  <c r="AE7" i="8"/>
  <c r="V7" i="8"/>
  <c r="S7" i="8"/>
  <c r="J10" i="11"/>
  <c r="M7" i="8"/>
  <c r="Q7" i="8"/>
  <c r="K13" i="11"/>
  <c r="V5" i="11"/>
  <c r="Y5" i="11"/>
  <c r="AB7" i="8"/>
  <c r="AD10" i="11"/>
  <c r="AF7" i="8"/>
  <c r="X17" i="11"/>
  <c r="AB17" i="11"/>
  <c r="P17" i="11"/>
  <c r="R17" i="11"/>
  <c r="M17" i="11"/>
  <c r="U17" i="11"/>
  <c r="S17" i="11"/>
  <c r="AA17" i="11"/>
  <c r="V17" i="11"/>
  <c r="W17" i="11"/>
  <c r="AC17" i="11"/>
  <c r="AD17" i="11"/>
  <c r="Q17" i="11"/>
  <c r="AE17" i="11"/>
  <c r="Z17" i="11"/>
  <c r="N17" i="11"/>
  <c r="Y17" i="11"/>
  <c r="G17" i="11"/>
  <c r="K17" i="11"/>
  <c r="J17" i="11"/>
  <c r="F17" i="11"/>
  <c r="H17" i="11"/>
  <c r="I17" i="11"/>
  <c r="C7" i="3"/>
  <c r="P10" i="11"/>
  <c r="Y10" i="11"/>
  <c r="AE5" i="11"/>
  <c r="Z5" i="11"/>
  <c r="AD12" i="11"/>
  <c r="H10" i="11"/>
  <c r="U5" i="11"/>
  <c r="P5" i="11"/>
  <c r="AC15" i="11"/>
  <c r="AC3" i="11"/>
  <c r="AC5" i="11"/>
  <c r="AC5" i="8"/>
  <c r="AC12" i="11"/>
  <c r="AC4" i="8"/>
  <c r="AC14" i="11"/>
  <c r="AC10" i="11"/>
  <c r="AC17" i="8"/>
  <c r="F10" i="11"/>
  <c r="AC6" i="8"/>
  <c r="J12" i="11"/>
  <c r="AC11" i="8"/>
  <c r="AC7" i="8"/>
  <c r="AC14" i="8"/>
  <c r="AC9" i="11"/>
  <c r="AC9" i="8"/>
  <c r="AE10" i="12" a="1"/>
  <c r="AE10" i="12" s="1"/>
  <c r="D6" i="11"/>
  <c r="K8" i="11"/>
  <c r="E8" i="11"/>
  <c r="Z8" i="11"/>
  <c r="X8" i="11"/>
  <c r="N8" i="11"/>
  <c r="C6" i="11"/>
  <c r="F7" i="11"/>
  <c r="H6" i="11"/>
  <c r="I8" i="11"/>
  <c r="D8" i="11"/>
  <c r="Q8" i="11"/>
  <c r="O8" i="11"/>
  <c r="I7" i="11"/>
  <c r="C8" i="11"/>
  <c r="AC8" i="11"/>
  <c r="W8" i="11"/>
  <c r="J7" i="11"/>
  <c r="Y8" i="11"/>
  <c r="AE8" i="11"/>
  <c r="Y6" i="11"/>
  <c r="R13" i="11"/>
  <c r="V13" i="11"/>
  <c r="M13" i="11"/>
  <c r="G10" i="11"/>
  <c r="E12" i="11"/>
  <c r="Z13" i="11"/>
  <c r="U13" i="11"/>
  <c r="Z6" i="11"/>
  <c r="J6" i="11"/>
  <c r="AA13" i="11"/>
  <c r="AB13" i="11"/>
  <c r="W13" i="11"/>
  <c r="P13" i="11"/>
  <c r="AD13" i="11"/>
  <c r="S13" i="11"/>
  <c r="X13" i="11"/>
  <c r="V7" i="11"/>
  <c r="C10" i="11"/>
  <c r="AD9" i="11"/>
  <c r="S9" i="11"/>
  <c r="U10" i="11"/>
  <c r="N13" i="11"/>
  <c r="AE13" i="11"/>
  <c r="Q13" i="11"/>
  <c r="X7" i="11"/>
  <c r="C12" i="11"/>
  <c r="D13" i="11"/>
  <c r="C13" i="11"/>
  <c r="C9" i="11"/>
  <c r="D9" i="11"/>
  <c r="D12" i="11"/>
  <c r="D14" i="11"/>
  <c r="P6" i="11"/>
  <c r="C2" i="11"/>
  <c r="L2" i="11"/>
  <c r="AE2" i="11"/>
  <c r="W2" i="11"/>
  <c r="O2" i="11"/>
  <c r="AD2" i="11"/>
  <c r="V2" i="11"/>
  <c r="N2" i="11"/>
  <c r="U2" i="11"/>
  <c r="T2" i="11"/>
  <c r="Y2" i="11"/>
  <c r="M2" i="11"/>
  <c r="AA2" i="11"/>
  <c r="Z2" i="11"/>
  <c r="S2" i="11"/>
  <c r="R2" i="11"/>
  <c r="Q2" i="11"/>
  <c r="P2" i="11"/>
  <c r="AB2" i="11"/>
  <c r="X2" i="11"/>
  <c r="E15" i="8"/>
  <c r="J15" i="8"/>
  <c r="K15" i="8"/>
  <c r="F15" i="8"/>
  <c r="G15" i="8"/>
  <c r="H15" i="8"/>
  <c r="I15" i="8"/>
  <c r="B17" i="11"/>
  <c r="D17" i="11"/>
  <c r="C17" i="11"/>
  <c r="C16" i="8"/>
  <c r="B16" i="8"/>
  <c r="D16" i="8"/>
  <c r="L16" i="11"/>
  <c r="X16" i="11"/>
  <c r="P16" i="11"/>
  <c r="AE16" i="11"/>
  <c r="W16" i="11"/>
  <c r="O16" i="11"/>
  <c r="AB16" i="11"/>
  <c r="T16" i="11"/>
  <c r="AA16" i="11"/>
  <c r="N16" i="11"/>
  <c r="Z16" i="11"/>
  <c r="M16" i="11"/>
  <c r="Y16" i="11"/>
  <c r="AD16" i="11"/>
  <c r="R16" i="11"/>
  <c r="V16" i="11"/>
  <c r="U16" i="11"/>
  <c r="S16" i="11"/>
  <c r="Q16" i="11"/>
  <c r="D16" i="11"/>
  <c r="D11" i="8"/>
  <c r="C11" i="8"/>
  <c r="B11" i="8"/>
  <c r="L15" i="8"/>
  <c r="Q15" i="8"/>
  <c r="Y15" i="8"/>
  <c r="R15" i="8"/>
  <c r="Z15" i="8"/>
  <c r="O15" i="8"/>
  <c r="W15" i="8"/>
  <c r="AE15" i="8"/>
  <c r="U15" i="8"/>
  <c r="V15" i="8"/>
  <c r="X15" i="8"/>
  <c r="M15" i="8"/>
  <c r="AA15" i="8"/>
  <c r="N15" i="8"/>
  <c r="AB15" i="8"/>
  <c r="P15" i="8"/>
  <c r="S15" i="8"/>
  <c r="AD15" i="8"/>
  <c r="T15" i="8"/>
  <c r="B15" i="11"/>
  <c r="D15" i="11"/>
  <c r="C15" i="11"/>
  <c r="AE11" i="11"/>
  <c r="W11" i="11"/>
  <c r="O11" i="11"/>
  <c r="AD11" i="11"/>
  <c r="V11" i="11"/>
  <c r="N11" i="11"/>
  <c r="L11" i="11"/>
  <c r="AA11" i="11"/>
  <c r="S11" i="11"/>
  <c r="T11" i="11"/>
  <c r="R11" i="11"/>
  <c r="X11" i="11"/>
  <c r="Y11" i="11"/>
  <c r="U11" i="11"/>
  <c r="Q11" i="11"/>
  <c r="P11" i="11"/>
  <c r="M11" i="11"/>
  <c r="AB11" i="11"/>
  <c r="Z11" i="11"/>
  <c r="E16" i="11"/>
  <c r="K16" i="11"/>
  <c r="F16" i="11"/>
  <c r="H16" i="11"/>
  <c r="J16" i="11"/>
  <c r="I16" i="11"/>
  <c r="G16" i="11"/>
  <c r="B11" i="11"/>
  <c r="D11" i="11"/>
  <c r="C11" i="11"/>
  <c r="C15" i="8"/>
  <c r="D15" i="8"/>
  <c r="E11" i="8"/>
  <c r="I11" i="8"/>
  <c r="G11" i="8"/>
  <c r="H11" i="8"/>
  <c r="J11" i="8"/>
  <c r="K11" i="8"/>
  <c r="F11" i="8"/>
  <c r="J11" i="11"/>
  <c r="E11" i="11"/>
  <c r="I11" i="11"/>
  <c r="F11" i="11"/>
  <c r="K11" i="11"/>
  <c r="H11" i="11"/>
  <c r="G11" i="11"/>
  <c r="E2" i="11"/>
  <c r="J2" i="11"/>
  <c r="I2" i="11"/>
  <c r="H2" i="11"/>
  <c r="G2" i="11"/>
  <c r="F2" i="11"/>
  <c r="K2" i="11"/>
  <c r="I4" i="11"/>
  <c r="H4" i="11"/>
  <c r="F4" i="11"/>
  <c r="E4" i="11"/>
  <c r="G4" i="11"/>
  <c r="D4" i="11"/>
  <c r="C4" i="11"/>
  <c r="K4" i="11"/>
  <c r="J4" i="11"/>
  <c r="AE4" i="11"/>
  <c r="AD4" i="11"/>
  <c r="V4" i="11"/>
  <c r="N4" i="11"/>
  <c r="U4" i="11"/>
  <c r="M4" i="11"/>
  <c r="L4" i="11"/>
  <c r="AB4" i="11"/>
  <c r="T4" i="11"/>
  <c r="Z4" i="11"/>
  <c r="R4" i="11"/>
  <c r="S4" i="11"/>
  <c r="Y4" i="11"/>
  <c r="Q4" i="11"/>
  <c r="AA4" i="11"/>
  <c r="X4" i="11"/>
  <c r="P4" i="11"/>
  <c r="W4" i="11"/>
  <c r="O4" i="11"/>
  <c r="K10" i="12" a="1"/>
  <c r="K10" i="12" s="1"/>
  <c r="I10" i="12" a="1"/>
  <c r="I10" i="12" s="1"/>
  <c r="L10" i="12" a="1"/>
  <c r="L10" i="12" s="1"/>
  <c r="AB10" i="12" a="1"/>
  <c r="AB10" i="12" s="1"/>
  <c r="T10" i="12" a="1"/>
  <c r="T10" i="12" s="1"/>
  <c r="R10" i="12" a="1"/>
  <c r="R10" i="12" s="1"/>
  <c r="Q10" i="12" a="1"/>
  <c r="Q10" i="12" s="1"/>
  <c r="E10" i="12" a="1"/>
  <c r="E10" i="12" s="1"/>
  <c r="F10" i="12" a="1"/>
  <c r="F10" i="12" s="1"/>
  <c r="G10" i="12" a="1"/>
  <c r="G10" i="12" s="1"/>
  <c r="H10" i="12" a="1"/>
  <c r="H10" i="12" s="1"/>
  <c r="W10" i="12" a="1"/>
  <c r="W10" i="12" s="1"/>
  <c r="O10" i="12" a="1"/>
  <c r="O10" i="12" s="1"/>
  <c r="P10" i="12" a="1"/>
  <c r="P10" i="12" s="1"/>
  <c r="M10" i="12" a="1"/>
  <c r="M10" i="12" s="1"/>
  <c r="N10" i="12" a="1"/>
  <c r="N10" i="12" s="1"/>
  <c r="X10" i="12" a="1"/>
  <c r="X10" i="12" s="1"/>
  <c r="U10" i="12" a="1"/>
  <c r="U10" i="12" s="1"/>
  <c r="V10" i="12" a="1"/>
  <c r="V10" i="12" s="1"/>
  <c r="AF10" i="12" a="1"/>
  <c r="AF10" i="12" s="1"/>
  <c r="Y10" i="12" a="1"/>
  <c r="Y10" i="12" s="1"/>
  <c r="AD10" i="12" a="1"/>
  <c r="AD10" i="12" s="1"/>
  <c r="O11" i="12" a="1"/>
  <c r="O11" i="12" s="1"/>
  <c r="AF11" i="12" a="1"/>
  <c r="AF11" i="12" s="1"/>
  <c r="D11" i="12" a="1"/>
  <c r="D11" i="12" s="1"/>
  <c r="C11" i="12" a="1"/>
  <c r="C11" i="12" s="1"/>
  <c r="AG11" i="12" a="1"/>
  <c r="AG11" i="12" s="1"/>
  <c r="J11" i="12" a="1"/>
  <c r="J11" i="12" s="1"/>
  <c r="I11" i="12" a="1"/>
  <c r="I11" i="12" s="1"/>
  <c r="L11" i="12" a="1"/>
  <c r="L11" i="12" s="1"/>
  <c r="F11" i="12" a="1"/>
  <c r="F11" i="12" s="1"/>
  <c r="S11" i="12" a="1"/>
  <c r="S11" i="12" s="1"/>
  <c r="R11" i="12" a="1"/>
  <c r="R11" i="12" s="1"/>
  <c r="Q11" i="12" a="1"/>
  <c r="Q11" i="12" s="1"/>
  <c r="X11" i="12" a="1"/>
  <c r="X11" i="12" s="1"/>
  <c r="AB11" i="12" a="1"/>
  <c r="AB11" i="12" s="1"/>
  <c r="AA11" i="12" a="1"/>
  <c r="AA11" i="12" s="1"/>
  <c r="Z11" i="12" a="1"/>
  <c r="Z11" i="12" s="1"/>
  <c r="Y11" i="12" a="1"/>
  <c r="Y11" i="12" s="1"/>
  <c r="AC11" i="12" a="1"/>
  <c r="AC11" i="12" s="1"/>
  <c r="G11" i="12" a="1"/>
  <c r="G11" i="12" s="1"/>
  <c r="H11" i="12" a="1"/>
  <c r="H11" i="12" s="1"/>
  <c r="AF11" i="3"/>
  <c r="U11" i="3"/>
  <c r="AG17" i="12" a="1"/>
  <c r="AG17" i="12" s="1"/>
  <c r="AC17" i="12" a="1"/>
  <c r="AC17" i="12" s="1"/>
  <c r="Y17" i="12" a="1"/>
  <c r="Y17" i="12" s="1"/>
  <c r="U17" i="12" a="1"/>
  <c r="U17" i="12" s="1"/>
  <c r="Q17" i="12" a="1"/>
  <c r="Q17" i="12" s="1"/>
  <c r="M17" i="12" a="1"/>
  <c r="M17" i="12" s="1"/>
  <c r="AF17" i="12" a="1"/>
  <c r="AF17" i="12" s="1"/>
  <c r="AB17" i="12" a="1"/>
  <c r="AB17" i="12" s="1"/>
  <c r="X17" i="12" a="1"/>
  <c r="X17" i="12" s="1"/>
  <c r="T17" i="12" a="1"/>
  <c r="T17" i="12" s="1"/>
  <c r="P17" i="12" a="1"/>
  <c r="P17" i="12" s="1"/>
  <c r="L17" i="12" a="1"/>
  <c r="L17" i="12" s="1"/>
  <c r="AD17" i="12" a="1"/>
  <c r="AD17" i="12" s="1"/>
  <c r="Z17" i="12" a="1"/>
  <c r="Z17" i="12" s="1"/>
  <c r="V17" i="12" a="1"/>
  <c r="V17" i="12" s="1"/>
  <c r="F17" i="12" a="1"/>
  <c r="F17" i="12" s="1"/>
  <c r="AE17" i="12" a="1"/>
  <c r="AE17" i="12" s="1"/>
  <c r="W17" i="12" a="1"/>
  <c r="W17" i="12" s="1"/>
  <c r="J17" i="12" a="1"/>
  <c r="J17" i="12" s="1"/>
  <c r="O17" i="12" a="1"/>
  <c r="O17" i="12" s="1"/>
  <c r="E17" i="12" a="1"/>
  <c r="E17" i="12" s="1"/>
  <c r="AA17" i="12" a="1"/>
  <c r="AA17" i="12" s="1"/>
  <c r="R17" i="12" a="1"/>
  <c r="R17" i="12" s="1"/>
  <c r="K17" i="12" a="1"/>
  <c r="K17" i="12" s="1"/>
  <c r="B17" i="12" a="1"/>
  <c r="B17" i="12" s="1"/>
  <c r="I17" i="12" a="1"/>
  <c r="I17" i="12" s="1"/>
  <c r="H17" i="12" a="1"/>
  <c r="H17" i="12" s="1"/>
  <c r="S17" i="12" a="1"/>
  <c r="S17" i="12" s="1"/>
  <c r="G17" i="12" a="1"/>
  <c r="G17" i="12" s="1"/>
  <c r="D17" i="12" a="1"/>
  <c r="D17" i="12" s="1"/>
  <c r="N17" i="12" a="1"/>
  <c r="N17" i="12" s="1"/>
  <c r="C17" i="12" a="1"/>
  <c r="C17" i="12" s="1"/>
  <c r="E11" i="12" a="1"/>
  <c r="E11" i="12" s="1"/>
  <c r="B11" i="12" a="1"/>
  <c r="B11" i="12" s="1"/>
  <c r="P11" i="12" a="1"/>
  <c r="P11" i="12" s="1"/>
  <c r="M11" i="12" a="1"/>
  <c r="M11" i="12" s="1"/>
  <c r="D7" i="3"/>
  <c r="T11" i="3" s="1"/>
  <c r="N11" i="12" a="1"/>
  <c r="N11" i="12" s="1"/>
  <c r="K11" i="12" a="1"/>
  <c r="K11" i="12" s="1"/>
  <c r="U11" i="12" a="1"/>
  <c r="U11" i="12" s="1"/>
  <c r="Z15" i="12" a="1"/>
  <c r="Z15" i="12" s="1"/>
  <c r="Z16" i="12" s="1"/>
  <c r="U15" i="12" a="1"/>
  <c r="U15" i="12" s="1"/>
  <c r="U16" i="12" s="1"/>
  <c r="P15" i="12" a="1"/>
  <c r="P15" i="12" s="1"/>
  <c r="P16" i="12" s="1"/>
  <c r="I15" i="12" a="1"/>
  <c r="I15" i="12" s="1"/>
  <c r="I16" i="12" s="1"/>
  <c r="B15" i="12" a="1"/>
  <c r="B15" i="12" s="1"/>
  <c r="B16" i="12" s="1"/>
  <c r="S15" i="12" a="1"/>
  <c r="S15" i="12" s="1"/>
  <c r="S16" i="12" s="1"/>
  <c r="F15" i="12" a="1"/>
  <c r="F15" i="12" s="1"/>
  <c r="F16" i="12" s="1"/>
  <c r="W11" i="12" a="1"/>
  <c r="W11" i="12" s="1"/>
  <c r="T11" i="12" a="1"/>
  <c r="T11" i="12" s="1"/>
  <c r="AD11" i="12" a="1"/>
  <c r="AD11" i="12" s="1"/>
  <c r="AE11" i="12" a="1"/>
  <c r="AE11" i="12" s="1"/>
  <c r="T35" i="18" l="1"/>
  <c r="S52" i="18"/>
  <c r="S10" i="8" s="1"/>
  <c r="C3" i="8"/>
  <c r="E12" i="8"/>
  <c r="D12" i="8"/>
  <c r="C12" i="8"/>
  <c r="AF12" i="8"/>
  <c r="I12" i="8"/>
  <c r="D13" i="8"/>
  <c r="C13" i="8"/>
  <c r="K13" i="8"/>
  <c r="E13" i="8"/>
  <c r="AF13" i="8"/>
  <c r="G13" i="8"/>
  <c r="AB11" i="3"/>
  <c r="AB12" i="3" s="1"/>
  <c r="AB14" i="3" s="1"/>
  <c r="AB16" i="3" s="1"/>
  <c r="AA8" i="8" s="1"/>
  <c r="AA11" i="3"/>
  <c r="C11" i="3"/>
  <c r="V11" i="3"/>
  <c r="V8" i="12" s="1"/>
  <c r="AG11" i="3"/>
  <c r="I11" i="3"/>
  <c r="I12" i="3" s="1"/>
  <c r="I14" i="3" s="1"/>
  <c r="I16" i="3" s="1"/>
  <c r="P11" i="3"/>
  <c r="P12" i="3" s="1"/>
  <c r="P14" i="3" s="1"/>
  <c r="P16" i="3" s="1"/>
  <c r="AF12" i="3"/>
  <c r="AF14" i="3" s="1"/>
  <c r="AF16" i="3" s="1"/>
  <c r="AE8" i="8" s="1"/>
  <c r="AF8" i="12"/>
  <c r="C8" i="12"/>
  <c r="C12" i="3"/>
  <c r="C14" i="3" s="1"/>
  <c r="C16" i="3" s="1"/>
  <c r="B8" i="8"/>
  <c r="AG12" i="3"/>
  <c r="AG14" i="3" s="1"/>
  <c r="AG16" i="3" s="1"/>
  <c r="AG8" i="12"/>
  <c r="U8" i="12"/>
  <c r="U12" i="3"/>
  <c r="U14" i="3" s="1"/>
  <c r="U16" i="3" s="1"/>
  <c r="T8" i="8" s="1"/>
  <c r="AB8" i="12"/>
  <c r="AA8" i="12"/>
  <c r="AA12" i="3"/>
  <c r="AA14" i="3" s="1"/>
  <c r="AA16" i="3" s="1"/>
  <c r="Z8" i="8"/>
  <c r="T8" i="12"/>
  <c r="T12" i="3"/>
  <c r="T14" i="3" s="1"/>
  <c r="T16" i="3" s="1"/>
  <c r="S8" i="8" s="1"/>
  <c r="AD11" i="3"/>
  <c r="N11" i="3"/>
  <c r="AN11" i="3"/>
  <c r="AY11" i="3"/>
  <c r="AM11" i="3"/>
  <c r="AR11" i="3"/>
  <c r="AZ11" i="3"/>
  <c r="AK11" i="3"/>
  <c r="AS11" i="3"/>
  <c r="AX11" i="3"/>
  <c r="AL11" i="3"/>
  <c r="AV11" i="3"/>
  <c r="AJ11" i="3"/>
  <c r="AU11" i="3"/>
  <c r="AW11" i="3"/>
  <c r="AI11" i="3"/>
  <c r="AO11" i="3"/>
  <c r="AT11" i="3"/>
  <c r="AH11" i="3"/>
  <c r="AP11" i="3"/>
  <c r="BA11" i="3"/>
  <c r="AQ11" i="3"/>
  <c r="AC11" i="11"/>
  <c r="AC15" i="8"/>
  <c r="AC16" i="11"/>
  <c r="AC2" i="11"/>
  <c r="AC13" i="11"/>
  <c r="AC4" i="11"/>
  <c r="AG15" i="12" a="1"/>
  <c r="AG15" i="12" s="1"/>
  <c r="AG16" i="12" s="1"/>
  <c r="AD15" i="12" a="1"/>
  <c r="AD15" i="12" s="1"/>
  <c r="AD16" i="12" s="1"/>
  <c r="AF15" i="12" a="1"/>
  <c r="AF15" i="12" s="1"/>
  <c r="AF16" i="12" s="1"/>
  <c r="M15" i="12" a="1"/>
  <c r="M15" i="12" s="1"/>
  <c r="M16" i="12" s="1"/>
  <c r="J15" i="12" a="1"/>
  <c r="J15" i="12" s="1"/>
  <c r="J16" i="12" s="1"/>
  <c r="AE15" i="12" a="1"/>
  <c r="AE15" i="12" s="1"/>
  <c r="AE16" i="12" s="1"/>
  <c r="Y15" i="12" a="1"/>
  <c r="Y15" i="12" s="1"/>
  <c r="Y16" i="12" s="1"/>
  <c r="R15" i="12" a="1"/>
  <c r="R15" i="12" s="1"/>
  <c r="R16" i="12" s="1"/>
  <c r="V15" i="12" a="1"/>
  <c r="V15" i="12" s="1"/>
  <c r="V16" i="12" s="1"/>
  <c r="O15" i="12" a="1"/>
  <c r="O15" i="12" s="1"/>
  <c r="O16" i="12" s="1"/>
  <c r="C15" i="12" a="1"/>
  <c r="C15" i="12" s="1"/>
  <c r="C16" i="12" s="1"/>
  <c r="K15" i="12" a="1"/>
  <c r="K15" i="12" s="1"/>
  <c r="K16" i="12" s="1"/>
  <c r="N15" i="12" a="1"/>
  <c r="N15" i="12" s="1"/>
  <c r="N16" i="12" s="1"/>
  <c r="T15" i="12" a="1"/>
  <c r="T15" i="12" s="1"/>
  <c r="T16" i="12" s="1"/>
  <c r="L15" i="12" a="1"/>
  <c r="L15" i="12" s="1"/>
  <c r="L16" i="12" s="1"/>
  <c r="W15" i="12" a="1"/>
  <c r="W15" i="12" s="1"/>
  <c r="W16" i="12" s="1"/>
  <c r="D15" i="12" a="1"/>
  <c r="D15" i="12" s="1"/>
  <c r="D16" i="12" s="1"/>
  <c r="Q15" i="12" a="1"/>
  <c r="Q15" i="12" s="1"/>
  <c r="Q16" i="12" s="1"/>
  <c r="AB15" i="12" a="1"/>
  <c r="AB15" i="12" s="1"/>
  <c r="AB16" i="12" s="1"/>
  <c r="AA15" i="12" a="1"/>
  <c r="AA15" i="12" s="1"/>
  <c r="AA16" i="12" s="1"/>
  <c r="E15" i="12" a="1"/>
  <c r="E15" i="12" s="1"/>
  <c r="E16" i="12" s="1"/>
  <c r="AC15" i="12" a="1"/>
  <c r="AC15" i="12" s="1"/>
  <c r="AC16" i="12" s="1"/>
  <c r="G15" i="12" a="1"/>
  <c r="G15" i="12" s="1"/>
  <c r="G16" i="12" s="1"/>
  <c r="H15" i="12" a="1"/>
  <c r="H15" i="12" s="1"/>
  <c r="H16" i="12" s="1"/>
  <c r="H11" i="3"/>
  <c r="E11" i="3"/>
  <c r="G11" i="3"/>
  <c r="B11" i="3"/>
  <c r="J11" i="3"/>
  <c r="R11" i="3"/>
  <c r="Z11" i="3"/>
  <c r="W11" i="3"/>
  <c r="O11" i="3"/>
  <c r="K11" i="3"/>
  <c r="M11" i="3"/>
  <c r="F11" i="3"/>
  <c r="S11" i="3"/>
  <c r="X11" i="3"/>
  <c r="D11" i="3"/>
  <c r="Q11" i="3"/>
  <c r="X15" i="12" a="1"/>
  <c r="X15" i="12" s="1"/>
  <c r="X16" i="12" s="1"/>
  <c r="Y11" i="3"/>
  <c r="AC11" i="3"/>
  <c r="AE11" i="3"/>
  <c r="L11" i="3"/>
  <c r="U35" i="18" l="1"/>
  <c r="T52" i="18"/>
  <c r="T10" i="8" s="1"/>
  <c r="D3" i="8"/>
  <c r="J12" i="8"/>
  <c r="K12" i="8"/>
  <c r="G12" i="8"/>
  <c r="J13" i="8"/>
  <c r="AB12" i="8"/>
  <c r="U12" i="8"/>
  <c r="R12" i="8"/>
  <c r="AE12" i="8"/>
  <c r="O12" i="8"/>
  <c r="Y12" i="8"/>
  <c r="X12" i="8"/>
  <c r="T12" i="8"/>
  <c r="P12" i="8"/>
  <c r="V12" i="8"/>
  <c r="N12" i="8"/>
  <c r="AD12" i="8"/>
  <c r="W12" i="8"/>
  <c r="M12" i="8"/>
  <c r="AA12" i="8"/>
  <c r="Z12" i="8"/>
  <c r="S12" i="8"/>
  <c r="Q12" i="8"/>
  <c r="L12" i="8"/>
  <c r="H12" i="8"/>
  <c r="F12" i="8"/>
  <c r="M13" i="8"/>
  <c r="AB13" i="8"/>
  <c r="N13" i="8"/>
  <c r="V13" i="8"/>
  <c r="R13" i="8"/>
  <c r="U13" i="8"/>
  <c r="Q13" i="8"/>
  <c r="Y13" i="8"/>
  <c r="Z13" i="8"/>
  <c r="O13" i="8"/>
  <c r="W13" i="8"/>
  <c r="AE13" i="8"/>
  <c r="S13" i="8"/>
  <c r="AD13" i="8"/>
  <c r="P13" i="8"/>
  <c r="AA13" i="8"/>
  <c r="L13" i="8"/>
  <c r="X13" i="8"/>
  <c r="T13" i="8"/>
  <c r="F13" i="8"/>
  <c r="I13" i="8"/>
  <c r="H13" i="8"/>
  <c r="AF8" i="8"/>
  <c r="V12" i="3"/>
  <c r="V14" i="3" s="1"/>
  <c r="V16" i="3" s="1"/>
  <c r="U8" i="8" s="1"/>
  <c r="O8" i="8"/>
  <c r="P8" i="12"/>
  <c r="H8" i="8"/>
  <c r="I8" i="12"/>
  <c r="AE12" i="3"/>
  <c r="AE14" i="3" s="1"/>
  <c r="AE16" i="3" s="1"/>
  <c r="AD8" i="8" s="1"/>
  <c r="AE8" i="12"/>
  <c r="B12" i="3"/>
  <c r="B14" i="3" s="1"/>
  <c r="B16" i="3" s="1"/>
  <c r="AX12" i="3"/>
  <c r="AX14" i="3" s="1"/>
  <c r="AX16" i="3" s="1"/>
  <c r="AC8" i="12"/>
  <c r="AC12" i="3"/>
  <c r="AC14" i="3" s="1"/>
  <c r="AC16" i="3" s="1"/>
  <c r="AB8" i="8" s="1"/>
  <c r="G12" i="3"/>
  <c r="G14" i="3" s="1"/>
  <c r="G16" i="3" s="1"/>
  <c r="F8" i="8" s="1"/>
  <c r="G8" i="12"/>
  <c r="AS12" i="3"/>
  <c r="AS14" i="3" s="1"/>
  <c r="AS16" i="3" s="1"/>
  <c r="Y12" i="3"/>
  <c r="Y14" i="3" s="1"/>
  <c r="Y16" i="3" s="1"/>
  <c r="X8" i="8" s="1"/>
  <c r="Y8" i="12"/>
  <c r="E8" i="12"/>
  <c r="E12" i="3"/>
  <c r="E14" i="3" s="1"/>
  <c r="E16" i="3" s="1"/>
  <c r="D8" i="8" s="1"/>
  <c r="AK12" i="3"/>
  <c r="AK14" i="3" s="1"/>
  <c r="AK16" i="3" s="1"/>
  <c r="O12" i="3"/>
  <c r="O14" i="3" s="1"/>
  <c r="O16" i="3" s="1"/>
  <c r="N8" i="8" s="1"/>
  <c r="O8" i="12"/>
  <c r="AW12" i="3"/>
  <c r="AW14" i="3" s="1"/>
  <c r="AW16" i="3" s="1"/>
  <c r="Q12" i="3"/>
  <c r="Q14" i="3" s="1"/>
  <c r="Q16" i="3" s="1"/>
  <c r="P8" i="8" s="1"/>
  <c r="Q8" i="12"/>
  <c r="AQ12" i="3"/>
  <c r="AQ14" i="3" s="1"/>
  <c r="AQ16" i="3" s="1"/>
  <c r="AR12" i="3"/>
  <c r="AR14" i="3" s="1"/>
  <c r="AR16" i="3" s="1"/>
  <c r="D8" i="12"/>
  <c r="D12" i="3"/>
  <c r="D14" i="3" s="1"/>
  <c r="D16" i="3" s="1"/>
  <c r="C8" i="8" s="1"/>
  <c r="AJ12" i="3"/>
  <c r="AJ14" i="3" s="1"/>
  <c r="AJ16" i="3" s="1"/>
  <c r="AM12" i="3"/>
  <c r="AM14" i="3" s="1"/>
  <c r="AM16" i="3" s="1"/>
  <c r="X12" i="3"/>
  <c r="X14" i="3" s="1"/>
  <c r="X16" i="3" s="1"/>
  <c r="X8" i="12"/>
  <c r="W8" i="8"/>
  <c r="R12" i="3"/>
  <c r="R14" i="3" s="1"/>
  <c r="R16" i="3" s="1"/>
  <c r="R8" i="12"/>
  <c r="Q8" i="8"/>
  <c r="AP12" i="3"/>
  <c r="AP14" i="3" s="1"/>
  <c r="AP16" i="3" s="1"/>
  <c r="AV12" i="3"/>
  <c r="AV14" i="3" s="1"/>
  <c r="AV16" i="3" s="1"/>
  <c r="AY12" i="3"/>
  <c r="AY14" i="3" s="1"/>
  <c r="AY16" i="3" s="1"/>
  <c r="F8" i="12"/>
  <c r="F12" i="3"/>
  <c r="F14" i="3" s="1"/>
  <c r="F16" i="3" s="1"/>
  <c r="E8" i="8" s="1"/>
  <c r="AT12" i="3"/>
  <c r="AT14" i="3" s="1"/>
  <c r="AT16" i="3" s="1"/>
  <c r="N8" i="12"/>
  <c r="N12" i="3"/>
  <c r="N14" i="3" s="1"/>
  <c r="N16" i="3" s="1"/>
  <c r="M8" i="8" s="1"/>
  <c r="M8" i="12"/>
  <c r="M12" i="3"/>
  <c r="M14" i="3" s="1"/>
  <c r="M16" i="3" s="1"/>
  <c r="L8" i="8" s="1"/>
  <c r="AO12" i="3"/>
  <c r="AO14" i="3" s="1"/>
  <c r="AO16" i="3" s="1"/>
  <c r="AD8" i="12"/>
  <c r="AD12" i="3"/>
  <c r="AD14" i="3" s="1"/>
  <c r="AD16" i="3" s="1"/>
  <c r="AC8" i="8" s="1"/>
  <c r="K8" i="12"/>
  <c r="K12" i="3"/>
  <c r="K14" i="3" s="1"/>
  <c r="K16" i="3" s="1"/>
  <c r="J8" i="8" s="1"/>
  <c r="AI12" i="3"/>
  <c r="AI14" i="3" s="1"/>
  <c r="AI16" i="3" s="1"/>
  <c r="H12" i="3"/>
  <c r="H14" i="3" s="1"/>
  <c r="H16" i="3" s="1"/>
  <c r="H8" i="12"/>
  <c r="G8" i="8"/>
  <c r="AZ12" i="3"/>
  <c r="AZ14" i="3" s="1"/>
  <c r="AZ16" i="3" s="1"/>
  <c r="W12" i="3"/>
  <c r="W14" i="3" s="1"/>
  <c r="W16" i="3" s="1"/>
  <c r="V8" i="8" s="1"/>
  <c r="W8" i="12"/>
  <c r="AU12" i="3"/>
  <c r="AU14" i="3" s="1"/>
  <c r="AU16" i="3" s="1"/>
  <c r="Z12" i="3"/>
  <c r="Z14" i="3" s="1"/>
  <c r="Z16" i="3" s="1"/>
  <c r="Z8" i="12"/>
  <c r="Y8" i="8"/>
  <c r="BA12" i="3"/>
  <c r="BA14" i="3" s="1"/>
  <c r="BA16" i="3" s="1"/>
  <c r="L8" i="12"/>
  <c r="L12" i="3"/>
  <c r="L14" i="3" s="1"/>
  <c r="L16" i="3" s="1"/>
  <c r="K8" i="8" s="1"/>
  <c r="S8" i="12"/>
  <c r="S12" i="3"/>
  <c r="S14" i="3" s="1"/>
  <c r="S16" i="3" s="1"/>
  <c r="R8" i="8" s="1"/>
  <c r="J12" i="3"/>
  <c r="J14" i="3" s="1"/>
  <c r="J16" i="3" s="1"/>
  <c r="I8" i="8" s="1"/>
  <c r="J8" i="12"/>
  <c r="AH12" i="3"/>
  <c r="AH14" i="3" s="1"/>
  <c r="AH16" i="3" s="1"/>
  <c r="AL12" i="3"/>
  <c r="AL14" i="3" s="1"/>
  <c r="AL16" i="3" s="1"/>
  <c r="AN12" i="3"/>
  <c r="AN14" i="3" s="1"/>
  <c r="AN16" i="3" s="1"/>
  <c r="V35" i="18" l="1"/>
  <c r="U52" i="18"/>
  <c r="U10" i="8" s="1"/>
  <c r="E3" i="8"/>
  <c r="AC12" i="8"/>
  <c r="AC13" i="8"/>
  <c r="W35" i="18" l="1"/>
  <c r="V52" i="18"/>
  <c r="V10" i="8" s="1"/>
  <c r="F3" i="8"/>
  <c r="X35" i="18" l="1"/>
  <c r="W52" i="18"/>
  <c r="W10" i="8" s="1"/>
  <c r="G3" i="8"/>
  <c r="Y35" i="18" l="1"/>
  <c r="X52" i="18"/>
  <c r="X10" i="8" s="1"/>
  <c r="H3" i="8"/>
  <c r="Z35" i="18" l="1"/>
  <c r="Y52" i="18"/>
  <c r="Y10" i="8" s="1"/>
  <c r="I3" i="8"/>
  <c r="AA35" i="18" l="1"/>
  <c r="Z52" i="18"/>
  <c r="Z10" i="8" s="1"/>
  <c r="K3" i="8"/>
  <c r="J3" i="8"/>
  <c r="AB35" i="18" l="1"/>
  <c r="AA52" i="18"/>
  <c r="AA10" i="8" s="1"/>
  <c r="AC35" i="18" l="1"/>
  <c r="AB52" i="18"/>
  <c r="AB10" i="8" s="1"/>
  <c r="AD35" i="18" l="1"/>
  <c r="AC52" i="18"/>
  <c r="AC10" i="8" s="1"/>
  <c r="AE35" i="18" l="1"/>
  <c r="AD52" i="18"/>
  <c r="AD10" i="8" s="1"/>
  <c r="AF35" i="18" l="1"/>
  <c r="AF52" i="18" s="1"/>
  <c r="AF10" i="8" s="1"/>
  <c r="AE52" i="18"/>
  <c r="AE10" i="8" s="1"/>
</calcChain>
</file>

<file path=xl/sharedStrings.xml><?xml version="1.0" encoding="utf-8"?>
<sst xmlns="http://schemas.openxmlformats.org/spreadsheetml/2006/main" count="521" uniqueCount="204">
  <si>
    <t>CCaMC BAU Construction Cost per Unit Capacity</t>
  </si>
  <si>
    <t>CCaMC Annual Fixed O&amp;M Cost per Unit Capacity</t>
  </si>
  <si>
    <t>CCaMC Variable O&amp;M Cost per Unit Elec Output</t>
  </si>
  <si>
    <t>CCaMC BAU Soft Costs per Unit Capacity</t>
  </si>
  <si>
    <t>Sources:</t>
  </si>
  <si>
    <t>Solar Thermal Capital and O&amp;M Costs</t>
  </si>
  <si>
    <t>IRENA Renewable Power Generation Cost in 2020</t>
  </si>
  <si>
    <t>https://www.irena.org/publications/2021/Jun/Renewable-Power-Costs-in-2020</t>
  </si>
  <si>
    <t>page 105</t>
  </si>
  <si>
    <t>Nuclear Capital and O&amp;M Costs</t>
  </si>
  <si>
    <t>National Renewable Energy Lab</t>
  </si>
  <si>
    <t>Annual Technology Baseline (ATB) Spreadsheet - 2020 Final</t>
  </si>
  <si>
    <t>https://atb.nrel.gov/</t>
  </si>
  <si>
    <t>taken from US EPS</t>
  </si>
  <si>
    <t>Notes:</t>
  </si>
  <si>
    <t>Solar thermal data is taken from China as available data that is the nearest (Asia) with Indonesia is China. It is assumed that the investment cost is affected by the capacity factor linearly (inversely proportional). Currency of solar thermal data is in 2020 USD and to be converted to  2019.</t>
  </si>
  <si>
    <t>Data for nuclear in Indonesia is not available. Data is taken from US EPS. Currency of nuclear data is in 2018 USD and to be converted to  2019.</t>
  </si>
  <si>
    <t>It is chosen to not include endogenous learning since soft cost data specific for Indonesia is not available. Solar PV, onshore &amp; offshore wind data for specifically Indonesia is available but not with the soft cost, therefore we choose to not use endogenous learning.</t>
  </si>
  <si>
    <t>For coal power plant, data used is for sub-bituminious CPP since most CPP in Indonesia is that type. Lignite PP is assumed to be the same with CPP (since in most cases in Indonesia, lignite and sub-bituminious coal are mixed together).</t>
  </si>
  <si>
    <t>Petroleum, crude oil, heavy oil are assumed to be the same PP type.</t>
  </si>
  <si>
    <t>Currency conversion factor</t>
  </si>
  <si>
    <t>Geothermal</t>
  </si>
  <si>
    <t>Solar PV</t>
  </si>
  <si>
    <t>Biomass</t>
  </si>
  <si>
    <t>Solar Thermal (CSP)</t>
  </si>
  <si>
    <t>page 105, parabolic through collector &amp; 10h storage, data for China</t>
  </si>
  <si>
    <t>Available data</t>
  </si>
  <si>
    <t>Investment (2020 $/kW)</t>
  </si>
  <si>
    <t>capacity factor increase in 10 years</t>
  </si>
  <si>
    <t>Fixed O&amp;M (2020 $/kWh)</t>
  </si>
  <si>
    <t>capacity factor 2020</t>
  </si>
  <si>
    <t>Investment ($/MW)</t>
  </si>
  <si>
    <t>Capacity factor</t>
  </si>
  <si>
    <t>Projection each year (2020$/MW)</t>
  </si>
  <si>
    <t>NREL CAPEX ($/kW)</t>
  </si>
  <si>
    <t>Model Electricity Source</t>
  </si>
  <si>
    <t>NREL Electricity Source</t>
  </si>
  <si>
    <t>nuclear</t>
  </si>
  <si>
    <t>Nuclear - Moderate</t>
  </si>
  <si>
    <t>NREL O&amp;M Cost</t>
  </si>
  <si>
    <t>Model Subscript</t>
  </si>
  <si>
    <t>EIA Technology Name</t>
  </si>
  <si>
    <t>Variable O&amp;M ($/MWh)</t>
  </si>
  <si>
    <t>Fixed O&amp;M ($/kW-yr)</t>
  </si>
  <si>
    <t>Currency Year</t>
  </si>
  <si>
    <t>Source</t>
  </si>
  <si>
    <t>NREL ATB</t>
  </si>
  <si>
    <t>Available capital cost data (2019 $/MW)</t>
  </si>
  <si>
    <t>hard coal</t>
  </si>
  <si>
    <t>natural gas nonpeaker</t>
  </si>
  <si>
    <t>hydro</t>
  </si>
  <si>
    <t>onshore wind</t>
  </si>
  <si>
    <t>solar PV</t>
  </si>
  <si>
    <t>biomass</t>
  </si>
  <si>
    <t>geothermal</t>
  </si>
  <si>
    <t>petroleum</t>
  </si>
  <si>
    <t>natural gas peaker</t>
  </si>
  <si>
    <t>lignite</t>
  </si>
  <si>
    <t>offshore wind</t>
  </si>
  <si>
    <t>crude oil</t>
  </si>
  <si>
    <t>heavy or residual fuel oil</t>
  </si>
  <si>
    <t>municipal solid waste</t>
  </si>
  <si>
    <t>Fixed O&amp;M ($/MW) - Preex.Retiring</t>
  </si>
  <si>
    <t>solar thermal</t>
  </si>
  <si>
    <t>Fixed O&amp;M ($/MW) - Preex.Nonretiring</t>
  </si>
  <si>
    <t>Variable O&amp;M ($/MWh)-Preex.Retiring</t>
  </si>
  <si>
    <t>coal</t>
  </si>
  <si>
    <t>Variable O&amp;M ($/MWh)-Newly Built</t>
  </si>
  <si>
    <t>Unit: $/MW</t>
  </si>
  <si>
    <t>Hard Coal</t>
  </si>
  <si>
    <t>Natural Gas Nonpeaker</t>
  </si>
  <si>
    <t>Nuclear</t>
  </si>
  <si>
    <t>Hydro</t>
  </si>
  <si>
    <t>Onshore Wind</t>
  </si>
  <si>
    <t>Solar Thermal</t>
  </si>
  <si>
    <t>Petroleum</t>
  </si>
  <si>
    <t>Natural Gas Peaker</t>
  </si>
  <si>
    <t>Lignite</t>
  </si>
  <si>
    <t>Offshore Wind</t>
  </si>
  <si>
    <t>Crude Oil</t>
  </si>
  <si>
    <t>Heavy or Residual Fuel Oil</t>
  </si>
  <si>
    <t>Municipal Solid Waste</t>
  </si>
  <si>
    <t>Hard Coal (NOT USED)</t>
  </si>
  <si>
    <t>Natural Gas Nonpeaker (NOT USED)</t>
  </si>
  <si>
    <t>Nuclear (NOT USED)</t>
  </si>
  <si>
    <t>Hydro (NOT USED)</t>
  </si>
  <si>
    <t>Onshore Wind (NOT USED)</t>
  </si>
  <si>
    <t>Solar PV (NOT USED)</t>
  </si>
  <si>
    <t>Solar Thermal (NOT USED)</t>
  </si>
  <si>
    <t>Biomass (NOT USED)</t>
  </si>
  <si>
    <t>Geothermal (NOT USED)</t>
  </si>
  <si>
    <t>Petroleum (NOT USED)</t>
  </si>
  <si>
    <t>Natural Gas Peaker (NOT USED)</t>
  </si>
  <si>
    <t>Lignite (NOT USED)</t>
  </si>
  <si>
    <t>Offshore Wind (NOT USED)</t>
  </si>
  <si>
    <t>Crude Oil (NOT USED)</t>
  </si>
  <si>
    <t>Heavy or Residual Fuel Oil (NOT USED)</t>
  </si>
  <si>
    <t>Municipal Solid Waste (NOT USED)</t>
  </si>
  <si>
    <t>Fixed O&amp;M Cost ($/MW)</t>
  </si>
  <si>
    <t>Variable O&amp;M Cost ($/MWh)</t>
  </si>
  <si>
    <t>Solar thermal</t>
  </si>
  <si>
    <t>For 2020 (use 2016 USD- Check page 8 from the 2017 TDIPS report for more info)</t>
  </si>
  <si>
    <t>2016 USD to 2012 USD</t>
  </si>
  <si>
    <t>2022 USD to 2012 USD</t>
  </si>
  <si>
    <t>https://www.officialdata.org/us/inflation/2022?endYear=2012&amp;amount=1</t>
  </si>
  <si>
    <t>2020 USD to 2012 USD</t>
  </si>
  <si>
    <t>RetireYear</t>
  </si>
  <si>
    <t>(Multiple Items)</t>
  </si>
  <si>
    <t>Row Labels</t>
  </si>
  <si>
    <t>Sum of WeightedVOM</t>
  </si>
  <si>
    <t>Sum of WeightedFOM</t>
  </si>
  <si>
    <t>VOM Adjusted for Currency Year</t>
  </si>
  <si>
    <t>FOM Adjusted for Currency Year</t>
  </si>
  <si>
    <t>battery</t>
  </si>
  <si>
    <t>biopower</t>
  </si>
  <si>
    <t>csp-ns</t>
  </si>
  <si>
    <t>DUPV</t>
  </si>
  <si>
    <t>gas-CC</t>
  </si>
  <si>
    <t>gas-CT</t>
  </si>
  <si>
    <t>lfill-gas</t>
  </si>
  <si>
    <t>o-g-s</t>
  </si>
  <si>
    <t>pumped-hydro</t>
  </si>
  <si>
    <t>UPV</t>
  </si>
  <si>
    <t>wind-ofs</t>
  </si>
  <si>
    <t>wind-ons</t>
  </si>
  <si>
    <t>(blank)</t>
  </si>
  <si>
    <t>Grand Total</t>
  </si>
  <si>
    <t>US Data</t>
  </si>
  <si>
    <t>Investment ($/MW)-2012$-US</t>
  </si>
  <si>
    <t>Adjustement factor</t>
  </si>
  <si>
    <t>Fixed O&amp;M Cost ($/MW)-US</t>
  </si>
  <si>
    <t>Variable O&amp;M Cost ($/MWh)-US</t>
  </si>
  <si>
    <t>For 2023-2050 (use 2022 USD- Check page 8 from the 2024 TDIPS report for more info)</t>
  </si>
  <si>
    <t>Power Generation Cost Report</t>
  </si>
  <si>
    <t>https://www.epe.gov.br/sites-pt/publicacoes-dados-abertos/publicacoes/PublishingImages/pt/publicacoes-dados-abertos/publicacoes/caderno-de-precos-da-geracao/EPE_Power%20Generation%20Costs%20Report%202021.pdf</t>
  </si>
  <si>
    <t xml:space="preserve">
Power Generation Costs Report 2021
Empresa de Pesquisa Energética</t>
  </si>
  <si>
    <t>EPE - Empresa de Pesquisa Energética</t>
  </si>
  <si>
    <t>Energy Sources</t>
  </si>
  <si>
    <t>Fixed O&amp;M (BRL/kW)</t>
  </si>
  <si>
    <t>Fixed O&amp;M (BRL/MW)</t>
  </si>
  <si>
    <t>Fixed O&amp;M ($/MW)</t>
  </si>
  <si>
    <t>kW to MW</t>
  </si>
  <si>
    <t>2021 BRL to 2021 USD</t>
  </si>
  <si>
    <t>2021 USD to 2012 USD</t>
  </si>
  <si>
    <t>2021 BRL to 2012 USD</t>
  </si>
  <si>
    <t>Fixed O&amp;M Cost ($/MW)-BRA</t>
  </si>
  <si>
    <t>Variable O&amp;M Cost ($/MWh)-BRA</t>
  </si>
  <si>
    <t>Investment ($/MW)-2012$-BRA</t>
  </si>
  <si>
    <t>BRL/kW</t>
  </si>
  <si>
    <t>BRL/MW</t>
  </si>
  <si>
    <t>$/MW</t>
  </si>
  <si>
    <t>Unit</t>
  </si>
  <si>
    <t>1 kW to MW</t>
  </si>
  <si>
    <t>2020 BRL to USD</t>
  </si>
  <si>
    <t>Scaling US Cost</t>
  </si>
  <si>
    <t>Ratio US</t>
  </si>
  <si>
    <t>BR Cost</t>
  </si>
  <si>
    <t>Variable costs (BRL/MWh)</t>
  </si>
  <si>
    <t>Variable cost ($/MWh)</t>
  </si>
  <si>
    <t>Solar</t>
  </si>
  <si>
    <t>https://www.netzeropathfinders.com/best-practices/renewable-energy-auctions-brazil</t>
  </si>
  <si>
    <t>Variable Cost ($/MWh)</t>
  </si>
  <si>
    <t>Onshore wind</t>
  </si>
  <si>
    <t>CVU</t>
  </si>
  <si>
    <t>adjusted cost</t>
  </si>
  <si>
    <t>https://www.in2013dollars.com/us/inflation/2022?endYear=2012&amp;amount=1</t>
  </si>
  <si>
    <t>Offshore wind (US)</t>
  </si>
  <si>
    <t>https://www.irena.org/-/media/Files/IRENA/Agency/Publication/2012/RE_Technologies_Cost_Analysis-WIND_POWER.pdf</t>
  </si>
  <si>
    <t>Brazil</t>
  </si>
  <si>
    <t>Nuclear - CAPEX ($/MW)</t>
  </si>
  <si>
    <t>Fuel</t>
  </si>
  <si>
    <t>Technology (from table)</t>
  </si>
  <si>
    <t>Hard coal</t>
  </si>
  <si>
    <t>Carvão Nacional</t>
  </si>
  <si>
    <t>Carvão Importado (proxy)</t>
  </si>
  <si>
    <t>Natural gas (non-peaker)</t>
  </si>
  <si>
    <t>Gás Ciclo Combinado</t>
  </si>
  <si>
    <t>Natural gas (peaker)</t>
  </si>
  <si>
    <t>Gás Ciclo Aberto</t>
  </si>
  <si>
    <t>Nuclear Nova</t>
  </si>
  <si>
    <t>Hidrelétrica Média</t>
  </si>
  <si>
    <t>Eólica Onshore</t>
  </si>
  <si>
    <t>Offshore wind</t>
  </si>
  <si>
    <t>Eólica Offshore</t>
  </si>
  <si>
    <t>Fotovoltaica</t>
  </si>
  <si>
    <t>Solar thermal (CSP)</t>
  </si>
  <si>
    <t>Solar Concentrada – Cilindro Parabólico</t>
  </si>
  <si>
    <t>Biomassa Nova</t>
  </si>
  <si>
    <t>Not available in table</t>
  </si>
  <si>
    <t>n.a.</t>
  </si>
  <si>
    <t>Óleo Gerador</t>
  </si>
  <si>
    <t>Crude oil</t>
  </si>
  <si>
    <t>Óleo Rankine</t>
  </si>
  <si>
    <t>Heavy / residual fuel oil</t>
  </si>
  <si>
    <t>Óleo Rankine (proxy)</t>
  </si>
  <si>
    <t>Municipal solid waste</t>
  </si>
  <si>
    <t>Biomassa Existente (proxy)</t>
  </si>
  <si>
    <t>Year</t>
  </si>
  <si>
    <t>Fixed Cost (US $2010/MW)</t>
  </si>
  <si>
    <t>US $2010 to US $2012</t>
  </si>
  <si>
    <t>Fixed Cost (US $2012/MW)</t>
  </si>
  <si>
    <t>Ratio</t>
  </si>
  <si>
    <t>Fixed Cost (US $2012/MW)-CABRI</t>
  </si>
  <si>
    <t>Fixed O&amp;M Cost ($/MW)-EPE+CLP</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</si>
</sst>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00%"/>
  </numFmts>
  <fonts count="26">
    <font>
      <sz val="11"/>
      <color theme="1"/>
      <name val="Calibri"/>
      <scheme val="minor"/>
    </font>
    <font>
      <sz val="11"/>
      <color theme="1"/>
      <name val="Calibri"/>
      <family val="2"/>
      <scheme val="minor"/>
    </font>
    <font>
      <b/>
      <sz val="11"/>
      <color theme="1"/>
      <name val="Calibri"/>
      <family val="2"/>
    </font>
    <font>
      <sz val="11"/>
      <color theme="1"/>
      <name val="Calibri"/>
      <family val="2"/>
    </font>
    <font>
      <sz val="11"/>
      <color theme="1"/>
      <name val="Calibri"/>
      <family val="2"/>
      <scheme val="minor"/>
    </font>
    <font>
      <u/>
      <sz val="11"/>
      <color theme="10"/>
      <name val="Calibri"/>
      <family val="2"/>
    </font>
    <font>
      <i/>
      <sz val="11"/>
      <color theme="1"/>
      <name val="Calibri"/>
      <family val="2"/>
    </font>
    <font>
      <b/>
      <sz val="11"/>
      <color theme="1"/>
      <name val="Calibri"/>
      <family val="2"/>
      <scheme val="minor"/>
    </font>
    <font>
      <sz val="10"/>
      <color theme="1"/>
      <name val="Calibri (Body)"/>
    </font>
    <font>
      <sz val="10"/>
      <color theme="1"/>
      <name val="Calibri"/>
      <family val="2"/>
    </font>
    <font>
      <u/>
      <sz val="11"/>
      <color theme="10"/>
      <name val="Calibri"/>
      <family val="2"/>
      <scheme val="minor"/>
    </font>
    <font>
      <sz val="11"/>
      <color rgb="FFFF0000"/>
      <name val="Calibri"/>
      <family val="2"/>
      <scheme val="minor"/>
    </font>
    <font>
      <sz val="11"/>
      <color rgb="FF000000"/>
      <name val="Calibri"/>
      <family val="2"/>
      <scheme val="minor"/>
    </font>
    <font>
      <b/>
      <sz val="10"/>
      <color theme="1"/>
      <name val="Calibri"/>
      <family val="2"/>
    </font>
    <font>
      <b/>
      <sz val="10"/>
      <color theme="1"/>
      <name val="Calibri"/>
      <family val="2"/>
      <scheme val="minor"/>
    </font>
    <font>
      <sz val="10"/>
      <color theme="1"/>
      <name val="Calibri"/>
      <family val="2"/>
      <scheme val="minor"/>
    </font>
    <font>
      <b/>
      <sz val="11"/>
      <color rgb="FF000000"/>
      <name val="Calibri"/>
      <family val="2"/>
      <scheme val="minor"/>
    </font>
    <font>
      <u/>
      <sz val="20"/>
      <color rgb="FF1A0DAB"/>
      <name val="Arial"/>
      <family val="2"/>
    </font>
    <font>
      <sz val="12"/>
      <color rgb="FF1A0DAB"/>
      <name val="Arial"/>
      <family val="2"/>
    </font>
    <font>
      <sz val="14"/>
      <color rgb="FF202124"/>
      <name val="Arial"/>
      <family val="2"/>
    </font>
    <font>
      <b/>
      <sz val="11"/>
      <color rgb="FF333333"/>
      <name val="Calibri"/>
      <family val="2"/>
      <scheme val="minor"/>
    </font>
    <font>
      <b/>
      <sz val="11"/>
      <color rgb="FFFF0000"/>
      <name val="Calibri"/>
      <family val="2"/>
      <scheme val="minor"/>
    </font>
    <font>
      <sz val="8"/>
      <color theme="1"/>
      <name val="Calibri (Body)"/>
    </font>
    <font>
      <sz val="8"/>
      <color theme="1"/>
      <name val="Calibri"/>
      <family val="2"/>
    </font>
    <font>
      <i/>
      <sz val="11"/>
      <color theme="1"/>
      <name val="Calibri"/>
      <family val="2"/>
      <scheme val="minor"/>
    </font>
    <font>
      <sz val="12"/>
      <color rgb="FF000000"/>
      <name val="Calibri"/>
      <family val="2"/>
      <scheme val="major"/>
    </font>
  </fonts>
  <fills count="9">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FFFF00"/>
        <bgColor indexed="64"/>
      </patternFill>
    </fill>
    <fill>
      <patternFill patternType="solid">
        <fgColor theme="2"/>
        <bgColor indexed="64"/>
      </patternFill>
    </fill>
    <fill>
      <patternFill patternType="solid">
        <fgColor theme="4" tint="0.79998168889431442"/>
        <bgColor indexed="64"/>
      </patternFill>
    </fill>
    <fill>
      <patternFill patternType="solid">
        <fgColor theme="0"/>
        <bgColor indexed="64"/>
      </patternFill>
    </fill>
    <fill>
      <patternFill patternType="solid">
        <fgColor rgb="FFFFC000"/>
        <bgColor indexed="64"/>
      </patternFill>
    </fill>
  </fills>
  <borders count="3">
    <border>
      <left/>
      <right/>
      <top/>
      <bottom/>
      <diagonal/>
    </border>
    <border>
      <left/>
      <right/>
      <top/>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s>
  <cellStyleXfs count="2">
    <xf numFmtId="0" fontId="0" fillId="0" borderId="0"/>
    <xf numFmtId="0" fontId="10" fillId="0" borderId="0" applyNumberFormat="0" applyFill="0" applyBorder="0" applyAlignment="0" applyProtection="0"/>
  </cellStyleXfs>
  <cellXfs count="93">
    <xf numFmtId="0" fontId="0" fillId="0" borderId="0" xfId="0"/>
    <xf numFmtId="0" fontId="2" fillId="0" borderId="0" xfId="0" applyFont="1"/>
    <xf numFmtId="0" fontId="3" fillId="0" borderId="0" xfId="0" applyFont="1" applyAlignment="1">
      <alignment horizontal="left"/>
    </xf>
    <xf numFmtId="0" fontId="2" fillId="0" borderId="0" xfId="0" applyFont="1" applyAlignment="1">
      <alignment horizontal="left"/>
    </xf>
    <xf numFmtId="1" fontId="2" fillId="2" borderId="1" xfId="0" applyNumberFormat="1" applyFont="1" applyFill="1" applyBorder="1" applyAlignment="1">
      <alignment horizontal="left"/>
    </xf>
    <xf numFmtId="0" fontId="4" fillId="0" borderId="0" xfId="0" applyFont="1"/>
    <xf numFmtId="0" fontId="5" fillId="0" borderId="0" xfId="0" applyFont="1"/>
    <xf numFmtId="0" fontId="2" fillId="2" borderId="1" xfId="0" applyFont="1" applyFill="1" applyBorder="1" applyAlignment="1">
      <alignment horizontal="left"/>
    </xf>
    <xf numFmtId="0" fontId="3" fillId="0" borderId="0" xfId="0" applyFont="1" applyAlignment="1">
      <alignment wrapText="1"/>
    </xf>
    <xf numFmtId="0" fontId="2" fillId="3" borderId="1" xfId="0" applyFont="1" applyFill="1" applyBorder="1"/>
    <xf numFmtId="0" fontId="2" fillId="2" borderId="1" xfId="0" applyFont="1" applyFill="1" applyBorder="1"/>
    <xf numFmtId="9" fontId="3" fillId="0" borderId="0" xfId="0" applyNumberFormat="1" applyFont="1"/>
    <xf numFmtId="0" fontId="3" fillId="0" borderId="0" xfId="0" applyFont="1"/>
    <xf numFmtId="164" fontId="3" fillId="0" borderId="0" xfId="0" applyNumberFormat="1" applyFont="1"/>
    <xf numFmtId="0" fontId="2" fillId="0" borderId="0" xfId="0" applyFont="1" applyAlignment="1">
      <alignment wrapText="1"/>
    </xf>
    <xf numFmtId="0" fontId="3" fillId="2" borderId="1" xfId="0" applyFont="1" applyFill="1" applyBorder="1"/>
    <xf numFmtId="0" fontId="2" fillId="0" borderId="0" xfId="0" applyFont="1" applyAlignment="1">
      <alignment horizontal="right" wrapText="1"/>
    </xf>
    <xf numFmtId="0" fontId="2" fillId="0" borderId="0" xfId="0" applyFont="1" applyAlignment="1">
      <alignment horizontal="center" wrapText="1"/>
    </xf>
    <xf numFmtId="2" fontId="3" fillId="0" borderId="0" xfId="0" applyNumberFormat="1" applyFont="1"/>
    <xf numFmtId="0" fontId="3" fillId="0" borderId="0" xfId="0" applyFont="1" applyAlignment="1">
      <alignment horizontal="center"/>
    </xf>
    <xf numFmtId="1" fontId="3" fillId="0" borderId="0" xfId="0" applyNumberFormat="1" applyFont="1"/>
    <xf numFmtId="1" fontId="4" fillId="0" borderId="0" xfId="0" applyNumberFormat="1" applyFont="1"/>
    <xf numFmtId="0" fontId="2" fillId="0" borderId="0" xfId="0" applyFont="1" applyAlignment="1">
      <alignment horizontal="left" wrapText="1"/>
    </xf>
    <xf numFmtId="2" fontId="4" fillId="0" borderId="0" xfId="0" applyNumberFormat="1" applyFont="1"/>
    <xf numFmtId="0" fontId="6" fillId="0" borderId="0" xfId="0" applyFont="1"/>
    <xf numFmtId="0" fontId="7" fillId="0" borderId="0" xfId="0" applyFont="1"/>
    <xf numFmtId="0" fontId="7" fillId="0" borderId="0" xfId="0" applyFont="1" applyAlignment="1">
      <alignment horizontal="left"/>
    </xf>
    <xf numFmtId="11" fontId="0" fillId="0" borderId="0" xfId="0" applyNumberFormat="1" applyAlignment="1">
      <alignment horizontal="left"/>
    </xf>
    <xf numFmtId="11" fontId="4" fillId="0" borderId="0" xfId="0" applyNumberFormat="1" applyFont="1" applyAlignment="1">
      <alignment horizontal="left"/>
    </xf>
    <xf numFmtId="11" fontId="0" fillId="0" borderId="0" xfId="0" applyNumberFormat="1"/>
    <xf numFmtId="11" fontId="3" fillId="0" borderId="0" xfId="0" applyNumberFormat="1" applyFont="1"/>
    <xf numFmtId="11" fontId="8" fillId="0" borderId="0" xfId="0" applyNumberFormat="1" applyFont="1"/>
    <xf numFmtId="11" fontId="9" fillId="0" borderId="0" xfId="0" applyNumberFormat="1" applyFont="1"/>
    <xf numFmtId="11" fontId="3" fillId="2" borderId="1" xfId="0" applyNumberFormat="1" applyFont="1" applyFill="1" applyBorder="1"/>
    <xf numFmtId="0" fontId="10" fillId="0" borderId="0" xfId="1"/>
    <xf numFmtId="0" fontId="4" fillId="0" borderId="0" xfId="0" applyFont="1" applyAlignment="1">
      <alignment vertical="top"/>
    </xf>
    <xf numFmtId="0" fontId="11" fillId="0" borderId="0" xfId="0" applyFont="1" applyAlignment="1">
      <alignment vertical="top"/>
    </xf>
    <xf numFmtId="0" fontId="11" fillId="0" borderId="0" xfId="0" applyFont="1"/>
    <xf numFmtId="0" fontId="10" fillId="0" borderId="0" xfId="1" applyAlignment="1">
      <alignment horizontal="left"/>
    </xf>
    <xf numFmtId="0" fontId="12" fillId="0" borderId="0" xfId="0" applyFont="1"/>
    <xf numFmtId="0" fontId="2" fillId="0" borderId="0" xfId="0" applyFont="1" applyAlignment="1">
      <alignment horizontal="right"/>
    </xf>
    <xf numFmtId="0" fontId="13" fillId="0" borderId="0" xfId="0" applyFont="1" applyAlignment="1">
      <alignment horizontal="left"/>
    </xf>
    <xf numFmtId="0" fontId="13" fillId="0" borderId="0" xfId="0" applyFont="1" applyAlignment="1">
      <alignment horizontal="right"/>
    </xf>
    <xf numFmtId="0" fontId="14" fillId="0" borderId="0" xfId="0" applyFont="1"/>
    <xf numFmtId="0" fontId="9" fillId="0" borderId="0" xfId="0" applyFont="1"/>
    <xf numFmtId="11" fontId="15" fillId="0" borderId="0" xfId="0" applyNumberFormat="1" applyFont="1"/>
    <xf numFmtId="0" fontId="16" fillId="0" borderId="1" xfId="0" applyFont="1" applyBorder="1"/>
    <xf numFmtId="0" fontId="3" fillId="0" borderId="2" xfId="0" applyFont="1" applyBorder="1"/>
    <xf numFmtId="11" fontId="0" fillId="0" borderId="2" xfId="0" applyNumberFormat="1" applyBorder="1" applyAlignment="1">
      <alignment horizontal="left"/>
    </xf>
    <xf numFmtId="0" fontId="3" fillId="5" borderId="2" xfId="0" applyFont="1" applyFill="1" applyBorder="1"/>
    <xf numFmtId="0" fontId="4" fillId="0" borderId="0" xfId="0" applyFont="1" applyAlignment="1">
      <alignment horizontal="left"/>
    </xf>
    <xf numFmtId="0" fontId="4" fillId="0" borderId="0" xfId="0" applyFont="1" applyAlignment="1">
      <alignment wrapText="1"/>
    </xf>
    <xf numFmtId="0" fontId="17" fillId="0" borderId="0" xfId="0" applyFont="1"/>
    <xf numFmtId="0" fontId="18" fillId="0" borderId="0" xfId="0" applyFont="1"/>
    <xf numFmtId="0" fontId="19" fillId="0" borderId="0" xfId="0" applyFont="1"/>
    <xf numFmtId="0" fontId="20" fillId="0" borderId="0" xfId="0" applyFont="1"/>
    <xf numFmtId="0" fontId="21" fillId="0" borderId="0" xfId="0" applyFont="1"/>
    <xf numFmtId="11" fontId="22" fillId="0" borderId="0" xfId="0" applyNumberFormat="1" applyFont="1"/>
    <xf numFmtId="11" fontId="23" fillId="0" borderId="0" xfId="0" applyNumberFormat="1" applyFont="1"/>
    <xf numFmtId="0" fontId="0" fillId="0" borderId="0" xfId="0"/>
    <xf numFmtId="0" fontId="3" fillId="0" borderId="0" xfId="0" applyFont="1"/>
    <xf numFmtId="0" fontId="3" fillId="0" borderId="0" xfId="0" applyFont="1" applyAlignment="1">
      <alignment wrapText="1"/>
    </xf>
    <xf numFmtId="0" fontId="0" fillId="0" borderId="0" xfId="0"/>
    <xf numFmtId="0" fontId="3" fillId="0" borderId="0" xfId="0" applyFont="1"/>
    <xf numFmtId="0" fontId="1" fillId="0" borderId="0" xfId="0" applyFont="1"/>
    <xf numFmtId="0" fontId="7" fillId="4" borderId="0" xfId="0" applyFont="1" applyFill="1"/>
    <xf numFmtId="0" fontId="7" fillId="0" borderId="0" xfId="0" applyFont="1" applyAlignment="1">
      <alignment horizontal="center"/>
    </xf>
    <xf numFmtId="0" fontId="7" fillId="6" borderId="0" xfId="0" applyFont="1" applyFill="1" applyAlignment="1">
      <alignment horizontal="center"/>
    </xf>
    <xf numFmtId="0" fontId="7" fillId="6" borderId="0" xfId="0" applyFont="1" applyFill="1" applyAlignment="1">
      <alignment horizontal="right"/>
    </xf>
    <xf numFmtId="1" fontId="3" fillId="6" borderId="0" xfId="0" applyNumberFormat="1" applyFont="1" applyFill="1"/>
    <xf numFmtId="0" fontId="4" fillId="6" borderId="0" xfId="0" applyFont="1" applyFill="1"/>
    <xf numFmtId="0" fontId="1" fillId="6" borderId="0" xfId="0" applyFont="1" applyFill="1"/>
    <xf numFmtId="0" fontId="7" fillId="6" borderId="0" xfId="0" applyFont="1" applyFill="1"/>
    <xf numFmtId="1" fontId="0" fillId="0" borderId="0" xfId="0" applyNumberFormat="1"/>
    <xf numFmtId="0" fontId="0" fillId="0" borderId="0" xfId="0" applyAlignment="1">
      <alignment horizontal="center"/>
    </xf>
    <xf numFmtId="0" fontId="1" fillId="0" borderId="0" xfId="0" applyFont="1" applyAlignment="1">
      <alignment horizontal="center"/>
    </xf>
    <xf numFmtId="0" fontId="0" fillId="0" borderId="0" xfId="0" applyNumberFormat="1"/>
    <xf numFmtId="11" fontId="4" fillId="0" borderId="0" xfId="0" applyNumberFormat="1" applyFont="1" applyAlignment="1">
      <alignment horizontal="right"/>
    </xf>
    <xf numFmtId="11" fontId="1" fillId="0" borderId="0" xfId="0" applyNumberFormat="1" applyFont="1"/>
    <xf numFmtId="0" fontId="3" fillId="7" borderId="2" xfId="0" applyFont="1" applyFill="1" applyBorder="1"/>
    <xf numFmtId="11" fontId="0" fillId="7" borderId="2" xfId="0" applyNumberFormat="1" applyFill="1" applyBorder="1" applyAlignment="1">
      <alignment horizontal="left"/>
    </xf>
    <xf numFmtId="0" fontId="3" fillId="7" borderId="0" xfId="0" applyFont="1" applyFill="1"/>
    <xf numFmtId="11" fontId="7" fillId="0" borderId="0" xfId="0" applyNumberFormat="1" applyFont="1" applyAlignment="1">
      <alignment vertical="center" wrapText="1"/>
    </xf>
    <xf numFmtId="11" fontId="1" fillId="0" borderId="0" xfId="0" applyNumberFormat="1" applyFont="1" applyAlignment="1">
      <alignment vertical="center" wrapText="1"/>
    </xf>
    <xf numFmtId="11" fontId="1" fillId="0" borderId="0" xfId="0" applyNumberFormat="1" applyFont="1" applyAlignment="1">
      <alignment horizontal="right" vertical="center" wrapText="1"/>
    </xf>
    <xf numFmtId="11" fontId="24" fillId="0" borderId="0" xfId="0" applyNumberFormat="1" applyFont="1" applyAlignment="1">
      <alignment vertical="center" wrapText="1"/>
    </xf>
    <xf numFmtId="0" fontId="7" fillId="0" borderId="0" xfId="0" applyNumberFormat="1" applyFont="1" applyAlignment="1">
      <alignment horizontal="right" vertical="center" wrapText="1"/>
    </xf>
    <xf numFmtId="11" fontId="7" fillId="0" borderId="0" xfId="0" applyNumberFormat="1" applyFont="1" applyAlignment="1">
      <alignment horizontal="left" vertical="center" wrapText="1"/>
    </xf>
    <xf numFmtId="0" fontId="25" fillId="0" borderId="0" xfId="0" applyFont="1"/>
    <xf numFmtId="11" fontId="1" fillId="0" borderId="0" xfId="0" applyNumberFormat="1" applyFont="1" applyAlignment="1">
      <alignment horizontal="right"/>
    </xf>
    <xf numFmtId="0" fontId="7" fillId="8" borderId="0" xfId="0" applyFont="1" applyFill="1"/>
    <xf numFmtId="0" fontId="1" fillId="8" borderId="0" xfId="0" applyFont="1" applyFill="1"/>
    <xf numFmtId="0" fontId="0" fillId="0" borderId="0" xfId="0" applyFont="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33" Type="http://schemas.openxmlformats.org/officeDocument/2006/relationships/calcChain" Target="calcChain.xml"/><Relationship Id="rId2" Type="http://schemas.openxmlformats.org/officeDocument/2006/relationships/worksheet" Target="worksheets/sheet2.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30"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'solar thermal'!$A$11</c:f>
              <c:strCache>
                <c:ptCount val="1"/>
                <c:pt idx="0">
                  <c:v>Investment ($/MW)</c:v>
                </c:pt>
              </c:strCache>
            </c:strRef>
          </c:tx>
          <c:spPr>
            <a:ln w="28575" cap="rnd">
              <a:solidFill>
                <a:schemeClr val="accent1"/>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thermal'!$B$11:$BA$11</c:f>
              <c:numCache>
                <c:formatCode>General</c:formatCode>
                <c:ptCount val="52"/>
                <c:pt idx="0">
                  <c:v>5176188.1442524493</c:v>
                </c:pt>
                <c:pt idx="1">
                  <c:v>5133476.9346356094</c:v>
                </c:pt>
                <c:pt idx="2">
                  <c:v>5090765.7250187844</c:v>
                </c:pt>
                <c:pt idx="3">
                  <c:v>5048054.5154019594</c:v>
                </c:pt>
                <c:pt idx="4">
                  <c:v>5005343.3057851344</c:v>
                </c:pt>
                <c:pt idx="5">
                  <c:v>4962632.0961682945</c:v>
                </c:pt>
                <c:pt idx="6">
                  <c:v>4919920.8865514696</c:v>
                </c:pt>
                <c:pt idx="7">
                  <c:v>4877209.6769346446</c:v>
                </c:pt>
                <c:pt idx="8">
                  <c:v>4834498.4673178047</c:v>
                </c:pt>
                <c:pt idx="9">
                  <c:v>4791787.2577009797</c:v>
                </c:pt>
                <c:pt idx="10">
                  <c:v>4749076.0480841547</c:v>
                </c:pt>
                <c:pt idx="11">
                  <c:v>4706364.8384673148</c:v>
                </c:pt>
                <c:pt idx="12">
                  <c:v>4663653.6288504899</c:v>
                </c:pt>
                <c:pt idx="13">
                  <c:v>4620942.4192336649</c:v>
                </c:pt>
                <c:pt idx="14">
                  <c:v>4578231.2096168399</c:v>
                </c:pt>
                <c:pt idx="15">
                  <c:v>4535520</c:v>
                </c:pt>
                <c:pt idx="16">
                  <c:v>4492808.790383175</c:v>
                </c:pt>
                <c:pt idx="17">
                  <c:v>4450097.58076635</c:v>
                </c:pt>
                <c:pt idx="18">
                  <c:v>4407386.3711495101</c:v>
                </c:pt>
                <c:pt idx="19">
                  <c:v>4364675.1615326852</c:v>
                </c:pt>
                <c:pt idx="20">
                  <c:v>4321963.9519158602</c:v>
                </c:pt>
                <c:pt idx="21">
                  <c:v>4279252.7422990203</c:v>
                </c:pt>
                <c:pt idx="22">
                  <c:v>4236541.5326821953</c:v>
                </c:pt>
                <c:pt idx="23">
                  <c:v>4193830.3230653703</c:v>
                </c:pt>
                <c:pt idx="24">
                  <c:v>4151119.1134485453</c:v>
                </c:pt>
                <c:pt idx="25">
                  <c:v>4108407.9038317055</c:v>
                </c:pt>
                <c:pt idx="26">
                  <c:v>4065696.6942148805</c:v>
                </c:pt>
                <c:pt idx="27">
                  <c:v>4022985.4845980555</c:v>
                </c:pt>
                <c:pt idx="28">
                  <c:v>3980274.2749812156</c:v>
                </c:pt>
                <c:pt idx="29">
                  <c:v>3937563.0653643906</c:v>
                </c:pt>
                <c:pt idx="30">
                  <c:v>3894851.8557475656</c:v>
                </c:pt>
                <c:pt idx="31">
                  <c:v>3852140.6461307257</c:v>
                </c:pt>
                <c:pt idx="32">
                  <c:v>3809429.4365139008</c:v>
                </c:pt>
                <c:pt idx="33">
                  <c:v>3766718.2268970758</c:v>
                </c:pt>
                <c:pt idx="34">
                  <c:v>3724007.0172802359</c:v>
                </c:pt>
                <c:pt idx="35">
                  <c:v>3681295.8076634109</c:v>
                </c:pt>
                <c:pt idx="36">
                  <c:v>3638584.5980465859</c:v>
                </c:pt>
                <c:pt idx="37">
                  <c:v>3595873.3884297609</c:v>
                </c:pt>
                <c:pt idx="38">
                  <c:v>3553162.178812921</c:v>
                </c:pt>
                <c:pt idx="39">
                  <c:v>3510450.9691960961</c:v>
                </c:pt>
                <c:pt idx="40">
                  <c:v>3467739.7595792711</c:v>
                </c:pt>
                <c:pt idx="41">
                  <c:v>3425028.5499624312</c:v>
                </c:pt>
                <c:pt idx="42">
                  <c:v>3382317.3403456062</c:v>
                </c:pt>
                <c:pt idx="43">
                  <c:v>3339606.1307287812</c:v>
                </c:pt>
                <c:pt idx="44">
                  <c:v>3296894.9211119413</c:v>
                </c:pt>
                <c:pt idx="45">
                  <c:v>3254183.7114951164</c:v>
                </c:pt>
                <c:pt idx="46">
                  <c:v>3211472.5018782914</c:v>
                </c:pt>
                <c:pt idx="47">
                  <c:v>3168761.2922614664</c:v>
                </c:pt>
                <c:pt idx="48">
                  <c:v>3126050.0826446265</c:v>
                </c:pt>
                <c:pt idx="49">
                  <c:v>3083338.8730278015</c:v>
                </c:pt>
                <c:pt idx="50">
                  <c:v>3040627.6634109765</c:v>
                </c:pt>
                <c:pt idx="51">
                  <c:v>2997916.4537941366</c:v>
                </c:pt>
              </c:numCache>
            </c:numRef>
          </c:val>
          <c:smooth val="0"/>
          <c:extLst xmlns:c16r2="http://schemas.microsoft.com/office/drawing/2015/06/chart">
            <c:ext xmlns:c16="http://schemas.microsoft.com/office/drawing/2014/chart" uri="{C3380CC4-5D6E-409C-BE32-E72D297353CC}">
              <c16:uniqueId val="{00000000-0A1C-D242-AE4B-B662113621A0}"/>
            </c:ext>
          </c:extLst>
        </c:ser>
        <c:ser>
          <c:idx val="1"/>
          <c:order val="1"/>
          <c:tx>
            <c:strRef>
              <c:f>'solar thermal'!$A$12</c:f>
              <c:strCache>
                <c:ptCount val="1"/>
                <c:pt idx="0">
                  <c:v>Investment ($/MW)-2012$-BRA</c:v>
                </c:pt>
              </c:strCache>
            </c:strRef>
          </c:tx>
          <c:spPr>
            <a:ln w="28575" cap="rnd">
              <a:solidFill>
                <a:schemeClr val="accent2"/>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thermal'!$B$12:$BA$12</c:f>
              <c:numCache>
                <c:formatCode>General</c:formatCode>
                <c:ptCount val="52"/>
                <c:pt idx="0">
                  <c:v>4606807.4483846799</c:v>
                </c:pt>
                <c:pt idx="1">
                  <c:v>4568794.4718256928</c:v>
                </c:pt>
                <c:pt idx="2">
                  <c:v>4530781.4952667179</c:v>
                </c:pt>
                <c:pt idx="3">
                  <c:v>4492768.5187077438</c:v>
                </c:pt>
                <c:pt idx="4">
                  <c:v>4454755.5421487698</c:v>
                </c:pt>
                <c:pt idx="5">
                  <c:v>4416742.5655897819</c:v>
                </c:pt>
                <c:pt idx="6">
                  <c:v>4378729.5890308078</c:v>
                </c:pt>
                <c:pt idx="7">
                  <c:v>4340716.6124718338</c:v>
                </c:pt>
                <c:pt idx="8">
                  <c:v>4302703.6359128458</c:v>
                </c:pt>
                <c:pt idx="9">
                  <c:v>4264690.6593538718</c:v>
                </c:pt>
                <c:pt idx="10">
                  <c:v>4226677.6827948978</c:v>
                </c:pt>
                <c:pt idx="11">
                  <c:v>4188664.7062359103</c:v>
                </c:pt>
                <c:pt idx="12">
                  <c:v>4150651.7296769358</c:v>
                </c:pt>
                <c:pt idx="13">
                  <c:v>4112638.7531179618</c:v>
                </c:pt>
                <c:pt idx="14">
                  <c:v>4074625.7765589873</c:v>
                </c:pt>
                <c:pt idx="15">
                  <c:v>4036612.8000000003</c:v>
                </c:pt>
                <c:pt idx="16">
                  <c:v>3998599.8234410258</c:v>
                </c:pt>
                <c:pt idx="17">
                  <c:v>3960586.8468820518</c:v>
                </c:pt>
                <c:pt idx="18">
                  <c:v>3922573.8703230643</c:v>
                </c:pt>
                <c:pt idx="19">
                  <c:v>3884560.8937640898</c:v>
                </c:pt>
                <c:pt idx="20">
                  <c:v>3846547.9172051158</c:v>
                </c:pt>
                <c:pt idx="21">
                  <c:v>3808534.9406461283</c:v>
                </c:pt>
                <c:pt idx="22">
                  <c:v>3770521.9640871538</c:v>
                </c:pt>
                <c:pt idx="23">
                  <c:v>3732508.9875281798</c:v>
                </c:pt>
                <c:pt idx="24">
                  <c:v>3694496.0109692053</c:v>
                </c:pt>
                <c:pt idx="25">
                  <c:v>3656483.0344102178</c:v>
                </c:pt>
                <c:pt idx="26">
                  <c:v>3618470.0578512438</c:v>
                </c:pt>
                <c:pt idx="27">
                  <c:v>3580457.0812922693</c:v>
                </c:pt>
                <c:pt idx="28">
                  <c:v>3542444.1047332818</c:v>
                </c:pt>
                <c:pt idx="29">
                  <c:v>3504431.1281743078</c:v>
                </c:pt>
                <c:pt idx="30">
                  <c:v>3466418.1516153333</c:v>
                </c:pt>
                <c:pt idx="31">
                  <c:v>3428405.1750563458</c:v>
                </c:pt>
                <c:pt idx="32">
                  <c:v>3390392.1984973717</c:v>
                </c:pt>
                <c:pt idx="33">
                  <c:v>3352379.2219383973</c:v>
                </c:pt>
                <c:pt idx="34">
                  <c:v>3314366.2453794102</c:v>
                </c:pt>
                <c:pt idx="35">
                  <c:v>3276353.2688204357</c:v>
                </c:pt>
                <c:pt idx="36">
                  <c:v>3238340.2922614617</c:v>
                </c:pt>
                <c:pt idx="37">
                  <c:v>3200327.3157024872</c:v>
                </c:pt>
                <c:pt idx="38">
                  <c:v>3162314.3391434997</c:v>
                </c:pt>
                <c:pt idx="39">
                  <c:v>3124301.3625845257</c:v>
                </c:pt>
                <c:pt idx="40">
                  <c:v>3086288.3860255512</c:v>
                </c:pt>
                <c:pt idx="41">
                  <c:v>3048275.4094665637</c:v>
                </c:pt>
                <c:pt idx="42">
                  <c:v>3010262.4329075897</c:v>
                </c:pt>
                <c:pt idx="43">
                  <c:v>2972249.4563486152</c:v>
                </c:pt>
                <c:pt idx="44">
                  <c:v>2934236.4797896277</c:v>
                </c:pt>
                <c:pt idx="45">
                  <c:v>2896223.5032306537</c:v>
                </c:pt>
                <c:pt idx="46">
                  <c:v>2858210.5266716792</c:v>
                </c:pt>
                <c:pt idx="47">
                  <c:v>2820197.5501127052</c:v>
                </c:pt>
                <c:pt idx="48">
                  <c:v>2782184.5735537177</c:v>
                </c:pt>
                <c:pt idx="49">
                  <c:v>2744171.5969947432</c:v>
                </c:pt>
                <c:pt idx="50">
                  <c:v>2706158.6204357692</c:v>
                </c:pt>
                <c:pt idx="51">
                  <c:v>2668145.6438767817</c:v>
                </c:pt>
              </c:numCache>
            </c:numRef>
          </c:val>
          <c:smooth val="0"/>
          <c:extLst xmlns:c16r2="http://schemas.microsoft.com/office/drawing/2015/06/chart">
            <c:ext xmlns:c16="http://schemas.microsoft.com/office/drawing/2014/chart" uri="{C3380CC4-5D6E-409C-BE32-E72D297353CC}">
              <c16:uniqueId val="{00000001-0A1C-D242-AE4B-B662113621A0}"/>
            </c:ext>
          </c:extLst>
        </c:ser>
        <c:ser>
          <c:idx val="2"/>
          <c:order val="2"/>
          <c:tx>
            <c:strRef>
              <c:f>'solar thermal'!$A$13</c:f>
              <c:strCache>
                <c:ptCount val="1"/>
                <c:pt idx="0">
                  <c:v>Investment ($/MW)-2012$-US</c:v>
                </c:pt>
              </c:strCache>
            </c:strRef>
          </c:tx>
          <c:spPr>
            <a:ln w="28575" cap="rnd">
              <a:solidFill>
                <a:schemeClr val="accent3"/>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thermal'!$B$13:$BA$13</c:f>
              <c:numCache>
                <c:formatCode>General</c:formatCode>
                <c:ptCount val="52"/>
                <c:pt idx="0">
                  <c:v>5770615.6415932029</c:v>
                </c:pt>
                <c:pt idx="1">
                  <c:v>5579703.7886677757</c:v>
                </c:pt>
                <c:pt idx="2">
                  <c:v>5388791.9357423494</c:v>
                </c:pt>
                <c:pt idx="3">
                  <c:v>5197880.082816923</c:v>
                </c:pt>
                <c:pt idx="4">
                  <c:v>5006968.2298914967</c:v>
                </c:pt>
                <c:pt idx="5">
                  <c:v>4816056.3769660695</c:v>
                </c:pt>
                <c:pt idx="6">
                  <c:v>4630891.4252945716</c:v>
                </c:pt>
                <c:pt idx="7">
                  <c:v>4445255.6682265233</c:v>
                </c:pt>
                <c:pt idx="8">
                  <c:v>4259148.6487105982</c:v>
                </c:pt>
                <c:pt idx="9">
                  <c:v>4072569.907682443</c:v>
                </c:pt>
                <c:pt idx="10">
                  <c:v>3885518.9840730261</c:v>
                </c:pt>
                <c:pt idx="11">
                  <c:v>3865472.7944376948</c:v>
                </c:pt>
                <c:pt idx="12">
                  <c:v>3845426.6048023649</c:v>
                </c:pt>
                <c:pt idx="13">
                  <c:v>3825380.4151670355</c:v>
                </c:pt>
                <c:pt idx="14">
                  <c:v>3805334.2255317057</c:v>
                </c:pt>
                <c:pt idx="15">
                  <c:v>3785288.0358963748</c:v>
                </c:pt>
                <c:pt idx="16">
                  <c:v>3765241.846261045</c:v>
                </c:pt>
                <c:pt idx="17">
                  <c:v>3745195.6566257156</c:v>
                </c:pt>
                <c:pt idx="18">
                  <c:v>3725149.4669903857</c:v>
                </c:pt>
                <c:pt idx="19">
                  <c:v>3705103.2773550553</c:v>
                </c:pt>
                <c:pt idx="20">
                  <c:v>3685057.0877197245</c:v>
                </c:pt>
                <c:pt idx="21">
                  <c:v>3665010.8980843951</c:v>
                </c:pt>
                <c:pt idx="22">
                  <c:v>3644964.7084490648</c:v>
                </c:pt>
                <c:pt idx="23">
                  <c:v>3624918.5188137349</c:v>
                </c:pt>
                <c:pt idx="24">
                  <c:v>3604872.3291784045</c:v>
                </c:pt>
                <c:pt idx="25">
                  <c:v>3584826.1395430746</c:v>
                </c:pt>
                <c:pt idx="26">
                  <c:v>3564779.9499077443</c:v>
                </c:pt>
                <c:pt idx="27">
                  <c:v>3544733.7602724144</c:v>
                </c:pt>
                <c:pt idx="28">
                  <c:v>3524687.5706370845</c:v>
                </c:pt>
                <c:pt idx="29">
                  <c:v>3504641.3810017542</c:v>
                </c:pt>
                <c:pt idx="30">
                  <c:v>3484595.1913664243</c:v>
                </c:pt>
                <c:pt idx="31">
                  <c:v>3047968.6751432121</c:v>
                </c:pt>
                <c:pt idx="32">
                  <c:v>2983317.3613967001</c:v>
                </c:pt>
                <c:pt idx="33">
                  <c:v>2918666.0476502031</c:v>
                </c:pt>
                <c:pt idx="34">
                  <c:v>2854014.7339036912</c:v>
                </c:pt>
                <c:pt idx="35">
                  <c:v>2789363.4201571941</c:v>
                </c:pt>
                <c:pt idx="36">
                  <c:v>2724712.1064106822</c:v>
                </c:pt>
                <c:pt idx="37">
                  <c:v>2660060.7926641852</c:v>
                </c:pt>
                <c:pt idx="38">
                  <c:v>2595409.4789176732</c:v>
                </c:pt>
                <c:pt idx="39">
                  <c:v>2530758.1651711762</c:v>
                </c:pt>
                <c:pt idx="40">
                  <c:v>2466106.8514246643</c:v>
                </c:pt>
                <c:pt idx="41">
                  <c:v>2401455.5376781523</c:v>
                </c:pt>
                <c:pt idx="42">
                  <c:v>2336804.2239316553</c:v>
                </c:pt>
                <c:pt idx="43">
                  <c:v>2272152.9101851434</c:v>
                </c:pt>
                <c:pt idx="44">
                  <c:v>2207501.5964386463</c:v>
                </c:pt>
                <c:pt idx="45">
                  <c:v>2142850.2826921344</c:v>
                </c:pt>
                <c:pt idx="46">
                  <c:v>2078198.9689456373</c:v>
                </c:pt>
                <c:pt idx="47">
                  <c:v>2013547.6551991254</c:v>
                </c:pt>
                <c:pt idx="48">
                  <c:v>1948896.3414526284</c:v>
                </c:pt>
                <c:pt idx="49">
                  <c:v>1884245.0277061164</c:v>
                </c:pt>
                <c:pt idx="50">
                  <c:v>1819593.7139596194</c:v>
                </c:pt>
                <c:pt idx="51">
                  <c:v>1754942.4002131075</c:v>
                </c:pt>
              </c:numCache>
            </c:numRef>
          </c:val>
          <c:smooth val="0"/>
          <c:extLst xmlns:c16r2="http://schemas.microsoft.com/office/drawing/2015/06/chart">
            <c:ext xmlns:c16="http://schemas.microsoft.com/office/drawing/2014/chart" uri="{C3380CC4-5D6E-409C-BE32-E72D297353CC}">
              <c16:uniqueId val="{00000002-0A1C-D242-AE4B-B662113621A0}"/>
            </c:ext>
          </c:extLst>
        </c:ser>
        <c:ser>
          <c:idx val="3"/>
          <c:order val="3"/>
          <c:tx>
            <c:strRef>
              <c:f>'solar thermal'!$A$14</c:f>
              <c:strCache>
                <c:ptCount val="1"/>
                <c:pt idx="0">
                  <c:v>Adjustement factor</c:v>
                </c:pt>
              </c:strCache>
            </c:strRef>
          </c:tx>
          <c:spPr>
            <a:ln w="28575" cap="rnd">
              <a:solidFill>
                <a:schemeClr val="accent4"/>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thermal'!$B$14:$BA$14</c:f>
              <c:numCache>
                <c:formatCode>General</c:formatCode>
                <c:ptCount val="52"/>
                <c:pt idx="0">
                  <c:v>1.2526279221018013</c:v>
                </c:pt>
                <c:pt idx="1">
                  <c:v>1.2212639073777645</c:v>
                </c:pt>
                <c:pt idx="2">
                  <c:v>1.1893736083657953</c:v>
                </c:pt>
                <c:pt idx="3">
                  <c:v>1.156943666510553</c:v>
                </c:pt>
                <c:pt idx="4">
                  <c:v>1.1239602672959166</c:v>
                </c:pt>
                <c:pt idx="5">
                  <c:v>1.0904091206237114</c:v>
                </c:pt>
                <c:pt idx="6">
                  <c:v>1.0575878987584564</c:v>
                </c:pt>
                <c:pt idx="7">
                  <c:v>1.0240833634368864</c:v>
                </c:pt>
                <c:pt idx="8">
                  <c:v>0.98987729788342549</c:v>
                </c:pt>
                <c:pt idx="9">
                  <c:v>0.95495083535542147</c:v>
                </c:pt>
                <c:pt idx="10">
                  <c:v>0.91928442991747605</c:v>
                </c:pt>
                <c:pt idx="11">
                  <c:v>0.92284130278628873</c:v>
                </c:pt>
                <c:pt idx="12">
                  <c:v>0.92646332558035938</c:v>
                </c:pt>
                <c:pt idx="13">
                  <c:v>0.93015230483515143</c:v>
                </c:pt>
                <c:pt idx="14">
                  <c:v>0.93391011450020867</c:v>
                </c:pt>
                <c:pt idx="15">
                  <c:v>0.93773869911336916</c:v>
                </c:pt>
                <c:pt idx="16">
                  <c:v>0.94164007715601739</c:v>
                </c:pt>
                <c:pt idx="17">
                  <c:v>0.94561634460158306</c:v>
                </c:pt>
                <c:pt idx="18">
                  <c:v>0.94966967867034235</c:v>
                </c:pt>
                <c:pt idx="19">
                  <c:v>0.95380234180467627</c:v>
                </c:pt>
                <c:pt idx="20">
                  <c:v>0.95801668588006839</c:v>
                </c:pt>
                <c:pt idx="21">
                  <c:v>0.96231515666825318</c:v>
                </c:pt>
                <c:pt idx="22">
                  <c:v>0.9667002985703369</c:v>
                </c:pt>
                <c:pt idx="23">
                  <c:v>0.97117475963917355</c:v>
                </c:pt>
                <c:pt idx="24">
                  <c:v>0.97574129691175682</c:v>
                </c:pt>
                <c:pt idx="25">
                  <c:v>0.98040278207425047</c:v>
                </c:pt>
                <c:pt idx="26">
                  <c:v>0.98516220748407068</c:v>
                </c:pt>
                <c:pt idx="27">
                  <c:v>0.99002269257561903</c:v>
                </c:pt>
                <c:pt idx="28">
                  <c:v>0.99498749067840719</c:v>
                </c:pt>
                <c:pt idx="29">
                  <c:v>1.0000599962789269</c:v>
                </c:pt>
                <c:pt idx="30">
                  <c:v>1.0052437527603588</c:v>
                </c:pt>
                <c:pt idx="31">
                  <c:v>0.88903397338184187</c:v>
                </c:pt>
                <c:pt idx="32">
                  <c:v>0.87993281801406698</c:v>
                </c:pt>
                <c:pt idx="33">
                  <c:v>0.87062526475229296</c:v>
                </c:pt>
                <c:pt idx="34">
                  <c:v>0.86110421196887954</c:v>
                </c:pt>
                <c:pt idx="35">
                  <c:v>0.85136222845756515</c:v>
                </c:pt>
                <c:pt idx="36">
                  <c:v>0.84139153408979983</c:v>
                </c:pt>
                <c:pt idx="37">
                  <c:v>0.83118397909255382</c:v>
                </c:pt>
                <c:pt idx="38">
                  <c:v>0.82073102183150759</c:v>
                </c:pt>
                <c:pt idx="39">
                  <c:v>0.81002370497244514</c:v>
                </c:pt>
                <c:pt idx="40">
                  <c:v>0.7990526298809224</c:v>
                </c:pt>
                <c:pt idx="41">
                  <c:v>0.78780792910650999</c:v>
                </c:pt>
                <c:pt idx="42">
                  <c:v>0.77627923678220767</c:v>
                </c:pt>
                <c:pt idx="43">
                  <c:v>0.76445565675246685</c:v>
                </c:pt>
                <c:pt idx="44">
                  <c:v>0.7523257282238256</c:v>
                </c:pt>
                <c:pt idx="45">
                  <c:v>0.73987738871045239</c:v>
                </c:pt>
                <c:pt idx="46">
                  <c:v>0.72709793402295408</c:v>
                </c:pt>
                <c:pt idx="47">
                  <c:v>0.71397397502123805</c:v>
                </c:pt>
                <c:pt idx="48">
                  <c:v>0.70049139082216949</c:v>
                </c:pt>
                <c:pt idx="49">
                  <c:v>0.68663527811804181</c:v>
                </c:pt>
                <c:pt idx="50">
                  <c:v>0.6723898962236784</c:v>
                </c:pt>
                <c:pt idx="51">
                  <c:v>0.65773860742594192</c:v>
                </c:pt>
              </c:numCache>
            </c:numRef>
          </c:val>
          <c:smooth val="0"/>
          <c:extLst xmlns:c16r2="http://schemas.microsoft.com/office/drawing/2015/06/chart">
            <c:ext xmlns:c16="http://schemas.microsoft.com/office/drawing/2014/chart" uri="{C3380CC4-5D6E-409C-BE32-E72D297353CC}">
              <c16:uniqueId val="{00000003-0A1C-D242-AE4B-B662113621A0}"/>
            </c:ext>
          </c:extLst>
        </c:ser>
        <c:ser>
          <c:idx val="4"/>
          <c:order val="4"/>
          <c:tx>
            <c:strRef>
              <c:f>'solar thermal'!$A$15</c:f>
              <c:strCache>
                <c:ptCount val="1"/>
                <c:pt idx="0">
                  <c:v>Fixed O&amp;M Cost ($/MW)-US</c:v>
                </c:pt>
              </c:strCache>
            </c:strRef>
          </c:tx>
          <c:spPr>
            <a:ln w="28575" cap="rnd">
              <a:solidFill>
                <a:schemeClr val="accent5"/>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thermal'!$B$15:$BA$15</c:f>
              <c:numCache>
                <c:formatCode>General</c:formatCode>
                <c:ptCount val="52"/>
                <c:pt idx="0">
                  <c:v>77011.173441128762</c:v>
                </c:pt>
              </c:numCache>
            </c:numRef>
          </c:val>
          <c:smooth val="0"/>
          <c:extLst xmlns:c16r2="http://schemas.microsoft.com/office/drawing/2015/06/chart">
            <c:ext xmlns:c16="http://schemas.microsoft.com/office/drawing/2014/chart" uri="{C3380CC4-5D6E-409C-BE32-E72D297353CC}">
              <c16:uniqueId val="{00000004-0A1C-D242-AE4B-B662113621A0}"/>
            </c:ext>
          </c:extLst>
        </c:ser>
        <c:ser>
          <c:idx val="5"/>
          <c:order val="5"/>
          <c:tx>
            <c:strRef>
              <c:f>'solar thermal'!$A$16</c:f>
              <c:strCache>
                <c:ptCount val="1"/>
                <c:pt idx="0">
                  <c:v>Fixed O&amp;M Cost ($/MW)-BRA</c:v>
                </c:pt>
              </c:strCache>
            </c:strRef>
          </c:tx>
          <c:spPr>
            <a:ln w="28575" cap="rnd">
              <a:solidFill>
                <a:schemeClr val="accent6"/>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thermal'!$B$16:$BA$16</c:f>
              <c:numCache>
                <c:formatCode>General</c:formatCode>
                <c:ptCount val="52"/>
                <c:pt idx="0">
                  <c:v>96466.346166182542</c:v>
                </c:pt>
                <c:pt idx="1">
                  <c:v>94050.966588459632</c:v>
                </c:pt>
                <c:pt idx="2">
                  <c:v>91595.057240159411</c:v>
                </c:pt>
                <c:pt idx="3">
                  <c:v>89097.589363259627</c:v>
                </c:pt>
                <c:pt idx="4">
                  <c:v>86557.499085663279</c:v>
                </c:pt>
                <c:pt idx="5">
                  <c:v>83973.685910141328</c:v>
                </c:pt>
                <c:pt idx="6">
                  <c:v>81446.085100526412</c:v>
                </c:pt>
                <c:pt idx="7">
                  <c:v>78865.861519812563</c:v>
                </c:pt>
                <c:pt idx="8">
                  <c:v>76231.612272736354</c:v>
                </c:pt>
                <c:pt idx="9">
                  <c:v>73541.884409307153</c:v>
                </c:pt>
                <c:pt idx="10">
                  <c:v>70795.172674103931</c:v>
                </c:pt>
                <c:pt idx="11">
                  <c:v>71069.091627512098</c:v>
                </c:pt>
                <c:pt idx="12">
                  <c:v>71348.027853114007</c:v>
                </c:pt>
                <c:pt idx="13">
                  <c:v>71632.120474325522</c:v>
                </c:pt>
                <c:pt idx="14">
                  <c:v>71921.51380619999</c:v>
                </c:pt>
                <c:pt idx="15">
                  <c:v>72216.357599878131</c:v>
                </c:pt>
                <c:pt idx="16">
                  <c:v>72516.807300979926</c:v>
                </c:pt>
                <c:pt idx="17">
                  <c:v>72823.0243228787</c:v>
                </c:pt>
                <c:pt idx="18">
                  <c:v>73135.17633586275</c:v>
                </c:pt>
                <c:pt idx="19">
                  <c:v>73453.437573274699</c:v>
                </c:pt>
                <c:pt idx="20">
                  <c:v>73777.98915580532</c:v>
                </c:pt>
                <c:pt idx="21">
                  <c:v>74109.019435205846</c:v>
                </c:pt>
                <c:pt idx="22">
                  <c:v>74446.72435879118</c:v>
                </c:pt>
                <c:pt idx="23">
                  <c:v>74791.307856218933</c:v>
                </c:pt>
                <c:pt idx="24">
                  <c:v>75142.982250143221</c:v>
                </c:pt>
                <c:pt idx="25">
                  <c:v>75501.968692485272</c:v>
                </c:pt>
                <c:pt idx="26">
                  <c:v>75868.497628201047</c:v>
                </c:pt>
                <c:pt idx="27">
                  <c:v>76242.809288594304</c:v>
                </c:pt>
                <c:pt idx="28">
                  <c:v>76625.154216388299</c:v>
                </c:pt>
                <c:pt idx="29">
                  <c:v>77015.793824971028</c:v>
                </c:pt>
                <c:pt idx="30">
                  <c:v>77415.00099443915</c:v>
                </c:pt>
                <c:pt idx="31">
                  <c:v>68465.549519164881</c:v>
                </c:pt>
                <c:pt idx="32">
                  <c:v>67764.658864622499</c:v>
                </c:pt>
                <c:pt idx="33">
                  <c:v>67047.873266067487</c:v>
                </c:pt>
                <c:pt idx="34">
                  <c:v>66314.645818821882</c:v>
                </c:pt>
                <c:pt idx="35">
                  <c:v>65564.404236971444</c:v>
                </c:pt>
                <c:pt idx="36">
                  <c:v>64796.54936368698</c:v>
                </c:pt>
                <c:pt idx="37">
                  <c:v>64010.453575384206</c:v>
                </c:pt>
                <c:pt idx="38">
                  <c:v>63205.459070781064</c:v>
                </c:pt>
                <c:pt idx="39">
                  <c:v>62380.876035058689</c:v>
                </c:pt>
                <c:pt idx="40">
                  <c:v>61535.980668349781</c:v>
                </c:pt>
                <c:pt idx="41">
                  <c:v>60670.013066717911</c:v>
                </c:pt>
                <c:pt idx="42">
                  <c:v>59782.17494258166</c:v>
                </c:pt>
                <c:pt idx="43">
                  <c:v>58871.627170216219</c:v>
                </c:pt>
                <c:pt idx="44">
                  <c:v>57937.487140468533</c:v>
                </c:pt>
                <c:pt idx="45">
                  <c:v>56978.825907150094</c:v>
                </c:pt>
                <c:pt idx="46">
                  <c:v>55994.665105728112</c:v>
                </c:pt>
                <c:pt idx="47">
                  <c:v>54983.9736228127</c:v>
                </c:pt>
                <c:pt idx="48">
                  <c:v>53945.663992623609</c:v>
                </c:pt>
                <c:pt idx="49">
                  <c:v>52878.588493946205</c:v>
                </c:pt>
                <c:pt idx="50">
                  <c:v>51781.534918144265</c:v>
                </c:pt>
                <c:pt idx="51">
                  <c:v>50653.221975405715</c:v>
                </c:pt>
              </c:numCache>
            </c:numRef>
          </c:val>
          <c:smooth val="0"/>
          <c:extLst xmlns:c16r2="http://schemas.microsoft.com/office/drawing/2015/06/chart">
            <c:ext xmlns:c16="http://schemas.microsoft.com/office/drawing/2014/chart" uri="{C3380CC4-5D6E-409C-BE32-E72D297353CC}">
              <c16:uniqueId val="{00000005-0A1C-D242-AE4B-B662113621A0}"/>
            </c:ext>
          </c:extLst>
        </c:ser>
        <c:dLbls>
          <c:showLegendKey val="0"/>
          <c:showVal val="0"/>
          <c:showCatName val="0"/>
          <c:showSerName val="0"/>
          <c:showPercent val="0"/>
          <c:showBubbleSize val="0"/>
        </c:dLbls>
        <c:smooth val="0"/>
        <c:axId val="1601944544"/>
        <c:axId val="1601942912"/>
      </c:lineChart>
      <c:catAx>
        <c:axId val="1601944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942912"/>
        <c:crosses val="autoZero"/>
        <c:auto val="1"/>
        <c:lblAlgn val="ctr"/>
        <c:lblOffset val="100"/>
        <c:noMultiLvlLbl val="0"/>
      </c:catAx>
      <c:valAx>
        <c:axId val="16019429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944544"/>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8</xdr:col>
      <xdr:colOff>0</xdr:colOff>
      <xdr:row>19</xdr:row>
      <xdr:rowOff>165100</xdr:rowOff>
    </xdr:from>
    <xdr:to>
      <xdr:col>14</xdr:col>
      <xdr:colOff>609600</xdr:colOff>
      <xdr:row>49</xdr:row>
      <xdr:rowOff>6350</xdr:rowOff>
    </xdr:to>
    <xdr:graphicFrame macro="">
      <xdr:nvGraphicFramePr>
        <xdr:cNvPr id="2" name="Chart 1">
          <a:extLst>
            <a:ext uri="{FF2B5EF4-FFF2-40B4-BE49-F238E27FC236}">
              <a16:creationId xmlns:a16="http://schemas.microsoft.com/office/drawing/2014/main" xmlns="" id="{338648E9-E1CC-68F2-C644-E03A907ED0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190500</xdr:colOff>
      <xdr:row>16</xdr:row>
      <xdr:rowOff>123825</xdr:rowOff>
    </xdr:from>
    <xdr:to>
      <xdr:col>21</xdr:col>
      <xdr:colOff>561397</xdr:colOff>
      <xdr:row>36</xdr:row>
      <xdr:rowOff>133422</xdr:rowOff>
    </xdr:to>
    <xdr:pic>
      <xdr:nvPicPr>
        <xdr:cNvPr id="2" name="Picture 1">
          <a:extLst>
            <a:ext uri="{FF2B5EF4-FFF2-40B4-BE49-F238E27FC236}">
              <a16:creationId xmlns:a16="http://schemas.microsoft.com/office/drawing/2014/main" xmlns="" id="{B420740C-30BD-7D46-8630-F11B39DFE50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305800" y="3019425"/>
          <a:ext cx="6762172" cy="362909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756869</xdr:colOff>
      <xdr:row>0</xdr:row>
      <xdr:rowOff>189217</xdr:rowOff>
    </xdr:from>
    <xdr:to>
      <xdr:col>14</xdr:col>
      <xdr:colOff>38484</xdr:colOff>
      <xdr:row>19</xdr:row>
      <xdr:rowOff>162253</xdr:rowOff>
    </xdr:to>
    <xdr:pic>
      <xdr:nvPicPr>
        <xdr:cNvPr id="2" name="Picture 1">
          <a:extLst>
            <a:ext uri="{FF2B5EF4-FFF2-40B4-BE49-F238E27FC236}">
              <a16:creationId xmlns:a16="http://schemas.microsoft.com/office/drawing/2014/main" xmlns="" id="{B420740C-30BD-7D46-8630-F11B39DFE50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980581" y="189217"/>
          <a:ext cx="6882373" cy="362909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7</xdr:col>
      <xdr:colOff>0</xdr:colOff>
      <xdr:row>0</xdr:row>
      <xdr:rowOff>0</xdr:rowOff>
    </xdr:from>
    <xdr:to>
      <xdr:col>11</xdr:col>
      <xdr:colOff>438150</xdr:colOff>
      <xdr:row>25</xdr:row>
      <xdr:rowOff>95931</xdr:rowOff>
    </xdr:to>
    <xdr:pic>
      <xdr:nvPicPr>
        <xdr:cNvPr id="2" name="Imag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629650" y="0"/>
          <a:ext cx="3486150" cy="4877481"/>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officialdata.org/us/inflation/2022?endYear=2012&amp;amount=1" TargetMode="External"/><Relationship Id="rId2" Type="http://schemas.openxmlformats.org/officeDocument/2006/relationships/hyperlink" Target="https://atb.nrel.gov/" TargetMode="External"/><Relationship Id="rId1" Type="http://schemas.openxmlformats.org/officeDocument/2006/relationships/hyperlink" Target="https://www.irena.org/publications/2021/Jun/Renewable-Power-Costs-in-2020" TargetMode="External"/><Relationship Id="rId4" Type="http://schemas.openxmlformats.org/officeDocument/2006/relationships/hyperlink" Target="https://www.epe.gov.br/sites-pt/publicacoes-dados-abertos/publicacoes/PublishingImages/pt/publicacoes-dados-abertos/publicacoes/caderno-de-precos-da-geracao/EPE_Power%20Generation%20Costs%20Report%202021.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irena.org/-/media/Files/IRENA/Agency/Publication/2012/RE_Technologies_Cost_Analysis-WIND_POWER.pdf" TargetMode="External"/><Relationship Id="rId2" Type="http://schemas.openxmlformats.org/officeDocument/2006/relationships/hyperlink" Target="https://www.in2013dollars.com/us/inflation/2022?endYear=2012&amp;amount=1" TargetMode="External"/><Relationship Id="rId1" Type="http://schemas.openxmlformats.org/officeDocument/2006/relationships/hyperlink" Target="https://www.netzeropathfinders.com/best-practices/renewable-energy-auctions-brazil" TargetMode="External"/><Relationship Id="rId4"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04"/>
  <sheetViews>
    <sheetView topLeftCell="A19" workbookViewId="0">
      <selection activeCell="B25" sqref="B25"/>
    </sheetView>
  </sheetViews>
  <sheetFormatPr baseColWidth="10" defaultColWidth="14.42578125" defaultRowHeight="15" customHeight="1"/>
  <cols>
    <col min="1" max="1" width="8.7109375" customWidth="1"/>
    <col min="2" max="2" width="113" customWidth="1"/>
    <col min="3" max="26" width="8.7109375" customWidth="1"/>
  </cols>
  <sheetData>
    <row r="1" spans="1:8" ht="14.25" customHeight="1">
      <c r="A1" s="1" t="s">
        <v>0</v>
      </c>
      <c r="B1" s="2"/>
    </row>
    <row r="2" spans="1:8" ht="14.25" customHeight="1">
      <c r="A2" s="1" t="s">
        <v>1</v>
      </c>
      <c r="B2" s="2"/>
    </row>
    <row r="3" spans="1:8" ht="14.25" customHeight="1">
      <c r="A3" s="1" t="s">
        <v>2</v>
      </c>
      <c r="B3" s="2"/>
    </row>
    <row r="4" spans="1:8" ht="14.25" customHeight="1">
      <c r="A4" s="1" t="s">
        <v>3</v>
      </c>
      <c r="B4" s="2"/>
    </row>
    <row r="5" spans="1:8" ht="14.25" customHeight="1">
      <c r="A5" s="2"/>
      <c r="B5" s="2"/>
    </row>
    <row r="6" spans="1:8" ht="14.25" customHeight="1">
      <c r="A6" s="3" t="s">
        <v>4</v>
      </c>
      <c r="B6" s="4" t="s">
        <v>136</v>
      </c>
    </row>
    <row r="7" spans="1:8" ht="14.25" customHeight="1">
      <c r="A7" s="2"/>
      <c r="B7" s="5" t="s">
        <v>133</v>
      </c>
    </row>
    <row r="8" spans="1:8" ht="14.25" customHeight="1">
      <c r="A8" s="2"/>
      <c r="B8" s="50">
        <v>2021</v>
      </c>
    </row>
    <row r="9" spans="1:8" ht="14.25" customHeight="1">
      <c r="A9" s="2"/>
      <c r="B9" s="34" t="s">
        <v>134</v>
      </c>
    </row>
    <row r="10" spans="1:8" ht="14.25" customHeight="1">
      <c r="A10" s="2"/>
      <c r="B10" s="38"/>
    </row>
    <row r="11" spans="1:8" ht="14.25" customHeight="1">
      <c r="A11" s="2"/>
      <c r="B11" s="5"/>
    </row>
    <row r="12" spans="1:8" ht="14.25" customHeight="1">
      <c r="A12" s="2"/>
      <c r="B12" s="34"/>
    </row>
    <row r="13" spans="1:8" ht="14.25" customHeight="1">
      <c r="A13" s="2"/>
      <c r="H13" s="51" t="s">
        <v>135</v>
      </c>
    </row>
    <row r="14" spans="1:8" ht="14.25" customHeight="1">
      <c r="A14" s="2"/>
      <c r="B14" s="7" t="s">
        <v>5</v>
      </c>
    </row>
    <row r="15" spans="1:8" ht="14.25" customHeight="1">
      <c r="A15" s="2"/>
      <c r="B15" s="5" t="s">
        <v>6</v>
      </c>
    </row>
    <row r="16" spans="1:8" ht="14.25" customHeight="1">
      <c r="A16" s="2"/>
      <c r="B16" s="2">
        <v>2020</v>
      </c>
    </row>
    <row r="17" spans="1:5" ht="14.25" customHeight="1">
      <c r="A17" s="2"/>
      <c r="B17" s="2" t="s">
        <v>6</v>
      </c>
    </row>
    <row r="18" spans="1:5" ht="14.25" customHeight="1">
      <c r="A18" s="2"/>
      <c r="B18" s="6" t="s">
        <v>7</v>
      </c>
    </row>
    <row r="19" spans="1:5" ht="14.25" customHeight="1">
      <c r="A19" s="2"/>
      <c r="B19" s="5" t="s">
        <v>8</v>
      </c>
      <c r="E19" s="52"/>
    </row>
    <row r="20" spans="1:5" ht="14.25" customHeight="1">
      <c r="A20" s="2"/>
      <c r="E20" s="53"/>
    </row>
    <row r="21" spans="1:5" ht="14.25" customHeight="1">
      <c r="B21" s="7" t="s">
        <v>9</v>
      </c>
      <c r="E21" s="53"/>
    </row>
    <row r="22" spans="1:5" ht="14.25" customHeight="1">
      <c r="B22" s="5" t="s">
        <v>10</v>
      </c>
      <c r="E22" s="54"/>
    </row>
    <row r="23" spans="1:5" ht="14.25" customHeight="1">
      <c r="B23" s="2">
        <v>2020</v>
      </c>
    </row>
    <row r="24" spans="1:5" ht="14.25" customHeight="1">
      <c r="B24" s="5" t="s">
        <v>11</v>
      </c>
    </row>
    <row r="25" spans="1:5" ht="14.25" customHeight="1">
      <c r="B25" s="6" t="s">
        <v>12</v>
      </c>
    </row>
    <row r="26" spans="1:5" ht="14.25" customHeight="1">
      <c r="B26" s="5" t="s">
        <v>13</v>
      </c>
    </row>
    <row r="27" spans="1:5" ht="14.25" customHeight="1"/>
    <row r="28" spans="1:5" ht="14.25" customHeight="1">
      <c r="A28" s="3" t="s">
        <v>14</v>
      </c>
      <c r="B28" s="35" t="s">
        <v>101</v>
      </c>
    </row>
    <row r="29" spans="1:5" ht="14.25" customHeight="1">
      <c r="A29" s="3"/>
      <c r="B29" s="5" t="s">
        <v>132</v>
      </c>
    </row>
    <row r="30" spans="1:5" ht="14.25" customHeight="1">
      <c r="B30" s="8" t="s">
        <v>15</v>
      </c>
    </row>
    <row r="31" spans="1:5" ht="14.25" customHeight="1">
      <c r="B31" s="8" t="s">
        <v>16</v>
      </c>
    </row>
    <row r="32" spans="1:5" ht="14.25" customHeight="1">
      <c r="B32" s="8" t="s">
        <v>17</v>
      </c>
    </row>
    <row r="33" spans="1:2" ht="14.25" customHeight="1">
      <c r="B33" s="8" t="s">
        <v>18</v>
      </c>
    </row>
    <row r="34" spans="1:2" ht="14.25" customHeight="1">
      <c r="B34" s="8" t="s">
        <v>19</v>
      </c>
    </row>
    <row r="35" spans="1:2" ht="14.25" customHeight="1"/>
    <row r="36" spans="1:2" ht="14.25" customHeight="1">
      <c r="A36" s="1" t="s">
        <v>20</v>
      </c>
    </row>
    <row r="37" spans="1:2" ht="14.25" customHeight="1">
      <c r="A37" s="39">
        <v>0.96</v>
      </c>
      <c r="B37" s="8" t="s">
        <v>102</v>
      </c>
    </row>
    <row r="38" spans="1:2" ht="14.25" customHeight="1">
      <c r="A38" s="39">
        <v>0.89</v>
      </c>
      <c r="B38" s="8" t="s">
        <v>105</v>
      </c>
    </row>
    <row r="39" spans="1:2" ht="14.25" customHeight="1">
      <c r="A39" s="5">
        <v>0.78</v>
      </c>
      <c r="B39" s="8" t="s">
        <v>103</v>
      </c>
    </row>
    <row r="40" spans="1:2" ht="14.25" customHeight="1">
      <c r="B40" s="34" t="s">
        <v>104</v>
      </c>
    </row>
    <row r="41" spans="1:2" ht="14.25" customHeight="1">
      <c r="B41" s="36"/>
    </row>
    <row r="42" spans="1:2" ht="14.25" customHeight="1">
      <c r="B42" s="37"/>
    </row>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hyperlinks>
    <hyperlink ref="B18" r:id="rId1"/>
    <hyperlink ref="B25" r:id="rId2"/>
    <hyperlink ref="B40" r:id="rId3"/>
    <hyperlink ref="B9" r:id="rId4"/>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A1004"/>
  <sheetViews>
    <sheetView topLeftCell="A4" workbookViewId="0">
      <selection activeCell="B13" sqref="B13"/>
    </sheetView>
  </sheetViews>
  <sheetFormatPr baseColWidth="10" defaultColWidth="14.42578125" defaultRowHeight="15" customHeight="1"/>
  <cols>
    <col min="1" max="1" width="30.7109375" customWidth="1"/>
    <col min="2" max="4" width="8.7109375" customWidth="1"/>
    <col min="5" max="5" width="8.85546875" customWidth="1"/>
    <col min="6" max="33" width="8.7109375" customWidth="1"/>
  </cols>
  <sheetData>
    <row r="1" spans="1:53" ht="14.25" customHeight="1">
      <c r="A1" s="9" t="s">
        <v>24</v>
      </c>
      <c r="B1" s="5" t="s">
        <v>25</v>
      </c>
    </row>
    <row r="2" spans="1:53" ht="14.25" customHeight="1">
      <c r="A2" s="10" t="s">
        <v>26</v>
      </c>
    </row>
    <row r="3" spans="1:53" ht="28.5" customHeight="1">
      <c r="A3" s="5" t="s">
        <v>27</v>
      </c>
      <c r="B3" s="5">
        <v>5154</v>
      </c>
      <c r="D3" s="61" t="s">
        <v>28</v>
      </c>
      <c r="E3" s="62"/>
      <c r="F3" s="11">
        <v>0.1</v>
      </c>
    </row>
    <row r="4" spans="1:53" ht="14.25" customHeight="1">
      <c r="A4" s="5" t="s">
        <v>29</v>
      </c>
      <c r="B4" s="5">
        <v>2.1000000000000001E-2</v>
      </c>
      <c r="D4" s="63" t="s">
        <v>30</v>
      </c>
      <c r="E4" s="62"/>
      <c r="F4" s="11">
        <v>0.41</v>
      </c>
    </row>
    <row r="5" spans="1:53" ht="14.25" customHeight="1"/>
    <row r="6" spans="1:53" ht="14.25" customHeight="1">
      <c r="B6" s="1">
        <v>2020</v>
      </c>
      <c r="C6" s="1">
        <v>2030</v>
      </c>
      <c r="D6" s="1">
        <v>2040</v>
      </c>
      <c r="E6" s="1">
        <v>2050</v>
      </c>
    </row>
    <row r="7" spans="1:53" ht="14.25" customHeight="1">
      <c r="A7" s="1" t="s">
        <v>31</v>
      </c>
      <c r="B7" s="5">
        <f>B3*1000</f>
        <v>5154000</v>
      </c>
      <c r="C7" s="5">
        <f t="shared" ref="C7:E7" si="0">$B$7*$B$8/C8</f>
        <v>4685454.5454545449</v>
      </c>
      <c r="D7" s="5">
        <f t="shared" si="0"/>
        <v>4259504.132231405</v>
      </c>
      <c r="E7" s="5">
        <f t="shared" si="0"/>
        <v>3872276.483846731</v>
      </c>
    </row>
    <row r="8" spans="1:53" ht="14.25" customHeight="1">
      <c r="A8" s="1" t="s">
        <v>32</v>
      </c>
      <c r="B8" s="11">
        <f>F4</f>
        <v>0.41</v>
      </c>
      <c r="C8" s="13">
        <f t="shared" ref="C8:E8" si="1">(1+$F$3)*B8</f>
        <v>0.45100000000000001</v>
      </c>
      <c r="D8" s="13">
        <f t="shared" si="1"/>
        <v>0.49610000000000004</v>
      </c>
      <c r="E8" s="13">
        <f t="shared" si="1"/>
        <v>0.54571000000000014</v>
      </c>
    </row>
    <row r="9" spans="1:53" ht="14.25" customHeight="1"/>
    <row r="10" spans="1:53" ht="14.25" customHeight="1">
      <c r="A10" s="10" t="s">
        <v>33</v>
      </c>
      <c r="B10" s="1">
        <v>2019</v>
      </c>
      <c r="C10" s="1">
        <v>2020</v>
      </c>
      <c r="D10" s="1">
        <v>2021</v>
      </c>
      <c r="E10" s="1">
        <v>2022</v>
      </c>
      <c r="F10" s="1">
        <v>2023</v>
      </c>
      <c r="G10" s="1">
        <v>2024</v>
      </c>
      <c r="H10" s="1">
        <v>2025</v>
      </c>
      <c r="I10" s="1">
        <v>2026</v>
      </c>
      <c r="J10" s="1">
        <v>2027</v>
      </c>
      <c r="K10" s="1">
        <v>2028</v>
      </c>
      <c r="L10" s="1">
        <v>2029</v>
      </c>
      <c r="M10" s="1">
        <v>2030</v>
      </c>
      <c r="N10" s="1">
        <v>2031</v>
      </c>
      <c r="O10" s="1">
        <v>2032</v>
      </c>
      <c r="P10" s="1">
        <v>2033</v>
      </c>
      <c r="Q10" s="1">
        <v>2034</v>
      </c>
      <c r="R10" s="1">
        <v>2035</v>
      </c>
      <c r="S10" s="1">
        <v>2036</v>
      </c>
      <c r="T10" s="1">
        <v>2037</v>
      </c>
      <c r="U10" s="1">
        <v>2038</v>
      </c>
      <c r="V10" s="1">
        <v>2039</v>
      </c>
      <c r="W10" s="1">
        <v>2040</v>
      </c>
      <c r="X10" s="1">
        <v>2041</v>
      </c>
      <c r="Y10" s="1">
        <v>2042</v>
      </c>
      <c r="Z10" s="1">
        <v>2043</v>
      </c>
      <c r="AA10" s="1">
        <v>2044</v>
      </c>
      <c r="AB10" s="1">
        <v>2045</v>
      </c>
      <c r="AC10" s="1">
        <v>2046</v>
      </c>
      <c r="AD10" s="1">
        <v>2047</v>
      </c>
      <c r="AE10" s="1">
        <v>2048</v>
      </c>
      <c r="AF10" s="1">
        <v>2049</v>
      </c>
      <c r="AG10" s="1">
        <v>2050</v>
      </c>
      <c r="AH10" s="25">
        <v>2051</v>
      </c>
      <c r="AI10" s="25">
        <v>2052</v>
      </c>
      <c r="AJ10" s="25">
        <v>2053</v>
      </c>
      <c r="AK10" s="25">
        <v>2054</v>
      </c>
      <c r="AL10" s="25">
        <v>2055</v>
      </c>
      <c r="AM10" s="25">
        <v>2056</v>
      </c>
      <c r="AN10" s="25">
        <v>2057</v>
      </c>
      <c r="AO10" s="25">
        <v>2058</v>
      </c>
      <c r="AP10" s="25">
        <v>2059</v>
      </c>
      <c r="AQ10" s="25">
        <v>2060</v>
      </c>
      <c r="AR10" s="25">
        <v>2061</v>
      </c>
      <c r="AS10" s="25">
        <v>2062</v>
      </c>
      <c r="AT10" s="25">
        <v>2063</v>
      </c>
      <c r="AU10" s="25">
        <v>2064</v>
      </c>
      <c r="AV10" s="25">
        <v>2065</v>
      </c>
      <c r="AW10" s="25">
        <v>2066</v>
      </c>
      <c r="AX10" s="25">
        <v>2067</v>
      </c>
      <c r="AY10" s="25">
        <v>2068</v>
      </c>
      <c r="AZ10" s="25">
        <v>2069</v>
      </c>
      <c r="BA10" s="25">
        <v>2070</v>
      </c>
    </row>
    <row r="11" spans="1:53" ht="14.25" customHeight="1">
      <c r="A11" s="1" t="s">
        <v>31</v>
      </c>
      <c r="B11" s="5">
        <f t="shared" ref="B11:BA11" si="2">TREND($B$7:$E$7,$B$6:$E$6,B10)</f>
        <v>5176188.1442524493</v>
      </c>
      <c r="C11" s="5">
        <f t="shared" si="2"/>
        <v>5133476.9346356094</v>
      </c>
      <c r="D11" s="5">
        <f t="shared" si="2"/>
        <v>5090765.7250187844</v>
      </c>
      <c r="E11" s="5">
        <f t="shared" si="2"/>
        <v>5048054.5154019594</v>
      </c>
      <c r="F11" s="5">
        <f t="shared" si="2"/>
        <v>5005343.3057851344</v>
      </c>
      <c r="G11" s="5">
        <f t="shared" si="2"/>
        <v>4962632.0961682945</v>
      </c>
      <c r="H11" s="5">
        <f t="shared" si="2"/>
        <v>4919920.8865514696</v>
      </c>
      <c r="I11" s="5">
        <f t="shared" si="2"/>
        <v>4877209.6769346446</v>
      </c>
      <c r="J11" s="5">
        <f t="shared" si="2"/>
        <v>4834498.4673178047</v>
      </c>
      <c r="K11" s="5">
        <f t="shared" si="2"/>
        <v>4791787.2577009797</v>
      </c>
      <c r="L11" s="5">
        <f t="shared" si="2"/>
        <v>4749076.0480841547</v>
      </c>
      <c r="M11" s="5">
        <f t="shared" si="2"/>
        <v>4706364.8384673148</v>
      </c>
      <c r="N11" s="5">
        <f t="shared" si="2"/>
        <v>4663653.6288504899</v>
      </c>
      <c r="O11" s="5">
        <f t="shared" si="2"/>
        <v>4620942.4192336649</v>
      </c>
      <c r="P11" s="5">
        <f t="shared" si="2"/>
        <v>4578231.2096168399</v>
      </c>
      <c r="Q11" s="5">
        <f t="shared" si="2"/>
        <v>4535520</v>
      </c>
      <c r="R11" s="5">
        <f t="shared" si="2"/>
        <v>4492808.790383175</v>
      </c>
      <c r="S11" s="5">
        <f t="shared" si="2"/>
        <v>4450097.58076635</v>
      </c>
      <c r="T11" s="5">
        <f t="shared" si="2"/>
        <v>4407386.3711495101</v>
      </c>
      <c r="U11" s="5">
        <f t="shared" si="2"/>
        <v>4364675.1615326852</v>
      </c>
      <c r="V11" s="5">
        <f t="shared" si="2"/>
        <v>4321963.9519158602</v>
      </c>
      <c r="W11" s="5">
        <f t="shared" si="2"/>
        <v>4279252.7422990203</v>
      </c>
      <c r="X11" s="5">
        <f t="shared" si="2"/>
        <v>4236541.5326821953</v>
      </c>
      <c r="Y11" s="5">
        <f t="shared" si="2"/>
        <v>4193830.3230653703</v>
      </c>
      <c r="Z11" s="5">
        <f t="shared" si="2"/>
        <v>4151119.1134485453</v>
      </c>
      <c r="AA11" s="5">
        <f t="shared" si="2"/>
        <v>4108407.9038317055</v>
      </c>
      <c r="AB11" s="5">
        <f t="shared" si="2"/>
        <v>4065696.6942148805</v>
      </c>
      <c r="AC11" s="5">
        <f t="shared" si="2"/>
        <v>4022985.4845980555</v>
      </c>
      <c r="AD11" s="5">
        <f t="shared" si="2"/>
        <v>3980274.2749812156</v>
      </c>
      <c r="AE11" s="5">
        <f t="shared" si="2"/>
        <v>3937563.0653643906</v>
      </c>
      <c r="AF11" s="5">
        <f t="shared" si="2"/>
        <v>3894851.8557475656</v>
      </c>
      <c r="AG11" s="5">
        <f t="shared" si="2"/>
        <v>3852140.6461307257</v>
      </c>
      <c r="AH11" s="5">
        <f t="shared" si="2"/>
        <v>3809429.4365139008</v>
      </c>
      <c r="AI11" s="5">
        <f t="shared" si="2"/>
        <v>3766718.2268970758</v>
      </c>
      <c r="AJ11" s="5">
        <f t="shared" si="2"/>
        <v>3724007.0172802359</v>
      </c>
      <c r="AK11" s="5">
        <f t="shared" si="2"/>
        <v>3681295.8076634109</v>
      </c>
      <c r="AL11" s="5">
        <f t="shared" si="2"/>
        <v>3638584.5980465859</v>
      </c>
      <c r="AM11" s="5">
        <f t="shared" si="2"/>
        <v>3595873.3884297609</v>
      </c>
      <c r="AN11" s="5">
        <f t="shared" si="2"/>
        <v>3553162.178812921</v>
      </c>
      <c r="AO11" s="5">
        <f t="shared" si="2"/>
        <v>3510450.9691960961</v>
      </c>
      <c r="AP11" s="5">
        <f t="shared" si="2"/>
        <v>3467739.7595792711</v>
      </c>
      <c r="AQ11" s="5">
        <f t="shared" si="2"/>
        <v>3425028.5499624312</v>
      </c>
      <c r="AR11" s="5">
        <f t="shared" si="2"/>
        <v>3382317.3403456062</v>
      </c>
      <c r="AS11" s="5">
        <f t="shared" si="2"/>
        <v>3339606.1307287812</v>
      </c>
      <c r="AT11" s="5">
        <f t="shared" si="2"/>
        <v>3296894.9211119413</v>
      </c>
      <c r="AU11" s="5">
        <f t="shared" si="2"/>
        <v>3254183.7114951164</v>
      </c>
      <c r="AV11" s="5">
        <f t="shared" si="2"/>
        <v>3211472.5018782914</v>
      </c>
      <c r="AW11" s="5">
        <f t="shared" si="2"/>
        <v>3168761.2922614664</v>
      </c>
      <c r="AX11" s="5">
        <f t="shared" si="2"/>
        <v>3126050.0826446265</v>
      </c>
      <c r="AY11" s="5">
        <f t="shared" si="2"/>
        <v>3083338.8730278015</v>
      </c>
      <c r="AZ11" s="5">
        <f t="shared" si="2"/>
        <v>3040627.6634109765</v>
      </c>
      <c r="BA11" s="5">
        <f t="shared" si="2"/>
        <v>2997916.4537941366</v>
      </c>
    </row>
    <row r="12" spans="1:53" ht="14.25" customHeight="1">
      <c r="A12" s="1" t="s">
        <v>147</v>
      </c>
      <c r="B12">
        <f>B11*About!$A$38</f>
        <v>4606807.4483846799</v>
      </c>
      <c r="C12">
        <f>C11*About!$A$38</f>
        <v>4568794.4718256928</v>
      </c>
      <c r="D12">
        <f>D11*About!$A$38</f>
        <v>4530781.4952667179</v>
      </c>
      <c r="E12">
        <f>E11*About!$A$38</f>
        <v>4492768.5187077438</v>
      </c>
      <c r="F12">
        <f>F11*About!$A$38</f>
        <v>4454755.5421487698</v>
      </c>
      <c r="G12">
        <f>G11*About!$A$38</f>
        <v>4416742.5655897819</v>
      </c>
      <c r="H12">
        <f>H11*About!$A$38</f>
        <v>4378729.5890308078</v>
      </c>
      <c r="I12">
        <f>I11*About!$A$38</f>
        <v>4340716.6124718338</v>
      </c>
      <c r="J12">
        <f>J11*About!$A$38</f>
        <v>4302703.6359128458</v>
      </c>
      <c r="K12">
        <f>K11*About!$A$38</f>
        <v>4264690.6593538718</v>
      </c>
      <c r="L12">
        <f>L11*About!$A$38</f>
        <v>4226677.6827948978</v>
      </c>
      <c r="M12">
        <f>M11*About!$A$38</f>
        <v>4188664.7062359103</v>
      </c>
      <c r="N12">
        <f>N11*About!$A$38</f>
        <v>4150651.7296769358</v>
      </c>
      <c r="O12">
        <f>O11*About!$A$38</f>
        <v>4112638.7531179618</v>
      </c>
      <c r="P12">
        <f>P11*About!$A$38</f>
        <v>4074625.7765589873</v>
      </c>
      <c r="Q12">
        <f>Q11*About!$A$38</f>
        <v>4036612.8000000003</v>
      </c>
      <c r="R12">
        <f>R11*About!$A$38</f>
        <v>3998599.8234410258</v>
      </c>
      <c r="S12">
        <f>S11*About!$A$38</f>
        <v>3960586.8468820518</v>
      </c>
      <c r="T12">
        <f>T11*About!$A$38</f>
        <v>3922573.8703230643</v>
      </c>
      <c r="U12">
        <f>U11*About!$A$38</f>
        <v>3884560.8937640898</v>
      </c>
      <c r="V12">
        <f>V11*About!$A$38</f>
        <v>3846547.9172051158</v>
      </c>
      <c r="W12">
        <f>W11*About!$A$38</f>
        <v>3808534.9406461283</v>
      </c>
      <c r="X12">
        <f>X11*About!$A$38</f>
        <v>3770521.9640871538</v>
      </c>
      <c r="Y12">
        <f>Y11*About!$A$38</f>
        <v>3732508.9875281798</v>
      </c>
      <c r="Z12">
        <f>Z11*About!$A$38</f>
        <v>3694496.0109692053</v>
      </c>
      <c r="AA12">
        <f>AA11*About!$A$38</f>
        <v>3656483.0344102178</v>
      </c>
      <c r="AB12">
        <f>AB11*About!$A$38</f>
        <v>3618470.0578512438</v>
      </c>
      <c r="AC12">
        <f>AC11*About!$A$38</f>
        <v>3580457.0812922693</v>
      </c>
      <c r="AD12">
        <f>AD11*About!$A$38</f>
        <v>3542444.1047332818</v>
      </c>
      <c r="AE12">
        <f>AE11*About!$A$38</f>
        <v>3504431.1281743078</v>
      </c>
      <c r="AF12">
        <f>AF11*About!$A$38</f>
        <v>3466418.1516153333</v>
      </c>
      <c r="AG12">
        <f>AG11*About!$A$38</f>
        <v>3428405.1750563458</v>
      </c>
      <c r="AH12">
        <f>AH11*About!$A$38</f>
        <v>3390392.1984973717</v>
      </c>
      <c r="AI12">
        <f>AI11*About!$A$38</f>
        <v>3352379.2219383973</v>
      </c>
      <c r="AJ12">
        <f>AJ11*About!$A$38</f>
        <v>3314366.2453794102</v>
      </c>
      <c r="AK12">
        <f>AK11*About!$A$38</f>
        <v>3276353.2688204357</v>
      </c>
      <c r="AL12">
        <f>AL11*About!$A$38</f>
        <v>3238340.2922614617</v>
      </c>
      <c r="AM12">
        <f>AM11*About!$A$38</f>
        <v>3200327.3157024872</v>
      </c>
      <c r="AN12">
        <f>AN11*About!$A$38</f>
        <v>3162314.3391434997</v>
      </c>
      <c r="AO12">
        <f>AO11*About!$A$38</f>
        <v>3124301.3625845257</v>
      </c>
      <c r="AP12">
        <f>AP11*About!$A$38</f>
        <v>3086288.3860255512</v>
      </c>
      <c r="AQ12">
        <f>AQ11*About!$A$38</f>
        <v>3048275.4094665637</v>
      </c>
      <c r="AR12">
        <f>AR11*About!$A$38</f>
        <v>3010262.4329075897</v>
      </c>
      <c r="AS12">
        <f>AS11*About!$A$38</f>
        <v>2972249.4563486152</v>
      </c>
      <c r="AT12">
        <f>AT11*About!$A$38</f>
        <v>2934236.4797896277</v>
      </c>
      <c r="AU12">
        <f>AU11*About!$A$38</f>
        <v>2896223.5032306537</v>
      </c>
      <c r="AV12">
        <f>AV11*About!$A$38</f>
        <v>2858210.5266716792</v>
      </c>
      <c r="AW12">
        <f>AW11*About!$A$38</f>
        <v>2820197.5501127052</v>
      </c>
      <c r="AX12">
        <f>AX11*About!$A$38</f>
        <v>2782184.5735537177</v>
      </c>
      <c r="AY12">
        <f>AY11*About!$A$38</f>
        <v>2744171.5969947432</v>
      </c>
      <c r="AZ12">
        <f>AZ11*About!$A$38</f>
        <v>2706158.6204357692</v>
      </c>
      <c r="BA12">
        <f>BA11*About!$A$38</f>
        <v>2668145.6438767817</v>
      </c>
    </row>
    <row r="13" spans="1:53" ht="14.25" customHeight="1">
      <c r="A13" s="1" t="s">
        <v>128</v>
      </c>
      <c r="B13">
        <v>5770615.6415932029</v>
      </c>
      <c r="C13">
        <v>5579703.7886677757</v>
      </c>
      <c r="D13">
        <v>5388791.9357423494</v>
      </c>
      <c r="E13">
        <v>5197880.082816923</v>
      </c>
      <c r="F13">
        <v>5006968.2298914967</v>
      </c>
      <c r="G13">
        <v>4816056.3769660695</v>
      </c>
      <c r="H13">
        <v>4630891.4252945716</v>
      </c>
      <c r="I13">
        <v>4445255.6682265233</v>
      </c>
      <c r="J13">
        <v>4259148.6487105982</v>
      </c>
      <c r="K13">
        <v>4072569.907682443</v>
      </c>
      <c r="L13">
        <v>3885518.9840730261</v>
      </c>
      <c r="M13">
        <v>3865472.7944376948</v>
      </c>
      <c r="N13">
        <v>3845426.6048023649</v>
      </c>
      <c r="O13">
        <v>3825380.4151670355</v>
      </c>
      <c r="P13">
        <v>3805334.2255317057</v>
      </c>
      <c r="Q13">
        <v>3785288.0358963748</v>
      </c>
      <c r="R13">
        <v>3765241.846261045</v>
      </c>
      <c r="S13">
        <v>3745195.6566257156</v>
      </c>
      <c r="T13">
        <v>3725149.4669903857</v>
      </c>
      <c r="U13">
        <v>3705103.2773550553</v>
      </c>
      <c r="V13">
        <v>3685057.0877197245</v>
      </c>
      <c r="W13">
        <v>3665010.8980843951</v>
      </c>
      <c r="X13">
        <v>3644964.7084490648</v>
      </c>
      <c r="Y13">
        <v>3624918.5188137349</v>
      </c>
      <c r="Z13">
        <v>3604872.3291784045</v>
      </c>
      <c r="AA13">
        <v>3584826.1395430746</v>
      </c>
      <c r="AB13">
        <v>3564779.9499077443</v>
      </c>
      <c r="AC13">
        <v>3544733.7602724144</v>
      </c>
      <c r="AD13">
        <v>3524687.5706370845</v>
      </c>
      <c r="AE13">
        <v>3504641.3810017542</v>
      </c>
      <c r="AF13">
        <v>3484595.1913664243</v>
      </c>
      <c r="AG13">
        <f>_xlfn.FORECAST.LINEAR(AG10,$B$13:$AF$13,$B$10:$AF$10)</f>
        <v>3047968.6751432121</v>
      </c>
      <c r="AH13">
        <f t="shared" ref="AH13:BA13" si="3">_xlfn.FORECAST.LINEAR(AH10,$B$13:$AF$13,$B$10:$AF$10)</f>
        <v>2983317.3613967001</v>
      </c>
      <c r="AI13">
        <f t="shared" si="3"/>
        <v>2918666.0476502031</v>
      </c>
      <c r="AJ13">
        <f t="shared" si="3"/>
        <v>2854014.7339036912</v>
      </c>
      <c r="AK13">
        <f t="shared" si="3"/>
        <v>2789363.4201571941</v>
      </c>
      <c r="AL13">
        <f t="shared" si="3"/>
        <v>2724712.1064106822</v>
      </c>
      <c r="AM13">
        <f t="shared" si="3"/>
        <v>2660060.7926641852</v>
      </c>
      <c r="AN13">
        <f t="shared" si="3"/>
        <v>2595409.4789176732</v>
      </c>
      <c r="AO13">
        <f t="shared" si="3"/>
        <v>2530758.1651711762</v>
      </c>
      <c r="AP13">
        <f t="shared" si="3"/>
        <v>2466106.8514246643</v>
      </c>
      <c r="AQ13">
        <f t="shared" si="3"/>
        <v>2401455.5376781523</v>
      </c>
      <c r="AR13">
        <f t="shared" si="3"/>
        <v>2336804.2239316553</v>
      </c>
      <c r="AS13">
        <f t="shared" si="3"/>
        <v>2272152.9101851434</v>
      </c>
      <c r="AT13">
        <f t="shared" si="3"/>
        <v>2207501.5964386463</v>
      </c>
      <c r="AU13">
        <f t="shared" si="3"/>
        <v>2142850.2826921344</v>
      </c>
      <c r="AV13">
        <f t="shared" si="3"/>
        <v>2078198.9689456373</v>
      </c>
      <c r="AW13">
        <f t="shared" si="3"/>
        <v>2013547.6551991254</v>
      </c>
      <c r="AX13">
        <f t="shared" si="3"/>
        <v>1948896.3414526284</v>
      </c>
      <c r="AY13">
        <f t="shared" si="3"/>
        <v>1884245.0277061164</v>
      </c>
      <c r="AZ13">
        <f t="shared" si="3"/>
        <v>1819593.7139596194</v>
      </c>
      <c r="BA13">
        <f t="shared" si="3"/>
        <v>1754942.4002131075</v>
      </c>
    </row>
    <row r="14" spans="1:53" ht="14.25" customHeight="1">
      <c r="A14" s="1" t="s">
        <v>129</v>
      </c>
      <c r="B14">
        <f>B13/B12</f>
        <v>1.2526279221018013</v>
      </c>
      <c r="C14">
        <f t="shared" ref="C14:BA14" si="4">C13/C12</f>
        <v>1.2212639073777645</v>
      </c>
      <c r="D14">
        <f t="shared" si="4"/>
        <v>1.1893736083657953</v>
      </c>
      <c r="E14">
        <f t="shared" si="4"/>
        <v>1.156943666510553</v>
      </c>
      <c r="F14">
        <f t="shared" si="4"/>
        <v>1.1239602672959166</v>
      </c>
      <c r="G14">
        <f t="shared" si="4"/>
        <v>1.0904091206237114</v>
      </c>
      <c r="H14">
        <f t="shared" si="4"/>
        <v>1.0575878987584564</v>
      </c>
      <c r="I14">
        <f t="shared" si="4"/>
        <v>1.0240833634368864</v>
      </c>
      <c r="J14">
        <f t="shared" si="4"/>
        <v>0.98987729788342549</v>
      </c>
      <c r="K14">
        <f t="shared" si="4"/>
        <v>0.95495083535542147</v>
      </c>
      <c r="L14">
        <f t="shared" si="4"/>
        <v>0.91928442991747605</v>
      </c>
      <c r="M14">
        <f t="shared" si="4"/>
        <v>0.92284130278628873</v>
      </c>
      <c r="N14">
        <f t="shared" si="4"/>
        <v>0.92646332558035938</v>
      </c>
      <c r="O14">
        <f t="shared" si="4"/>
        <v>0.93015230483515143</v>
      </c>
      <c r="P14">
        <f t="shared" si="4"/>
        <v>0.93391011450020867</v>
      </c>
      <c r="Q14">
        <f t="shared" si="4"/>
        <v>0.93773869911336916</v>
      </c>
      <c r="R14">
        <f t="shared" si="4"/>
        <v>0.94164007715601739</v>
      </c>
      <c r="S14">
        <f t="shared" si="4"/>
        <v>0.94561634460158306</v>
      </c>
      <c r="T14">
        <f t="shared" si="4"/>
        <v>0.94966967867034235</v>
      </c>
      <c r="U14">
        <f t="shared" si="4"/>
        <v>0.95380234180467627</v>
      </c>
      <c r="V14">
        <f t="shared" si="4"/>
        <v>0.95801668588006839</v>
      </c>
      <c r="W14">
        <f t="shared" si="4"/>
        <v>0.96231515666825318</v>
      </c>
      <c r="X14">
        <f t="shared" si="4"/>
        <v>0.9667002985703369</v>
      </c>
      <c r="Y14">
        <f t="shared" si="4"/>
        <v>0.97117475963917355</v>
      </c>
      <c r="Z14">
        <f t="shared" si="4"/>
        <v>0.97574129691175682</v>
      </c>
      <c r="AA14">
        <f t="shared" si="4"/>
        <v>0.98040278207425047</v>
      </c>
      <c r="AB14">
        <f t="shared" si="4"/>
        <v>0.98516220748407068</v>
      </c>
      <c r="AC14">
        <f t="shared" si="4"/>
        <v>0.99002269257561903</v>
      </c>
      <c r="AD14">
        <f t="shared" si="4"/>
        <v>0.99498749067840719</v>
      </c>
      <c r="AE14">
        <f t="shared" si="4"/>
        <v>1.0000599962789269</v>
      </c>
      <c r="AF14">
        <f t="shared" si="4"/>
        <v>1.0052437527603588</v>
      </c>
      <c r="AG14">
        <f t="shared" si="4"/>
        <v>0.88903397338184187</v>
      </c>
      <c r="AH14">
        <f t="shared" si="4"/>
        <v>0.87993281801406698</v>
      </c>
      <c r="AI14">
        <f t="shared" si="4"/>
        <v>0.87062526475229296</v>
      </c>
      <c r="AJ14">
        <f t="shared" si="4"/>
        <v>0.86110421196887954</v>
      </c>
      <c r="AK14">
        <f t="shared" si="4"/>
        <v>0.85136222845756515</v>
      </c>
      <c r="AL14">
        <f t="shared" si="4"/>
        <v>0.84139153408979983</v>
      </c>
      <c r="AM14">
        <f t="shared" si="4"/>
        <v>0.83118397909255382</v>
      </c>
      <c r="AN14">
        <f t="shared" si="4"/>
        <v>0.82073102183150759</v>
      </c>
      <c r="AO14">
        <f t="shared" si="4"/>
        <v>0.81002370497244514</v>
      </c>
      <c r="AP14">
        <f t="shared" si="4"/>
        <v>0.7990526298809224</v>
      </c>
      <c r="AQ14">
        <f t="shared" si="4"/>
        <v>0.78780792910650999</v>
      </c>
      <c r="AR14">
        <f t="shared" si="4"/>
        <v>0.77627923678220767</v>
      </c>
      <c r="AS14">
        <f t="shared" si="4"/>
        <v>0.76445565675246685</v>
      </c>
      <c r="AT14">
        <f t="shared" si="4"/>
        <v>0.7523257282238256</v>
      </c>
      <c r="AU14">
        <f t="shared" si="4"/>
        <v>0.73987738871045239</v>
      </c>
      <c r="AV14">
        <f t="shared" si="4"/>
        <v>0.72709793402295408</v>
      </c>
      <c r="AW14">
        <f t="shared" si="4"/>
        <v>0.71397397502123805</v>
      </c>
      <c r="AX14">
        <f t="shared" si="4"/>
        <v>0.70049139082216949</v>
      </c>
      <c r="AY14">
        <f t="shared" si="4"/>
        <v>0.68663527811804181</v>
      </c>
      <c r="AZ14">
        <f t="shared" si="4"/>
        <v>0.6723898962236784</v>
      </c>
      <c r="BA14">
        <f t="shared" si="4"/>
        <v>0.65773860742594192</v>
      </c>
    </row>
    <row r="15" spans="1:53" ht="14.25" customHeight="1">
      <c r="A15" s="25" t="s">
        <v>130</v>
      </c>
      <c r="B15">
        <v>77011.173441128762</v>
      </c>
    </row>
    <row r="16" spans="1:53" ht="14.25" customHeight="1">
      <c r="A16" s="46" t="s">
        <v>145</v>
      </c>
      <c r="B16">
        <f>$B$15*B14</f>
        <v>96466.346166182542</v>
      </c>
      <c r="C16">
        <f t="shared" ref="C16:BA16" si="5">$B$15*C14</f>
        <v>94050.966588459632</v>
      </c>
      <c r="D16">
        <f t="shared" si="5"/>
        <v>91595.057240159411</v>
      </c>
      <c r="E16">
        <f t="shared" si="5"/>
        <v>89097.589363259627</v>
      </c>
      <c r="F16">
        <f t="shared" si="5"/>
        <v>86557.499085663279</v>
      </c>
      <c r="G16">
        <f t="shared" si="5"/>
        <v>83973.685910141328</v>
      </c>
      <c r="H16">
        <f t="shared" si="5"/>
        <v>81446.085100526412</v>
      </c>
      <c r="I16">
        <f t="shared" si="5"/>
        <v>78865.861519812563</v>
      </c>
      <c r="J16">
        <f t="shared" si="5"/>
        <v>76231.612272736354</v>
      </c>
      <c r="K16">
        <f t="shared" si="5"/>
        <v>73541.884409307153</v>
      </c>
      <c r="L16">
        <f t="shared" si="5"/>
        <v>70795.172674103931</v>
      </c>
      <c r="M16">
        <f t="shared" si="5"/>
        <v>71069.091627512098</v>
      </c>
      <c r="N16">
        <f t="shared" si="5"/>
        <v>71348.027853114007</v>
      </c>
      <c r="O16">
        <f t="shared" si="5"/>
        <v>71632.120474325522</v>
      </c>
      <c r="P16">
        <f t="shared" si="5"/>
        <v>71921.51380619999</v>
      </c>
      <c r="Q16">
        <f t="shared" si="5"/>
        <v>72216.357599878131</v>
      </c>
      <c r="R16">
        <f t="shared" si="5"/>
        <v>72516.807300979926</v>
      </c>
      <c r="S16">
        <f t="shared" si="5"/>
        <v>72823.0243228787</v>
      </c>
      <c r="T16">
        <f t="shared" si="5"/>
        <v>73135.17633586275</v>
      </c>
      <c r="U16">
        <f t="shared" si="5"/>
        <v>73453.437573274699</v>
      </c>
      <c r="V16">
        <f t="shared" si="5"/>
        <v>73777.98915580532</v>
      </c>
      <c r="W16">
        <f t="shared" si="5"/>
        <v>74109.019435205846</v>
      </c>
      <c r="X16">
        <f t="shared" si="5"/>
        <v>74446.72435879118</v>
      </c>
      <c r="Y16">
        <f t="shared" si="5"/>
        <v>74791.307856218933</v>
      </c>
      <c r="Z16">
        <f t="shared" si="5"/>
        <v>75142.982250143221</v>
      </c>
      <c r="AA16">
        <f t="shared" si="5"/>
        <v>75501.968692485272</v>
      </c>
      <c r="AB16">
        <f t="shared" si="5"/>
        <v>75868.497628201047</v>
      </c>
      <c r="AC16">
        <f t="shared" si="5"/>
        <v>76242.809288594304</v>
      </c>
      <c r="AD16">
        <f t="shared" si="5"/>
        <v>76625.154216388299</v>
      </c>
      <c r="AE16">
        <f t="shared" si="5"/>
        <v>77015.793824971028</v>
      </c>
      <c r="AF16">
        <f t="shared" si="5"/>
        <v>77415.00099443915</v>
      </c>
      <c r="AG16">
        <f t="shared" si="5"/>
        <v>68465.549519164881</v>
      </c>
      <c r="AH16">
        <f t="shared" si="5"/>
        <v>67764.658864622499</v>
      </c>
      <c r="AI16">
        <f t="shared" si="5"/>
        <v>67047.873266067487</v>
      </c>
      <c r="AJ16">
        <f t="shared" si="5"/>
        <v>66314.645818821882</v>
      </c>
      <c r="AK16">
        <f t="shared" si="5"/>
        <v>65564.404236971444</v>
      </c>
      <c r="AL16">
        <f t="shared" si="5"/>
        <v>64796.54936368698</v>
      </c>
      <c r="AM16">
        <f t="shared" si="5"/>
        <v>64010.453575384206</v>
      </c>
      <c r="AN16">
        <f t="shared" si="5"/>
        <v>63205.459070781064</v>
      </c>
      <c r="AO16">
        <f t="shared" si="5"/>
        <v>62380.876035058689</v>
      </c>
      <c r="AP16">
        <f t="shared" si="5"/>
        <v>61535.980668349781</v>
      </c>
      <c r="AQ16">
        <f t="shared" si="5"/>
        <v>60670.013066717911</v>
      </c>
      <c r="AR16">
        <f t="shared" si="5"/>
        <v>59782.17494258166</v>
      </c>
      <c r="AS16">
        <f t="shared" si="5"/>
        <v>58871.627170216219</v>
      </c>
      <c r="AT16">
        <f t="shared" si="5"/>
        <v>57937.487140468533</v>
      </c>
      <c r="AU16">
        <f t="shared" si="5"/>
        <v>56978.825907150094</v>
      </c>
      <c r="AV16">
        <f t="shared" si="5"/>
        <v>55994.665105728112</v>
      </c>
      <c r="AW16">
        <f t="shared" si="5"/>
        <v>54983.9736228127</v>
      </c>
      <c r="AX16">
        <f t="shared" si="5"/>
        <v>53945.663992623609</v>
      </c>
      <c r="AY16">
        <f t="shared" si="5"/>
        <v>52878.588493946205</v>
      </c>
      <c r="AZ16">
        <f t="shared" si="5"/>
        <v>51781.534918144265</v>
      </c>
      <c r="BA16">
        <f t="shared" si="5"/>
        <v>50653.221975405715</v>
      </c>
    </row>
    <row r="17" spans="1:53" ht="14.25" customHeight="1">
      <c r="A17" s="25" t="s">
        <v>131</v>
      </c>
      <c r="B17">
        <v>0</v>
      </c>
    </row>
    <row r="18" spans="1:53" ht="14.25" customHeight="1">
      <c r="A18" s="25" t="s">
        <v>146</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row>
    <row r="19" spans="1:53" ht="14.25" customHeight="1">
      <c r="A19" s="46"/>
    </row>
    <row r="20" spans="1:53" ht="14.25" customHeight="1">
      <c r="A20" s="46"/>
      <c r="B20" s="59"/>
    </row>
    <row r="21" spans="1:53" ht="14.25" customHeight="1"/>
    <row r="22" spans="1:53" ht="14.25" customHeight="1">
      <c r="A22" s="5" t="s">
        <v>127</v>
      </c>
    </row>
    <row r="23" spans="1:53" ht="14.25" customHeight="1">
      <c r="A23" t="s">
        <v>106</v>
      </c>
      <c r="B23" t="s">
        <v>107</v>
      </c>
    </row>
    <row r="24" spans="1:53" ht="14.25" customHeight="1"/>
    <row r="25" spans="1:53" ht="14.25" customHeight="1">
      <c r="A25" t="s">
        <v>108</v>
      </c>
      <c r="B25" t="s">
        <v>109</v>
      </c>
      <c r="C25" t="s">
        <v>110</v>
      </c>
      <c r="E25" t="s">
        <v>111</v>
      </c>
      <c r="F25" t="s">
        <v>112</v>
      </c>
    </row>
    <row r="26" spans="1:53" ht="14.25" customHeight="1">
      <c r="A26" t="s">
        <v>113</v>
      </c>
      <c r="B26" t="e">
        <v>#N/A</v>
      </c>
      <c r="C26" t="e">
        <v>#N/A</v>
      </c>
    </row>
    <row r="27" spans="1:53" ht="14.25" customHeight="1">
      <c r="A27" t="s">
        <v>114</v>
      </c>
      <c r="B27">
        <v>3.4396772942024576</v>
      </c>
      <c r="C27">
        <v>68.332118922034056</v>
      </c>
      <c r="E27">
        <v>6.9518421539183022</v>
      </c>
      <c r="F27">
        <v>138.10426506853423</v>
      </c>
    </row>
    <row r="28" spans="1:53" ht="14.25" customHeight="1">
      <c r="A28" t="s">
        <v>66</v>
      </c>
      <c r="B28">
        <v>0.75224685861676899</v>
      </c>
      <c r="C28">
        <v>15.798310345109863</v>
      </c>
      <c r="E28">
        <v>1.5203465251519233</v>
      </c>
      <c r="F28">
        <v>31.929553392386921</v>
      </c>
    </row>
    <row r="29" spans="1:53" ht="14.25" customHeight="1">
      <c r="A29" t="s">
        <v>115</v>
      </c>
      <c r="B29">
        <v>0</v>
      </c>
      <c r="C29">
        <v>38.104085049749671</v>
      </c>
      <c r="E29">
        <v>0</v>
      </c>
      <c r="F29">
        <v>77.011173441128761</v>
      </c>
    </row>
    <row r="30" spans="1:53" ht="14.25" customHeight="1">
      <c r="A30" t="s">
        <v>116</v>
      </c>
      <c r="B30">
        <v>0</v>
      </c>
      <c r="C30">
        <v>16.048024514257353</v>
      </c>
      <c r="E30">
        <v>0</v>
      </c>
      <c r="F30">
        <v>32.434244193014109</v>
      </c>
    </row>
    <row r="31" spans="1:53" ht="14.25" customHeight="1">
      <c r="A31" t="s">
        <v>117</v>
      </c>
      <c r="B31">
        <v>1.7799214398712855</v>
      </c>
      <c r="C31">
        <v>6.2877402942667855</v>
      </c>
      <c r="E31">
        <v>3.5973528438891544</v>
      </c>
      <c r="F31">
        <v>12.707988073256061</v>
      </c>
    </row>
    <row r="32" spans="1:53" ht="14.25" customHeight="1">
      <c r="A32" t="s">
        <v>118</v>
      </c>
      <c r="B32">
        <v>3.6097729646846477</v>
      </c>
      <c r="C32">
        <v>2.5109611862334766</v>
      </c>
      <c r="E32">
        <v>7.295618081459569</v>
      </c>
      <c r="F32">
        <v>5.0748382270430357</v>
      </c>
    </row>
    <row r="33" spans="1:6" ht="14.25" customHeight="1">
      <c r="A33" t="s">
        <v>54</v>
      </c>
      <c r="B33">
        <v>0</v>
      </c>
      <c r="C33">
        <v>54.610345686466886</v>
      </c>
      <c r="E33">
        <v>0</v>
      </c>
      <c r="F33">
        <v>110.3715467212912</v>
      </c>
    </row>
    <row r="34" spans="1:6" ht="14.25" customHeight="1">
      <c r="A34" t="s">
        <v>50</v>
      </c>
      <c r="B34">
        <v>0</v>
      </c>
      <c r="C34">
        <v>7.6751558671219051</v>
      </c>
      <c r="E34">
        <v>0</v>
      </c>
      <c r="F34">
        <v>15.512057536584392</v>
      </c>
    </row>
    <row r="35" spans="1:6" ht="14.25" customHeight="1">
      <c r="A35" t="s">
        <v>119</v>
      </c>
      <c r="B35">
        <v>3.3409404500318773</v>
      </c>
      <c r="C35">
        <v>125.55197727588457</v>
      </c>
      <c r="E35">
        <v>6.7522876908857299</v>
      </c>
      <c r="F35">
        <v>253.74982984753032</v>
      </c>
    </row>
    <row r="36" spans="1:6" ht="14.25" customHeight="1">
      <c r="A36" t="s">
        <v>37</v>
      </c>
      <c r="B36">
        <v>7.5359364781726834E-2</v>
      </c>
      <c r="C36">
        <v>77.126740226266676</v>
      </c>
      <c r="E36">
        <v>0.15230684857126578</v>
      </c>
      <c r="F36">
        <v>155.87884503089325</v>
      </c>
    </row>
    <row r="37" spans="1:6" ht="14.25" customHeight="1">
      <c r="A37" t="s">
        <v>120</v>
      </c>
      <c r="B37">
        <v>1.0947084655985806</v>
      </c>
      <c r="C37">
        <v>6.9712954514298984</v>
      </c>
      <c r="E37">
        <v>2.2124867557274697</v>
      </c>
      <c r="F37">
        <v>14.089503590454193</v>
      </c>
    </row>
    <row r="38" spans="1:6" ht="14.25" customHeight="1">
      <c r="A38" t="s">
        <v>121</v>
      </c>
      <c r="B38">
        <v>3.7120325552780667E-3</v>
      </c>
      <c r="C38">
        <v>8.9169438878850666</v>
      </c>
      <c r="E38">
        <v>7.5022922754974693E-3</v>
      </c>
      <c r="F38">
        <v>18.02180294890039</v>
      </c>
    </row>
    <row r="39" spans="1:6" ht="14.25" customHeight="1">
      <c r="A39" t="s">
        <v>122</v>
      </c>
      <c r="B39">
        <v>0</v>
      </c>
      <c r="C39">
        <v>15.298749469803766</v>
      </c>
      <c r="E39">
        <v>0</v>
      </c>
      <c r="F39">
        <v>30.919903924032802</v>
      </c>
    </row>
    <row r="40" spans="1:6" ht="14.25" customHeight="1">
      <c r="A40" t="s">
        <v>123</v>
      </c>
      <c r="B40">
        <v>0</v>
      </c>
      <c r="C40">
        <v>42.27300000000001</v>
      </c>
      <c r="E40">
        <v>0</v>
      </c>
      <c r="F40">
        <v>85.436858820422557</v>
      </c>
    </row>
    <row r="41" spans="1:6" ht="14.25" customHeight="1">
      <c r="A41" t="s">
        <v>124</v>
      </c>
      <c r="B41">
        <v>0</v>
      </c>
      <c r="C41">
        <v>17.362461864395268</v>
      </c>
      <c r="E41">
        <v>0</v>
      </c>
      <c r="F41">
        <v>35.09081927195394</v>
      </c>
    </row>
    <row r="42" spans="1:6" ht="14.25" customHeight="1">
      <c r="A42" t="s">
        <v>125</v>
      </c>
    </row>
    <row r="43" spans="1:6" ht="14.25" customHeight="1">
      <c r="A43" t="s">
        <v>126</v>
      </c>
      <c r="B43" t="e">
        <v>#N/A</v>
      </c>
      <c r="C43" t="e">
        <v>#N/A</v>
      </c>
    </row>
    <row r="44" spans="1:6" ht="14.25" customHeight="1"/>
    <row r="45" spans="1:6" ht="14.25" customHeight="1"/>
    <row r="46" spans="1:6" ht="14.25" customHeight="1"/>
    <row r="47" spans="1:6" ht="14.25" customHeight="1"/>
    <row r="48" spans="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mergeCells count="2">
    <mergeCell ref="D3:E3"/>
    <mergeCell ref="D4:E4"/>
  </mergeCells>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G1000"/>
  <sheetViews>
    <sheetView workbookViewId="0">
      <selection activeCell="B11" sqref="B11"/>
    </sheetView>
  </sheetViews>
  <sheetFormatPr baseColWidth="10" defaultColWidth="14.42578125" defaultRowHeight="15" customHeight="1"/>
  <cols>
    <col min="1" max="1" width="18.140625" customWidth="1"/>
    <col min="2" max="2" width="17.42578125" customWidth="1"/>
    <col min="3" max="35" width="8.7109375" customWidth="1"/>
  </cols>
  <sheetData>
    <row r="1" spans="1:59" ht="14.25" customHeight="1">
      <c r="A1" s="10" t="s">
        <v>34</v>
      </c>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row>
    <row r="2" spans="1:59" ht="30.75" customHeight="1">
      <c r="A2" s="14" t="s">
        <v>35</v>
      </c>
      <c r="B2" s="14" t="s">
        <v>36</v>
      </c>
      <c r="C2" s="1">
        <v>2018</v>
      </c>
      <c r="D2" s="1">
        <v>2019</v>
      </c>
      <c r="E2" s="1">
        <v>2020</v>
      </c>
      <c r="F2" s="1">
        <v>2021</v>
      </c>
      <c r="G2" s="1">
        <v>2022</v>
      </c>
      <c r="H2" s="1">
        <v>2023</v>
      </c>
      <c r="I2" s="1">
        <v>2024</v>
      </c>
      <c r="J2" s="1">
        <v>2025</v>
      </c>
      <c r="K2" s="1">
        <v>2026</v>
      </c>
      <c r="L2" s="1">
        <v>2027</v>
      </c>
      <c r="M2" s="1">
        <v>2028</v>
      </c>
      <c r="N2" s="1">
        <v>2029</v>
      </c>
      <c r="O2" s="1">
        <v>2030</v>
      </c>
      <c r="P2" s="1">
        <v>2031</v>
      </c>
      <c r="Q2" s="1">
        <v>2032</v>
      </c>
      <c r="R2" s="1">
        <v>2033</v>
      </c>
      <c r="S2" s="1">
        <v>2034</v>
      </c>
      <c r="T2" s="1">
        <v>2035</v>
      </c>
      <c r="U2" s="1">
        <v>2036</v>
      </c>
      <c r="V2" s="1">
        <v>2037</v>
      </c>
      <c r="W2" s="1">
        <v>2038</v>
      </c>
      <c r="X2" s="1">
        <v>2039</v>
      </c>
      <c r="Y2" s="1">
        <v>2040</v>
      </c>
      <c r="Z2" s="1">
        <v>2041</v>
      </c>
      <c r="AA2" s="1">
        <v>2042</v>
      </c>
      <c r="AB2" s="1">
        <v>2043</v>
      </c>
      <c r="AC2" s="1">
        <v>2044</v>
      </c>
      <c r="AD2" s="1">
        <v>2045</v>
      </c>
      <c r="AE2" s="1">
        <v>2046</v>
      </c>
      <c r="AF2" s="1">
        <v>2047</v>
      </c>
      <c r="AG2" s="1">
        <v>2048</v>
      </c>
      <c r="AH2" s="1">
        <v>2049</v>
      </c>
      <c r="AI2" s="1">
        <v>2050</v>
      </c>
      <c r="AJ2" s="25">
        <v>2051</v>
      </c>
      <c r="AK2" s="25">
        <v>2052</v>
      </c>
      <c r="AL2" s="25">
        <v>2053</v>
      </c>
      <c r="AM2" s="25">
        <v>2054</v>
      </c>
      <c r="AN2" s="25">
        <v>2055</v>
      </c>
      <c r="AO2" s="25">
        <v>2056</v>
      </c>
      <c r="AP2" s="25">
        <v>2057</v>
      </c>
      <c r="AQ2" s="25">
        <v>2058</v>
      </c>
      <c r="AR2" s="25">
        <v>2059</v>
      </c>
      <c r="AS2" s="25">
        <v>2060</v>
      </c>
      <c r="AT2" s="25">
        <v>2061</v>
      </c>
      <c r="AU2" s="25">
        <v>2062</v>
      </c>
      <c r="AV2" s="25">
        <v>2063</v>
      </c>
      <c r="AW2" s="25">
        <v>2064</v>
      </c>
      <c r="AX2" s="25">
        <v>2065</v>
      </c>
      <c r="AY2" s="25">
        <v>2066</v>
      </c>
      <c r="AZ2" s="25">
        <v>2067</v>
      </c>
      <c r="BA2" s="25">
        <v>2068</v>
      </c>
      <c r="BB2" s="25">
        <v>2069</v>
      </c>
      <c r="BC2" s="25">
        <v>2070</v>
      </c>
      <c r="BD2" s="25"/>
      <c r="BE2" s="25"/>
      <c r="BF2" s="25"/>
      <c r="BG2" s="25"/>
    </row>
    <row r="3" spans="1:59" ht="14.25" customHeight="1">
      <c r="A3" s="5" t="s">
        <v>37</v>
      </c>
      <c r="B3" s="5" t="s">
        <v>38</v>
      </c>
      <c r="C3" s="5">
        <v>7185.6550639581592</v>
      </c>
      <c r="D3" s="5">
        <v>7148.971053592184</v>
      </c>
      <c r="E3" s="5">
        <v>7112.2870432262098</v>
      </c>
      <c r="F3" s="5">
        <v>7075.6030328602355</v>
      </c>
      <c r="G3" s="5">
        <v>7038.9190224942613</v>
      </c>
      <c r="H3" s="5">
        <v>7002.2350121282861</v>
      </c>
      <c r="I3" s="5">
        <v>6965.5510017623119</v>
      </c>
      <c r="J3" s="5">
        <v>6928.8669913963377</v>
      </c>
      <c r="K3" s="5">
        <v>6892.1829810303625</v>
      </c>
      <c r="L3" s="5">
        <v>6851.2589598080949</v>
      </c>
      <c r="M3" s="5">
        <v>6813.6278029420464</v>
      </c>
      <c r="N3" s="5">
        <v>6774.1539532539337</v>
      </c>
      <c r="O3" s="5">
        <v>6727.7998011345171</v>
      </c>
      <c r="P3" s="5">
        <v>6683.1960440087441</v>
      </c>
      <c r="Q3" s="5">
        <v>6636.3542050003807</v>
      </c>
      <c r="R3" s="5">
        <v>6588.5183027418716</v>
      </c>
      <c r="S3" s="5">
        <v>6547.775053991485</v>
      </c>
      <c r="T3" s="5">
        <v>6505.1168147586513</v>
      </c>
      <c r="U3" s="5">
        <v>6453.4227874690823</v>
      </c>
      <c r="V3" s="5">
        <v>6411.16930743789</v>
      </c>
      <c r="W3" s="5">
        <v>6366.4717553695682</v>
      </c>
      <c r="X3" s="5">
        <v>6316.8299293305672</v>
      </c>
      <c r="Y3" s="5">
        <v>6266.0122705067661</v>
      </c>
      <c r="Z3" s="5">
        <v>6226.1659149347006</v>
      </c>
      <c r="AA3" s="5">
        <v>6177.7439681364785</v>
      </c>
      <c r="AB3" s="5">
        <v>6133.5759493936757</v>
      </c>
      <c r="AC3" s="5">
        <v>6089.1104732365557</v>
      </c>
      <c r="AD3" s="5">
        <v>6048.0420750528901</v>
      </c>
      <c r="AE3" s="5">
        <v>5995.95406657903</v>
      </c>
      <c r="AF3" s="5">
        <v>5951.8102131161768</v>
      </c>
      <c r="AG3" s="5">
        <v>5907.4100770717405</v>
      </c>
      <c r="AH3" s="5">
        <v>5862.8788955144619</v>
      </c>
      <c r="AI3" s="5">
        <v>5768.0885837282767</v>
      </c>
      <c r="AJ3">
        <f>_xlfn.FORECAST.LINEAR(AJ2,$C$3:$AI$3,$C$2:$AI$2)</f>
        <v>5785.9289093374973</v>
      </c>
      <c r="AK3">
        <f t="shared" ref="AK3:BC3" si="0">_xlfn.FORECAST.LINEAR(AK2,$C$3:$AI$3,$C$2:$AI$2)</f>
        <v>5742.2264059527806</v>
      </c>
      <c r="AL3">
        <f t="shared" si="0"/>
        <v>5698.5239025680639</v>
      </c>
      <c r="AM3">
        <f t="shared" si="0"/>
        <v>5654.8213991833327</v>
      </c>
      <c r="AN3">
        <f t="shared" si="0"/>
        <v>5611.118895798616</v>
      </c>
      <c r="AO3">
        <f t="shared" si="0"/>
        <v>5567.4163924138993</v>
      </c>
      <c r="AP3">
        <f t="shared" si="0"/>
        <v>5523.7138890291681</v>
      </c>
      <c r="AQ3">
        <f t="shared" si="0"/>
        <v>5480.0113856444514</v>
      </c>
      <c r="AR3">
        <f t="shared" si="0"/>
        <v>5436.3088822597347</v>
      </c>
      <c r="AS3">
        <f t="shared" si="0"/>
        <v>5392.606378875018</v>
      </c>
      <c r="AT3">
        <f t="shared" si="0"/>
        <v>5348.9038754902867</v>
      </c>
      <c r="AU3">
        <f t="shared" si="0"/>
        <v>5305.20137210557</v>
      </c>
      <c r="AV3">
        <f t="shared" si="0"/>
        <v>5261.4988687208534</v>
      </c>
      <c r="AW3">
        <f t="shared" si="0"/>
        <v>5217.7963653361367</v>
      </c>
      <c r="AX3">
        <f t="shared" si="0"/>
        <v>5174.0938619514054</v>
      </c>
      <c r="AY3">
        <f t="shared" si="0"/>
        <v>5130.3913585666887</v>
      </c>
      <c r="AZ3">
        <f t="shared" si="0"/>
        <v>5086.688855181972</v>
      </c>
      <c r="BA3">
        <f t="shared" si="0"/>
        <v>5042.9863517972408</v>
      </c>
      <c r="BB3">
        <f t="shared" si="0"/>
        <v>4999.2838484125241</v>
      </c>
      <c r="BC3">
        <f t="shared" si="0"/>
        <v>4955.5813450278074</v>
      </c>
    </row>
    <row r="4" spans="1:59" ht="14.25" customHeight="1">
      <c r="A4" s="10" t="s">
        <v>39</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row>
    <row r="5" spans="1:59" ht="14.25" customHeight="1">
      <c r="A5" s="14" t="s">
        <v>40</v>
      </c>
      <c r="B5" s="14" t="s">
        <v>41</v>
      </c>
      <c r="C5" s="16" t="s">
        <v>42</v>
      </c>
      <c r="D5" s="16" t="s">
        <v>43</v>
      </c>
      <c r="E5" s="17" t="s">
        <v>44</v>
      </c>
      <c r="F5" s="14" t="s">
        <v>45</v>
      </c>
    </row>
    <row r="6" spans="1:59" ht="14.25" customHeight="1">
      <c r="A6" s="5" t="s">
        <v>37</v>
      </c>
      <c r="B6" s="5" t="s">
        <v>38</v>
      </c>
      <c r="C6" s="18">
        <v>2.3182711198428287</v>
      </c>
      <c r="D6" s="18">
        <v>118.98821218074656</v>
      </c>
      <c r="E6" s="19">
        <v>2018</v>
      </c>
      <c r="F6" s="5" t="s">
        <v>46</v>
      </c>
    </row>
    <row r="7" spans="1:59" ht="14.25" customHeight="1">
      <c r="A7" s="26">
        <v>2019</v>
      </c>
    </row>
    <row r="8" spans="1:59" ht="14.25" customHeight="1">
      <c r="A8" s="26" t="s">
        <v>168</v>
      </c>
      <c r="B8" s="64" t="s">
        <v>169</v>
      </c>
      <c r="C8" s="29">
        <v>9520000</v>
      </c>
    </row>
    <row r="9" spans="1:59" ht="14.25" customHeight="1"/>
    <row r="10" spans="1:59" ht="14.25" customHeight="1">
      <c r="C10" s="29"/>
    </row>
    <row r="11" spans="1:59" ht="14.25" customHeight="1"/>
    <row r="12" spans="1:59" ht="14.25" customHeight="1"/>
    <row r="13" spans="1:59" ht="14.25" customHeight="1"/>
    <row r="14" spans="1:59" ht="14.25" customHeight="1"/>
    <row r="15" spans="1:59" ht="14.25" customHeight="1"/>
    <row r="16" spans="1:59"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00"/>
  <sheetViews>
    <sheetView workbookViewId="0">
      <selection activeCell="M7" sqref="M7"/>
    </sheetView>
  </sheetViews>
  <sheetFormatPr baseColWidth="10" defaultColWidth="14.42578125" defaultRowHeight="15" customHeight="1"/>
  <cols>
    <col min="1" max="1" width="22.28515625" customWidth="1"/>
    <col min="2" max="4" width="11.7109375" customWidth="1"/>
    <col min="5" max="8" width="11.7109375" style="59" customWidth="1"/>
    <col min="9" max="30" width="8.7109375" customWidth="1"/>
  </cols>
  <sheetData>
    <row r="1" spans="1:14" ht="14.25" customHeight="1">
      <c r="A1" s="10" t="s">
        <v>47</v>
      </c>
      <c r="B1" s="10"/>
      <c r="C1" s="10"/>
      <c r="E1" s="67">
        <v>2020</v>
      </c>
      <c r="F1" s="67"/>
      <c r="G1" s="67"/>
      <c r="H1" s="66"/>
      <c r="I1" s="5"/>
      <c r="J1" s="5"/>
      <c r="K1" s="64" t="s">
        <v>154</v>
      </c>
      <c r="M1" s="75" t="s">
        <v>156</v>
      </c>
      <c r="N1" s="74"/>
    </row>
    <row r="2" spans="1:14" ht="14.25" customHeight="1">
      <c r="B2" s="1">
        <v>2020</v>
      </c>
      <c r="C2" s="1">
        <v>2030</v>
      </c>
      <c r="D2" s="1">
        <v>2050</v>
      </c>
      <c r="E2" s="68" t="s">
        <v>148</v>
      </c>
      <c r="F2" s="68" t="s">
        <v>149</v>
      </c>
      <c r="G2" s="68" t="s">
        <v>150</v>
      </c>
      <c r="H2" s="68">
        <v>2020</v>
      </c>
      <c r="I2" s="72">
        <v>2050</v>
      </c>
      <c r="J2" s="64"/>
      <c r="K2" s="64" t="s">
        <v>155</v>
      </c>
      <c r="M2">
        <v>2020</v>
      </c>
      <c r="N2">
        <v>2050</v>
      </c>
    </row>
    <row r="3" spans="1:14" ht="14.25" customHeight="1">
      <c r="A3" s="12" t="s">
        <v>48</v>
      </c>
      <c r="B3" s="20">
        <v>1650000</v>
      </c>
      <c r="C3" s="20">
        <v>1600000</v>
      </c>
      <c r="D3" s="20">
        <v>1550000</v>
      </c>
      <c r="E3" s="69">
        <f>(8000+13500)/2</f>
        <v>10750</v>
      </c>
      <c r="F3" s="69">
        <f>E3/$B$19</f>
        <v>10750000</v>
      </c>
      <c r="G3" s="69">
        <f>F3*$B$20*About!$A$38</f>
        <v>1760420</v>
      </c>
      <c r="H3" s="69">
        <f>G3</f>
        <v>1760420</v>
      </c>
      <c r="I3" s="69">
        <f>D3</f>
        <v>1550000</v>
      </c>
      <c r="J3" s="20"/>
      <c r="K3">
        <f>D3/B3</f>
        <v>0.93939393939393945</v>
      </c>
      <c r="M3" s="73">
        <f>H3</f>
        <v>1760420</v>
      </c>
      <c r="N3">
        <f>M3*K3</f>
        <v>1653727.8787878789</v>
      </c>
    </row>
    <row r="4" spans="1:14" ht="14.25" customHeight="1">
      <c r="A4" s="12" t="s">
        <v>49</v>
      </c>
      <c r="B4" s="5">
        <v>770000</v>
      </c>
      <c r="C4" s="5">
        <v>730000</v>
      </c>
      <c r="D4" s="5">
        <v>680000</v>
      </c>
      <c r="E4" s="70">
        <f>(2900+4700)/2</f>
        <v>3800</v>
      </c>
      <c r="F4" s="69">
        <f t="shared" ref="F4:F13" si="0">E4/$B$19</f>
        <v>3800000</v>
      </c>
      <c r="G4" s="69">
        <f>F4*$B$20*About!$A$38</f>
        <v>622288</v>
      </c>
      <c r="H4" s="69">
        <f t="shared" ref="H4:H16" si="1">G4</f>
        <v>622288</v>
      </c>
      <c r="I4" s="69">
        <f t="shared" ref="I4:I16" si="2">D4</f>
        <v>680000</v>
      </c>
      <c r="K4" s="59">
        <f t="shared" ref="K4:K16" si="3">D4/B4</f>
        <v>0.88311688311688308</v>
      </c>
      <c r="M4" s="73">
        <f t="shared" ref="M4:M16" si="4">H4</f>
        <v>622288</v>
      </c>
      <c r="N4" s="59">
        <f t="shared" ref="N4:N8" si="5">M4*K4</f>
        <v>549553.03896103892</v>
      </c>
    </row>
    <row r="5" spans="1:14" ht="14.25" customHeight="1">
      <c r="A5" s="12" t="s">
        <v>50</v>
      </c>
      <c r="B5" s="5">
        <v>2080000</v>
      </c>
      <c r="C5" s="5">
        <v>2000000</v>
      </c>
      <c r="D5" s="5">
        <v>1850000</v>
      </c>
      <c r="E5" s="71">
        <v>11000</v>
      </c>
      <c r="F5" s="69">
        <f t="shared" si="0"/>
        <v>11000000</v>
      </c>
      <c r="G5" s="69">
        <f>F5*$B$20*About!$A$38</f>
        <v>1801360</v>
      </c>
      <c r="H5" s="69">
        <f t="shared" si="1"/>
        <v>1801360</v>
      </c>
      <c r="I5" s="69">
        <f t="shared" si="2"/>
        <v>1850000</v>
      </c>
      <c r="K5" s="59">
        <f t="shared" si="3"/>
        <v>0.88942307692307687</v>
      </c>
      <c r="M5" s="73">
        <f t="shared" si="4"/>
        <v>1801360</v>
      </c>
      <c r="N5" s="59">
        <f t="shared" si="5"/>
        <v>1602171.1538461538</v>
      </c>
    </row>
    <row r="6" spans="1:14" ht="14.25" customHeight="1">
      <c r="A6" s="12" t="s">
        <v>51</v>
      </c>
      <c r="B6" s="5">
        <v>1500000</v>
      </c>
      <c r="C6" s="5">
        <v>1280000</v>
      </c>
      <c r="D6" s="5">
        <v>1080000</v>
      </c>
      <c r="E6" s="70">
        <f>(3800+5500)/2</f>
        <v>4650</v>
      </c>
      <c r="F6" s="69">
        <f t="shared" si="0"/>
        <v>4650000</v>
      </c>
      <c r="G6" s="69">
        <f>F6*$B$20*About!$A$38</f>
        <v>761484</v>
      </c>
      <c r="H6" s="69">
        <f t="shared" si="1"/>
        <v>761484</v>
      </c>
      <c r="I6" s="69">
        <f t="shared" si="2"/>
        <v>1080000</v>
      </c>
      <c r="K6" s="59">
        <f t="shared" si="3"/>
        <v>0.72</v>
      </c>
      <c r="M6" s="73">
        <f t="shared" si="4"/>
        <v>761484</v>
      </c>
      <c r="N6" s="59">
        <f t="shared" si="5"/>
        <v>548268.48</v>
      </c>
    </row>
    <row r="7" spans="1:14" ht="14.25" customHeight="1">
      <c r="A7" s="12" t="s">
        <v>52</v>
      </c>
      <c r="B7" s="5">
        <v>790000</v>
      </c>
      <c r="C7" s="5">
        <v>560000</v>
      </c>
      <c r="D7" s="5">
        <v>410000</v>
      </c>
      <c r="E7" s="70">
        <f>(2800+4500)/2</f>
        <v>3650</v>
      </c>
      <c r="F7" s="69">
        <f t="shared" si="0"/>
        <v>3650000</v>
      </c>
      <c r="G7" s="69">
        <f>F7*$B$20*About!$A$38</f>
        <v>597724</v>
      </c>
      <c r="H7" s="69">
        <f t="shared" si="1"/>
        <v>597724</v>
      </c>
      <c r="I7" s="69">
        <f t="shared" si="2"/>
        <v>410000</v>
      </c>
      <c r="J7" s="56"/>
      <c r="K7" s="59">
        <f t="shared" si="3"/>
        <v>0.51898734177215189</v>
      </c>
      <c r="M7" s="73">
        <f t="shared" si="4"/>
        <v>597724</v>
      </c>
      <c r="N7" s="59">
        <f t="shared" si="5"/>
        <v>310211.18987341772</v>
      </c>
    </row>
    <row r="8" spans="1:14" ht="14.25" customHeight="1">
      <c r="A8" s="12" t="s">
        <v>53</v>
      </c>
      <c r="B8" s="5">
        <v>2000000</v>
      </c>
      <c r="C8" s="5">
        <v>1820000</v>
      </c>
      <c r="D8" s="5">
        <v>1600000</v>
      </c>
      <c r="E8" s="70">
        <f>(3000+8000)/2</f>
        <v>5500</v>
      </c>
      <c r="F8" s="69">
        <f t="shared" si="0"/>
        <v>5500000</v>
      </c>
      <c r="G8" s="69">
        <f>F8*$B$20*About!$A$38</f>
        <v>900680</v>
      </c>
      <c r="H8" s="69">
        <f t="shared" si="1"/>
        <v>900680</v>
      </c>
      <c r="I8" s="69">
        <f t="shared" si="2"/>
        <v>1600000</v>
      </c>
      <c r="K8" s="59">
        <f t="shared" si="3"/>
        <v>0.8</v>
      </c>
      <c r="M8" s="73">
        <f t="shared" si="4"/>
        <v>900680</v>
      </c>
      <c r="N8" s="59">
        <f t="shared" si="5"/>
        <v>720544</v>
      </c>
    </row>
    <row r="9" spans="1:14" ht="14.25" customHeight="1">
      <c r="A9" s="12" t="s">
        <v>54</v>
      </c>
      <c r="B9" s="5">
        <v>4000000</v>
      </c>
      <c r="C9" s="5">
        <v>3440000</v>
      </c>
      <c r="D9" s="5">
        <v>2840000</v>
      </c>
      <c r="E9" s="70"/>
      <c r="F9" s="69"/>
      <c r="G9" s="69"/>
      <c r="H9" s="69"/>
      <c r="I9" s="69"/>
      <c r="K9" s="59">
        <f t="shared" si="3"/>
        <v>0.71</v>
      </c>
      <c r="M9" s="73">
        <f>B9</f>
        <v>4000000</v>
      </c>
      <c r="N9">
        <f>D9</f>
        <v>2840000</v>
      </c>
    </row>
    <row r="10" spans="1:14" ht="14.25" customHeight="1">
      <c r="A10" s="12" t="s">
        <v>55</v>
      </c>
      <c r="B10" s="20">
        <v>800000</v>
      </c>
      <c r="C10" s="20">
        <v>800000</v>
      </c>
      <c r="D10" s="20">
        <v>780000</v>
      </c>
      <c r="E10" s="69"/>
      <c r="F10" s="69"/>
      <c r="G10" s="69"/>
      <c r="H10" s="69"/>
      <c r="I10" s="69"/>
      <c r="K10" s="59">
        <f t="shared" si="3"/>
        <v>0.97499999999999998</v>
      </c>
      <c r="M10" s="73">
        <f>B10</f>
        <v>800000</v>
      </c>
      <c r="N10" s="59">
        <f>D10</f>
        <v>780000</v>
      </c>
    </row>
    <row r="11" spans="1:14" ht="14.25" customHeight="1">
      <c r="A11" s="12" t="s">
        <v>56</v>
      </c>
      <c r="B11" s="5">
        <v>690000</v>
      </c>
      <c r="C11" s="5">
        <v>660000</v>
      </c>
      <c r="D11" s="5">
        <v>610000</v>
      </c>
      <c r="E11" s="70">
        <f>(3600+6100)/2</f>
        <v>4850</v>
      </c>
      <c r="F11" s="69">
        <f t="shared" si="0"/>
        <v>4850000</v>
      </c>
      <c r="G11" s="69">
        <f>F11*$B$20*About!$A$38</f>
        <v>794236</v>
      </c>
      <c r="H11" s="69">
        <f t="shared" si="1"/>
        <v>794236</v>
      </c>
      <c r="I11" s="69">
        <f t="shared" si="2"/>
        <v>610000</v>
      </c>
      <c r="K11" s="59">
        <f t="shared" si="3"/>
        <v>0.88405797101449279</v>
      </c>
      <c r="M11" s="73">
        <f t="shared" si="4"/>
        <v>794236</v>
      </c>
      <c r="N11">
        <f>M11*K11</f>
        <v>702150.66666666674</v>
      </c>
    </row>
    <row r="12" spans="1:14" ht="14.25" customHeight="1">
      <c r="A12" s="12" t="s">
        <v>57</v>
      </c>
      <c r="B12" s="20">
        <v>1650000</v>
      </c>
      <c r="C12" s="20">
        <v>1600000</v>
      </c>
      <c r="D12" s="20">
        <v>1550000</v>
      </c>
      <c r="E12" s="69">
        <f>E3</f>
        <v>10750</v>
      </c>
      <c r="F12" s="69">
        <f t="shared" si="0"/>
        <v>10750000</v>
      </c>
      <c r="G12" s="69">
        <f>F12*$B$20*About!$A$38</f>
        <v>1760420</v>
      </c>
      <c r="H12" s="69">
        <f t="shared" si="1"/>
        <v>1760420</v>
      </c>
      <c r="I12" s="69">
        <f t="shared" si="2"/>
        <v>1550000</v>
      </c>
      <c r="K12" s="59">
        <f t="shared" si="3"/>
        <v>0.93939393939393945</v>
      </c>
      <c r="M12" s="73">
        <f t="shared" si="4"/>
        <v>1760420</v>
      </c>
      <c r="N12" s="59">
        <f t="shared" ref="N12:N13" si="6">M12*K12</f>
        <v>1653727.8787878789</v>
      </c>
    </row>
    <row r="13" spans="1:14" ht="14.25" customHeight="1">
      <c r="A13" s="12" t="s">
        <v>58</v>
      </c>
      <c r="B13" s="5">
        <v>3500000</v>
      </c>
      <c r="C13" s="5">
        <v>2980000</v>
      </c>
      <c r="D13" s="5">
        <v>2520000</v>
      </c>
      <c r="E13" s="70">
        <f>(9800+18600)/2</f>
        <v>14200</v>
      </c>
      <c r="F13" s="69">
        <f t="shared" si="0"/>
        <v>14200000</v>
      </c>
      <c r="G13" s="69">
        <f>F13*$B$20*About!$A$38</f>
        <v>2325392</v>
      </c>
      <c r="H13" s="69">
        <f t="shared" si="1"/>
        <v>2325392</v>
      </c>
      <c r="I13" s="69">
        <f t="shared" si="2"/>
        <v>2520000</v>
      </c>
      <c r="K13" s="59">
        <f t="shared" si="3"/>
        <v>0.72</v>
      </c>
      <c r="M13" s="73">
        <f t="shared" si="4"/>
        <v>2325392</v>
      </c>
      <c r="N13" s="59">
        <f t="shared" si="6"/>
        <v>1674282.24</v>
      </c>
    </row>
    <row r="14" spans="1:14" ht="14.25" customHeight="1">
      <c r="A14" s="12" t="s">
        <v>59</v>
      </c>
      <c r="B14" s="20">
        <v>800000</v>
      </c>
      <c r="C14" s="20">
        <v>800000</v>
      </c>
      <c r="D14" s="20">
        <v>780000</v>
      </c>
      <c r="E14" s="69"/>
      <c r="F14" s="69"/>
      <c r="G14" s="69"/>
      <c r="H14" s="69"/>
      <c r="I14" s="69"/>
      <c r="K14" s="59">
        <f t="shared" si="3"/>
        <v>0.97499999999999998</v>
      </c>
      <c r="M14" s="73">
        <f>B14</f>
        <v>800000</v>
      </c>
      <c r="N14" s="73">
        <f>D14</f>
        <v>780000</v>
      </c>
    </row>
    <row r="15" spans="1:14" ht="14.25" customHeight="1">
      <c r="A15" s="12" t="s">
        <v>60</v>
      </c>
      <c r="B15" s="20">
        <v>800000</v>
      </c>
      <c r="C15" s="20">
        <v>800000</v>
      </c>
      <c r="D15" s="20">
        <v>780000</v>
      </c>
      <c r="E15" s="69"/>
      <c r="F15" s="69"/>
      <c r="G15" s="69"/>
      <c r="H15" s="69"/>
      <c r="I15" s="69"/>
      <c r="K15" s="59">
        <f t="shared" si="3"/>
        <v>0.97499999999999998</v>
      </c>
      <c r="M15" s="73">
        <f t="shared" ref="M15:M16" si="7">B15</f>
        <v>800000</v>
      </c>
      <c r="N15" s="73">
        <f t="shared" ref="N15:N16" si="8">D15</f>
        <v>780000</v>
      </c>
    </row>
    <row r="16" spans="1:14" ht="14.25" customHeight="1">
      <c r="A16" s="12" t="s">
        <v>61</v>
      </c>
      <c r="B16" s="5">
        <v>690000</v>
      </c>
      <c r="C16" s="5">
        <v>660000</v>
      </c>
      <c r="D16" s="5">
        <v>610000</v>
      </c>
      <c r="E16" s="70"/>
      <c r="F16" s="70"/>
      <c r="G16" s="70"/>
      <c r="H16" s="69"/>
      <c r="I16" s="69"/>
      <c r="K16" s="59">
        <f t="shared" si="3"/>
        <v>0.88405797101449279</v>
      </c>
      <c r="M16" s="73">
        <f t="shared" si="7"/>
        <v>690000</v>
      </c>
      <c r="N16" s="73">
        <f t="shared" si="8"/>
        <v>610000</v>
      </c>
    </row>
    <row r="17" spans="1:2" ht="14.25" customHeight="1"/>
    <row r="18" spans="1:2" ht="14.25" customHeight="1">
      <c r="A18" s="65" t="s">
        <v>151</v>
      </c>
      <c r="B18" s="65"/>
    </row>
    <row r="19" spans="1:2" ht="14.25" customHeight="1">
      <c r="A19" s="65" t="s">
        <v>152</v>
      </c>
      <c r="B19" s="65">
        <v>1E-3</v>
      </c>
    </row>
    <row r="20" spans="1:2" ht="14.25" customHeight="1">
      <c r="A20" s="65" t="s">
        <v>153</v>
      </c>
      <c r="B20" s="65">
        <v>0.184</v>
      </c>
    </row>
    <row r="21" spans="1:2" ht="14.25" customHeight="1"/>
    <row r="22" spans="1:2" ht="14.25" customHeight="1"/>
    <row r="23" spans="1:2" ht="14.25" customHeight="1"/>
    <row r="24" spans="1:2" ht="14.25" customHeight="1"/>
    <row r="25" spans="1:2" ht="14.25" customHeight="1"/>
    <row r="26" spans="1:2" ht="14.25" customHeight="1"/>
    <row r="27" spans="1:2" ht="14.25" customHeight="1"/>
    <row r="28" spans="1:2" ht="14.25" customHeight="1"/>
    <row r="29" spans="1:2" ht="14.25" customHeight="1"/>
    <row r="30" spans="1:2" ht="14.25" customHeight="1"/>
    <row r="31" spans="1:2" ht="14.25" customHeight="1"/>
    <row r="32" spans="1: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E1:G1"/>
    <mergeCell ref="M1:N1"/>
  </mergeCells>
  <pageMargins left="0.7" right="0.7" top="0.75" bottom="0.75" header="0" footer="0"/>
  <pageSetup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77"/>
  <sheetViews>
    <sheetView zoomScale="99" workbookViewId="0">
      <selection sqref="A1:B16"/>
    </sheetView>
  </sheetViews>
  <sheetFormatPr baseColWidth="10" defaultColWidth="11.42578125" defaultRowHeight="15"/>
  <cols>
    <col min="1" max="1" width="29.140625" customWidth="1"/>
  </cols>
  <sheetData>
    <row r="1" spans="1:7">
      <c r="A1" s="25" t="s">
        <v>98</v>
      </c>
      <c r="B1" s="26">
        <v>2020</v>
      </c>
      <c r="C1" s="26">
        <v>2030</v>
      </c>
      <c r="D1" s="26">
        <v>2050</v>
      </c>
    </row>
    <row r="2" spans="1:7">
      <c r="A2" s="12" t="s">
        <v>48</v>
      </c>
      <c r="B2" s="27">
        <f>D40</f>
        <v>25228</v>
      </c>
      <c r="C2" s="27">
        <f>B2</f>
        <v>25228</v>
      </c>
      <c r="D2" s="27">
        <f>C2</f>
        <v>25228</v>
      </c>
    </row>
    <row r="3" spans="1:7">
      <c r="A3" s="12" t="s">
        <v>49</v>
      </c>
      <c r="B3" s="27">
        <f t="shared" ref="B3:B5" si="0">D41</f>
        <v>12614</v>
      </c>
      <c r="C3" s="27">
        <f t="shared" ref="C3:D3" si="1">B3</f>
        <v>12614</v>
      </c>
      <c r="D3" s="27">
        <f t="shared" si="1"/>
        <v>12614</v>
      </c>
    </row>
    <row r="4" spans="1:7">
      <c r="A4" s="12" t="s">
        <v>71</v>
      </c>
      <c r="B4" s="27">
        <f t="shared" si="0"/>
        <v>77260.75</v>
      </c>
      <c r="C4" s="27">
        <f t="shared" ref="C4:D4" si="2">B4</f>
        <v>77260.75</v>
      </c>
      <c r="D4" s="27">
        <f t="shared" si="2"/>
        <v>77260.75</v>
      </c>
    </row>
    <row r="5" spans="1:7">
      <c r="A5" s="12" t="s">
        <v>50</v>
      </c>
      <c r="B5" s="27">
        <f t="shared" si="0"/>
        <v>14190.75</v>
      </c>
      <c r="C5" s="27">
        <f t="shared" ref="C5:D5" si="3">B5</f>
        <v>14190.75</v>
      </c>
      <c r="D5" s="27">
        <f t="shared" si="3"/>
        <v>14190.75</v>
      </c>
    </row>
    <row r="6" spans="1:7">
      <c r="A6" s="79" t="s">
        <v>51</v>
      </c>
      <c r="B6" s="80">
        <f>D44</f>
        <v>14190.75</v>
      </c>
      <c r="C6" s="27">
        <f t="shared" ref="C6:D6" si="4">B6</f>
        <v>14190.75</v>
      </c>
      <c r="D6" s="27">
        <f t="shared" si="4"/>
        <v>14190.75</v>
      </c>
    </row>
    <row r="7" spans="1:7">
      <c r="A7" s="79" t="s">
        <v>52</v>
      </c>
      <c r="B7" s="80">
        <f>D45</f>
        <v>7883.75</v>
      </c>
      <c r="C7" s="27">
        <f t="shared" ref="C7:D7" si="5">B7</f>
        <v>7883.75</v>
      </c>
      <c r="D7" s="27">
        <f t="shared" si="5"/>
        <v>7883.75</v>
      </c>
    </row>
    <row r="8" spans="1:7">
      <c r="A8" s="12" t="s">
        <v>53</v>
      </c>
      <c r="B8" s="27">
        <f>D47</f>
        <v>14190.75</v>
      </c>
      <c r="C8" s="27">
        <f t="shared" ref="C8:D8" si="6">B8</f>
        <v>14190.75</v>
      </c>
      <c r="D8" s="27">
        <f t="shared" si="6"/>
        <v>14190.75</v>
      </c>
    </row>
    <row r="9" spans="1:7">
      <c r="A9" s="12" t="s">
        <v>54</v>
      </c>
      <c r="B9" s="27">
        <v>14191</v>
      </c>
      <c r="C9" s="27">
        <f t="shared" ref="C9:D9" si="7">B9</f>
        <v>14191</v>
      </c>
      <c r="D9" s="27">
        <f t="shared" si="7"/>
        <v>14191</v>
      </c>
      <c r="F9" s="27"/>
      <c r="G9" s="27"/>
    </row>
    <row r="10" spans="1:7">
      <c r="A10" s="12" t="s">
        <v>55</v>
      </c>
      <c r="B10" s="27">
        <f>D49</f>
        <v>78837.5</v>
      </c>
      <c r="C10" s="27">
        <f t="shared" ref="C10:D10" si="8">B10</f>
        <v>78837.5</v>
      </c>
      <c r="D10" s="27">
        <f t="shared" si="8"/>
        <v>78837.5</v>
      </c>
    </row>
    <row r="11" spans="1:7">
      <c r="A11" s="12" t="s">
        <v>56</v>
      </c>
      <c r="B11" s="27">
        <f>B3</f>
        <v>12614</v>
      </c>
      <c r="C11" s="27">
        <f t="shared" ref="C11:D11" si="9">B11</f>
        <v>12614</v>
      </c>
      <c r="D11" s="27">
        <f t="shared" si="9"/>
        <v>12614</v>
      </c>
    </row>
    <row r="12" spans="1:7">
      <c r="A12" s="47" t="s">
        <v>57</v>
      </c>
      <c r="B12" s="48">
        <f>B2</f>
        <v>25228</v>
      </c>
      <c r="C12" s="27">
        <f t="shared" ref="C12:D12" si="10">B12</f>
        <v>25228</v>
      </c>
      <c r="D12" s="27">
        <f t="shared" si="10"/>
        <v>25228</v>
      </c>
    </row>
    <row r="13" spans="1:7">
      <c r="A13" s="79" t="s">
        <v>58</v>
      </c>
      <c r="B13" s="27">
        <f>D52</f>
        <v>77260.75</v>
      </c>
      <c r="C13" s="27">
        <f t="shared" ref="C13:D13" si="11">B13</f>
        <v>77260.75</v>
      </c>
      <c r="D13" s="27">
        <f t="shared" si="11"/>
        <v>77260.75</v>
      </c>
    </row>
    <row r="14" spans="1:7">
      <c r="A14" s="49" t="s">
        <v>59</v>
      </c>
      <c r="B14" s="27">
        <f>B10</f>
        <v>78837.5</v>
      </c>
      <c r="C14" s="27">
        <f t="shared" ref="C14:D14" si="12">B14</f>
        <v>78837.5</v>
      </c>
      <c r="D14" s="27">
        <f t="shared" si="12"/>
        <v>78837.5</v>
      </c>
    </row>
    <row r="15" spans="1:7">
      <c r="A15" s="12" t="s">
        <v>60</v>
      </c>
      <c r="B15" s="27">
        <f>B10</f>
        <v>78837.5</v>
      </c>
      <c r="C15" s="27">
        <f t="shared" ref="C15:D15" si="13">B15</f>
        <v>78837.5</v>
      </c>
      <c r="D15" s="27">
        <f t="shared" si="13"/>
        <v>78837.5</v>
      </c>
    </row>
    <row r="16" spans="1:7">
      <c r="A16" s="81" t="s">
        <v>61</v>
      </c>
      <c r="B16" s="27">
        <v>233952</v>
      </c>
      <c r="C16" s="27">
        <f t="shared" ref="C16:D16" si="14">B16</f>
        <v>233952</v>
      </c>
      <c r="D16" s="27">
        <f t="shared" si="14"/>
        <v>233952</v>
      </c>
    </row>
    <row r="20" spans="1:5">
      <c r="A20" s="25" t="s">
        <v>99</v>
      </c>
      <c r="B20" s="26">
        <v>2020</v>
      </c>
      <c r="C20" s="26">
        <v>2030</v>
      </c>
      <c r="D20" s="26">
        <v>2050</v>
      </c>
    </row>
    <row r="21" spans="1:5">
      <c r="A21" s="12" t="s">
        <v>48</v>
      </c>
      <c r="B21" s="28">
        <f>I40</f>
        <v>33.111750000000001</v>
      </c>
      <c r="C21" s="28">
        <f>B21</f>
        <v>33.111750000000001</v>
      </c>
      <c r="D21" s="28">
        <f>C21</f>
        <v>33.111750000000001</v>
      </c>
    </row>
    <row r="22" spans="1:5">
      <c r="A22" s="12" t="s">
        <v>49</v>
      </c>
      <c r="B22" s="28">
        <f>I41</f>
        <v>92.239874999999998</v>
      </c>
      <c r="C22" s="28">
        <f t="shared" ref="C22:D22" si="15">B22</f>
        <v>92.239874999999998</v>
      </c>
      <c r="D22" s="28">
        <f t="shared" si="15"/>
        <v>92.239874999999998</v>
      </c>
    </row>
    <row r="23" spans="1:5">
      <c r="A23" s="12" t="s">
        <v>71</v>
      </c>
      <c r="B23" s="28">
        <f>I42</f>
        <v>6.3069999999999995</v>
      </c>
      <c r="C23" s="28">
        <f t="shared" ref="C23:D23" si="16">B23</f>
        <v>6.3069999999999995</v>
      </c>
      <c r="D23" s="28">
        <f t="shared" si="16"/>
        <v>6.3069999999999995</v>
      </c>
      <c r="E23" s="56"/>
    </row>
    <row r="24" spans="1:5">
      <c r="A24" s="12" t="s">
        <v>50</v>
      </c>
      <c r="B24" s="28">
        <v>0.53</v>
      </c>
      <c r="C24" s="28">
        <v>0.53</v>
      </c>
      <c r="D24" s="28">
        <v>0.53</v>
      </c>
    </row>
    <row r="25" spans="1:5">
      <c r="A25" s="12" t="s">
        <v>51</v>
      </c>
      <c r="B25" s="28">
        <f>E64</f>
        <v>40.326000000000001</v>
      </c>
      <c r="C25" s="28">
        <f>B25</f>
        <v>40.326000000000001</v>
      </c>
      <c r="D25" s="28">
        <f>C25</f>
        <v>40.326000000000001</v>
      </c>
    </row>
    <row r="26" spans="1:5">
      <c r="A26" s="12" t="s">
        <v>52</v>
      </c>
      <c r="B26" s="28">
        <f>K64</f>
        <v>42.51</v>
      </c>
      <c r="C26" s="28">
        <f>B26</f>
        <v>42.51</v>
      </c>
      <c r="D26" s="28">
        <f>C26</f>
        <v>42.51</v>
      </c>
    </row>
    <row r="27" spans="1:5">
      <c r="A27" s="12" t="s">
        <v>100</v>
      </c>
      <c r="B27" s="28">
        <f>B26</f>
        <v>42.51</v>
      </c>
      <c r="C27" s="28">
        <f t="shared" ref="C27:D27" si="17">C26</f>
        <v>42.51</v>
      </c>
      <c r="D27" s="28">
        <f t="shared" si="17"/>
        <v>42.51</v>
      </c>
    </row>
    <row r="28" spans="1:5">
      <c r="A28" s="12" t="s">
        <v>53</v>
      </c>
      <c r="B28" s="28">
        <v>2.88</v>
      </c>
      <c r="C28" s="28">
        <v>2.88</v>
      </c>
      <c r="D28" s="28">
        <v>2.88</v>
      </c>
    </row>
    <row r="29" spans="1:5">
      <c r="A29" s="12" t="s">
        <v>54</v>
      </c>
      <c r="B29" s="28">
        <v>0.21</v>
      </c>
      <c r="C29" s="28">
        <v>0.21</v>
      </c>
      <c r="D29" s="28">
        <v>0.21</v>
      </c>
    </row>
    <row r="30" spans="1:5">
      <c r="A30" s="12" t="s">
        <v>55</v>
      </c>
      <c r="B30" s="28">
        <v>6.14</v>
      </c>
      <c r="C30" s="28">
        <v>6.14</v>
      </c>
      <c r="D30" s="28">
        <v>6.14</v>
      </c>
    </row>
    <row r="31" spans="1:5">
      <c r="A31" s="12" t="s">
        <v>56</v>
      </c>
      <c r="B31" s="28">
        <f>B22</f>
        <v>92.239874999999998</v>
      </c>
      <c r="C31" s="28">
        <f t="shared" ref="C31:D31" si="18">C22</f>
        <v>92.239874999999998</v>
      </c>
      <c r="D31" s="28">
        <f t="shared" si="18"/>
        <v>92.239874999999998</v>
      </c>
    </row>
    <row r="32" spans="1:5">
      <c r="A32" s="12" t="s">
        <v>57</v>
      </c>
      <c r="B32" s="28">
        <f>B21</f>
        <v>33.111750000000001</v>
      </c>
      <c r="C32" s="28">
        <f t="shared" ref="C32:D32" si="19">C21</f>
        <v>33.111750000000001</v>
      </c>
      <c r="D32" s="28">
        <f t="shared" si="19"/>
        <v>33.111750000000001</v>
      </c>
    </row>
    <row r="33" spans="1:10">
      <c r="A33" s="12" t="s">
        <v>58</v>
      </c>
      <c r="B33" s="28">
        <v>180</v>
      </c>
      <c r="C33" s="28">
        <v>180</v>
      </c>
      <c r="D33" s="28">
        <v>180</v>
      </c>
    </row>
    <row r="34" spans="1:10">
      <c r="A34" s="12" t="s">
        <v>59</v>
      </c>
      <c r="B34" s="28">
        <v>6.14</v>
      </c>
      <c r="C34" s="28">
        <v>6.14</v>
      </c>
      <c r="D34" s="28">
        <v>6.14</v>
      </c>
    </row>
    <row r="35" spans="1:10">
      <c r="A35" s="12" t="s">
        <v>60</v>
      </c>
      <c r="B35" s="28">
        <v>6.14</v>
      </c>
      <c r="C35" s="28">
        <v>6.14</v>
      </c>
      <c r="D35" s="28">
        <v>6.14</v>
      </c>
    </row>
    <row r="36" spans="1:10">
      <c r="A36" s="12" t="s">
        <v>61</v>
      </c>
      <c r="B36" s="28">
        <v>23.14</v>
      </c>
      <c r="C36" s="28">
        <v>23.14</v>
      </c>
      <c r="D36" s="28">
        <v>23.14</v>
      </c>
    </row>
    <row r="39" spans="1:10">
      <c r="A39" s="25" t="s">
        <v>137</v>
      </c>
      <c r="B39" s="25" t="s">
        <v>138</v>
      </c>
      <c r="C39" s="25" t="s">
        <v>139</v>
      </c>
      <c r="D39" s="25" t="s">
        <v>140</v>
      </c>
      <c r="G39" s="25" t="s">
        <v>137</v>
      </c>
      <c r="H39" s="25" t="s">
        <v>157</v>
      </c>
      <c r="I39" s="25" t="s">
        <v>158</v>
      </c>
      <c r="J39" s="25"/>
    </row>
    <row r="40" spans="1:10">
      <c r="A40" s="5" t="s">
        <v>48</v>
      </c>
      <c r="B40" s="5">
        <v>160</v>
      </c>
      <c r="C40" s="5">
        <f>B40/$B$57</f>
        <v>160000</v>
      </c>
      <c r="D40" s="5">
        <f>C40*$B$58*$B$59</f>
        <v>25228</v>
      </c>
      <c r="G40" s="5" t="s">
        <v>48</v>
      </c>
      <c r="H40">
        <f>(120+300)/2</f>
        <v>210</v>
      </c>
      <c r="I40">
        <f>H40*$B$58*$B$59</f>
        <v>33.111750000000001</v>
      </c>
    </row>
    <row r="41" spans="1:10">
      <c r="A41" s="5" t="s">
        <v>49</v>
      </c>
      <c r="B41" s="5">
        <v>80</v>
      </c>
      <c r="C41" s="5">
        <f t="shared" ref="C41:C54" si="20">B41/$B$57</f>
        <v>80000</v>
      </c>
      <c r="D41" s="5">
        <f t="shared" ref="D41:D54" si="21">C41*$B$58*$B$59</f>
        <v>12614</v>
      </c>
      <c r="G41" s="5" t="s">
        <v>49</v>
      </c>
      <c r="H41">
        <f>(((250+120)/2)+(500+300)/2)</f>
        <v>585</v>
      </c>
      <c r="I41" s="59">
        <f t="shared" ref="I41:I42" si="22">H41*$B$58*$B$59</f>
        <v>92.239874999999998</v>
      </c>
    </row>
    <row r="42" spans="1:10">
      <c r="A42" s="5" t="s">
        <v>37</v>
      </c>
      <c r="B42" s="5">
        <v>490</v>
      </c>
      <c r="C42" s="5">
        <f t="shared" si="20"/>
        <v>490000</v>
      </c>
      <c r="D42" s="5">
        <f t="shared" si="21"/>
        <v>77260.75</v>
      </c>
      <c r="G42" s="5" t="s">
        <v>37</v>
      </c>
      <c r="H42">
        <f>(50+30)/2</f>
        <v>40</v>
      </c>
      <c r="I42" s="59">
        <f t="shared" si="22"/>
        <v>6.3069999999999995</v>
      </c>
    </row>
    <row r="43" spans="1:10">
      <c r="A43" s="5" t="s">
        <v>50</v>
      </c>
      <c r="B43" s="5">
        <v>90</v>
      </c>
      <c r="C43" s="5">
        <f t="shared" si="20"/>
        <v>90000</v>
      </c>
      <c r="D43" s="5">
        <f t="shared" si="21"/>
        <v>14190.75</v>
      </c>
      <c r="G43" s="5" t="s">
        <v>50</v>
      </c>
    </row>
    <row r="44" spans="1:10">
      <c r="A44" s="5" t="s">
        <v>51</v>
      </c>
      <c r="B44" s="5">
        <v>90</v>
      </c>
      <c r="C44" s="5">
        <f t="shared" si="20"/>
        <v>90000</v>
      </c>
      <c r="D44" s="5">
        <f t="shared" si="21"/>
        <v>14190.75</v>
      </c>
      <c r="G44" s="5" t="s">
        <v>51</v>
      </c>
    </row>
    <row r="45" spans="1:10">
      <c r="A45" s="5" t="s">
        <v>52</v>
      </c>
      <c r="B45" s="5">
        <v>50</v>
      </c>
      <c r="C45" s="5">
        <f t="shared" si="20"/>
        <v>50000</v>
      </c>
      <c r="D45" s="5">
        <f t="shared" si="21"/>
        <v>7883.75</v>
      </c>
      <c r="G45" s="5" t="s">
        <v>52</v>
      </c>
    </row>
    <row r="46" spans="1:10">
      <c r="A46" s="5" t="s">
        <v>63</v>
      </c>
      <c r="B46" s="5"/>
      <c r="C46" s="5"/>
      <c r="D46" s="5"/>
      <c r="G46" s="5" t="s">
        <v>63</v>
      </c>
    </row>
    <row r="47" spans="1:10">
      <c r="A47" s="5" t="s">
        <v>53</v>
      </c>
      <c r="B47" s="5">
        <v>90</v>
      </c>
      <c r="C47" s="5">
        <f t="shared" si="20"/>
        <v>90000</v>
      </c>
      <c r="D47" s="5">
        <f t="shared" si="21"/>
        <v>14190.75</v>
      </c>
      <c r="G47" s="5" t="s">
        <v>53</v>
      </c>
    </row>
    <row r="48" spans="1:10">
      <c r="A48" s="5" t="s">
        <v>54</v>
      </c>
      <c r="B48" s="5"/>
      <c r="C48" s="5"/>
      <c r="D48" s="5">
        <f t="shared" si="21"/>
        <v>0</v>
      </c>
      <c r="G48" s="5" t="s">
        <v>54</v>
      </c>
    </row>
    <row r="49" spans="1:11">
      <c r="A49" s="5" t="s">
        <v>55</v>
      </c>
      <c r="B49" s="5">
        <v>500</v>
      </c>
      <c r="C49" s="5">
        <f t="shared" si="20"/>
        <v>500000</v>
      </c>
      <c r="D49" s="5">
        <f t="shared" si="21"/>
        <v>78837.5</v>
      </c>
      <c r="G49" s="5" t="s">
        <v>55</v>
      </c>
    </row>
    <row r="50" spans="1:11">
      <c r="A50" s="5" t="s">
        <v>56</v>
      </c>
      <c r="B50" s="5">
        <v>80</v>
      </c>
      <c r="C50" s="5">
        <f t="shared" si="20"/>
        <v>80000</v>
      </c>
      <c r="D50" s="5">
        <f t="shared" si="21"/>
        <v>12614</v>
      </c>
      <c r="G50" s="5" t="s">
        <v>56</v>
      </c>
    </row>
    <row r="51" spans="1:11">
      <c r="A51" s="5" t="s">
        <v>57</v>
      </c>
      <c r="B51" s="5"/>
      <c r="C51" s="5"/>
      <c r="D51" s="5"/>
      <c r="G51" s="5" t="s">
        <v>57</v>
      </c>
    </row>
    <row r="52" spans="1:11">
      <c r="A52" s="5" t="s">
        <v>58</v>
      </c>
      <c r="B52" s="5">
        <v>490</v>
      </c>
      <c r="C52" s="5">
        <f t="shared" si="20"/>
        <v>490000</v>
      </c>
      <c r="D52" s="5">
        <f t="shared" si="21"/>
        <v>77260.75</v>
      </c>
      <c r="G52" s="5" t="s">
        <v>58</v>
      </c>
    </row>
    <row r="53" spans="1:11">
      <c r="A53" s="5" t="s">
        <v>59</v>
      </c>
      <c r="B53" s="5">
        <v>500</v>
      </c>
      <c r="C53" s="5">
        <f t="shared" si="20"/>
        <v>500000</v>
      </c>
      <c r="D53" s="5">
        <f t="shared" si="21"/>
        <v>78837.5</v>
      </c>
      <c r="G53" s="5" t="s">
        <v>59</v>
      </c>
    </row>
    <row r="54" spans="1:11">
      <c r="A54" s="5" t="s">
        <v>60</v>
      </c>
      <c r="B54" s="5">
        <v>500</v>
      </c>
      <c r="C54" s="5">
        <f t="shared" si="20"/>
        <v>500000</v>
      </c>
      <c r="D54" s="5">
        <f t="shared" si="21"/>
        <v>78837.5</v>
      </c>
      <c r="G54" s="5" t="s">
        <v>60</v>
      </c>
    </row>
    <row r="55" spans="1:11">
      <c r="A55" s="5" t="s">
        <v>61</v>
      </c>
      <c r="B55" s="5"/>
      <c r="C55" s="5"/>
      <c r="D55" s="5"/>
      <c r="G55" s="5" t="s">
        <v>61</v>
      </c>
    </row>
    <row r="56" spans="1:11">
      <c r="A56" s="5"/>
      <c r="B56" s="5"/>
      <c r="C56" s="5"/>
      <c r="D56" s="5"/>
    </row>
    <row r="57" spans="1:11">
      <c r="A57" s="25" t="s">
        <v>141</v>
      </c>
      <c r="B57" s="25">
        <v>1E-3</v>
      </c>
      <c r="C57" s="5"/>
      <c r="D57" s="5"/>
    </row>
    <row r="58" spans="1:11">
      <c r="A58" s="25" t="s">
        <v>142</v>
      </c>
      <c r="B58" s="55">
        <v>0.1855</v>
      </c>
      <c r="C58" s="5"/>
      <c r="D58" s="5"/>
    </row>
    <row r="59" spans="1:11">
      <c r="A59" s="25" t="s">
        <v>143</v>
      </c>
      <c r="B59" s="25">
        <v>0.85</v>
      </c>
      <c r="C59" s="5"/>
      <c r="D59" s="34" t="s">
        <v>165</v>
      </c>
    </row>
    <row r="60" spans="1:11">
      <c r="A60" s="25" t="s">
        <v>144</v>
      </c>
      <c r="B60" s="25">
        <v>0.15767500000000001</v>
      </c>
      <c r="C60" s="5"/>
      <c r="D60" s="5"/>
    </row>
    <row r="61" spans="1:11">
      <c r="A61" s="25" t="s">
        <v>103</v>
      </c>
      <c r="B61" s="25">
        <v>0.78</v>
      </c>
    </row>
    <row r="62" spans="1:11">
      <c r="B62" s="29"/>
      <c r="C62" s="29"/>
      <c r="D62" s="29"/>
    </row>
    <row r="63" spans="1:11">
      <c r="A63" s="25" t="s">
        <v>161</v>
      </c>
      <c r="B63" s="76">
        <v>2009</v>
      </c>
      <c r="C63" s="59">
        <v>2022</v>
      </c>
      <c r="D63" s="78" t="s">
        <v>163</v>
      </c>
      <c r="E63" s="64" t="s">
        <v>164</v>
      </c>
      <c r="F63" s="64"/>
      <c r="G63" s="25" t="s">
        <v>161</v>
      </c>
      <c r="H63" s="76">
        <v>2014</v>
      </c>
      <c r="I63">
        <v>2022</v>
      </c>
      <c r="J63" s="78" t="s">
        <v>163</v>
      </c>
      <c r="K63" s="64" t="s">
        <v>164</v>
      </c>
    </row>
    <row r="64" spans="1:11">
      <c r="A64" s="25" t="s">
        <v>162</v>
      </c>
      <c r="B64" s="77">
        <v>84.8</v>
      </c>
      <c r="C64" s="29">
        <v>33.1</v>
      </c>
      <c r="D64" s="29">
        <f>B64-C64</f>
        <v>51.699999999999996</v>
      </c>
      <c r="E64" s="29">
        <f>D64*B61</f>
        <v>40.326000000000001</v>
      </c>
      <c r="G64" s="25" t="s">
        <v>159</v>
      </c>
      <c r="H64" s="77">
        <v>86.7</v>
      </c>
      <c r="I64" s="29">
        <v>32.200000000000003</v>
      </c>
      <c r="J64" s="29">
        <f>H64-I64</f>
        <v>54.5</v>
      </c>
      <c r="K64" s="29">
        <f>J64*B61</f>
        <v>42.51</v>
      </c>
    </row>
    <row r="65" spans="1:4">
      <c r="A65" s="25"/>
      <c r="B65" s="77"/>
      <c r="C65" s="29"/>
      <c r="D65" s="29"/>
    </row>
    <row r="66" spans="1:4">
      <c r="A66" s="34" t="s">
        <v>160</v>
      </c>
      <c r="B66" s="29"/>
      <c r="C66" s="29"/>
      <c r="D66" s="29"/>
    </row>
    <row r="67" spans="1:4">
      <c r="B67" s="29"/>
      <c r="C67" s="29"/>
      <c r="D67" s="29"/>
    </row>
    <row r="68" spans="1:4">
      <c r="A68" s="25" t="s">
        <v>161</v>
      </c>
      <c r="B68" s="29">
        <v>2011</v>
      </c>
      <c r="C68" s="29"/>
      <c r="D68" s="29"/>
    </row>
    <row r="69" spans="1:4">
      <c r="A69" s="25" t="s">
        <v>166</v>
      </c>
      <c r="B69" s="29">
        <f>(150+210)/2</f>
        <v>180</v>
      </c>
      <c r="C69" s="29"/>
      <c r="D69" s="29"/>
    </row>
    <row r="70" spans="1:4">
      <c r="A70" s="34" t="s">
        <v>167</v>
      </c>
      <c r="B70" s="29"/>
      <c r="C70" s="29"/>
      <c r="D70" s="29"/>
    </row>
    <row r="71" spans="1:4">
      <c r="B71" s="29"/>
      <c r="C71" s="29"/>
      <c r="D71" s="29"/>
    </row>
    <row r="72" spans="1:4">
      <c r="B72" s="29"/>
      <c r="C72" s="29"/>
      <c r="D72" s="29"/>
    </row>
    <row r="73" spans="1:4">
      <c r="A73" s="25" t="s">
        <v>161</v>
      </c>
      <c r="B73" s="29"/>
      <c r="C73" s="29"/>
      <c r="D73" s="29"/>
    </row>
    <row r="74" spans="1:4">
      <c r="A74" s="64" t="s">
        <v>100</v>
      </c>
      <c r="B74" s="29"/>
      <c r="C74" s="29"/>
      <c r="D74" s="29"/>
    </row>
    <row r="75" spans="1:4">
      <c r="B75" s="29"/>
      <c r="C75" s="29"/>
      <c r="D75" s="29"/>
    </row>
    <row r="76" spans="1:4">
      <c r="B76" s="29"/>
      <c r="C76" s="29"/>
      <c r="D76" s="29"/>
    </row>
    <row r="77" spans="1:4">
      <c r="B77" s="29"/>
      <c r="C77" s="29"/>
      <c r="D77" s="29"/>
    </row>
  </sheetData>
  <hyperlinks>
    <hyperlink ref="A66" r:id="rId1"/>
    <hyperlink ref="D59" r:id="rId2"/>
    <hyperlink ref="A70" r:id="rId3"/>
  </hyperlinks>
  <pageMargins left="0.7" right="0.7" top="0.75" bottom="0.75" header="0.3" footer="0.3"/>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6"/>
  <sheetViews>
    <sheetView zoomScaleNormal="100" workbookViewId="0">
      <selection activeCell="D21" sqref="D21"/>
    </sheetView>
  </sheetViews>
  <sheetFormatPr baseColWidth="10" defaultRowHeight="15"/>
  <cols>
    <col min="1" max="1" width="34.140625" customWidth="1"/>
    <col min="2" max="2" width="38.140625" customWidth="1"/>
  </cols>
  <sheetData>
    <row r="1" spans="1:6">
      <c r="A1" s="87" t="s">
        <v>170</v>
      </c>
      <c r="B1" s="87" t="s">
        <v>171</v>
      </c>
      <c r="C1" s="86">
        <v>2020</v>
      </c>
      <c r="D1" s="86">
        <v>2030</v>
      </c>
      <c r="E1" s="86">
        <v>2040</v>
      </c>
      <c r="F1" s="86">
        <v>2050</v>
      </c>
    </row>
    <row r="2" spans="1:6">
      <c r="A2" s="82" t="s">
        <v>172</v>
      </c>
      <c r="B2" s="83" t="s">
        <v>173</v>
      </c>
      <c r="C2" s="84">
        <v>3000</v>
      </c>
      <c r="D2" s="84">
        <v>2700</v>
      </c>
      <c r="E2" s="84">
        <v>2250</v>
      </c>
      <c r="F2" s="84">
        <v>2250</v>
      </c>
    </row>
    <row r="3" spans="1:6">
      <c r="A3" s="82" t="s">
        <v>77</v>
      </c>
      <c r="B3" s="83" t="s">
        <v>174</v>
      </c>
      <c r="C3" s="84">
        <f>C2</f>
        <v>3000</v>
      </c>
      <c r="D3" s="84">
        <f t="shared" ref="D3:F3" si="0">D2</f>
        <v>2700</v>
      </c>
      <c r="E3" s="84">
        <f t="shared" si="0"/>
        <v>2250</v>
      </c>
      <c r="F3" s="84">
        <f t="shared" si="0"/>
        <v>2250</v>
      </c>
    </row>
    <row r="4" spans="1:6">
      <c r="A4" s="82" t="s">
        <v>175</v>
      </c>
      <c r="B4" s="83" t="s">
        <v>176</v>
      </c>
      <c r="C4" s="84">
        <v>1150</v>
      </c>
      <c r="D4" s="84">
        <v>1000</v>
      </c>
      <c r="E4" s="84">
        <v>1000</v>
      </c>
      <c r="F4" s="84">
        <v>1000</v>
      </c>
    </row>
    <row r="5" spans="1:6">
      <c r="A5" s="82" t="s">
        <v>177</v>
      </c>
      <c r="B5" s="83" t="s">
        <v>178</v>
      </c>
      <c r="C5" s="84">
        <v>800</v>
      </c>
      <c r="D5" s="84">
        <v>700</v>
      </c>
      <c r="E5" s="84">
        <v>600</v>
      </c>
      <c r="F5" s="84">
        <v>600</v>
      </c>
    </row>
    <row r="6" spans="1:6">
      <c r="A6" s="82" t="s">
        <v>71</v>
      </c>
      <c r="B6" s="83" t="s">
        <v>179</v>
      </c>
      <c r="C6" s="84">
        <v>4000</v>
      </c>
      <c r="D6" s="84">
        <v>4000</v>
      </c>
      <c r="E6" s="84">
        <v>4000</v>
      </c>
      <c r="F6" s="84">
        <v>4000</v>
      </c>
    </row>
    <row r="7" spans="1:6">
      <c r="A7" s="82" t="s">
        <v>72</v>
      </c>
      <c r="B7" s="83" t="s">
        <v>180</v>
      </c>
      <c r="C7" s="84">
        <v>2513</v>
      </c>
      <c r="D7" s="84">
        <v>2513</v>
      </c>
      <c r="E7" s="84">
        <v>2513</v>
      </c>
      <c r="F7" s="84">
        <v>2513</v>
      </c>
    </row>
    <row r="8" spans="1:6">
      <c r="A8" s="82" t="s">
        <v>162</v>
      </c>
      <c r="B8" s="83" t="s">
        <v>181</v>
      </c>
      <c r="C8" s="84">
        <v>1236</v>
      </c>
      <c r="D8" s="84">
        <v>980</v>
      </c>
      <c r="E8" s="84">
        <v>874</v>
      </c>
      <c r="F8" s="84">
        <v>752</v>
      </c>
    </row>
    <row r="9" spans="1:6">
      <c r="A9" s="82" t="s">
        <v>182</v>
      </c>
      <c r="B9" s="83" t="s">
        <v>183</v>
      </c>
      <c r="C9" s="84">
        <v>6560</v>
      </c>
      <c r="D9" s="84">
        <v>5497</v>
      </c>
      <c r="E9" s="84">
        <v>4783</v>
      </c>
      <c r="F9" s="84">
        <v>4100</v>
      </c>
    </row>
    <row r="10" spans="1:6">
      <c r="A10" s="82" t="s">
        <v>22</v>
      </c>
      <c r="B10" s="83" t="s">
        <v>184</v>
      </c>
      <c r="C10" s="84">
        <v>941</v>
      </c>
      <c r="D10" s="84">
        <v>688</v>
      </c>
      <c r="E10" s="84">
        <v>738</v>
      </c>
      <c r="F10" s="84">
        <v>512</v>
      </c>
    </row>
    <row r="11" spans="1:6" ht="16.5" customHeight="1">
      <c r="A11" s="82" t="s">
        <v>185</v>
      </c>
      <c r="B11" s="83" t="s">
        <v>186</v>
      </c>
      <c r="C11" s="84">
        <v>6055</v>
      </c>
      <c r="D11" s="84">
        <v>5036</v>
      </c>
      <c r="E11" s="84">
        <v>4620</v>
      </c>
      <c r="F11" s="84">
        <v>4422</v>
      </c>
    </row>
    <row r="12" spans="1:6">
      <c r="A12" s="82" t="s">
        <v>23</v>
      </c>
      <c r="B12" s="83" t="s">
        <v>187</v>
      </c>
      <c r="C12" s="84">
        <v>5300</v>
      </c>
      <c r="D12" s="84">
        <v>5300</v>
      </c>
      <c r="E12" s="84">
        <v>5300</v>
      </c>
      <c r="F12" s="84">
        <v>5300</v>
      </c>
    </row>
    <row r="13" spans="1:6">
      <c r="A13" s="82" t="s">
        <v>21</v>
      </c>
      <c r="B13" s="85" t="s">
        <v>188</v>
      </c>
      <c r="C13" s="84" t="s">
        <v>189</v>
      </c>
      <c r="D13" s="84" t="s">
        <v>189</v>
      </c>
      <c r="E13" s="84" t="s">
        <v>189</v>
      </c>
      <c r="F13" s="84" t="s">
        <v>189</v>
      </c>
    </row>
    <row r="14" spans="1:6">
      <c r="A14" s="82" t="s">
        <v>75</v>
      </c>
      <c r="B14" s="83" t="s">
        <v>190</v>
      </c>
      <c r="C14" s="84">
        <v>900</v>
      </c>
      <c r="D14" s="84">
        <v>900</v>
      </c>
      <c r="E14" s="84">
        <v>900</v>
      </c>
      <c r="F14" s="84">
        <v>900</v>
      </c>
    </row>
    <row r="15" spans="1:6">
      <c r="A15" s="82" t="s">
        <v>191</v>
      </c>
      <c r="B15" s="83" t="s">
        <v>192</v>
      </c>
      <c r="C15" s="84">
        <v>1400</v>
      </c>
      <c r="D15" s="84">
        <v>1400</v>
      </c>
      <c r="E15" s="84">
        <v>1400</v>
      </c>
      <c r="F15" s="84">
        <v>1400</v>
      </c>
    </row>
    <row r="16" spans="1:6">
      <c r="A16" s="82" t="s">
        <v>193</v>
      </c>
      <c r="B16" s="83" t="s">
        <v>194</v>
      </c>
      <c r="C16" s="84">
        <v>1400</v>
      </c>
      <c r="D16" s="84">
        <v>1400</v>
      </c>
      <c r="E16" s="84">
        <v>1400</v>
      </c>
      <c r="F16" s="84">
        <v>1400</v>
      </c>
    </row>
    <row r="17" spans="1:6">
      <c r="A17" s="82" t="s">
        <v>195</v>
      </c>
      <c r="B17" s="83" t="s">
        <v>196</v>
      </c>
      <c r="C17" s="84">
        <v>4665</v>
      </c>
      <c r="D17" s="84">
        <v>4665</v>
      </c>
      <c r="E17" s="84">
        <v>4665</v>
      </c>
      <c r="F17" s="84">
        <v>4665</v>
      </c>
    </row>
    <row r="20" spans="1:6" s="25" customFormat="1">
      <c r="A20" s="82" t="s">
        <v>201</v>
      </c>
      <c r="B20" s="25">
        <v>2030</v>
      </c>
      <c r="C20" s="86">
        <v>2040</v>
      </c>
      <c r="D20" s="86">
        <v>2050</v>
      </c>
    </row>
    <row r="21" spans="1:6">
      <c r="A21" s="1" t="s">
        <v>48</v>
      </c>
      <c r="B21" s="29">
        <f>D2/$C$2</f>
        <v>0.9</v>
      </c>
      <c r="C21" s="29">
        <f t="shared" ref="C21:D21" si="1">E2/$C$2</f>
        <v>0.75</v>
      </c>
      <c r="D21" s="29">
        <f t="shared" si="1"/>
        <v>0.75</v>
      </c>
    </row>
    <row r="22" spans="1:6">
      <c r="A22" s="1" t="s">
        <v>49</v>
      </c>
      <c r="B22" s="29">
        <f>D4/$C$4</f>
        <v>0.86956521739130432</v>
      </c>
      <c r="C22" s="29">
        <f t="shared" ref="C22:D22" si="2">E4/$C$4</f>
        <v>0.86956521739130432</v>
      </c>
      <c r="D22" s="29">
        <f t="shared" si="2"/>
        <v>0.86956521739130432</v>
      </c>
    </row>
    <row r="23" spans="1:6">
      <c r="A23" s="1" t="s">
        <v>37</v>
      </c>
      <c r="B23" s="29">
        <f>D6/$C$6</f>
        <v>1</v>
      </c>
      <c r="C23" s="29">
        <f t="shared" ref="C23:D23" si="3">E6/$C$6</f>
        <v>1</v>
      </c>
      <c r="D23" s="29">
        <f t="shared" si="3"/>
        <v>1</v>
      </c>
    </row>
    <row r="24" spans="1:6">
      <c r="A24" s="1" t="s">
        <v>50</v>
      </c>
      <c r="B24" s="29">
        <f>D7/$C$7</f>
        <v>1</v>
      </c>
      <c r="C24" s="29">
        <f t="shared" ref="C24:D24" si="4">E7/$C$7</f>
        <v>1</v>
      </c>
      <c r="D24" s="29">
        <f t="shared" si="4"/>
        <v>1</v>
      </c>
    </row>
    <row r="25" spans="1:6">
      <c r="A25" s="1" t="s">
        <v>51</v>
      </c>
      <c r="B25" s="29">
        <f>D8/$C$8</f>
        <v>0.79288025889967639</v>
      </c>
      <c r="C25" s="29">
        <f t="shared" ref="C25:D25" si="5">E8/$C$8</f>
        <v>0.70711974110032361</v>
      </c>
      <c r="D25" s="29">
        <f t="shared" si="5"/>
        <v>0.60841423948220064</v>
      </c>
    </row>
    <row r="26" spans="1:6">
      <c r="A26" s="1" t="s">
        <v>52</v>
      </c>
      <c r="B26" s="29">
        <f>D10/$C$10</f>
        <v>0.73113708820403822</v>
      </c>
      <c r="C26" s="29">
        <f t="shared" ref="C26:D26" si="6">E10/$C$10</f>
        <v>0.78427205100956432</v>
      </c>
      <c r="D26" s="29">
        <f t="shared" si="6"/>
        <v>0.54410201912858658</v>
      </c>
    </row>
    <row r="27" spans="1:6">
      <c r="A27" s="1" t="s">
        <v>63</v>
      </c>
      <c r="B27" s="29">
        <f>D11/$C$11</f>
        <v>0.83170933113129641</v>
      </c>
      <c r="C27" s="29">
        <f t="shared" ref="C27:D27" si="7">E11/$C$11</f>
        <v>0.76300578034682076</v>
      </c>
      <c r="D27" s="29">
        <f t="shared" si="7"/>
        <v>0.73030553261767139</v>
      </c>
    </row>
    <row r="28" spans="1:6">
      <c r="A28" s="1" t="s">
        <v>53</v>
      </c>
      <c r="B28" s="29">
        <f>D12/$C$12</f>
        <v>1</v>
      </c>
      <c r="C28" s="29">
        <f t="shared" ref="C28:D28" si="8">E12/$C$12</f>
        <v>1</v>
      </c>
      <c r="D28" s="29">
        <f t="shared" si="8"/>
        <v>1</v>
      </c>
    </row>
    <row r="29" spans="1:6">
      <c r="A29" s="1" t="s">
        <v>54</v>
      </c>
      <c r="B29" s="29">
        <f t="shared" ref="B22:B36" si="9">D10/$C$2</f>
        <v>0.22933333333333333</v>
      </c>
      <c r="C29" s="29">
        <f t="shared" ref="C29" si="10">E10/$C$2</f>
        <v>0.246</v>
      </c>
      <c r="D29" s="29">
        <f t="shared" ref="D29" si="11">F10/$C$2</f>
        <v>0.17066666666666666</v>
      </c>
    </row>
    <row r="30" spans="1:6">
      <c r="A30" s="1" t="s">
        <v>55</v>
      </c>
      <c r="B30" s="29">
        <f>D14/$C$14</f>
        <v>1</v>
      </c>
      <c r="C30" s="29">
        <f t="shared" ref="C30:D30" si="12">E14/$C$14</f>
        <v>1</v>
      </c>
      <c r="D30" s="29">
        <f t="shared" si="12"/>
        <v>1</v>
      </c>
    </row>
    <row r="31" spans="1:6">
      <c r="A31" s="1" t="s">
        <v>56</v>
      </c>
      <c r="B31" s="29">
        <f>D5/$C$5</f>
        <v>0.875</v>
      </c>
      <c r="C31" s="29">
        <f t="shared" ref="C31:D31" si="13">E5/$C$5</f>
        <v>0.75</v>
      </c>
      <c r="D31" s="29">
        <f t="shared" si="13"/>
        <v>0.75</v>
      </c>
    </row>
    <row r="32" spans="1:6">
      <c r="A32" s="1" t="s">
        <v>57</v>
      </c>
      <c r="B32" s="29">
        <f>B21</f>
        <v>0.9</v>
      </c>
      <c r="C32" s="29">
        <f t="shared" ref="C32:D32" si="14">C21</f>
        <v>0.75</v>
      </c>
      <c r="D32" s="29">
        <f t="shared" si="14"/>
        <v>0.75</v>
      </c>
    </row>
    <row r="33" spans="1:4">
      <c r="A33" s="1" t="s">
        <v>58</v>
      </c>
      <c r="B33" s="29">
        <f>D9/$C$9</f>
        <v>0.83795731707317078</v>
      </c>
      <c r="C33" s="29">
        <f t="shared" ref="C33:D33" si="15">E9/$C$9</f>
        <v>0.72911585365853659</v>
      </c>
      <c r="D33" s="29">
        <f t="shared" si="15"/>
        <v>0.625</v>
      </c>
    </row>
    <row r="34" spans="1:4">
      <c r="A34" s="1" t="s">
        <v>59</v>
      </c>
      <c r="B34" s="29">
        <f>D15/$C$15</f>
        <v>1</v>
      </c>
      <c r="C34" s="29">
        <f t="shared" ref="C34:D34" si="16">E15/$C$15</f>
        <v>1</v>
      </c>
      <c r="D34" s="29">
        <f t="shared" si="16"/>
        <v>1</v>
      </c>
    </row>
    <row r="35" spans="1:4">
      <c r="A35" s="1" t="s">
        <v>60</v>
      </c>
      <c r="B35" s="29">
        <f>D16/$C$16</f>
        <v>1</v>
      </c>
      <c r="C35" s="29">
        <f t="shared" ref="C35:D35" si="17">E16/$C$16</f>
        <v>1</v>
      </c>
      <c r="D35" s="29">
        <f t="shared" si="17"/>
        <v>1</v>
      </c>
    </row>
    <row r="36" spans="1:4">
      <c r="A36" s="1" t="s">
        <v>61</v>
      </c>
      <c r="B36" s="29">
        <f>D17/$C$17</f>
        <v>1</v>
      </c>
      <c r="C36" s="29">
        <f t="shared" ref="C36:D36" si="18">E17/$C$17</f>
        <v>1</v>
      </c>
      <c r="D36" s="29">
        <f t="shared" si="18"/>
        <v>1</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98"/>
  <sheetViews>
    <sheetView topLeftCell="A76" workbookViewId="0">
      <selection activeCell="D94" sqref="D94:AF94"/>
    </sheetView>
  </sheetViews>
  <sheetFormatPr baseColWidth="10" defaultRowHeight="15"/>
  <cols>
    <col min="1" max="1" width="31.140625" customWidth="1"/>
  </cols>
  <sheetData>
    <row r="1" spans="1:32" s="59" customFormat="1">
      <c r="A1" s="25" t="s">
        <v>198</v>
      </c>
    </row>
    <row r="2" spans="1:32" s="25" customFormat="1">
      <c r="A2" s="25" t="s">
        <v>197</v>
      </c>
      <c r="B2" s="25">
        <v>2020</v>
      </c>
      <c r="C2" s="25">
        <v>2021</v>
      </c>
      <c r="D2" s="25">
        <v>2022</v>
      </c>
      <c r="E2" s="25">
        <v>2023</v>
      </c>
      <c r="F2" s="25">
        <v>2024</v>
      </c>
      <c r="G2" s="25">
        <v>2025</v>
      </c>
      <c r="H2" s="25">
        <v>2026</v>
      </c>
      <c r="I2" s="25">
        <v>2027</v>
      </c>
      <c r="J2" s="25">
        <v>2028</v>
      </c>
      <c r="K2" s="25">
        <v>2029</v>
      </c>
      <c r="L2" s="25">
        <v>2030</v>
      </c>
      <c r="M2" s="25">
        <v>2031</v>
      </c>
      <c r="N2" s="25">
        <v>2032</v>
      </c>
      <c r="O2" s="25">
        <v>2033</v>
      </c>
      <c r="P2" s="25">
        <v>2034</v>
      </c>
      <c r="Q2" s="25">
        <v>2035</v>
      </c>
      <c r="R2" s="25">
        <v>2036</v>
      </c>
      <c r="S2" s="25">
        <v>2037</v>
      </c>
      <c r="T2" s="25">
        <v>2038</v>
      </c>
      <c r="U2" s="25">
        <v>2039</v>
      </c>
      <c r="V2" s="25">
        <v>2040</v>
      </c>
      <c r="W2" s="25">
        <v>2041</v>
      </c>
      <c r="X2" s="25">
        <v>2042</v>
      </c>
      <c r="Y2" s="25">
        <v>2043</v>
      </c>
      <c r="Z2" s="25">
        <v>2044</v>
      </c>
      <c r="AA2" s="25">
        <v>2045</v>
      </c>
      <c r="AB2" s="25">
        <v>2046</v>
      </c>
      <c r="AC2" s="25">
        <v>2047</v>
      </c>
      <c r="AD2" s="25">
        <v>2048</v>
      </c>
      <c r="AE2" s="25">
        <v>2049</v>
      </c>
      <c r="AF2" s="25">
        <v>2050</v>
      </c>
    </row>
    <row r="3" spans="1:32">
      <c r="A3" s="29" t="s">
        <v>172</v>
      </c>
      <c r="B3" s="29">
        <f>'Projections - CABRI'!C2</f>
        <v>3000</v>
      </c>
      <c r="C3" s="29">
        <f>($B3+(($L3-$B3)/($L$2-$B$2))*(C$2-$B$2))</f>
        <v>2970</v>
      </c>
      <c r="D3" s="29">
        <f t="shared" ref="D3:K3" si="0">($B3+(($L3-$B3)/($L$2-$B$2))*(D$2-$B$2))</f>
        <v>2940</v>
      </c>
      <c r="E3" s="29">
        <f t="shared" si="0"/>
        <v>2910</v>
      </c>
      <c r="F3" s="29">
        <f t="shared" si="0"/>
        <v>2880</v>
      </c>
      <c r="G3" s="29">
        <f t="shared" si="0"/>
        <v>2850</v>
      </c>
      <c r="H3" s="29">
        <f t="shared" si="0"/>
        <v>2820</v>
      </c>
      <c r="I3" s="29">
        <f t="shared" si="0"/>
        <v>2790</v>
      </c>
      <c r="J3" s="29">
        <f t="shared" si="0"/>
        <v>2760</v>
      </c>
      <c r="K3" s="29">
        <f t="shared" si="0"/>
        <v>2730</v>
      </c>
      <c r="L3" s="29">
        <f>'Projections - CABRI'!D2</f>
        <v>2700</v>
      </c>
      <c r="M3" s="29">
        <f>($L3+(($V3-$L3)/($V$2-$L$2))*(M$2-$L$2))</f>
        <v>2655</v>
      </c>
      <c r="N3" s="29">
        <f t="shared" ref="N3:U3" si="1">($L3+(($V3-$L3)/($V$2-$L$2))*(N$2-$L$2))</f>
        <v>2610</v>
      </c>
      <c r="O3" s="29">
        <f t="shared" si="1"/>
        <v>2565</v>
      </c>
      <c r="P3" s="29">
        <f t="shared" si="1"/>
        <v>2520</v>
      </c>
      <c r="Q3" s="29">
        <f t="shared" si="1"/>
        <v>2475</v>
      </c>
      <c r="R3" s="29">
        <f t="shared" si="1"/>
        <v>2430</v>
      </c>
      <c r="S3" s="29">
        <f t="shared" si="1"/>
        <v>2385</v>
      </c>
      <c r="T3" s="29">
        <f t="shared" si="1"/>
        <v>2340</v>
      </c>
      <c r="U3" s="29">
        <f t="shared" si="1"/>
        <v>2295</v>
      </c>
      <c r="V3" s="29">
        <f>'Projections - CABRI'!E2</f>
        <v>2250</v>
      </c>
      <c r="W3" s="29">
        <f>($V3+(($AF3-$V3)/($AF$2-$V$2))*(W$2-$V$2))</f>
        <v>2250</v>
      </c>
      <c r="X3" s="29">
        <f t="shared" ref="X3:AE3" si="2">($V3+(($AF3-$V3)/($AF$2-$V$2))*(X$2-$V$2))</f>
        <v>2250</v>
      </c>
      <c r="Y3" s="29">
        <f t="shared" si="2"/>
        <v>2250</v>
      </c>
      <c r="Z3" s="29">
        <f t="shared" si="2"/>
        <v>2250</v>
      </c>
      <c r="AA3" s="29">
        <f t="shared" si="2"/>
        <v>2250</v>
      </c>
      <c r="AB3" s="29">
        <f t="shared" si="2"/>
        <v>2250</v>
      </c>
      <c r="AC3" s="29">
        <f t="shared" si="2"/>
        <v>2250</v>
      </c>
      <c r="AD3" s="29">
        <f t="shared" si="2"/>
        <v>2250</v>
      </c>
      <c r="AE3" s="29">
        <f t="shared" si="2"/>
        <v>2250</v>
      </c>
      <c r="AF3" s="29">
        <f>'Projections - CABRI'!F2</f>
        <v>2250</v>
      </c>
    </row>
    <row r="4" spans="1:32">
      <c r="A4" s="29" t="s">
        <v>77</v>
      </c>
      <c r="B4" s="29">
        <f>'Projections - CABRI'!C3</f>
        <v>3000</v>
      </c>
      <c r="C4" s="29">
        <f>($B4+(($L4-$B4)/($L$2-$B$2))*(C$2-$B$2))</f>
        <v>2970</v>
      </c>
      <c r="D4" s="29">
        <f>($B4+(($L4-$B4)/($L$2-$B$2))*(D$2-$B$2))</f>
        <v>2940</v>
      </c>
      <c r="E4" s="29">
        <f>($B4+(($L4-$B4)/($L$2-$B$2))*(E$2-$B$2))</f>
        <v>2910</v>
      </c>
      <c r="F4" s="29">
        <f>($B4+(($L4-$B4)/($L$2-$B$2))*(F$2-$B$2))</f>
        <v>2880</v>
      </c>
      <c r="G4" s="29">
        <f>($B4+(($L4-$B4)/($L$2-$B$2))*(G$2-$B$2))</f>
        <v>2850</v>
      </c>
      <c r="H4" s="29">
        <f>($B4+(($L4-$B4)/($L$2-$B$2))*(H$2-$B$2))</f>
        <v>2820</v>
      </c>
      <c r="I4" s="29">
        <f>($B4+(($L4-$B4)/($L$2-$B$2))*(I$2-$B$2))</f>
        <v>2790</v>
      </c>
      <c r="J4" s="29">
        <f>($B4+(($L4-$B4)/($L$2-$B$2))*(J$2-$B$2))</f>
        <v>2760</v>
      </c>
      <c r="K4" s="29">
        <f>($B4+(($L4-$B4)/($L$2-$B$2))*(K$2-$B$2))</f>
        <v>2730</v>
      </c>
      <c r="L4" s="29">
        <f>'Projections - CABRI'!D3</f>
        <v>2700</v>
      </c>
      <c r="M4" s="29">
        <f>($L4+(($V4-$L4)/($V$2-$L$2))*(M$2-$L$2))</f>
        <v>2655</v>
      </c>
      <c r="N4" s="29">
        <f>($L4+(($V4-$L4)/($V$2-$L$2))*(N$2-$L$2))</f>
        <v>2610</v>
      </c>
      <c r="O4" s="29">
        <f>($L4+(($V4-$L4)/($V$2-$L$2))*(O$2-$L$2))</f>
        <v>2565</v>
      </c>
      <c r="P4" s="29">
        <f>($L4+(($V4-$L4)/($V$2-$L$2))*(P$2-$L$2))</f>
        <v>2520</v>
      </c>
      <c r="Q4" s="29">
        <f>($L4+(($V4-$L4)/($V$2-$L$2))*(Q$2-$L$2))</f>
        <v>2475</v>
      </c>
      <c r="R4" s="29">
        <f>($L4+(($V4-$L4)/($V$2-$L$2))*(R$2-$L$2))</f>
        <v>2430</v>
      </c>
      <c r="S4" s="29">
        <f>($L4+(($V4-$L4)/($V$2-$L$2))*(S$2-$L$2))</f>
        <v>2385</v>
      </c>
      <c r="T4" s="29">
        <f>($L4+(($V4-$L4)/($V$2-$L$2))*(T$2-$L$2))</f>
        <v>2340</v>
      </c>
      <c r="U4" s="29">
        <f>($L4+(($V4-$L4)/($V$2-$L$2))*(U$2-$L$2))</f>
        <v>2295</v>
      </c>
      <c r="V4" s="29">
        <f>'Projections - CABRI'!E3</f>
        <v>2250</v>
      </c>
      <c r="W4" s="29">
        <f t="shared" ref="W4:AE18" si="3">($V4+(($AF4-$V4)/($AF$2-$V$2))*(W$2-$V$2))</f>
        <v>2250</v>
      </c>
      <c r="X4" s="29">
        <f t="shared" si="3"/>
        <v>2250</v>
      </c>
      <c r="Y4" s="29">
        <f t="shared" si="3"/>
        <v>2250</v>
      </c>
      <c r="Z4" s="29">
        <f t="shared" si="3"/>
        <v>2250</v>
      </c>
      <c r="AA4" s="29">
        <f t="shared" si="3"/>
        <v>2250</v>
      </c>
      <c r="AB4" s="29">
        <f t="shared" si="3"/>
        <v>2250</v>
      </c>
      <c r="AC4" s="29">
        <f t="shared" si="3"/>
        <v>2250</v>
      </c>
      <c r="AD4" s="29">
        <f t="shared" si="3"/>
        <v>2250</v>
      </c>
      <c r="AE4" s="29">
        <f t="shared" si="3"/>
        <v>2250</v>
      </c>
      <c r="AF4" s="29">
        <f>'Projections - CABRI'!F3</f>
        <v>2250</v>
      </c>
    </row>
    <row r="5" spans="1:32">
      <c r="A5" s="29" t="s">
        <v>175</v>
      </c>
      <c r="B5" s="29">
        <f>'Projections - CABRI'!C4</f>
        <v>1150</v>
      </c>
      <c r="C5" s="29">
        <f>($B5+(($L5-$B5)/($L$2-$B$2))*(C$2-$B$2))</f>
        <v>1135</v>
      </c>
      <c r="D5" s="29">
        <f>($B5+(($L5-$B5)/($L$2-$B$2))*(D$2-$B$2))</f>
        <v>1120</v>
      </c>
      <c r="E5" s="29">
        <f>($B5+(($L5-$B5)/($L$2-$B$2))*(E$2-$B$2))</f>
        <v>1105</v>
      </c>
      <c r="F5" s="29">
        <f>($B5+(($L5-$B5)/($L$2-$B$2))*(F$2-$B$2))</f>
        <v>1090</v>
      </c>
      <c r="G5" s="29">
        <f>($B5+(($L5-$B5)/($L$2-$B$2))*(G$2-$B$2))</f>
        <v>1075</v>
      </c>
      <c r="H5" s="29">
        <f>($B5+(($L5-$B5)/($L$2-$B$2))*(H$2-$B$2))</f>
        <v>1060</v>
      </c>
      <c r="I5" s="29">
        <f>($B5+(($L5-$B5)/($L$2-$B$2))*(I$2-$B$2))</f>
        <v>1045</v>
      </c>
      <c r="J5" s="29">
        <f>($B5+(($L5-$B5)/($L$2-$B$2))*(J$2-$B$2))</f>
        <v>1030</v>
      </c>
      <c r="K5" s="29">
        <f>($B5+(($L5-$B5)/($L$2-$B$2))*(K$2-$B$2))</f>
        <v>1015</v>
      </c>
      <c r="L5" s="29">
        <f>'Projections - CABRI'!D4</f>
        <v>1000</v>
      </c>
      <c r="M5" s="29">
        <f>($L5+(($V5-$L5)/($V$2-$L$2))*(M$2-$L$2))</f>
        <v>1000</v>
      </c>
      <c r="N5" s="29">
        <f>($L5+(($V5-$L5)/($V$2-$L$2))*(N$2-$L$2))</f>
        <v>1000</v>
      </c>
      <c r="O5" s="29">
        <f>($L5+(($V5-$L5)/($V$2-$L$2))*(O$2-$L$2))</f>
        <v>1000</v>
      </c>
      <c r="P5" s="29">
        <f>($L5+(($V5-$L5)/($V$2-$L$2))*(P$2-$L$2))</f>
        <v>1000</v>
      </c>
      <c r="Q5" s="29">
        <f>($L5+(($V5-$L5)/($V$2-$L$2))*(Q$2-$L$2))</f>
        <v>1000</v>
      </c>
      <c r="R5" s="29">
        <f>($L5+(($V5-$L5)/($V$2-$L$2))*(R$2-$L$2))</f>
        <v>1000</v>
      </c>
      <c r="S5" s="29">
        <f>($L5+(($V5-$L5)/($V$2-$L$2))*(S$2-$L$2))</f>
        <v>1000</v>
      </c>
      <c r="T5" s="29">
        <f>($L5+(($V5-$L5)/($V$2-$L$2))*(T$2-$L$2))</f>
        <v>1000</v>
      </c>
      <c r="U5" s="29">
        <f>($L5+(($V5-$L5)/($V$2-$L$2))*(U$2-$L$2))</f>
        <v>1000</v>
      </c>
      <c r="V5" s="29">
        <f>'Projections - CABRI'!E4</f>
        <v>1000</v>
      </c>
      <c r="W5" s="29">
        <f t="shared" si="3"/>
        <v>1000</v>
      </c>
      <c r="X5" s="29">
        <f t="shared" si="3"/>
        <v>1000</v>
      </c>
      <c r="Y5" s="29">
        <f t="shared" si="3"/>
        <v>1000</v>
      </c>
      <c r="Z5" s="29">
        <f t="shared" si="3"/>
        <v>1000</v>
      </c>
      <c r="AA5" s="29">
        <f t="shared" si="3"/>
        <v>1000</v>
      </c>
      <c r="AB5" s="29">
        <f t="shared" si="3"/>
        <v>1000</v>
      </c>
      <c r="AC5" s="29">
        <f t="shared" si="3"/>
        <v>1000</v>
      </c>
      <c r="AD5" s="29">
        <f t="shared" si="3"/>
        <v>1000</v>
      </c>
      <c r="AE5" s="29">
        <f t="shared" si="3"/>
        <v>1000</v>
      </c>
      <c r="AF5" s="29">
        <f>'Projections - CABRI'!F4</f>
        <v>1000</v>
      </c>
    </row>
    <row r="6" spans="1:32">
      <c r="A6" s="29" t="s">
        <v>177</v>
      </c>
      <c r="B6" s="29">
        <f>'Projections - CABRI'!C5</f>
        <v>800</v>
      </c>
      <c r="C6" s="29">
        <f>($B6+(($L6-$B6)/($L$2-$B$2))*(C$2-$B$2))</f>
        <v>790</v>
      </c>
      <c r="D6" s="29">
        <f>($B6+(($L6-$B6)/($L$2-$B$2))*(D$2-$B$2))</f>
        <v>780</v>
      </c>
      <c r="E6" s="29">
        <f>($B6+(($L6-$B6)/($L$2-$B$2))*(E$2-$B$2))</f>
        <v>770</v>
      </c>
      <c r="F6" s="29">
        <f>($B6+(($L6-$B6)/($L$2-$B$2))*(F$2-$B$2))</f>
        <v>760</v>
      </c>
      <c r="G6" s="29">
        <f>($B6+(($L6-$B6)/($L$2-$B$2))*(G$2-$B$2))</f>
        <v>750</v>
      </c>
      <c r="H6" s="29">
        <f>($B6+(($L6-$B6)/($L$2-$B$2))*(H$2-$B$2))</f>
        <v>740</v>
      </c>
      <c r="I6" s="29">
        <f>($B6+(($L6-$B6)/($L$2-$B$2))*(I$2-$B$2))</f>
        <v>730</v>
      </c>
      <c r="J6" s="29">
        <f>($B6+(($L6-$B6)/($L$2-$B$2))*(J$2-$B$2))</f>
        <v>720</v>
      </c>
      <c r="K6" s="29">
        <f>($B6+(($L6-$B6)/($L$2-$B$2))*(K$2-$B$2))</f>
        <v>710</v>
      </c>
      <c r="L6" s="29">
        <f>'Projections - CABRI'!D5</f>
        <v>700</v>
      </c>
      <c r="M6" s="29">
        <f>($L6+(($V6-$L6)/($V$2-$L$2))*(M$2-$L$2))</f>
        <v>690</v>
      </c>
      <c r="N6" s="29">
        <f>($L6+(($V6-$L6)/($V$2-$L$2))*(N$2-$L$2))</f>
        <v>680</v>
      </c>
      <c r="O6" s="29">
        <f>($L6+(($V6-$L6)/($V$2-$L$2))*(O$2-$L$2))</f>
        <v>670</v>
      </c>
      <c r="P6" s="29">
        <f>($L6+(($V6-$L6)/($V$2-$L$2))*(P$2-$L$2))</f>
        <v>660</v>
      </c>
      <c r="Q6" s="29">
        <f>($L6+(($V6-$L6)/($V$2-$L$2))*(Q$2-$L$2))</f>
        <v>650</v>
      </c>
      <c r="R6" s="29">
        <f>($L6+(($V6-$L6)/($V$2-$L$2))*(R$2-$L$2))</f>
        <v>640</v>
      </c>
      <c r="S6" s="29">
        <f>($L6+(($V6-$L6)/($V$2-$L$2))*(S$2-$L$2))</f>
        <v>630</v>
      </c>
      <c r="T6" s="29">
        <f>($L6+(($V6-$L6)/($V$2-$L$2))*(T$2-$L$2))</f>
        <v>620</v>
      </c>
      <c r="U6" s="29">
        <f>($L6+(($V6-$L6)/($V$2-$L$2))*(U$2-$L$2))</f>
        <v>610</v>
      </c>
      <c r="V6" s="29">
        <f>'Projections - CABRI'!E5</f>
        <v>600</v>
      </c>
      <c r="W6" s="29">
        <f t="shared" si="3"/>
        <v>600</v>
      </c>
      <c r="X6" s="29">
        <f t="shared" si="3"/>
        <v>600</v>
      </c>
      <c r="Y6" s="29">
        <f t="shared" si="3"/>
        <v>600</v>
      </c>
      <c r="Z6" s="29">
        <f t="shared" si="3"/>
        <v>600</v>
      </c>
      <c r="AA6" s="29">
        <f t="shared" si="3"/>
        <v>600</v>
      </c>
      <c r="AB6" s="29">
        <f t="shared" si="3"/>
        <v>600</v>
      </c>
      <c r="AC6" s="29">
        <f t="shared" si="3"/>
        <v>600</v>
      </c>
      <c r="AD6" s="29">
        <f t="shared" si="3"/>
        <v>600</v>
      </c>
      <c r="AE6" s="29">
        <f t="shared" si="3"/>
        <v>600</v>
      </c>
      <c r="AF6" s="29">
        <f>'Projections - CABRI'!F5</f>
        <v>600</v>
      </c>
    </row>
    <row r="7" spans="1:32">
      <c r="A7" s="29" t="s">
        <v>71</v>
      </c>
      <c r="B7" s="29">
        <f>'Projections - CABRI'!C6</f>
        <v>4000</v>
      </c>
      <c r="C7" s="29">
        <f>($B7+(($L7-$B7)/($L$2-$B$2))*(C$2-$B$2))</f>
        <v>4000</v>
      </c>
      <c r="D7" s="29">
        <f>($B7+(($L7-$B7)/($L$2-$B$2))*(D$2-$B$2))</f>
        <v>4000</v>
      </c>
      <c r="E7" s="29">
        <f>($B7+(($L7-$B7)/($L$2-$B$2))*(E$2-$B$2))</f>
        <v>4000</v>
      </c>
      <c r="F7" s="29">
        <f>($B7+(($L7-$B7)/($L$2-$B$2))*(F$2-$B$2))</f>
        <v>4000</v>
      </c>
      <c r="G7" s="29">
        <f>($B7+(($L7-$B7)/($L$2-$B$2))*(G$2-$B$2))</f>
        <v>4000</v>
      </c>
      <c r="H7" s="29">
        <f>($B7+(($L7-$B7)/($L$2-$B$2))*(H$2-$B$2))</f>
        <v>4000</v>
      </c>
      <c r="I7" s="29">
        <f>($B7+(($L7-$B7)/($L$2-$B$2))*(I$2-$B$2))</f>
        <v>4000</v>
      </c>
      <c r="J7" s="29">
        <f>($B7+(($L7-$B7)/($L$2-$B$2))*(J$2-$B$2))</f>
        <v>4000</v>
      </c>
      <c r="K7" s="29">
        <f>($B7+(($L7-$B7)/($L$2-$B$2))*(K$2-$B$2))</f>
        <v>4000</v>
      </c>
      <c r="L7" s="29">
        <f>'Projections - CABRI'!D6</f>
        <v>4000</v>
      </c>
      <c r="M7" s="29">
        <f>($L7+(($V7-$L7)/($V$2-$L$2))*(M$2-$L$2))</f>
        <v>4000</v>
      </c>
      <c r="N7" s="29">
        <f>($L7+(($V7-$L7)/($V$2-$L$2))*(N$2-$L$2))</f>
        <v>4000</v>
      </c>
      <c r="O7" s="29">
        <f>($L7+(($V7-$L7)/($V$2-$L$2))*(O$2-$L$2))</f>
        <v>4000</v>
      </c>
      <c r="P7" s="29">
        <f>($L7+(($V7-$L7)/($V$2-$L$2))*(P$2-$L$2))</f>
        <v>4000</v>
      </c>
      <c r="Q7" s="29">
        <f>($L7+(($V7-$L7)/($V$2-$L$2))*(Q$2-$L$2))</f>
        <v>4000</v>
      </c>
      <c r="R7" s="29">
        <f>($L7+(($V7-$L7)/($V$2-$L$2))*(R$2-$L$2))</f>
        <v>4000</v>
      </c>
      <c r="S7" s="29">
        <f>($L7+(($V7-$L7)/($V$2-$L$2))*(S$2-$L$2))</f>
        <v>4000</v>
      </c>
      <c r="T7" s="29">
        <f>($L7+(($V7-$L7)/($V$2-$L$2))*(T$2-$L$2))</f>
        <v>4000</v>
      </c>
      <c r="U7" s="29">
        <f>($L7+(($V7-$L7)/($V$2-$L$2))*(U$2-$L$2))</f>
        <v>4000</v>
      </c>
      <c r="V7" s="29">
        <f>'Projections - CABRI'!E6</f>
        <v>4000</v>
      </c>
      <c r="W7" s="29">
        <f t="shared" si="3"/>
        <v>4000</v>
      </c>
      <c r="X7" s="29">
        <f t="shared" si="3"/>
        <v>4000</v>
      </c>
      <c r="Y7" s="29">
        <f t="shared" si="3"/>
        <v>4000</v>
      </c>
      <c r="Z7" s="29">
        <f t="shared" si="3"/>
        <v>4000</v>
      </c>
      <c r="AA7" s="29">
        <f t="shared" si="3"/>
        <v>4000</v>
      </c>
      <c r="AB7" s="29">
        <f t="shared" si="3"/>
        <v>4000</v>
      </c>
      <c r="AC7" s="29">
        <f t="shared" si="3"/>
        <v>4000</v>
      </c>
      <c r="AD7" s="29">
        <f t="shared" si="3"/>
        <v>4000</v>
      </c>
      <c r="AE7" s="29">
        <f t="shared" si="3"/>
        <v>4000</v>
      </c>
      <c r="AF7" s="29">
        <f>'Projections - CABRI'!F6</f>
        <v>4000</v>
      </c>
    </row>
    <row r="8" spans="1:32">
      <c r="A8" s="29" t="s">
        <v>72</v>
      </c>
      <c r="B8" s="29">
        <f>'Projections - CABRI'!C7</f>
        <v>2513</v>
      </c>
      <c r="C8" s="29">
        <f>($B8+(($L8-$B8)/($L$2-$B$2))*(C$2-$B$2))</f>
        <v>2513</v>
      </c>
      <c r="D8" s="29">
        <f>($B8+(($L8-$B8)/($L$2-$B$2))*(D$2-$B$2))</f>
        <v>2513</v>
      </c>
      <c r="E8" s="29">
        <f>($B8+(($L8-$B8)/($L$2-$B$2))*(E$2-$B$2))</f>
        <v>2513</v>
      </c>
      <c r="F8" s="29">
        <f>($B8+(($L8-$B8)/($L$2-$B$2))*(F$2-$B$2))</f>
        <v>2513</v>
      </c>
      <c r="G8" s="29">
        <f>($B8+(($L8-$B8)/($L$2-$B$2))*(G$2-$B$2))</f>
        <v>2513</v>
      </c>
      <c r="H8" s="29">
        <f>($B8+(($L8-$B8)/($L$2-$B$2))*(H$2-$B$2))</f>
        <v>2513</v>
      </c>
      <c r="I8" s="29">
        <f>($B8+(($L8-$B8)/($L$2-$B$2))*(I$2-$B$2))</f>
        <v>2513</v>
      </c>
      <c r="J8" s="29">
        <f>($B8+(($L8-$B8)/($L$2-$B$2))*(J$2-$B$2))</f>
        <v>2513</v>
      </c>
      <c r="K8" s="29">
        <f>($B8+(($L8-$B8)/($L$2-$B$2))*(K$2-$B$2))</f>
        <v>2513</v>
      </c>
      <c r="L8" s="29">
        <f>'Projections - CABRI'!D7</f>
        <v>2513</v>
      </c>
      <c r="M8" s="29">
        <f>($L8+(($V8-$L8)/($V$2-$L$2))*(M$2-$L$2))</f>
        <v>2513</v>
      </c>
      <c r="N8" s="29">
        <f>($L8+(($V8-$L8)/($V$2-$L$2))*(N$2-$L$2))</f>
        <v>2513</v>
      </c>
      <c r="O8" s="29">
        <f>($L8+(($V8-$L8)/($V$2-$L$2))*(O$2-$L$2))</f>
        <v>2513</v>
      </c>
      <c r="P8" s="29">
        <f>($L8+(($V8-$L8)/($V$2-$L$2))*(P$2-$L$2))</f>
        <v>2513</v>
      </c>
      <c r="Q8" s="29">
        <f>($L8+(($V8-$L8)/($V$2-$L$2))*(Q$2-$L$2))</f>
        <v>2513</v>
      </c>
      <c r="R8" s="29">
        <f>($L8+(($V8-$L8)/($V$2-$L$2))*(R$2-$L$2))</f>
        <v>2513</v>
      </c>
      <c r="S8" s="29">
        <f>($L8+(($V8-$L8)/($V$2-$L$2))*(S$2-$L$2))</f>
        <v>2513</v>
      </c>
      <c r="T8" s="29">
        <f>($L8+(($V8-$L8)/($V$2-$L$2))*(T$2-$L$2))</f>
        <v>2513</v>
      </c>
      <c r="U8" s="29">
        <f>($L8+(($V8-$L8)/($V$2-$L$2))*(U$2-$L$2))</f>
        <v>2513</v>
      </c>
      <c r="V8" s="29">
        <f>'Projections - CABRI'!E7</f>
        <v>2513</v>
      </c>
      <c r="W8" s="29">
        <f t="shared" si="3"/>
        <v>2513</v>
      </c>
      <c r="X8" s="29">
        <f t="shared" si="3"/>
        <v>2513</v>
      </c>
      <c r="Y8" s="29">
        <f t="shared" si="3"/>
        <v>2513</v>
      </c>
      <c r="Z8" s="29">
        <f t="shared" si="3"/>
        <v>2513</v>
      </c>
      <c r="AA8" s="29">
        <f t="shared" si="3"/>
        <v>2513</v>
      </c>
      <c r="AB8" s="29">
        <f t="shared" si="3"/>
        <v>2513</v>
      </c>
      <c r="AC8" s="29">
        <f t="shared" si="3"/>
        <v>2513</v>
      </c>
      <c r="AD8" s="29">
        <f t="shared" si="3"/>
        <v>2513</v>
      </c>
      <c r="AE8" s="29">
        <f t="shared" si="3"/>
        <v>2513</v>
      </c>
      <c r="AF8" s="29">
        <f>'Projections - CABRI'!F7</f>
        <v>2513</v>
      </c>
    </row>
    <row r="9" spans="1:32">
      <c r="A9" s="29" t="s">
        <v>162</v>
      </c>
      <c r="B9" s="29">
        <f>'Projections - CABRI'!C8</f>
        <v>1236</v>
      </c>
      <c r="C9" s="29">
        <f>($B9+(($L9-$B9)/($L$2-$B$2))*(C$2-$B$2))</f>
        <v>1210.4000000000001</v>
      </c>
      <c r="D9" s="29">
        <f>($B9+(($L9-$B9)/($L$2-$B$2))*(D$2-$B$2))</f>
        <v>1184.8</v>
      </c>
      <c r="E9" s="29">
        <f>($B9+(($L9-$B9)/($L$2-$B$2))*(E$2-$B$2))</f>
        <v>1159.2</v>
      </c>
      <c r="F9" s="29">
        <f>($B9+(($L9-$B9)/($L$2-$B$2))*(F$2-$B$2))</f>
        <v>1133.5999999999999</v>
      </c>
      <c r="G9" s="29">
        <f>($B9+(($L9-$B9)/($L$2-$B$2))*(G$2-$B$2))</f>
        <v>1108</v>
      </c>
      <c r="H9" s="29">
        <f>($B9+(($L9-$B9)/($L$2-$B$2))*(H$2-$B$2))</f>
        <v>1082.4000000000001</v>
      </c>
      <c r="I9" s="29">
        <f>($B9+(($L9-$B9)/($L$2-$B$2))*(I$2-$B$2))</f>
        <v>1056.8</v>
      </c>
      <c r="J9" s="29">
        <f>($B9+(($L9-$B9)/($L$2-$B$2))*(J$2-$B$2))</f>
        <v>1031.2</v>
      </c>
      <c r="K9" s="29">
        <f>($B9+(($L9-$B9)/($L$2-$B$2))*(K$2-$B$2))</f>
        <v>1005.6</v>
      </c>
      <c r="L9" s="29">
        <f>'Projections - CABRI'!D8</f>
        <v>980</v>
      </c>
      <c r="M9" s="29">
        <f>($L9+(($V9-$L9)/($V$2-$L$2))*(M$2-$L$2))</f>
        <v>969.4</v>
      </c>
      <c r="N9" s="29">
        <f>($L9+(($V9-$L9)/($V$2-$L$2))*(N$2-$L$2))</f>
        <v>958.8</v>
      </c>
      <c r="O9" s="29">
        <f>($L9+(($V9-$L9)/($V$2-$L$2))*(O$2-$L$2))</f>
        <v>948.2</v>
      </c>
      <c r="P9" s="29">
        <f>($L9+(($V9-$L9)/($V$2-$L$2))*(P$2-$L$2))</f>
        <v>937.6</v>
      </c>
      <c r="Q9" s="29">
        <f>($L9+(($V9-$L9)/($V$2-$L$2))*(Q$2-$L$2))</f>
        <v>927</v>
      </c>
      <c r="R9" s="29">
        <f>($L9+(($V9-$L9)/($V$2-$L$2))*(R$2-$L$2))</f>
        <v>916.4</v>
      </c>
      <c r="S9" s="29">
        <f>($L9+(($V9-$L9)/($V$2-$L$2))*(S$2-$L$2))</f>
        <v>905.8</v>
      </c>
      <c r="T9" s="29">
        <f>($L9+(($V9-$L9)/($V$2-$L$2))*(T$2-$L$2))</f>
        <v>895.2</v>
      </c>
      <c r="U9" s="29">
        <f>($L9+(($V9-$L9)/($V$2-$L$2))*(U$2-$L$2))</f>
        <v>884.6</v>
      </c>
      <c r="V9" s="29">
        <f>'Projections - CABRI'!E8</f>
        <v>874</v>
      </c>
      <c r="W9" s="29">
        <f t="shared" si="3"/>
        <v>861.8</v>
      </c>
      <c r="X9" s="29">
        <f t="shared" si="3"/>
        <v>849.6</v>
      </c>
      <c r="Y9" s="29">
        <f t="shared" si="3"/>
        <v>837.4</v>
      </c>
      <c r="Z9" s="29">
        <f t="shared" si="3"/>
        <v>825.2</v>
      </c>
      <c r="AA9" s="29">
        <f t="shared" si="3"/>
        <v>813</v>
      </c>
      <c r="AB9" s="29">
        <f t="shared" si="3"/>
        <v>800.8</v>
      </c>
      <c r="AC9" s="29">
        <f t="shared" si="3"/>
        <v>788.6</v>
      </c>
      <c r="AD9" s="29">
        <f t="shared" si="3"/>
        <v>776.4</v>
      </c>
      <c r="AE9" s="29">
        <f t="shared" si="3"/>
        <v>764.2</v>
      </c>
      <c r="AF9" s="29">
        <f>'Projections - CABRI'!F8</f>
        <v>752</v>
      </c>
    </row>
    <row r="10" spans="1:32">
      <c r="A10" s="29" t="s">
        <v>182</v>
      </c>
      <c r="B10" s="29">
        <f>'Projections - CABRI'!C9</f>
        <v>6560</v>
      </c>
      <c r="C10" s="29">
        <f>($B10+(($L10-$B10)/($L$2-$B$2))*(C$2-$B$2))</f>
        <v>6453.7</v>
      </c>
      <c r="D10" s="29">
        <f>($B10+(($L10-$B10)/($L$2-$B$2))*(D$2-$B$2))</f>
        <v>6347.4</v>
      </c>
      <c r="E10" s="29">
        <f>($B10+(($L10-$B10)/($L$2-$B$2))*(E$2-$B$2))</f>
        <v>6241.1</v>
      </c>
      <c r="F10" s="29">
        <f>($B10+(($L10-$B10)/($L$2-$B$2))*(F$2-$B$2))</f>
        <v>6134.8</v>
      </c>
      <c r="G10" s="29">
        <f>($B10+(($L10-$B10)/($L$2-$B$2))*(G$2-$B$2))</f>
        <v>6028.5</v>
      </c>
      <c r="H10" s="29">
        <f>($B10+(($L10-$B10)/($L$2-$B$2))*(H$2-$B$2))</f>
        <v>5922.2</v>
      </c>
      <c r="I10" s="29">
        <f>($B10+(($L10-$B10)/($L$2-$B$2))*(I$2-$B$2))</f>
        <v>5815.9</v>
      </c>
      <c r="J10" s="29">
        <f>($B10+(($L10-$B10)/($L$2-$B$2))*(J$2-$B$2))</f>
        <v>5709.6</v>
      </c>
      <c r="K10" s="29">
        <f>($B10+(($L10-$B10)/($L$2-$B$2))*(K$2-$B$2))</f>
        <v>5603.3</v>
      </c>
      <c r="L10" s="29">
        <f>'Projections - CABRI'!D9</f>
        <v>5497</v>
      </c>
      <c r="M10" s="29">
        <f>($L10+(($V10-$L10)/($V$2-$L$2))*(M$2-$L$2))</f>
        <v>5425.6</v>
      </c>
      <c r="N10" s="29">
        <f>($L10+(($V10-$L10)/($V$2-$L$2))*(N$2-$L$2))</f>
        <v>5354.2</v>
      </c>
      <c r="O10" s="29">
        <f>($L10+(($V10-$L10)/($V$2-$L$2))*(O$2-$L$2))</f>
        <v>5282.8</v>
      </c>
      <c r="P10" s="29">
        <f>($L10+(($V10-$L10)/($V$2-$L$2))*(P$2-$L$2))</f>
        <v>5211.3999999999996</v>
      </c>
      <c r="Q10" s="29">
        <f>($L10+(($V10-$L10)/($V$2-$L$2))*(Q$2-$L$2))</f>
        <v>5140</v>
      </c>
      <c r="R10" s="29">
        <f>($L10+(($V10-$L10)/($V$2-$L$2))*(R$2-$L$2))</f>
        <v>5068.6000000000004</v>
      </c>
      <c r="S10" s="29">
        <f>($L10+(($V10-$L10)/($V$2-$L$2))*(S$2-$L$2))</f>
        <v>4997.2</v>
      </c>
      <c r="T10" s="29">
        <f>($L10+(($V10-$L10)/($V$2-$L$2))*(T$2-$L$2))</f>
        <v>4925.8</v>
      </c>
      <c r="U10" s="29">
        <f>($L10+(($V10-$L10)/($V$2-$L$2))*(U$2-$L$2))</f>
        <v>4854.3999999999996</v>
      </c>
      <c r="V10" s="29">
        <f>'Projections - CABRI'!E9</f>
        <v>4783</v>
      </c>
      <c r="W10" s="29">
        <f t="shared" si="3"/>
        <v>4714.7</v>
      </c>
      <c r="X10" s="29">
        <f t="shared" si="3"/>
        <v>4646.3999999999996</v>
      </c>
      <c r="Y10" s="29">
        <f t="shared" si="3"/>
        <v>4578.1000000000004</v>
      </c>
      <c r="Z10" s="29">
        <f t="shared" si="3"/>
        <v>4509.8</v>
      </c>
      <c r="AA10" s="29">
        <f t="shared" si="3"/>
        <v>4441.5</v>
      </c>
      <c r="AB10" s="29">
        <f t="shared" si="3"/>
        <v>4373.2</v>
      </c>
      <c r="AC10" s="29">
        <f t="shared" si="3"/>
        <v>4304.8999999999996</v>
      </c>
      <c r="AD10" s="29">
        <f t="shared" si="3"/>
        <v>4236.6000000000004</v>
      </c>
      <c r="AE10" s="29">
        <f t="shared" si="3"/>
        <v>4168.3</v>
      </c>
      <c r="AF10" s="29">
        <f>'Projections - CABRI'!F9</f>
        <v>4100</v>
      </c>
    </row>
    <row r="11" spans="1:32">
      <c r="A11" s="29" t="s">
        <v>22</v>
      </c>
      <c r="B11" s="29">
        <f>'Projections - CABRI'!C10</f>
        <v>941</v>
      </c>
      <c r="C11" s="29">
        <f>($B11+(($L11-$B11)/($L$2-$B$2))*(C$2-$B$2))</f>
        <v>915.7</v>
      </c>
      <c r="D11" s="29">
        <f>($B11+(($L11-$B11)/($L$2-$B$2))*(D$2-$B$2))</f>
        <v>890.4</v>
      </c>
      <c r="E11" s="29">
        <f>($B11+(($L11-$B11)/($L$2-$B$2))*(E$2-$B$2))</f>
        <v>865.1</v>
      </c>
      <c r="F11" s="29">
        <f>($B11+(($L11-$B11)/($L$2-$B$2))*(F$2-$B$2))</f>
        <v>839.8</v>
      </c>
      <c r="G11" s="29">
        <f>($B11+(($L11-$B11)/($L$2-$B$2))*(G$2-$B$2))</f>
        <v>814.5</v>
      </c>
      <c r="H11" s="29">
        <f>($B11+(($L11-$B11)/($L$2-$B$2))*(H$2-$B$2))</f>
        <v>789.2</v>
      </c>
      <c r="I11" s="29">
        <f>($B11+(($L11-$B11)/($L$2-$B$2))*(I$2-$B$2))</f>
        <v>763.9</v>
      </c>
      <c r="J11" s="29">
        <f>($B11+(($L11-$B11)/($L$2-$B$2))*(J$2-$B$2))</f>
        <v>738.6</v>
      </c>
      <c r="K11" s="29">
        <f>($B11+(($L11-$B11)/($L$2-$B$2))*(K$2-$B$2))</f>
        <v>713.3</v>
      </c>
      <c r="L11" s="29">
        <f>'Projections - CABRI'!D10</f>
        <v>688</v>
      </c>
      <c r="M11" s="29">
        <f>($L11+(($V11-$L11)/($V$2-$L$2))*(M$2-$L$2))</f>
        <v>693</v>
      </c>
      <c r="N11" s="29">
        <f>($L11+(($V11-$L11)/($V$2-$L$2))*(N$2-$L$2))</f>
        <v>698</v>
      </c>
      <c r="O11" s="29">
        <f>($L11+(($V11-$L11)/($V$2-$L$2))*(O$2-$L$2))</f>
        <v>703</v>
      </c>
      <c r="P11" s="29">
        <f>($L11+(($V11-$L11)/($V$2-$L$2))*(P$2-$L$2))</f>
        <v>708</v>
      </c>
      <c r="Q11" s="29">
        <f>($L11+(($V11-$L11)/($V$2-$L$2))*(Q$2-$L$2))</f>
        <v>713</v>
      </c>
      <c r="R11" s="29">
        <f>($L11+(($V11-$L11)/($V$2-$L$2))*(R$2-$L$2))</f>
        <v>718</v>
      </c>
      <c r="S11" s="29">
        <f>($L11+(($V11-$L11)/($V$2-$L$2))*(S$2-$L$2))</f>
        <v>723</v>
      </c>
      <c r="T11" s="29">
        <f>($L11+(($V11-$L11)/($V$2-$L$2))*(T$2-$L$2))</f>
        <v>728</v>
      </c>
      <c r="U11" s="29">
        <f>($L11+(($V11-$L11)/($V$2-$L$2))*(U$2-$L$2))</f>
        <v>733</v>
      </c>
      <c r="V11" s="29">
        <f>'Projections - CABRI'!E10</f>
        <v>738</v>
      </c>
      <c r="W11" s="29">
        <f t="shared" si="3"/>
        <v>715.4</v>
      </c>
      <c r="X11" s="29">
        <f t="shared" si="3"/>
        <v>692.8</v>
      </c>
      <c r="Y11" s="29">
        <f t="shared" si="3"/>
        <v>670.2</v>
      </c>
      <c r="Z11" s="29">
        <f t="shared" si="3"/>
        <v>647.6</v>
      </c>
      <c r="AA11" s="29">
        <f t="shared" si="3"/>
        <v>625</v>
      </c>
      <c r="AB11" s="29">
        <f t="shared" si="3"/>
        <v>602.4</v>
      </c>
      <c r="AC11" s="29">
        <f t="shared" si="3"/>
        <v>579.79999999999995</v>
      </c>
      <c r="AD11" s="29">
        <f t="shared" si="3"/>
        <v>557.20000000000005</v>
      </c>
      <c r="AE11" s="29">
        <f t="shared" si="3"/>
        <v>534.6</v>
      </c>
      <c r="AF11" s="29">
        <f>'Projections - CABRI'!F10</f>
        <v>512</v>
      </c>
    </row>
    <row r="12" spans="1:32">
      <c r="A12" s="29" t="s">
        <v>185</v>
      </c>
      <c r="B12" s="29">
        <f>'Projections - CABRI'!C11</f>
        <v>6055</v>
      </c>
      <c r="C12" s="29">
        <f>($B12+(($L12-$B12)/($L$2-$B$2))*(C$2-$B$2))</f>
        <v>5953.1</v>
      </c>
      <c r="D12" s="29">
        <f>($B12+(($L12-$B12)/($L$2-$B$2))*(D$2-$B$2))</f>
        <v>5851.2</v>
      </c>
      <c r="E12" s="29">
        <f>($B12+(($L12-$B12)/($L$2-$B$2))*(E$2-$B$2))</f>
        <v>5749.3</v>
      </c>
      <c r="F12" s="29">
        <f>($B12+(($L12-$B12)/($L$2-$B$2))*(F$2-$B$2))</f>
        <v>5647.4</v>
      </c>
      <c r="G12" s="29">
        <f>($B12+(($L12-$B12)/($L$2-$B$2))*(G$2-$B$2))</f>
        <v>5545.5</v>
      </c>
      <c r="H12" s="29">
        <f>($B12+(($L12-$B12)/($L$2-$B$2))*(H$2-$B$2))</f>
        <v>5443.6</v>
      </c>
      <c r="I12" s="29">
        <f>($B12+(($L12-$B12)/($L$2-$B$2))*(I$2-$B$2))</f>
        <v>5341.7</v>
      </c>
      <c r="J12" s="29">
        <f>($B12+(($L12-$B12)/($L$2-$B$2))*(J$2-$B$2))</f>
        <v>5239.8</v>
      </c>
      <c r="K12" s="29">
        <f>($B12+(($L12-$B12)/($L$2-$B$2))*(K$2-$B$2))</f>
        <v>5137.8999999999996</v>
      </c>
      <c r="L12" s="29">
        <f>'Projections - CABRI'!D11</f>
        <v>5036</v>
      </c>
      <c r="M12" s="29">
        <f>($L12+(($V12-$L12)/($V$2-$L$2))*(M$2-$L$2))</f>
        <v>4994.3999999999996</v>
      </c>
      <c r="N12" s="29">
        <f>($L12+(($V12-$L12)/($V$2-$L$2))*(N$2-$L$2))</f>
        <v>4952.8</v>
      </c>
      <c r="O12" s="29">
        <f>($L12+(($V12-$L12)/($V$2-$L$2))*(O$2-$L$2))</f>
        <v>4911.2</v>
      </c>
      <c r="P12" s="29">
        <f>($L12+(($V12-$L12)/($V$2-$L$2))*(P$2-$L$2))</f>
        <v>4869.6000000000004</v>
      </c>
      <c r="Q12" s="29">
        <f>($L12+(($V12-$L12)/($V$2-$L$2))*(Q$2-$L$2))</f>
        <v>4828</v>
      </c>
      <c r="R12" s="29">
        <f>($L12+(($V12-$L12)/($V$2-$L$2))*(R$2-$L$2))</f>
        <v>4786.3999999999996</v>
      </c>
      <c r="S12" s="29">
        <f>($L12+(($V12-$L12)/($V$2-$L$2))*(S$2-$L$2))</f>
        <v>4744.8</v>
      </c>
      <c r="T12" s="29">
        <f>($L12+(($V12-$L12)/($V$2-$L$2))*(T$2-$L$2))</f>
        <v>4703.2</v>
      </c>
      <c r="U12" s="29">
        <f>($L12+(($V12-$L12)/($V$2-$L$2))*(U$2-$L$2))</f>
        <v>4661.6000000000004</v>
      </c>
      <c r="V12" s="29">
        <f>'Projections - CABRI'!E11</f>
        <v>4620</v>
      </c>
      <c r="W12" s="29">
        <f t="shared" si="3"/>
        <v>4600.2</v>
      </c>
      <c r="X12" s="29">
        <f t="shared" si="3"/>
        <v>4580.3999999999996</v>
      </c>
      <c r="Y12" s="29">
        <f t="shared" si="3"/>
        <v>4560.6000000000004</v>
      </c>
      <c r="Z12" s="29">
        <f t="shared" si="3"/>
        <v>4540.8</v>
      </c>
      <c r="AA12" s="29">
        <f t="shared" si="3"/>
        <v>4521</v>
      </c>
      <c r="AB12" s="29">
        <f t="shared" si="3"/>
        <v>4501.2</v>
      </c>
      <c r="AC12" s="29">
        <f t="shared" si="3"/>
        <v>4481.3999999999996</v>
      </c>
      <c r="AD12" s="29">
        <f t="shared" si="3"/>
        <v>4461.6000000000004</v>
      </c>
      <c r="AE12" s="29">
        <f t="shared" si="3"/>
        <v>4441.8</v>
      </c>
      <c r="AF12" s="29">
        <f>'Projections - CABRI'!F11</f>
        <v>4422</v>
      </c>
    </row>
    <row r="13" spans="1:32">
      <c r="A13" s="29" t="s">
        <v>23</v>
      </c>
      <c r="B13" s="29">
        <f>'Projections - CABRI'!C12</f>
        <v>5300</v>
      </c>
      <c r="C13" s="29">
        <f>($B13+(($L13-$B13)/($L$2-$B$2))*(C$2-$B$2))</f>
        <v>5300</v>
      </c>
      <c r="D13" s="29">
        <f>($B13+(($L13-$B13)/($L$2-$B$2))*(D$2-$B$2))</f>
        <v>5300</v>
      </c>
      <c r="E13" s="29">
        <f>($B13+(($L13-$B13)/($L$2-$B$2))*(E$2-$B$2))</f>
        <v>5300</v>
      </c>
      <c r="F13" s="29">
        <f>($B13+(($L13-$B13)/($L$2-$B$2))*(F$2-$B$2))</f>
        <v>5300</v>
      </c>
      <c r="G13" s="29">
        <f>($B13+(($L13-$B13)/($L$2-$B$2))*(G$2-$B$2))</f>
        <v>5300</v>
      </c>
      <c r="H13" s="29">
        <f>($B13+(($L13-$B13)/($L$2-$B$2))*(H$2-$B$2))</f>
        <v>5300</v>
      </c>
      <c r="I13" s="29">
        <f>($B13+(($L13-$B13)/($L$2-$B$2))*(I$2-$B$2))</f>
        <v>5300</v>
      </c>
      <c r="J13" s="29">
        <f>($B13+(($L13-$B13)/($L$2-$B$2))*(J$2-$B$2))</f>
        <v>5300</v>
      </c>
      <c r="K13" s="29">
        <f>($B13+(($L13-$B13)/($L$2-$B$2))*(K$2-$B$2))</f>
        <v>5300</v>
      </c>
      <c r="L13" s="29">
        <f>'Projections - CABRI'!D12</f>
        <v>5300</v>
      </c>
      <c r="M13" s="29">
        <f>($L13+(($V13-$L13)/($V$2-$L$2))*(M$2-$L$2))</f>
        <v>5300</v>
      </c>
      <c r="N13" s="29">
        <f>($L13+(($V13-$L13)/($V$2-$L$2))*(N$2-$L$2))</f>
        <v>5300</v>
      </c>
      <c r="O13" s="29">
        <f>($L13+(($V13-$L13)/($V$2-$L$2))*(O$2-$L$2))</f>
        <v>5300</v>
      </c>
      <c r="P13" s="29">
        <f>($L13+(($V13-$L13)/($V$2-$L$2))*(P$2-$L$2))</f>
        <v>5300</v>
      </c>
      <c r="Q13" s="29">
        <f>($L13+(($V13-$L13)/($V$2-$L$2))*(Q$2-$L$2))</f>
        <v>5300</v>
      </c>
      <c r="R13" s="29">
        <f>($L13+(($V13-$L13)/($V$2-$L$2))*(R$2-$L$2))</f>
        <v>5300</v>
      </c>
      <c r="S13" s="29">
        <f>($L13+(($V13-$L13)/($V$2-$L$2))*(S$2-$L$2))</f>
        <v>5300</v>
      </c>
      <c r="T13" s="29">
        <f>($L13+(($V13-$L13)/($V$2-$L$2))*(T$2-$L$2))</f>
        <v>5300</v>
      </c>
      <c r="U13" s="29">
        <f>($L13+(($V13-$L13)/($V$2-$L$2))*(U$2-$L$2))</f>
        <v>5300</v>
      </c>
      <c r="V13" s="29">
        <f>'Projections - CABRI'!E12</f>
        <v>5300</v>
      </c>
      <c r="W13" s="29">
        <f t="shared" si="3"/>
        <v>5300</v>
      </c>
      <c r="X13" s="29">
        <f t="shared" si="3"/>
        <v>5300</v>
      </c>
      <c r="Y13" s="29">
        <f t="shared" si="3"/>
        <v>5300</v>
      </c>
      <c r="Z13" s="29">
        <f t="shared" si="3"/>
        <v>5300</v>
      </c>
      <c r="AA13" s="29">
        <f t="shared" si="3"/>
        <v>5300</v>
      </c>
      <c r="AB13" s="29">
        <f t="shared" si="3"/>
        <v>5300</v>
      </c>
      <c r="AC13" s="29">
        <f t="shared" si="3"/>
        <v>5300</v>
      </c>
      <c r="AD13" s="29">
        <f t="shared" si="3"/>
        <v>5300</v>
      </c>
      <c r="AE13" s="29">
        <f t="shared" si="3"/>
        <v>5300</v>
      </c>
      <c r="AF13" s="29">
        <f>'Projections - CABRI'!F12</f>
        <v>5300</v>
      </c>
    </row>
    <row r="14" spans="1:32">
      <c r="A14" s="29" t="s">
        <v>21</v>
      </c>
      <c r="B14" s="89" t="s">
        <v>189</v>
      </c>
      <c r="C14" s="89" t="s">
        <v>189</v>
      </c>
      <c r="D14" s="89" t="s">
        <v>189</v>
      </c>
      <c r="E14" s="89" t="s">
        <v>189</v>
      </c>
      <c r="F14" s="89" t="s">
        <v>189</v>
      </c>
      <c r="G14" s="89" t="s">
        <v>189</v>
      </c>
      <c r="H14" s="89" t="s">
        <v>189</v>
      </c>
      <c r="I14" s="89" t="s">
        <v>189</v>
      </c>
      <c r="J14" s="89" t="s">
        <v>189</v>
      </c>
      <c r="K14" s="89" t="s">
        <v>189</v>
      </c>
      <c r="L14" s="89" t="s">
        <v>189</v>
      </c>
      <c r="M14" s="89" t="s">
        <v>189</v>
      </c>
      <c r="N14" s="89" t="s">
        <v>189</v>
      </c>
      <c r="O14" s="89" t="s">
        <v>189</v>
      </c>
      <c r="P14" s="89" t="s">
        <v>189</v>
      </c>
      <c r="Q14" s="89" t="s">
        <v>189</v>
      </c>
      <c r="R14" s="89" t="s">
        <v>189</v>
      </c>
      <c r="S14" s="89" t="s">
        <v>189</v>
      </c>
      <c r="T14" s="89" t="s">
        <v>189</v>
      </c>
      <c r="U14" s="89" t="s">
        <v>189</v>
      </c>
      <c r="V14" s="89" t="s">
        <v>189</v>
      </c>
      <c r="W14" s="89" t="s">
        <v>189</v>
      </c>
      <c r="X14" s="89" t="s">
        <v>189</v>
      </c>
      <c r="Y14" s="89" t="s">
        <v>189</v>
      </c>
      <c r="Z14" s="89" t="s">
        <v>189</v>
      </c>
      <c r="AA14" s="89" t="s">
        <v>189</v>
      </c>
      <c r="AB14" s="89" t="s">
        <v>189</v>
      </c>
      <c r="AC14" s="89" t="s">
        <v>189</v>
      </c>
      <c r="AD14" s="89" t="s">
        <v>189</v>
      </c>
      <c r="AE14" s="89" t="s">
        <v>189</v>
      </c>
      <c r="AF14" s="89" t="s">
        <v>189</v>
      </c>
    </row>
    <row r="15" spans="1:32">
      <c r="A15" s="29" t="s">
        <v>75</v>
      </c>
      <c r="B15" s="29">
        <f>'Projections - CABRI'!C14</f>
        <v>900</v>
      </c>
      <c r="C15" s="29">
        <f>($B15+(($L15-$B15)/($L$2-$B$2))*(C$2-$B$2))</f>
        <v>900</v>
      </c>
      <c r="D15" s="29">
        <f>($B15+(($L15-$B15)/($L$2-$B$2))*(D$2-$B$2))</f>
        <v>900</v>
      </c>
      <c r="E15" s="29">
        <f>($B15+(($L15-$B15)/($L$2-$B$2))*(E$2-$B$2))</f>
        <v>900</v>
      </c>
      <c r="F15" s="29">
        <f>($B15+(($L15-$B15)/($L$2-$B$2))*(F$2-$B$2))</f>
        <v>900</v>
      </c>
      <c r="G15" s="29">
        <f>($B15+(($L15-$B15)/($L$2-$B$2))*(G$2-$B$2))</f>
        <v>900</v>
      </c>
      <c r="H15" s="29">
        <f>($B15+(($L15-$B15)/($L$2-$B$2))*(H$2-$B$2))</f>
        <v>900</v>
      </c>
      <c r="I15" s="29">
        <f>($B15+(($L15-$B15)/($L$2-$B$2))*(I$2-$B$2))</f>
        <v>900</v>
      </c>
      <c r="J15" s="29">
        <f>($B15+(($L15-$B15)/($L$2-$B$2))*(J$2-$B$2))</f>
        <v>900</v>
      </c>
      <c r="K15" s="29">
        <f>($B15+(($L15-$B15)/($L$2-$B$2))*(K$2-$B$2))</f>
        <v>900</v>
      </c>
      <c r="L15" s="29">
        <f>'Projections - CABRI'!D14</f>
        <v>900</v>
      </c>
      <c r="M15" s="29">
        <f>($L15+(($V15-$L15)/($V$2-$L$2))*(M$2-$L$2))</f>
        <v>900</v>
      </c>
      <c r="N15" s="29">
        <f>($L15+(($V15-$L15)/($V$2-$L$2))*(N$2-$L$2))</f>
        <v>900</v>
      </c>
      <c r="O15" s="29">
        <f>($L15+(($V15-$L15)/($V$2-$L$2))*(O$2-$L$2))</f>
        <v>900</v>
      </c>
      <c r="P15" s="29">
        <f>($L15+(($V15-$L15)/($V$2-$L$2))*(P$2-$L$2))</f>
        <v>900</v>
      </c>
      <c r="Q15" s="29">
        <f>($L15+(($V15-$L15)/($V$2-$L$2))*(Q$2-$L$2))</f>
        <v>900</v>
      </c>
      <c r="R15" s="29">
        <f>($L15+(($V15-$L15)/($V$2-$L$2))*(R$2-$L$2))</f>
        <v>900</v>
      </c>
      <c r="S15" s="29">
        <f>($L15+(($V15-$L15)/($V$2-$L$2))*(S$2-$L$2))</f>
        <v>900</v>
      </c>
      <c r="T15" s="29">
        <f>($L15+(($V15-$L15)/($V$2-$L$2))*(T$2-$L$2))</f>
        <v>900</v>
      </c>
      <c r="U15" s="29">
        <f>($L15+(($V15-$L15)/($V$2-$L$2))*(U$2-$L$2))</f>
        <v>900</v>
      </c>
      <c r="V15" s="29">
        <f>'Projections - CABRI'!E14</f>
        <v>900</v>
      </c>
      <c r="W15" s="29">
        <f t="shared" si="3"/>
        <v>900</v>
      </c>
      <c r="X15" s="29">
        <f t="shared" si="3"/>
        <v>900</v>
      </c>
      <c r="Y15" s="29">
        <f t="shared" si="3"/>
        <v>900</v>
      </c>
      <c r="Z15" s="29">
        <f t="shared" si="3"/>
        <v>900</v>
      </c>
      <c r="AA15" s="29">
        <f t="shared" si="3"/>
        <v>900</v>
      </c>
      <c r="AB15" s="29">
        <f t="shared" si="3"/>
        <v>900</v>
      </c>
      <c r="AC15" s="29">
        <f t="shared" si="3"/>
        <v>900</v>
      </c>
      <c r="AD15" s="29">
        <f t="shared" si="3"/>
        <v>900</v>
      </c>
      <c r="AE15" s="29">
        <f t="shared" si="3"/>
        <v>900</v>
      </c>
      <c r="AF15" s="29">
        <f>'Projections - CABRI'!F14</f>
        <v>900</v>
      </c>
    </row>
    <row r="16" spans="1:32">
      <c r="A16" s="29" t="s">
        <v>191</v>
      </c>
      <c r="B16" s="29">
        <f>'Projections - CABRI'!C15</f>
        <v>1400</v>
      </c>
      <c r="C16" s="29">
        <f>($B16+(($L16-$B16)/($L$2-$B$2))*(C$2-$B$2))</f>
        <v>1400</v>
      </c>
      <c r="D16" s="29">
        <f>($B16+(($L16-$B16)/($L$2-$B$2))*(D$2-$B$2))</f>
        <v>1400</v>
      </c>
      <c r="E16" s="29">
        <f>($B16+(($L16-$B16)/($L$2-$B$2))*(E$2-$B$2))</f>
        <v>1400</v>
      </c>
      <c r="F16" s="29">
        <f>($B16+(($L16-$B16)/($L$2-$B$2))*(F$2-$B$2))</f>
        <v>1400</v>
      </c>
      <c r="G16" s="29">
        <f>($B16+(($L16-$B16)/($L$2-$B$2))*(G$2-$B$2))</f>
        <v>1400</v>
      </c>
      <c r="H16" s="29">
        <f>($B16+(($L16-$B16)/($L$2-$B$2))*(H$2-$B$2))</f>
        <v>1400</v>
      </c>
      <c r="I16" s="29">
        <f>($B16+(($L16-$B16)/($L$2-$B$2))*(I$2-$B$2))</f>
        <v>1400</v>
      </c>
      <c r="J16" s="29">
        <f>($B16+(($L16-$B16)/($L$2-$B$2))*(J$2-$B$2))</f>
        <v>1400</v>
      </c>
      <c r="K16" s="29">
        <f>($B16+(($L16-$B16)/($L$2-$B$2))*(K$2-$B$2))</f>
        <v>1400</v>
      </c>
      <c r="L16" s="29">
        <f>'Projections - CABRI'!D15</f>
        <v>1400</v>
      </c>
      <c r="M16" s="29">
        <f>($L16+(($V16-$L16)/($V$2-$L$2))*(M$2-$L$2))</f>
        <v>1400</v>
      </c>
      <c r="N16" s="29">
        <f>($L16+(($V16-$L16)/($V$2-$L$2))*(N$2-$L$2))</f>
        <v>1400</v>
      </c>
      <c r="O16" s="29">
        <f>($L16+(($V16-$L16)/($V$2-$L$2))*(O$2-$L$2))</f>
        <v>1400</v>
      </c>
      <c r="P16" s="29">
        <f>($L16+(($V16-$L16)/($V$2-$L$2))*(P$2-$L$2))</f>
        <v>1400</v>
      </c>
      <c r="Q16" s="29">
        <f>($L16+(($V16-$L16)/($V$2-$L$2))*(Q$2-$L$2))</f>
        <v>1400</v>
      </c>
      <c r="R16" s="29">
        <f>($L16+(($V16-$L16)/($V$2-$L$2))*(R$2-$L$2))</f>
        <v>1400</v>
      </c>
      <c r="S16" s="29">
        <f>($L16+(($V16-$L16)/($V$2-$L$2))*(S$2-$L$2))</f>
        <v>1400</v>
      </c>
      <c r="T16" s="29">
        <f>($L16+(($V16-$L16)/($V$2-$L$2))*(T$2-$L$2))</f>
        <v>1400</v>
      </c>
      <c r="U16" s="29">
        <f>($L16+(($V16-$L16)/($V$2-$L$2))*(U$2-$L$2))</f>
        <v>1400</v>
      </c>
      <c r="V16" s="29">
        <f>'Projections - CABRI'!E15</f>
        <v>1400</v>
      </c>
      <c r="W16" s="29">
        <f t="shared" si="3"/>
        <v>1400</v>
      </c>
      <c r="X16" s="29">
        <f t="shared" si="3"/>
        <v>1400</v>
      </c>
      <c r="Y16" s="29">
        <f t="shared" si="3"/>
        <v>1400</v>
      </c>
      <c r="Z16" s="29">
        <f t="shared" si="3"/>
        <v>1400</v>
      </c>
      <c r="AA16" s="29">
        <f t="shared" si="3"/>
        <v>1400</v>
      </c>
      <c r="AB16" s="29">
        <f t="shared" si="3"/>
        <v>1400</v>
      </c>
      <c r="AC16" s="29">
        <f t="shared" si="3"/>
        <v>1400</v>
      </c>
      <c r="AD16" s="29">
        <f t="shared" si="3"/>
        <v>1400</v>
      </c>
      <c r="AE16" s="29">
        <f t="shared" si="3"/>
        <v>1400</v>
      </c>
      <c r="AF16" s="29">
        <f>'Projections - CABRI'!F15</f>
        <v>1400</v>
      </c>
    </row>
    <row r="17" spans="1:32">
      <c r="A17" s="29" t="s">
        <v>193</v>
      </c>
      <c r="B17" s="29">
        <f>'Projections - CABRI'!C16</f>
        <v>1400</v>
      </c>
      <c r="C17" s="29">
        <f>($B17+(($L17-$B17)/($L$2-$B$2))*(C$2-$B$2))</f>
        <v>1400</v>
      </c>
      <c r="D17" s="29">
        <f>($B17+(($L17-$B17)/($L$2-$B$2))*(D$2-$B$2))</f>
        <v>1400</v>
      </c>
      <c r="E17" s="29">
        <f>($B17+(($L17-$B17)/($L$2-$B$2))*(E$2-$B$2))</f>
        <v>1400</v>
      </c>
      <c r="F17" s="29">
        <f>($B17+(($L17-$B17)/($L$2-$B$2))*(F$2-$B$2))</f>
        <v>1400</v>
      </c>
      <c r="G17" s="29">
        <f>($B17+(($L17-$B17)/($L$2-$B$2))*(G$2-$B$2))</f>
        <v>1400</v>
      </c>
      <c r="H17" s="29">
        <f>($B17+(($L17-$B17)/($L$2-$B$2))*(H$2-$B$2))</f>
        <v>1400</v>
      </c>
      <c r="I17" s="29">
        <f>($B17+(($L17-$B17)/($L$2-$B$2))*(I$2-$B$2))</f>
        <v>1400</v>
      </c>
      <c r="J17" s="29">
        <f>($B17+(($L17-$B17)/($L$2-$B$2))*(J$2-$B$2))</f>
        <v>1400</v>
      </c>
      <c r="K17" s="29">
        <f>($B17+(($L17-$B17)/($L$2-$B$2))*(K$2-$B$2))</f>
        <v>1400</v>
      </c>
      <c r="L17" s="29">
        <f>'Projections - CABRI'!D16</f>
        <v>1400</v>
      </c>
      <c r="M17" s="29">
        <f>($L17+(($V17-$L17)/($V$2-$L$2))*(M$2-$L$2))</f>
        <v>1400</v>
      </c>
      <c r="N17" s="29">
        <f>($L17+(($V17-$L17)/($V$2-$L$2))*(N$2-$L$2))</f>
        <v>1400</v>
      </c>
      <c r="O17" s="29">
        <f>($L17+(($V17-$L17)/($V$2-$L$2))*(O$2-$L$2))</f>
        <v>1400</v>
      </c>
      <c r="P17" s="29">
        <f>($L17+(($V17-$L17)/($V$2-$L$2))*(P$2-$L$2))</f>
        <v>1400</v>
      </c>
      <c r="Q17" s="29">
        <f>($L17+(($V17-$L17)/($V$2-$L$2))*(Q$2-$L$2))</f>
        <v>1400</v>
      </c>
      <c r="R17" s="29">
        <f>($L17+(($V17-$L17)/($V$2-$L$2))*(R$2-$L$2))</f>
        <v>1400</v>
      </c>
      <c r="S17" s="29">
        <f>($L17+(($V17-$L17)/($V$2-$L$2))*(S$2-$L$2))</f>
        <v>1400</v>
      </c>
      <c r="T17" s="29">
        <f>($L17+(($V17-$L17)/($V$2-$L$2))*(T$2-$L$2))</f>
        <v>1400</v>
      </c>
      <c r="U17" s="29">
        <f>($L17+(($V17-$L17)/($V$2-$L$2))*(U$2-$L$2))</f>
        <v>1400</v>
      </c>
      <c r="V17" s="29">
        <f>'Projections - CABRI'!E16</f>
        <v>1400</v>
      </c>
      <c r="W17" s="29">
        <f t="shared" si="3"/>
        <v>1400</v>
      </c>
      <c r="X17" s="29">
        <f t="shared" si="3"/>
        <v>1400</v>
      </c>
      <c r="Y17" s="29">
        <f t="shared" si="3"/>
        <v>1400</v>
      </c>
      <c r="Z17" s="29">
        <f t="shared" si="3"/>
        <v>1400</v>
      </c>
      <c r="AA17" s="29">
        <f t="shared" si="3"/>
        <v>1400</v>
      </c>
      <c r="AB17" s="29">
        <f t="shared" si="3"/>
        <v>1400</v>
      </c>
      <c r="AC17" s="29">
        <f t="shared" si="3"/>
        <v>1400</v>
      </c>
      <c r="AD17" s="29">
        <f t="shared" si="3"/>
        <v>1400</v>
      </c>
      <c r="AE17" s="29">
        <f t="shared" si="3"/>
        <v>1400</v>
      </c>
      <c r="AF17" s="29">
        <f>'Projections - CABRI'!F16</f>
        <v>1400</v>
      </c>
    </row>
    <row r="18" spans="1:32">
      <c r="A18" s="29" t="s">
        <v>195</v>
      </c>
      <c r="B18" s="29">
        <f>'Projections - CABRI'!C17</f>
        <v>4665</v>
      </c>
      <c r="C18" s="29">
        <f>($B18+(($L18-$B18)/($L$2-$B$2))*(C$2-$B$2))</f>
        <v>4665</v>
      </c>
      <c r="D18" s="29">
        <f>($B18+(($L18-$B18)/($L$2-$B$2))*(D$2-$B$2))</f>
        <v>4665</v>
      </c>
      <c r="E18" s="29">
        <f>($B18+(($L18-$B18)/($L$2-$B$2))*(E$2-$B$2))</f>
        <v>4665</v>
      </c>
      <c r="F18" s="29">
        <f>($B18+(($L18-$B18)/($L$2-$B$2))*(F$2-$B$2))</f>
        <v>4665</v>
      </c>
      <c r="G18" s="29">
        <f>($B18+(($L18-$B18)/($L$2-$B$2))*(G$2-$B$2))</f>
        <v>4665</v>
      </c>
      <c r="H18" s="29">
        <f>($B18+(($L18-$B18)/($L$2-$B$2))*(H$2-$B$2))</f>
        <v>4665</v>
      </c>
      <c r="I18" s="29">
        <f>($B18+(($L18-$B18)/($L$2-$B$2))*(I$2-$B$2))</f>
        <v>4665</v>
      </c>
      <c r="J18" s="29">
        <f>($B18+(($L18-$B18)/($L$2-$B$2))*(J$2-$B$2))</f>
        <v>4665</v>
      </c>
      <c r="K18" s="29">
        <f>($B18+(($L18-$B18)/($L$2-$B$2))*(K$2-$B$2))</f>
        <v>4665</v>
      </c>
      <c r="L18" s="29">
        <f>'Projections - CABRI'!D17</f>
        <v>4665</v>
      </c>
      <c r="M18" s="29">
        <f>($L18+(($V18-$L18)/($V$2-$L$2))*(M$2-$L$2))</f>
        <v>4665</v>
      </c>
      <c r="N18" s="29">
        <f>($L18+(($V18-$L18)/($V$2-$L$2))*(N$2-$L$2))</f>
        <v>4665</v>
      </c>
      <c r="O18" s="29">
        <f>($L18+(($V18-$L18)/($V$2-$L$2))*(O$2-$L$2))</f>
        <v>4665</v>
      </c>
      <c r="P18" s="29">
        <f>($L18+(($V18-$L18)/($V$2-$L$2))*(P$2-$L$2))</f>
        <v>4665</v>
      </c>
      <c r="Q18" s="29">
        <f>($L18+(($V18-$L18)/($V$2-$L$2))*(Q$2-$L$2))</f>
        <v>4665</v>
      </c>
      <c r="R18" s="29">
        <f>($L18+(($V18-$L18)/($V$2-$L$2))*(R$2-$L$2))</f>
        <v>4665</v>
      </c>
      <c r="S18" s="29">
        <f>($L18+(($V18-$L18)/($V$2-$L$2))*(S$2-$L$2))</f>
        <v>4665</v>
      </c>
      <c r="T18" s="29">
        <f>($L18+(($V18-$L18)/($V$2-$L$2))*(T$2-$L$2))</f>
        <v>4665</v>
      </c>
      <c r="U18" s="29">
        <f>($L18+(($V18-$L18)/($V$2-$L$2))*(U$2-$L$2))</f>
        <v>4665</v>
      </c>
      <c r="V18" s="29">
        <f>'Projections - CABRI'!E17</f>
        <v>4665</v>
      </c>
      <c r="W18" s="29">
        <f t="shared" si="3"/>
        <v>4665</v>
      </c>
      <c r="X18" s="29">
        <f t="shared" si="3"/>
        <v>4665</v>
      </c>
      <c r="Y18" s="29">
        <f t="shared" si="3"/>
        <v>4665</v>
      </c>
      <c r="Z18" s="29">
        <f t="shared" si="3"/>
        <v>4665</v>
      </c>
      <c r="AA18" s="29">
        <f t="shared" si="3"/>
        <v>4665</v>
      </c>
      <c r="AB18" s="29">
        <f t="shared" si="3"/>
        <v>4665</v>
      </c>
      <c r="AC18" s="29">
        <f t="shared" si="3"/>
        <v>4665</v>
      </c>
      <c r="AD18" s="29">
        <f t="shared" si="3"/>
        <v>4665</v>
      </c>
      <c r="AE18" s="29">
        <f t="shared" si="3"/>
        <v>4665</v>
      </c>
      <c r="AF18" s="29">
        <f>'Projections - CABRI'!F17</f>
        <v>4665</v>
      </c>
    </row>
    <row r="19" spans="1:32">
      <c r="A19" s="29"/>
    </row>
    <row r="20" spans="1:32" ht="15.75">
      <c r="A20" s="25" t="s">
        <v>199</v>
      </c>
      <c r="B20" s="88">
        <v>1.05</v>
      </c>
    </row>
    <row r="22" spans="1:32">
      <c r="A22" s="25" t="s">
        <v>200</v>
      </c>
    </row>
    <row r="23" spans="1:32" s="25" customFormat="1">
      <c r="A23" s="25" t="s">
        <v>197</v>
      </c>
      <c r="B23" s="25">
        <v>2020</v>
      </c>
      <c r="C23" s="25">
        <v>2021</v>
      </c>
      <c r="D23" s="25">
        <v>2022</v>
      </c>
      <c r="E23" s="25">
        <v>2023</v>
      </c>
      <c r="F23" s="25">
        <v>2024</v>
      </c>
      <c r="G23" s="25">
        <v>2025</v>
      </c>
      <c r="H23" s="25">
        <v>2026</v>
      </c>
      <c r="I23" s="25">
        <v>2027</v>
      </c>
      <c r="J23" s="25">
        <v>2028</v>
      </c>
      <c r="K23" s="25">
        <v>2029</v>
      </c>
      <c r="L23" s="25">
        <v>2030</v>
      </c>
      <c r="M23" s="25">
        <v>2031</v>
      </c>
      <c r="N23" s="25">
        <v>2032</v>
      </c>
      <c r="O23" s="25">
        <v>2033</v>
      </c>
      <c r="P23" s="25">
        <v>2034</v>
      </c>
      <c r="Q23" s="25">
        <v>2035</v>
      </c>
      <c r="R23" s="25">
        <v>2036</v>
      </c>
      <c r="S23" s="25">
        <v>2037</v>
      </c>
      <c r="T23" s="25">
        <v>2038</v>
      </c>
      <c r="U23" s="25">
        <v>2039</v>
      </c>
      <c r="V23" s="25">
        <v>2040</v>
      </c>
      <c r="W23" s="25">
        <v>2041</v>
      </c>
      <c r="X23" s="25">
        <v>2042</v>
      </c>
      <c r="Y23" s="25">
        <v>2043</v>
      </c>
      <c r="Z23" s="25">
        <v>2044</v>
      </c>
      <c r="AA23" s="25">
        <v>2045</v>
      </c>
      <c r="AB23" s="25">
        <v>2046</v>
      </c>
      <c r="AC23" s="25">
        <v>2047</v>
      </c>
      <c r="AD23" s="25">
        <v>2048</v>
      </c>
      <c r="AE23" s="25">
        <v>2049</v>
      </c>
      <c r="AF23" s="25">
        <v>2050</v>
      </c>
    </row>
    <row r="24" spans="1:32">
      <c r="A24" s="29" t="s">
        <v>172</v>
      </c>
      <c r="B24" s="29">
        <f>B3*$B$20</f>
        <v>3150</v>
      </c>
      <c r="C24" s="29">
        <f t="shared" ref="C24:AF32" si="4">C3*$B$20</f>
        <v>3118.5</v>
      </c>
      <c r="D24" s="29">
        <f t="shared" si="4"/>
        <v>3087</v>
      </c>
      <c r="E24" s="29">
        <f t="shared" si="4"/>
        <v>3055.5</v>
      </c>
      <c r="F24" s="29">
        <f t="shared" si="4"/>
        <v>3024</v>
      </c>
      <c r="G24" s="29">
        <f t="shared" si="4"/>
        <v>2992.5</v>
      </c>
      <c r="H24" s="29">
        <f t="shared" si="4"/>
        <v>2961</v>
      </c>
      <c r="I24" s="29">
        <f t="shared" si="4"/>
        <v>2929.5</v>
      </c>
      <c r="J24" s="29">
        <f t="shared" si="4"/>
        <v>2898</v>
      </c>
      <c r="K24" s="29">
        <f t="shared" si="4"/>
        <v>2866.5</v>
      </c>
      <c r="L24" s="29">
        <f t="shared" si="4"/>
        <v>2835</v>
      </c>
      <c r="M24" s="29">
        <f t="shared" si="4"/>
        <v>2787.75</v>
      </c>
      <c r="N24" s="29">
        <f t="shared" si="4"/>
        <v>2740.5</v>
      </c>
      <c r="O24" s="29">
        <f t="shared" si="4"/>
        <v>2693.25</v>
      </c>
      <c r="P24" s="29">
        <f t="shared" si="4"/>
        <v>2646</v>
      </c>
      <c r="Q24" s="29">
        <f t="shared" si="4"/>
        <v>2598.75</v>
      </c>
      <c r="R24" s="29">
        <f t="shared" si="4"/>
        <v>2551.5</v>
      </c>
      <c r="S24" s="29">
        <f t="shared" si="4"/>
        <v>2504.25</v>
      </c>
      <c r="T24" s="29">
        <f t="shared" si="4"/>
        <v>2457</v>
      </c>
      <c r="U24" s="29">
        <f t="shared" si="4"/>
        <v>2409.75</v>
      </c>
      <c r="V24" s="29">
        <f t="shared" si="4"/>
        <v>2362.5</v>
      </c>
      <c r="W24" s="29">
        <f t="shared" si="4"/>
        <v>2362.5</v>
      </c>
      <c r="X24" s="29">
        <f t="shared" si="4"/>
        <v>2362.5</v>
      </c>
      <c r="Y24" s="29">
        <f t="shared" si="4"/>
        <v>2362.5</v>
      </c>
      <c r="Z24" s="29">
        <f t="shared" si="4"/>
        <v>2362.5</v>
      </c>
      <c r="AA24" s="29">
        <f t="shared" si="4"/>
        <v>2362.5</v>
      </c>
      <c r="AB24" s="29">
        <f t="shared" si="4"/>
        <v>2362.5</v>
      </c>
      <c r="AC24" s="29">
        <f t="shared" si="4"/>
        <v>2362.5</v>
      </c>
      <c r="AD24" s="29">
        <f t="shared" si="4"/>
        <v>2362.5</v>
      </c>
      <c r="AE24" s="29">
        <f t="shared" si="4"/>
        <v>2362.5</v>
      </c>
      <c r="AF24" s="29">
        <f t="shared" si="4"/>
        <v>2362.5</v>
      </c>
    </row>
    <row r="25" spans="1:32">
      <c r="A25" s="29" t="s">
        <v>77</v>
      </c>
      <c r="B25" s="29">
        <f t="shared" ref="B25:Q39" si="5">B4*$B$20</f>
        <v>3150</v>
      </c>
      <c r="C25" s="29">
        <f t="shared" si="5"/>
        <v>3118.5</v>
      </c>
      <c r="D25" s="29">
        <f t="shared" si="5"/>
        <v>3087</v>
      </c>
      <c r="E25" s="29">
        <f t="shared" si="5"/>
        <v>3055.5</v>
      </c>
      <c r="F25" s="29">
        <f t="shared" si="5"/>
        <v>3024</v>
      </c>
      <c r="G25" s="29">
        <f t="shared" si="5"/>
        <v>2992.5</v>
      </c>
      <c r="H25" s="29">
        <f t="shared" si="5"/>
        <v>2961</v>
      </c>
      <c r="I25" s="29">
        <f t="shared" si="5"/>
        <v>2929.5</v>
      </c>
      <c r="J25" s="29">
        <f t="shared" si="5"/>
        <v>2898</v>
      </c>
      <c r="K25" s="29">
        <f t="shared" si="5"/>
        <v>2866.5</v>
      </c>
      <c r="L25" s="29">
        <f t="shared" si="5"/>
        <v>2835</v>
      </c>
      <c r="M25" s="29">
        <f t="shared" si="5"/>
        <v>2787.75</v>
      </c>
      <c r="N25" s="29">
        <f t="shared" si="5"/>
        <v>2740.5</v>
      </c>
      <c r="O25" s="29">
        <f t="shared" si="5"/>
        <v>2693.25</v>
      </c>
      <c r="P25" s="29">
        <f t="shared" si="5"/>
        <v>2646</v>
      </c>
      <c r="Q25" s="29">
        <f t="shared" si="5"/>
        <v>2598.75</v>
      </c>
      <c r="R25" s="29">
        <f t="shared" si="4"/>
        <v>2551.5</v>
      </c>
      <c r="S25" s="29">
        <f t="shared" si="4"/>
        <v>2504.25</v>
      </c>
      <c r="T25" s="29">
        <f t="shared" si="4"/>
        <v>2457</v>
      </c>
      <c r="U25" s="29">
        <f t="shared" si="4"/>
        <v>2409.75</v>
      </c>
      <c r="V25" s="29">
        <f t="shared" si="4"/>
        <v>2362.5</v>
      </c>
      <c r="W25" s="29">
        <f t="shared" si="4"/>
        <v>2362.5</v>
      </c>
      <c r="X25" s="29">
        <f t="shared" si="4"/>
        <v>2362.5</v>
      </c>
      <c r="Y25" s="29">
        <f t="shared" si="4"/>
        <v>2362.5</v>
      </c>
      <c r="Z25" s="29">
        <f t="shared" si="4"/>
        <v>2362.5</v>
      </c>
      <c r="AA25" s="29">
        <f t="shared" si="4"/>
        <v>2362.5</v>
      </c>
      <c r="AB25" s="29">
        <f t="shared" si="4"/>
        <v>2362.5</v>
      </c>
      <c r="AC25" s="29">
        <f t="shared" si="4"/>
        <v>2362.5</v>
      </c>
      <c r="AD25" s="29">
        <f t="shared" si="4"/>
        <v>2362.5</v>
      </c>
      <c r="AE25" s="29">
        <f t="shared" si="4"/>
        <v>2362.5</v>
      </c>
      <c r="AF25" s="29">
        <f t="shared" si="4"/>
        <v>2362.5</v>
      </c>
    </row>
    <row r="26" spans="1:32">
      <c r="A26" s="29" t="s">
        <v>175</v>
      </c>
      <c r="B26" s="29">
        <f t="shared" si="5"/>
        <v>1207.5</v>
      </c>
      <c r="C26" s="29">
        <f t="shared" si="4"/>
        <v>1191.75</v>
      </c>
      <c r="D26" s="29">
        <f t="shared" si="4"/>
        <v>1176</v>
      </c>
      <c r="E26" s="29">
        <f t="shared" si="4"/>
        <v>1160.25</v>
      </c>
      <c r="F26" s="29">
        <f t="shared" si="4"/>
        <v>1144.5</v>
      </c>
      <c r="G26" s="29">
        <f t="shared" si="4"/>
        <v>1128.75</v>
      </c>
      <c r="H26" s="29">
        <f t="shared" si="4"/>
        <v>1113</v>
      </c>
      <c r="I26" s="29">
        <f t="shared" si="4"/>
        <v>1097.25</v>
      </c>
      <c r="J26" s="29">
        <f t="shared" si="4"/>
        <v>1081.5</v>
      </c>
      <c r="K26" s="29">
        <f t="shared" si="4"/>
        <v>1065.75</v>
      </c>
      <c r="L26" s="29">
        <f t="shared" si="4"/>
        <v>1050</v>
      </c>
      <c r="M26" s="29">
        <f t="shared" si="4"/>
        <v>1050</v>
      </c>
      <c r="N26" s="29">
        <f t="shared" si="4"/>
        <v>1050</v>
      </c>
      <c r="O26" s="29">
        <f t="shared" si="4"/>
        <v>1050</v>
      </c>
      <c r="P26" s="29">
        <f t="shared" si="4"/>
        <v>1050</v>
      </c>
      <c r="Q26" s="29">
        <f t="shared" si="4"/>
        <v>1050</v>
      </c>
      <c r="R26" s="29">
        <f t="shared" si="4"/>
        <v>1050</v>
      </c>
      <c r="S26" s="29">
        <f t="shared" si="4"/>
        <v>1050</v>
      </c>
      <c r="T26" s="29">
        <f t="shared" si="4"/>
        <v>1050</v>
      </c>
      <c r="U26" s="29">
        <f t="shared" si="4"/>
        <v>1050</v>
      </c>
      <c r="V26" s="29">
        <f t="shared" si="4"/>
        <v>1050</v>
      </c>
      <c r="W26" s="29">
        <f t="shared" si="4"/>
        <v>1050</v>
      </c>
      <c r="X26" s="29">
        <f t="shared" si="4"/>
        <v>1050</v>
      </c>
      <c r="Y26" s="29">
        <f t="shared" si="4"/>
        <v>1050</v>
      </c>
      <c r="Z26" s="29">
        <f t="shared" si="4"/>
        <v>1050</v>
      </c>
      <c r="AA26" s="29">
        <f t="shared" si="4"/>
        <v>1050</v>
      </c>
      <c r="AB26" s="29">
        <f t="shared" si="4"/>
        <v>1050</v>
      </c>
      <c r="AC26" s="29">
        <f t="shared" si="4"/>
        <v>1050</v>
      </c>
      <c r="AD26" s="29">
        <f t="shared" si="4"/>
        <v>1050</v>
      </c>
      <c r="AE26" s="29">
        <f t="shared" si="4"/>
        <v>1050</v>
      </c>
      <c r="AF26" s="29">
        <f t="shared" si="4"/>
        <v>1050</v>
      </c>
    </row>
    <row r="27" spans="1:32">
      <c r="A27" s="29" t="s">
        <v>177</v>
      </c>
      <c r="B27" s="29">
        <f t="shared" si="5"/>
        <v>840</v>
      </c>
      <c r="C27" s="29">
        <f t="shared" si="4"/>
        <v>829.5</v>
      </c>
      <c r="D27" s="29">
        <f t="shared" si="4"/>
        <v>819</v>
      </c>
      <c r="E27" s="29">
        <f t="shared" si="4"/>
        <v>808.5</v>
      </c>
      <c r="F27" s="29">
        <f t="shared" si="4"/>
        <v>798</v>
      </c>
      <c r="G27" s="29">
        <f t="shared" si="4"/>
        <v>787.5</v>
      </c>
      <c r="H27" s="29">
        <f t="shared" si="4"/>
        <v>777</v>
      </c>
      <c r="I27" s="29">
        <f t="shared" si="4"/>
        <v>766.5</v>
      </c>
      <c r="J27" s="29">
        <f t="shared" si="4"/>
        <v>756</v>
      </c>
      <c r="K27" s="29">
        <f t="shared" si="4"/>
        <v>745.5</v>
      </c>
      <c r="L27" s="29">
        <f t="shared" si="4"/>
        <v>735</v>
      </c>
      <c r="M27" s="29">
        <f t="shared" si="4"/>
        <v>724.5</v>
      </c>
      <c r="N27" s="29">
        <f t="shared" si="4"/>
        <v>714</v>
      </c>
      <c r="O27" s="29">
        <f t="shared" si="4"/>
        <v>703.5</v>
      </c>
      <c r="P27" s="29">
        <f t="shared" si="4"/>
        <v>693</v>
      </c>
      <c r="Q27" s="29">
        <f t="shared" si="4"/>
        <v>682.5</v>
      </c>
      <c r="R27" s="29">
        <f t="shared" si="4"/>
        <v>672</v>
      </c>
      <c r="S27" s="29">
        <f t="shared" si="4"/>
        <v>661.5</v>
      </c>
      <c r="T27" s="29">
        <f t="shared" si="4"/>
        <v>651</v>
      </c>
      <c r="U27" s="29">
        <f t="shared" si="4"/>
        <v>640.5</v>
      </c>
      <c r="V27" s="29">
        <f t="shared" si="4"/>
        <v>630</v>
      </c>
      <c r="W27" s="29">
        <f t="shared" si="4"/>
        <v>630</v>
      </c>
      <c r="X27" s="29">
        <f t="shared" si="4"/>
        <v>630</v>
      </c>
      <c r="Y27" s="29">
        <f t="shared" si="4"/>
        <v>630</v>
      </c>
      <c r="Z27" s="29">
        <f t="shared" si="4"/>
        <v>630</v>
      </c>
      <c r="AA27" s="29">
        <f t="shared" si="4"/>
        <v>630</v>
      </c>
      <c r="AB27" s="29">
        <f t="shared" si="4"/>
        <v>630</v>
      </c>
      <c r="AC27" s="29">
        <f t="shared" si="4"/>
        <v>630</v>
      </c>
      <c r="AD27" s="29">
        <f t="shared" si="4"/>
        <v>630</v>
      </c>
      <c r="AE27" s="29">
        <f t="shared" si="4"/>
        <v>630</v>
      </c>
      <c r="AF27" s="29">
        <f t="shared" si="4"/>
        <v>630</v>
      </c>
    </row>
    <row r="28" spans="1:32">
      <c r="A28" s="29" t="s">
        <v>71</v>
      </c>
      <c r="B28" s="29">
        <f t="shared" si="5"/>
        <v>4200</v>
      </c>
      <c r="C28" s="29">
        <f t="shared" si="4"/>
        <v>4200</v>
      </c>
      <c r="D28" s="29">
        <f t="shared" si="4"/>
        <v>4200</v>
      </c>
      <c r="E28" s="29">
        <f t="shared" si="4"/>
        <v>4200</v>
      </c>
      <c r="F28" s="29">
        <f t="shared" si="4"/>
        <v>4200</v>
      </c>
      <c r="G28" s="29">
        <f t="shared" si="4"/>
        <v>4200</v>
      </c>
      <c r="H28" s="29">
        <f t="shared" si="4"/>
        <v>4200</v>
      </c>
      <c r="I28" s="29">
        <f t="shared" si="4"/>
        <v>4200</v>
      </c>
      <c r="J28" s="29">
        <f t="shared" si="4"/>
        <v>4200</v>
      </c>
      <c r="K28" s="29">
        <f t="shared" si="4"/>
        <v>4200</v>
      </c>
      <c r="L28" s="29">
        <f t="shared" si="4"/>
        <v>4200</v>
      </c>
      <c r="M28" s="29">
        <f t="shared" si="4"/>
        <v>4200</v>
      </c>
      <c r="N28" s="29">
        <f t="shared" si="4"/>
        <v>4200</v>
      </c>
      <c r="O28" s="29">
        <f t="shared" si="4"/>
        <v>4200</v>
      </c>
      <c r="P28" s="29">
        <f t="shared" si="4"/>
        <v>4200</v>
      </c>
      <c r="Q28" s="29">
        <f t="shared" si="4"/>
        <v>4200</v>
      </c>
      <c r="R28" s="29">
        <f t="shared" si="4"/>
        <v>4200</v>
      </c>
      <c r="S28" s="29">
        <f t="shared" si="4"/>
        <v>4200</v>
      </c>
      <c r="T28" s="29">
        <f t="shared" si="4"/>
        <v>4200</v>
      </c>
      <c r="U28" s="29">
        <f t="shared" si="4"/>
        <v>4200</v>
      </c>
      <c r="V28" s="29">
        <f t="shared" si="4"/>
        <v>4200</v>
      </c>
      <c r="W28" s="29">
        <f t="shared" si="4"/>
        <v>4200</v>
      </c>
      <c r="X28" s="29">
        <f t="shared" si="4"/>
        <v>4200</v>
      </c>
      <c r="Y28" s="29">
        <f t="shared" si="4"/>
        <v>4200</v>
      </c>
      <c r="Z28" s="29">
        <f t="shared" si="4"/>
        <v>4200</v>
      </c>
      <c r="AA28" s="29">
        <f t="shared" si="4"/>
        <v>4200</v>
      </c>
      <c r="AB28" s="29">
        <f t="shared" si="4"/>
        <v>4200</v>
      </c>
      <c r="AC28" s="29">
        <f t="shared" si="4"/>
        <v>4200</v>
      </c>
      <c r="AD28" s="29">
        <f t="shared" si="4"/>
        <v>4200</v>
      </c>
      <c r="AE28" s="29">
        <f t="shared" si="4"/>
        <v>4200</v>
      </c>
      <c r="AF28" s="29">
        <f t="shared" si="4"/>
        <v>4200</v>
      </c>
    </row>
    <row r="29" spans="1:32">
      <c r="A29" s="29" t="s">
        <v>72</v>
      </c>
      <c r="B29" s="29">
        <f t="shared" si="5"/>
        <v>2638.65</v>
      </c>
      <c r="C29" s="29">
        <f t="shared" si="4"/>
        <v>2638.65</v>
      </c>
      <c r="D29" s="29">
        <f t="shared" si="4"/>
        <v>2638.65</v>
      </c>
      <c r="E29" s="29">
        <f t="shared" si="4"/>
        <v>2638.65</v>
      </c>
      <c r="F29" s="29">
        <f t="shared" si="4"/>
        <v>2638.65</v>
      </c>
      <c r="G29" s="29">
        <f t="shared" si="4"/>
        <v>2638.65</v>
      </c>
      <c r="H29" s="29">
        <f t="shared" si="4"/>
        <v>2638.65</v>
      </c>
      <c r="I29" s="29">
        <f t="shared" si="4"/>
        <v>2638.65</v>
      </c>
      <c r="J29" s="29">
        <f t="shared" si="4"/>
        <v>2638.65</v>
      </c>
      <c r="K29" s="29">
        <f t="shared" si="4"/>
        <v>2638.65</v>
      </c>
      <c r="L29" s="29">
        <f t="shared" si="4"/>
        <v>2638.65</v>
      </c>
      <c r="M29" s="29">
        <f t="shared" si="4"/>
        <v>2638.65</v>
      </c>
      <c r="N29" s="29">
        <f t="shared" si="4"/>
        <v>2638.65</v>
      </c>
      <c r="O29" s="29">
        <f t="shared" si="4"/>
        <v>2638.65</v>
      </c>
      <c r="P29" s="29">
        <f t="shared" si="4"/>
        <v>2638.65</v>
      </c>
      <c r="Q29" s="29">
        <f t="shared" si="4"/>
        <v>2638.65</v>
      </c>
      <c r="R29" s="29">
        <f t="shared" si="4"/>
        <v>2638.65</v>
      </c>
      <c r="S29" s="29">
        <f t="shared" si="4"/>
        <v>2638.65</v>
      </c>
      <c r="T29" s="29">
        <f t="shared" si="4"/>
        <v>2638.65</v>
      </c>
      <c r="U29" s="29">
        <f t="shared" si="4"/>
        <v>2638.65</v>
      </c>
      <c r="V29" s="29">
        <f t="shared" si="4"/>
        <v>2638.65</v>
      </c>
      <c r="W29" s="29">
        <f t="shared" si="4"/>
        <v>2638.65</v>
      </c>
      <c r="X29" s="29">
        <f t="shared" si="4"/>
        <v>2638.65</v>
      </c>
      <c r="Y29" s="29">
        <f t="shared" si="4"/>
        <v>2638.65</v>
      </c>
      <c r="Z29" s="29">
        <f t="shared" si="4"/>
        <v>2638.65</v>
      </c>
      <c r="AA29" s="29">
        <f t="shared" si="4"/>
        <v>2638.65</v>
      </c>
      <c r="AB29" s="29">
        <f t="shared" si="4"/>
        <v>2638.65</v>
      </c>
      <c r="AC29" s="29">
        <f t="shared" si="4"/>
        <v>2638.65</v>
      </c>
      <c r="AD29" s="29">
        <f t="shared" si="4"/>
        <v>2638.65</v>
      </c>
      <c r="AE29" s="29">
        <f t="shared" si="4"/>
        <v>2638.65</v>
      </c>
      <c r="AF29" s="29">
        <f t="shared" si="4"/>
        <v>2638.65</v>
      </c>
    </row>
    <row r="30" spans="1:32">
      <c r="A30" s="29" t="s">
        <v>162</v>
      </c>
      <c r="B30" s="29">
        <f t="shared" si="5"/>
        <v>1297.8</v>
      </c>
      <c r="C30" s="29">
        <f t="shared" si="4"/>
        <v>1270.92</v>
      </c>
      <c r="D30" s="29">
        <f t="shared" si="4"/>
        <v>1244.04</v>
      </c>
      <c r="E30" s="29">
        <f t="shared" si="4"/>
        <v>1217.1600000000001</v>
      </c>
      <c r="F30" s="29">
        <f t="shared" si="4"/>
        <v>1190.28</v>
      </c>
      <c r="G30" s="29">
        <f t="shared" si="4"/>
        <v>1163.4000000000001</v>
      </c>
      <c r="H30" s="29">
        <f t="shared" si="4"/>
        <v>1136.5200000000002</v>
      </c>
      <c r="I30" s="29">
        <f t="shared" si="4"/>
        <v>1109.6400000000001</v>
      </c>
      <c r="J30" s="29">
        <f t="shared" si="4"/>
        <v>1082.76</v>
      </c>
      <c r="K30" s="29">
        <f t="shared" si="4"/>
        <v>1055.8800000000001</v>
      </c>
      <c r="L30" s="29">
        <f t="shared" si="4"/>
        <v>1029</v>
      </c>
      <c r="M30" s="29">
        <f t="shared" si="4"/>
        <v>1017.87</v>
      </c>
      <c r="N30" s="29">
        <f t="shared" si="4"/>
        <v>1006.74</v>
      </c>
      <c r="O30" s="29">
        <f t="shared" si="4"/>
        <v>995.61000000000013</v>
      </c>
      <c r="P30" s="29">
        <f t="shared" si="4"/>
        <v>984.48</v>
      </c>
      <c r="Q30" s="29">
        <f t="shared" si="4"/>
        <v>973.35</v>
      </c>
      <c r="R30" s="29">
        <f t="shared" si="4"/>
        <v>962.22</v>
      </c>
      <c r="S30" s="29">
        <f t="shared" si="4"/>
        <v>951.09</v>
      </c>
      <c r="T30" s="29">
        <f t="shared" si="4"/>
        <v>939.96</v>
      </c>
      <c r="U30" s="29">
        <f t="shared" si="4"/>
        <v>928.83</v>
      </c>
      <c r="V30" s="29">
        <f t="shared" si="4"/>
        <v>917.7</v>
      </c>
      <c r="W30" s="29">
        <f t="shared" si="4"/>
        <v>904.89</v>
      </c>
      <c r="X30" s="29">
        <f t="shared" si="4"/>
        <v>892.08</v>
      </c>
      <c r="Y30" s="29">
        <f t="shared" si="4"/>
        <v>879.27</v>
      </c>
      <c r="Z30" s="29">
        <f t="shared" si="4"/>
        <v>866.46</v>
      </c>
      <c r="AA30" s="29">
        <f t="shared" si="4"/>
        <v>853.65000000000009</v>
      </c>
      <c r="AB30" s="29">
        <f t="shared" si="4"/>
        <v>840.84</v>
      </c>
      <c r="AC30" s="29">
        <f t="shared" si="4"/>
        <v>828.03000000000009</v>
      </c>
      <c r="AD30" s="29">
        <f t="shared" si="4"/>
        <v>815.22</v>
      </c>
      <c r="AE30" s="29">
        <f t="shared" si="4"/>
        <v>802.41000000000008</v>
      </c>
      <c r="AF30" s="29">
        <f t="shared" si="4"/>
        <v>789.6</v>
      </c>
    </row>
    <row r="31" spans="1:32">
      <c r="A31" s="29" t="s">
        <v>182</v>
      </c>
      <c r="B31" s="29">
        <f t="shared" si="5"/>
        <v>6888</v>
      </c>
      <c r="C31" s="29">
        <f t="shared" si="4"/>
        <v>6776.3850000000002</v>
      </c>
      <c r="D31" s="29">
        <f t="shared" si="4"/>
        <v>6664.7699999999995</v>
      </c>
      <c r="E31" s="29">
        <f t="shared" si="4"/>
        <v>6553.1550000000007</v>
      </c>
      <c r="F31" s="29">
        <f t="shared" si="4"/>
        <v>6441.5400000000009</v>
      </c>
      <c r="G31" s="29">
        <f t="shared" si="4"/>
        <v>6329.9250000000002</v>
      </c>
      <c r="H31" s="29">
        <f t="shared" si="4"/>
        <v>6218.31</v>
      </c>
      <c r="I31" s="29">
        <f t="shared" si="4"/>
        <v>6106.6949999999997</v>
      </c>
      <c r="J31" s="29">
        <f t="shared" si="4"/>
        <v>5995.0800000000008</v>
      </c>
      <c r="K31" s="29">
        <f t="shared" si="4"/>
        <v>5883.4650000000001</v>
      </c>
      <c r="L31" s="29">
        <f t="shared" si="4"/>
        <v>5771.85</v>
      </c>
      <c r="M31" s="29">
        <f t="shared" si="4"/>
        <v>5696.880000000001</v>
      </c>
      <c r="N31" s="29">
        <f t="shared" si="4"/>
        <v>5621.91</v>
      </c>
      <c r="O31" s="29">
        <f t="shared" si="4"/>
        <v>5546.9400000000005</v>
      </c>
      <c r="P31" s="29">
        <f t="shared" si="4"/>
        <v>5471.97</v>
      </c>
      <c r="Q31" s="29">
        <f t="shared" si="4"/>
        <v>5397</v>
      </c>
      <c r="R31" s="29">
        <f t="shared" si="4"/>
        <v>5322.0300000000007</v>
      </c>
      <c r="S31" s="29">
        <f t="shared" si="4"/>
        <v>5247.06</v>
      </c>
      <c r="T31" s="29">
        <f t="shared" si="4"/>
        <v>5172.09</v>
      </c>
      <c r="U31" s="29">
        <f t="shared" si="4"/>
        <v>5097.12</v>
      </c>
      <c r="V31" s="29">
        <f t="shared" si="4"/>
        <v>5022.1500000000005</v>
      </c>
      <c r="W31" s="29">
        <f t="shared" si="4"/>
        <v>4950.4350000000004</v>
      </c>
      <c r="X31" s="29">
        <f t="shared" si="4"/>
        <v>4878.72</v>
      </c>
      <c r="Y31" s="29">
        <f t="shared" si="4"/>
        <v>4807.005000000001</v>
      </c>
      <c r="Z31" s="29">
        <f t="shared" si="4"/>
        <v>4735.29</v>
      </c>
      <c r="AA31" s="29">
        <f t="shared" si="4"/>
        <v>4663.5749999999998</v>
      </c>
      <c r="AB31" s="29">
        <f t="shared" si="4"/>
        <v>4591.8599999999997</v>
      </c>
      <c r="AC31" s="29">
        <f t="shared" si="4"/>
        <v>4520.1449999999995</v>
      </c>
      <c r="AD31" s="29">
        <f t="shared" si="4"/>
        <v>4448.43</v>
      </c>
      <c r="AE31" s="29">
        <f t="shared" si="4"/>
        <v>4376.7150000000001</v>
      </c>
      <c r="AF31" s="29">
        <f t="shared" si="4"/>
        <v>4305</v>
      </c>
    </row>
    <row r="32" spans="1:32">
      <c r="A32" s="29" t="s">
        <v>22</v>
      </c>
      <c r="B32" s="29">
        <f t="shared" si="5"/>
        <v>988.05000000000007</v>
      </c>
      <c r="C32" s="29">
        <f t="shared" si="4"/>
        <v>961.48500000000013</v>
      </c>
      <c r="D32" s="29">
        <f t="shared" si="4"/>
        <v>934.92</v>
      </c>
      <c r="E32" s="29">
        <f t="shared" si="4"/>
        <v>908.35500000000002</v>
      </c>
      <c r="F32" s="29">
        <f t="shared" si="4"/>
        <v>881.79</v>
      </c>
      <c r="G32" s="29">
        <f t="shared" si="4"/>
        <v>855.22500000000002</v>
      </c>
      <c r="H32" s="29">
        <f t="shared" si="4"/>
        <v>828.66000000000008</v>
      </c>
      <c r="I32" s="29">
        <f t="shared" si="4"/>
        <v>802.09500000000003</v>
      </c>
      <c r="J32" s="29">
        <f t="shared" si="4"/>
        <v>775.53000000000009</v>
      </c>
      <c r="K32" s="29">
        <f t="shared" si="4"/>
        <v>748.96500000000003</v>
      </c>
      <c r="L32" s="29">
        <f t="shared" si="4"/>
        <v>722.4</v>
      </c>
      <c r="M32" s="29">
        <f t="shared" si="4"/>
        <v>727.65</v>
      </c>
      <c r="N32" s="29">
        <f t="shared" si="4"/>
        <v>732.9</v>
      </c>
      <c r="O32" s="29">
        <f t="shared" si="4"/>
        <v>738.15</v>
      </c>
      <c r="P32" s="29">
        <f t="shared" si="4"/>
        <v>743.4</v>
      </c>
      <c r="Q32" s="29">
        <f t="shared" si="4"/>
        <v>748.65</v>
      </c>
      <c r="R32" s="29">
        <f t="shared" si="4"/>
        <v>753.9</v>
      </c>
      <c r="S32" s="29">
        <f t="shared" si="4"/>
        <v>759.15</v>
      </c>
      <c r="T32" s="29">
        <f t="shared" si="4"/>
        <v>764.4</v>
      </c>
      <c r="U32" s="29">
        <f t="shared" si="4"/>
        <v>769.65</v>
      </c>
      <c r="V32" s="29">
        <f t="shared" si="4"/>
        <v>774.9</v>
      </c>
      <c r="W32" s="29">
        <f t="shared" si="4"/>
        <v>751.17</v>
      </c>
      <c r="X32" s="29">
        <f t="shared" si="4"/>
        <v>727.43999999999994</v>
      </c>
      <c r="Y32" s="29">
        <f t="shared" si="4"/>
        <v>703.71</v>
      </c>
      <c r="Z32" s="29">
        <f t="shared" si="4"/>
        <v>679.98</v>
      </c>
      <c r="AA32" s="29">
        <f t="shared" si="4"/>
        <v>656.25</v>
      </c>
      <c r="AB32" s="29">
        <f t="shared" si="4"/>
        <v>632.52</v>
      </c>
      <c r="AC32" s="29">
        <f t="shared" si="4"/>
        <v>608.79</v>
      </c>
      <c r="AD32" s="29">
        <f t="shared" si="4"/>
        <v>585.06000000000006</v>
      </c>
      <c r="AE32" s="29">
        <f t="shared" si="4"/>
        <v>561.33000000000004</v>
      </c>
      <c r="AF32" s="29">
        <f t="shared" si="4"/>
        <v>537.6</v>
      </c>
    </row>
    <row r="33" spans="1:32">
      <c r="A33" s="29" t="s">
        <v>185</v>
      </c>
      <c r="B33" s="29">
        <f t="shared" si="5"/>
        <v>6357.75</v>
      </c>
      <c r="C33" s="29">
        <f t="shared" ref="C33:AF39" si="6">C12*$B$20</f>
        <v>6250.755000000001</v>
      </c>
      <c r="D33" s="29">
        <f t="shared" si="6"/>
        <v>6143.76</v>
      </c>
      <c r="E33" s="29">
        <f t="shared" si="6"/>
        <v>6036.7650000000003</v>
      </c>
      <c r="F33" s="29">
        <f t="shared" si="6"/>
        <v>5929.7699999999995</v>
      </c>
      <c r="G33" s="29">
        <f t="shared" si="6"/>
        <v>5822.7750000000005</v>
      </c>
      <c r="H33" s="29">
        <f t="shared" si="6"/>
        <v>5715.7800000000007</v>
      </c>
      <c r="I33" s="29">
        <f t="shared" si="6"/>
        <v>5608.7849999999999</v>
      </c>
      <c r="J33" s="29">
        <f t="shared" si="6"/>
        <v>5501.7900000000009</v>
      </c>
      <c r="K33" s="29">
        <f t="shared" si="6"/>
        <v>5394.7950000000001</v>
      </c>
      <c r="L33" s="29">
        <f t="shared" si="6"/>
        <v>5287.8</v>
      </c>
      <c r="M33" s="29">
        <f t="shared" si="6"/>
        <v>5244.12</v>
      </c>
      <c r="N33" s="29">
        <f t="shared" si="6"/>
        <v>5200.4400000000005</v>
      </c>
      <c r="O33" s="29">
        <f t="shared" si="6"/>
        <v>5156.76</v>
      </c>
      <c r="P33" s="29">
        <f t="shared" si="6"/>
        <v>5113.0800000000008</v>
      </c>
      <c r="Q33" s="29">
        <f t="shared" si="6"/>
        <v>5069.4000000000005</v>
      </c>
      <c r="R33" s="29">
        <f t="shared" si="6"/>
        <v>5025.72</v>
      </c>
      <c r="S33" s="29">
        <f t="shared" si="6"/>
        <v>4982.04</v>
      </c>
      <c r="T33" s="29">
        <f t="shared" si="6"/>
        <v>4938.3599999999997</v>
      </c>
      <c r="U33" s="29">
        <f t="shared" si="6"/>
        <v>4894.68</v>
      </c>
      <c r="V33" s="29">
        <f t="shared" si="6"/>
        <v>4851</v>
      </c>
      <c r="W33" s="29">
        <f t="shared" si="6"/>
        <v>4830.21</v>
      </c>
      <c r="X33" s="29">
        <f t="shared" si="6"/>
        <v>4809.42</v>
      </c>
      <c r="Y33" s="29">
        <f t="shared" si="6"/>
        <v>4788.630000000001</v>
      </c>
      <c r="Z33" s="29">
        <f t="shared" si="6"/>
        <v>4767.84</v>
      </c>
      <c r="AA33" s="29">
        <f t="shared" si="6"/>
        <v>4747.05</v>
      </c>
      <c r="AB33" s="29">
        <f t="shared" si="6"/>
        <v>4726.26</v>
      </c>
      <c r="AC33" s="29">
        <f t="shared" si="6"/>
        <v>4705.47</v>
      </c>
      <c r="AD33" s="29">
        <f t="shared" si="6"/>
        <v>4684.68</v>
      </c>
      <c r="AE33" s="29">
        <f t="shared" si="6"/>
        <v>4663.8900000000003</v>
      </c>
      <c r="AF33" s="29">
        <f t="shared" si="6"/>
        <v>4643.1000000000004</v>
      </c>
    </row>
    <row r="34" spans="1:32">
      <c r="A34" s="29" t="s">
        <v>23</v>
      </c>
      <c r="B34" s="29">
        <f t="shared" si="5"/>
        <v>5565</v>
      </c>
      <c r="C34" s="29">
        <f t="shared" si="6"/>
        <v>5565</v>
      </c>
      <c r="D34" s="29">
        <f t="shared" si="6"/>
        <v>5565</v>
      </c>
      <c r="E34" s="29">
        <f t="shared" si="6"/>
        <v>5565</v>
      </c>
      <c r="F34" s="29">
        <f t="shared" si="6"/>
        <v>5565</v>
      </c>
      <c r="G34" s="29">
        <f t="shared" si="6"/>
        <v>5565</v>
      </c>
      <c r="H34" s="29">
        <f t="shared" si="6"/>
        <v>5565</v>
      </c>
      <c r="I34" s="29">
        <f t="shared" si="6"/>
        <v>5565</v>
      </c>
      <c r="J34" s="29">
        <f t="shared" si="6"/>
        <v>5565</v>
      </c>
      <c r="K34" s="29">
        <f t="shared" si="6"/>
        <v>5565</v>
      </c>
      <c r="L34" s="29">
        <f t="shared" si="6"/>
        <v>5565</v>
      </c>
      <c r="M34" s="29">
        <f t="shared" si="6"/>
        <v>5565</v>
      </c>
      <c r="N34" s="29">
        <f t="shared" si="6"/>
        <v>5565</v>
      </c>
      <c r="O34" s="29">
        <f t="shared" si="6"/>
        <v>5565</v>
      </c>
      <c r="P34" s="29">
        <f t="shared" si="6"/>
        <v>5565</v>
      </c>
      <c r="Q34" s="29">
        <f t="shared" si="6"/>
        <v>5565</v>
      </c>
      <c r="R34" s="29">
        <f t="shared" si="6"/>
        <v>5565</v>
      </c>
      <c r="S34" s="29">
        <f t="shared" si="6"/>
        <v>5565</v>
      </c>
      <c r="T34" s="29">
        <f t="shared" si="6"/>
        <v>5565</v>
      </c>
      <c r="U34" s="29">
        <f t="shared" si="6"/>
        <v>5565</v>
      </c>
      <c r="V34" s="29">
        <f t="shared" si="6"/>
        <v>5565</v>
      </c>
      <c r="W34" s="29">
        <f t="shared" si="6"/>
        <v>5565</v>
      </c>
      <c r="X34" s="29">
        <f t="shared" si="6"/>
        <v>5565</v>
      </c>
      <c r="Y34" s="29">
        <f t="shared" si="6"/>
        <v>5565</v>
      </c>
      <c r="Z34" s="29">
        <f t="shared" si="6"/>
        <v>5565</v>
      </c>
      <c r="AA34" s="29">
        <f t="shared" si="6"/>
        <v>5565</v>
      </c>
      <c r="AB34" s="29">
        <f t="shared" si="6"/>
        <v>5565</v>
      </c>
      <c r="AC34" s="29">
        <f t="shared" si="6"/>
        <v>5565</v>
      </c>
      <c r="AD34" s="29">
        <f t="shared" si="6"/>
        <v>5565</v>
      </c>
      <c r="AE34" s="29">
        <f t="shared" si="6"/>
        <v>5565</v>
      </c>
      <c r="AF34" s="29">
        <f t="shared" si="6"/>
        <v>5565</v>
      </c>
    </row>
    <row r="35" spans="1:32">
      <c r="A35" s="29" t="s">
        <v>21</v>
      </c>
      <c r="B35" s="89">
        <f>Cal!B9</f>
        <v>14191</v>
      </c>
      <c r="C35" s="89">
        <f>B35</f>
        <v>14191</v>
      </c>
      <c r="D35" s="89">
        <f t="shared" ref="D35:AF35" si="7">C35</f>
        <v>14191</v>
      </c>
      <c r="E35" s="89">
        <f t="shared" si="7"/>
        <v>14191</v>
      </c>
      <c r="F35" s="89">
        <f t="shared" si="7"/>
        <v>14191</v>
      </c>
      <c r="G35" s="89">
        <f t="shared" si="7"/>
        <v>14191</v>
      </c>
      <c r="H35" s="89">
        <f t="shared" si="7"/>
        <v>14191</v>
      </c>
      <c r="I35" s="89">
        <f t="shared" si="7"/>
        <v>14191</v>
      </c>
      <c r="J35" s="89">
        <f t="shared" si="7"/>
        <v>14191</v>
      </c>
      <c r="K35" s="89">
        <f t="shared" si="7"/>
        <v>14191</v>
      </c>
      <c r="L35" s="89">
        <f t="shared" si="7"/>
        <v>14191</v>
      </c>
      <c r="M35" s="89">
        <f t="shared" si="7"/>
        <v>14191</v>
      </c>
      <c r="N35" s="89">
        <f t="shared" si="7"/>
        <v>14191</v>
      </c>
      <c r="O35" s="89">
        <f t="shared" si="7"/>
        <v>14191</v>
      </c>
      <c r="P35" s="89">
        <f t="shared" si="7"/>
        <v>14191</v>
      </c>
      <c r="Q35" s="89">
        <f t="shared" si="7"/>
        <v>14191</v>
      </c>
      <c r="R35" s="89">
        <f t="shared" si="7"/>
        <v>14191</v>
      </c>
      <c r="S35" s="89">
        <f t="shared" si="7"/>
        <v>14191</v>
      </c>
      <c r="T35" s="89">
        <f t="shared" si="7"/>
        <v>14191</v>
      </c>
      <c r="U35" s="89">
        <f t="shared" si="7"/>
        <v>14191</v>
      </c>
      <c r="V35" s="89">
        <f t="shared" si="7"/>
        <v>14191</v>
      </c>
      <c r="W35" s="89">
        <f t="shared" si="7"/>
        <v>14191</v>
      </c>
      <c r="X35" s="89">
        <f t="shared" si="7"/>
        <v>14191</v>
      </c>
      <c r="Y35" s="89">
        <f t="shared" si="7"/>
        <v>14191</v>
      </c>
      <c r="Z35" s="89">
        <f t="shared" si="7"/>
        <v>14191</v>
      </c>
      <c r="AA35" s="89">
        <f t="shared" si="7"/>
        <v>14191</v>
      </c>
      <c r="AB35" s="89">
        <f t="shared" si="7"/>
        <v>14191</v>
      </c>
      <c r="AC35" s="89">
        <f t="shared" si="7"/>
        <v>14191</v>
      </c>
      <c r="AD35" s="89">
        <f t="shared" si="7"/>
        <v>14191</v>
      </c>
      <c r="AE35" s="89">
        <f t="shared" si="7"/>
        <v>14191</v>
      </c>
      <c r="AF35" s="89">
        <f t="shared" si="7"/>
        <v>14191</v>
      </c>
    </row>
    <row r="36" spans="1:32">
      <c r="A36" s="29" t="s">
        <v>75</v>
      </c>
      <c r="B36" s="29">
        <f t="shared" si="5"/>
        <v>945</v>
      </c>
      <c r="C36" s="29">
        <f t="shared" si="6"/>
        <v>945</v>
      </c>
      <c r="D36" s="29">
        <f t="shared" si="6"/>
        <v>945</v>
      </c>
      <c r="E36" s="29">
        <f t="shared" si="6"/>
        <v>945</v>
      </c>
      <c r="F36" s="29">
        <f t="shared" si="6"/>
        <v>945</v>
      </c>
      <c r="G36" s="29">
        <f t="shared" si="6"/>
        <v>945</v>
      </c>
      <c r="H36" s="29">
        <f t="shared" si="6"/>
        <v>945</v>
      </c>
      <c r="I36" s="29">
        <f t="shared" si="6"/>
        <v>945</v>
      </c>
      <c r="J36" s="29">
        <f t="shared" si="6"/>
        <v>945</v>
      </c>
      <c r="K36" s="29">
        <f t="shared" si="6"/>
        <v>945</v>
      </c>
      <c r="L36" s="29">
        <f t="shared" si="6"/>
        <v>945</v>
      </c>
      <c r="M36" s="29">
        <f t="shared" si="6"/>
        <v>945</v>
      </c>
      <c r="N36" s="29">
        <f t="shared" si="6"/>
        <v>945</v>
      </c>
      <c r="O36" s="29">
        <f t="shared" si="6"/>
        <v>945</v>
      </c>
      <c r="P36" s="29">
        <f t="shared" si="6"/>
        <v>945</v>
      </c>
      <c r="Q36" s="29">
        <f t="shared" si="6"/>
        <v>945</v>
      </c>
      <c r="R36" s="29">
        <f t="shared" si="6"/>
        <v>945</v>
      </c>
      <c r="S36" s="29">
        <f t="shared" si="6"/>
        <v>945</v>
      </c>
      <c r="T36" s="29">
        <f t="shared" si="6"/>
        <v>945</v>
      </c>
      <c r="U36" s="29">
        <f t="shared" si="6"/>
        <v>945</v>
      </c>
      <c r="V36" s="29">
        <f t="shared" si="6"/>
        <v>945</v>
      </c>
      <c r="W36" s="29">
        <f t="shared" si="6"/>
        <v>945</v>
      </c>
      <c r="X36" s="29">
        <f t="shared" si="6"/>
        <v>945</v>
      </c>
      <c r="Y36" s="29">
        <f t="shared" si="6"/>
        <v>945</v>
      </c>
      <c r="Z36" s="29">
        <f t="shared" si="6"/>
        <v>945</v>
      </c>
      <c r="AA36" s="29">
        <f t="shared" si="6"/>
        <v>945</v>
      </c>
      <c r="AB36" s="29">
        <f t="shared" si="6"/>
        <v>945</v>
      </c>
      <c r="AC36" s="29">
        <f t="shared" si="6"/>
        <v>945</v>
      </c>
      <c r="AD36" s="29">
        <f t="shared" si="6"/>
        <v>945</v>
      </c>
      <c r="AE36" s="29">
        <f t="shared" si="6"/>
        <v>945</v>
      </c>
      <c r="AF36" s="29">
        <f t="shared" si="6"/>
        <v>945</v>
      </c>
    </row>
    <row r="37" spans="1:32">
      <c r="A37" s="29" t="s">
        <v>191</v>
      </c>
      <c r="B37" s="29">
        <f t="shared" si="5"/>
        <v>1470</v>
      </c>
      <c r="C37" s="29">
        <f t="shared" si="6"/>
        <v>1470</v>
      </c>
      <c r="D37" s="29">
        <f t="shared" si="6"/>
        <v>1470</v>
      </c>
      <c r="E37" s="29">
        <f t="shared" si="6"/>
        <v>1470</v>
      </c>
      <c r="F37" s="29">
        <f t="shared" si="6"/>
        <v>1470</v>
      </c>
      <c r="G37" s="29">
        <f t="shared" si="6"/>
        <v>1470</v>
      </c>
      <c r="H37" s="29">
        <f t="shared" si="6"/>
        <v>1470</v>
      </c>
      <c r="I37" s="29">
        <f t="shared" si="6"/>
        <v>1470</v>
      </c>
      <c r="J37" s="29">
        <f t="shared" si="6"/>
        <v>1470</v>
      </c>
      <c r="K37" s="29">
        <f t="shared" si="6"/>
        <v>1470</v>
      </c>
      <c r="L37" s="29">
        <f t="shared" si="6"/>
        <v>1470</v>
      </c>
      <c r="M37" s="29">
        <f t="shared" si="6"/>
        <v>1470</v>
      </c>
      <c r="N37" s="29">
        <f t="shared" si="6"/>
        <v>1470</v>
      </c>
      <c r="O37" s="29">
        <f t="shared" si="6"/>
        <v>1470</v>
      </c>
      <c r="P37" s="29">
        <f t="shared" si="6"/>
        <v>1470</v>
      </c>
      <c r="Q37" s="29">
        <f t="shared" si="6"/>
        <v>1470</v>
      </c>
      <c r="R37" s="29">
        <f t="shared" si="6"/>
        <v>1470</v>
      </c>
      <c r="S37" s="29">
        <f t="shared" si="6"/>
        <v>1470</v>
      </c>
      <c r="T37" s="29">
        <f t="shared" si="6"/>
        <v>1470</v>
      </c>
      <c r="U37" s="29">
        <f t="shared" si="6"/>
        <v>1470</v>
      </c>
      <c r="V37" s="29">
        <f t="shared" si="6"/>
        <v>1470</v>
      </c>
      <c r="W37" s="29">
        <f t="shared" si="6"/>
        <v>1470</v>
      </c>
      <c r="X37" s="29">
        <f t="shared" si="6"/>
        <v>1470</v>
      </c>
      <c r="Y37" s="29">
        <f t="shared" si="6"/>
        <v>1470</v>
      </c>
      <c r="Z37" s="29">
        <f t="shared" si="6"/>
        <v>1470</v>
      </c>
      <c r="AA37" s="29">
        <f t="shared" si="6"/>
        <v>1470</v>
      </c>
      <c r="AB37" s="29">
        <f t="shared" si="6"/>
        <v>1470</v>
      </c>
      <c r="AC37" s="29">
        <f t="shared" si="6"/>
        <v>1470</v>
      </c>
      <c r="AD37" s="29">
        <f t="shared" si="6"/>
        <v>1470</v>
      </c>
      <c r="AE37" s="29">
        <f t="shared" si="6"/>
        <v>1470</v>
      </c>
      <c r="AF37" s="29">
        <f t="shared" si="6"/>
        <v>1470</v>
      </c>
    </row>
    <row r="38" spans="1:32">
      <c r="A38" s="29" t="s">
        <v>193</v>
      </c>
      <c r="B38" s="29">
        <f t="shared" si="5"/>
        <v>1470</v>
      </c>
      <c r="C38" s="29">
        <f t="shared" si="6"/>
        <v>1470</v>
      </c>
      <c r="D38" s="29">
        <f t="shared" si="6"/>
        <v>1470</v>
      </c>
      <c r="E38" s="29">
        <f t="shared" si="6"/>
        <v>1470</v>
      </c>
      <c r="F38" s="29">
        <f t="shared" si="6"/>
        <v>1470</v>
      </c>
      <c r="G38" s="29">
        <f t="shared" si="6"/>
        <v>1470</v>
      </c>
      <c r="H38" s="29">
        <f t="shared" si="6"/>
        <v>1470</v>
      </c>
      <c r="I38" s="29">
        <f t="shared" si="6"/>
        <v>1470</v>
      </c>
      <c r="J38" s="29">
        <f t="shared" si="6"/>
        <v>1470</v>
      </c>
      <c r="K38" s="29">
        <f t="shared" si="6"/>
        <v>1470</v>
      </c>
      <c r="L38" s="29">
        <f t="shared" si="6"/>
        <v>1470</v>
      </c>
      <c r="M38" s="29">
        <f t="shared" si="6"/>
        <v>1470</v>
      </c>
      <c r="N38" s="29">
        <f t="shared" si="6"/>
        <v>1470</v>
      </c>
      <c r="O38" s="29">
        <f t="shared" si="6"/>
        <v>1470</v>
      </c>
      <c r="P38" s="29">
        <f t="shared" si="6"/>
        <v>1470</v>
      </c>
      <c r="Q38" s="29">
        <f t="shared" si="6"/>
        <v>1470</v>
      </c>
      <c r="R38" s="29">
        <f t="shared" si="6"/>
        <v>1470</v>
      </c>
      <c r="S38" s="29">
        <f t="shared" si="6"/>
        <v>1470</v>
      </c>
      <c r="T38" s="29">
        <f t="shared" si="6"/>
        <v>1470</v>
      </c>
      <c r="U38" s="29">
        <f t="shared" si="6"/>
        <v>1470</v>
      </c>
      <c r="V38" s="29">
        <f t="shared" si="6"/>
        <v>1470</v>
      </c>
      <c r="W38" s="29">
        <f t="shared" si="6"/>
        <v>1470</v>
      </c>
      <c r="X38" s="29">
        <f t="shared" si="6"/>
        <v>1470</v>
      </c>
      <c r="Y38" s="29">
        <f t="shared" si="6"/>
        <v>1470</v>
      </c>
      <c r="Z38" s="29">
        <f t="shared" si="6"/>
        <v>1470</v>
      </c>
      <c r="AA38" s="29">
        <f t="shared" si="6"/>
        <v>1470</v>
      </c>
      <c r="AB38" s="29">
        <f t="shared" si="6"/>
        <v>1470</v>
      </c>
      <c r="AC38" s="29">
        <f t="shared" si="6"/>
        <v>1470</v>
      </c>
      <c r="AD38" s="29">
        <f t="shared" si="6"/>
        <v>1470</v>
      </c>
      <c r="AE38" s="29">
        <f t="shared" si="6"/>
        <v>1470</v>
      </c>
      <c r="AF38" s="29">
        <f t="shared" si="6"/>
        <v>1470</v>
      </c>
    </row>
    <row r="39" spans="1:32">
      <c r="A39" s="29" t="s">
        <v>195</v>
      </c>
      <c r="B39" s="29">
        <f t="shared" si="5"/>
        <v>4898.25</v>
      </c>
      <c r="C39" s="29">
        <f t="shared" si="6"/>
        <v>4898.25</v>
      </c>
      <c r="D39" s="29">
        <f t="shared" si="6"/>
        <v>4898.25</v>
      </c>
      <c r="E39" s="29">
        <f t="shared" si="6"/>
        <v>4898.25</v>
      </c>
      <c r="F39" s="29">
        <f t="shared" si="6"/>
        <v>4898.25</v>
      </c>
      <c r="G39" s="29">
        <f t="shared" si="6"/>
        <v>4898.25</v>
      </c>
      <c r="H39" s="29">
        <f t="shared" si="6"/>
        <v>4898.25</v>
      </c>
      <c r="I39" s="29">
        <f t="shared" si="6"/>
        <v>4898.25</v>
      </c>
      <c r="J39" s="29">
        <f t="shared" si="6"/>
        <v>4898.25</v>
      </c>
      <c r="K39" s="29">
        <f t="shared" si="6"/>
        <v>4898.25</v>
      </c>
      <c r="L39" s="29">
        <f t="shared" si="6"/>
        <v>4898.25</v>
      </c>
      <c r="M39" s="29">
        <f t="shared" si="6"/>
        <v>4898.25</v>
      </c>
      <c r="N39" s="29">
        <f t="shared" si="6"/>
        <v>4898.25</v>
      </c>
      <c r="O39" s="29">
        <f t="shared" si="6"/>
        <v>4898.25</v>
      </c>
      <c r="P39" s="29">
        <f t="shared" si="6"/>
        <v>4898.25</v>
      </c>
      <c r="Q39" s="29">
        <f t="shared" si="6"/>
        <v>4898.25</v>
      </c>
      <c r="R39" s="29">
        <f t="shared" si="6"/>
        <v>4898.25</v>
      </c>
      <c r="S39" s="29">
        <f t="shared" si="6"/>
        <v>4898.25</v>
      </c>
      <c r="T39" s="29">
        <f t="shared" si="6"/>
        <v>4898.25</v>
      </c>
      <c r="U39" s="29">
        <f t="shared" si="6"/>
        <v>4898.25</v>
      </c>
      <c r="V39" s="29">
        <f t="shared" si="6"/>
        <v>4898.25</v>
      </c>
      <c r="W39" s="29">
        <f t="shared" si="6"/>
        <v>4898.25</v>
      </c>
      <c r="X39" s="29">
        <f t="shared" si="6"/>
        <v>4898.25</v>
      </c>
      <c r="Y39" s="29">
        <f t="shared" si="6"/>
        <v>4898.25</v>
      </c>
      <c r="Z39" s="29">
        <f t="shared" si="6"/>
        <v>4898.25</v>
      </c>
      <c r="AA39" s="29">
        <f t="shared" si="6"/>
        <v>4898.25</v>
      </c>
      <c r="AB39" s="29">
        <f t="shared" si="6"/>
        <v>4898.25</v>
      </c>
      <c r="AC39" s="29">
        <f t="shared" si="6"/>
        <v>4898.25</v>
      </c>
      <c r="AD39" s="29">
        <f t="shared" si="6"/>
        <v>4898.25</v>
      </c>
      <c r="AE39" s="29">
        <f t="shared" si="6"/>
        <v>4898.25</v>
      </c>
      <c r="AF39" s="29">
        <f t="shared" si="6"/>
        <v>4898.25</v>
      </c>
    </row>
    <row r="42" spans="1:32">
      <c r="A42" s="90" t="s">
        <v>202</v>
      </c>
    </row>
    <row r="43" spans="1:32" s="25" customFormat="1">
      <c r="A43" s="25" t="s">
        <v>197</v>
      </c>
      <c r="B43" s="25">
        <v>2020</v>
      </c>
      <c r="C43" s="25">
        <v>2021</v>
      </c>
      <c r="D43" s="25">
        <v>2022</v>
      </c>
      <c r="E43" s="25">
        <v>2023</v>
      </c>
      <c r="F43" s="25">
        <v>2024</v>
      </c>
      <c r="G43" s="25">
        <v>2025</v>
      </c>
      <c r="H43" s="25">
        <v>2026</v>
      </c>
      <c r="I43" s="25">
        <v>2027</v>
      </c>
      <c r="J43" s="25">
        <v>2028</v>
      </c>
      <c r="K43" s="25">
        <v>2029</v>
      </c>
      <c r="L43" s="25">
        <v>2030</v>
      </c>
      <c r="M43" s="25">
        <v>2031</v>
      </c>
      <c r="N43" s="25">
        <v>2032</v>
      </c>
      <c r="O43" s="25">
        <v>2033</v>
      </c>
      <c r="P43" s="25">
        <v>2034</v>
      </c>
      <c r="Q43" s="25">
        <v>2035</v>
      </c>
      <c r="R43" s="25">
        <v>2036</v>
      </c>
      <c r="S43" s="25">
        <v>2037</v>
      </c>
      <c r="T43" s="25">
        <v>2038</v>
      </c>
      <c r="U43" s="25">
        <v>2039</v>
      </c>
      <c r="V43" s="25">
        <v>2040</v>
      </c>
      <c r="W43" s="25">
        <v>2041</v>
      </c>
      <c r="X43" s="25">
        <v>2042</v>
      </c>
      <c r="Y43" s="25">
        <v>2043</v>
      </c>
      <c r="Z43" s="25">
        <v>2044</v>
      </c>
      <c r="AA43" s="25">
        <v>2045</v>
      </c>
      <c r="AB43" s="25">
        <v>2046</v>
      </c>
      <c r="AC43" s="25">
        <v>2047</v>
      </c>
      <c r="AD43" s="25">
        <v>2048</v>
      </c>
      <c r="AE43" s="25">
        <v>2049</v>
      </c>
      <c r="AF43" s="25">
        <v>2050</v>
      </c>
    </row>
    <row r="44" spans="1:32">
      <c r="A44" s="60" t="s">
        <v>48</v>
      </c>
      <c r="B44" s="29">
        <f>B24</f>
        <v>3150</v>
      </c>
      <c r="C44" s="29">
        <f t="shared" ref="C44:AF44" si="8">C24</f>
        <v>3118.5</v>
      </c>
      <c r="D44" s="29">
        <f t="shared" si="8"/>
        <v>3087</v>
      </c>
      <c r="E44" s="29">
        <f t="shared" si="8"/>
        <v>3055.5</v>
      </c>
      <c r="F44" s="29">
        <f t="shared" si="8"/>
        <v>3024</v>
      </c>
      <c r="G44" s="29">
        <f t="shared" si="8"/>
        <v>2992.5</v>
      </c>
      <c r="H44" s="29">
        <f t="shared" si="8"/>
        <v>2961</v>
      </c>
      <c r="I44" s="29">
        <f t="shared" si="8"/>
        <v>2929.5</v>
      </c>
      <c r="J44" s="29">
        <f t="shared" si="8"/>
        <v>2898</v>
      </c>
      <c r="K44" s="29">
        <f t="shared" si="8"/>
        <v>2866.5</v>
      </c>
      <c r="L44" s="29">
        <f t="shared" si="8"/>
        <v>2835</v>
      </c>
      <c r="M44" s="29">
        <f t="shared" si="8"/>
        <v>2787.75</v>
      </c>
      <c r="N44" s="29">
        <f t="shared" si="8"/>
        <v>2740.5</v>
      </c>
      <c r="O44" s="29">
        <f t="shared" si="8"/>
        <v>2693.25</v>
      </c>
      <c r="P44" s="29">
        <f t="shared" si="8"/>
        <v>2646</v>
      </c>
      <c r="Q44" s="29">
        <f t="shared" si="8"/>
        <v>2598.75</v>
      </c>
      <c r="R44" s="29">
        <f t="shared" si="8"/>
        <v>2551.5</v>
      </c>
      <c r="S44" s="29">
        <f t="shared" si="8"/>
        <v>2504.25</v>
      </c>
      <c r="T44" s="29">
        <f t="shared" si="8"/>
        <v>2457</v>
      </c>
      <c r="U44" s="29">
        <f t="shared" si="8"/>
        <v>2409.75</v>
      </c>
      <c r="V44" s="29">
        <f t="shared" si="8"/>
        <v>2362.5</v>
      </c>
      <c r="W44" s="29">
        <f t="shared" si="8"/>
        <v>2362.5</v>
      </c>
      <c r="X44" s="29">
        <f t="shared" si="8"/>
        <v>2362.5</v>
      </c>
      <c r="Y44" s="29">
        <f t="shared" si="8"/>
        <v>2362.5</v>
      </c>
      <c r="Z44" s="29">
        <f t="shared" si="8"/>
        <v>2362.5</v>
      </c>
      <c r="AA44" s="29">
        <f t="shared" si="8"/>
        <v>2362.5</v>
      </c>
      <c r="AB44" s="29">
        <f t="shared" si="8"/>
        <v>2362.5</v>
      </c>
      <c r="AC44" s="29">
        <f t="shared" si="8"/>
        <v>2362.5</v>
      </c>
      <c r="AD44" s="29">
        <f t="shared" si="8"/>
        <v>2362.5</v>
      </c>
      <c r="AE44" s="29">
        <f t="shared" si="8"/>
        <v>2362.5</v>
      </c>
      <c r="AF44" s="29">
        <f t="shared" si="8"/>
        <v>2362.5</v>
      </c>
    </row>
    <row r="45" spans="1:32">
      <c r="A45" s="60" t="s">
        <v>49</v>
      </c>
      <c r="B45" s="29">
        <f>B26</f>
        <v>1207.5</v>
      </c>
      <c r="C45" s="29">
        <f t="shared" ref="C45:AF45" si="9">C26</f>
        <v>1191.75</v>
      </c>
      <c r="D45" s="29">
        <f t="shared" si="9"/>
        <v>1176</v>
      </c>
      <c r="E45" s="29">
        <f t="shared" si="9"/>
        <v>1160.25</v>
      </c>
      <c r="F45" s="29">
        <f t="shared" si="9"/>
        <v>1144.5</v>
      </c>
      <c r="G45" s="29">
        <f t="shared" si="9"/>
        <v>1128.75</v>
      </c>
      <c r="H45" s="29">
        <f t="shared" si="9"/>
        <v>1113</v>
      </c>
      <c r="I45" s="29">
        <f t="shared" si="9"/>
        <v>1097.25</v>
      </c>
      <c r="J45" s="29">
        <f t="shared" si="9"/>
        <v>1081.5</v>
      </c>
      <c r="K45" s="29">
        <f t="shared" si="9"/>
        <v>1065.75</v>
      </c>
      <c r="L45" s="29">
        <f t="shared" si="9"/>
        <v>1050</v>
      </c>
      <c r="M45" s="29">
        <f t="shared" si="9"/>
        <v>1050</v>
      </c>
      <c r="N45" s="29">
        <f t="shared" si="9"/>
        <v>1050</v>
      </c>
      <c r="O45" s="29">
        <f t="shared" si="9"/>
        <v>1050</v>
      </c>
      <c r="P45" s="29">
        <f t="shared" si="9"/>
        <v>1050</v>
      </c>
      <c r="Q45" s="29">
        <f t="shared" si="9"/>
        <v>1050</v>
      </c>
      <c r="R45" s="29">
        <f t="shared" si="9"/>
        <v>1050</v>
      </c>
      <c r="S45" s="29">
        <f t="shared" si="9"/>
        <v>1050</v>
      </c>
      <c r="T45" s="29">
        <f t="shared" si="9"/>
        <v>1050</v>
      </c>
      <c r="U45" s="29">
        <f t="shared" si="9"/>
        <v>1050</v>
      </c>
      <c r="V45" s="29">
        <f t="shared" si="9"/>
        <v>1050</v>
      </c>
      <c r="W45" s="29">
        <f t="shared" si="9"/>
        <v>1050</v>
      </c>
      <c r="X45" s="29">
        <f t="shared" si="9"/>
        <v>1050</v>
      </c>
      <c r="Y45" s="29">
        <f t="shared" si="9"/>
        <v>1050</v>
      </c>
      <c r="Z45" s="29">
        <f t="shared" si="9"/>
        <v>1050</v>
      </c>
      <c r="AA45" s="29">
        <f t="shared" si="9"/>
        <v>1050</v>
      </c>
      <c r="AB45" s="29">
        <f t="shared" si="9"/>
        <v>1050</v>
      </c>
      <c r="AC45" s="29">
        <f t="shared" si="9"/>
        <v>1050</v>
      </c>
      <c r="AD45" s="29">
        <f t="shared" si="9"/>
        <v>1050</v>
      </c>
      <c r="AE45" s="29">
        <f t="shared" si="9"/>
        <v>1050</v>
      </c>
      <c r="AF45" s="29">
        <f t="shared" si="9"/>
        <v>1050</v>
      </c>
    </row>
    <row r="46" spans="1:32">
      <c r="A46" s="60" t="s">
        <v>37</v>
      </c>
      <c r="B46" s="29">
        <f>B28</f>
        <v>4200</v>
      </c>
      <c r="C46" s="29">
        <f t="shared" ref="C46:AF46" si="10">C28</f>
        <v>4200</v>
      </c>
      <c r="D46" s="29">
        <f t="shared" si="10"/>
        <v>4200</v>
      </c>
      <c r="E46" s="29">
        <f t="shared" si="10"/>
        <v>4200</v>
      </c>
      <c r="F46" s="29">
        <f t="shared" si="10"/>
        <v>4200</v>
      </c>
      <c r="G46" s="29">
        <f t="shared" si="10"/>
        <v>4200</v>
      </c>
      <c r="H46" s="29">
        <f t="shared" si="10"/>
        <v>4200</v>
      </c>
      <c r="I46" s="29">
        <f t="shared" si="10"/>
        <v>4200</v>
      </c>
      <c r="J46" s="29">
        <f t="shared" si="10"/>
        <v>4200</v>
      </c>
      <c r="K46" s="29">
        <f t="shared" si="10"/>
        <v>4200</v>
      </c>
      <c r="L46" s="29">
        <f t="shared" si="10"/>
        <v>4200</v>
      </c>
      <c r="M46" s="29">
        <f t="shared" si="10"/>
        <v>4200</v>
      </c>
      <c r="N46" s="29">
        <f t="shared" si="10"/>
        <v>4200</v>
      </c>
      <c r="O46" s="29">
        <f t="shared" si="10"/>
        <v>4200</v>
      </c>
      <c r="P46" s="29">
        <f t="shared" si="10"/>
        <v>4200</v>
      </c>
      <c r="Q46" s="29">
        <f t="shared" si="10"/>
        <v>4200</v>
      </c>
      <c r="R46" s="29">
        <f t="shared" si="10"/>
        <v>4200</v>
      </c>
      <c r="S46" s="29">
        <f t="shared" si="10"/>
        <v>4200</v>
      </c>
      <c r="T46" s="29">
        <f t="shared" si="10"/>
        <v>4200</v>
      </c>
      <c r="U46" s="29">
        <f t="shared" si="10"/>
        <v>4200</v>
      </c>
      <c r="V46" s="29">
        <f t="shared" si="10"/>
        <v>4200</v>
      </c>
      <c r="W46" s="29">
        <f t="shared" si="10"/>
        <v>4200</v>
      </c>
      <c r="X46" s="29">
        <f t="shared" si="10"/>
        <v>4200</v>
      </c>
      <c r="Y46" s="29">
        <f t="shared" si="10"/>
        <v>4200</v>
      </c>
      <c r="Z46" s="29">
        <f t="shared" si="10"/>
        <v>4200</v>
      </c>
      <c r="AA46" s="29">
        <f t="shared" si="10"/>
        <v>4200</v>
      </c>
      <c r="AB46" s="29">
        <f t="shared" si="10"/>
        <v>4200</v>
      </c>
      <c r="AC46" s="29">
        <f t="shared" si="10"/>
        <v>4200</v>
      </c>
      <c r="AD46" s="29">
        <f t="shared" si="10"/>
        <v>4200</v>
      </c>
      <c r="AE46" s="29">
        <f t="shared" si="10"/>
        <v>4200</v>
      </c>
      <c r="AF46" s="29">
        <f t="shared" si="10"/>
        <v>4200</v>
      </c>
    </row>
    <row r="47" spans="1:32">
      <c r="A47" s="60" t="s">
        <v>50</v>
      </c>
      <c r="B47" s="29">
        <f>B29</f>
        <v>2638.65</v>
      </c>
      <c r="C47" s="29">
        <f t="shared" ref="C47:AF47" si="11">C29</f>
        <v>2638.65</v>
      </c>
      <c r="D47" s="29">
        <f t="shared" si="11"/>
        <v>2638.65</v>
      </c>
      <c r="E47" s="29">
        <f t="shared" si="11"/>
        <v>2638.65</v>
      </c>
      <c r="F47" s="29">
        <f t="shared" si="11"/>
        <v>2638.65</v>
      </c>
      <c r="G47" s="29">
        <f t="shared" si="11"/>
        <v>2638.65</v>
      </c>
      <c r="H47" s="29">
        <f t="shared" si="11"/>
        <v>2638.65</v>
      </c>
      <c r="I47" s="29">
        <f t="shared" si="11"/>
        <v>2638.65</v>
      </c>
      <c r="J47" s="29">
        <f t="shared" si="11"/>
        <v>2638.65</v>
      </c>
      <c r="K47" s="29">
        <f t="shared" si="11"/>
        <v>2638.65</v>
      </c>
      <c r="L47" s="29">
        <f t="shared" si="11"/>
        <v>2638.65</v>
      </c>
      <c r="M47" s="29">
        <f t="shared" si="11"/>
        <v>2638.65</v>
      </c>
      <c r="N47" s="29">
        <f t="shared" si="11"/>
        <v>2638.65</v>
      </c>
      <c r="O47" s="29">
        <f t="shared" si="11"/>
        <v>2638.65</v>
      </c>
      <c r="P47" s="29">
        <f t="shared" si="11"/>
        <v>2638.65</v>
      </c>
      <c r="Q47" s="29">
        <f t="shared" si="11"/>
        <v>2638.65</v>
      </c>
      <c r="R47" s="29">
        <f t="shared" si="11"/>
        <v>2638.65</v>
      </c>
      <c r="S47" s="29">
        <f t="shared" si="11"/>
        <v>2638.65</v>
      </c>
      <c r="T47" s="29">
        <f t="shared" si="11"/>
        <v>2638.65</v>
      </c>
      <c r="U47" s="29">
        <f t="shared" si="11"/>
        <v>2638.65</v>
      </c>
      <c r="V47" s="29">
        <f t="shared" si="11"/>
        <v>2638.65</v>
      </c>
      <c r="W47" s="29">
        <f t="shared" si="11"/>
        <v>2638.65</v>
      </c>
      <c r="X47" s="29">
        <f t="shared" si="11"/>
        <v>2638.65</v>
      </c>
      <c r="Y47" s="29">
        <f t="shared" si="11"/>
        <v>2638.65</v>
      </c>
      <c r="Z47" s="29">
        <f t="shared" si="11"/>
        <v>2638.65</v>
      </c>
      <c r="AA47" s="29">
        <f t="shared" si="11"/>
        <v>2638.65</v>
      </c>
      <c r="AB47" s="29">
        <f t="shared" si="11"/>
        <v>2638.65</v>
      </c>
      <c r="AC47" s="29">
        <f t="shared" si="11"/>
        <v>2638.65</v>
      </c>
      <c r="AD47" s="29">
        <f t="shared" si="11"/>
        <v>2638.65</v>
      </c>
      <c r="AE47" s="29">
        <f t="shared" si="11"/>
        <v>2638.65</v>
      </c>
      <c r="AF47" s="29">
        <f t="shared" si="11"/>
        <v>2638.65</v>
      </c>
    </row>
    <row r="48" spans="1:32">
      <c r="A48" s="60" t="s">
        <v>51</v>
      </c>
      <c r="B48" s="29">
        <f>B30</f>
        <v>1297.8</v>
      </c>
      <c r="C48" s="29">
        <f t="shared" ref="C48:AF48" si="12">C30</f>
        <v>1270.92</v>
      </c>
      <c r="D48" s="29">
        <f t="shared" si="12"/>
        <v>1244.04</v>
      </c>
      <c r="E48" s="29">
        <f t="shared" si="12"/>
        <v>1217.1600000000001</v>
      </c>
      <c r="F48" s="29">
        <f t="shared" si="12"/>
        <v>1190.28</v>
      </c>
      <c r="G48" s="29">
        <f t="shared" si="12"/>
        <v>1163.4000000000001</v>
      </c>
      <c r="H48" s="29">
        <f t="shared" si="12"/>
        <v>1136.5200000000002</v>
      </c>
      <c r="I48" s="29">
        <f t="shared" si="12"/>
        <v>1109.6400000000001</v>
      </c>
      <c r="J48" s="29">
        <f t="shared" si="12"/>
        <v>1082.76</v>
      </c>
      <c r="K48" s="29">
        <f t="shared" si="12"/>
        <v>1055.8800000000001</v>
      </c>
      <c r="L48" s="29">
        <f t="shared" si="12"/>
        <v>1029</v>
      </c>
      <c r="M48" s="29">
        <f t="shared" si="12"/>
        <v>1017.87</v>
      </c>
      <c r="N48" s="29">
        <f t="shared" si="12"/>
        <v>1006.74</v>
      </c>
      <c r="O48" s="29">
        <f t="shared" si="12"/>
        <v>995.61000000000013</v>
      </c>
      <c r="P48" s="29">
        <f t="shared" si="12"/>
        <v>984.48</v>
      </c>
      <c r="Q48" s="29">
        <f t="shared" si="12"/>
        <v>973.35</v>
      </c>
      <c r="R48" s="29">
        <f t="shared" si="12"/>
        <v>962.22</v>
      </c>
      <c r="S48" s="29">
        <f t="shared" si="12"/>
        <v>951.09</v>
      </c>
      <c r="T48" s="29">
        <f t="shared" si="12"/>
        <v>939.96</v>
      </c>
      <c r="U48" s="29">
        <f t="shared" si="12"/>
        <v>928.83</v>
      </c>
      <c r="V48" s="29">
        <f t="shared" si="12"/>
        <v>917.7</v>
      </c>
      <c r="W48" s="29">
        <f t="shared" si="12"/>
        <v>904.89</v>
      </c>
      <c r="X48" s="29">
        <f t="shared" si="12"/>
        <v>892.08</v>
      </c>
      <c r="Y48" s="29">
        <f t="shared" si="12"/>
        <v>879.27</v>
      </c>
      <c r="Z48" s="29">
        <f t="shared" si="12"/>
        <v>866.46</v>
      </c>
      <c r="AA48" s="29">
        <f t="shared" si="12"/>
        <v>853.65000000000009</v>
      </c>
      <c r="AB48" s="29">
        <f t="shared" si="12"/>
        <v>840.84</v>
      </c>
      <c r="AC48" s="29">
        <f t="shared" si="12"/>
        <v>828.03000000000009</v>
      </c>
      <c r="AD48" s="29">
        <f t="shared" si="12"/>
        <v>815.22</v>
      </c>
      <c r="AE48" s="29">
        <f t="shared" si="12"/>
        <v>802.41000000000008</v>
      </c>
      <c r="AF48" s="29">
        <f t="shared" si="12"/>
        <v>789.6</v>
      </c>
    </row>
    <row r="49" spans="1:32">
      <c r="A49" s="60" t="s">
        <v>52</v>
      </c>
      <c r="B49" s="29">
        <f>B32</f>
        <v>988.05000000000007</v>
      </c>
      <c r="C49" s="29">
        <f t="shared" ref="C49:AF49" si="13">C32</f>
        <v>961.48500000000013</v>
      </c>
      <c r="D49" s="29">
        <f t="shared" si="13"/>
        <v>934.92</v>
      </c>
      <c r="E49" s="29">
        <f t="shared" si="13"/>
        <v>908.35500000000002</v>
      </c>
      <c r="F49" s="29">
        <f t="shared" si="13"/>
        <v>881.79</v>
      </c>
      <c r="G49" s="29">
        <f t="shared" si="13"/>
        <v>855.22500000000002</v>
      </c>
      <c r="H49" s="29">
        <f t="shared" si="13"/>
        <v>828.66000000000008</v>
      </c>
      <c r="I49" s="29">
        <f t="shared" si="13"/>
        <v>802.09500000000003</v>
      </c>
      <c r="J49" s="29">
        <f t="shared" si="13"/>
        <v>775.53000000000009</v>
      </c>
      <c r="K49" s="29">
        <f t="shared" si="13"/>
        <v>748.96500000000003</v>
      </c>
      <c r="L49" s="29">
        <f t="shared" si="13"/>
        <v>722.4</v>
      </c>
      <c r="M49" s="29">
        <f t="shared" si="13"/>
        <v>727.65</v>
      </c>
      <c r="N49" s="29">
        <f t="shared" si="13"/>
        <v>732.9</v>
      </c>
      <c r="O49" s="29">
        <f t="shared" si="13"/>
        <v>738.15</v>
      </c>
      <c r="P49" s="29">
        <f t="shared" si="13"/>
        <v>743.4</v>
      </c>
      <c r="Q49" s="29">
        <f t="shared" si="13"/>
        <v>748.65</v>
      </c>
      <c r="R49" s="29">
        <f t="shared" si="13"/>
        <v>753.9</v>
      </c>
      <c r="S49" s="29">
        <f t="shared" si="13"/>
        <v>759.15</v>
      </c>
      <c r="T49" s="29">
        <f t="shared" si="13"/>
        <v>764.4</v>
      </c>
      <c r="U49" s="29">
        <f t="shared" si="13"/>
        <v>769.65</v>
      </c>
      <c r="V49" s="29">
        <f t="shared" si="13"/>
        <v>774.9</v>
      </c>
      <c r="W49" s="29">
        <f t="shared" si="13"/>
        <v>751.17</v>
      </c>
      <c r="X49" s="29">
        <f t="shared" si="13"/>
        <v>727.43999999999994</v>
      </c>
      <c r="Y49" s="29">
        <f t="shared" si="13"/>
        <v>703.71</v>
      </c>
      <c r="Z49" s="29">
        <f t="shared" si="13"/>
        <v>679.98</v>
      </c>
      <c r="AA49" s="29">
        <f t="shared" si="13"/>
        <v>656.25</v>
      </c>
      <c r="AB49" s="29">
        <f t="shared" si="13"/>
        <v>632.52</v>
      </c>
      <c r="AC49" s="29">
        <f t="shared" si="13"/>
        <v>608.79</v>
      </c>
      <c r="AD49" s="29">
        <f t="shared" si="13"/>
        <v>585.06000000000006</v>
      </c>
      <c r="AE49" s="29">
        <f t="shared" si="13"/>
        <v>561.33000000000004</v>
      </c>
      <c r="AF49" s="29">
        <f t="shared" si="13"/>
        <v>537.6</v>
      </c>
    </row>
    <row r="50" spans="1:32">
      <c r="A50" s="60" t="s">
        <v>63</v>
      </c>
      <c r="B50" s="29">
        <f>B33</f>
        <v>6357.75</v>
      </c>
      <c r="C50" s="29">
        <f t="shared" ref="C50:AF50" si="14">C33</f>
        <v>6250.755000000001</v>
      </c>
      <c r="D50" s="29">
        <f t="shared" si="14"/>
        <v>6143.76</v>
      </c>
      <c r="E50" s="29">
        <f t="shared" si="14"/>
        <v>6036.7650000000003</v>
      </c>
      <c r="F50" s="29">
        <f t="shared" si="14"/>
        <v>5929.7699999999995</v>
      </c>
      <c r="G50" s="29">
        <f t="shared" si="14"/>
        <v>5822.7750000000005</v>
      </c>
      <c r="H50" s="29">
        <f t="shared" si="14"/>
        <v>5715.7800000000007</v>
      </c>
      <c r="I50" s="29">
        <f t="shared" si="14"/>
        <v>5608.7849999999999</v>
      </c>
      <c r="J50" s="29">
        <f t="shared" si="14"/>
        <v>5501.7900000000009</v>
      </c>
      <c r="K50" s="29">
        <f t="shared" si="14"/>
        <v>5394.7950000000001</v>
      </c>
      <c r="L50" s="29">
        <f t="shared" si="14"/>
        <v>5287.8</v>
      </c>
      <c r="M50" s="29">
        <f t="shared" si="14"/>
        <v>5244.12</v>
      </c>
      <c r="N50" s="29">
        <f t="shared" si="14"/>
        <v>5200.4400000000005</v>
      </c>
      <c r="O50" s="29">
        <f t="shared" si="14"/>
        <v>5156.76</v>
      </c>
      <c r="P50" s="29">
        <f t="shared" si="14"/>
        <v>5113.0800000000008</v>
      </c>
      <c r="Q50" s="29">
        <f t="shared" si="14"/>
        <v>5069.4000000000005</v>
      </c>
      <c r="R50" s="29">
        <f t="shared" si="14"/>
        <v>5025.72</v>
      </c>
      <c r="S50" s="29">
        <f t="shared" si="14"/>
        <v>4982.04</v>
      </c>
      <c r="T50" s="29">
        <f t="shared" si="14"/>
        <v>4938.3599999999997</v>
      </c>
      <c r="U50" s="29">
        <f t="shared" si="14"/>
        <v>4894.68</v>
      </c>
      <c r="V50" s="29">
        <f t="shared" si="14"/>
        <v>4851</v>
      </c>
      <c r="W50" s="29">
        <f t="shared" si="14"/>
        <v>4830.21</v>
      </c>
      <c r="X50" s="29">
        <f t="shared" si="14"/>
        <v>4809.42</v>
      </c>
      <c r="Y50" s="29">
        <f t="shared" si="14"/>
        <v>4788.630000000001</v>
      </c>
      <c r="Z50" s="29">
        <f t="shared" si="14"/>
        <v>4767.84</v>
      </c>
      <c r="AA50" s="29">
        <f t="shared" si="14"/>
        <v>4747.05</v>
      </c>
      <c r="AB50" s="29">
        <f t="shared" si="14"/>
        <v>4726.26</v>
      </c>
      <c r="AC50" s="29">
        <f t="shared" si="14"/>
        <v>4705.47</v>
      </c>
      <c r="AD50" s="29">
        <f t="shared" si="14"/>
        <v>4684.68</v>
      </c>
      <c r="AE50" s="29">
        <f t="shared" si="14"/>
        <v>4663.8900000000003</v>
      </c>
      <c r="AF50" s="29">
        <f t="shared" si="14"/>
        <v>4643.1000000000004</v>
      </c>
    </row>
    <row r="51" spans="1:32">
      <c r="A51" s="60" t="s">
        <v>53</v>
      </c>
      <c r="B51" s="29">
        <f>B34</f>
        <v>5565</v>
      </c>
      <c r="C51" s="29">
        <f t="shared" ref="C51:AF51" si="15">C34</f>
        <v>5565</v>
      </c>
      <c r="D51" s="29">
        <f t="shared" si="15"/>
        <v>5565</v>
      </c>
      <c r="E51" s="29">
        <f t="shared" si="15"/>
        <v>5565</v>
      </c>
      <c r="F51" s="29">
        <f t="shared" si="15"/>
        <v>5565</v>
      </c>
      <c r="G51" s="29">
        <f t="shared" si="15"/>
        <v>5565</v>
      </c>
      <c r="H51" s="29">
        <f t="shared" si="15"/>
        <v>5565</v>
      </c>
      <c r="I51" s="29">
        <f t="shared" si="15"/>
        <v>5565</v>
      </c>
      <c r="J51" s="29">
        <f t="shared" si="15"/>
        <v>5565</v>
      </c>
      <c r="K51" s="29">
        <f t="shared" si="15"/>
        <v>5565</v>
      </c>
      <c r="L51" s="29">
        <f t="shared" si="15"/>
        <v>5565</v>
      </c>
      <c r="M51" s="29">
        <f t="shared" si="15"/>
        <v>5565</v>
      </c>
      <c r="N51" s="29">
        <f t="shared" si="15"/>
        <v>5565</v>
      </c>
      <c r="O51" s="29">
        <f t="shared" si="15"/>
        <v>5565</v>
      </c>
      <c r="P51" s="29">
        <f t="shared" si="15"/>
        <v>5565</v>
      </c>
      <c r="Q51" s="29">
        <f t="shared" si="15"/>
        <v>5565</v>
      </c>
      <c r="R51" s="29">
        <f t="shared" si="15"/>
        <v>5565</v>
      </c>
      <c r="S51" s="29">
        <f t="shared" si="15"/>
        <v>5565</v>
      </c>
      <c r="T51" s="29">
        <f t="shared" si="15"/>
        <v>5565</v>
      </c>
      <c r="U51" s="29">
        <f t="shared" si="15"/>
        <v>5565</v>
      </c>
      <c r="V51" s="29">
        <f t="shared" si="15"/>
        <v>5565</v>
      </c>
      <c r="W51" s="29">
        <f t="shared" si="15"/>
        <v>5565</v>
      </c>
      <c r="X51" s="29">
        <f t="shared" si="15"/>
        <v>5565</v>
      </c>
      <c r="Y51" s="29">
        <f t="shared" si="15"/>
        <v>5565</v>
      </c>
      <c r="Z51" s="29">
        <f t="shared" si="15"/>
        <v>5565</v>
      </c>
      <c r="AA51" s="29">
        <f t="shared" si="15"/>
        <v>5565</v>
      </c>
      <c r="AB51" s="29">
        <f t="shared" si="15"/>
        <v>5565</v>
      </c>
      <c r="AC51" s="29">
        <f t="shared" si="15"/>
        <v>5565</v>
      </c>
      <c r="AD51" s="29">
        <f t="shared" si="15"/>
        <v>5565</v>
      </c>
      <c r="AE51" s="29">
        <f t="shared" si="15"/>
        <v>5565</v>
      </c>
      <c r="AF51" s="29">
        <f t="shared" si="15"/>
        <v>5565</v>
      </c>
    </row>
    <row r="52" spans="1:32">
      <c r="A52" s="60" t="s">
        <v>54</v>
      </c>
      <c r="B52" s="29">
        <f>B35</f>
        <v>14191</v>
      </c>
      <c r="C52" s="29">
        <f t="shared" ref="C52:AF52" si="16">C35</f>
        <v>14191</v>
      </c>
      <c r="D52" s="29">
        <f t="shared" si="16"/>
        <v>14191</v>
      </c>
      <c r="E52" s="29">
        <f t="shared" si="16"/>
        <v>14191</v>
      </c>
      <c r="F52" s="29">
        <f t="shared" si="16"/>
        <v>14191</v>
      </c>
      <c r="G52" s="29">
        <f t="shared" si="16"/>
        <v>14191</v>
      </c>
      <c r="H52" s="29">
        <f t="shared" si="16"/>
        <v>14191</v>
      </c>
      <c r="I52" s="29">
        <f t="shared" si="16"/>
        <v>14191</v>
      </c>
      <c r="J52" s="29">
        <f t="shared" si="16"/>
        <v>14191</v>
      </c>
      <c r="K52" s="29">
        <f t="shared" si="16"/>
        <v>14191</v>
      </c>
      <c r="L52" s="29">
        <f t="shared" si="16"/>
        <v>14191</v>
      </c>
      <c r="M52" s="29">
        <f t="shared" si="16"/>
        <v>14191</v>
      </c>
      <c r="N52" s="29">
        <f t="shared" si="16"/>
        <v>14191</v>
      </c>
      <c r="O52" s="29">
        <f t="shared" si="16"/>
        <v>14191</v>
      </c>
      <c r="P52" s="29">
        <f t="shared" si="16"/>
        <v>14191</v>
      </c>
      <c r="Q52" s="29">
        <f t="shared" si="16"/>
        <v>14191</v>
      </c>
      <c r="R52" s="29">
        <f t="shared" si="16"/>
        <v>14191</v>
      </c>
      <c r="S52" s="29">
        <f t="shared" si="16"/>
        <v>14191</v>
      </c>
      <c r="T52" s="29">
        <f t="shared" si="16"/>
        <v>14191</v>
      </c>
      <c r="U52" s="29">
        <f t="shared" si="16"/>
        <v>14191</v>
      </c>
      <c r="V52" s="29">
        <f t="shared" si="16"/>
        <v>14191</v>
      </c>
      <c r="W52" s="29">
        <f t="shared" si="16"/>
        <v>14191</v>
      </c>
      <c r="X52" s="29">
        <f t="shared" si="16"/>
        <v>14191</v>
      </c>
      <c r="Y52" s="29">
        <f t="shared" si="16"/>
        <v>14191</v>
      </c>
      <c r="Z52" s="29">
        <f t="shared" si="16"/>
        <v>14191</v>
      </c>
      <c r="AA52" s="29">
        <f t="shared" si="16"/>
        <v>14191</v>
      </c>
      <c r="AB52" s="29">
        <f t="shared" si="16"/>
        <v>14191</v>
      </c>
      <c r="AC52" s="29">
        <f t="shared" si="16"/>
        <v>14191</v>
      </c>
      <c r="AD52" s="29">
        <f t="shared" si="16"/>
        <v>14191</v>
      </c>
      <c r="AE52" s="29">
        <f t="shared" si="16"/>
        <v>14191</v>
      </c>
      <c r="AF52" s="29">
        <f t="shared" si="16"/>
        <v>14191</v>
      </c>
    </row>
    <row r="53" spans="1:32">
      <c r="A53" s="60" t="s">
        <v>55</v>
      </c>
      <c r="B53" s="29">
        <f>B36</f>
        <v>945</v>
      </c>
      <c r="C53" s="29">
        <f t="shared" ref="C53:AF53" si="17">C36</f>
        <v>945</v>
      </c>
      <c r="D53" s="29">
        <f t="shared" si="17"/>
        <v>945</v>
      </c>
      <c r="E53" s="29">
        <f t="shared" si="17"/>
        <v>945</v>
      </c>
      <c r="F53" s="29">
        <f t="shared" si="17"/>
        <v>945</v>
      </c>
      <c r="G53" s="29">
        <f t="shared" si="17"/>
        <v>945</v>
      </c>
      <c r="H53" s="29">
        <f t="shared" si="17"/>
        <v>945</v>
      </c>
      <c r="I53" s="29">
        <f t="shared" si="17"/>
        <v>945</v>
      </c>
      <c r="J53" s="29">
        <f t="shared" si="17"/>
        <v>945</v>
      </c>
      <c r="K53" s="29">
        <f t="shared" si="17"/>
        <v>945</v>
      </c>
      <c r="L53" s="29">
        <f t="shared" si="17"/>
        <v>945</v>
      </c>
      <c r="M53" s="29">
        <f t="shared" si="17"/>
        <v>945</v>
      </c>
      <c r="N53" s="29">
        <f t="shared" si="17"/>
        <v>945</v>
      </c>
      <c r="O53" s="29">
        <f t="shared" si="17"/>
        <v>945</v>
      </c>
      <c r="P53" s="29">
        <f t="shared" si="17"/>
        <v>945</v>
      </c>
      <c r="Q53" s="29">
        <f t="shared" si="17"/>
        <v>945</v>
      </c>
      <c r="R53" s="29">
        <f t="shared" si="17"/>
        <v>945</v>
      </c>
      <c r="S53" s="29">
        <f t="shared" si="17"/>
        <v>945</v>
      </c>
      <c r="T53" s="29">
        <f t="shared" si="17"/>
        <v>945</v>
      </c>
      <c r="U53" s="29">
        <f t="shared" si="17"/>
        <v>945</v>
      </c>
      <c r="V53" s="29">
        <f t="shared" si="17"/>
        <v>945</v>
      </c>
      <c r="W53" s="29">
        <f t="shared" si="17"/>
        <v>945</v>
      </c>
      <c r="X53" s="29">
        <f t="shared" si="17"/>
        <v>945</v>
      </c>
      <c r="Y53" s="29">
        <f t="shared" si="17"/>
        <v>945</v>
      </c>
      <c r="Z53" s="29">
        <f t="shared" si="17"/>
        <v>945</v>
      </c>
      <c r="AA53" s="29">
        <f t="shared" si="17"/>
        <v>945</v>
      </c>
      <c r="AB53" s="29">
        <f t="shared" si="17"/>
        <v>945</v>
      </c>
      <c r="AC53" s="29">
        <f t="shared" si="17"/>
        <v>945</v>
      </c>
      <c r="AD53" s="29">
        <f t="shared" si="17"/>
        <v>945</v>
      </c>
      <c r="AE53" s="29">
        <f t="shared" si="17"/>
        <v>945</v>
      </c>
      <c r="AF53" s="29">
        <f t="shared" si="17"/>
        <v>945</v>
      </c>
    </row>
    <row r="54" spans="1:32">
      <c r="A54" s="60" t="s">
        <v>56</v>
      </c>
      <c r="B54" s="29">
        <f>B27</f>
        <v>840</v>
      </c>
      <c r="C54" s="29">
        <f t="shared" ref="C54:AF54" si="18">C27</f>
        <v>829.5</v>
      </c>
      <c r="D54" s="29">
        <f t="shared" si="18"/>
        <v>819</v>
      </c>
      <c r="E54" s="29">
        <f t="shared" si="18"/>
        <v>808.5</v>
      </c>
      <c r="F54" s="29">
        <f t="shared" si="18"/>
        <v>798</v>
      </c>
      <c r="G54" s="29">
        <f t="shared" si="18"/>
        <v>787.5</v>
      </c>
      <c r="H54" s="29">
        <f t="shared" si="18"/>
        <v>777</v>
      </c>
      <c r="I54" s="29">
        <f t="shared" si="18"/>
        <v>766.5</v>
      </c>
      <c r="J54" s="29">
        <f t="shared" si="18"/>
        <v>756</v>
      </c>
      <c r="K54" s="29">
        <f t="shared" si="18"/>
        <v>745.5</v>
      </c>
      <c r="L54" s="29">
        <f t="shared" si="18"/>
        <v>735</v>
      </c>
      <c r="M54" s="29">
        <f t="shared" si="18"/>
        <v>724.5</v>
      </c>
      <c r="N54" s="29">
        <f t="shared" si="18"/>
        <v>714</v>
      </c>
      <c r="O54" s="29">
        <f t="shared" si="18"/>
        <v>703.5</v>
      </c>
      <c r="P54" s="29">
        <f t="shared" si="18"/>
        <v>693</v>
      </c>
      <c r="Q54" s="29">
        <f t="shared" si="18"/>
        <v>682.5</v>
      </c>
      <c r="R54" s="29">
        <f t="shared" si="18"/>
        <v>672</v>
      </c>
      <c r="S54" s="29">
        <f t="shared" si="18"/>
        <v>661.5</v>
      </c>
      <c r="T54" s="29">
        <f t="shared" si="18"/>
        <v>651</v>
      </c>
      <c r="U54" s="29">
        <f t="shared" si="18"/>
        <v>640.5</v>
      </c>
      <c r="V54" s="29">
        <f t="shared" si="18"/>
        <v>630</v>
      </c>
      <c r="W54" s="29">
        <f t="shared" si="18"/>
        <v>630</v>
      </c>
      <c r="X54" s="29">
        <f t="shared" si="18"/>
        <v>630</v>
      </c>
      <c r="Y54" s="29">
        <f t="shared" si="18"/>
        <v>630</v>
      </c>
      <c r="Z54" s="29">
        <f t="shared" si="18"/>
        <v>630</v>
      </c>
      <c r="AA54" s="29">
        <f t="shared" si="18"/>
        <v>630</v>
      </c>
      <c r="AB54" s="29">
        <f t="shared" si="18"/>
        <v>630</v>
      </c>
      <c r="AC54" s="29">
        <f t="shared" si="18"/>
        <v>630</v>
      </c>
      <c r="AD54" s="29">
        <f t="shared" si="18"/>
        <v>630</v>
      </c>
      <c r="AE54" s="29">
        <f t="shared" si="18"/>
        <v>630</v>
      </c>
      <c r="AF54" s="29">
        <f t="shared" si="18"/>
        <v>630</v>
      </c>
    </row>
    <row r="55" spans="1:32">
      <c r="A55" s="60" t="s">
        <v>57</v>
      </c>
      <c r="B55" s="29">
        <f>B25</f>
        <v>3150</v>
      </c>
      <c r="C55" s="29">
        <f t="shared" ref="C55:AF55" si="19">C25</f>
        <v>3118.5</v>
      </c>
      <c r="D55" s="29">
        <f t="shared" si="19"/>
        <v>3087</v>
      </c>
      <c r="E55" s="29">
        <f t="shared" si="19"/>
        <v>3055.5</v>
      </c>
      <c r="F55" s="29">
        <f t="shared" si="19"/>
        <v>3024</v>
      </c>
      <c r="G55" s="29">
        <f t="shared" si="19"/>
        <v>2992.5</v>
      </c>
      <c r="H55" s="29">
        <f t="shared" si="19"/>
        <v>2961</v>
      </c>
      <c r="I55" s="29">
        <f t="shared" si="19"/>
        <v>2929.5</v>
      </c>
      <c r="J55" s="29">
        <f t="shared" si="19"/>
        <v>2898</v>
      </c>
      <c r="K55" s="29">
        <f t="shared" si="19"/>
        <v>2866.5</v>
      </c>
      <c r="L55" s="29">
        <f t="shared" si="19"/>
        <v>2835</v>
      </c>
      <c r="M55" s="29">
        <f t="shared" si="19"/>
        <v>2787.75</v>
      </c>
      <c r="N55" s="29">
        <f t="shared" si="19"/>
        <v>2740.5</v>
      </c>
      <c r="O55" s="29">
        <f t="shared" si="19"/>
        <v>2693.25</v>
      </c>
      <c r="P55" s="29">
        <f t="shared" si="19"/>
        <v>2646</v>
      </c>
      <c r="Q55" s="29">
        <f t="shared" si="19"/>
        <v>2598.75</v>
      </c>
      <c r="R55" s="29">
        <f t="shared" si="19"/>
        <v>2551.5</v>
      </c>
      <c r="S55" s="29">
        <f t="shared" si="19"/>
        <v>2504.25</v>
      </c>
      <c r="T55" s="29">
        <f t="shared" si="19"/>
        <v>2457</v>
      </c>
      <c r="U55" s="29">
        <f t="shared" si="19"/>
        <v>2409.75</v>
      </c>
      <c r="V55" s="29">
        <f t="shared" si="19"/>
        <v>2362.5</v>
      </c>
      <c r="W55" s="29">
        <f t="shared" si="19"/>
        <v>2362.5</v>
      </c>
      <c r="X55" s="29">
        <f t="shared" si="19"/>
        <v>2362.5</v>
      </c>
      <c r="Y55" s="29">
        <f t="shared" si="19"/>
        <v>2362.5</v>
      </c>
      <c r="Z55" s="29">
        <f t="shared" si="19"/>
        <v>2362.5</v>
      </c>
      <c r="AA55" s="29">
        <f t="shared" si="19"/>
        <v>2362.5</v>
      </c>
      <c r="AB55" s="29">
        <f t="shared" si="19"/>
        <v>2362.5</v>
      </c>
      <c r="AC55" s="29">
        <f t="shared" si="19"/>
        <v>2362.5</v>
      </c>
      <c r="AD55" s="29">
        <f t="shared" si="19"/>
        <v>2362.5</v>
      </c>
      <c r="AE55" s="29">
        <f t="shared" si="19"/>
        <v>2362.5</v>
      </c>
      <c r="AF55" s="29">
        <f t="shared" si="19"/>
        <v>2362.5</v>
      </c>
    </row>
    <row r="56" spans="1:32">
      <c r="A56" s="60" t="s">
        <v>58</v>
      </c>
      <c r="B56" s="29">
        <f>B31</f>
        <v>6888</v>
      </c>
      <c r="C56" s="29">
        <f t="shared" ref="C56:AF56" si="20">C31</f>
        <v>6776.3850000000002</v>
      </c>
      <c r="D56" s="29">
        <f t="shared" si="20"/>
        <v>6664.7699999999995</v>
      </c>
      <c r="E56" s="29">
        <f t="shared" si="20"/>
        <v>6553.1550000000007</v>
      </c>
      <c r="F56" s="29">
        <f t="shared" si="20"/>
        <v>6441.5400000000009</v>
      </c>
      <c r="G56" s="29">
        <f t="shared" si="20"/>
        <v>6329.9250000000002</v>
      </c>
      <c r="H56" s="29">
        <f t="shared" si="20"/>
        <v>6218.31</v>
      </c>
      <c r="I56" s="29">
        <f t="shared" si="20"/>
        <v>6106.6949999999997</v>
      </c>
      <c r="J56" s="29">
        <f t="shared" si="20"/>
        <v>5995.0800000000008</v>
      </c>
      <c r="K56" s="29">
        <f t="shared" si="20"/>
        <v>5883.4650000000001</v>
      </c>
      <c r="L56" s="29">
        <f t="shared" si="20"/>
        <v>5771.85</v>
      </c>
      <c r="M56" s="29">
        <f t="shared" si="20"/>
        <v>5696.880000000001</v>
      </c>
      <c r="N56" s="29">
        <f t="shared" si="20"/>
        <v>5621.91</v>
      </c>
      <c r="O56" s="29">
        <f t="shared" si="20"/>
        <v>5546.9400000000005</v>
      </c>
      <c r="P56" s="29">
        <f t="shared" si="20"/>
        <v>5471.97</v>
      </c>
      <c r="Q56" s="29">
        <f t="shared" si="20"/>
        <v>5397</v>
      </c>
      <c r="R56" s="29">
        <f t="shared" si="20"/>
        <v>5322.0300000000007</v>
      </c>
      <c r="S56" s="29">
        <f t="shared" si="20"/>
        <v>5247.06</v>
      </c>
      <c r="T56" s="29">
        <f t="shared" si="20"/>
        <v>5172.09</v>
      </c>
      <c r="U56" s="29">
        <f t="shared" si="20"/>
        <v>5097.12</v>
      </c>
      <c r="V56" s="29">
        <f t="shared" si="20"/>
        <v>5022.1500000000005</v>
      </c>
      <c r="W56" s="29">
        <f t="shared" si="20"/>
        <v>4950.4350000000004</v>
      </c>
      <c r="X56" s="29">
        <f t="shared" si="20"/>
        <v>4878.72</v>
      </c>
      <c r="Y56" s="29">
        <f t="shared" si="20"/>
        <v>4807.005000000001</v>
      </c>
      <c r="Z56" s="29">
        <f t="shared" si="20"/>
        <v>4735.29</v>
      </c>
      <c r="AA56" s="29">
        <f t="shared" si="20"/>
        <v>4663.5749999999998</v>
      </c>
      <c r="AB56" s="29">
        <f t="shared" si="20"/>
        <v>4591.8599999999997</v>
      </c>
      <c r="AC56" s="29">
        <f t="shared" si="20"/>
        <v>4520.1449999999995</v>
      </c>
      <c r="AD56" s="29">
        <f t="shared" si="20"/>
        <v>4448.43</v>
      </c>
      <c r="AE56" s="29">
        <f t="shared" si="20"/>
        <v>4376.7150000000001</v>
      </c>
      <c r="AF56" s="29">
        <f t="shared" si="20"/>
        <v>4305</v>
      </c>
    </row>
    <row r="57" spans="1:32">
      <c r="A57" s="60" t="s">
        <v>59</v>
      </c>
      <c r="B57" s="29">
        <f>B37</f>
        <v>1470</v>
      </c>
      <c r="C57" s="29">
        <f t="shared" ref="C57:AF57" si="21">C37</f>
        <v>1470</v>
      </c>
      <c r="D57" s="29">
        <f t="shared" si="21"/>
        <v>1470</v>
      </c>
      <c r="E57" s="29">
        <f t="shared" si="21"/>
        <v>1470</v>
      </c>
      <c r="F57" s="29">
        <f t="shared" si="21"/>
        <v>1470</v>
      </c>
      <c r="G57" s="29">
        <f t="shared" si="21"/>
        <v>1470</v>
      </c>
      <c r="H57" s="29">
        <f t="shared" si="21"/>
        <v>1470</v>
      </c>
      <c r="I57" s="29">
        <f t="shared" si="21"/>
        <v>1470</v>
      </c>
      <c r="J57" s="29">
        <f t="shared" si="21"/>
        <v>1470</v>
      </c>
      <c r="K57" s="29">
        <f t="shared" si="21"/>
        <v>1470</v>
      </c>
      <c r="L57" s="29">
        <f t="shared" si="21"/>
        <v>1470</v>
      </c>
      <c r="M57" s="29">
        <f t="shared" si="21"/>
        <v>1470</v>
      </c>
      <c r="N57" s="29">
        <f t="shared" si="21"/>
        <v>1470</v>
      </c>
      <c r="O57" s="29">
        <f t="shared" si="21"/>
        <v>1470</v>
      </c>
      <c r="P57" s="29">
        <f t="shared" si="21"/>
        <v>1470</v>
      </c>
      <c r="Q57" s="29">
        <f t="shared" si="21"/>
        <v>1470</v>
      </c>
      <c r="R57" s="29">
        <f t="shared" si="21"/>
        <v>1470</v>
      </c>
      <c r="S57" s="29">
        <f t="shared" si="21"/>
        <v>1470</v>
      </c>
      <c r="T57" s="29">
        <f t="shared" si="21"/>
        <v>1470</v>
      </c>
      <c r="U57" s="29">
        <f t="shared" si="21"/>
        <v>1470</v>
      </c>
      <c r="V57" s="29">
        <f t="shared" si="21"/>
        <v>1470</v>
      </c>
      <c r="W57" s="29">
        <f t="shared" si="21"/>
        <v>1470</v>
      </c>
      <c r="X57" s="29">
        <f t="shared" si="21"/>
        <v>1470</v>
      </c>
      <c r="Y57" s="29">
        <f t="shared" si="21"/>
        <v>1470</v>
      </c>
      <c r="Z57" s="29">
        <f t="shared" si="21"/>
        <v>1470</v>
      </c>
      <c r="AA57" s="29">
        <f t="shared" si="21"/>
        <v>1470</v>
      </c>
      <c r="AB57" s="29">
        <f t="shared" si="21"/>
        <v>1470</v>
      </c>
      <c r="AC57" s="29">
        <f t="shared" si="21"/>
        <v>1470</v>
      </c>
      <c r="AD57" s="29">
        <f t="shared" si="21"/>
        <v>1470</v>
      </c>
      <c r="AE57" s="29">
        <f t="shared" si="21"/>
        <v>1470</v>
      </c>
      <c r="AF57" s="29">
        <f t="shared" si="21"/>
        <v>1470</v>
      </c>
    </row>
    <row r="58" spans="1:32">
      <c r="A58" s="60" t="s">
        <v>60</v>
      </c>
      <c r="B58" s="29">
        <f>B38</f>
        <v>1470</v>
      </c>
      <c r="C58" s="29">
        <f t="shared" ref="C58:AF58" si="22">C38</f>
        <v>1470</v>
      </c>
      <c r="D58" s="29">
        <f t="shared" si="22"/>
        <v>1470</v>
      </c>
      <c r="E58" s="29">
        <f t="shared" si="22"/>
        <v>1470</v>
      </c>
      <c r="F58" s="29">
        <f t="shared" si="22"/>
        <v>1470</v>
      </c>
      <c r="G58" s="29">
        <f t="shared" si="22"/>
        <v>1470</v>
      </c>
      <c r="H58" s="29">
        <f t="shared" si="22"/>
        <v>1470</v>
      </c>
      <c r="I58" s="29">
        <f t="shared" si="22"/>
        <v>1470</v>
      </c>
      <c r="J58" s="29">
        <f t="shared" si="22"/>
        <v>1470</v>
      </c>
      <c r="K58" s="29">
        <f t="shared" si="22"/>
        <v>1470</v>
      </c>
      <c r="L58" s="29">
        <f t="shared" si="22"/>
        <v>1470</v>
      </c>
      <c r="M58" s="29">
        <f t="shared" si="22"/>
        <v>1470</v>
      </c>
      <c r="N58" s="29">
        <f t="shared" si="22"/>
        <v>1470</v>
      </c>
      <c r="O58" s="29">
        <f t="shared" si="22"/>
        <v>1470</v>
      </c>
      <c r="P58" s="29">
        <f t="shared" si="22"/>
        <v>1470</v>
      </c>
      <c r="Q58" s="29">
        <f t="shared" si="22"/>
        <v>1470</v>
      </c>
      <c r="R58" s="29">
        <f t="shared" si="22"/>
        <v>1470</v>
      </c>
      <c r="S58" s="29">
        <f t="shared" si="22"/>
        <v>1470</v>
      </c>
      <c r="T58" s="29">
        <f t="shared" si="22"/>
        <v>1470</v>
      </c>
      <c r="U58" s="29">
        <f t="shared" si="22"/>
        <v>1470</v>
      </c>
      <c r="V58" s="29">
        <f t="shared" si="22"/>
        <v>1470</v>
      </c>
      <c r="W58" s="29">
        <f t="shared" si="22"/>
        <v>1470</v>
      </c>
      <c r="X58" s="29">
        <f t="shared" si="22"/>
        <v>1470</v>
      </c>
      <c r="Y58" s="29">
        <f t="shared" si="22"/>
        <v>1470</v>
      </c>
      <c r="Z58" s="29">
        <f t="shared" si="22"/>
        <v>1470</v>
      </c>
      <c r="AA58" s="29">
        <f t="shared" si="22"/>
        <v>1470</v>
      </c>
      <c r="AB58" s="29">
        <f t="shared" si="22"/>
        <v>1470</v>
      </c>
      <c r="AC58" s="29">
        <f t="shared" si="22"/>
        <v>1470</v>
      </c>
      <c r="AD58" s="29">
        <f t="shared" si="22"/>
        <v>1470</v>
      </c>
      <c r="AE58" s="29">
        <f t="shared" si="22"/>
        <v>1470</v>
      </c>
      <c r="AF58" s="29">
        <f t="shared" si="22"/>
        <v>1470</v>
      </c>
    </row>
    <row r="59" spans="1:32">
      <c r="A59" s="60" t="s">
        <v>61</v>
      </c>
      <c r="B59" s="29">
        <f>B39</f>
        <v>4898.25</v>
      </c>
      <c r="C59" s="29">
        <f t="shared" ref="C59:AF59" si="23">C39</f>
        <v>4898.25</v>
      </c>
      <c r="D59" s="29">
        <f t="shared" si="23"/>
        <v>4898.25</v>
      </c>
      <c r="E59" s="29">
        <f t="shared" si="23"/>
        <v>4898.25</v>
      </c>
      <c r="F59" s="29">
        <f t="shared" si="23"/>
        <v>4898.25</v>
      </c>
      <c r="G59" s="29">
        <f t="shared" si="23"/>
        <v>4898.25</v>
      </c>
      <c r="H59" s="29">
        <f t="shared" si="23"/>
        <v>4898.25</v>
      </c>
      <c r="I59" s="29">
        <f t="shared" si="23"/>
        <v>4898.25</v>
      </c>
      <c r="J59" s="29">
        <f t="shared" si="23"/>
        <v>4898.25</v>
      </c>
      <c r="K59" s="29">
        <f t="shared" si="23"/>
        <v>4898.25</v>
      </c>
      <c r="L59" s="29">
        <f t="shared" si="23"/>
        <v>4898.25</v>
      </c>
      <c r="M59" s="29">
        <f t="shared" si="23"/>
        <v>4898.25</v>
      </c>
      <c r="N59" s="29">
        <f t="shared" si="23"/>
        <v>4898.25</v>
      </c>
      <c r="O59" s="29">
        <f t="shared" si="23"/>
        <v>4898.25</v>
      </c>
      <c r="P59" s="29">
        <f t="shared" si="23"/>
        <v>4898.25</v>
      </c>
      <c r="Q59" s="29">
        <f t="shared" si="23"/>
        <v>4898.25</v>
      </c>
      <c r="R59" s="29">
        <f t="shared" si="23"/>
        <v>4898.25</v>
      </c>
      <c r="S59" s="29">
        <f t="shared" si="23"/>
        <v>4898.25</v>
      </c>
      <c r="T59" s="29">
        <f t="shared" si="23"/>
        <v>4898.25</v>
      </c>
      <c r="U59" s="29">
        <f t="shared" si="23"/>
        <v>4898.25</v>
      </c>
      <c r="V59" s="29">
        <f t="shared" si="23"/>
        <v>4898.25</v>
      </c>
      <c r="W59" s="29">
        <f t="shared" si="23"/>
        <v>4898.25</v>
      </c>
      <c r="X59" s="29">
        <f t="shared" si="23"/>
        <v>4898.25</v>
      </c>
      <c r="Y59" s="29">
        <f t="shared" si="23"/>
        <v>4898.25</v>
      </c>
      <c r="Z59" s="29">
        <f t="shared" si="23"/>
        <v>4898.25</v>
      </c>
      <c r="AA59" s="29">
        <f t="shared" si="23"/>
        <v>4898.25</v>
      </c>
      <c r="AB59" s="29">
        <f t="shared" si="23"/>
        <v>4898.25</v>
      </c>
      <c r="AC59" s="29">
        <f t="shared" si="23"/>
        <v>4898.25</v>
      </c>
      <c r="AD59" s="29">
        <f t="shared" si="23"/>
        <v>4898.25</v>
      </c>
      <c r="AE59" s="29">
        <f t="shared" si="23"/>
        <v>4898.25</v>
      </c>
      <c r="AF59" s="29">
        <f t="shared" si="23"/>
        <v>4898.25</v>
      </c>
    </row>
    <row r="62" spans="1:32">
      <c r="A62" s="91" t="s">
        <v>203</v>
      </c>
      <c r="B62" s="25">
        <f>Cal!B1</f>
        <v>2020</v>
      </c>
      <c r="C62" s="25">
        <v>2030</v>
      </c>
      <c r="D62" s="25">
        <v>2040</v>
      </c>
      <c r="E62" s="25">
        <v>2050</v>
      </c>
    </row>
    <row r="63" spans="1:32">
      <c r="A63" s="59" t="s">
        <v>48</v>
      </c>
      <c r="B63" s="29">
        <f>Cal!B2</f>
        <v>25228</v>
      </c>
      <c r="C63" s="29">
        <f>$B63*'Projections - CABRI'!B21</f>
        <v>22705.200000000001</v>
      </c>
      <c r="D63" s="29">
        <f>$B63*'Projections - CABRI'!C21</f>
        <v>18921</v>
      </c>
      <c r="E63" s="29">
        <f>$B63*'Projections - CABRI'!D21</f>
        <v>18921</v>
      </c>
    </row>
    <row r="64" spans="1:32">
      <c r="A64" s="59" t="s">
        <v>49</v>
      </c>
      <c r="B64" s="29">
        <f>Cal!B3</f>
        <v>12614</v>
      </c>
      <c r="C64" s="29">
        <f>$B64*'Projections - CABRI'!B22</f>
        <v>10968.695652173912</v>
      </c>
      <c r="D64" s="29">
        <f>$B64*'Projections - CABRI'!C22</f>
        <v>10968.695652173912</v>
      </c>
      <c r="E64" s="29">
        <f>$B64*'Projections - CABRI'!D22</f>
        <v>10968.695652173912</v>
      </c>
    </row>
    <row r="65" spans="1:5">
      <c r="A65" s="59" t="s">
        <v>71</v>
      </c>
      <c r="B65" s="29">
        <f>Cal!B4</f>
        <v>77260.75</v>
      </c>
      <c r="C65" s="29">
        <f>$B65*'Projections - CABRI'!B23</f>
        <v>77260.75</v>
      </c>
      <c r="D65" s="29">
        <f>$B65*'Projections - CABRI'!C23</f>
        <v>77260.75</v>
      </c>
      <c r="E65" s="29">
        <f>$B65*'Projections - CABRI'!D23</f>
        <v>77260.75</v>
      </c>
    </row>
    <row r="66" spans="1:5">
      <c r="A66" s="59" t="s">
        <v>50</v>
      </c>
      <c r="B66" s="29">
        <f>Cal!B5</f>
        <v>14190.75</v>
      </c>
      <c r="C66" s="29">
        <f>$B66*'Projections - CABRI'!B24</f>
        <v>14190.75</v>
      </c>
      <c r="D66" s="29">
        <f>$B66*'Projections - CABRI'!C24</f>
        <v>14190.75</v>
      </c>
      <c r="E66" s="29">
        <f>$B66*'Projections - CABRI'!D24</f>
        <v>14190.75</v>
      </c>
    </row>
    <row r="67" spans="1:5">
      <c r="A67" s="59" t="s">
        <v>51</v>
      </c>
      <c r="B67" s="29">
        <f>Cal!B6</f>
        <v>14190.75</v>
      </c>
      <c r="C67" s="29">
        <f>$B67*'Projections - CABRI'!B25</f>
        <v>11251.565533980583</v>
      </c>
      <c r="D67" s="29">
        <f>$B67*'Projections - CABRI'!C25</f>
        <v>10034.559466019417</v>
      </c>
      <c r="E67" s="29">
        <f>$B67*'Projections - CABRI'!D25</f>
        <v>8633.8543689320395</v>
      </c>
    </row>
    <row r="68" spans="1:5">
      <c r="A68" s="59" t="s">
        <v>52</v>
      </c>
      <c r="B68" s="29">
        <f>Cal!B7</f>
        <v>7883.75</v>
      </c>
      <c r="C68" s="29">
        <f>$B68*'Projections - CABRI'!B26</f>
        <v>5764.1020191285861</v>
      </c>
      <c r="D68" s="29">
        <f>$B68*'Projections - CABRI'!C26</f>
        <v>6183.0047821466524</v>
      </c>
      <c r="E68" s="29">
        <f>$B68*'Projections - CABRI'!D26</f>
        <v>4289.5642933049949</v>
      </c>
    </row>
    <row r="69" spans="1:5" s="59" customFormat="1">
      <c r="A69" s="92" t="s">
        <v>63</v>
      </c>
      <c r="B69" s="29">
        <f>'solar thermal'!B16</f>
        <v>96466.346166182542</v>
      </c>
      <c r="C69" s="29">
        <f>$B69*'Projections - CABRI'!B27</f>
        <v>80231.960246555784</v>
      </c>
      <c r="D69" s="29">
        <f>$B69*'Projections - CABRI'!C27</f>
        <v>73604.379733734648</v>
      </c>
      <c r="E69" s="29">
        <f>$B69*'Projections - CABRI'!D27</f>
        <v>70449.906316574605</v>
      </c>
    </row>
    <row r="70" spans="1:5">
      <c r="A70" s="59" t="s">
        <v>53</v>
      </c>
      <c r="B70" s="29">
        <f>Cal!B8</f>
        <v>14190.75</v>
      </c>
      <c r="C70" s="29">
        <f>$B70*'Projections - CABRI'!B27</f>
        <v>11802.579190751445</v>
      </c>
      <c r="D70" s="29">
        <f>$B70*'Projections - CABRI'!C27</f>
        <v>10827.624277456647</v>
      </c>
      <c r="E70" s="29">
        <f>$B70*'Projections - CABRI'!D27</f>
        <v>10363.58323699422</v>
      </c>
    </row>
    <row r="71" spans="1:5">
      <c r="A71" s="59" t="s">
        <v>54</v>
      </c>
      <c r="B71" s="29">
        <f>Cal!B9</f>
        <v>14191</v>
      </c>
      <c r="C71" s="29">
        <f>$B71*'Projections - CABRI'!B28</f>
        <v>14191</v>
      </c>
      <c r="D71" s="29">
        <f>$B71*'Projections - CABRI'!C28</f>
        <v>14191</v>
      </c>
      <c r="E71" s="29">
        <f>$B71*'Projections - CABRI'!D28</f>
        <v>14191</v>
      </c>
    </row>
    <row r="72" spans="1:5">
      <c r="A72" s="59" t="s">
        <v>55</v>
      </c>
      <c r="B72" s="29">
        <f>Cal!B10</f>
        <v>78837.5</v>
      </c>
      <c r="C72" s="29">
        <f>$B72*'Projections - CABRI'!B29</f>
        <v>18080.066666666666</v>
      </c>
      <c r="D72" s="29">
        <f>$B72*'Projections - CABRI'!C29</f>
        <v>19394.025000000001</v>
      </c>
      <c r="E72" s="29">
        <f>$B72*'Projections - CABRI'!D29</f>
        <v>13454.933333333332</v>
      </c>
    </row>
    <row r="73" spans="1:5">
      <c r="A73" s="59" t="s">
        <v>56</v>
      </c>
      <c r="B73" s="29">
        <f>Cal!B11</f>
        <v>12614</v>
      </c>
      <c r="C73" s="29">
        <f>$B73*'Projections - CABRI'!B30</f>
        <v>12614</v>
      </c>
      <c r="D73" s="29">
        <f>$B73*'Projections - CABRI'!C30</f>
        <v>12614</v>
      </c>
      <c r="E73" s="29">
        <f>$B73*'Projections - CABRI'!D30</f>
        <v>12614</v>
      </c>
    </row>
    <row r="74" spans="1:5">
      <c r="A74" s="59" t="s">
        <v>57</v>
      </c>
      <c r="B74" s="29">
        <f>Cal!B12</f>
        <v>25228</v>
      </c>
      <c r="C74" s="29">
        <f>$B74*'Projections - CABRI'!B31</f>
        <v>22074.5</v>
      </c>
      <c r="D74" s="29">
        <f>$B74*'Projections - CABRI'!C31</f>
        <v>18921</v>
      </c>
      <c r="E74" s="29">
        <f>$B74*'Projections - CABRI'!D31</f>
        <v>18921</v>
      </c>
    </row>
    <row r="75" spans="1:5">
      <c r="A75" s="59" t="s">
        <v>58</v>
      </c>
      <c r="B75" s="29">
        <f>Cal!B13</f>
        <v>77260.75</v>
      </c>
      <c r="C75" s="29">
        <f>$B75*'Projections - CABRI'!B32</f>
        <v>69534.675000000003</v>
      </c>
      <c r="D75" s="29">
        <f>$B75*'Projections - CABRI'!C32</f>
        <v>57945.5625</v>
      </c>
      <c r="E75" s="29">
        <f>$B75*'Projections - CABRI'!D32</f>
        <v>57945.5625</v>
      </c>
    </row>
    <row r="76" spans="1:5">
      <c r="A76" s="59" t="s">
        <v>59</v>
      </c>
      <c r="B76" s="29">
        <f>Cal!B14</f>
        <v>78837.5</v>
      </c>
      <c r="C76" s="29">
        <f>$B76*'Projections - CABRI'!B33</f>
        <v>66062.459984756104</v>
      </c>
      <c r="D76" s="29">
        <f>$B76*'Projections - CABRI'!C33</f>
        <v>57481.671112804877</v>
      </c>
      <c r="E76" s="29">
        <f>$B76*'Projections - CABRI'!D33</f>
        <v>49273.4375</v>
      </c>
    </row>
    <row r="77" spans="1:5">
      <c r="A77" s="59" t="s">
        <v>60</v>
      </c>
      <c r="B77" s="29">
        <f>Cal!B15</f>
        <v>78837.5</v>
      </c>
      <c r="C77" s="29">
        <f>$B77*'Projections - CABRI'!B34</f>
        <v>78837.5</v>
      </c>
      <c r="D77" s="29">
        <f>$B77*'Projections - CABRI'!C34</f>
        <v>78837.5</v>
      </c>
      <c r="E77" s="29">
        <f>$B77*'Projections - CABRI'!D34</f>
        <v>78837.5</v>
      </c>
    </row>
    <row r="78" spans="1:5">
      <c r="A78" s="59" t="s">
        <v>61</v>
      </c>
      <c r="B78" s="29">
        <f>Cal!B16</f>
        <v>233952</v>
      </c>
      <c r="C78" s="29">
        <f>$B78*'Projections - CABRI'!B35</f>
        <v>233952</v>
      </c>
      <c r="D78" s="29">
        <f>$B78*'Projections - CABRI'!C35</f>
        <v>233952</v>
      </c>
      <c r="E78" s="29">
        <f>$B78*'Projections - CABRI'!D35</f>
        <v>233952</v>
      </c>
    </row>
    <row r="81" spans="1:32">
      <c r="A81" s="91" t="s">
        <v>203</v>
      </c>
    </row>
    <row r="82" spans="1:32">
      <c r="A82" s="25" t="s">
        <v>197</v>
      </c>
      <c r="B82" s="25">
        <v>2020</v>
      </c>
      <c r="C82" s="25">
        <v>2021</v>
      </c>
      <c r="D82" s="25">
        <v>2022</v>
      </c>
      <c r="E82" s="25">
        <v>2023</v>
      </c>
      <c r="F82" s="25">
        <v>2024</v>
      </c>
      <c r="G82" s="25">
        <v>2025</v>
      </c>
      <c r="H82" s="25">
        <v>2026</v>
      </c>
      <c r="I82" s="25">
        <v>2027</v>
      </c>
      <c r="J82" s="25">
        <v>2028</v>
      </c>
      <c r="K82" s="25">
        <v>2029</v>
      </c>
      <c r="L82" s="25">
        <v>2030</v>
      </c>
      <c r="M82" s="25">
        <v>2031</v>
      </c>
      <c r="N82" s="25">
        <v>2032</v>
      </c>
      <c r="O82" s="25">
        <v>2033</v>
      </c>
      <c r="P82" s="25">
        <v>2034</v>
      </c>
      <c r="Q82" s="25">
        <v>2035</v>
      </c>
      <c r="R82" s="25">
        <v>2036</v>
      </c>
      <c r="S82" s="25">
        <v>2037</v>
      </c>
      <c r="T82" s="25">
        <v>2038</v>
      </c>
      <c r="U82" s="25">
        <v>2039</v>
      </c>
      <c r="V82" s="25">
        <v>2040</v>
      </c>
      <c r="W82" s="25">
        <v>2041</v>
      </c>
      <c r="X82" s="25">
        <v>2042</v>
      </c>
      <c r="Y82" s="25">
        <v>2043</v>
      </c>
      <c r="Z82" s="25">
        <v>2044</v>
      </c>
      <c r="AA82" s="25">
        <v>2045</v>
      </c>
      <c r="AB82" s="25">
        <v>2046</v>
      </c>
      <c r="AC82" s="25">
        <v>2047</v>
      </c>
      <c r="AD82" s="25">
        <v>2048</v>
      </c>
      <c r="AE82" s="25">
        <v>2049</v>
      </c>
      <c r="AF82" s="25">
        <v>2050</v>
      </c>
    </row>
    <row r="83" spans="1:32">
      <c r="A83" s="29" t="s">
        <v>172</v>
      </c>
      <c r="B83" s="29">
        <f>B63</f>
        <v>25228</v>
      </c>
      <c r="C83" s="29">
        <f>($B83+(($L83-$B83)/($L$2-$B$2))*(C$2-$B$2))</f>
        <v>24975.72</v>
      </c>
      <c r="D83" s="29">
        <f t="shared" ref="D83:K83" si="24">($B83+(($L83-$B83)/($L$2-$B$2))*(D$2-$B$2))</f>
        <v>24723.439999999999</v>
      </c>
      <c r="E83" s="29">
        <f t="shared" si="24"/>
        <v>24471.16</v>
      </c>
      <c r="F83" s="29">
        <f t="shared" si="24"/>
        <v>24218.880000000001</v>
      </c>
      <c r="G83" s="29">
        <f t="shared" si="24"/>
        <v>23966.6</v>
      </c>
      <c r="H83" s="29">
        <f t="shared" si="24"/>
        <v>23714.32</v>
      </c>
      <c r="I83" s="29">
        <f t="shared" si="24"/>
        <v>23462.04</v>
      </c>
      <c r="J83" s="29">
        <f t="shared" si="24"/>
        <v>23209.760000000002</v>
      </c>
      <c r="K83" s="29">
        <f t="shared" si="24"/>
        <v>22957.48</v>
      </c>
      <c r="L83" s="29">
        <f>C63</f>
        <v>22705.200000000001</v>
      </c>
      <c r="M83" s="29">
        <f>($L83+(($V83-$L83)/($V$2-$L$2))*(M$2-$L$2))</f>
        <v>22326.78</v>
      </c>
      <c r="N83" s="29">
        <f t="shared" ref="N83:U83" si="25">($L83+(($V83-$L83)/($V$2-$L$2))*(N$2-$L$2))</f>
        <v>21948.36</v>
      </c>
      <c r="O83" s="29">
        <f t="shared" si="25"/>
        <v>21569.940000000002</v>
      </c>
      <c r="P83" s="29">
        <f t="shared" si="25"/>
        <v>21191.52</v>
      </c>
      <c r="Q83" s="29">
        <f t="shared" si="25"/>
        <v>20813.099999999999</v>
      </c>
      <c r="R83" s="29">
        <f t="shared" si="25"/>
        <v>20434.68</v>
      </c>
      <c r="S83" s="29">
        <f t="shared" si="25"/>
        <v>20056.260000000002</v>
      </c>
      <c r="T83" s="29">
        <f t="shared" si="25"/>
        <v>19677.84</v>
      </c>
      <c r="U83" s="29">
        <f t="shared" si="25"/>
        <v>19299.419999999998</v>
      </c>
      <c r="V83" s="29">
        <f>D63</f>
        <v>18921</v>
      </c>
      <c r="W83" s="29">
        <f>($V83+(($AF83-$V83)/($AF$2-$V$2))*(W$2-$V$2))</f>
        <v>18921</v>
      </c>
      <c r="X83" s="29">
        <f t="shared" ref="X83:AE83" si="26">($V83+(($AF83-$V83)/($AF$2-$V$2))*(X$2-$V$2))</f>
        <v>18921</v>
      </c>
      <c r="Y83" s="29">
        <f t="shared" si="26"/>
        <v>18921</v>
      </c>
      <c r="Z83" s="29">
        <f t="shared" si="26"/>
        <v>18921</v>
      </c>
      <c r="AA83" s="29">
        <f t="shared" si="26"/>
        <v>18921</v>
      </c>
      <c r="AB83" s="29">
        <f t="shared" si="26"/>
        <v>18921</v>
      </c>
      <c r="AC83" s="29">
        <f t="shared" si="26"/>
        <v>18921</v>
      </c>
      <c r="AD83" s="29">
        <f t="shared" si="26"/>
        <v>18921</v>
      </c>
      <c r="AE83" s="29">
        <f t="shared" si="26"/>
        <v>18921</v>
      </c>
      <c r="AF83" s="29">
        <f>E63</f>
        <v>18921</v>
      </c>
    </row>
    <row r="84" spans="1:32">
      <c r="A84" s="29" t="s">
        <v>77</v>
      </c>
      <c r="B84" s="29">
        <f t="shared" ref="B84:B98" si="27">B64</f>
        <v>12614</v>
      </c>
      <c r="C84" s="29">
        <f>($B84+(($L84-$B84)/($L$2-$B$2))*(C$2-$B$2))</f>
        <v>12449.46956521739</v>
      </c>
      <c r="D84" s="29">
        <f>($B84+(($L84-$B84)/($L$2-$B$2))*(D$2-$B$2))</f>
        <v>12284.939130434783</v>
      </c>
      <c r="E84" s="29">
        <f>($B84+(($L84-$B84)/($L$2-$B$2))*(E$2-$B$2))</f>
        <v>12120.408695652173</v>
      </c>
      <c r="F84" s="29">
        <f>($B84+(($L84-$B84)/($L$2-$B$2))*(F$2-$B$2))</f>
        <v>11955.878260869566</v>
      </c>
      <c r="G84" s="29">
        <f>($B84+(($L84-$B84)/($L$2-$B$2))*(G$2-$B$2))</f>
        <v>11791.347826086956</v>
      </c>
      <c r="H84" s="29">
        <f>($B84+(($L84-$B84)/($L$2-$B$2))*(H$2-$B$2))</f>
        <v>11626.817391304347</v>
      </c>
      <c r="I84" s="29">
        <f>($B84+(($L84-$B84)/($L$2-$B$2))*(I$2-$B$2))</f>
        <v>11462.286956521739</v>
      </c>
      <c r="J84" s="29">
        <f>($B84+(($L84-$B84)/($L$2-$B$2))*(J$2-$B$2))</f>
        <v>11297.756521739129</v>
      </c>
      <c r="K84" s="29">
        <f>($B84+(($L84-$B84)/($L$2-$B$2))*(K$2-$B$2))</f>
        <v>11133.226086956522</v>
      </c>
      <c r="L84" s="29">
        <f t="shared" ref="L84:L98" si="28">C64</f>
        <v>10968.695652173912</v>
      </c>
      <c r="M84" s="29">
        <f>($L84+(($V84-$L84)/($V$2-$L$2))*(M$2-$L$2))</f>
        <v>10968.695652173912</v>
      </c>
      <c r="N84" s="29">
        <f>($L84+(($V84-$L84)/($V$2-$L$2))*(N$2-$L$2))</f>
        <v>10968.695652173912</v>
      </c>
      <c r="O84" s="29">
        <f>($L84+(($V84-$L84)/($V$2-$L$2))*(O$2-$L$2))</f>
        <v>10968.695652173912</v>
      </c>
      <c r="P84" s="29">
        <f>($L84+(($V84-$L84)/($V$2-$L$2))*(P$2-$L$2))</f>
        <v>10968.695652173912</v>
      </c>
      <c r="Q84" s="29">
        <f>($L84+(($V84-$L84)/($V$2-$L$2))*(Q$2-$L$2))</f>
        <v>10968.695652173912</v>
      </c>
      <c r="R84" s="29">
        <f>($L84+(($V84-$L84)/($V$2-$L$2))*(R$2-$L$2))</f>
        <v>10968.695652173912</v>
      </c>
      <c r="S84" s="29">
        <f>($L84+(($V84-$L84)/($V$2-$L$2))*(S$2-$L$2))</f>
        <v>10968.695652173912</v>
      </c>
      <c r="T84" s="29">
        <f>($L84+(($V84-$L84)/($V$2-$L$2))*(T$2-$L$2))</f>
        <v>10968.695652173912</v>
      </c>
      <c r="U84" s="29">
        <f>($L84+(($V84-$L84)/($V$2-$L$2))*(U$2-$L$2))</f>
        <v>10968.695652173912</v>
      </c>
      <c r="V84" s="29">
        <f t="shared" ref="V84:V98" si="29">D64</f>
        <v>10968.695652173912</v>
      </c>
      <c r="W84" s="29">
        <f t="shared" ref="W84:AE98" si="30">($V84+(($AF84-$V84)/($AF$2-$V$2))*(W$2-$V$2))</f>
        <v>10968.695652173912</v>
      </c>
      <c r="X84" s="29">
        <f t="shared" si="30"/>
        <v>10968.695652173912</v>
      </c>
      <c r="Y84" s="29">
        <f t="shared" si="30"/>
        <v>10968.695652173912</v>
      </c>
      <c r="Z84" s="29">
        <f t="shared" si="30"/>
        <v>10968.695652173912</v>
      </c>
      <c r="AA84" s="29">
        <f t="shared" si="30"/>
        <v>10968.695652173912</v>
      </c>
      <c r="AB84" s="29">
        <f t="shared" si="30"/>
        <v>10968.695652173912</v>
      </c>
      <c r="AC84" s="29">
        <f t="shared" si="30"/>
        <v>10968.695652173912</v>
      </c>
      <c r="AD84" s="29">
        <f t="shared" si="30"/>
        <v>10968.695652173912</v>
      </c>
      <c r="AE84" s="29">
        <f t="shared" si="30"/>
        <v>10968.695652173912</v>
      </c>
      <c r="AF84" s="29">
        <f t="shared" ref="AF84:AF98" si="31">E64</f>
        <v>10968.695652173912</v>
      </c>
    </row>
    <row r="85" spans="1:32">
      <c r="A85" s="29" t="s">
        <v>175</v>
      </c>
      <c r="B85" s="29">
        <f t="shared" si="27"/>
        <v>77260.75</v>
      </c>
      <c r="C85" s="29">
        <f>($B85+(($L85-$B85)/($L$2-$B$2))*(C$2-$B$2))</f>
        <v>77260.75</v>
      </c>
      <c r="D85" s="29">
        <f>($B85+(($L85-$B85)/($L$2-$B$2))*(D$2-$B$2))</f>
        <v>77260.75</v>
      </c>
      <c r="E85" s="29">
        <f>($B85+(($L85-$B85)/($L$2-$B$2))*(E$2-$B$2))</f>
        <v>77260.75</v>
      </c>
      <c r="F85" s="29">
        <f>($B85+(($L85-$B85)/($L$2-$B$2))*(F$2-$B$2))</f>
        <v>77260.75</v>
      </c>
      <c r="G85" s="29">
        <f>($B85+(($L85-$B85)/($L$2-$B$2))*(G$2-$B$2))</f>
        <v>77260.75</v>
      </c>
      <c r="H85" s="29">
        <f>($B85+(($L85-$B85)/($L$2-$B$2))*(H$2-$B$2))</f>
        <v>77260.75</v>
      </c>
      <c r="I85" s="29">
        <f>($B85+(($L85-$B85)/($L$2-$B$2))*(I$2-$B$2))</f>
        <v>77260.75</v>
      </c>
      <c r="J85" s="29">
        <f>($B85+(($L85-$B85)/($L$2-$B$2))*(J$2-$B$2))</f>
        <v>77260.75</v>
      </c>
      <c r="K85" s="29">
        <f>($B85+(($L85-$B85)/($L$2-$B$2))*(K$2-$B$2))</f>
        <v>77260.75</v>
      </c>
      <c r="L85" s="29">
        <f t="shared" si="28"/>
        <v>77260.75</v>
      </c>
      <c r="M85" s="29">
        <f>($L85+(($V85-$L85)/($V$2-$L$2))*(M$2-$L$2))</f>
        <v>77260.75</v>
      </c>
      <c r="N85" s="29">
        <f>($L85+(($V85-$L85)/($V$2-$L$2))*(N$2-$L$2))</f>
        <v>77260.75</v>
      </c>
      <c r="O85" s="29">
        <f>($L85+(($V85-$L85)/($V$2-$L$2))*(O$2-$L$2))</f>
        <v>77260.75</v>
      </c>
      <c r="P85" s="29">
        <f>($L85+(($V85-$L85)/($V$2-$L$2))*(P$2-$L$2))</f>
        <v>77260.75</v>
      </c>
      <c r="Q85" s="29">
        <f>($L85+(($V85-$L85)/($V$2-$L$2))*(Q$2-$L$2))</f>
        <v>77260.75</v>
      </c>
      <c r="R85" s="29">
        <f>($L85+(($V85-$L85)/($V$2-$L$2))*(R$2-$L$2))</f>
        <v>77260.75</v>
      </c>
      <c r="S85" s="29">
        <f>($L85+(($V85-$L85)/($V$2-$L$2))*(S$2-$L$2))</f>
        <v>77260.75</v>
      </c>
      <c r="T85" s="29">
        <f>($L85+(($V85-$L85)/($V$2-$L$2))*(T$2-$L$2))</f>
        <v>77260.75</v>
      </c>
      <c r="U85" s="29">
        <f>($L85+(($V85-$L85)/($V$2-$L$2))*(U$2-$L$2))</f>
        <v>77260.75</v>
      </c>
      <c r="V85" s="29">
        <f t="shared" si="29"/>
        <v>77260.75</v>
      </c>
      <c r="W85" s="29">
        <f t="shared" si="30"/>
        <v>77260.75</v>
      </c>
      <c r="X85" s="29">
        <f t="shared" si="30"/>
        <v>77260.75</v>
      </c>
      <c r="Y85" s="29">
        <f t="shared" si="30"/>
        <v>77260.75</v>
      </c>
      <c r="Z85" s="29">
        <f t="shared" si="30"/>
        <v>77260.75</v>
      </c>
      <c r="AA85" s="29">
        <f t="shared" si="30"/>
        <v>77260.75</v>
      </c>
      <c r="AB85" s="29">
        <f t="shared" si="30"/>
        <v>77260.75</v>
      </c>
      <c r="AC85" s="29">
        <f t="shared" si="30"/>
        <v>77260.75</v>
      </c>
      <c r="AD85" s="29">
        <f t="shared" si="30"/>
        <v>77260.75</v>
      </c>
      <c r="AE85" s="29">
        <f t="shared" si="30"/>
        <v>77260.75</v>
      </c>
      <c r="AF85" s="29">
        <f t="shared" si="31"/>
        <v>77260.75</v>
      </c>
    </row>
    <row r="86" spans="1:32">
      <c r="A86" s="29" t="s">
        <v>177</v>
      </c>
      <c r="B86" s="29">
        <f t="shared" si="27"/>
        <v>14190.75</v>
      </c>
      <c r="C86" s="29">
        <f>($B86+(($L86-$B86)/($L$2-$B$2))*(C$2-$B$2))</f>
        <v>14190.75</v>
      </c>
      <c r="D86" s="29">
        <f>($B86+(($L86-$B86)/($L$2-$B$2))*(D$2-$B$2))</f>
        <v>14190.75</v>
      </c>
      <c r="E86" s="29">
        <f>($B86+(($L86-$B86)/($L$2-$B$2))*(E$2-$B$2))</f>
        <v>14190.75</v>
      </c>
      <c r="F86" s="29">
        <f>($B86+(($L86-$B86)/($L$2-$B$2))*(F$2-$B$2))</f>
        <v>14190.75</v>
      </c>
      <c r="G86" s="29">
        <f>($B86+(($L86-$B86)/($L$2-$B$2))*(G$2-$B$2))</f>
        <v>14190.75</v>
      </c>
      <c r="H86" s="29">
        <f>($B86+(($L86-$B86)/($L$2-$B$2))*(H$2-$B$2))</f>
        <v>14190.75</v>
      </c>
      <c r="I86" s="29">
        <f>($B86+(($L86-$B86)/($L$2-$B$2))*(I$2-$B$2))</f>
        <v>14190.75</v>
      </c>
      <c r="J86" s="29">
        <f>($B86+(($L86-$B86)/($L$2-$B$2))*(J$2-$B$2))</f>
        <v>14190.75</v>
      </c>
      <c r="K86" s="29">
        <f>($B86+(($L86-$B86)/($L$2-$B$2))*(K$2-$B$2))</f>
        <v>14190.75</v>
      </c>
      <c r="L86" s="29">
        <f t="shared" si="28"/>
        <v>14190.75</v>
      </c>
      <c r="M86" s="29">
        <f>($L86+(($V86-$L86)/($V$2-$L$2))*(M$2-$L$2))</f>
        <v>14190.75</v>
      </c>
      <c r="N86" s="29">
        <f>($L86+(($V86-$L86)/($V$2-$L$2))*(N$2-$L$2))</f>
        <v>14190.75</v>
      </c>
      <c r="O86" s="29">
        <f>($L86+(($V86-$L86)/($V$2-$L$2))*(O$2-$L$2))</f>
        <v>14190.75</v>
      </c>
      <c r="P86" s="29">
        <f>($L86+(($V86-$L86)/($V$2-$L$2))*(P$2-$L$2))</f>
        <v>14190.75</v>
      </c>
      <c r="Q86" s="29">
        <f>($L86+(($V86-$L86)/($V$2-$L$2))*(Q$2-$L$2))</f>
        <v>14190.75</v>
      </c>
      <c r="R86" s="29">
        <f>($L86+(($V86-$L86)/($V$2-$L$2))*(R$2-$L$2))</f>
        <v>14190.75</v>
      </c>
      <c r="S86" s="29">
        <f>($L86+(($V86-$L86)/($V$2-$L$2))*(S$2-$L$2))</f>
        <v>14190.75</v>
      </c>
      <c r="T86" s="29">
        <f>($L86+(($V86-$L86)/($V$2-$L$2))*(T$2-$L$2))</f>
        <v>14190.75</v>
      </c>
      <c r="U86" s="29">
        <f>($L86+(($V86-$L86)/($V$2-$L$2))*(U$2-$L$2))</f>
        <v>14190.75</v>
      </c>
      <c r="V86" s="29">
        <f t="shared" si="29"/>
        <v>14190.75</v>
      </c>
      <c r="W86" s="29">
        <f t="shared" si="30"/>
        <v>14190.75</v>
      </c>
      <c r="X86" s="29">
        <f t="shared" si="30"/>
        <v>14190.75</v>
      </c>
      <c r="Y86" s="29">
        <f t="shared" si="30"/>
        <v>14190.75</v>
      </c>
      <c r="Z86" s="29">
        <f t="shared" si="30"/>
        <v>14190.75</v>
      </c>
      <c r="AA86" s="29">
        <f t="shared" si="30"/>
        <v>14190.75</v>
      </c>
      <c r="AB86" s="29">
        <f t="shared" si="30"/>
        <v>14190.75</v>
      </c>
      <c r="AC86" s="29">
        <f t="shared" si="30"/>
        <v>14190.75</v>
      </c>
      <c r="AD86" s="29">
        <f t="shared" si="30"/>
        <v>14190.75</v>
      </c>
      <c r="AE86" s="29">
        <f t="shared" si="30"/>
        <v>14190.75</v>
      </c>
      <c r="AF86" s="29">
        <f t="shared" si="31"/>
        <v>14190.75</v>
      </c>
    </row>
    <row r="87" spans="1:32">
      <c r="A87" s="29" t="s">
        <v>71</v>
      </c>
      <c r="B87" s="29">
        <f t="shared" si="27"/>
        <v>14190.75</v>
      </c>
      <c r="C87" s="29">
        <f>($B87+(($L87-$B87)/($L$2-$B$2))*(C$2-$B$2))</f>
        <v>13896.831553398059</v>
      </c>
      <c r="D87" s="29">
        <f>($B87+(($L87-$B87)/($L$2-$B$2))*(D$2-$B$2))</f>
        <v>13602.913106796117</v>
      </c>
      <c r="E87" s="29">
        <f>($B87+(($L87-$B87)/($L$2-$B$2))*(E$2-$B$2))</f>
        <v>13308.994660194176</v>
      </c>
      <c r="F87" s="29">
        <f>($B87+(($L87-$B87)/($L$2-$B$2))*(F$2-$B$2))</f>
        <v>13015.076213592234</v>
      </c>
      <c r="G87" s="29">
        <f>($B87+(($L87-$B87)/($L$2-$B$2))*(G$2-$B$2))</f>
        <v>12721.157766990291</v>
      </c>
      <c r="H87" s="29">
        <f>($B87+(($L87-$B87)/($L$2-$B$2))*(H$2-$B$2))</f>
        <v>12427.239320388351</v>
      </c>
      <c r="I87" s="29">
        <f>($B87+(($L87-$B87)/($L$2-$B$2))*(I$2-$B$2))</f>
        <v>12133.320873786408</v>
      </c>
      <c r="J87" s="29">
        <f>($B87+(($L87-$B87)/($L$2-$B$2))*(J$2-$B$2))</f>
        <v>11839.402427184466</v>
      </c>
      <c r="K87" s="29">
        <f>($B87+(($L87-$B87)/($L$2-$B$2))*(K$2-$B$2))</f>
        <v>11545.483980582525</v>
      </c>
      <c r="L87" s="29">
        <f t="shared" si="28"/>
        <v>11251.565533980583</v>
      </c>
      <c r="M87" s="29">
        <f>($L87+(($V87-$L87)/($V$2-$L$2))*(M$2-$L$2))</f>
        <v>11129.864927184466</v>
      </c>
      <c r="N87" s="29">
        <f>($L87+(($V87-$L87)/($V$2-$L$2))*(N$2-$L$2))</f>
        <v>11008.16432038835</v>
      </c>
      <c r="O87" s="29">
        <f>($L87+(($V87-$L87)/($V$2-$L$2))*(O$2-$L$2))</f>
        <v>10886.463713592233</v>
      </c>
      <c r="P87" s="29">
        <f>($L87+(($V87-$L87)/($V$2-$L$2))*(P$2-$L$2))</f>
        <v>10764.763106796117</v>
      </c>
      <c r="Q87" s="29">
        <f>($L87+(($V87-$L87)/($V$2-$L$2))*(Q$2-$L$2))</f>
        <v>10643.0625</v>
      </c>
      <c r="R87" s="29">
        <f>($L87+(($V87-$L87)/($V$2-$L$2))*(R$2-$L$2))</f>
        <v>10521.361893203883</v>
      </c>
      <c r="S87" s="29">
        <f>($L87+(($V87-$L87)/($V$2-$L$2))*(S$2-$L$2))</f>
        <v>10399.661286407767</v>
      </c>
      <c r="T87" s="29">
        <f>($L87+(($V87-$L87)/($V$2-$L$2))*(T$2-$L$2))</f>
        <v>10277.96067961165</v>
      </c>
      <c r="U87" s="29">
        <f>($L87+(($V87-$L87)/($V$2-$L$2))*(U$2-$L$2))</f>
        <v>10156.260072815534</v>
      </c>
      <c r="V87" s="29">
        <f t="shared" si="29"/>
        <v>10034.559466019417</v>
      </c>
      <c r="W87" s="29">
        <f t="shared" si="30"/>
        <v>9894.488956310679</v>
      </c>
      <c r="X87" s="29">
        <f t="shared" si="30"/>
        <v>9754.4184466019415</v>
      </c>
      <c r="Y87" s="29">
        <f t="shared" si="30"/>
        <v>9614.347936893204</v>
      </c>
      <c r="Z87" s="29">
        <f t="shared" si="30"/>
        <v>9474.2774271844664</v>
      </c>
      <c r="AA87" s="29">
        <f t="shared" si="30"/>
        <v>9334.2069174757271</v>
      </c>
      <c r="AB87" s="29">
        <f t="shared" si="30"/>
        <v>9194.1364077669896</v>
      </c>
      <c r="AC87" s="29">
        <f t="shared" si="30"/>
        <v>9054.0658980582521</v>
      </c>
      <c r="AD87" s="29">
        <f t="shared" si="30"/>
        <v>8913.9953883495145</v>
      </c>
      <c r="AE87" s="29">
        <f t="shared" si="30"/>
        <v>8773.924878640777</v>
      </c>
      <c r="AF87" s="29">
        <f t="shared" si="31"/>
        <v>8633.8543689320395</v>
      </c>
    </row>
    <row r="88" spans="1:32">
      <c r="A88" s="29" t="s">
        <v>72</v>
      </c>
      <c r="B88" s="29">
        <f t="shared" si="27"/>
        <v>7883.75</v>
      </c>
      <c r="C88" s="29">
        <f>($B88+(($L88-$B88)/($L$2-$B$2))*(C$2-$B$2))</f>
        <v>7671.7852019128586</v>
      </c>
      <c r="D88" s="29">
        <f>($B88+(($L88-$B88)/($L$2-$B$2))*(D$2-$B$2))</f>
        <v>7459.8204038257172</v>
      </c>
      <c r="E88" s="29">
        <f>($B88+(($L88-$B88)/($L$2-$B$2))*(E$2-$B$2))</f>
        <v>7247.8556057385758</v>
      </c>
      <c r="F88" s="29">
        <f>($B88+(($L88-$B88)/($L$2-$B$2))*(F$2-$B$2))</f>
        <v>7035.8908076514344</v>
      </c>
      <c r="G88" s="29">
        <f>($B88+(($L88-$B88)/($L$2-$B$2))*(G$2-$B$2))</f>
        <v>6823.9260095642931</v>
      </c>
      <c r="H88" s="29">
        <f>($B88+(($L88-$B88)/($L$2-$B$2))*(H$2-$B$2))</f>
        <v>6611.9612114771517</v>
      </c>
      <c r="I88" s="29">
        <f>($B88+(($L88-$B88)/($L$2-$B$2))*(I$2-$B$2))</f>
        <v>6399.9964133900103</v>
      </c>
      <c r="J88" s="29">
        <f>($B88+(($L88-$B88)/($L$2-$B$2))*(J$2-$B$2))</f>
        <v>6188.0316153028689</v>
      </c>
      <c r="K88" s="29">
        <f>($B88+(($L88-$B88)/($L$2-$B$2))*(K$2-$B$2))</f>
        <v>5976.0668172157275</v>
      </c>
      <c r="L88" s="29">
        <f t="shared" si="28"/>
        <v>5764.1020191285861</v>
      </c>
      <c r="M88" s="29">
        <f>($L88+(($V88-$L88)/($V$2-$L$2))*(M$2-$L$2))</f>
        <v>5805.9922954303929</v>
      </c>
      <c r="N88" s="29">
        <f>($L88+(($V88-$L88)/($V$2-$L$2))*(N$2-$L$2))</f>
        <v>5847.8825717321997</v>
      </c>
      <c r="O88" s="29">
        <f>($L88+(($V88-$L88)/($V$2-$L$2))*(O$2-$L$2))</f>
        <v>5889.7728480340056</v>
      </c>
      <c r="P88" s="29">
        <f>($L88+(($V88-$L88)/($V$2-$L$2))*(P$2-$L$2))</f>
        <v>5931.6631243358124</v>
      </c>
      <c r="Q88" s="29">
        <f>($L88+(($V88-$L88)/($V$2-$L$2))*(Q$2-$L$2))</f>
        <v>5973.5534006376192</v>
      </c>
      <c r="R88" s="29">
        <f>($L88+(($V88-$L88)/($V$2-$L$2))*(R$2-$L$2))</f>
        <v>6015.443676939426</v>
      </c>
      <c r="S88" s="29">
        <f>($L88+(($V88-$L88)/($V$2-$L$2))*(S$2-$L$2))</f>
        <v>6057.3339532412328</v>
      </c>
      <c r="T88" s="29">
        <f>($L88+(($V88-$L88)/($V$2-$L$2))*(T$2-$L$2))</f>
        <v>6099.2242295430387</v>
      </c>
      <c r="U88" s="29">
        <f>($L88+(($V88-$L88)/($V$2-$L$2))*(U$2-$L$2))</f>
        <v>6141.1145058448456</v>
      </c>
      <c r="V88" s="29">
        <f t="shared" si="29"/>
        <v>6183.0047821466524</v>
      </c>
      <c r="W88" s="29">
        <f t="shared" si="30"/>
        <v>5993.6607332624862</v>
      </c>
      <c r="X88" s="29">
        <f t="shared" si="30"/>
        <v>5804.316684378321</v>
      </c>
      <c r="Y88" s="29">
        <f t="shared" si="30"/>
        <v>5614.9726354941549</v>
      </c>
      <c r="Z88" s="29">
        <f t="shared" si="30"/>
        <v>5425.6285866099897</v>
      </c>
      <c r="AA88" s="29">
        <f t="shared" si="30"/>
        <v>5236.2845377258236</v>
      </c>
      <c r="AB88" s="29">
        <f t="shared" si="30"/>
        <v>5046.9404888416575</v>
      </c>
      <c r="AC88" s="29">
        <f t="shared" si="30"/>
        <v>4857.5964399574923</v>
      </c>
      <c r="AD88" s="29">
        <f t="shared" si="30"/>
        <v>4668.2523910733262</v>
      </c>
      <c r="AE88" s="29">
        <f t="shared" si="30"/>
        <v>4478.908342189161</v>
      </c>
      <c r="AF88" s="29">
        <f t="shared" si="31"/>
        <v>4289.5642933049949</v>
      </c>
    </row>
    <row r="89" spans="1:32">
      <c r="A89" s="29" t="s">
        <v>162</v>
      </c>
      <c r="B89" s="29">
        <f t="shared" si="27"/>
        <v>96466.346166182542</v>
      </c>
      <c r="C89" s="29">
        <f>($B89+(($L89-$B89)/($L$2-$B$2))*(C$2-$B$2))</f>
        <v>94842.907574219862</v>
      </c>
      <c r="D89" s="29">
        <f>($B89+(($L89-$B89)/($L$2-$B$2))*(D$2-$B$2))</f>
        <v>93219.468982257196</v>
      </c>
      <c r="E89" s="29">
        <f>($B89+(($L89-$B89)/($L$2-$B$2))*(E$2-$B$2))</f>
        <v>91596.030390294516</v>
      </c>
      <c r="F89" s="29">
        <f>($B89+(($L89-$B89)/($L$2-$B$2))*(F$2-$B$2))</f>
        <v>89972.591798331836</v>
      </c>
      <c r="G89" s="29">
        <f>($B89+(($L89-$B89)/($L$2-$B$2))*(G$2-$B$2))</f>
        <v>88349.15320636917</v>
      </c>
      <c r="H89" s="29">
        <f>($B89+(($L89-$B89)/($L$2-$B$2))*(H$2-$B$2))</f>
        <v>86725.71461440649</v>
      </c>
      <c r="I89" s="29">
        <f>($B89+(($L89-$B89)/($L$2-$B$2))*(I$2-$B$2))</f>
        <v>85102.27602244381</v>
      </c>
      <c r="J89" s="29">
        <f>($B89+(($L89-$B89)/($L$2-$B$2))*(J$2-$B$2))</f>
        <v>83478.83743048113</v>
      </c>
      <c r="K89" s="29">
        <f>($B89+(($L89-$B89)/($L$2-$B$2))*(K$2-$B$2))</f>
        <v>81855.398838518464</v>
      </c>
      <c r="L89" s="29">
        <f t="shared" si="28"/>
        <v>80231.960246555784</v>
      </c>
      <c r="M89" s="29">
        <f>($L89+(($V89-$L89)/($V$2-$L$2))*(M$2-$L$2))</f>
        <v>79569.202195273669</v>
      </c>
      <c r="N89" s="29">
        <f>($L89+(($V89-$L89)/($V$2-$L$2))*(N$2-$L$2))</f>
        <v>78906.444143991554</v>
      </c>
      <c r="O89" s="29">
        <f>($L89+(($V89-$L89)/($V$2-$L$2))*(O$2-$L$2))</f>
        <v>78243.686092709439</v>
      </c>
      <c r="P89" s="29">
        <f>($L89+(($V89-$L89)/($V$2-$L$2))*(P$2-$L$2))</f>
        <v>77580.928041427323</v>
      </c>
      <c r="Q89" s="29">
        <f>($L89+(($V89-$L89)/($V$2-$L$2))*(Q$2-$L$2))</f>
        <v>76918.169990145223</v>
      </c>
      <c r="R89" s="29">
        <f>($L89+(($V89-$L89)/($V$2-$L$2))*(R$2-$L$2))</f>
        <v>76255.411938863108</v>
      </c>
      <c r="S89" s="29">
        <f>($L89+(($V89-$L89)/($V$2-$L$2))*(S$2-$L$2))</f>
        <v>75592.653887580993</v>
      </c>
      <c r="T89" s="29">
        <f>($L89+(($V89-$L89)/($V$2-$L$2))*(T$2-$L$2))</f>
        <v>74929.895836298878</v>
      </c>
      <c r="U89" s="29">
        <f>($L89+(($V89-$L89)/($V$2-$L$2))*(U$2-$L$2))</f>
        <v>74267.137785016763</v>
      </c>
      <c r="V89" s="29">
        <f t="shared" si="29"/>
        <v>73604.379733734648</v>
      </c>
      <c r="W89" s="29">
        <f t="shared" si="30"/>
        <v>73288.932392018643</v>
      </c>
      <c r="X89" s="29">
        <f t="shared" si="30"/>
        <v>72973.485050302639</v>
      </c>
      <c r="Y89" s="29">
        <f t="shared" si="30"/>
        <v>72658.037708586635</v>
      </c>
      <c r="Z89" s="29">
        <f t="shared" si="30"/>
        <v>72342.590366870631</v>
      </c>
      <c r="AA89" s="29">
        <f t="shared" si="30"/>
        <v>72027.143025154626</v>
      </c>
      <c r="AB89" s="29">
        <f t="shared" si="30"/>
        <v>71711.695683438622</v>
      </c>
      <c r="AC89" s="29">
        <f t="shared" si="30"/>
        <v>71396.248341722618</v>
      </c>
      <c r="AD89" s="29">
        <f t="shared" si="30"/>
        <v>71080.801000006613</v>
      </c>
      <c r="AE89" s="29">
        <f t="shared" si="30"/>
        <v>70765.353658290609</v>
      </c>
      <c r="AF89" s="29">
        <f t="shared" si="31"/>
        <v>70449.906316574605</v>
      </c>
    </row>
    <row r="90" spans="1:32">
      <c r="A90" s="29" t="s">
        <v>182</v>
      </c>
      <c r="B90" s="29">
        <f t="shared" si="27"/>
        <v>14190.75</v>
      </c>
      <c r="C90" s="29">
        <f>($B90+(($L90-$B90)/($L$2-$B$2))*(C$2-$B$2))</f>
        <v>13951.932919075145</v>
      </c>
      <c r="D90" s="29">
        <f>($B90+(($L90-$B90)/($L$2-$B$2))*(D$2-$B$2))</f>
        <v>13713.115838150288</v>
      </c>
      <c r="E90" s="29">
        <f>($B90+(($L90-$B90)/($L$2-$B$2))*(E$2-$B$2))</f>
        <v>13474.298757225433</v>
      </c>
      <c r="F90" s="29">
        <f>($B90+(($L90-$B90)/($L$2-$B$2))*(F$2-$B$2))</f>
        <v>13235.481676300578</v>
      </c>
      <c r="G90" s="29">
        <f>($B90+(($L90-$B90)/($L$2-$B$2))*(G$2-$B$2))</f>
        <v>12996.664595375722</v>
      </c>
      <c r="H90" s="29">
        <f>($B90+(($L90-$B90)/($L$2-$B$2))*(H$2-$B$2))</f>
        <v>12757.847514450867</v>
      </c>
      <c r="I90" s="29">
        <f>($B90+(($L90-$B90)/($L$2-$B$2))*(I$2-$B$2))</f>
        <v>12519.030433526012</v>
      </c>
      <c r="J90" s="29">
        <f>($B90+(($L90-$B90)/($L$2-$B$2))*(J$2-$B$2))</f>
        <v>12280.213352601157</v>
      </c>
      <c r="K90" s="29">
        <f>($B90+(($L90-$B90)/($L$2-$B$2))*(K$2-$B$2))</f>
        <v>12041.3962716763</v>
      </c>
      <c r="L90" s="29">
        <f t="shared" si="28"/>
        <v>11802.579190751445</v>
      </c>
      <c r="M90" s="29">
        <f>($L90+(($V90-$L90)/($V$2-$L$2))*(M$2-$L$2))</f>
        <v>11705.083699421964</v>
      </c>
      <c r="N90" s="29">
        <f>($L90+(($V90-$L90)/($V$2-$L$2))*(N$2-$L$2))</f>
        <v>11607.588208092486</v>
      </c>
      <c r="O90" s="29">
        <f>($L90+(($V90-$L90)/($V$2-$L$2))*(O$2-$L$2))</f>
        <v>11510.092716763005</v>
      </c>
      <c r="P90" s="29">
        <f>($L90+(($V90-$L90)/($V$2-$L$2))*(P$2-$L$2))</f>
        <v>11412.597225433527</v>
      </c>
      <c r="Q90" s="29">
        <f>($L90+(($V90-$L90)/($V$2-$L$2))*(Q$2-$L$2))</f>
        <v>11315.101734104046</v>
      </c>
      <c r="R90" s="29">
        <f>($L90+(($V90-$L90)/($V$2-$L$2))*(R$2-$L$2))</f>
        <v>11217.606242774566</v>
      </c>
      <c r="S90" s="29">
        <f>($L90+(($V90-$L90)/($V$2-$L$2))*(S$2-$L$2))</f>
        <v>11120.110751445087</v>
      </c>
      <c r="T90" s="29">
        <f>($L90+(($V90-$L90)/($V$2-$L$2))*(T$2-$L$2))</f>
        <v>11022.615260115606</v>
      </c>
      <c r="U90" s="29">
        <f>($L90+(($V90-$L90)/($V$2-$L$2))*(U$2-$L$2))</f>
        <v>10925.119768786128</v>
      </c>
      <c r="V90" s="29">
        <f t="shared" si="29"/>
        <v>10827.624277456647</v>
      </c>
      <c r="W90" s="29">
        <f t="shared" si="30"/>
        <v>10781.220173410404</v>
      </c>
      <c r="X90" s="29">
        <f t="shared" si="30"/>
        <v>10734.816069364162</v>
      </c>
      <c r="Y90" s="29">
        <f t="shared" si="30"/>
        <v>10688.411965317919</v>
      </c>
      <c r="Z90" s="29">
        <f t="shared" si="30"/>
        <v>10642.007861271677</v>
      </c>
      <c r="AA90" s="29">
        <f t="shared" si="30"/>
        <v>10595.603757225434</v>
      </c>
      <c r="AB90" s="29">
        <f t="shared" si="30"/>
        <v>10549.19965317919</v>
      </c>
      <c r="AC90" s="29">
        <f t="shared" si="30"/>
        <v>10502.795549132949</v>
      </c>
      <c r="AD90" s="29">
        <f t="shared" si="30"/>
        <v>10456.391445086705</v>
      </c>
      <c r="AE90" s="29">
        <f t="shared" si="30"/>
        <v>10409.987341040463</v>
      </c>
      <c r="AF90" s="29">
        <f t="shared" si="31"/>
        <v>10363.58323699422</v>
      </c>
    </row>
    <row r="91" spans="1:32">
      <c r="A91" s="29" t="s">
        <v>22</v>
      </c>
      <c r="B91" s="29">
        <f t="shared" si="27"/>
        <v>14191</v>
      </c>
      <c r="C91" s="29">
        <f>($B91+(($L91-$B91)/($L$2-$B$2))*(C$2-$B$2))</f>
        <v>14191</v>
      </c>
      <c r="D91" s="29">
        <f>($B91+(($L91-$B91)/($L$2-$B$2))*(D$2-$B$2))</f>
        <v>14191</v>
      </c>
      <c r="E91" s="29">
        <f>($B91+(($L91-$B91)/($L$2-$B$2))*(E$2-$B$2))</f>
        <v>14191</v>
      </c>
      <c r="F91" s="29">
        <f>($B91+(($L91-$B91)/($L$2-$B$2))*(F$2-$B$2))</f>
        <v>14191</v>
      </c>
      <c r="G91" s="29">
        <f>($B91+(($L91-$B91)/($L$2-$B$2))*(G$2-$B$2))</f>
        <v>14191</v>
      </c>
      <c r="H91" s="29">
        <f>($B91+(($L91-$B91)/($L$2-$B$2))*(H$2-$B$2))</f>
        <v>14191</v>
      </c>
      <c r="I91" s="29">
        <f>($B91+(($L91-$B91)/($L$2-$B$2))*(I$2-$B$2))</f>
        <v>14191</v>
      </c>
      <c r="J91" s="29">
        <f>($B91+(($L91-$B91)/($L$2-$B$2))*(J$2-$B$2))</f>
        <v>14191</v>
      </c>
      <c r="K91" s="29">
        <f>($B91+(($L91-$B91)/($L$2-$B$2))*(K$2-$B$2))</f>
        <v>14191</v>
      </c>
      <c r="L91" s="29">
        <f t="shared" si="28"/>
        <v>14191</v>
      </c>
      <c r="M91" s="29">
        <f>($L91+(($V91-$L91)/($V$2-$L$2))*(M$2-$L$2))</f>
        <v>14191</v>
      </c>
      <c r="N91" s="29">
        <f>($L91+(($V91-$L91)/($V$2-$L$2))*(N$2-$L$2))</f>
        <v>14191</v>
      </c>
      <c r="O91" s="29">
        <f>($L91+(($V91-$L91)/($V$2-$L$2))*(O$2-$L$2))</f>
        <v>14191</v>
      </c>
      <c r="P91" s="29">
        <f>($L91+(($V91-$L91)/($V$2-$L$2))*(P$2-$L$2))</f>
        <v>14191</v>
      </c>
      <c r="Q91" s="29">
        <f>($L91+(($V91-$L91)/($V$2-$L$2))*(Q$2-$L$2))</f>
        <v>14191</v>
      </c>
      <c r="R91" s="29">
        <f>($L91+(($V91-$L91)/($V$2-$L$2))*(R$2-$L$2))</f>
        <v>14191</v>
      </c>
      <c r="S91" s="29">
        <f>($L91+(($V91-$L91)/($V$2-$L$2))*(S$2-$L$2))</f>
        <v>14191</v>
      </c>
      <c r="T91" s="29">
        <f>($L91+(($V91-$L91)/($V$2-$L$2))*(T$2-$L$2))</f>
        <v>14191</v>
      </c>
      <c r="U91" s="29">
        <f>($L91+(($V91-$L91)/($V$2-$L$2))*(U$2-$L$2))</f>
        <v>14191</v>
      </c>
      <c r="V91" s="29">
        <f t="shared" si="29"/>
        <v>14191</v>
      </c>
      <c r="W91" s="29">
        <f t="shared" si="30"/>
        <v>14191</v>
      </c>
      <c r="X91" s="29">
        <f t="shared" si="30"/>
        <v>14191</v>
      </c>
      <c r="Y91" s="29">
        <f t="shared" si="30"/>
        <v>14191</v>
      </c>
      <c r="Z91" s="29">
        <f t="shared" si="30"/>
        <v>14191</v>
      </c>
      <c r="AA91" s="29">
        <f t="shared" si="30"/>
        <v>14191</v>
      </c>
      <c r="AB91" s="29">
        <f t="shared" si="30"/>
        <v>14191</v>
      </c>
      <c r="AC91" s="29">
        <f t="shared" si="30"/>
        <v>14191</v>
      </c>
      <c r="AD91" s="29">
        <f t="shared" si="30"/>
        <v>14191</v>
      </c>
      <c r="AE91" s="29">
        <f t="shared" si="30"/>
        <v>14191</v>
      </c>
      <c r="AF91" s="29">
        <f t="shared" si="31"/>
        <v>14191</v>
      </c>
    </row>
    <row r="92" spans="1:32">
      <c r="A92" s="29" t="s">
        <v>185</v>
      </c>
      <c r="B92" s="29">
        <f t="shared" si="27"/>
        <v>78837.5</v>
      </c>
      <c r="C92" s="29">
        <f>($B92+(($L92-$B92)/($L$2-$B$2))*(C$2-$B$2))</f>
        <v>72761.756666666668</v>
      </c>
      <c r="D92" s="29">
        <f>($B92+(($L92-$B92)/($L$2-$B$2))*(D$2-$B$2))</f>
        <v>66686.013333333336</v>
      </c>
      <c r="E92" s="29">
        <f>($B92+(($L92-$B92)/($L$2-$B$2))*(E$2-$B$2))</f>
        <v>60610.27</v>
      </c>
      <c r="F92" s="29">
        <f>($B92+(($L92-$B92)/($L$2-$B$2))*(F$2-$B$2))</f>
        <v>54534.526666666665</v>
      </c>
      <c r="G92" s="29">
        <f>($B92+(($L92-$B92)/($L$2-$B$2))*(G$2-$B$2))</f>
        <v>48458.783333333333</v>
      </c>
      <c r="H92" s="29">
        <f>($B92+(($L92-$B92)/($L$2-$B$2))*(H$2-$B$2))</f>
        <v>42383.039999999994</v>
      </c>
      <c r="I92" s="29">
        <f>($B92+(($L92-$B92)/($L$2-$B$2))*(I$2-$B$2))</f>
        <v>36307.296666666662</v>
      </c>
      <c r="J92" s="29">
        <f>($B92+(($L92-$B92)/($L$2-$B$2))*(J$2-$B$2))</f>
        <v>30231.55333333333</v>
      </c>
      <c r="K92" s="29">
        <f>($B92+(($L92-$B92)/($L$2-$B$2))*(K$2-$B$2))</f>
        <v>24155.809999999998</v>
      </c>
      <c r="L92" s="29">
        <f t="shared" si="28"/>
        <v>18080.066666666666</v>
      </c>
      <c r="M92" s="29">
        <f>($L92+(($V92-$L92)/($V$2-$L$2))*(M$2-$L$2))</f>
        <v>18211.462499999998</v>
      </c>
      <c r="N92" s="29">
        <f>($L92+(($V92-$L92)/($V$2-$L$2))*(N$2-$L$2))</f>
        <v>18342.858333333334</v>
      </c>
      <c r="O92" s="29">
        <f>($L92+(($V92-$L92)/($V$2-$L$2))*(O$2-$L$2))</f>
        <v>18474.254166666666</v>
      </c>
      <c r="P92" s="29">
        <f>($L92+(($V92-$L92)/($V$2-$L$2))*(P$2-$L$2))</f>
        <v>18605.650000000001</v>
      </c>
      <c r="Q92" s="29">
        <f>($L92+(($V92-$L92)/($V$2-$L$2))*(Q$2-$L$2))</f>
        <v>18737.045833333334</v>
      </c>
      <c r="R92" s="29">
        <f>($L92+(($V92-$L92)/($V$2-$L$2))*(R$2-$L$2))</f>
        <v>18868.441666666666</v>
      </c>
      <c r="S92" s="29">
        <f>($L92+(($V92-$L92)/($V$2-$L$2))*(S$2-$L$2))</f>
        <v>18999.837500000001</v>
      </c>
      <c r="T92" s="29">
        <f>($L92+(($V92-$L92)/($V$2-$L$2))*(T$2-$L$2))</f>
        <v>19131.233333333334</v>
      </c>
      <c r="U92" s="29">
        <f>($L92+(($V92-$L92)/($V$2-$L$2))*(U$2-$L$2))</f>
        <v>19262.629166666669</v>
      </c>
      <c r="V92" s="29">
        <f t="shared" si="29"/>
        <v>19394.025000000001</v>
      </c>
      <c r="W92" s="29">
        <f t="shared" si="30"/>
        <v>18800.115833333333</v>
      </c>
      <c r="X92" s="29">
        <f t="shared" si="30"/>
        <v>18206.206666666669</v>
      </c>
      <c r="Y92" s="29">
        <f t="shared" si="30"/>
        <v>17612.297500000001</v>
      </c>
      <c r="Z92" s="29">
        <f t="shared" si="30"/>
        <v>17018.388333333332</v>
      </c>
      <c r="AA92" s="29">
        <f t="shared" si="30"/>
        <v>16424.479166666668</v>
      </c>
      <c r="AB92" s="29">
        <f t="shared" si="30"/>
        <v>15830.57</v>
      </c>
      <c r="AC92" s="29">
        <f t="shared" si="30"/>
        <v>15236.660833333333</v>
      </c>
      <c r="AD92" s="29">
        <f t="shared" si="30"/>
        <v>14642.751666666667</v>
      </c>
      <c r="AE92" s="29">
        <f t="shared" si="30"/>
        <v>14048.842499999999</v>
      </c>
      <c r="AF92" s="29">
        <f t="shared" si="31"/>
        <v>13454.933333333332</v>
      </c>
    </row>
    <row r="93" spans="1:32">
      <c r="A93" s="29" t="s">
        <v>23</v>
      </c>
      <c r="B93" s="29">
        <f t="shared" si="27"/>
        <v>12614</v>
      </c>
      <c r="C93" s="29">
        <f>($B93+(($L93-$B93)/($L$2-$B$2))*(C$2-$B$2))</f>
        <v>12614</v>
      </c>
      <c r="D93" s="29">
        <f>($B93+(($L93-$B93)/($L$2-$B$2))*(D$2-$B$2))</f>
        <v>12614</v>
      </c>
      <c r="E93" s="29">
        <f>($B93+(($L93-$B93)/($L$2-$B$2))*(E$2-$B$2))</f>
        <v>12614</v>
      </c>
      <c r="F93" s="29">
        <f>($B93+(($L93-$B93)/($L$2-$B$2))*(F$2-$B$2))</f>
        <v>12614</v>
      </c>
      <c r="G93" s="29">
        <f>($B93+(($L93-$B93)/($L$2-$B$2))*(G$2-$B$2))</f>
        <v>12614</v>
      </c>
      <c r="H93" s="29">
        <f>($B93+(($L93-$B93)/($L$2-$B$2))*(H$2-$B$2))</f>
        <v>12614</v>
      </c>
      <c r="I93" s="29">
        <f>($B93+(($L93-$B93)/($L$2-$B$2))*(I$2-$B$2))</f>
        <v>12614</v>
      </c>
      <c r="J93" s="29">
        <f>($B93+(($L93-$B93)/($L$2-$B$2))*(J$2-$B$2))</f>
        <v>12614</v>
      </c>
      <c r="K93" s="29">
        <f>($B93+(($L93-$B93)/($L$2-$B$2))*(K$2-$B$2))</f>
        <v>12614</v>
      </c>
      <c r="L93" s="29">
        <f t="shared" si="28"/>
        <v>12614</v>
      </c>
      <c r="M93" s="29">
        <f>($L93+(($V93-$L93)/($V$2-$L$2))*(M$2-$L$2))</f>
        <v>12614</v>
      </c>
      <c r="N93" s="29">
        <f>($L93+(($V93-$L93)/($V$2-$L$2))*(N$2-$L$2))</f>
        <v>12614</v>
      </c>
      <c r="O93" s="29">
        <f>($L93+(($V93-$L93)/($V$2-$L$2))*(O$2-$L$2))</f>
        <v>12614</v>
      </c>
      <c r="P93" s="29">
        <f>($L93+(($V93-$L93)/($V$2-$L$2))*(P$2-$L$2))</f>
        <v>12614</v>
      </c>
      <c r="Q93" s="29">
        <f>($L93+(($V93-$L93)/($V$2-$L$2))*(Q$2-$L$2))</f>
        <v>12614</v>
      </c>
      <c r="R93" s="29">
        <f>($L93+(($V93-$L93)/($V$2-$L$2))*(R$2-$L$2))</f>
        <v>12614</v>
      </c>
      <c r="S93" s="29">
        <f>($L93+(($V93-$L93)/($V$2-$L$2))*(S$2-$L$2))</f>
        <v>12614</v>
      </c>
      <c r="T93" s="29">
        <f>($L93+(($V93-$L93)/($V$2-$L$2))*(T$2-$L$2))</f>
        <v>12614</v>
      </c>
      <c r="U93" s="29">
        <f>($L93+(($V93-$L93)/($V$2-$L$2))*(U$2-$L$2))</f>
        <v>12614</v>
      </c>
      <c r="V93" s="29">
        <f t="shared" si="29"/>
        <v>12614</v>
      </c>
      <c r="W93" s="29">
        <f t="shared" si="30"/>
        <v>12614</v>
      </c>
      <c r="X93" s="29">
        <f t="shared" si="30"/>
        <v>12614</v>
      </c>
      <c r="Y93" s="29">
        <f t="shared" si="30"/>
        <v>12614</v>
      </c>
      <c r="Z93" s="29">
        <f t="shared" si="30"/>
        <v>12614</v>
      </c>
      <c r="AA93" s="29">
        <f t="shared" si="30"/>
        <v>12614</v>
      </c>
      <c r="AB93" s="29">
        <f t="shared" si="30"/>
        <v>12614</v>
      </c>
      <c r="AC93" s="29">
        <f t="shared" si="30"/>
        <v>12614</v>
      </c>
      <c r="AD93" s="29">
        <f t="shared" si="30"/>
        <v>12614</v>
      </c>
      <c r="AE93" s="29">
        <f t="shared" si="30"/>
        <v>12614</v>
      </c>
      <c r="AF93" s="29">
        <f t="shared" si="31"/>
        <v>12614</v>
      </c>
    </row>
    <row r="94" spans="1:32">
      <c r="A94" s="29" t="s">
        <v>21</v>
      </c>
      <c r="B94" s="29">
        <f>B74</f>
        <v>25228</v>
      </c>
      <c r="C94" s="29">
        <f>B94</f>
        <v>25228</v>
      </c>
      <c r="D94" s="29">
        <f t="shared" ref="D94:AF94" si="32">C94</f>
        <v>25228</v>
      </c>
      <c r="E94" s="29">
        <f t="shared" si="32"/>
        <v>25228</v>
      </c>
      <c r="F94" s="29">
        <f t="shared" si="32"/>
        <v>25228</v>
      </c>
      <c r="G94" s="29">
        <f t="shared" si="32"/>
        <v>25228</v>
      </c>
      <c r="H94" s="29">
        <f t="shared" si="32"/>
        <v>25228</v>
      </c>
      <c r="I94" s="29">
        <f t="shared" si="32"/>
        <v>25228</v>
      </c>
      <c r="J94" s="29">
        <f t="shared" si="32"/>
        <v>25228</v>
      </c>
      <c r="K94" s="29">
        <f t="shared" si="32"/>
        <v>25228</v>
      </c>
      <c r="L94" s="29">
        <f t="shared" si="32"/>
        <v>25228</v>
      </c>
      <c r="M94" s="29">
        <f t="shared" si="32"/>
        <v>25228</v>
      </c>
      <c r="N94" s="29">
        <f t="shared" si="32"/>
        <v>25228</v>
      </c>
      <c r="O94" s="29">
        <f t="shared" si="32"/>
        <v>25228</v>
      </c>
      <c r="P94" s="29">
        <f t="shared" si="32"/>
        <v>25228</v>
      </c>
      <c r="Q94" s="29">
        <f t="shared" si="32"/>
        <v>25228</v>
      </c>
      <c r="R94" s="29">
        <f t="shared" si="32"/>
        <v>25228</v>
      </c>
      <c r="S94" s="29">
        <f t="shared" si="32"/>
        <v>25228</v>
      </c>
      <c r="T94" s="29">
        <f t="shared" si="32"/>
        <v>25228</v>
      </c>
      <c r="U94" s="29">
        <f t="shared" si="32"/>
        <v>25228</v>
      </c>
      <c r="V94" s="29">
        <f t="shared" si="32"/>
        <v>25228</v>
      </c>
      <c r="W94" s="29">
        <f t="shared" si="32"/>
        <v>25228</v>
      </c>
      <c r="X94" s="29">
        <f t="shared" si="32"/>
        <v>25228</v>
      </c>
      <c r="Y94" s="29">
        <f t="shared" si="32"/>
        <v>25228</v>
      </c>
      <c r="Z94" s="29">
        <f t="shared" si="32"/>
        <v>25228</v>
      </c>
      <c r="AA94" s="29">
        <f t="shared" si="32"/>
        <v>25228</v>
      </c>
      <c r="AB94" s="29">
        <f t="shared" si="32"/>
        <v>25228</v>
      </c>
      <c r="AC94" s="29">
        <f t="shared" si="32"/>
        <v>25228</v>
      </c>
      <c r="AD94" s="29">
        <f t="shared" si="32"/>
        <v>25228</v>
      </c>
      <c r="AE94" s="29">
        <f t="shared" si="32"/>
        <v>25228</v>
      </c>
      <c r="AF94" s="29">
        <f t="shared" si="32"/>
        <v>25228</v>
      </c>
    </row>
    <row r="95" spans="1:32">
      <c r="A95" s="29" t="s">
        <v>75</v>
      </c>
      <c r="B95" s="29">
        <f t="shared" si="27"/>
        <v>77260.75</v>
      </c>
      <c r="C95" s="29">
        <f>($B95+(($L95-$B95)/($L$2-$B$2))*(C$2-$B$2))</f>
        <v>76488.142500000002</v>
      </c>
      <c r="D95" s="29">
        <f>($B95+(($L95-$B95)/($L$2-$B$2))*(D$2-$B$2))</f>
        <v>75715.535000000003</v>
      </c>
      <c r="E95" s="29">
        <f>($B95+(($L95-$B95)/($L$2-$B$2))*(E$2-$B$2))</f>
        <v>74942.927500000005</v>
      </c>
      <c r="F95" s="29">
        <f>($B95+(($L95-$B95)/($L$2-$B$2))*(F$2-$B$2))</f>
        <v>74170.320000000007</v>
      </c>
      <c r="G95" s="29">
        <f>($B95+(($L95-$B95)/($L$2-$B$2))*(G$2-$B$2))</f>
        <v>73397.712499999994</v>
      </c>
      <c r="H95" s="29">
        <f>($B95+(($L95-$B95)/($L$2-$B$2))*(H$2-$B$2))</f>
        <v>72625.104999999996</v>
      </c>
      <c r="I95" s="29">
        <f>($B95+(($L95-$B95)/($L$2-$B$2))*(I$2-$B$2))</f>
        <v>71852.497499999998</v>
      </c>
      <c r="J95" s="29">
        <f>($B95+(($L95-$B95)/($L$2-$B$2))*(J$2-$B$2))</f>
        <v>71079.89</v>
      </c>
      <c r="K95" s="29">
        <f>($B95+(($L95-$B95)/($L$2-$B$2))*(K$2-$B$2))</f>
        <v>70307.282500000001</v>
      </c>
      <c r="L95" s="29">
        <f t="shared" si="28"/>
        <v>69534.675000000003</v>
      </c>
      <c r="M95" s="29">
        <f>($L95+(($V95-$L95)/($V$2-$L$2))*(M$2-$L$2))</f>
        <v>68375.763749999998</v>
      </c>
      <c r="N95" s="29">
        <f>($L95+(($V95-$L95)/($V$2-$L$2))*(N$2-$L$2))</f>
        <v>67216.852500000008</v>
      </c>
      <c r="O95" s="29">
        <f>($L95+(($V95-$L95)/($V$2-$L$2))*(O$2-$L$2))</f>
        <v>66057.941250000003</v>
      </c>
      <c r="P95" s="29">
        <f>($L95+(($V95-$L95)/($V$2-$L$2))*(P$2-$L$2))</f>
        <v>64899.03</v>
      </c>
      <c r="Q95" s="29">
        <f>($L95+(($V95-$L95)/($V$2-$L$2))*(Q$2-$L$2))</f>
        <v>63740.118750000001</v>
      </c>
      <c r="R95" s="29">
        <f>($L95+(($V95-$L95)/($V$2-$L$2))*(R$2-$L$2))</f>
        <v>62581.207500000004</v>
      </c>
      <c r="S95" s="29">
        <f>($L95+(($V95-$L95)/($V$2-$L$2))*(S$2-$L$2))</f>
        <v>61422.296249999999</v>
      </c>
      <c r="T95" s="29">
        <f>($L95+(($V95-$L95)/($V$2-$L$2))*(T$2-$L$2))</f>
        <v>60263.385000000002</v>
      </c>
      <c r="U95" s="29">
        <f>($L95+(($V95-$L95)/($V$2-$L$2))*(U$2-$L$2))</f>
        <v>59104.473749999997</v>
      </c>
      <c r="V95" s="29">
        <f t="shared" si="29"/>
        <v>57945.5625</v>
      </c>
      <c r="W95" s="29">
        <f t="shared" si="30"/>
        <v>57945.5625</v>
      </c>
      <c r="X95" s="29">
        <f t="shared" si="30"/>
        <v>57945.5625</v>
      </c>
      <c r="Y95" s="29">
        <f t="shared" si="30"/>
        <v>57945.5625</v>
      </c>
      <c r="Z95" s="29">
        <f t="shared" si="30"/>
        <v>57945.5625</v>
      </c>
      <c r="AA95" s="29">
        <f t="shared" si="30"/>
        <v>57945.5625</v>
      </c>
      <c r="AB95" s="29">
        <f t="shared" si="30"/>
        <v>57945.5625</v>
      </c>
      <c r="AC95" s="29">
        <f t="shared" si="30"/>
        <v>57945.5625</v>
      </c>
      <c r="AD95" s="29">
        <f t="shared" si="30"/>
        <v>57945.5625</v>
      </c>
      <c r="AE95" s="29">
        <f t="shared" si="30"/>
        <v>57945.5625</v>
      </c>
      <c r="AF95" s="29">
        <f t="shared" si="31"/>
        <v>57945.5625</v>
      </c>
    </row>
    <row r="96" spans="1:32">
      <c r="A96" s="29" t="s">
        <v>191</v>
      </c>
      <c r="B96" s="29">
        <f t="shared" si="27"/>
        <v>78837.5</v>
      </c>
      <c r="C96" s="29">
        <f>($B96+(($L96-$B96)/($L$2-$B$2))*(C$2-$B$2))</f>
        <v>77559.995998475613</v>
      </c>
      <c r="D96" s="29">
        <f>($B96+(($L96-$B96)/($L$2-$B$2))*(D$2-$B$2))</f>
        <v>76282.491996951227</v>
      </c>
      <c r="E96" s="29">
        <f>($B96+(($L96-$B96)/($L$2-$B$2))*(E$2-$B$2))</f>
        <v>75004.987995426825</v>
      </c>
      <c r="F96" s="29">
        <f>($B96+(($L96-$B96)/($L$2-$B$2))*(F$2-$B$2))</f>
        <v>73727.483993902439</v>
      </c>
      <c r="G96" s="29">
        <f>($B96+(($L96-$B96)/($L$2-$B$2))*(G$2-$B$2))</f>
        <v>72449.979992378052</v>
      </c>
      <c r="H96" s="29">
        <f>($B96+(($L96-$B96)/($L$2-$B$2))*(H$2-$B$2))</f>
        <v>71172.475990853665</v>
      </c>
      <c r="I96" s="29">
        <f>($B96+(($L96-$B96)/($L$2-$B$2))*(I$2-$B$2))</f>
        <v>69894.971989329279</v>
      </c>
      <c r="J96" s="29">
        <f>($B96+(($L96-$B96)/($L$2-$B$2))*(J$2-$B$2))</f>
        <v>68617.467987804877</v>
      </c>
      <c r="K96" s="29">
        <f>($B96+(($L96-$B96)/($L$2-$B$2))*(K$2-$B$2))</f>
        <v>67339.963986280491</v>
      </c>
      <c r="L96" s="29">
        <f t="shared" si="28"/>
        <v>66062.459984756104</v>
      </c>
      <c r="M96" s="29">
        <f>($L96+(($V96-$L96)/($V$2-$L$2))*(M$2-$L$2))</f>
        <v>65204.381097560981</v>
      </c>
      <c r="N96" s="29">
        <f>($L96+(($V96-$L96)/($V$2-$L$2))*(N$2-$L$2))</f>
        <v>64346.302210365859</v>
      </c>
      <c r="O96" s="29">
        <f>($L96+(($V96-$L96)/($V$2-$L$2))*(O$2-$L$2))</f>
        <v>63488.223323170736</v>
      </c>
      <c r="P96" s="29">
        <f>($L96+(($V96-$L96)/($V$2-$L$2))*(P$2-$L$2))</f>
        <v>62630.144435975613</v>
      </c>
      <c r="Q96" s="29">
        <f>($L96+(($V96-$L96)/($V$2-$L$2))*(Q$2-$L$2))</f>
        <v>61772.065548780491</v>
      </c>
      <c r="R96" s="29">
        <f>($L96+(($V96-$L96)/($V$2-$L$2))*(R$2-$L$2))</f>
        <v>60913.986661585368</v>
      </c>
      <c r="S96" s="29">
        <f>($L96+(($V96-$L96)/($V$2-$L$2))*(S$2-$L$2))</f>
        <v>60055.907774390245</v>
      </c>
      <c r="T96" s="29">
        <f>($L96+(($V96-$L96)/($V$2-$L$2))*(T$2-$L$2))</f>
        <v>59197.828887195123</v>
      </c>
      <c r="U96" s="29">
        <f>($L96+(($V96-$L96)/($V$2-$L$2))*(U$2-$L$2))</f>
        <v>58339.75</v>
      </c>
      <c r="V96" s="29">
        <f t="shared" si="29"/>
        <v>57481.671112804877</v>
      </c>
      <c r="W96" s="29">
        <f t="shared" si="30"/>
        <v>56660.847751524387</v>
      </c>
      <c r="X96" s="29">
        <f t="shared" si="30"/>
        <v>55840.024390243903</v>
      </c>
      <c r="Y96" s="29">
        <f t="shared" si="30"/>
        <v>55019.201028963413</v>
      </c>
      <c r="Z96" s="29">
        <f t="shared" si="30"/>
        <v>54198.377667682929</v>
      </c>
      <c r="AA96" s="29">
        <f t="shared" si="30"/>
        <v>53377.554306402439</v>
      </c>
      <c r="AB96" s="29">
        <f t="shared" si="30"/>
        <v>52556.730945121948</v>
      </c>
      <c r="AC96" s="29">
        <f t="shared" si="30"/>
        <v>51735.907583841465</v>
      </c>
      <c r="AD96" s="29">
        <f t="shared" si="30"/>
        <v>50915.084222560974</v>
      </c>
      <c r="AE96" s="29">
        <f t="shared" si="30"/>
        <v>50094.260861280491</v>
      </c>
      <c r="AF96" s="29">
        <f t="shared" si="31"/>
        <v>49273.4375</v>
      </c>
    </row>
    <row r="97" spans="1:32">
      <c r="A97" s="29" t="s">
        <v>193</v>
      </c>
      <c r="B97" s="29">
        <f t="shared" si="27"/>
        <v>78837.5</v>
      </c>
      <c r="C97" s="29">
        <f>($B97+(($L97-$B97)/($L$2-$B$2))*(C$2-$B$2))</f>
        <v>78837.5</v>
      </c>
      <c r="D97" s="29">
        <f>($B97+(($L97-$B97)/($L$2-$B$2))*(D$2-$B$2))</f>
        <v>78837.5</v>
      </c>
      <c r="E97" s="29">
        <f>($B97+(($L97-$B97)/($L$2-$B$2))*(E$2-$B$2))</f>
        <v>78837.5</v>
      </c>
      <c r="F97" s="29">
        <f>($B97+(($L97-$B97)/($L$2-$B$2))*(F$2-$B$2))</f>
        <v>78837.5</v>
      </c>
      <c r="G97" s="29">
        <f>($B97+(($L97-$B97)/($L$2-$B$2))*(G$2-$B$2))</f>
        <v>78837.5</v>
      </c>
      <c r="H97" s="29">
        <f>($B97+(($L97-$B97)/($L$2-$B$2))*(H$2-$B$2))</f>
        <v>78837.5</v>
      </c>
      <c r="I97" s="29">
        <f>($B97+(($L97-$B97)/($L$2-$B$2))*(I$2-$B$2))</f>
        <v>78837.5</v>
      </c>
      <c r="J97" s="29">
        <f>($B97+(($L97-$B97)/($L$2-$B$2))*(J$2-$B$2))</f>
        <v>78837.5</v>
      </c>
      <c r="K97" s="29">
        <f>($B97+(($L97-$B97)/($L$2-$B$2))*(K$2-$B$2))</f>
        <v>78837.5</v>
      </c>
      <c r="L97" s="29">
        <f t="shared" si="28"/>
        <v>78837.5</v>
      </c>
      <c r="M97" s="29">
        <f>($L97+(($V97-$L97)/($V$2-$L$2))*(M$2-$L$2))</f>
        <v>78837.5</v>
      </c>
      <c r="N97" s="29">
        <f>($L97+(($V97-$L97)/($V$2-$L$2))*(N$2-$L$2))</f>
        <v>78837.5</v>
      </c>
      <c r="O97" s="29">
        <f>($L97+(($V97-$L97)/($V$2-$L$2))*(O$2-$L$2))</f>
        <v>78837.5</v>
      </c>
      <c r="P97" s="29">
        <f>($L97+(($V97-$L97)/($V$2-$L$2))*(P$2-$L$2))</f>
        <v>78837.5</v>
      </c>
      <c r="Q97" s="29">
        <f>($L97+(($V97-$L97)/($V$2-$L$2))*(Q$2-$L$2))</f>
        <v>78837.5</v>
      </c>
      <c r="R97" s="29">
        <f>($L97+(($V97-$L97)/($V$2-$L$2))*(R$2-$L$2))</f>
        <v>78837.5</v>
      </c>
      <c r="S97" s="29">
        <f>($L97+(($V97-$L97)/($V$2-$L$2))*(S$2-$L$2))</f>
        <v>78837.5</v>
      </c>
      <c r="T97" s="29">
        <f>($L97+(($V97-$L97)/($V$2-$L$2))*(T$2-$L$2))</f>
        <v>78837.5</v>
      </c>
      <c r="U97" s="29">
        <f>($L97+(($V97-$L97)/($V$2-$L$2))*(U$2-$L$2))</f>
        <v>78837.5</v>
      </c>
      <c r="V97" s="29">
        <f t="shared" si="29"/>
        <v>78837.5</v>
      </c>
      <c r="W97" s="29">
        <f t="shared" si="30"/>
        <v>78837.5</v>
      </c>
      <c r="X97" s="29">
        <f t="shared" si="30"/>
        <v>78837.5</v>
      </c>
      <c r="Y97" s="29">
        <f t="shared" si="30"/>
        <v>78837.5</v>
      </c>
      <c r="Z97" s="29">
        <f t="shared" si="30"/>
        <v>78837.5</v>
      </c>
      <c r="AA97" s="29">
        <f t="shared" si="30"/>
        <v>78837.5</v>
      </c>
      <c r="AB97" s="29">
        <f t="shared" si="30"/>
        <v>78837.5</v>
      </c>
      <c r="AC97" s="29">
        <f t="shared" si="30"/>
        <v>78837.5</v>
      </c>
      <c r="AD97" s="29">
        <f t="shared" si="30"/>
        <v>78837.5</v>
      </c>
      <c r="AE97" s="29">
        <f t="shared" si="30"/>
        <v>78837.5</v>
      </c>
      <c r="AF97" s="29">
        <f t="shared" si="31"/>
        <v>78837.5</v>
      </c>
    </row>
    <row r="98" spans="1:32">
      <c r="A98" s="29" t="s">
        <v>195</v>
      </c>
      <c r="B98" s="29">
        <f t="shared" si="27"/>
        <v>233952</v>
      </c>
      <c r="C98" s="29">
        <f>($B98+(($L98-$B98)/($L$2-$B$2))*(C$2-$B$2))</f>
        <v>233952</v>
      </c>
      <c r="D98" s="29">
        <f>($B98+(($L98-$B98)/($L$2-$B$2))*(D$2-$B$2))</f>
        <v>233952</v>
      </c>
      <c r="E98" s="29">
        <f>($B98+(($L98-$B98)/($L$2-$B$2))*(E$2-$B$2))</f>
        <v>233952</v>
      </c>
      <c r="F98" s="29">
        <f>($B98+(($L98-$B98)/($L$2-$B$2))*(F$2-$B$2))</f>
        <v>233952</v>
      </c>
      <c r="G98" s="29">
        <f>($B98+(($L98-$B98)/($L$2-$B$2))*(G$2-$B$2))</f>
        <v>233952</v>
      </c>
      <c r="H98" s="29">
        <f>($B98+(($L98-$B98)/($L$2-$B$2))*(H$2-$B$2))</f>
        <v>233952</v>
      </c>
      <c r="I98" s="29">
        <f>($B98+(($L98-$B98)/($L$2-$B$2))*(I$2-$B$2))</f>
        <v>233952</v>
      </c>
      <c r="J98" s="29">
        <f>($B98+(($L98-$B98)/($L$2-$B$2))*(J$2-$B$2))</f>
        <v>233952</v>
      </c>
      <c r="K98" s="29">
        <f>($B98+(($L98-$B98)/($L$2-$B$2))*(K$2-$B$2))</f>
        <v>233952</v>
      </c>
      <c r="L98" s="29">
        <f t="shared" si="28"/>
        <v>233952</v>
      </c>
      <c r="M98" s="29">
        <f>($L98+(($V98-$L98)/($V$2-$L$2))*(M$2-$L$2))</f>
        <v>233952</v>
      </c>
      <c r="N98" s="29">
        <f>($L98+(($V98-$L98)/($V$2-$L$2))*(N$2-$L$2))</f>
        <v>233952</v>
      </c>
      <c r="O98" s="29">
        <f>($L98+(($V98-$L98)/($V$2-$L$2))*(O$2-$L$2))</f>
        <v>233952</v>
      </c>
      <c r="P98" s="29">
        <f>($L98+(($V98-$L98)/($V$2-$L$2))*(P$2-$L$2))</f>
        <v>233952</v>
      </c>
      <c r="Q98" s="29">
        <f>($L98+(($V98-$L98)/($V$2-$L$2))*(Q$2-$L$2))</f>
        <v>233952</v>
      </c>
      <c r="R98" s="29">
        <f>($L98+(($V98-$L98)/($V$2-$L$2))*(R$2-$L$2))</f>
        <v>233952</v>
      </c>
      <c r="S98" s="29">
        <f>($L98+(($V98-$L98)/($V$2-$L$2))*(S$2-$L$2))</f>
        <v>233952</v>
      </c>
      <c r="T98" s="29">
        <f>($L98+(($V98-$L98)/($V$2-$L$2))*(T$2-$L$2))</f>
        <v>233952</v>
      </c>
      <c r="U98" s="29">
        <f>($L98+(($V98-$L98)/($V$2-$L$2))*(U$2-$L$2))</f>
        <v>233952</v>
      </c>
      <c r="V98" s="29">
        <f t="shared" si="29"/>
        <v>233952</v>
      </c>
      <c r="W98" s="29">
        <f t="shared" si="30"/>
        <v>233952</v>
      </c>
      <c r="X98" s="29">
        <f t="shared" si="30"/>
        <v>233952</v>
      </c>
      <c r="Y98" s="29">
        <f t="shared" si="30"/>
        <v>233952</v>
      </c>
      <c r="Z98" s="29">
        <f t="shared" si="30"/>
        <v>233952</v>
      </c>
      <c r="AA98" s="29">
        <f t="shared" si="30"/>
        <v>233952</v>
      </c>
      <c r="AB98" s="29">
        <f t="shared" si="30"/>
        <v>233952</v>
      </c>
      <c r="AC98" s="29">
        <f t="shared" si="30"/>
        <v>233952</v>
      </c>
      <c r="AD98" s="29">
        <f t="shared" si="30"/>
        <v>233952</v>
      </c>
      <c r="AE98" s="29">
        <f t="shared" si="30"/>
        <v>233952</v>
      </c>
      <c r="AF98" s="29">
        <f t="shared" si="31"/>
        <v>233952</v>
      </c>
    </row>
  </sheetData>
  <pageMargins left="0.7" right="0.7" top="0.75" bottom="0.75" header="0.3" footer="0.3"/>
  <ignoredErrors>
    <ignoredError sqref="B35 C35:AF35 C94 D94:AF9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tabSelected="1" topLeftCell="M1" zoomScale="110" zoomScaleNormal="110" workbookViewId="0">
      <selection activeCell="B2" sqref="B2:AF17"/>
    </sheetView>
  </sheetViews>
  <sheetFormatPr baseColWidth="10" defaultColWidth="14.42578125" defaultRowHeight="15" customHeight="1"/>
  <cols>
    <col min="1" max="1" width="33.28515625" customWidth="1"/>
    <col min="2" max="2" width="8.85546875" customWidth="1"/>
    <col min="3" max="4" width="7.28515625" customWidth="1"/>
    <col min="5" max="5" width="7.85546875" customWidth="1"/>
    <col min="6" max="11" width="7.28515625" customWidth="1"/>
    <col min="12" max="12" width="8" customWidth="1"/>
    <col min="13" max="31" width="7.28515625" customWidth="1"/>
    <col min="32" max="32" width="12.7109375" customWidth="1"/>
  </cols>
  <sheetData>
    <row r="1" spans="1:52" s="25" customFormat="1" ht="14.25" customHeight="1">
      <c r="A1" s="41" t="s">
        <v>62</v>
      </c>
      <c r="B1" s="42">
        <v>2020</v>
      </c>
      <c r="C1" s="42">
        <v>2021</v>
      </c>
      <c r="D1" s="42">
        <v>2022</v>
      </c>
      <c r="E1" s="42">
        <v>2023</v>
      </c>
      <c r="F1" s="42">
        <v>2024</v>
      </c>
      <c r="G1" s="42">
        <v>2025</v>
      </c>
      <c r="H1" s="42">
        <v>2026</v>
      </c>
      <c r="I1" s="42">
        <v>2027</v>
      </c>
      <c r="J1" s="42">
        <v>2028</v>
      </c>
      <c r="K1" s="42">
        <v>2029</v>
      </c>
      <c r="L1" s="42">
        <v>2030</v>
      </c>
      <c r="M1" s="42">
        <v>2031</v>
      </c>
      <c r="N1" s="42">
        <v>2032</v>
      </c>
      <c r="O1" s="42">
        <v>2033</v>
      </c>
      <c r="P1" s="42">
        <v>2034</v>
      </c>
      <c r="Q1" s="42">
        <v>2035</v>
      </c>
      <c r="R1" s="42">
        <v>2036</v>
      </c>
      <c r="S1" s="42">
        <v>2037</v>
      </c>
      <c r="T1" s="42">
        <v>2038</v>
      </c>
      <c r="U1" s="42">
        <v>2039</v>
      </c>
      <c r="V1" s="42">
        <v>2040</v>
      </c>
      <c r="W1" s="42">
        <v>2041</v>
      </c>
      <c r="X1" s="42">
        <v>2042</v>
      </c>
      <c r="Y1" s="42">
        <v>2043</v>
      </c>
      <c r="Z1" s="42">
        <v>2044</v>
      </c>
      <c r="AA1" s="42">
        <v>2045</v>
      </c>
      <c r="AB1" s="42">
        <v>2046</v>
      </c>
      <c r="AC1" s="42">
        <v>2047</v>
      </c>
      <c r="AD1" s="42">
        <v>2048</v>
      </c>
      <c r="AE1" s="42">
        <v>2049</v>
      </c>
      <c r="AF1" s="42">
        <v>2050</v>
      </c>
      <c r="AG1" s="43"/>
      <c r="AH1" s="43"/>
      <c r="AI1" s="43"/>
      <c r="AJ1" s="43"/>
      <c r="AK1" s="43"/>
      <c r="AL1" s="43"/>
      <c r="AM1" s="43"/>
      <c r="AN1" s="43"/>
      <c r="AO1" s="43"/>
      <c r="AP1" s="43"/>
      <c r="AQ1" s="43"/>
      <c r="AR1" s="43"/>
      <c r="AS1" s="43"/>
      <c r="AT1" s="43"/>
      <c r="AU1" s="43"/>
      <c r="AV1" s="43"/>
      <c r="AW1" s="43"/>
      <c r="AX1" s="43"/>
      <c r="AY1" s="43"/>
      <c r="AZ1" s="43"/>
    </row>
    <row r="2" spans="1:52" ht="14.25" customHeight="1">
      <c r="A2" s="44" t="s">
        <v>48</v>
      </c>
      <c r="B2" s="57">
        <f>'Projections - CPL estimations'!B83</f>
        <v>25228</v>
      </c>
      <c r="C2" s="57">
        <f>'Projections - CPL estimations'!C83</f>
        <v>24975.72</v>
      </c>
      <c r="D2" s="57">
        <f>'Projections - CPL estimations'!D83</f>
        <v>24723.439999999999</v>
      </c>
      <c r="E2" s="57">
        <f>'Projections - CPL estimations'!E83</f>
        <v>24471.16</v>
      </c>
      <c r="F2" s="57">
        <f>'Projections - CPL estimations'!F83</f>
        <v>24218.880000000001</v>
      </c>
      <c r="G2" s="57">
        <f>'Projections - CPL estimations'!G83</f>
        <v>23966.6</v>
      </c>
      <c r="H2" s="57">
        <f>'Projections - CPL estimations'!H83</f>
        <v>23714.32</v>
      </c>
      <c r="I2" s="57">
        <f>'Projections - CPL estimations'!I83</f>
        <v>23462.04</v>
      </c>
      <c r="J2" s="57">
        <f>'Projections - CPL estimations'!J83</f>
        <v>23209.760000000002</v>
      </c>
      <c r="K2" s="57">
        <f>'Projections - CPL estimations'!K83</f>
        <v>22957.48</v>
      </c>
      <c r="L2" s="57">
        <f>'Projections - CPL estimations'!L83</f>
        <v>22705.200000000001</v>
      </c>
      <c r="M2" s="57">
        <f>'Projections - CPL estimations'!M83</f>
        <v>22326.78</v>
      </c>
      <c r="N2" s="57">
        <f>'Projections - CPL estimations'!N83</f>
        <v>21948.36</v>
      </c>
      <c r="O2" s="57">
        <f>'Projections - CPL estimations'!O83</f>
        <v>21569.940000000002</v>
      </c>
      <c r="P2" s="57">
        <f>'Projections - CPL estimations'!P83</f>
        <v>21191.52</v>
      </c>
      <c r="Q2" s="57">
        <f>'Projections - CPL estimations'!Q83</f>
        <v>20813.099999999999</v>
      </c>
      <c r="R2" s="57">
        <f>'Projections - CPL estimations'!R83</f>
        <v>20434.68</v>
      </c>
      <c r="S2" s="57">
        <f>'Projections - CPL estimations'!S83</f>
        <v>20056.260000000002</v>
      </c>
      <c r="T2" s="57">
        <f>'Projections - CPL estimations'!T83</f>
        <v>19677.84</v>
      </c>
      <c r="U2" s="57">
        <f>'Projections - CPL estimations'!U83</f>
        <v>19299.419999999998</v>
      </c>
      <c r="V2" s="57">
        <f>'Projections - CPL estimations'!V83</f>
        <v>18921</v>
      </c>
      <c r="W2" s="57">
        <f>'Projections - CPL estimations'!W83</f>
        <v>18921</v>
      </c>
      <c r="X2" s="57">
        <f>'Projections - CPL estimations'!X83</f>
        <v>18921</v>
      </c>
      <c r="Y2" s="57">
        <f>'Projections - CPL estimations'!Y83</f>
        <v>18921</v>
      </c>
      <c r="Z2" s="57">
        <f>'Projections - CPL estimations'!Z83</f>
        <v>18921</v>
      </c>
      <c r="AA2" s="57">
        <f>'Projections - CPL estimations'!AA83</f>
        <v>18921</v>
      </c>
      <c r="AB2" s="57">
        <f>'Projections - CPL estimations'!AB83</f>
        <v>18921</v>
      </c>
      <c r="AC2" s="57">
        <f>'Projections - CPL estimations'!AC83</f>
        <v>18921</v>
      </c>
      <c r="AD2" s="57">
        <f>'Projections - CPL estimations'!AD83</f>
        <v>18921</v>
      </c>
      <c r="AE2" s="57">
        <f>'Projections - CPL estimations'!AE83</f>
        <v>18921</v>
      </c>
      <c r="AF2" s="57">
        <f>'Projections - CPL estimations'!AF83</f>
        <v>18921</v>
      </c>
      <c r="AG2" s="45"/>
      <c r="AH2" s="45"/>
      <c r="AI2" s="45"/>
      <c r="AJ2" s="45"/>
      <c r="AK2" s="45"/>
      <c r="AL2" s="45"/>
      <c r="AM2" s="45"/>
      <c r="AN2" s="45"/>
      <c r="AO2" s="45"/>
      <c r="AP2" s="45"/>
      <c r="AQ2" s="45"/>
      <c r="AR2" s="45"/>
      <c r="AS2" s="45"/>
      <c r="AT2" s="45"/>
      <c r="AU2" s="45"/>
      <c r="AV2" s="45"/>
      <c r="AW2" s="45"/>
      <c r="AX2" s="45"/>
      <c r="AY2" s="45"/>
      <c r="AZ2" s="45"/>
    </row>
    <row r="3" spans="1:52" ht="14.25" customHeight="1">
      <c r="A3" s="44" t="s">
        <v>49</v>
      </c>
      <c r="B3" s="57">
        <f>'Projections - CPL estimations'!B84</f>
        <v>12614</v>
      </c>
      <c r="C3" s="57">
        <f>'Projections - CPL estimations'!C84</f>
        <v>12449.46956521739</v>
      </c>
      <c r="D3" s="57">
        <f>'Projections - CPL estimations'!D84</f>
        <v>12284.939130434783</v>
      </c>
      <c r="E3" s="57">
        <f>'Projections - CPL estimations'!E84</f>
        <v>12120.408695652173</v>
      </c>
      <c r="F3" s="57">
        <f>'Projections - CPL estimations'!F84</f>
        <v>11955.878260869566</v>
      </c>
      <c r="G3" s="57">
        <f>'Projections - CPL estimations'!G84</f>
        <v>11791.347826086956</v>
      </c>
      <c r="H3" s="57">
        <f>'Projections - CPL estimations'!H84</f>
        <v>11626.817391304347</v>
      </c>
      <c r="I3" s="57">
        <f>'Projections - CPL estimations'!I84</f>
        <v>11462.286956521739</v>
      </c>
      <c r="J3" s="57">
        <f>'Projections - CPL estimations'!J84</f>
        <v>11297.756521739129</v>
      </c>
      <c r="K3" s="57">
        <f>'Projections - CPL estimations'!K84</f>
        <v>11133.226086956522</v>
      </c>
      <c r="L3" s="57">
        <f>'Projections - CPL estimations'!L84</f>
        <v>10968.695652173912</v>
      </c>
      <c r="M3" s="57">
        <f>'Projections - CPL estimations'!M84</f>
        <v>10968.695652173912</v>
      </c>
      <c r="N3" s="57">
        <f>'Projections - CPL estimations'!N84</f>
        <v>10968.695652173912</v>
      </c>
      <c r="O3" s="57">
        <f>'Projections - CPL estimations'!O84</f>
        <v>10968.695652173912</v>
      </c>
      <c r="P3" s="57">
        <f>'Projections - CPL estimations'!P84</f>
        <v>10968.695652173912</v>
      </c>
      <c r="Q3" s="57">
        <f>'Projections - CPL estimations'!Q84</f>
        <v>10968.695652173912</v>
      </c>
      <c r="R3" s="57">
        <f>'Projections - CPL estimations'!R84</f>
        <v>10968.695652173912</v>
      </c>
      <c r="S3" s="57">
        <f>'Projections - CPL estimations'!S84</f>
        <v>10968.695652173912</v>
      </c>
      <c r="T3" s="57">
        <f>'Projections - CPL estimations'!T84</f>
        <v>10968.695652173912</v>
      </c>
      <c r="U3" s="57">
        <f>'Projections - CPL estimations'!U84</f>
        <v>10968.695652173912</v>
      </c>
      <c r="V3" s="57">
        <f>'Projections - CPL estimations'!V84</f>
        <v>10968.695652173912</v>
      </c>
      <c r="W3" s="57">
        <f>'Projections - CPL estimations'!W84</f>
        <v>10968.695652173912</v>
      </c>
      <c r="X3" s="57">
        <f>'Projections - CPL estimations'!X84</f>
        <v>10968.695652173912</v>
      </c>
      <c r="Y3" s="57">
        <f>'Projections - CPL estimations'!Y84</f>
        <v>10968.695652173912</v>
      </c>
      <c r="Z3" s="57">
        <f>'Projections - CPL estimations'!Z84</f>
        <v>10968.695652173912</v>
      </c>
      <c r="AA3" s="57">
        <f>'Projections - CPL estimations'!AA84</f>
        <v>10968.695652173912</v>
      </c>
      <c r="AB3" s="57">
        <f>'Projections - CPL estimations'!AB84</f>
        <v>10968.695652173912</v>
      </c>
      <c r="AC3" s="57">
        <f>'Projections - CPL estimations'!AC84</f>
        <v>10968.695652173912</v>
      </c>
      <c r="AD3" s="57">
        <f>'Projections - CPL estimations'!AD84</f>
        <v>10968.695652173912</v>
      </c>
      <c r="AE3" s="57">
        <f>'Projections - CPL estimations'!AE84</f>
        <v>10968.695652173912</v>
      </c>
      <c r="AF3" s="57">
        <f>'Projections - CPL estimations'!AF84</f>
        <v>10968.695652173912</v>
      </c>
      <c r="AG3" s="45"/>
      <c r="AH3" s="45"/>
      <c r="AI3" s="45"/>
      <c r="AJ3" s="45"/>
      <c r="AK3" s="45"/>
      <c r="AL3" s="45"/>
      <c r="AM3" s="45"/>
      <c r="AN3" s="45"/>
      <c r="AO3" s="45"/>
      <c r="AP3" s="45"/>
      <c r="AQ3" s="45"/>
      <c r="AR3" s="45"/>
      <c r="AS3" s="45"/>
      <c r="AT3" s="45"/>
      <c r="AU3" s="45"/>
      <c r="AV3" s="45"/>
      <c r="AW3" s="45"/>
      <c r="AX3" s="45"/>
      <c r="AY3" s="45"/>
      <c r="AZ3" s="45"/>
    </row>
    <row r="4" spans="1:52" ht="14.25" customHeight="1">
      <c r="A4" s="44" t="s">
        <v>37</v>
      </c>
      <c r="B4" s="57">
        <f>'Projections - CPL estimations'!B85</f>
        <v>77260.75</v>
      </c>
      <c r="C4" s="57">
        <f>'Projections - CPL estimations'!C85</f>
        <v>77260.75</v>
      </c>
      <c r="D4" s="57">
        <f>'Projections - CPL estimations'!D85</f>
        <v>77260.75</v>
      </c>
      <c r="E4" s="57">
        <f>'Projections - CPL estimations'!E85</f>
        <v>77260.75</v>
      </c>
      <c r="F4" s="57">
        <f>'Projections - CPL estimations'!F85</f>
        <v>77260.75</v>
      </c>
      <c r="G4" s="57">
        <f>'Projections - CPL estimations'!G85</f>
        <v>77260.75</v>
      </c>
      <c r="H4" s="57">
        <f>'Projections - CPL estimations'!H85</f>
        <v>77260.75</v>
      </c>
      <c r="I4" s="57">
        <f>'Projections - CPL estimations'!I85</f>
        <v>77260.75</v>
      </c>
      <c r="J4" s="57">
        <f>'Projections - CPL estimations'!J85</f>
        <v>77260.75</v>
      </c>
      <c r="K4" s="57">
        <f>'Projections - CPL estimations'!K85</f>
        <v>77260.75</v>
      </c>
      <c r="L4" s="57">
        <f>'Projections - CPL estimations'!L85</f>
        <v>77260.75</v>
      </c>
      <c r="M4" s="57">
        <f>'Projections - CPL estimations'!M85</f>
        <v>77260.75</v>
      </c>
      <c r="N4" s="57">
        <f>'Projections - CPL estimations'!N85</f>
        <v>77260.75</v>
      </c>
      <c r="O4" s="57">
        <f>'Projections - CPL estimations'!O85</f>
        <v>77260.75</v>
      </c>
      <c r="P4" s="57">
        <f>'Projections - CPL estimations'!P85</f>
        <v>77260.75</v>
      </c>
      <c r="Q4" s="57">
        <f>'Projections - CPL estimations'!Q85</f>
        <v>77260.75</v>
      </c>
      <c r="R4" s="57">
        <f>'Projections - CPL estimations'!R85</f>
        <v>77260.75</v>
      </c>
      <c r="S4" s="57">
        <f>'Projections - CPL estimations'!S85</f>
        <v>77260.75</v>
      </c>
      <c r="T4" s="57">
        <f>'Projections - CPL estimations'!T85</f>
        <v>77260.75</v>
      </c>
      <c r="U4" s="57">
        <f>'Projections - CPL estimations'!U85</f>
        <v>77260.75</v>
      </c>
      <c r="V4" s="57">
        <f>'Projections - CPL estimations'!V85</f>
        <v>77260.75</v>
      </c>
      <c r="W4" s="57">
        <f>'Projections - CPL estimations'!W85</f>
        <v>77260.75</v>
      </c>
      <c r="X4" s="57">
        <f>'Projections - CPL estimations'!X85</f>
        <v>77260.75</v>
      </c>
      <c r="Y4" s="57">
        <f>'Projections - CPL estimations'!Y85</f>
        <v>77260.75</v>
      </c>
      <c r="Z4" s="57">
        <f>'Projections - CPL estimations'!Z85</f>
        <v>77260.75</v>
      </c>
      <c r="AA4" s="57">
        <f>'Projections - CPL estimations'!AA85</f>
        <v>77260.75</v>
      </c>
      <c r="AB4" s="57">
        <f>'Projections - CPL estimations'!AB85</f>
        <v>77260.75</v>
      </c>
      <c r="AC4" s="57">
        <f>'Projections - CPL estimations'!AC85</f>
        <v>77260.75</v>
      </c>
      <c r="AD4" s="57">
        <f>'Projections - CPL estimations'!AD85</f>
        <v>77260.75</v>
      </c>
      <c r="AE4" s="57">
        <f>'Projections - CPL estimations'!AE85</f>
        <v>77260.75</v>
      </c>
      <c r="AF4" s="57">
        <f>'Projections - CPL estimations'!AF85</f>
        <v>77260.75</v>
      </c>
      <c r="AG4" s="45"/>
      <c r="AH4" s="45"/>
      <c r="AI4" s="45"/>
      <c r="AJ4" s="45"/>
      <c r="AK4" s="45"/>
      <c r="AL4" s="45"/>
      <c r="AM4" s="45"/>
      <c r="AN4" s="45"/>
      <c r="AO4" s="45"/>
      <c r="AP4" s="45"/>
      <c r="AQ4" s="45"/>
      <c r="AR4" s="45"/>
      <c r="AS4" s="45"/>
      <c r="AT4" s="45"/>
      <c r="AU4" s="45"/>
      <c r="AV4" s="45"/>
      <c r="AW4" s="45"/>
      <c r="AX4" s="45"/>
      <c r="AY4" s="45"/>
      <c r="AZ4" s="45"/>
    </row>
    <row r="5" spans="1:52" ht="14.25" customHeight="1">
      <c r="A5" s="44" t="s">
        <v>50</v>
      </c>
      <c r="B5" s="57">
        <f>'Projections - CPL estimations'!B86</f>
        <v>14190.75</v>
      </c>
      <c r="C5" s="57">
        <f>'Projections - CPL estimations'!C86</f>
        <v>14190.75</v>
      </c>
      <c r="D5" s="57">
        <f>'Projections - CPL estimations'!D86</f>
        <v>14190.75</v>
      </c>
      <c r="E5" s="57">
        <f>'Projections - CPL estimations'!E86</f>
        <v>14190.75</v>
      </c>
      <c r="F5" s="57">
        <f>'Projections - CPL estimations'!F86</f>
        <v>14190.75</v>
      </c>
      <c r="G5" s="57">
        <f>'Projections - CPL estimations'!G86</f>
        <v>14190.75</v>
      </c>
      <c r="H5" s="57">
        <f>'Projections - CPL estimations'!H86</f>
        <v>14190.75</v>
      </c>
      <c r="I5" s="57">
        <f>'Projections - CPL estimations'!I86</f>
        <v>14190.75</v>
      </c>
      <c r="J5" s="57">
        <f>'Projections - CPL estimations'!J86</f>
        <v>14190.75</v>
      </c>
      <c r="K5" s="57">
        <f>'Projections - CPL estimations'!K86</f>
        <v>14190.75</v>
      </c>
      <c r="L5" s="57">
        <f>'Projections - CPL estimations'!L86</f>
        <v>14190.75</v>
      </c>
      <c r="M5" s="57">
        <f>'Projections - CPL estimations'!M86</f>
        <v>14190.75</v>
      </c>
      <c r="N5" s="57">
        <f>'Projections - CPL estimations'!N86</f>
        <v>14190.75</v>
      </c>
      <c r="O5" s="57">
        <f>'Projections - CPL estimations'!O86</f>
        <v>14190.75</v>
      </c>
      <c r="P5" s="57">
        <f>'Projections - CPL estimations'!P86</f>
        <v>14190.75</v>
      </c>
      <c r="Q5" s="57">
        <f>'Projections - CPL estimations'!Q86</f>
        <v>14190.75</v>
      </c>
      <c r="R5" s="57">
        <f>'Projections - CPL estimations'!R86</f>
        <v>14190.75</v>
      </c>
      <c r="S5" s="57">
        <f>'Projections - CPL estimations'!S86</f>
        <v>14190.75</v>
      </c>
      <c r="T5" s="57">
        <f>'Projections - CPL estimations'!T86</f>
        <v>14190.75</v>
      </c>
      <c r="U5" s="57">
        <f>'Projections - CPL estimations'!U86</f>
        <v>14190.75</v>
      </c>
      <c r="V5" s="57">
        <f>'Projections - CPL estimations'!V86</f>
        <v>14190.75</v>
      </c>
      <c r="W5" s="57">
        <f>'Projections - CPL estimations'!W86</f>
        <v>14190.75</v>
      </c>
      <c r="X5" s="57">
        <f>'Projections - CPL estimations'!X86</f>
        <v>14190.75</v>
      </c>
      <c r="Y5" s="57">
        <f>'Projections - CPL estimations'!Y86</f>
        <v>14190.75</v>
      </c>
      <c r="Z5" s="57">
        <f>'Projections - CPL estimations'!Z86</f>
        <v>14190.75</v>
      </c>
      <c r="AA5" s="57">
        <f>'Projections - CPL estimations'!AA86</f>
        <v>14190.75</v>
      </c>
      <c r="AB5" s="57">
        <f>'Projections - CPL estimations'!AB86</f>
        <v>14190.75</v>
      </c>
      <c r="AC5" s="57">
        <f>'Projections - CPL estimations'!AC86</f>
        <v>14190.75</v>
      </c>
      <c r="AD5" s="57">
        <f>'Projections - CPL estimations'!AD86</f>
        <v>14190.75</v>
      </c>
      <c r="AE5" s="57">
        <f>'Projections - CPL estimations'!AE86</f>
        <v>14190.75</v>
      </c>
      <c r="AF5" s="57">
        <f>'Projections - CPL estimations'!AF86</f>
        <v>14190.75</v>
      </c>
      <c r="AG5" s="45"/>
      <c r="AH5" s="45"/>
      <c r="AI5" s="45"/>
      <c r="AJ5" s="45"/>
      <c r="AK5" s="45"/>
      <c r="AL5" s="45"/>
      <c r="AM5" s="45"/>
      <c r="AN5" s="45"/>
      <c r="AO5" s="45"/>
      <c r="AP5" s="45"/>
      <c r="AQ5" s="45"/>
      <c r="AR5" s="45"/>
      <c r="AS5" s="45"/>
      <c r="AT5" s="45"/>
      <c r="AU5" s="45"/>
      <c r="AV5" s="45"/>
      <c r="AW5" s="45"/>
      <c r="AX5" s="45"/>
      <c r="AY5" s="45"/>
      <c r="AZ5" s="45"/>
    </row>
    <row r="6" spans="1:52" ht="14.25" customHeight="1">
      <c r="A6" s="44" t="s">
        <v>51</v>
      </c>
      <c r="B6" s="57">
        <f>'Projections - CPL estimations'!B87</f>
        <v>14190.75</v>
      </c>
      <c r="C6" s="57">
        <f>'Projections - CPL estimations'!C87</f>
        <v>13896.831553398059</v>
      </c>
      <c r="D6" s="57">
        <f>'Projections - CPL estimations'!D87</f>
        <v>13602.913106796117</v>
      </c>
      <c r="E6" s="57">
        <f>'Projections - CPL estimations'!E87</f>
        <v>13308.994660194176</v>
      </c>
      <c r="F6" s="57">
        <f>'Projections - CPL estimations'!F87</f>
        <v>13015.076213592234</v>
      </c>
      <c r="G6" s="57">
        <f>'Projections - CPL estimations'!G87</f>
        <v>12721.157766990291</v>
      </c>
      <c r="H6" s="57">
        <f>'Projections - CPL estimations'!H87</f>
        <v>12427.239320388351</v>
      </c>
      <c r="I6" s="57">
        <f>'Projections - CPL estimations'!I87</f>
        <v>12133.320873786408</v>
      </c>
      <c r="J6" s="57">
        <f>'Projections - CPL estimations'!J87</f>
        <v>11839.402427184466</v>
      </c>
      <c r="K6" s="57">
        <f>'Projections - CPL estimations'!K87</f>
        <v>11545.483980582525</v>
      </c>
      <c r="L6" s="57">
        <f>'Projections - CPL estimations'!L87</f>
        <v>11251.565533980583</v>
      </c>
      <c r="M6" s="57">
        <f>'Projections - CPL estimations'!M87</f>
        <v>11129.864927184466</v>
      </c>
      <c r="N6" s="57">
        <f>'Projections - CPL estimations'!N87</f>
        <v>11008.16432038835</v>
      </c>
      <c r="O6" s="57">
        <f>'Projections - CPL estimations'!O87</f>
        <v>10886.463713592233</v>
      </c>
      <c r="P6" s="57">
        <f>'Projections - CPL estimations'!P87</f>
        <v>10764.763106796117</v>
      </c>
      <c r="Q6" s="57">
        <f>'Projections - CPL estimations'!Q87</f>
        <v>10643.0625</v>
      </c>
      <c r="R6" s="57">
        <f>'Projections - CPL estimations'!R87</f>
        <v>10521.361893203883</v>
      </c>
      <c r="S6" s="57">
        <f>'Projections - CPL estimations'!S87</f>
        <v>10399.661286407767</v>
      </c>
      <c r="T6" s="57">
        <f>'Projections - CPL estimations'!T87</f>
        <v>10277.96067961165</v>
      </c>
      <c r="U6" s="57">
        <f>'Projections - CPL estimations'!U87</f>
        <v>10156.260072815534</v>
      </c>
      <c r="V6" s="57">
        <f>'Projections - CPL estimations'!V87</f>
        <v>10034.559466019417</v>
      </c>
      <c r="W6" s="57">
        <f>'Projections - CPL estimations'!W87</f>
        <v>9894.488956310679</v>
      </c>
      <c r="X6" s="57">
        <f>'Projections - CPL estimations'!X87</f>
        <v>9754.4184466019415</v>
      </c>
      <c r="Y6" s="57">
        <f>'Projections - CPL estimations'!Y87</f>
        <v>9614.347936893204</v>
      </c>
      <c r="Z6" s="57">
        <f>'Projections - CPL estimations'!Z87</f>
        <v>9474.2774271844664</v>
      </c>
      <c r="AA6" s="57">
        <f>'Projections - CPL estimations'!AA87</f>
        <v>9334.2069174757271</v>
      </c>
      <c r="AB6" s="57">
        <f>'Projections - CPL estimations'!AB87</f>
        <v>9194.1364077669896</v>
      </c>
      <c r="AC6" s="57">
        <f>'Projections - CPL estimations'!AC87</f>
        <v>9054.0658980582521</v>
      </c>
      <c r="AD6" s="57">
        <f>'Projections - CPL estimations'!AD87</f>
        <v>8913.9953883495145</v>
      </c>
      <c r="AE6" s="57">
        <f>'Projections - CPL estimations'!AE87</f>
        <v>8773.924878640777</v>
      </c>
      <c r="AF6" s="57">
        <f>'Projections - CPL estimations'!AF87</f>
        <v>8633.8543689320395</v>
      </c>
      <c r="AG6" s="45"/>
      <c r="AH6" s="45"/>
      <c r="AI6" s="45"/>
      <c r="AJ6" s="45"/>
      <c r="AK6" s="45"/>
      <c r="AL6" s="45"/>
      <c r="AM6" s="45"/>
      <c r="AN6" s="45"/>
      <c r="AO6" s="45"/>
      <c r="AP6" s="45"/>
      <c r="AQ6" s="45"/>
      <c r="AR6" s="45"/>
      <c r="AS6" s="45"/>
      <c r="AT6" s="45"/>
      <c r="AU6" s="45"/>
      <c r="AV6" s="45"/>
      <c r="AW6" s="45"/>
      <c r="AX6" s="45"/>
      <c r="AY6" s="45"/>
      <c r="AZ6" s="45"/>
    </row>
    <row r="7" spans="1:52" ht="14.25" customHeight="1">
      <c r="A7" s="44" t="s">
        <v>52</v>
      </c>
      <c r="B7" s="57">
        <f>'Projections - CPL estimations'!B88</f>
        <v>7883.75</v>
      </c>
      <c r="C7" s="57">
        <f>'Projections - CPL estimations'!C88</f>
        <v>7671.7852019128586</v>
      </c>
      <c r="D7" s="57">
        <f>'Projections - CPL estimations'!D88</f>
        <v>7459.8204038257172</v>
      </c>
      <c r="E7" s="57">
        <f>'Projections - CPL estimations'!E88</f>
        <v>7247.8556057385758</v>
      </c>
      <c r="F7" s="57">
        <f>'Projections - CPL estimations'!F88</f>
        <v>7035.8908076514344</v>
      </c>
      <c r="G7" s="57">
        <f>'Projections - CPL estimations'!G88</f>
        <v>6823.9260095642931</v>
      </c>
      <c r="H7" s="57">
        <f>'Projections - CPL estimations'!H88</f>
        <v>6611.9612114771517</v>
      </c>
      <c r="I7" s="57">
        <f>'Projections - CPL estimations'!I88</f>
        <v>6399.9964133900103</v>
      </c>
      <c r="J7" s="57">
        <f>'Projections - CPL estimations'!J88</f>
        <v>6188.0316153028689</v>
      </c>
      <c r="K7" s="57">
        <f>'Projections - CPL estimations'!K88</f>
        <v>5976.0668172157275</v>
      </c>
      <c r="L7" s="57">
        <f>'Projections - CPL estimations'!L88</f>
        <v>5764.1020191285861</v>
      </c>
      <c r="M7" s="57">
        <f>'Projections - CPL estimations'!M88</f>
        <v>5805.9922954303929</v>
      </c>
      <c r="N7" s="57">
        <f>'Projections - CPL estimations'!N88</f>
        <v>5847.8825717321997</v>
      </c>
      <c r="O7" s="57">
        <f>'Projections - CPL estimations'!O88</f>
        <v>5889.7728480340056</v>
      </c>
      <c r="P7" s="57">
        <f>'Projections - CPL estimations'!P88</f>
        <v>5931.6631243358124</v>
      </c>
      <c r="Q7" s="57">
        <f>'Projections - CPL estimations'!Q88</f>
        <v>5973.5534006376192</v>
      </c>
      <c r="R7" s="57">
        <f>'Projections - CPL estimations'!R88</f>
        <v>6015.443676939426</v>
      </c>
      <c r="S7" s="57">
        <f>'Projections - CPL estimations'!S88</f>
        <v>6057.3339532412328</v>
      </c>
      <c r="T7" s="57">
        <f>'Projections - CPL estimations'!T88</f>
        <v>6099.2242295430387</v>
      </c>
      <c r="U7" s="57">
        <f>'Projections - CPL estimations'!U88</f>
        <v>6141.1145058448456</v>
      </c>
      <c r="V7" s="57">
        <f>'Projections - CPL estimations'!V88</f>
        <v>6183.0047821466524</v>
      </c>
      <c r="W7" s="57">
        <f>'Projections - CPL estimations'!W88</f>
        <v>5993.6607332624862</v>
      </c>
      <c r="X7" s="57">
        <f>'Projections - CPL estimations'!X88</f>
        <v>5804.316684378321</v>
      </c>
      <c r="Y7" s="57">
        <f>'Projections - CPL estimations'!Y88</f>
        <v>5614.9726354941549</v>
      </c>
      <c r="Z7" s="57">
        <f>'Projections - CPL estimations'!Z88</f>
        <v>5425.6285866099897</v>
      </c>
      <c r="AA7" s="57">
        <f>'Projections - CPL estimations'!AA88</f>
        <v>5236.2845377258236</v>
      </c>
      <c r="AB7" s="57">
        <f>'Projections - CPL estimations'!AB88</f>
        <v>5046.9404888416575</v>
      </c>
      <c r="AC7" s="57">
        <f>'Projections - CPL estimations'!AC88</f>
        <v>4857.5964399574923</v>
      </c>
      <c r="AD7" s="57">
        <f>'Projections - CPL estimations'!AD88</f>
        <v>4668.2523910733262</v>
      </c>
      <c r="AE7" s="57">
        <f>'Projections - CPL estimations'!AE88</f>
        <v>4478.908342189161</v>
      </c>
      <c r="AF7" s="57">
        <f>'Projections - CPL estimations'!AF88</f>
        <v>4289.5642933049949</v>
      </c>
      <c r="AG7" s="31"/>
      <c r="AH7" s="31"/>
      <c r="AI7" s="31"/>
      <c r="AJ7" s="31"/>
      <c r="AK7" s="31"/>
      <c r="AL7" s="31"/>
      <c r="AM7" s="31"/>
      <c r="AN7" s="31"/>
      <c r="AO7" s="31"/>
      <c r="AP7" s="31"/>
      <c r="AQ7" s="31"/>
      <c r="AR7" s="31"/>
      <c r="AS7" s="31"/>
      <c r="AT7" s="31"/>
      <c r="AU7" s="31"/>
      <c r="AV7" s="31"/>
      <c r="AW7" s="31"/>
      <c r="AX7" s="31"/>
      <c r="AY7" s="31"/>
      <c r="AZ7" s="31"/>
    </row>
    <row r="8" spans="1:52" ht="14.25" customHeight="1">
      <c r="A8" s="44" t="s">
        <v>63</v>
      </c>
      <c r="B8" s="57">
        <f>'Projections - CPL estimations'!B89</f>
        <v>96466.346166182542</v>
      </c>
      <c r="C8" s="57">
        <f>'Projections - CPL estimations'!C89</f>
        <v>94842.907574219862</v>
      </c>
      <c r="D8" s="57">
        <f>'Projections - CPL estimations'!D89</f>
        <v>93219.468982257196</v>
      </c>
      <c r="E8" s="57">
        <f>'Projections - CPL estimations'!E89</f>
        <v>91596.030390294516</v>
      </c>
      <c r="F8" s="57">
        <f>'Projections - CPL estimations'!F89</f>
        <v>89972.591798331836</v>
      </c>
      <c r="G8" s="57">
        <f>'Projections - CPL estimations'!G89</f>
        <v>88349.15320636917</v>
      </c>
      <c r="H8" s="57">
        <f>'Projections - CPL estimations'!H89</f>
        <v>86725.71461440649</v>
      </c>
      <c r="I8" s="57">
        <f>'Projections - CPL estimations'!I89</f>
        <v>85102.27602244381</v>
      </c>
      <c r="J8" s="57">
        <f>'Projections - CPL estimations'!J89</f>
        <v>83478.83743048113</v>
      </c>
      <c r="K8" s="57">
        <f>'Projections - CPL estimations'!K89</f>
        <v>81855.398838518464</v>
      </c>
      <c r="L8" s="57">
        <f>'Projections - CPL estimations'!L89</f>
        <v>80231.960246555784</v>
      </c>
      <c r="M8" s="57">
        <f>'Projections - CPL estimations'!M89</f>
        <v>79569.202195273669</v>
      </c>
      <c r="N8" s="57">
        <f>'Projections - CPL estimations'!N89</f>
        <v>78906.444143991554</v>
      </c>
      <c r="O8" s="57">
        <f>'Projections - CPL estimations'!O89</f>
        <v>78243.686092709439</v>
      </c>
      <c r="P8" s="57">
        <f>'Projections - CPL estimations'!P89</f>
        <v>77580.928041427323</v>
      </c>
      <c r="Q8" s="57">
        <f>'Projections - CPL estimations'!Q89</f>
        <v>76918.169990145223</v>
      </c>
      <c r="R8" s="57">
        <f>'Projections - CPL estimations'!R89</f>
        <v>76255.411938863108</v>
      </c>
      <c r="S8" s="57">
        <f>'Projections - CPL estimations'!S89</f>
        <v>75592.653887580993</v>
      </c>
      <c r="T8" s="57">
        <f>'Projections - CPL estimations'!T89</f>
        <v>74929.895836298878</v>
      </c>
      <c r="U8" s="57">
        <f>'Projections - CPL estimations'!U89</f>
        <v>74267.137785016763</v>
      </c>
      <c r="V8" s="57">
        <f>'Projections - CPL estimations'!V89</f>
        <v>73604.379733734648</v>
      </c>
      <c r="W8" s="57">
        <f>'Projections - CPL estimations'!W89</f>
        <v>73288.932392018643</v>
      </c>
      <c r="X8" s="57">
        <f>'Projections - CPL estimations'!X89</f>
        <v>72973.485050302639</v>
      </c>
      <c r="Y8" s="57">
        <f>'Projections - CPL estimations'!Y89</f>
        <v>72658.037708586635</v>
      </c>
      <c r="Z8" s="57">
        <f>'Projections - CPL estimations'!Z89</f>
        <v>72342.590366870631</v>
      </c>
      <c r="AA8" s="57">
        <f>'Projections - CPL estimations'!AA89</f>
        <v>72027.143025154626</v>
      </c>
      <c r="AB8" s="57">
        <f>'Projections - CPL estimations'!AB89</f>
        <v>71711.695683438622</v>
      </c>
      <c r="AC8" s="57">
        <f>'Projections - CPL estimations'!AC89</f>
        <v>71396.248341722618</v>
      </c>
      <c r="AD8" s="57">
        <f>'Projections - CPL estimations'!AD89</f>
        <v>71080.801000006613</v>
      </c>
      <c r="AE8" s="57">
        <f>'Projections - CPL estimations'!AE89</f>
        <v>70765.353658290609</v>
      </c>
      <c r="AF8" s="57">
        <f>'Projections - CPL estimations'!AF89</f>
        <v>70449.906316574605</v>
      </c>
      <c r="AG8" s="31"/>
      <c r="AH8" s="31"/>
      <c r="AI8" s="31"/>
      <c r="AJ8" s="31"/>
      <c r="AK8" s="31"/>
      <c r="AL8" s="31"/>
      <c r="AM8" s="31"/>
      <c r="AN8" s="31"/>
      <c r="AO8" s="31"/>
      <c r="AP8" s="31"/>
      <c r="AQ8" s="31"/>
      <c r="AR8" s="31"/>
      <c r="AS8" s="31"/>
      <c r="AT8" s="31"/>
      <c r="AU8" s="31"/>
      <c r="AV8" s="31"/>
      <c r="AW8" s="31"/>
      <c r="AX8" s="31"/>
      <c r="AY8" s="31"/>
      <c r="AZ8" s="31"/>
    </row>
    <row r="9" spans="1:52" ht="14.25" customHeight="1">
      <c r="A9" s="44" t="s">
        <v>53</v>
      </c>
      <c r="B9" s="57">
        <f>'Projections - CPL estimations'!B90</f>
        <v>14190.75</v>
      </c>
      <c r="C9" s="57">
        <f>'Projections - CPL estimations'!C90</f>
        <v>13951.932919075145</v>
      </c>
      <c r="D9" s="57">
        <f>'Projections - CPL estimations'!D90</f>
        <v>13713.115838150288</v>
      </c>
      <c r="E9" s="57">
        <f>'Projections - CPL estimations'!E90</f>
        <v>13474.298757225433</v>
      </c>
      <c r="F9" s="57">
        <f>'Projections - CPL estimations'!F90</f>
        <v>13235.481676300578</v>
      </c>
      <c r="G9" s="57">
        <f>'Projections - CPL estimations'!G90</f>
        <v>12996.664595375722</v>
      </c>
      <c r="H9" s="57">
        <f>'Projections - CPL estimations'!H90</f>
        <v>12757.847514450867</v>
      </c>
      <c r="I9" s="57">
        <f>'Projections - CPL estimations'!I90</f>
        <v>12519.030433526012</v>
      </c>
      <c r="J9" s="57">
        <f>'Projections - CPL estimations'!J90</f>
        <v>12280.213352601157</v>
      </c>
      <c r="K9" s="57">
        <f>'Projections - CPL estimations'!K90</f>
        <v>12041.3962716763</v>
      </c>
      <c r="L9" s="57">
        <f>'Projections - CPL estimations'!L90</f>
        <v>11802.579190751445</v>
      </c>
      <c r="M9" s="57">
        <f>'Projections - CPL estimations'!M90</f>
        <v>11705.083699421964</v>
      </c>
      <c r="N9" s="57">
        <f>'Projections - CPL estimations'!N90</f>
        <v>11607.588208092486</v>
      </c>
      <c r="O9" s="57">
        <f>'Projections - CPL estimations'!O90</f>
        <v>11510.092716763005</v>
      </c>
      <c r="P9" s="57">
        <f>'Projections - CPL estimations'!P90</f>
        <v>11412.597225433527</v>
      </c>
      <c r="Q9" s="57">
        <f>'Projections - CPL estimations'!Q90</f>
        <v>11315.101734104046</v>
      </c>
      <c r="R9" s="57">
        <f>'Projections - CPL estimations'!R90</f>
        <v>11217.606242774566</v>
      </c>
      <c r="S9" s="57">
        <f>'Projections - CPL estimations'!S90</f>
        <v>11120.110751445087</v>
      </c>
      <c r="T9" s="57">
        <f>'Projections - CPL estimations'!T90</f>
        <v>11022.615260115606</v>
      </c>
      <c r="U9" s="57">
        <f>'Projections - CPL estimations'!U90</f>
        <v>10925.119768786128</v>
      </c>
      <c r="V9" s="57">
        <f>'Projections - CPL estimations'!V90</f>
        <v>10827.624277456647</v>
      </c>
      <c r="W9" s="57">
        <f>'Projections - CPL estimations'!W90</f>
        <v>10781.220173410404</v>
      </c>
      <c r="X9" s="57">
        <f>'Projections - CPL estimations'!X90</f>
        <v>10734.816069364162</v>
      </c>
      <c r="Y9" s="57">
        <f>'Projections - CPL estimations'!Y90</f>
        <v>10688.411965317919</v>
      </c>
      <c r="Z9" s="57">
        <f>'Projections - CPL estimations'!Z90</f>
        <v>10642.007861271677</v>
      </c>
      <c r="AA9" s="57">
        <f>'Projections - CPL estimations'!AA90</f>
        <v>10595.603757225434</v>
      </c>
      <c r="AB9" s="57">
        <f>'Projections - CPL estimations'!AB90</f>
        <v>10549.19965317919</v>
      </c>
      <c r="AC9" s="57">
        <f>'Projections - CPL estimations'!AC90</f>
        <v>10502.795549132949</v>
      </c>
      <c r="AD9" s="57">
        <f>'Projections - CPL estimations'!AD90</f>
        <v>10456.391445086705</v>
      </c>
      <c r="AE9" s="57">
        <f>'Projections - CPL estimations'!AE90</f>
        <v>10409.987341040463</v>
      </c>
      <c r="AF9" s="57">
        <f>'Projections - CPL estimations'!AF90</f>
        <v>10363.58323699422</v>
      </c>
      <c r="AG9" s="45"/>
      <c r="AH9" s="45"/>
      <c r="AI9" s="45"/>
      <c r="AJ9" s="45"/>
      <c r="AK9" s="45"/>
      <c r="AL9" s="45"/>
      <c r="AM9" s="45"/>
      <c r="AN9" s="45"/>
      <c r="AO9" s="45"/>
      <c r="AP9" s="45"/>
      <c r="AQ9" s="45"/>
      <c r="AR9" s="45"/>
      <c r="AS9" s="45"/>
      <c r="AT9" s="45"/>
      <c r="AU9" s="45"/>
      <c r="AV9" s="45"/>
      <c r="AW9" s="45"/>
      <c r="AX9" s="45"/>
      <c r="AY9" s="45"/>
      <c r="AZ9" s="45"/>
    </row>
    <row r="10" spans="1:52" ht="14.25" customHeight="1">
      <c r="A10" s="44" t="s">
        <v>54</v>
      </c>
      <c r="B10" s="57">
        <f>'Projections - CPL estimations'!B91</f>
        <v>14191</v>
      </c>
      <c r="C10" s="57">
        <f>'Projections - CPL estimations'!C91</f>
        <v>14191</v>
      </c>
      <c r="D10" s="57">
        <f>'Projections - CPL estimations'!D91</f>
        <v>14191</v>
      </c>
      <c r="E10" s="57">
        <f>'Projections - CPL estimations'!E91</f>
        <v>14191</v>
      </c>
      <c r="F10" s="57">
        <f>'Projections - CPL estimations'!F91</f>
        <v>14191</v>
      </c>
      <c r="G10" s="57">
        <f>'Projections - CPL estimations'!G91</f>
        <v>14191</v>
      </c>
      <c r="H10" s="57">
        <f>'Projections - CPL estimations'!H91</f>
        <v>14191</v>
      </c>
      <c r="I10" s="57">
        <f>'Projections - CPL estimations'!I91</f>
        <v>14191</v>
      </c>
      <c r="J10" s="57">
        <f>'Projections - CPL estimations'!J91</f>
        <v>14191</v>
      </c>
      <c r="K10" s="57">
        <f>'Projections - CPL estimations'!K91</f>
        <v>14191</v>
      </c>
      <c r="L10" s="57">
        <f>'Projections - CPL estimations'!L91</f>
        <v>14191</v>
      </c>
      <c r="M10" s="57">
        <f>'Projections - CPL estimations'!M91</f>
        <v>14191</v>
      </c>
      <c r="N10" s="57">
        <f>'Projections - CPL estimations'!N91</f>
        <v>14191</v>
      </c>
      <c r="O10" s="57">
        <f>'Projections - CPL estimations'!O91</f>
        <v>14191</v>
      </c>
      <c r="P10" s="57">
        <f>'Projections - CPL estimations'!P91</f>
        <v>14191</v>
      </c>
      <c r="Q10" s="57">
        <f>'Projections - CPL estimations'!Q91</f>
        <v>14191</v>
      </c>
      <c r="R10" s="57">
        <f>'Projections - CPL estimations'!R91</f>
        <v>14191</v>
      </c>
      <c r="S10" s="57">
        <f>'Projections - CPL estimations'!S91</f>
        <v>14191</v>
      </c>
      <c r="T10" s="57">
        <f>'Projections - CPL estimations'!T91</f>
        <v>14191</v>
      </c>
      <c r="U10" s="57">
        <f>'Projections - CPL estimations'!U91</f>
        <v>14191</v>
      </c>
      <c r="V10" s="57">
        <f>'Projections - CPL estimations'!V91</f>
        <v>14191</v>
      </c>
      <c r="W10" s="57">
        <f>'Projections - CPL estimations'!W91</f>
        <v>14191</v>
      </c>
      <c r="X10" s="57">
        <f>'Projections - CPL estimations'!X91</f>
        <v>14191</v>
      </c>
      <c r="Y10" s="57">
        <f>'Projections - CPL estimations'!Y91</f>
        <v>14191</v>
      </c>
      <c r="Z10" s="57">
        <f>'Projections - CPL estimations'!Z91</f>
        <v>14191</v>
      </c>
      <c r="AA10" s="57">
        <f>'Projections - CPL estimations'!AA91</f>
        <v>14191</v>
      </c>
      <c r="AB10" s="57">
        <f>'Projections - CPL estimations'!AB91</f>
        <v>14191</v>
      </c>
      <c r="AC10" s="57">
        <f>'Projections - CPL estimations'!AC91</f>
        <v>14191</v>
      </c>
      <c r="AD10" s="57">
        <f>'Projections - CPL estimations'!AD91</f>
        <v>14191</v>
      </c>
      <c r="AE10" s="57">
        <f>'Projections - CPL estimations'!AE91</f>
        <v>14191</v>
      </c>
      <c r="AF10" s="57">
        <f>'Projections - CPL estimations'!AF91</f>
        <v>14191</v>
      </c>
      <c r="AG10" s="45"/>
      <c r="AH10" s="45"/>
      <c r="AI10" s="45"/>
      <c r="AJ10" s="45"/>
      <c r="AK10" s="45"/>
      <c r="AL10" s="45"/>
      <c r="AM10" s="45"/>
      <c r="AN10" s="45"/>
      <c r="AO10" s="45"/>
      <c r="AP10" s="45"/>
      <c r="AQ10" s="45"/>
      <c r="AR10" s="45"/>
      <c r="AS10" s="45"/>
      <c r="AT10" s="45"/>
      <c r="AU10" s="45"/>
      <c r="AV10" s="45"/>
      <c r="AW10" s="45"/>
      <c r="AX10" s="45"/>
      <c r="AY10" s="45"/>
      <c r="AZ10" s="45"/>
    </row>
    <row r="11" spans="1:52" ht="14.25" customHeight="1">
      <c r="A11" s="44" t="s">
        <v>55</v>
      </c>
      <c r="B11" s="57">
        <f>'Projections - CPL estimations'!B92</f>
        <v>78837.5</v>
      </c>
      <c r="C11" s="57">
        <f>'Projections - CPL estimations'!C92</f>
        <v>72761.756666666668</v>
      </c>
      <c r="D11" s="57">
        <f>'Projections - CPL estimations'!D92</f>
        <v>66686.013333333336</v>
      </c>
      <c r="E11" s="57">
        <f>'Projections - CPL estimations'!E92</f>
        <v>60610.27</v>
      </c>
      <c r="F11" s="57">
        <f>'Projections - CPL estimations'!F92</f>
        <v>54534.526666666665</v>
      </c>
      <c r="G11" s="57">
        <f>'Projections - CPL estimations'!G92</f>
        <v>48458.783333333333</v>
      </c>
      <c r="H11" s="57">
        <f>'Projections - CPL estimations'!H92</f>
        <v>42383.039999999994</v>
      </c>
      <c r="I11" s="57">
        <f>'Projections - CPL estimations'!I92</f>
        <v>36307.296666666662</v>
      </c>
      <c r="J11" s="57">
        <f>'Projections - CPL estimations'!J92</f>
        <v>30231.55333333333</v>
      </c>
      <c r="K11" s="57">
        <f>'Projections - CPL estimations'!K92</f>
        <v>24155.809999999998</v>
      </c>
      <c r="L11" s="57">
        <f>'Projections - CPL estimations'!L92</f>
        <v>18080.066666666666</v>
      </c>
      <c r="M11" s="57">
        <f>'Projections - CPL estimations'!M92</f>
        <v>18211.462499999998</v>
      </c>
      <c r="N11" s="57">
        <f>'Projections - CPL estimations'!N92</f>
        <v>18342.858333333334</v>
      </c>
      <c r="O11" s="57">
        <f>'Projections - CPL estimations'!O92</f>
        <v>18474.254166666666</v>
      </c>
      <c r="P11" s="57">
        <f>'Projections - CPL estimations'!P92</f>
        <v>18605.650000000001</v>
      </c>
      <c r="Q11" s="57">
        <f>'Projections - CPL estimations'!Q92</f>
        <v>18737.045833333334</v>
      </c>
      <c r="R11" s="57">
        <f>'Projections - CPL estimations'!R92</f>
        <v>18868.441666666666</v>
      </c>
      <c r="S11" s="57">
        <f>'Projections - CPL estimations'!S92</f>
        <v>18999.837500000001</v>
      </c>
      <c r="T11" s="57">
        <f>'Projections - CPL estimations'!T92</f>
        <v>19131.233333333334</v>
      </c>
      <c r="U11" s="57">
        <f>'Projections - CPL estimations'!U92</f>
        <v>19262.629166666669</v>
      </c>
      <c r="V11" s="57">
        <f>'Projections - CPL estimations'!V92</f>
        <v>19394.025000000001</v>
      </c>
      <c r="W11" s="57">
        <f>'Projections - CPL estimations'!W92</f>
        <v>18800.115833333333</v>
      </c>
      <c r="X11" s="57">
        <f>'Projections - CPL estimations'!X92</f>
        <v>18206.206666666669</v>
      </c>
      <c r="Y11" s="57">
        <f>'Projections - CPL estimations'!Y92</f>
        <v>17612.297500000001</v>
      </c>
      <c r="Z11" s="57">
        <f>'Projections - CPL estimations'!Z92</f>
        <v>17018.388333333332</v>
      </c>
      <c r="AA11" s="57">
        <f>'Projections - CPL estimations'!AA92</f>
        <v>16424.479166666668</v>
      </c>
      <c r="AB11" s="57">
        <f>'Projections - CPL estimations'!AB92</f>
        <v>15830.57</v>
      </c>
      <c r="AC11" s="57">
        <f>'Projections - CPL estimations'!AC92</f>
        <v>15236.660833333333</v>
      </c>
      <c r="AD11" s="57">
        <f>'Projections - CPL estimations'!AD92</f>
        <v>14642.751666666667</v>
      </c>
      <c r="AE11" s="57">
        <f>'Projections - CPL estimations'!AE92</f>
        <v>14048.842499999999</v>
      </c>
      <c r="AF11" s="57">
        <f>'Projections - CPL estimations'!AF92</f>
        <v>13454.933333333332</v>
      </c>
      <c r="AG11" s="45"/>
      <c r="AH11" s="45"/>
      <c r="AI11" s="45"/>
      <c r="AJ11" s="45"/>
      <c r="AK11" s="45"/>
      <c r="AL11" s="45"/>
      <c r="AM11" s="45"/>
      <c r="AN11" s="45"/>
      <c r="AO11" s="45"/>
      <c r="AP11" s="45"/>
      <c r="AQ11" s="45"/>
      <c r="AR11" s="45"/>
      <c r="AS11" s="45"/>
      <c r="AT11" s="45"/>
      <c r="AU11" s="45"/>
      <c r="AV11" s="45"/>
      <c r="AW11" s="45"/>
      <c r="AX11" s="45"/>
      <c r="AY11" s="45"/>
      <c r="AZ11" s="45"/>
    </row>
    <row r="12" spans="1:52" ht="14.25" customHeight="1">
      <c r="A12" s="44" t="s">
        <v>56</v>
      </c>
      <c r="B12" s="57">
        <f>'Projections - CPL estimations'!B93</f>
        <v>12614</v>
      </c>
      <c r="C12" s="57">
        <f>'Projections - CPL estimations'!C93</f>
        <v>12614</v>
      </c>
      <c r="D12" s="57">
        <f>'Projections - CPL estimations'!D93</f>
        <v>12614</v>
      </c>
      <c r="E12" s="57">
        <f>'Projections - CPL estimations'!E93</f>
        <v>12614</v>
      </c>
      <c r="F12" s="57">
        <f>'Projections - CPL estimations'!F93</f>
        <v>12614</v>
      </c>
      <c r="G12" s="57">
        <f>'Projections - CPL estimations'!G93</f>
        <v>12614</v>
      </c>
      <c r="H12" s="57">
        <f>'Projections - CPL estimations'!H93</f>
        <v>12614</v>
      </c>
      <c r="I12" s="57">
        <f>'Projections - CPL estimations'!I93</f>
        <v>12614</v>
      </c>
      <c r="J12" s="57">
        <f>'Projections - CPL estimations'!J93</f>
        <v>12614</v>
      </c>
      <c r="K12" s="57">
        <f>'Projections - CPL estimations'!K93</f>
        <v>12614</v>
      </c>
      <c r="L12" s="57">
        <f>'Projections - CPL estimations'!L93</f>
        <v>12614</v>
      </c>
      <c r="M12" s="57">
        <f>'Projections - CPL estimations'!M93</f>
        <v>12614</v>
      </c>
      <c r="N12" s="57">
        <f>'Projections - CPL estimations'!N93</f>
        <v>12614</v>
      </c>
      <c r="O12" s="57">
        <f>'Projections - CPL estimations'!O93</f>
        <v>12614</v>
      </c>
      <c r="P12" s="57">
        <f>'Projections - CPL estimations'!P93</f>
        <v>12614</v>
      </c>
      <c r="Q12" s="57">
        <f>'Projections - CPL estimations'!Q93</f>
        <v>12614</v>
      </c>
      <c r="R12" s="57">
        <f>'Projections - CPL estimations'!R93</f>
        <v>12614</v>
      </c>
      <c r="S12" s="57">
        <f>'Projections - CPL estimations'!S93</f>
        <v>12614</v>
      </c>
      <c r="T12" s="57">
        <f>'Projections - CPL estimations'!T93</f>
        <v>12614</v>
      </c>
      <c r="U12" s="57">
        <f>'Projections - CPL estimations'!U93</f>
        <v>12614</v>
      </c>
      <c r="V12" s="57">
        <f>'Projections - CPL estimations'!V93</f>
        <v>12614</v>
      </c>
      <c r="W12" s="57">
        <f>'Projections - CPL estimations'!W93</f>
        <v>12614</v>
      </c>
      <c r="X12" s="57">
        <f>'Projections - CPL estimations'!X93</f>
        <v>12614</v>
      </c>
      <c r="Y12" s="57">
        <f>'Projections - CPL estimations'!Y93</f>
        <v>12614</v>
      </c>
      <c r="Z12" s="57">
        <f>'Projections - CPL estimations'!Z93</f>
        <v>12614</v>
      </c>
      <c r="AA12" s="57">
        <f>'Projections - CPL estimations'!AA93</f>
        <v>12614</v>
      </c>
      <c r="AB12" s="57">
        <f>'Projections - CPL estimations'!AB93</f>
        <v>12614</v>
      </c>
      <c r="AC12" s="57">
        <f>'Projections - CPL estimations'!AC93</f>
        <v>12614</v>
      </c>
      <c r="AD12" s="57">
        <f>'Projections - CPL estimations'!AD93</f>
        <v>12614</v>
      </c>
      <c r="AE12" s="57">
        <f>'Projections - CPL estimations'!AE93</f>
        <v>12614</v>
      </c>
      <c r="AF12" s="57">
        <f>'Projections - CPL estimations'!AF93</f>
        <v>12614</v>
      </c>
      <c r="AG12" s="45"/>
      <c r="AH12" s="45"/>
      <c r="AI12" s="45"/>
      <c r="AJ12" s="45"/>
      <c r="AK12" s="45"/>
      <c r="AL12" s="45"/>
      <c r="AM12" s="45"/>
      <c r="AN12" s="45"/>
      <c r="AO12" s="45"/>
      <c r="AP12" s="45"/>
      <c r="AQ12" s="45"/>
      <c r="AR12" s="45"/>
      <c r="AS12" s="45"/>
      <c r="AT12" s="45"/>
      <c r="AU12" s="45"/>
      <c r="AV12" s="45"/>
      <c r="AW12" s="45"/>
      <c r="AX12" s="45"/>
      <c r="AY12" s="45"/>
      <c r="AZ12" s="45"/>
    </row>
    <row r="13" spans="1:52" ht="14.25" customHeight="1">
      <c r="A13" s="44" t="s">
        <v>57</v>
      </c>
      <c r="B13" s="57">
        <f>'Projections - CPL estimations'!B94</f>
        <v>25228</v>
      </c>
      <c r="C13" s="57">
        <f>'Projections - CPL estimations'!C94</f>
        <v>25228</v>
      </c>
      <c r="D13" s="57">
        <f>'Projections - CPL estimations'!D94</f>
        <v>25228</v>
      </c>
      <c r="E13" s="57">
        <f>'Projections - CPL estimations'!E94</f>
        <v>25228</v>
      </c>
      <c r="F13" s="57">
        <f>'Projections - CPL estimations'!F94</f>
        <v>25228</v>
      </c>
      <c r="G13" s="57">
        <f>'Projections - CPL estimations'!G94</f>
        <v>25228</v>
      </c>
      <c r="H13" s="57">
        <f>'Projections - CPL estimations'!H94</f>
        <v>25228</v>
      </c>
      <c r="I13" s="57">
        <f>'Projections - CPL estimations'!I94</f>
        <v>25228</v>
      </c>
      <c r="J13" s="57">
        <f>'Projections - CPL estimations'!J94</f>
        <v>25228</v>
      </c>
      <c r="K13" s="57">
        <f>'Projections - CPL estimations'!K94</f>
        <v>25228</v>
      </c>
      <c r="L13" s="57">
        <f>'Projections - CPL estimations'!L94</f>
        <v>25228</v>
      </c>
      <c r="M13" s="57">
        <f>'Projections - CPL estimations'!M94</f>
        <v>25228</v>
      </c>
      <c r="N13" s="57">
        <f>'Projections - CPL estimations'!N94</f>
        <v>25228</v>
      </c>
      <c r="O13" s="57">
        <f>'Projections - CPL estimations'!O94</f>
        <v>25228</v>
      </c>
      <c r="P13" s="57">
        <f>'Projections - CPL estimations'!P94</f>
        <v>25228</v>
      </c>
      <c r="Q13" s="57">
        <f>'Projections - CPL estimations'!Q94</f>
        <v>25228</v>
      </c>
      <c r="R13" s="57">
        <f>'Projections - CPL estimations'!R94</f>
        <v>25228</v>
      </c>
      <c r="S13" s="57">
        <f>'Projections - CPL estimations'!S94</f>
        <v>25228</v>
      </c>
      <c r="T13" s="57">
        <f>'Projections - CPL estimations'!T94</f>
        <v>25228</v>
      </c>
      <c r="U13" s="57">
        <f>'Projections - CPL estimations'!U94</f>
        <v>25228</v>
      </c>
      <c r="V13" s="57">
        <f>'Projections - CPL estimations'!V94</f>
        <v>25228</v>
      </c>
      <c r="W13" s="57">
        <f>'Projections - CPL estimations'!W94</f>
        <v>25228</v>
      </c>
      <c r="X13" s="57">
        <f>'Projections - CPL estimations'!X94</f>
        <v>25228</v>
      </c>
      <c r="Y13" s="57">
        <f>'Projections - CPL estimations'!Y94</f>
        <v>25228</v>
      </c>
      <c r="Z13" s="57">
        <f>'Projections - CPL estimations'!Z94</f>
        <v>25228</v>
      </c>
      <c r="AA13" s="57">
        <f>'Projections - CPL estimations'!AA94</f>
        <v>25228</v>
      </c>
      <c r="AB13" s="57">
        <f>'Projections - CPL estimations'!AB94</f>
        <v>25228</v>
      </c>
      <c r="AC13" s="57">
        <f>'Projections - CPL estimations'!AC94</f>
        <v>25228</v>
      </c>
      <c r="AD13" s="57">
        <f>'Projections - CPL estimations'!AD94</f>
        <v>25228</v>
      </c>
      <c r="AE13" s="57">
        <f>'Projections - CPL estimations'!AE94</f>
        <v>25228</v>
      </c>
      <c r="AF13" s="57">
        <f>'Projections - CPL estimations'!AF94</f>
        <v>25228</v>
      </c>
      <c r="AG13" s="45"/>
      <c r="AH13" s="45"/>
      <c r="AI13" s="45"/>
      <c r="AJ13" s="45"/>
      <c r="AK13" s="45"/>
      <c r="AL13" s="45"/>
      <c r="AM13" s="45"/>
      <c r="AN13" s="45"/>
      <c r="AO13" s="45"/>
      <c r="AP13" s="45"/>
      <c r="AQ13" s="45"/>
      <c r="AR13" s="45"/>
      <c r="AS13" s="45"/>
      <c r="AT13" s="45"/>
      <c r="AU13" s="45"/>
      <c r="AV13" s="45"/>
      <c r="AW13" s="45"/>
      <c r="AX13" s="45"/>
      <c r="AY13" s="45"/>
      <c r="AZ13" s="45"/>
    </row>
    <row r="14" spans="1:52" ht="14.25" customHeight="1">
      <c r="A14" s="44" t="s">
        <v>58</v>
      </c>
      <c r="B14" s="57">
        <f>'Projections - CPL estimations'!B95</f>
        <v>77260.75</v>
      </c>
      <c r="C14" s="57">
        <f>'Projections - CPL estimations'!C95</f>
        <v>76488.142500000002</v>
      </c>
      <c r="D14" s="57">
        <f>'Projections - CPL estimations'!D95</f>
        <v>75715.535000000003</v>
      </c>
      <c r="E14" s="57">
        <f>'Projections - CPL estimations'!E95</f>
        <v>74942.927500000005</v>
      </c>
      <c r="F14" s="57">
        <f>'Projections - CPL estimations'!F95</f>
        <v>74170.320000000007</v>
      </c>
      <c r="G14" s="57">
        <f>'Projections - CPL estimations'!G95</f>
        <v>73397.712499999994</v>
      </c>
      <c r="H14" s="57">
        <f>'Projections - CPL estimations'!H95</f>
        <v>72625.104999999996</v>
      </c>
      <c r="I14" s="57">
        <f>'Projections - CPL estimations'!I95</f>
        <v>71852.497499999998</v>
      </c>
      <c r="J14" s="57">
        <f>'Projections - CPL estimations'!J95</f>
        <v>71079.89</v>
      </c>
      <c r="K14" s="57">
        <f>'Projections - CPL estimations'!K95</f>
        <v>70307.282500000001</v>
      </c>
      <c r="L14" s="57">
        <f>'Projections - CPL estimations'!L95</f>
        <v>69534.675000000003</v>
      </c>
      <c r="M14" s="57">
        <f>'Projections - CPL estimations'!M95</f>
        <v>68375.763749999998</v>
      </c>
      <c r="N14" s="57">
        <f>'Projections - CPL estimations'!N95</f>
        <v>67216.852500000008</v>
      </c>
      <c r="O14" s="57">
        <f>'Projections - CPL estimations'!O95</f>
        <v>66057.941250000003</v>
      </c>
      <c r="P14" s="57">
        <f>'Projections - CPL estimations'!P95</f>
        <v>64899.03</v>
      </c>
      <c r="Q14" s="57">
        <f>'Projections - CPL estimations'!Q95</f>
        <v>63740.118750000001</v>
      </c>
      <c r="R14" s="57">
        <f>'Projections - CPL estimations'!R95</f>
        <v>62581.207500000004</v>
      </c>
      <c r="S14" s="57">
        <f>'Projections - CPL estimations'!S95</f>
        <v>61422.296249999999</v>
      </c>
      <c r="T14" s="57">
        <f>'Projections - CPL estimations'!T95</f>
        <v>60263.385000000002</v>
      </c>
      <c r="U14" s="57">
        <f>'Projections - CPL estimations'!U95</f>
        <v>59104.473749999997</v>
      </c>
      <c r="V14" s="57">
        <f>'Projections - CPL estimations'!V95</f>
        <v>57945.5625</v>
      </c>
      <c r="W14" s="57">
        <f>'Projections - CPL estimations'!W95</f>
        <v>57945.5625</v>
      </c>
      <c r="X14" s="57">
        <f>'Projections - CPL estimations'!X95</f>
        <v>57945.5625</v>
      </c>
      <c r="Y14" s="57">
        <f>'Projections - CPL estimations'!Y95</f>
        <v>57945.5625</v>
      </c>
      <c r="Z14" s="57">
        <f>'Projections - CPL estimations'!Z95</f>
        <v>57945.5625</v>
      </c>
      <c r="AA14" s="57">
        <f>'Projections - CPL estimations'!AA95</f>
        <v>57945.5625</v>
      </c>
      <c r="AB14" s="57">
        <f>'Projections - CPL estimations'!AB95</f>
        <v>57945.5625</v>
      </c>
      <c r="AC14" s="57">
        <f>'Projections - CPL estimations'!AC95</f>
        <v>57945.5625</v>
      </c>
      <c r="AD14" s="57">
        <f>'Projections - CPL estimations'!AD95</f>
        <v>57945.5625</v>
      </c>
      <c r="AE14" s="57">
        <f>'Projections - CPL estimations'!AE95</f>
        <v>57945.5625</v>
      </c>
      <c r="AF14" s="57">
        <f>'Projections - CPL estimations'!AF95</f>
        <v>57945.5625</v>
      </c>
      <c r="AG14" s="45"/>
      <c r="AH14" s="45"/>
      <c r="AI14" s="45"/>
      <c r="AJ14" s="45"/>
      <c r="AK14" s="45"/>
      <c r="AL14" s="45"/>
      <c r="AM14" s="45"/>
      <c r="AN14" s="45"/>
      <c r="AO14" s="45"/>
      <c r="AP14" s="45"/>
      <c r="AQ14" s="45"/>
      <c r="AR14" s="45"/>
      <c r="AS14" s="45"/>
      <c r="AT14" s="45"/>
      <c r="AU14" s="45"/>
      <c r="AV14" s="45"/>
      <c r="AW14" s="45"/>
      <c r="AX14" s="45"/>
      <c r="AY14" s="45"/>
      <c r="AZ14" s="45"/>
    </row>
    <row r="15" spans="1:52" ht="14.25" customHeight="1">
      <c r="A15" s="44" t="s">
        <v>59</v>
      </c>
      <c r="B15" s="57">
        <f>'Projections - CPL estimations'!B96</f>
        <v>78837.5</v>
      </c>
      <c r="C15" s="57">
        <f>'Projections - CPL estimations'!C96</f>
        <v>77559.995998475613</v>
      </c>
      <c r="D15" s="57">
        <f>'Projections - CPL estimations'!D96</f>
        <v>76282.491996951227</v>
      </c>
      <c r="E15" s="57">
        <f>'Projections - CPL estimations'!E96</f>
        <v>75004.987995426825</v>
      </c>
      <c r="F15" s="57">
        <f>'Projections - CPL estimations'!F96</f>
        <v>73727.483993902439</v>
      </c>
      <c r="G15" s="57">
        <f>'Projections - CPL estimations'!G96</f>
        <v>72449.979992378052</v>
      </c>
      <c r="H15" s="57">
        <f>'Projections - CPL estimations'!H96</f>
        <v>71172.475990853665</v>
      </c>
      <c r="I15" s="57">
        <f>'Projections - CPL estimations'!I96</f>
        <v>69894.971989329279</v>
      </c>
      <c r="J15" s="57">
        <f>'Projections - CPL estimations'!J96</f>
        <v>68617.467987804877</v>
      </c>
      <c r="K15" s="57">
        <f>'Projections - CPL estimations'!K96</f>
        <v>67339.963986280491</v>
      </c>
      <c r="L15" s="57">
        <f>'Projections - CPL estimations'!L96</f>
        <v>66062.459984756104</v>
      </c>
      <c r="M15" s="57">
        <f>'Projections - CPL estimations'!M96</f>
        <v>65204.381097560981</v>
      </c>
      <c r="N15" s="57">
        <f>'Projections - CPL estimations'!N96</f>
        <v>64346.302210365859</v>
      </c>
      <c r="O15" s="57">
        <f>'Projections - CPL estimations'!O96</f>
        <v>63488.223323170736</v>
      </c>
      <c r="P15" s="57">
        <f>'Projections - CPL estimations'!P96</f>
        <v>62630.144435975613</v>
      </c>
      <c r="Q15" s="57">
        <f>'Projections - CPL estimations'!Q96</f>
        <v>61772.065548780491</v>
      </c>
      <c r="R15" s="57">
        <f>'Projections - CPL estimations'!R96</f>
        <v>60913.986661585368</v>
      </c>
      <c r="S15" s="57">
        <f>'Projections - CPL estimations'!S96</f>
        <v>60055.907774390245</v>
      </c>
      <c r="T15" s="57">
        <f>'Projections - CPL estimations'!T96</f>
        <v>59197.828887195123</v>
      </c>
      <c r="U15" s="57">
        <f>'Projections - CPL estimations'!U96</f>
        <v>58339.75</v>
      </c>
      <c r="V15" s="57">
        <f>'Projections - CPL estimations'!V96</f>
        <v>57481.671112804877</v>
      </c>
      <c r="W15" s="57">
        <f>'Projections - CPL estimations'!W96</f>
        <v>56660.847751524387</v>
      </c>
      <c r="X15" s="57">
        <f>'Projections - CPL estimations'!X96</f>
        <v>55840.024390243903</v>
      </c>
      <c r="Y15" s="57">
        <f>'Projections - CPL estimations'!Y96</f>
        <v>55019.201028963413</v>
      </c>
      <c r="Z15" s="57">
        <f>'Projections - CPL estimations'!Z96</f>
        <v>54198.377667682929</v>
      </c>
      <c r="AA15" s="57">
        <f>'Projections - CPL estimations'!AA96</f>
        <v>53377.554306402439</v>
      </c>
      <c r="AB15" s="57">
        <f>'Projections - CPL estimations'!AB96</f>
        <v>52556.730945121948</v>
      </c>
      <c r="AC15" s="57">
        <f>'Projections - CPL estimations'!AC96</f>
        <v>51735.907583841465</v>
      </c>
      <c r="AD15" s="57">
        <f>'Projections - CPL estimations'!AD96</f>
        <v>50915.084222560974</v>
      </c>
      <c r="AE15" s="57">
        <f>'Projections - CPL estimations'!AE96</f>
        <v>50094.260861280491</v>
      </c>
      <c r="AF15" s="57">
        <f>'Projections - CPL estimations'!AF96</f>
        <v>49273.4375</v>
      </c>
      <c r="AG15" s="45"/>
      <c r="AH15" s="45"/>
      <c r="AI15" s="45"/>
      <c r="AJ15" s="45"/>
      <c r="AK15" s="45"/>
      <c r="AL15" s="45"/>
      <c r="AM15" s="45"/>
      <c r="AN15" s="45"/>
      <c r="AO15" s="45"/>
      <c r="AP15" s="45"/>
      <c r="AQ15" s="45"/>
      <c r="AR15" s="45"/>
      <c r="AS15" s="45"/>
      <c r="AT15" s="45"/>
      <c r="AU15" s="45"/>
      <c r="AV15" s="45"/>
      <c r="AW15" s="45"/>
      <c r="AX15" s="45"/>
      <c r="AY15" s="45"/>
      <c r="AZ15" s="45"/>
    </row>
    <row r="16" spans="1:52" ht="14.25" customHeight="1">
      <c r="A16" s="44" t="s">
        <v>60</v>
      </c>
      <c r="B16" s="57">
        <f>'Projections - CPL estimations'!B97</f>
        <v>78837.5</v>
      </c>
      <c r="C16" s="57">
        <f>'Projections - CPL estimations'!C97</f>
        <v>78837.5</v>
      </c>
      <c r="D16" s="57">
        <f>'Projections - CPL estimations'!D97</f>
        <v>78837.5</v>
      </c>
      <c r="E16" s="57">
        <f>'Projections - CPL estimations'!E97</f>
        <v>78837.5</v>
      </c>
      <c r="F16" s="57">
        <f>'Projections - CPL estimations'!F97</f>
        <v>78837.5</v>
      </c>
      <c r="G16" s="57">
        <f>'Projections - CPL estimations'!G97</f>
        <v>78837.5</v>
      </c>
      <c r="H16" s="57">
        <f>'Projections - CPL estimations'!H97</f>
        <v>78837.5</v>
      </c>
      <c r="I16" s="57">
        <f>'Projections - CPL estimations'!I97</f>
        <v>78837.5</v>
      </c>
      <c r="J16" s="57">
        <f>'Projections - CPL estimations'!J97</f>
        <v>78837.5</v>
      </c>
      <c r="K16" s="57">
        <f>'Projections - CPL estimations'!K97</f>
        <v>78837.5</v>
      </c>
      <c r="L16" s="57">
        <f>'Projections - CPL estimations'!L97</f>
        <v>78837.5</v>
      </c>
      <c r="M16" s="57">
        <f>'Projections - CPL estimations'!M97</f>
        <v>78837.5</v>
      </c>
      <c r="N16" s="57">
        <f>'Projections - CPL estimations'!N97</f>
        <v>78837.5</v>
      </c>
      <c r="O16" s="57">
        <f>'Projections - CPL estimations'!O97</f>
        <v>78837.5</v>
      </c>
      <c r="P16" s="57">
        <f>'Projections - CPL estimations'!P97</f>
        <v>78837.5</v>
      </c>
      <c r="Q16" s="57">
        <f>'Projections - CPL estimations'!Q97</f>
        <v>78837.5</v>
      </c>
      <c r="R16" s="57">
        <f>'Projections - CPL estimations'!R97</f>
        <v>78837.5</v>
      </c>
      <c r="S16" s="57">
        <f>'Projections - CPL estimations'!S97</f>
        <v>78837.5</v>
      </c>
      <c r="T16" s="57">
        <f>'Projections - CPL estimations'!T97</f>
        <v>78837.5</v>
      </c>
      <c r="U16" s="57">
        <f>'Projections - CPL estimations'!U97</f>
        <v>78837.5</v>
      </c>
      <c r="V16" s="57">
        <f>'Projections - CPL estimations'!V97</f>
        <v>78837.5</v>
      </c>
      <c r="W16" s="57">
        <f>'Projections - CPL estimations'!W97</f>
        <v>78837.5</v>
      </c>
      <c r="X16" s="57">
        <f>'Projections - CPL estimations'!X97</f>
        <v>78837.5</v>
      </c>
      <c r="Y16" s="57">
        <f>'Projections - CPL estimations'!Y97</f>
        <v>78837.5</v>
      </c>
      <c r="Z16" s="57">
        <f>'Projections - CPL estimations'!Z97</f>
        <v>78837.5</v>
      </c>
      <c r="AA16" s="57">
        <f>'Projections - CPL estimations'!AA97</f>
        <v>78837.5</v>
      </c>
      <c r="AB16" s="57">
        <f>'Projections - CPL estimations'!AB97</f>
        <v>78837.5</v>
      </c>
      <c r="AC16" s="57">
        <f>'Projections - CPL estimations'!AC97</f>
        <v>78837.5</v>
      </c>
      <c r="AD16" s="57">
        <f>'Projections - CPL estimations'!AD97</f>
        <v>78837.5</v>
      </c>
      <c r="AE16" s="57">
        <f>'Projections - CPL estimations'!AE97</f>
        <v>78837.5</v>
      </c>
      <c r="AF16" s="57">
        <f>'Projections - CPL estimations'!AF97</f>
        <v>78837.5</v>
      </c>
      <c r="AG16" s="45"/>
      <c r="AH16" s="45"/>
      <c r="AI16" s="45"/>
      <c r="AJ16" s="45"/>
      <c r="AK16" s="45"/>
      <c r="AL16" s="45"/>
      <c r="AM16" s="45"/>
      <c r="AN16" s="45"/>
      <c r="AO16" s="45"/>
      <c r="AP16" s="45"/>
      <c r="AQ16" s="45"/>
      <c r="AR16" s="45"/>
      <c r="AS16" s="45"/>
      <c r="AT16" s="45"/>
      <c r="AU16" s="45"/>
      <c r="AV16" s="45"/>
      <c r="AW16" s="45"/>
      <c r="AX16" s="45"/>
      <c r="AY16" s="45"/>
      <c r="AZ16" s="45"/>
    </row>
    <row r="17" spans="1:52" ht="14.25" customHeight="1">
      <c r="A17" s="44" t="s">
        <v>61</v>
      </c>
      <c r="B17" s="57">
        <f>'Projections - CPL estimations'!B98</f>
        <v>233952</v>
      </c>
      <c r="C17" s="57">
        <f>'Projections - CPL estimations'!C98</f>
        <v>233952</v>
      </c>
      <c r="D17" s="57">
        <f>'Projections - CPL estimations'!D98</f>
        <v>233952</v>
      </c>
      <c r="E17" s="57">
        <f>'Projections - CPL estimations'!E98</f>
        <v>233952</v>
      </c>
      <c r="F17" s="57">
        <f>'Projections - CPL estimations'!F98</f>
        <v>233952</v>
      </c>
      <c r="G17" s="57">
        <f>'Projections - CPL estimations'!G98</f>
        <v>233952</v>
      </c>
      <c r="H17" s="57">
        <f>'Projections - CPL estimations'!H98</f>
        <v>233952</v>
      </c>
      <c r="I17" s="57">
        <f>'Projections - CPL estimations'!I98</f>
        <v>233952</v>
      </c>
      <c r="J17" s="57">
        <f>'Projections - CPL estimations'!J98</f>
        <v>233952</v>
      </c>
      <c r="K17" s="57">
        <f>'Projections - CPL estimations'!K98</f>
        <v>233952</v>
      </c>
      <c r="L17" s="57">
        <f>'Projections - CPL estimations'!L98</f>
        <v>233952</v>
      </c>
      <c r="M17" s="57">
        <f>'Projections - CPL estimations'!M98</f>
        <v>233952</v>
      </c>
      <c r="N17" s="57">
        <f>'Projections - CPL estimations'!N98</f>
        <v>233952</v>
      </c>
      <c r="O17" s="57">
        <f>'Projections - CPL estimations'!O98</f>
        <v>233952</v>
      </c>
      <c r="P17" s="57">
        <f>'Projections - CPL estimations'!P98</f>
        <v>233952</v>
      </c>
      <c r="Q17" s="57">
        <f>'Projections - CPL estimations'!Q98</f>
        <v>233952</v>
      </c>
      <c r="R17" s="57">
        <f>'Projections - CPL estimations'!R98</f>
        <v>233952</v>
      </c>
      <c r="S17" s="57">
        <f>'Projections - CPL estimations'!S98</f>
        <v>233952</v>
      </c>
      <c r="T17" s="57">
        <f>'Projections - CPL estimations'!T98</f>
        <v>233952</v>
      </c>
      <c r="U17" s="57">
        <f>'Projections - CPL estimations'!U98</f>
        <v>233952</v>
      </c>
      <c r="V17" s="57">
        <f>'Projections - CPL estimations'!V98</f>
        <v>233952</v>
      </c>
      <c r="W17" s="57">
        <f>'Projections - CPL estimations'!W98</f>
        <v>233952</v>
      </c>
      <c r="X17" s="57">
        <f>'Projections - CPL estimations'!X98</f>
        <v>233952</v>
      </c>
      <c r="Y17" s="57">
        <f>'Projections - CPL estimations'!Y98</f>
        <v>233952</v>
      </c>
      <c r="Z17" s="57">
        <f>'Projections - CPL estimations'!Z98</f>
        <v>233952</v>
      </c>
      <c r="AA17" s="57">
        <f>'Projections - CPL estimations'!AA98</f>
        <v>233952</v>
      </c>
      <c r="AB17" s="57">
        <f>'Projections - CPL estimations'!AB98</f>
        <v>233952</v>
      </c>
      <c r="AC17" s="57">
        <f>'Projections - CPL estimations'!AC98</f>
        <v>233952</v>
      </c>
      <c r="AD17" s="57">
        <f>'Projections - CPL estimations'!AD98</f>
        <v>233952</v>
      </c>
      <c r="AE17" s="57">
        <f>'Projections - CPL estimations'!AE98</f>
        <v>233952</v>
      </c>
      <c r="AF17" s="57">
        <f>'Projections - CPL estimations'!AF98</f>
        <v>233952</v>
      </c>
      <c r="AG17" s="45"/>
      <c r="AH17" s="45"/>
      <c r="AI17" s="45"/>
      <c r="AJ17" s="45"/>
      <c r="AK17" s="45"/>
      <c r="AL17" s="45"/>
      <c r="AM17" s="45"/>
      <c r="AN17" s="45"/>
      <c r="AO17" s="45"/>
      <c r="AP17" s="45"/>
      <c r="AQ17" s="45"/>
      <c r="AR17" s="45"/>
      <c r="AS17" s="45"/>
      <c r="AT17" s="45"/>
      <c r="AU17" s="45"/>
      <c r="AV17" s="45"/>
      <c r="AW17" s="45"/>
      <c r="AX17" s="45"/>
      <c r="AY17" s="45"/>
      <c r="AZ17" s="45"/>
    </row>
    <row r="18" spans="1:52" ht="14.25" customHeight="1">
      <c r="C18" s="5"/>
      <c r="AF18" s="21"/>
    </row>
    <row r="19" spans="1:52" ht="14.25" customHeight="1">
      <c r="A19" s="1"/>
    </row>
    <row r="20" spans="1:52" ht="14.25" customHeight="1">
      <c r="F20" s="1"/>
      <c r="G20" s="1"/>
      <c r="H20" s="1"/>
      <c r="I20" s="1"/>
      <c r="AG20" s="29"/>
      <c r="AH20" s="29"/>
      <c r="AI20" s="29"/>
      <c r="AJ20" s="29"/>
      <c r="AK20" s="29"/>
      <c r="AL20" s="29"/>
      <c r="AM20" s="29"/>
      <c r="AN20" s="29"/>
      <c r="AO20" s="29"/>
      <c r="AP20" s="29"/>
      <c r="AQ20" s="29"/>
      <c r="AR20" s="29"/>
      <c r="AS20" s="29"/>
      <c r="AT20" s="29"/>
      <c r="AU20" s="29"/>
      <c r="AV20" s="29"/>
      <c r="AW20" s="29"/>
      <c r="AX20" s="29"/>
      <c r="AY20" s="29"/>
      <c r="AZ20" s="29"/>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workbookViewId="0"/>
  </sheetViews>
  <sheetFormatPr baseColWidth="10" defaultColWidth="14.42578125" defaultRowHeight="15" customHeight="1"/>
  <cols>
    <col min="1" max="1" width="33.28515625" customWidth="1"/>
    <col min="2" max="2" width="9" bestFit="1" customWidth="1"/>
    <col min="3" max="32" width="7.28515625" customWidth="1"/>
  </cols>
  <sheetData>
    <row r="1" spans="1:52" s="25" customFormat="1" ht="14.25" customHeight="1">
      <c r="A1" s="3" t="s">
        <v>64</v>
      </c>
      <c r="B1" s="40">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12" t="s">
        <v>48</v>
      </c>
      <c r="B2" s="31">
        <v>0</v>
      </c>
      <c r="C2" s="31">
        <v>0</v>
      </c>
      <c r="D2" s="31">
        <v>0</v>
      </c>
      <c r="E2" s="31">
        <v>0</v>
      </c>
      <c r="F2" s="31">
        <v>0</v>
      </c>
      <c r="G2" s="31">
        <v>0</v>
      </c>
      <c r="H2" s="31">
        <v>0</v>
      </c>
      <c r="I2" s="31">
        <v>0</v>
      </c>
      <c r="J2" s="31">
        <v>0</v>
      </c>
      <c r="K2" s="31">
        <v>0</v>
      </c>
      <c r="L2" s="31">
        <v>0</v>
      </c>
      <c r="M2" s="31">
        <v>0</v>
      </c>
      <c r="N2" s="31">
        <v>0</v>
      </c>
      <c r="O2" s="31">
        <v>0</v>
      </c>
      <c r="P2" s="31">
        <v>0</v>
      </c>
      <c r="Q2" s="31">
        <v>0</v>
      </c>
      <c r="R2" s="31">
        <v>0</v>
      </c>
      <c r="S2" s="31">
        <v>0</v>
      </c>
      <c r="T2" s="31">
        <v>0</v>
      </c>
      <c r="U2" s="31">
        <v>0</v>
      </c>
      <c r="V2" s="31">
        <v>0</v>
      </c>
      <c r="W2" s="31">
        <v>0</v>
      </c>
      <c r="X2" s="31">
        <v>0</v>
      </c>
      <c r="Y2" s="31">
        <v>0</v>
      </c>
      <c r="Z2" s="31">
        <v>0</v>
      </c>
      <c r="AA2" s="31">
        <v>0</v>
      </c>
      <c r="AB2" s="31">
        <v>0</v>
      </c>
      <c r="AC2" s="31">
        <v>0</v>
      </c>
      <c r="AD2" s="31">
        <v>0</v>
      </c>
      <c r="AE2" s="31">
        <v>0</v>
      </c>
      <c r="AF2" s="31">
        <v>0</v>
      </c>
      <c r="AG2" s="31"/>
      <c r="AH2" s="31"/>
      <c r="AI2" s="31"/>
      <c r="AJ2" s="31"/>
      <c r="AK2" s="31"/>
      <c r="AL2" s="31"/>
      <c r="AM2" s="31"/>
      <c r="AN2" s="31"/>
      <c r="AO2" s="31"/>
      <c r="AP2" s="31"/>
      <c r="AQ2" s="31"/>
      <c r="AR2" s="31"/>
      <c r="AS2" s="31"/>
      <c r="AT2" s="31"/>
      <c r="AU2" s="31"/>
      <c r="AV2" s="31"/>
      <c r="AW2" s="31"/>
      <c r="AX2" s="31"/>
      <c r="AY2" s="31"/>
      <c r="AZ2" s="31"/>
    </row>
    <row r="3" spans="1:52" ht="14.25" customHeight="1">
      <c r="A3" s="12" t="s">
        <v>49</v>
      </c>
      <c r="B3" s="31">
        <v>0</v>
      </c>
      <c r="C3" s="31">
        <v>0</v>
      </c>
      <c r="D3" s="31">
        <v>0</v>
      </c>
      <c r="E3" s="31">
        <v>0</v>
      </c>
      <c r="F3" s="31">
        <v>0</v>
      </c>
      <c r="G3" s="31">
        <v>0</v>
      </c>
      <c r="H3" s="31">
        <v>0</v>
      </c>
      <c r="I3" s="31">
        <v>0</v>
      </c>
      <c r="J3" s="31">
        <v>0</v>
      </c>
      <c r="K3" s="31">
        <v>0</v>
      </c>
      <c r="L3" s="31">
        <v>0</v>
      </c>
      <c r="M3" s="31">
        <v>0</v>
      </c>
      <c r="N3" s="31">
        <v>0</v>
      </c>
      <c r="O3" s="31">
        <v>0</v>
      </c>
      <c r="P3" s="31">
        <v>0</v>
      </c>
      <c r="Q3" s="31">
        <v>0</v>
      </c>
      <c r="R3" s="31">
        <v>0</v>
      </c>
      <c r="S3" s="31">
        <v>0</v>
      </c>
      <c r="T3" s="31">
        <v>0</v>
      </c>
      <c r="U3" s="31">
        <v>0</v>
      </c>
      <c r="V3" s="31">
        <v>0</v>
      </c>
      <c r="W3" s="31">
        <v>0</v>
      </c>
      <c r="X3" s="31">
        <v>0</v>
      </c>
      <c r="Y3" s="31">
        <v>0</v>
      </c>
      <c r="Z3" s="31">
        <v>0</v>
      </c>
      <c r="AA3" s="31">
        <v>0</v>
      </c>
      <c r="AB3" s="31">
        <v>0</v>
      </c>
      <c r="AC3" s="31">
        <v>0</v>
      </c>
      <c r="AD3" s="31">
        <v>0</v>
      </c>
      <c r="AE3" s="31">
        <v>0</v>
      </c>
      <c r="AF3" s="31">
        <v>0</v>
      </c>
      <c r="AG3" s="31"/>
      <c r="AH3" s="31"/>
      <c r="AI3" s="31"/>
      <c r="AJ3" s="31"/>
      <c r="AK3" s="31"/>
      <c r="AL3" s="31"/>
      <c r="AM3" s="31"/>
      <c r="AN3" s="31"/>
      <c r="AO3" s="31"/>
      <c r="AP3" s="31"/>
      <c r="AQ3" s="31"/>
      <c r="AR3" s="31"/>
      <c r="AS3" s="31"/>
      <c r="AT3" s="31"/>
      <c r="AU3" s="31"/>
      <c r="AV3" s="31"/>
      <c r="AW3" s="31"/>
      <c r="AX3" s="31"/>
      <c r="AY3" s="31"/>
      <c r="AZ3" s="31"/>
    </row>
    <row r="4" spans="1:52" ht="14.25" customHeight="1">
      <c r="A4" s="12" t="s">
        <v>37</v>
      </c>
      <c r="B4" s="31">
        <v>0</v>
      </c>
      <c r="C4" s="31">
        <v>0</v>
      </c>
      <c r="D4" s="31">
        <v>0</v>
      </c>
      <c r="E4" s="31">
        <v>0</v>
      </c>
      <c r="F4" s="31">
        <v>0</v>
      </c>
      <c r="G4" s="31">
        <v>0</v>
      </c>
      <c r="H4" s="31">
        <v>0</v>
      </c>
      <c r="I4" s="31">
        <v>0</v>
      </c>
      <c r="J4" s="31">
        <v>0</v>
      </c>
      <c r="K4" s="31">
        <v>0</v>
      </c>
      <c r="L4" s="31">
        <v>0</v>
      </c>
      <c r="M4" s="31">
        <v>0</v>
      </c>
      <c r="N4" s="31">
        <v>0</v>
      </c>
      <c r="O4" s="31">
        <v>0</v>
      </c>
      <c r="P4" s="31">
        <v>0</v>
      </c>
      <c r="Q4" s="31">
        <v>0</v>
      </c>
      <c r="R4" s="31">
        <v>0</v>
      </c>
      <c r="S4" s="31">
        <v>0</v>
      </c>
      <c r="T4" s="31">
        <v>0</v>
      </c>
      <c r="U4" s="31">
        <v>0</v>
      </c>
      <c r="V4" s="31">
        <v>0</v>
      </c>
      <c r="W4" s="31">
        <v>0</v>
      </c>
      <c r="X4" s="31">
        <v>0</v>
      </c>
      <c r="Y4" s="31">
        <v>0</v>
      </c>
      <c r="Z4" s="31">
        <v>0</v>
      </c>
      <c r="AA4" s="31">
        <v>0</v>
      </c>
      <c r="AB4" s="31">
        <v>0</v>
      </c>
      <c r="AC4" s="31">
        <v>0</v>
      </c>
      <c r="AD4" s="31">
        <v>0</v>
      </c>
      <c r="AE4" s="31">
        <v>0</v>
      </c>
      <c r="AF4" s="31">
        <v>0</v>
      </c>
      <c r="AG4" s="31"/>
      <c r="AH4" s="31"/>
      <c r="AI4" s="31"/>
      <c r="AJ4" s="31"/>
      <c r="AK4" s="31"/>
      <c r="AL4" s="31"/>
      <c r="AM4" s="31"/>
      <c r="AN4" s="31"/>
      <c r="AO4" s="31"/>
      <c r="AP4" s="31"/>
      <c r="AQ4" s="31"/>
      <c r="AR4" s="31"/>
      <c r="AS4" s="31"/>
      <c r="AT4" s="31"/>
      <c r="AU4" s="31"/>
      <c r="AV4" s="31"/>
      <c r="AW4" s="31"/>
      <c r="AX4" s="31"/>
      <c r="AY4" s="31"/>
      <c r="AZ4" s="31"/>
    </row>
    <row r="5" spans="1:52" ht="14.25" customHeight="1">
      <c r="A5" s="12" t="s">
        <v>50</v>
      </c>
      <c r="B5" s="31">
        <v>0</v>
      </c>
      <c r="C5" s="31">
        <v>0</v>
      </c>
      <c r="D5" s="31">
        <v>0</v>
      </c>
      <c r="E5" s="31">
        <v>0</v>
      </c>
      <c r="F5" s="31">
        <v>0</v>
      </c>
      <c r="G5" s="31">
        <v>0</v>
      </c>
      <c r="H5" s="31">
        <v>0</v>
      </c>
      <c r="I5" s="31">
        <v>0</v>
      </c>
      <c r="J5" s="31">
        <v>0</v>
      </c>
      <c r="K5" s="31">
        <v>0</v>
      </c>
      <c r="L5" s="31">
        <v>0</v>
      </c>
      <c r="M5" s="31">
        <v>0</v>
      </c>
      <c r="N5" s="31">
        <v>0</v>
      </c>
      <c r="O5" s="31">
        <v>0</v>
      </c>
      <c r="P5" s="31">
        <v>0</v>
      </c>
      <c r="Q5" s="31">
        <v>0</v>
      </c>
      <c r="R5" s="31">
        <v>0</v>
      </c>
      <c r="S5" s="31">
        <v>0</v>
      </c>
      <c r="T5" s="31">
        <v>0</v>
      </c>
      <c r="U5" s="31">
        <v>0</v>
      </c>
      <c r="V5" s="31">
        <v>0</v>
      </c>
      <c r="W5" s="31">
        <v>0</v>
      </c>
      <c r="X5" s="31">
        <v>0</v>
      </c>
      <c r="Y5" s="31">
        <v>0</v>
      </c>
      <c r="Z5" s="31">
        <v>0</v>
      </c>
      <c r="AA5" s="31">
        <v>0</v>
      </c>
      <c r="AB5" s="31">
        <v>0</v>
      </c>
      <c r="AC5" s="31">
        <v>0</v>
      </c>
      <c r="AD5" s="31">
        <v>0</v>
      </c>
      <c r="AE5" s="31">
        <v>0</v>
      </c>
      <c r="AF5" s="31">
        <v>0</v>
      </c>
      <c r="AG5" s="31"/>
      <c r="AH5" s="31"/>
      <c r="AI5" s="31"/>
      <c r="AJ5" s="31"/>
      <c r="AK5" s="31"/>
      <c r="AL5" s="31"/>
      <c r="AM5" s="31"/>
      <c r="AN5" s="31"/>
      <c r="AO5" s="31"/>
      <c r="AP5" s="31"/>
      <c r="AQ5" s="31"/>
      <c r="AR5" s="31"/>
      <c r="AS5" s="31"/>
      <c r="AT5" s="31"/>
      <c r="AU5" s="31"/>
      <c r="AV5" s="31"/>
      <c r="AW5" s="31"/>
      <c r="AX5" s="31"/>
      <c r="AY5" s="31"/>
      <c r="AZ5" s="31"/>
    </row>
    <row r="6" spans="1:52" ht="14.25" customHeight="1">
      <c r="A6" s="12" t="s">
        <v>51</v>
      </c>
      <c r="B6" s="31">
        <v>0</v>
      </c>
      <c r="C6" s="31">
        <v>0</v>
      </c>
      <c r="D6" s="31">
        <v>0</v>
      </c>
      <c r="E6" s="31">
        <v>0</v>
      </c>
      <c r="F6" s="31">
        <v>0</v>
      </c>
      <c r="G6" s="31">
        <v>0</v>
      </c>
      <c r="H6" s="31">
        <v>0</v>
      </c>
      <c r="I6" s="31">
        <v>0</v>
      </c>
      <c r="J6" s="31">
        <v>0</v>
      </c>
      <c r="K6" s="31">
        <v>0</v>
      </c>
      <c r="L6" s="31">
        <v>0</v>
      </c>
      <c r="M6" s="31">
        <v>0</v>
      </c>
      <c r="N6" s="31">
        <v>0</v>
      </c>
      <c r="O6" s="31">
        <v>0</v>
      </c>
      <c r="P6" s="31">
        <v>0</v>
      </c>
      <c r="Q6" s="31">
        <v>0</v>
      </c>
      <c r="R6" s="31">
        <v>0</v>
      </c>
      <c r="S6" s="31">
        <v>0</v>
      </c>
      <c r="T6" s="31">
        <v>0</v>
      </c>
      <c r="U6" s="31">
        <v>0</v>
      </c>
      <c r="V6" s="31">
        <v>0</v>
      </c>
      <c r="W6" s="31">
        <v>0</v>
      </c>
      <c r="X6" s="31">
        <v>0</v>
      </c>
      <c r="Y6" s="31">
        <v>0</v>
      </c>
      <c r="Z6" s="31">
        <v>0</v>
      </c>
      <c r="AA6" s="31">
        <v>0</v>
      </c>
      <c r="AB6" s="31">
        <v>0</v>
      </c>
      <c r="AC6" s="31">
        <v>0</v>
      </c>
      <c r="AD6" s="31">
        <v>0</v>
      </c>
      <c r="AE6" s="31">
        <v>0</v>
      </c>
      <c r="AF6" s="31">
        <v>0</v>
      </c>
      <c r="AG6" s="31"/>
      <c r="AH6" s="31"/>
      <c r="AI6" s="31"/>
      <c r="AJ6" s="31"/>
      <c r="AK6" s="31"/>
      <c r="AL6" s="31"/>
      <c r="AM6" s="31"/>
      <c r="AN6" s="31"/>
      <c r="AO6" s="31"/>
      <c r="AP6" s="31"/>
      <c r="AQ6" s="31"/>
      <c r="AR6" s="31"/>
      <c r="AS6" s="31"/>
      <c r="AT6" s="31"/>
      <c r="AU6" s="31"/>
      <c r="AV6" s="31"/>
      <c r="AW6" s="31"/>
      <c r="AX6" s="31"/>
      <c r="AY6" s="31"/>
      <c r="AZ6" s="31"/>
    </row>
    <row r="7" spans="1:52" ht="14.25" customHeight="1">
      <c r="A7" s="12" t="s">
        <v>52</v>
      </c>
      <c r="B7" s="31">
        <v>0</v>
      </c>
      <c r="C7" s="31">
        <v>0</v>
      </c>
      <c r="D7" s="31">
        <v>0</v>
      </c>
      <c r="E7" s="31">
        <v>0</v>
      </c>
      <c r="F7" s="31">
        <v>0</v>
      </c>
      <c r="G7" s="31">
        <v>0</v>
      </c>
      <c r="H7" s="31">
        <v>0</v>
      </c>
      <c r="I7" s="31">
        <v>0</v>
      </c>
      <c r="J7" s="31">
        <v>0</v>
      </c>
      <c r="K7" s="31">
        <v>0</v>
      </c>
      <c r="L7" s="31">
        <v>0</v>
      </c>
      <c r="M7" s="31">
        <v>0</v>
      </c>
      <c r="N7" s="31">
        <v>0</v>
      </c>
      <c r="O7" s="31">
        <v>0</v>
      </c>
      <c r="P7" s="31">
        <v>0</v>
      </c>
      <c r="Q7" s="31">
        <v>0</v>
      </c>
      <c r="R7" s="31">
        <v>0</v>
      </c>
      <c r="S7" s="31">
        <v>0</v>
      </c>
      <c r="T7" s="31">
        <v>0</v>
      </c>
      <c r="U7" s="31">
        <v>0</v>
      </c>
      <c r="V7" s="31">
        <v>0</v>
      </c>
      <c r="W7" s="31">
        <v>0</v>
      </c>
      <c r="X7" s="31">
        <v>0</v>
      </c>
      <c r="Y7" s="31">
        <v>0</v>
      </c>
      <c r="Z7" s="31">
        <v>0</v>
      </c>
      <c r="AA7" s="31">
        <v>0</v>
      </c>
      <c r="AB7" s="31">
        <v>0</v>
      </c>
      <c r="AC7" s="31">
        <v>0</v>
      </c>
      <c r="AD7" s="31">
        <v>0</v>
      </c>
      <c r="AE7" s="31">
        <v>0</v>
      </c>
      <c r="AF7" s="31">
        <v>0</v>
      </c>
      <c r="AG7" s="31"/>
      <c r="AH7" s="31"/>
      <c r="AI7" s="31"/>
      <c r="AJ7" s="31"/>
      <c r="AK7" s="31"/>
      <c r="AL7" s="31"/>
      <c r="AM7" s="31"/>
      <c r="AN7" s="31"/>
      <c r="AO7" s="31"/>
      <c r="AP7" s="31"/>
      <c r="AQ7" s="31"/>
      <c r="AR7" s="31"/>
      <c r="AS7" s="31"/>
      <c r="AT7" s="31"/>
      <c r="AU7" s="31"/>
      <c r="AV7" s="31"/>
      <c r="AW7" s="31"/>
      <c r="AX7" s="31"/>
      <c r="AY7" s="31"/>
      <c r="AZ7" s="31"/>
    </row>
    <row r="8" spans="1:52" ht="14.25" customHeight="1">
      <c r="A8" s="12" t="s">
        <v>63</v>
      </c>
      <c r="B8" s="31">
        <v>0</v>
      </c>
      <c r="C8" s="31">
        <v>0</v>
      </c>
      <c r="D8" s="31">
        <v>0</v>
      </c>
      <c r="E8" s="31">
        <v>0</v>
      </c>
      <c r="F8" s="31">
        <v>0</v>
      </c>
      <c r="G8" s="31">
        <v>0</v>
      </c>
      <c r="H8" s="31">
        <v>0</v>
      </c>
      <c r="I8" s="31">
        <v>0</v>
      </c>
      <c r="J8" s="31">
        <v>0</v>
      </c>
      <c r="K8" s="31">
        <v>0</v>
      </c>
      <c r="L8" s="31">
        <v>0</v>
      </c>
      <c r="M8" s="31">
        <v>0</v>
      </c>
      <c r="N8" s="31">
        <v>0</v>
      </c>
      <c r="O8" s="31">
        <v>0</v>
      </c>
      <c r="P8" s="31">
        <v>0</v>
      </c>
      <c r="Q8" s="31">
        <v>0</v>
      </c>
      <c r="R8" s="31">
        <v>0</v>
      </c>
      <c r="S8" s="31">
        <v>0</v>
      </c>
      <c r="T8" s="31">
        <v>0</v>
      </c>
      <c r="U8" s="31">
        <v>0</v>
      </c>
      <c r="V8" s="31">
        <v>0</v>
      </c>
      <c r="W8" s="31">
        <v>0</v>
      </c>
      <c r="X8" s="31">
        <v>0</v>
      </c>
      <c r="Y8" s="31">
        <v>0</v>
      </c>
      <c r="Z8" s="31">
        <v>0</v>
      </c>
      <c r="AA8" s="31">
        <v>0</v>
      </c>
      <c r="AB8" s="31">
        <v>0</v>
      </c>
      <c r="AC8" s="31">
        <v>0</v>
      </c>
      <c r="AD8" s="31">
        <v>0</v>
      </c>
      <c r="AE8" s="31">
        <v>0</v>
      </c>
      <c r="AF8" s="31">
        <v>0</v>
      </c>
      <c r="AG8" s="31"/>
      <c r="AH8" s="31"/>
      <c r="AI8" s="31"/>
      <c r="AJ8" s="31"/>
      <c r="AK8" s="31"/>
      <c r="AL8" s="31"/>
      <c r="AM8" s="31"/>
      <c r="AN8" s="31"/>
      <c r="AO8" s="31"/>
      <c r="AP8" s="31"/>
      <c r="AQ8" s="31"/>
      <c r="AR8" s="31"/>
      <c r="AS8" s="31"/>
      <c r="AT8" s="31"/>
      <c r="AU8" s="31"/>
      <c r="AV8" s="31"/>
      <c r="AW8" s="31"/>
      <c r="AX8" s="31"/>
      <c r="AY8" s="31"/>
      <c r="AZ8" s="31"/>
    </row>
    <row r="9" spans="1:52" ht="14.25" customHeight="1">
      <c r="A9" s="12" t="s">
        <v>53</v>
      </c>
      <c r="B9" s="31">
        <v>0</v>
      </c>
      <c r="C9" s="31">
        <v>0</v>
      </c>
      <c r="D9" s="31">
        <v>0</v>
      </c>
      <c r="E9" s="31">
        <v>0</v>
      </c>
      <c r="F9" s="31">
        <v>0</v>
      </c>
      <c r="G9" s="31">
        <v>0</v>
      </c>
      <c r="H9" s="31">
        <v>0</v>
      </c>
      <c r="I9" s="31">
        <v>0</v>
      </c>
      <c r="J9" s="31">
        <v>0</v>
      </c>
      <c r="K9" s="31">
        <v>0</v>
      </c>
      <c r="L9" s="31">
        <v>0</v>
      </c>
      <c r="M9" s="31">
        <v>0</v>
      </c>
      <c r="N9" s="31">
        <v>0</v>
      </c>
      <c r="O9" s="31">
        <v>0</v>
      </c>
      <c r="P9" s="31">
        <v>0</v>
      </c>
      <c r="Q9" s="31">
        <v>0</v>
      </c>
      <c r="R9" s="31">
        <v>0</v>
      </c>
      <c r="S9" s="31">
        <v>0</v>
      </c>
      <c r="T9" s="31">
        <v>0</v>
      </c>
      <c r="U9" s="31">
        <v>0</v>
      </c>
      <c r="V9" s="31">
        <v>0</v>
      </c>
      <c r="W9" s="31">
        <v>0</v>
      </c>
      <c r="X9" s="31">
        <v>0</v>
      </c>
      <c r="Y9" s="31">
        <v>0</v>
      </c>
      <c r="Z9" s="31">
        <v>0</v>
      </c>
      <c r="AA9" s="31">
        <v>0</v>
      </c>
      <c r="AB9" s="31">
        <v>0</v>
      </c>
      <c r="AC9" s="31">
        <v>0</v>
      </c>
      <c r="AD9" s="31">
        <v>0</v>
      </c>
      <c r="AE9" s="31">
        <v>0</v>
      </c>
      <c r="AF9" s="31">
        <v>0</v>
      </c>
      <c r="AG9" s="31"/>
      <c r="AH9" s="31"/>
      <c r="AI9" s="31"/>
      <c r="AJ9" s="31"/>
      <c r="AK9" s="31"/>
      <c r="AL9" s="31"/>
      <c r="AM9" s="31"/>
      <c r="AN9" s="31"/>
      <c r="AO9" s="31"/>
      <c r="AP9" s="31"/>
      <c r="AQ9" s="31"/>
      <c r="AR9" s="31"/>
      <c r="AS9" s="31"/>
      <c r="AT9" s="31"/>
      <c r="AU9" s="31"/>
      <c r="AV9" s="31"/>
      <c r="AW9" s="31"/>
      <c r="AX9" s="31"/>
      <c r="AY9" s="31"/>
      <c r="AZ9" s="31"/>
    </row>
    <row r="10" spans="1:52" ht="14.25" customHeight="1">
      <c r="A10" s="12" t="s">
        <v>54</v>
      </c>
      <c r="B10" s="31">
        <v>0</v>
      </c>
      <c r="C10" s="31">
        <v>0</v>
      </c>
      <c r="D10" s="31">
        <v>0</v>
      </c>
      <c r="E10" s="31">
        <v>0</v>
      </c>
      <c r="F10" s="31">
        <v>0</v>
      </c>
      <c r="G10" s="31">
        <v>0</v>
      </c>
      <c r="H10" s="31">
        <v>0</v>
      </c>
      <c r="I10" s="31">
        <v>0</v>
      </c>
      <c r="J10" s="31">
        <v>0</v>
      </c>
      <c r="K10" s="31">
        <v>0</v>
      </c>
      <c r="L10" s="31">
        <v>0</v>
      </c>
      <c r="M10" s="31">
        <v>0</v>
      </c>
      <c r="N10" s="31">
        <v>0</v>
      </c>
      <c r="O10" s="31">
        <v>0</v>
      </c>
      <c r="P10" s="31">
        <v>0</v>
      </c>
      <c r="Q10" s="31">
        <v>0</v>
      </c>
      <c r="R10" s="31">
        <v>0</v>
      </c>
      <c r="S10" s="31">
        <v>0</v>
      </c>
      <c r="T10" s="31">
        <v>0</v>
      </c>
      <c r="U10" s="31">
        <v>0</v>
      </c>
      <c r="V10" s="31">
        <v>0</v>
      </c>
      <c r="W10" s="31">
        <v>0</v>
      </c>
      <c r="X10" s="31">
        <v>0</v>
      </c>
      <c r="Y10" s="31">
        <v>0</v>
      </c>
      <c r="Z10" s="31">
        <v>0</v>
      </c>
      <c r="AA10" s="31">
        <v>0</v>
      </c>
      <c r="AB10" s="31">
        <v>0</v>
      </c>
      <c r="AC10" s="31">
        <v>0</v>
      </c>
      <c r="AD10" s="31">
        <v>0</v>
      </c>
      <c r="AE10" s="31">
        <v>0</v>
      </c>
      <c r="AF10" s="31">
        <v>0</v>
      </c>
      <c r="AG10" s="31"/>
      <c r="AH10" s="31"/>
      <c r="AI10" s="31"/>
      <c r="AJ10" s="31"/>
      <c r="AK10" s="31"/>
      <c r="AL10" s="31"/>
      <c r="AM10" s="31"/>
      <c r="AN10" s="31"/>
      <c r="AO10" s="31"/>
      <c r="AP10" s="31"/>
      <c r="AQ10" s="31"/>
      <c r="AR10" s="31"/>
      <c r="AS10" s="31"/>
      <c r="AT10" s="31"/>
      <c r="AU10" s="31"/>
      <c r="AV10" s="31"/>
      <c r="AW10" s="31"/>
      <c r="AX10" s="31"/>
      <c r="AY10" s="31"/>
      <c r="AZ10" s="31"/>
    </row>
    <row r="11" spans="1:52" ht="14.25" customHeight="1">
      <c r="A11" s="12" t="s">
        <v>55</v>
      </c>
      <c r="B11" s="31">
        <v>0</v>
      </c>
      <c r="C11" s="31">
        <v>0</v>
      </c>
      <c r="D11" s="31">
        <v>0</v>
      </c>
      <c r="E11" s="31">
        <v>0</v>
      </c>
      <c r="F11" s="31">
        <v>0</v>
      </c>
      <c r="G11" s="31">
        <v>0</v>
      </c>
      <c r="H11" s="31">
        <v>0</v>
      </c>
      <c r="I11" s="31">
        <v>0</v>
      </c>
      <c r="J11" s="31">
        <v>0</v>
      </c>
      <c r="K11" s="31">
        <v>0</v>
      </c>
      <c r="L11" s="31">
        <v>0</v>
      </c>
      <c r="M11" s="31">
        <v>0</v>
      </c>
      <c r="N11" s="31">
        <v>0</v>
      </c>
      <c r="O11" s="31">
        <v>0</v>
      </c>
      <c r="P11" s="31">
        <v>0</v>
      </c>
      <c r="Q11" s="31">
        <v>0</v>
      </c>
      <c r="R11" s="31">
        <v>0</v>
      </c>
      <c r="S11" s="31">
        <v>0</v>
      </c>
      <c r="T11" s="31">
        <v>0</v>
      </c>
      <c r="U11" s="31">
        <v>0</v>
      </c>
      <c r="V11" s="31">
        <v>0</v>
      </c>
      <c r="W11" s="31">
        <v>0</v>
      </c>
      <c r="X11" s="31">
        <v>0</v>
      </c>
      <c r="Y11" s="31">
        <v>0</v>
      </c>
      <c r="Z11" s="31">
        <v>0</v>
      </c>
      <c r="AA11" s="31">
        <v>0</v>
      </c>
      <c r="AB11" s="31">
        <v>0</v>
      </c>
      <c r="AC11" s="31">
        <v>0</v>
      </c>
      <c r="AD11" s="31">
        <v>0</v>
      </c>
      <c r="AE11" s="31">
        <v>0</v>
      </c>
      <c r="AF11" s="31">
        <v>0</v>
      </c>
      <c r="AG11" s="31"/>
      <c r="AH11" s="31"/>
      <c r="AI11" s="31"/>
      <c r="AJ11" s="31"/>
      <c r="AK11" s="31"/>
      <c r="AL11" s="31"/>
      <c r="AM11" s="31"/>
      <c r="AN11" s="31"/>
      <c r="AO11" s="31"/>
      <c r="AP11" s="31"/>
      <c r="AQ11" s="31"/>
      <c r="AR11" s="31"/>
      <c r="AS11" s="31"/>
      <c r="AT11" s="31"/>
      <c r="AU11" s="31"/>
      <c r="AV11" s="31"/>
      <c r="AW11" s="31"/>
      <c r="AX11" s="31"/>
      <c r="AY11" s="31"/>
      <c r="AZ11" s="31"/>
    </row>
    <row r="12" spans="1:52" ht="14.25" customHeight="1">
      <c r="A12" s="12" t="s">
        <v>56</v>
      </c>
      <c r="B12" s="31">
        <v>0</v>
      </c>
      <c r="C12" s="31">
        <v>0</v>
      </c>
      <c r="D12" s="31">
        <v>0</v>
      </c>
      <c r="E12" s="31">
        <v>0</v>
      </c>
      <c r="F12" s="31">
        <v>0</v>
      </c>
      <c r="G12" s="31">
        <v>0</v>
      </c>
      <c r="H12" s="31">
        <v>0</v>
      </c>
      <c r="I12" s="31">
        <v>0</v>
      </c>
      <c r="J12" s="31">
        <v>0</v>
      </c>
      <c r="K12" s="31">
        <v>0</v>
      </c>
      <c r="L12" s="31">
        <v>0</v>
      </c>
      <c r="M12" s="31">
        <v>0</v>
      </c>
      <c r="N12" s="31">
        <v>0</v>
      </c>
      <c r="O12" s="31">
        <v>0</v>
      </c>
      <c r="P12" s="31">
        <v>0</v>
      </c>
      <c r="Q12" s="31">
        <v>0</v>
      </c>
      <c r="R12" s="31">
        <v>0</v>
      </c>
      <c r="S12" s="31">
        <v>0</v>
      </c>
      <c r="T12" s="31">
        <v>0</v>
      </c>
      <c r="U12" s="31">
        <v>0</v>
      </c>
      <c r="V12" s="31">
        <v>0</v>
      </c>
      <c r="W12" s="31">
        <v>0</v>
      </c>
      <c r="X12" s="31">
        <v>0</v>
      </c>
      <c r="Y12" s="31">
        <v>0</v>
      </c>
      <c r="Z12" s="31">
        <v>0</v>
      </c>
      <c r="AA12" s="31">
        <v>0</v>
      </c>
      <c r="AB12" s="31">
        <v>0</v>
      </c>
      <c r="AC12" s="31">
        <v>0</v>
      </c>
      <c r="AD12" s="31">
        <v>0</v>
      </c>
      <c r="AE12" s="31">
        <v>0</v>
      </c>
      <c r="AF12" s="31">
        <v>0</v>
      </c>
      <c r="AG12" s="31"/>
      <c r="AH12" s="31"/>
      <c r="AI12" s="31"/>
      <c r="AJ12" s="31"/>
      <c r="AK12" s="31"/>
      <c r="AL12" s="31"/>
      <c r="AM12" s="31"/>
      <c r="AN12" s="31"/>
      <c r="AO12" s="31"/>
      <c r="AP12" s="31"/>
      <c r="AQ12" s="31"/>
      <c r="AR12" s="31"/>
      <c r="AS12" s="31"/>
      <c r="AT12" s="31"/>
      <c r="AU12" s="31"/>
      <c r="AV12" s="31"/>
      <c r="AW12" s="31"/>
      <c r="AX12" s="31"/>
      <c r="AY12" s="31"/>
      <c r="AZ12" s="31"/>
    </row>
    <row r="13" spans="1:52" ht="14.25" customHeight="1">
      <c r="A13" s="12" t="s">
        <v>57</v>
      </c>
      <c r="B13" s="31">
        <v>0</v>
      </c>
      <c r="C13" s="31">
        <v>0</v>
      </c>
      <c r="D13" s="31">
        <v>0</v>
      </c>
      <c r="E13" s="31">
        <v>0</v>
      </c>
      <c r="F13" s="31">
        <v>0</v>
      </c>
      <c r="G13" s="31">
        <v>0</v>
      </c>
      <c r="H13" s="31">
        <v>0</v>
      </c>
      <c r="I13" s="31">
        <v>0</v>
      </c>
      <c r="J13" s="31">
        <v>0</v>
      </c>
      <c r="K13" s="31">
        <v>0</v>
      </c>
      <c r="L13" s="31">
        <v>0</v>
      </c>
      <c r="M13" s="31">
        <v>0</v>
      </c>
      <c r="N13" s="31">
        <v>0</v>
      </c>
      <c r="O13" s="31">
        <v>0</v>
      </c>
      <c r="P13" s="31">
        <v>0</v>
      </c>
      <c r="Q13" s="31">
        <v>0</v>
      </c>
      <c r="R13" s="31">
        <v>0</v>
      </c>
      <c r="S13" s="31">
        <v>0</v>
      </c>
      <c r="T13" s="31">
        <v>0</v>
      </c>
      <c r="U13" s="31">
        <v>0</v>
      </c>
      <c r="V13" s="31">
        <v>0</v>
      </c>
      <c r="W13" s="31">
        <v>0</v>
      </c>
      <c r="X13" s="31">
        <v>0</v>
      </c>
      <c r="Y13" s="31">
        <v>0</v>
      </c>
      <c r="Z13" s="31">
        <v>0</v>
      </c>
      <c r="AA13" s="31">
        <v>0</v>
      </c>
      <c r="AB13" s="31">
        <v>0</v>
      </c>
      <c r="AC13" s="31">
        <v>0</v>
      </c>
      <c r="AD13" s="31">
        <v>0</v>
      </c>
      <c r="AE13" s="31">
        <v>0</v>
      </c>
      <c r="AF13" s="31">
        <v>0</v>
      </c>
      <c r="AG13" s="31"/>
      <c r="AH13" s="31"/>
      <c r="AI13" s="31"/>
      <c r="AJ13" s="31"/>
      <c r="AK13" s="31"/>
      <c r="AL13" s="31"/>
      <c r="AM13" s="31"/>
      <c r="AN13" s="31"/>
      <c r="AO13" s="31"/>
      <c r="AP13" s="31"/>
      <c r="AQ13" s="31"/>
      <c r="AR13" s="31"/>
      <c r="AS13" s="31"/>
      <c r="AT13" s="31"/>
      <c r="AU13" s="31"/>
      <c r="AV13" s="31"/>
      <c r="AW13" s="31"/>
      <c r="AX13" s="31"/>
      <c r="AY13" s="31"/>
      <c r="AZ13" s="31"/>
    </row>
    <row r="14" spans="1:52" ht="14.25" customHeight="1">
      <c r="A14" s="12" t="s">
        <v>58</v>
      </c>
      <c r="B14" s="31">
        <v>0</v>
      </c>
      <c r="C14" s="31">
        <v>0</v>
      </c>
      <c r="D14" s="31">
        <v>0</v>
      </c>
      <c r="E14" s="31">
        <v>0</v>
      </c>
      <c r="F14" s="31">
        <v>0</v>
      </c>
      <c r="G14" s="31">
        <v>0</v>
      </c>
      <c r="H14" s="31">
        <v>0</v>
      </c>
      <c r="I14" s="31">
        <v>0</v>
      </c>
      <c r="J14" s="31">
        <v>0</v>
      </c>
      <c r="K14" s="31">
        <v>0</v>
      </c>
      <c r="L14" s="31">
        <v>0</v>
      </c>
      <c r="M14" s="31">
        <v>0</v>
      </c>
      <c r="N14" s="31">
        <v>0</v>
      </c>
      <c r="O14" s="31">
        <v>0</v>
      </c>
      <c r="P14" s="31">
        <v>0</v>
      </c>
      <c r="Q14" s="31">
        <v>0</v>
      </c>
      <c r="R14" s="31">
        <v>0</v>
      </c>
      <c r="S14" s="31">
        <v>0</v>
      </c>
      <c r="T14" s="31">
        <v>0</v>
      </c>
      <c r="U14" s="31">
        <v>0</v>
      </c>
      <c r="V14" s="31">
        <v>0</v>
      </c>
      <c r="W14" s="31">
        <v>0</v>
      </c>
      <c r="X14" s="31">
        <v>0</v>
      </c>
      <c r="Y14" s="31">
        <v>0</v>
      </c>
      <c r="Z14" s="31">
        <v>0</v>
      </c>
      <c r="AA14" s="31">
        <v>0</v>
      </c>
      <c r="AB14" s="31">
        <v>0</v>
      </c>
      <c r="AC14" s="31">
        <v>0</v>
      </c>
      <c r="AD14" s="31">
        <v>0</v>
      </c>
      <c r="AE14" s="31">
        <v>0</v>
      </c>
      <c r="AF14" s="31">
        <v>0</v>
      </c>
      <c r="AG14" s="31"/>
      <c r="AH14" s="31"/>
      <c r="AI14" s="31"/>
      <c r="AJ14" s="31"/>
      <c r="AK14" s="31"/>
      <c r="AL14" s="31"/>
      <c r="AM14" s="31"/>
      <c r="AN14" s="31"/>
      <c r="AO14" s="31"/>
      <c r="AP14" s="31"/>
      <c r="AQ14" s="31"/>
      <c r="AR14" s="31"/>
      <c r="AS14" s="31"/>
      <c r="AT14" s="31"/>
      <c r="AU14" s="31"/>
      <c r="AV14" s="31"/>
      <c r="AW14" s="31"/>
      <c r="AX14" s="31"/>
      <c r="AY14" s="31"/>
      <c r="AZ14" s="31"/>
    </row>
    <row r="15" spans="1:52" ht="14.25" customHeight="1">
      <c r="A15" s="12" t="s">
        <v>59</v>
      </c>
      <c r="B15" s="31">
        <v>0</v>
      </c>
      <c r="C15" s="31">
        <v>0</v>
      </c>
      <c r="D15" s="31">
        <v>0</v>
      </c>
      <c r="E15" s="31">
        <v>0</v>
      </c>
      <c r="F15" s="31">
        <v>0</v>
      </c>
      <c r="G15" s="31">
        <v>0</v>
      </c>
      <c r="H15" s="31">
        <v>0</v>
      </c>
      <c r="I15" s="31">
        <v>0</v>
      </c>
      <c r="J15" s="31">
        <v>0</v>
      </c>
      <c r="K15" s="31">
        <v>0</v>
      </c>
      <c r="L15" s="31">
        <v>0</v>
      </c>
      <c r="M15" s="31">
        <v>0</v>
      </c>
      <c r="N15" s="31">
        <v>0</v>
      </c>
      <c r="O15" s="31">
        <v>0</v>
      </c>
      <c r="P15" s="31">
        <v>0</v>
      </c>
      <c r="Q15" s="31">
        <v>0</v>
      </c>
      <c r="R15" s="31">
        <v>0</v>
      </c>
      <c r="S15" s="31">
        <v>0</v>
      </c>
      <c r="T15" s="31">
        <v>0</v>
      </c>
      <c r="U15" s="31">
        <v>0</v>
      </c>
      <c r="V15" s="31">
        <v>0</v>
      </c>
      <c r="W15" s="31">
        <v>0</v>
      </c>
      <c r="X15" s="31">
        <v>0</v>
      </c>
      <c r="Y15" s="31">
        <v>0</v>
      </c>
      <c r="Z15" s="31">
        <v>0</v>
      </c>
      <c r="AA15" s="31">
        <v>0</v>
      </c>
      <c r="AB15" s="31">
        <v>0</v>
      </c>
      <c r="AC15" s="31">
        <v>0</v>
      </c>
      <c r="AD15" s="31">
        <v>0</v>
      </c>
      <c r="AE15" s="31">
        <v>0</v>
      </c>
      <c r="AF15" s="31">
        <v>0</v>
      </c>
      <c r="AG15" s="31"/>
      <c r="AH15" s="31"/>
      <c r="AI15" s="31"/>
      <c r="AJ15" s="31"/>
      <c r="AK15" s="31"/>
      <c r="AL15" s="31"/>
      <c r="AM15" s="31"/>
      <c r="AN15" s="31"/>
      <c r="AO15" s="31"/>
      <c r="AP15" s="31"/>
      <c r="AQ15" s="31"/>
      <c r="AR15" s="31"/>
      <c r="AS15" s="31"/>
      <c r="AT15" s="31"/>
      <c r="AU15" s="31"/>
      <c r="AV15" s="31"/>
      <c r="AW15" s="31"/>
      <c r="AX15" s="31"/>
      <c r="AY15" s="31"/>
      <c r="AZ15" s="31"/>
    </row>
    <row r="16" spans="1:52" ht="14.25" customHeight="1">
      <c r="A16" s="12" t="s">
        <v>60</v>
      </c>
      <c r="B16" s="31">
        <v>0</v>
      </c>
      <c r="C16" s="31">
        <v>0</v>
      </c>
      <c r="D16" s="31">
        <v>0</v>
      </c>
      <c r="E16" s="31">
        <v>0</v>
      </c>
      <c r="F16" s="31">
        <v>0</v>
      </c>
      <c r="G16" s="31">
        <v>0</v>
      </c>
      <c r="H16" s="31">
        <v>0</v>
      </c>
      <c r="I16" s="31">
        <v>0</v>
      </c>
      <c r="J16" s="31">
        <v>0</v>
      </c>
      <c r="K16" s="31">
        <v>0</v>
      </c>
      <c r="L16" s="31">
        <v>0</v>
      </c>
      <c r="M16" s="31">
        <v>0</v>
      </c>
      <c r="N16" s="31">
        <v>0</v>
      </c>
      <c r="O16" s="31">
        <v>0</v>
      </c>
      <c r="P16" s="31">
        <v>0</v>
      </c>
      <c r="Q16" s="31">
        <v>0</v>
      </c>
      <c r="R16" s="31">
        <v>0</v>
      </c>
      <c r="S16" s="31">
        <v>0</v>
      </c>
      <c r="T16" s="31">
        <v>0</v>
      </c>
      <c r="U16" s="31">
        <v>0</v>
      </c>
      <c r="V16" s="31">
        <v>0</v>
      </c>
      <c r="W16" s="31">
        <v>0</v>
      </c>
      <c r="X16" s="31">
        <v>0</v>
      </c>
      <c r="Y16" s="31">
        <v>0</v>
      </c>
      <c r="Z16" s="31">
        <v>0</v>
      </c>
      <c r="AA16" s="31">
        <v>0</v>
      </c>
      <c r="AB16" s="31">
        <v>0</v>
      </c>
      <c r="AC16" s="31">
        <v>0</v>
      </c>
      <c r="AD16" s="31">
        <v>0</v>
      </c>
      <c r="AE16" s="31">
        <v>0</v>
      </c>
      <c r="AF16" s="31">
        <v>0</v>
      </c>
      <c r="AG16" s="31"/>
      <c r="AH16" s="31"/>
      <c r="AI16" s="31"/>
      <c r="AJ16" s="31"/>
      <c r="AK16" s="31"/>
      <c r="AL16" s="31"/>
      <c r="AM16" s="31"/>
      <c r="AN16" s="31"/>
      <c r="AO16" s="31"/>
      <c r="AP16" s="31"/>
      <c r="AQ16" s="31"/>
      <c r="AR16" s="31"/>
      <c r="AS16" s="31"/>
      <c r="AT16" s="31"/>
      <c r="AU16" s="31"/>
      <c r="AV16" s="31"/>
      <c r="AW16" s="31"/>
      <c r="AX16" s="31"/>
      <c r="AY16" s="31"/>
      <c r="AZ16" s="31"/>
    </row>
    <row r="17" spans="1:52" ht="14.25" customHeight="1">
      <c r="A17" s="12" t="s">
        <v>61</v>
      </c>
      <c r="B17" s="31">
        <v>0</v>
      </c>
      <c r="C17" s="31">
        <v>0</v>
      </c>
      <c r="D17" s="31">
        <v>0</v>
      </c>
      <c r="E17" s="31">
        <v>0</v>
      </c>
      <c r="F17" s="31">
        <v>0</v>
      </c>
      <c r="G17" s="31">
        <v>0</v>
      </c>
      <c r="H17" s="31">
        <v>0</v>
      </c>
      <c r="I17" s="31">
        <v>0</v>
      </c>
      <c r="J17" s="31">
        <v>0</v>
      </c>
      <c r="K17" s="31">
        <v>0</v>
      </c>
      <c r="L17" s="31">
        <v>0</v>
      </c>
      <c r="M17" s="31">
        <v>0</v>
      </c>
      <c r="N17" s="31">
        <v>0</v>
      </c>
      <c r="O17" s="31">
        <v>0</v>
      </c>
      <c r="P17" s="31">
        <v>0</v>
      </c>
      <c r="Q17" s="31">
        <v>0</v>
      </c>
      <c r="R17" s="31">
        <v>0</v>
      </c>
      <c r="S17" s="31">
        <v>0</v>
      </c>
      <c r="T17" s="31">
        <v>0</v>
      </c>
      <c r="U17" s="31">
        <v>0</v>
      </c>
      <c r="V17" s="31">
        <v>0</v>
      </c>
      <c r="W17" s="31">
        <v>0</v>
      </c>
      <c r="X17" s="31">
        <v>0</v>
      </c>
      <c r="Y17" s="31">
        <v>0</v>
      </c>
      <c r="Z17" s="31">
        <v>0</v>
      </c>
      <c r="AA17" s="31">
        <v>0</v>
      </c>
      <c r="AB17" s="31">
        <v>0</v>
      </c>
      <c r="AC17" s="31">
        <v>0</v>
      </c>
      <c r="AD17" s="31">
        <v>0</v>
      </c>
      <c r="AE17" s="31">
        <v>0</v>
      </c>
      <c r="AF17" s="31">
        <v>0</v>
      </c>
      <c r="AG17" s="31"/>
      <c r="AH17" s="31"/>
      <c r="AI17" s="31"/>
      <c r="AJ17" s="31"/>
      <c r="AK17" s="31"/>
      <c r="AL17" s="31"/>
      <c r="AM17" s="31"/>
      <c r="AN17" s="31"/>
      <c r="AO17" s="31"/>
      <c r="AP17" s="31"/>
      <c r="AQ17" s="31"/>
      <c r="AR17" s="31"/>
      <c r="AS17" s="31"/>
      <c r="AT17" s="31"/>
      <c r="AU17" s="31"/>
      <c r="AV17" s="31"/>
      <c r="AW17" s="31"/>
      <c r="AX17" s="31"/>
      <c r="AY17" s="31"/>
      <c r="AZ17" s="31"/>
    </row>
    <row r="18" spans="1:52" ht="14.25" customHeight="1">
      <c r="B18" s="31"/>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workbookViewId="0">
      <selection activeCell="R25" sqref="R25"/>
    </sheetView>
  </sheetViews>
  <sheetFormatPr baseColWidth="10" defaultColWidth="14.42578125" defaultRowHeight="15" customHeight="1"/>
  <cols>
    <col min="1" max="1" width="33.28515625" customWidth="1"/>
    <col min="2" max="2" width="9.140625" customWidth="1"/>
    <col min="3" max="3" width="9.28515625" customWidth="1"/>
    <col min="4" max="4" width="8.7109375" customWidth="1"/>
    <col min="5" max="5" width="9.42578125" customWidth="1"/>
    <col min="6" max="6" width="9" customWidth="1"/>
    <col min="7" max="7" width="9.140625" customWidth="1"/>
    <col min="8" max="8" width="9.28515625" customWidth="1"/>
    <col min="9" max="9" width="9" customWidth="1"/>
    <col min="10" max="10" width="9.85546875" customWidth="1"/>
    <col min="11" max="11" width="9.140625" customWidth="1"/>
    <col min="12" max="12" width="9.42578125" customWidth="1"/>
    <col min="13" max="13" width="9.140625" customWidth="1"/>
    <col min="14" max="14" width="10.28515625" customWidth="1"/>
    <col min="15" max="15" width="10.42578125" customWidth="1"/>
    <col min="16" max="17" width="10.140625" customWidth="1"/>
    <col min="18" max="18" width="9.85546875" customWidth="1"/>
    <col min="19" max="19" width="11" customWidth="1"/>
    <col min="20" max="20" width="9.42578125" customWidth="1"/>
    <col min="21" max="21" width="10.28515625" customWidth="1"/>
    <col min="22" max="22" width="10.140625" customWidth="1"/>
    <col min="23" max="23" width="11.28515625" customWidth="1"/>
    <col min="24" max="24" width="11.42578125" customWidth="1"/>
    <col min="25" max="25" width="10.42578125" customWidth="1"/>
    <col min="26" max="27" width="10" customWidth="1"/>
    <col min="28" max="28" width="9.42578125" customWidth="1"/>
    <col min="29" max="29" width="10.28515625" customWidth="1"/>
    <col min="30" max="30" width="10.85546875" customWidth="1"/>
    <col min="31" max="31" width="9.7109375" customWidth="1"/>
    <col min="32" max="32" width="9.140625" customWidth="1"/>
  </cols>
  <sheetData>
    <row r="1" spans="1:52" s="25" customFormat="1" ht="14.25" customHeight="1">
      <c r="A1" s="3" t="s">
        <v>64</v>
      </c>
      <c r="B1" s="40">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12" t="s">
        <v>48</v>
      </c>
      <c r="B2" s="30">
        <f>'CCaMC-AFOaMCpUC-pre-ret'!B2</f>
        <v>25228</v>
      </c>
      <c r="C2" s="30">
        <f>'CCaMC-AFOaMCpUC-pre-ret'!C2</f>
        <v>24975.72</v>
      </c>
      <c r="D2" s="30">
        <f>'CCaMC-AFOaMCpUC-pre-ret'!D2</f>
        <v>24723.439999999999</v>
      </c>
      <c r="E2" s="30">
        <f>'CCaMC-AFOaMCpUC-pre-ret'!E2</f>
        <v>24471.16</v>
      </c>
      <c r="F2" s="30">
        <f>'CCaMC-AFOaMCpUC-pre-ret'!F2</f>
        <v>24218.880000000001</v>
      </c>
      <c r="G2" s="30">
        <f>'CCaMC-AFOaMCpUC-pre-ret'!G2</f>
        <v>23966.6</v>
      </c>
      <c r="H2" s="30">
        <f>'CCaMC-AFOaMCpUC-pre-ret'!H2</f>
        <v>23714.32</v>
      </c>
      <c r="I2" s="30">
        <f>'CCaMC-AFOaMCpUC-pre-ret'!I2</f>
        <v>23462.04</v>
      </c>
      <c r="J2" s="30">
        <f>'CCaMC-AFOaMCpUC-pre-ret'!J2</f>
        <v>23209.760000000002</v>
      </c>
      <c r="K2" s="30">
        <f>'CCaMC-AFOaMCpUC-pre-ret'!K2</f>
        <v>22957.48</v>
      </c>
      <c r="L2" s="30">
        <f>'CCaMC-AFOaMCpUC-pre-ret'!L2</f>
        <v>22705.200000000001</v>
      </c>
      <c r="M2" s="30">
        <f>'CCaMC-AFOaMCpUC-pre-ret'!M2</f>
        <v>22326.78</v>
      </c>
      <c r="N2" s="30">
        <f>'CCaMC-AFOaMCpUC-pre-ret'!N2</f>
        <v>21948.36</v>
      </c>
      <c r="O2" s="30">
        <f>'CCaMC-AFOaMCpUC-pre-ret'!O2</f>
        <v>21569.940000000002</v>
      </c>
      <c r="P2" s="30">
        <f>'CCaMC-AFOaMCpUC-pre-ret'!P2</f>
        <v>21191.52</v>
      </c>
      <c r="Q2" s="30">
        <f>'CCaMC-AFOaMCpUC-pre-ret'!Q2</f>
        <v>20813.099999999999</v>
      </c>
      <c r="R2" s="30">
        <f>'CCaMC-AFOaMCpUC-pre-ret'!R2</f>
        <v>20434.68</v>
      </c>
      <c r="S2" s="30">
        <f>'CCaMC-AFOaMCpUC-pre-ret'!S2</f>
        <v>20056.260000000002</v>
      </c>
      <c r="T2" s="30">
        <f>'CCaMC-AFOaMCpUC-pre-ret'!T2</f>
        <v>19677.84</v>
      </c>
      <c r="U2" s="30">
        <f>'CCaMC-AFOaMCpUC-pre-ret'!U2</f>
        <v>19299.419999999998</v>
      </c>
      <c r="V2" s="30">
        <f>'CCaMC-AFOaMCpUC-pre-ret'!V2</f>
        <v>18921</v>
      </c>
      <c r="W2" s="30">
        <f>'CCaMC-AFOaMCpUC-pre-ret'!W2</f>
        <v>18921</v>
      </c>
      <c r="X2" s="30">
        <f>'CCaMC-AFOaMCpUC-pre-ret'!X2</f>
        <v>18921</v>
      </c>
      <c r="Y2" s="30">
        <f>'CCaMC-AFOaMCpUC-pre-ret'!Y2</f>
        <v>18921</v>
      </c>
      <c r="Z2" s="30">
        <f>'CCaMC-AFOaMCpUC-pre-ret'!Z2</f>
        <v>18921</v>
      </c>
      <c r="AA2" s="30">
        <f>'CCaMC-AFOaMCpUC-pre-ret'!AA2</f>
        <v>18921</v>
      </c>
      <c r="AB2" s="30">
        <f>'CCaMC-AFOaMCpUC-pre-ret'!AB2</f>
        <v>18921</v>
      </c>
      <c r="AC2" s="30">
        <f>'CCaMC-AFOaMCpUC-pre-ret'!AC2</f>
        <v>18921</v>
      </c>
      <c r="AD2" s="30">
        <f>'CCaMC-AFOaMCpUC-pre-ret'!AD2</f>
        <v>18921</v>
      </c>
      <c r="AE2" s="30">
        <f>'CCaMC-AFOaMCpUC-pre-ret'!AE2</f>
        <v>18921</v>
      </c>
      <c r="AF2" s="30">
        <f>'CCaMC-AFOaMCpUC-pre-ret'!AF2</f>
        <v>18921</v>
      </c>
      <c r="AG2" s="30"/>
      <c r="AH2" s="30"/>
      <c r="AI2" s="30"/>
      <c r="AJ2" s="30"/>
      <c r="AK2" s="30"/>
      <c r="AL2" s="30"/>
      <c r="AM2" s="30"/>
      <c r="AN2" s="30"/>
      <c r="AO2" s="30"/>
      <c r="AP2" s="30"/>
      <c r="AQ2" s="30"/>
      <c r="AR2" s="30"/>
      <c r="AS2" s="30"/>
      <c r="AT2" s="30"/>
      <c r="AU2" s="30"/>
      <c r="AV2" s="30"/>
      <c r="AW2" s="30"/>
      <c r="AX2" s="30"/>
      <c r="AY2" s="30"/>
      <c r="AZ2" s="30"/>
    </row>
    <row r="3" spans="1:52" ht="14.25" customHeight="1">
      <c r="A3" s="12" t="s">
        <v>49</v>
      </c>
      <c r="B3" s="30">
        <f>'CCaMC-AFOaMCpUC-pre-ret'!B3</f>
        <v>12614</v>
      </c>
      <c r="C3" s="30">
        <f>'CCaMC-AFOaMCpUC-pre-ret'!C3</f>
        <v>12449.46956521739</v>
      </c>
      <c r="D3" s="30">
        <f>'CCaMC-AFOaMCpUC-pre-ret'!D3</f>
        <v>12284.939130434783</v>
      </c>
      <c r="E3" s="30">
        <f>'CCaMC-AFOaMCpUC-pre-ret'!E3</f>
        <v>12120.408695652173</v>
      </c>
      <c r="F3" s="30">
        <f>'CCaMC-AFOaMCpUC-pre-ret'!F3</f>
        <v>11955.878260869566</v>
      </c>
      <c r="G3" s="30">
        <f>'CCaMC-AFOaMCpUC-pre-ret'!G3</f>
        <v>11791.347826086956</v>
      </c>
      <c r="H3" s="30">
        <f>'CCaMC-AFOaMCpUC-pre-ret'!H3</f>
        <v>11626.817391304347</v>
      </c>
      <c r="I3" s="30">
        <f>'CCaMC-AFOaMCpUC-pre-ret'!I3</f>
        <v>11462.286956521739</v>
      </c>
      <c r="J3" s="30">
        <f>'CCaMC-AFOaMCpUC-pre-ret'!J3</f>
        <v>11297.756521739129</v>
      </c>
      <c r="K3" s="30">
        <f>'CCaMC-AFOaMCpUC-pre-ret'!K3</f>
        <v>11133.226086956522</v>
      </c>
      <c r="L3" s="30">
        <f>'CCaMC-AFOaMCpUC-pre-ret'!L3</f>
        <v>10968.695652173912</v>
      </c>
      <c r="M3" s="30">
        <f>'CCaMC-AFOaMCpUC-pre-ret'!M3</f>
        <v>10968.695652173912</v>
      </c>
      <c r="N3" s="30">
        <f>'CCaMC-AFOaMCpUC-pre-ret'!N3</f>
        <v>10968.695652173912</v>
      </c>
      <c r="O3" s="30">
        <f>'CCaMC-AFOaMCpUC-pre-ret'!O3</f>
        <v>10968.695652173912</v>
      </c>
      <c r="P3" s="30">
        <f>'CCaMC-AFOaMCpUC-pre-ret'!P3</f>
        <v>10968.695652173912</v>
      </c>
      <c r="Q3" s="30">
        <f>'CCaMC-AFOaMCpUC-pre-ret'!Q3</f>
        <v>10968.695652173912</v>
      </c>
      <c r="R3" s="30">
        <f>'CCaMC-AFOaMCpUC-pre-ret'!R3</f>
        <v>10968.695652173912</v>
      </c>
      <c r="S3" s="30">
        <f>'CCaMC-AFOaMCpUC-pre-ret'!S3</f>
        <v>10968.695652173912</v>
      </c>
      <c r="T3" s="30">
        <f>'CCaMC-AFOaMCpUC-pre-ret'!T3</f>
        <v>10968.695652173912</v>
      </c>
      <c r="U3" s="30">
        <f>'CCaMC-AFOaMCpUC-pre-ret'!U3</f>
        <v>10968.695652173912</v>
      </c>
      <c r="V3" s="30">
        <f>'CCaMC-AFOaMCpUC-pre-ret'!V3</f>
        <v>10968.695652173912</v>
      </c>
      <c r="W3" s="30">
        <f>'CCaMC-AFOaMCpUC-pre-ret'!W3</f>
        <v>10968.695652173912</v>
      </c>
      <c r="X3" s="30">
        <f>'CCaMC-AFOaMCpUC-pre-ret'!X3</f>
        <v>10968.695652173912</v>
      </c>
      <c r="Y3" s="30">
        <f>'CCaMC-AFOaMCpUC-pre-ret'!Y3</f>
        <v>10968.695652173912</v>
      </c>
      <c r="Z3" s="30">
        <f>'CCaMC-AFOaMCpUC-pre-ret'!Z3</f>
        <v>10968.695652173912</v>
      </c>
      <c r="AA3" s="30">
        <f>'CCaMC-AFOaMCpUC-pre-ret'!AA3</f>
        <v>10968.695652173912</v>
      </c>
      <c r="AB3" s="30">
        <f>'CCaMC-AFOaMCpUC-pre-ret'!AB3</f>
        <v>10968.695652173912</v>
      </c>
      <c r="AC3" s="30">
        <f>'CCaMC-AFOaMCpUC-pre-ret'!AC3</f>
        <v>10968.695652173912</v>
      </c>
      <c r="AD3" s="30">
        <f>'CCaMC-AFOaMCpUC-pre-ret'!AD3</f>
        <v>10968.695652173912</v>
      </c>
      <c r="AE3" s="30">
        <f>'CCaMC-AFOaMCpUC-pre-ret'!AE3</f>
        <v>10968.695652173912</v>
      </c>
      <c r="AF3" s="30">
        <f>'CCaMC-AFOaMCpUC-pre-ret'!AF3</f>
        <v>10968.695652173912</v>
      </c>
      <c r="AG3" s="30"/>
      <c r="AH3" s="30"/>
      <c r="AI3" s="30"/>
      <c r="AJ3" s="30"/>
      <c r="AK3" s="30"/>
      <c r="AL3" s="30"/>
      <c r="AM3" s="30"/>
      <c r="AN3" s="30"/>
      <c r="AO3" s="30"/>
      <c r="AP3" s="30"/>
      <c r="AQ3" s="30"/>
      <c r="AR3" s="30"/>
      <c r="AS3" s="30"/>
      <c r="AT3" s="30"/>
      <c r="AU3" s="30"/>
      <c r="AV3" s="30"/>
      <c r="AW3" s="30"/>
      <c r="AX3" s="30"/>
      <c r="AY3" s="30"/>
      <c r="AZ3" s="30"/>
    </row>
    <row r="4" spans="1:52" ht="14.25" customHeight="1">
      <c r="A4" s="12" t="s">
        <v>37</v>
      </c>
      <c r="B4" s="30">
        <f>'CCaMC-AFOaMCpUC-pre-ret'!B4</f>
        <v>77260.75</v>
      </c>
      <c r="C4" s="30">
        <f>'CCaMC-AFOaMCpUC-pre-ret'!C4</f>
        <v>77260.75</v>
      </c>
      <c r="D4" s="30">
        <f>'CCaMC-AFOaMCpUC-pre-ret'!D4</f>
        <v>77260.75</v>
      </c>
      <c r="E4" s="30">
        <f>'CCaMC-AFOaMCpUC-pre-ret'!E4</f>
        <v>77260.75</v>
      </c>
      <c r="F4" s="30">
        <f>'CCaMC-AFOaMCpUC-pre-ret'!F4</f>
        <v>77260.75</v>
      </c>
      <c r="G4" s="30">
        <f>'CCaMC-AFOaMCpUC-pre-ret'!G4</f>
        <v>77260.75</v>
      </c>
      <c r="H4" s="30">
        <f>'CCaMC-AFOaMCpUC-pre-ret'!H4</f>
        <v>77260.75</v>
      </c>
      <c r="I4" s="30">
        <f>'CCaMC-AFOaMCpUC-pre-ret'!I4</f>
        <v>77260.75</v>
      </c>
      <c r="J4" s="30">
        <f>'CCaMC-AFOaMCpUC-pre-ret'!J4</f>
        <v>77260.75</v>
      </c>
      <c r="K4" s="30">
        <f>'CCaMC-AFOaMCpUC-pre-ret'!K4</f>
        <v>77260.75</v>
      </c>
      <c r="L4" s="30">
        <f>'CCaMC-AFOaMCpUC-pre-ret'!L4</f>
        <v>77260.75</v>
      </c>
      <c r="M4" s="30">
        <f>'CCaMC-AFOaMCpUC-pre-ret'!M4</f>
        <v>77260.75</v>
      </c>
      <c r="N4" s="30">
        <f>'CCaMC-AFOaMCpUC-pre-ret'!N4</f>
        <v>77260.75</v>
      </c>
      <c r="O4" s="30">
        <f>'CCaMC-AFOaMCpUC-pre-ret'!O4</f>
        <v>77260.75</v>
      </c>
      <c r="P4" s="30">
        <f>'CCaMC-AFOaMCpUC-pre-ret'!P4</f>
        <v>77260.75</v>
      </c>
      <c r="Q4" s="30">
        <f>'CCaMC-AFOaMCpUC-pre-ret'!Q4</f>
        <v>77260.75</v>
      </c>
      <c r="R4" s="30">
        <f>'CCaMC-AFOaMCpUC-pre-ret'!R4</f>
        <v>77260.75</v>
      </c>
      <c r="S4" s="30">
        <f>'CCaMC-AFOaMCpUC-pre-ret'!S4</f>
        <v>77260.75</v>
      </c>
      <c r="T4" s="30">
        <f>'CCaMC-AFOaMCpUC-pre-ret'!T4</f>
        <v>77260.75</v>
      </c>
      <c r="U4" s="30">
        <f>'CCaMC-AFOaMCpUC-pre-ret'!U4</f>
        <v>77260.75</v>
      </c>
      <c r="V4" s="30">
        <f>'CCaMC-AFOaMCpUC-pre-ret'!V4</f>
        <v>77260.75</v>
      </c>
      <c r="W4" s="30">
        <f>'CCaMC-AFOaMCpUC-pre-ret'!W4</f>
        <v>77260.75</v>
      </c>
      <c r="X4" s="30">
        <f>'CCaMC-AFOaMCpUC-pre-ret'!X4</f>
        <v>77260.75</v>
      </c>
      <c r="Y4" s="30">
        <f>'CCaMC-AFOaMCpUC-pre-ret'!Y4</f>
        <v>77260.75</v>
      </c>
      <c r="Z4" s="30">
        <f>'CCaMC-AFOaMCpUC-pre-ret'!Z4</f>
        <v>77260.75</v>
      </c>
      <c r="AA4" s="30">
        <f>'CCaMC-AFOaMCpUC-pre-ret'!AA4</f>
        <v>77260.75</v>
      </c>
      <c r="AB4" s="30">
        <f>'CCaMC-AFOaMCpUC-pre-ret'!AB4</f>
        <v>77260.75</v>
      </c>
      <c r="AC4" s="30">
        <f>'CCaMC-AFOaMCpUC-pre-ret'!AC4</f>
        <v>77260.75</v>
      </c>
      <c r="AD4" s="30">
        <f>'CCaMC-AFOaMCpUC-pre-ret'!AD4</f>
        <v>77260.75</v>
      </c>
      <c r="AE4" s="30">
        <f>'CCaMC-AFOaMCpUC-pre-ret'!AE4</f>
        <v>77260.75</v>
      </c>
      <c r="AF4" s="30">
        <f>'CCaMC-AFOaMCpUC-pre-ret'!AF4</f>
        <v>77260.75</v>
      </c>
      <c r="AG4" s="30"/>
      <c r="AH4" s="30"/>
      <c r="AI4" s="30"/>
      <c r="AJ4" s="30"/>
      <c r="AK4" s="30"/>
      <c r="AL4" s="30"/>
      <c r="AM4" s="30"/>
      <c r="AN4" s="30"/>
      <c r="AO4" s="30"/>
      <c r="AP4" s="30"/>
      <c r="AQ4" s="30"/>
      <c r="AR4" s="30"/>
      <c r="AS4" s="30"/>
      <c r="AT4" s="30"/>
      <c r="AU4" s="30"/>
      <c r="AV4" s="30"/>
      <c r="AW4" s="30"/>
      <c r="AX4" s="30"/>
      <c r="AY4" s="30"/>
      <c r="AZ4" s="30"/>
    </row>
    <row r="5" spans="1:52" ht="14.25" customHeight="1">
      <c r="A5" s="12" t="s">
        <v>50</v>
      </c>
      <c r="B5" s="30">
        <f>'CCaMC-AFOaMCpUC-pre-ret'!B5</f>
        <v>14190.75</v>
      </c>
      <c r="C5" s="30">
        <f>'CCaMC-AFOaMCpUC-pre-ret'!C5</f>
        <v>14190.75</v>
      </c>
      <c r="D5" s="30">
        <f>'CCaMC-AFOaMCpUC-pre-ret'!D5</f>
        <v>14190.75</v>
      </c>
      <c r="E5" s="30">
        <f>'CCaMC-AFOaMCpUC-pre-ret'!E5</f>
        <v>14190.75</v>
      </c>
      <c r="F5" s="30">
        <f>'CCaMC-AFOaMCpUC-pre-ret'!F5</f>
        <v>14190.75</v>
      </c>
      <c r="G5" s="30">
        <f>'CCaMC-AFOaMCpUC-pre-ret'!G5</f>
        <v>14190.75</v>
      </c>
      <c r="H5" s="30">
        <f>'CCaMC-AFOaMCpUC-pre-ret'!H5</f>
        <v>14190.75</v>
      </c>
      <c r="I5" s="30">
        <f>'CCaMC-AFOaMCpUC-pre-ret'!I5</f>
        <v>14190.75</v>
      </c>
      <c r="J5" s="30">
        <f>'CCaMC-AFOaMCpUC-pre-ret'!J5</f>
        <v>14190.75</v>
      </c>
      <c r="K5" s="30">
        <f>'CCaMC-AFOaMCpUC-pre-ret'!K5</f>
        <v>14190.75</v>
      </c>
      <c r="L5" s="30">
        <f>'CCaMC-AFOaMCpUC-pre-ret'!L5</f>
        <v>14190.75</v>
      </c>
      <c r="M5" s="30">
        <f>'CCaMC-AFOaMCpUC-pre-ret'!M5</f>
        <v>14190.75</v>
      </c>
      <c r="N5" s="30">
        <f>'CCaMC-AFOaMCpUC-pre-ret'!N5</f>
        <v>14190.75</v>
      </c>
      <c r="O5" s="30">
        <f>'CCaMC-AFOaMCpUC-pre-ret'!O5</f>
        <v>14190.75</v>
      </c>
      <c r="P5" s="30">
        <f>'CCaMC-AFOaMCpUC-pre-ret'!P5</f>
        <v>14190.75</v>
      </c>
      <c r="Q5" s="30">
        <f>'CCaMC-AFOaMCpUC-pre-ret'!Q5</f>
        <v>14190.75</v>
      </c>
      <c r="R5" s="30">
        <f>'CCaMC-AFOaMCpUC-pre-ret'!R5</f>
        <v>14190.75</v>
      </c>
      <c r="S5" s="30">
        <f>'CCaMC-AFOaMCpUC-pre-ret'!S5</f>
        <v>14190.75</v>
      </c>
      <c r="T5" s="30">
        <f>'CCaMC-AFOaMCpUC-pre-ret'!T5</f>
        <v>14190.75</v>
      </c>
      <c r="U5" s="30">
        <f>'CCaMC-AFOaMCpUC-pre-ret'!U5</f>
        <v>14190.75</v>
      </c>
      <c r="V5" s="30">
        <f>'CCaMC-AFOaMCpUC-pre-ret'!V5</f>
        <v>14190.75</v>
      </c>
      <c r="W5" s="30">
        <f>'CCaMC-AFOaMCpUC-pre-ret'!W5</f>
        <v>14190.75</v>
      </c>
      <c r="X5" s="30">
        <f>'CCaMC-AFOaMCpUC-pre-ret'!X5</f>
        <v>14190.75</v>
      </c>
      <c r="Y5" s="30">
        <f>'CCaMC-AFOaMCpUC-pre-ret'!Y5</f>
        <v>14190.75</v>
      </c>
      <c r="Z5" s="30">
        <f>'CCaMC-AFOaMCpUC-pre-ret'!Z5</f>
        <v>14190.75</v>
      </c>
      <c r="AA5" s="30">
        <f>'CCaMC-AFOaMCpUC-pre-ret'!AA5</f>
        <v>14190.75</v>
      </c>
      <c r="AB5" s="30">
        <f>'CCaMC-AFOaMCpUC-pre-ret'!AB5</f>
        <v>14190.75</v>
      </c>
      <c r="AC5" s="30">
        <f>'CCaMC-AFOaMCpUC-pre-ret'!AC5</f>
        <v>14190.75</v>
      </c>
      <c r="AD5" s="30">
        <f>'CCaMC-AFOaMCpUC-pre-ret'!AD5</f>
        <v>14190.75</v>
      </c>
      <c r="AE5" s="30">
        <f>'CCaMC-AFOaMCpUC-pre-ret'!AE5</f>
        <v>14190.75</v>
      </c>
      <c r="AF5" s="30">
        <f>'CCaMC-AFOaMCpUC-pre-ret'!AF5</f>
        <v>14190.75</v>
      </c>
      <c r="AG5" s="30"/>
      <c r="AH5" s="30"/>
      <c r="AI5" s="30"/>
      <c r="AJ5" s="30"/>
      <c r="AK5" s="30"/>
      <c r="AL5" s="30"/>
      <c r="AM5" s="30"/>
      <c r="AN5" s="30"/>
      <c r="AO5" s="30"/>
      <c r="AP5" s="30"/>
      <c r="AQ5" s="30"/>
      <c r="AR5" s="30"/>
      <c r="AS5" s="30"/>
      <c r="AT5" s="30"/>
      <c r="AU5" s="30"/>
      <c r="AV5" s="30"/>
      <c r="AW5" s="30"/>
      <c r="AX5" s="30"/>
      <c r="AY5" s="30"/>
      <c r="AZ5" s="30"/>
    </row>
    <row r="6" spans="1:52" ht="14.25" customHeight="1">
      <c r="A6" s="12" t="s">
        <v>51</v>
      </c>
      <c r="B6" s="30">
        <f>'CCaMC-AFOaMCpUC-pre-ret'!B6</f>
        <v>14190.75</v>
      </c>
      <c r="C6" s="30">
        <f>'CCaMC-AFOaMCpUC-pre-ret'!C6</f>
        <v>13896.831553398059</v>
      </c>
      <c r="D6" s="30">
        <f>'CCaMC-AFOaMCpUC-pre-ret'!D6</f>
        <v>13602.913106796117</v>
      </c>
      <c r="E6" s="30">
        <f>'CCaMC-AFOaMCpUC-pre-ret'!E6</f>
        <v>13308.994660194176</v>
      </c>
      <c r="F6" s="30">
        <f>'CCaMC-AFOaMCpUC-pre-ret'!F6</f>
        <v>13015.076213592234</v>
      </c>
      <c r="G6" s="30">
        <f>'CCaMC-AFOaMCpUC-pre-ret'!G6</f>
        <v>12721.157766990291</v>
      </c>
      <c r="H6" s="30">
        <f>'CCaMC-AFOaMCpUC-pre-ret'!H6</f>
        <v>12427.239320388351</v>
      </c>
      <c r="I6" s="30">
        <f>'CCaMC-AFOaMCpUC-pre-ret'!I6</f>
        <v>12133.320873786408</v>
      </c>
      <c r="J6" s="30">
        <f>'CCaMC-AFOaMCpUC-pre-ret'!J6</f>
        <v>11839.402427184466</v>
      </c>
      <c r="K6" s="30">
        <f>'CCaMC-AFOaMCpUC-pre-ret'!K6</f>
        <v>11545.483980582525</v>
      </c>
      <c r="L6" s="30">
        <f>'CCaMC-AFOaMCpUC-pre-ret'!L6</f>
        <v>11251.565533980583</v>
      </c>
      <c r="M6" s="30">
        <f>'CCaMC-AFOaMCpUC-pre-ret'!M6</f>
        <v>11129.864927184466</v>
      </c>
      <c r="N6" s="30">
        <f>'CCaMC-AFOaMCpUC-pre-ret'!N6</f>
        <v>11008.16432038835</v>
      </c>
      <c r="O6" s="30">
        <f>'CCaMC-AFOaMCpUC-pre-ret'!O6</f>
        <v>10886.463713592233</v>
      </c>
      <c r="P6" s="30">
        <f>'CCaMC-AFOaMCpUC-pre-ret'!P6</f>
        <v>10764.763106796117</v>
      </c>
      <c r="Q6" s="30">
        <f>'CCaMC-AFOaMCpUC-pre-ret'!Q6</f>
        <v>10643.0625</v>
      </c>
      <c r="R6" s="30">
        <f>'CCaMC-AFOaMCpUC-pre-ret'!R6</f>
        <v>10521.361893203883</v>
      </c>
      <c r="S6" s="30">
        <f>'CCaMC-AFOaMCpUC-pre-ret'!S6</f>
        <v>10399.661286407767</v>
      </c>
      <c r="T6" s="30">
        <f>'CCaMC-AFOaMCpUC-pre-ret'!T6</f>
        <v>10277.96067961165</v>
      </c>
      <c r="U6" s="30">
        <f>'CCaMC-AFOaMCpUC-pre-ret'!U6</f>
        <v>10156.260072815534</v>
      </c>
      <c r="V6" s="30">
        <f>'CCaMC-AFOaMCpUC-pre-ret'!V6</f>
        <v>10034.559466019417</v>
      </c>
      <c r="W6" s="30">
        <f>'CCaMC-AFOaMCpUC-pre-ret'!W6</f>
        <v>9894.488956310679</v>
      </c>
      <c r="X6" s="30">
        <f>'CCaMC-AFOaMCpUC-pre-ret'!X6</f>
        <v>9754.4184466019415</v>
      </c>
      <c r="Y6" s="30">
        <f>'CCaMC-AFOaMCpUC-pre-ret'!Y6</f>
        <v>9614.347936893204</v>
      </c>
      <c r="Z6" s="30">
        <f>'CCaMC-AFOaMCpUC-pre-ret'!Z6</f>
        <v>9474.2774271844664</v>
      </c>
      <c r="AA6" s="30">
        <f>'CCaMC-AFOaMCpUC-pre-ret'!AA6</f>
        <v>9334.2069174757271</v>
      </c>
      <c r="AB6" s="30">
        <f>'CCaMC-AFOaMCpUC-pre-ret'!AB6</f>
        <v>9194.1364077669896</v>
      </c>
      <c r="AC6" s="30">
        <f>'CCaMC-AFOaMCpUC-pre-ret'!AC6</f>
        <v>9054.0658980582521</v>
      </c>
      <c r="AD6" s="30">
        <f>'CCaMC-AFOaMCpUC-pre-ret'!AD6</f>
        <v>8913.9953883495145</v>
      </c>
      <c r="AE6" s="30">
        <f>'CCaMC-AFOaMCpUC-pre-ret'!AE6</f>
        <v>8773.924878640777</v>
      </c>
      <c r="AF6" s="30">
        <f>'CCaMC-AFOaMCpUC-pre-ret'!AF6</f>
        <v>8633.8543689320395</v>
      </c>
      <c r="AG6" s="30"/>
      <c r="AH6" s="30"/>
      <c r="AI6" s="30"/>
      <c r="AJ6" s="30"/>
      <c r="AK6" s="30"/>
      <c r="AL6" s="30"/>
      <c r="AM6" s="30"/>
      <c r="AN6" s="30"/>
      <c r="AO6" s="30"/>
      <c r="AP6" s="30"/>
      <c r="AQ6" s="30"/>
      <c r="AR6" s="30"/>
      <c r="AS6" s="30"/>
      <c r="AT6" s="30"/>
      <c r="AU6" s="30"/>
      <c r="AV6" s="30"/>
      <c r="AW6" s="30"/>
      <c r="AX6" s="30"/>
      <c r="AY6" s="30"/>
      <c r="AZ6" s="30"/>
    </row>
    <row r="7" spans="1:52" ht="14.25" customHeight="1">
      <c r="A7" s="12" t="s">
        <v>52</v>
      </c>
      <c r="B7" s="30">
        <f>'CCaMC-AFOaMCpUC-pre-ret'!B7</f>
        <v>7883.75</v>
      </c>
      <c r="C7" s="30">
        <f>'CCaMC-AFOaMCpUC-pre-ret'!C7</f>
        <v>7671.7852019128586</v>
      </c>
      <c r="D7" s="30">
        <f>'CCaMC-AFOaMCpUC-pre-ret'!D7</f>
        <v>7459.8204038257172</v>
      </c>
      <c r="E7" s="30">
        <f>'CCaMC-AFOaMCpUC-pre-ret'!E7</f>
        <v>7247.8556057385758</v>
      </c>
      <c r="F7" s="30">
        <f>'CCaMC-AFOaMCpUC-pre-ret'!F7</f>
        <v>7035.8908076514344</v>
      </c>
      <c r="G7" s="30">
        <f>'CCaMC-AFOaMCpUC-pre-ret'!G7</f>
        <v>6823.9260095642931</v>
      </c>
      <c r="H7" s="30">
        <f>'CCaMC-AFOaMCpUC-pre-ret'!H7</f>
        <v>6611.9612114771517</v>
      </c>
      <c r="I7" s="30">
        <f>'CCaMC-AFOaMCpUC-pre-ret'!I7</f>
        <v>6399.9964133900103</v>
      </c>
      <c r="J7" s="30">
        <f>'CCaMC-AFOaMCpUC-pre-ret'!J7</f>
        <v>6188.0316153028689</v>
      </c>
      <c r="K7" s="30">
        <f>'CCaMC-AFOaMCpUC-pre-ret'!K7</f>
        <v>5976.0668172157275</v>
      </c>
      <c r="L7" s="30">
        <f>'CCaMC-AFOaMCpUC-pre-ret'!L7</f>
        <v>5764.1020191285861</v>
      </c>
      <c r="M7" s="30">
        <f>'CCaMC-AFOaMCpUC-pre-ret'!M7</f>
        <v>5805.9922954303929</v>
      </c>
      <c r="N7" s="30">
        <f>'CCaMC-AFOaMCpUC-pre-ret'!N7</f>
        <v>5847.8825717321997</v>
      </c>
      <c r="O7" s="30">
        <f>'CCaMC-AFOaMCpUC-pre-ret'!O7</f>
        <v>5889.7728480340056</v>
      </c>
      <c r="P7" s="30">
        <f>'CCaMC-AFOaMCpUC-pre-ret'!P7</f>
        <v>5931.6631243358124</v>
      </c>
      <c r="Q7" s="30">
        <f>'CCaMC-AFOaMCpUC-pre-ret'!Q7</f>
        <v>5973.5534006376192</v>
      </c>
      <c r="R7" s="30">
        <f>'CCaMC-AFOaMCpUC-pre-ret'!R7</f>
        <v>6015.443676939426</v>
      </c>
      <c r="S7" s="30">
        <f>'CCaMC-AFOaMCpUC-pre-ret'!S7</f>
        <v>6057.3339532412328</v>
      </c>
      <c r="T7" s="30">
        <f>'CCaMC-AFOaMCpUC-pre-ret'!T7</f>
        <v>6099.2242295430387</v>
      </c>
      <c r="U7" s="30">
        <f>'CCaMC-AFOaMCpUC-pre-ret'!U7</f>
        <v>6141.1145058448456</v>
      </c>
      <c r="V7" s="30">
        <f>'CCaMC-AFOaMCpUC-pre-ret'!V7</f>
        <v>6183.0047821466524</v>
      </c>
      <c r="W7" s="30">
        <f>'CCaMC-AFOaMCpUC-pre-ret'!W7</f>
        <v>5993.6607332624862</v>
      </c>
      <c r="X7" s="30">
        <f>'CCaMC-AFOaMCpUC-pre-ret'!X7</f>
        <v>5804.316684378321</v>
      </c>
      <c r="Y7" s="30">
        <f>'CCaMC-AFOaMCpUC-pre-ret'!Y7</f>
        <v>5614.9726354941549</v>
      </c>
      <c r="Z7" s="30">
        <f>'CCaMC-AFOaMCpUC-pre-ret'!Z7</f>
        <v>5425.6285866099897</v>
      </c>
      <c r="AA7" s="30">
        <f>'CCaMC-AFOaMCpUC-pre-ret'!AA7</f>
        <v>5236.2845377258236</v>
      </c>
      <c r="AB7" s="30">
        <f>'CCaMC-AFOaMCpUC-pre-ret'!AB7</f>
        <v>5046.9404888416575</v>
      </c>
      <c r="AC7" s="30">
        <f>'CCaMC-AFOaMCpUC-pre-ret'!AC7</f>
        <v>4857.5964399574923</v>
      </c>
      <c r="AD7" s="30">
        <f>'CCaMC-AFOaMCpUC-pre-ret'!AD7</f>
        <v>4668.2523910733262</v>
      </c>
      <c r="AE7" s="30">
        <f>'CCaMC-AFOaMCpUC-pre-ret'!AE7</f>
        <v>4478.908342189161</v>
      </c>
      <c r="AF7" s="30">
        <f>'CCaMC-AFOaMCpUC-pre-ret'!AF7</f>
        <v>4289.5642933049949</v>
      </c>
      <c r="AG7" s="30"/>
      <c r="AH7" s="30"/>
      <c r="AI7" s="30"/>
      <c r="AJ7" s="30"/>
      <c r="AK7" s="30"/>
      <c r="AL7" s="30"/>
      <c r="AM7" s="30"/>
      <c r="AN7" s="30"/>
      <c r="AO7" s="30"/>
      <c r="AP7" s="30"/>
      <c r="AQ7" s="30"/>
      <c r="AR7" s="30"/>
      <c r="AS7" s="30"/>
      <c r="AT7" s="30"/>
      <c r="AU7" s="30"/>
      <c r="AV7" s="30"/>
      <c r="AW7" s="30"/>
      <c r="AX7" s="30"/>
      <c r="AY7" s="30"/>
      <c r="AZ7" s="30"/>
    </row>
    <row r="8" spans="1:52" ht="14.25" customHeight="1">
      <c r="A8" s="12" t="s">
        <v>63</v>
      </c>
      <c r="B8" s="30">
        <f>'CCaMC-AFOaMCpUC-pre-ret'!B8</f>
        <v>96466.346166182542</v>
      </c>
      <c r="C8" s="30">
        <f>'CCaMC-AFOaMCpUC-pre-ret'!C8</f>
        <v>94842.907574219862</v>
      </c>
      <c r="D8" s="30">
        <f>'CCaMC-AFOaMCpUC-pre-ret'!D8</f>
        <v>93219.468982257196</v>
      </c>
      <c r="E8" s="30">
        <f>'CCaMC-AFOaMCpUC-pre-ret'!E8</f>
        <v>91596.030390294516</v>
      </c>
      <c r="F8" s="30">
        <f>'CCaMC-AFOaMCpUC-pre-ret'!F8</f>
        <v>89972.591798331836</v>
      </c>
      <c r="G8" s="30">
        <f>'CCaMC-AFOaMCpUC-pre-ret'!G8</f>
        <v>88349.15320636917</v>
      </c>
      <c r="H8" s="30">
        <f>'CCaMC-AFOaMCpUC-pre-ret'!H8</f>
        <v>86725.71461440649</v>
      </c>
      <c r="I8" s="30">
        <f>'CCaMC-AFOaMCpUC-pre-ret'!I8</f>
        <v>85102.27602244381</v>
      </c>
      <c r="J8" s="30">
        <f>'CCaMC-AFOaMCpUC-pre-ret'!J8</f>
        <v>83478.83743048113</v>
      </c>
      <c r="K8" s="30">
        <f>'CCaMC-AFOaMCpUC-pre-ret'!K8</f>
        <v>81855.398838518464</v>
      </c>
      <c r="L8" s="30">
        <f>'CCaMC-AFOaMCpUC-pre-ret'!L8</f>
        <v>80231.960246555784</v>
      </c>
      <c r="M8" s="30">
        <f>'CCaMC-AFOaMCpUC-pre-ret'!M8</f>
        <v>79569.202195273669</v>
      </c>
      <c r="N8" s="30">
        <f>'CCaMC-AFOaMCpUC-pre-ret'!N8</f>
        <v>78906.444143991554</v>
      </c>
      <c r="O8" s="30">
        <f>'CCaMC-AFOaMCpUC-pre-ret'!O8</f>
        <v>78243.686092709439</v>
      </c>
      <c r="P8" s="30">
        <f>'CCaMC-AFOaMCpUC-pre-ret'!P8</f>
        <v>77580.928041427323</v>
      </c>
      <c r="Q8" s="30">
        <f>'CCaMC-AFOaMCpUC-pre-ret'!Q8</f>
        <v>76918.169990145223</v>
      </c>
      <c r="R8" s="30">
        <f>'CCaMC-AFOaMCpUC-pre-ret'!R8</f>
        <v>76255.411938863108</v>
      </c>
      <c r="S8" s="30">
        <f>'CCaMC-AFOaMCpUC-pre-ret'!S8</f>
        <v>75592.653887580993</v>
      </c>
      <c r="T8" s="30">
        <f>'CCaMC-AFOaMCpUC-pre-ret'!T8</f>
        <v>74929.895836298878</v>
      </c>
      <c r="U8" s="30">
        <f>'CCaMC-AFOaMCpUC-pre-ret'!U8</f>
        <v>74267.137785016763</v>
      </c>
      <c r="V8" s="30">
        <f>'CCaMC-AFOaMCpUC-pre-ret'!V8</f>
        <v>73604.379733734648</v>
      </c>
      <c r="W8" s="30">
        <f>'CCaMC-AFOaMCpUC-pre-ret'!W8</f>
        <v>73288.932392018643</v>
      </c>
      <c r="X8" s="30">
        <f>'CCaMC-AFOaMCpUC-pre-ret'!X8</f>
        <v>72973.485050302639</v>
      </c>
      <c r="Y8" s="30">
        <f>'CCaMC-AFOaMCpUC-pre-ret'!Y8</f>
        <v>72658.037708586635</v>
      </c>
      <c r="Z8" s="30">
        <f>'CCaMC-AFOaMCpUC-pre-ret'!Z8</f>
        <v>72342.590366870631</v>
      </c>
      <c r="AA8" s="30">
        <f>'CCaMC-AFOaMCpUC-pre-ret'!AA8</f>
        <v>72027.143025154626</v>
      </c>
      <c r="AB8" s="30">
        <f>'CCaMC-AFOaMCpUC-pre-ret'!AB8</f>
        <v>71711.695683438622</v>
      </c>
      <c r="AC8" s="30">
        <f>'CCaMC-AFOaMCpUC-pre-ret'!AC8</f>
        <v>71396.248341722618</v>
      </c>
      <c r="AD8" s="30">
        <f>'CCaMC-AFOaMCpUC-pre-ret'!AD8</f>
        <v>71080.801000006613</v>
      </c>
      <c r="AE8" s="30">
        <f>'CCaMC-AFOaMCpUC-pre-ret'!AE8</f>
        <v>70765.353658290609</v>
      </c>
      <c r="AF8" s="30">
        <f>'CCaMC-AFOaMCpUC-pre-ret'!AF8</f>
        <v>70449.906316574605</v>
      </c>
      <c r="AG8" s="30"/>
      <c r="AH8" s="30"/>
      <c r="AI8" s="30"/>
      <c r="AJ8" s="30"/>
      <c r="AK8" s="30"/>
      <c r="AL8" s="30"/>
      <c r="AM8" s="30"/>
      <c r="AN8" s="30"/>
      <c r="AO8" s="30"/>
      <c r="AP8" s="30"/>
      <c r="AQ8" s="30"/>
      <c r="AR8" s="30"/>
      <c r="AS8" s="30"/>
      <c r="AT8" s="30"/>
      <c r="AU8" s="30"/>
      <c r="AV8" s="30"/>
      <c r="AW8" s="30"/>
      <c r="AX8" s="30"/>
      <c r="AY8" s="30"/>
      <c r="AZ8" s="30"/>
    </row>
    <row r="9" spans="1:52" ht="14.25" customHeight="1">
      <c r="A9" s="12" t="s">
        <v>53</v>
      </c>
      <c r="B9" s="30">
        <f>'CCaMC-AFOaMCpUC-pre-ret'!B9</f>
        <v>14190.75</v>
      </c>
      <c r="C9" s="30">
        <f>'CCaMC-AFOaMCpUC-pre-ret'!C9</f>
        <v>13951.932919075145</v>
      </c>
      <c r="D9" s="30">
        <f>'CCaMC-AFOaMCpUC-pre-ret'!D9</f>
        <v>13713.115838150288</v>
      </c>
      <c r="E9" s="30">
        <f>'CCaMC-AFOaMCpUC-pre-ret'!E9</f>
        <v>13474.298757225433</v>
      </c>
      <c r="F9" s="30">
        <f>'CCaMC-AFOaMCpUC-pre-ret'!F9</f>
        <v>13235.481676300578</v>
      </c>
      <c r="G9" s="30">
        <f>'CCaMC-AFOaMCpUC-pre-ret'!G9</f>
        <v>12996.664595375722</v>
      </c>
      <c r="H9" s="30">
        <f>'CCaMC-AFOaMCpUC-pre-ret'!H9</f>
        <v>12757.847514450867</v>
      </c>
      <c r="I9" s="30">
        <f>'CCaMC-AFOaMCpUC-pre-ret'!I9</f>
        <v>12519.030433526012</v>
      </c>
      <c r="J9" s="30">
        <f>'CCaMC-AFOaMCpUC-pre-ret'!J9</f>
        <v>12280.213352601157</v>
      </c>
      <c r="K9" s="30">
        <f>'CCaMC-AFOaMCpUC-pre-ret'!K9</f>
        <v>12041.3962716763</v>
      </c>
      <c r="L9" s="30">
        <f>'CCaMC-AFOaMCpUC-pre-ret'!L9</f>
        <v>11802.579190751445</v>
      </c>
      <c r="M9" s="30">
        <f>'CCaMC-AFOaMCpUC-pre-ret'!M9</f>
        <v>11705.083699421964</v>
      </c>
      <c r="N9" s="30">
        <f>'CCaMC-AFOaMCpUC-pre-ret'!N9</f>
        <v>11607.588208092486</v>
      </c>
      <c r="O9" s="30">
        <f>'CCaMC-AFOaMCpUC-pre-ret'!O9</f>
        <v>11510.092716763005</v>
      </c>
      <c r="P9" s="30">
        <f>'CCaMC-AFOaMCpUC-pre-ret'!P9</f>
        <v>11412.597225433527</v>
      </c>
      <c r="Q9" s="30">
        <f>'CCaMC-AFOaMCpUC-pre-ret'!Q9</f>
        <v>11315.101734104046</v>
      </c>
      <c r="R9" s="30">
        <f>'CCaMC-AFOaMCpUC-pre-ret'!R9</f>
        <v>11217.606242774566</v>
      </c>
      <c r="S9" s="30">
        <f>'CCaMC-AFOaMCpUC-pre-ret'!S9</f>
        <v>11120.110751445087</v>
      </c>
      <c r="T9" s="30">
        <f>'CCaMC-AFOaMCpUC-pre-ret'!T9</f>
        <v>11022.615260115606</v>
      </c>
      <c r="U9" s="30">
        <f>'CCaMC-AFOaMCpUC-pre-ret'!U9</f>
        <v>10925.119768786128</v>
      </c>
      <c r="V9" s="30">
        <f>'CCaMC-AFOaMCpUC-pre-ret'!V9</f>
        <v>10827.624277456647</v>
      </c>
      <c r="W9" s="30">
        <f>'CCaMC-AFOaMCpUC-pre-ret'!W9</f>
        <v>10781.220173410404</v>
      </c>
      <c r="X9" s="30">
        <f>'CCaMC-AFOaMCpUC-pre-ret'!X9</f>
        <v>10734.816069364162</v>
      </c>
      <c r="Y9" s="30">
        <f>'CCaMC-AFOaMCpUC-pre-ret'!Y9</f>
        <v>10688.411965317919</v>
      </c>
      <c r="Z9" s="30">
        <f>'CCaMC-AFOaMCpUC-pre-ret'!Z9</f>
        <v>10642.007861271677</v>
      </c>
      <c r="AA9" s="30">
        <f>'CCaMC-AFOaMCpUC-pre-ret'!AA9</f>
        <v>10595.603757225434</v>
      </c>
      <c r="AB9" s="30">
        <f>'CCaMC-AFOaMCpUC-pre-ret'!AB9</f>
        <v>10549.19965317919</v>
      </c>
      <c r="AC9" s="30">
        <f>'CCaMC-AFOaMCpUC-pre-ret'!AC9</f>
        <v>10502.795549132949</v>
      </c>
      <c r="AD9" s="30">
        <f>'CCaMC-AFOaMCpUC-pre-ret'!AD9</f>
        <v>10456.391445086705</v>
      </c>
      <c r="AE9" s="30">
        <f>'CCaMC-AFOaMCpUC-pre-ret'!AE9</f>
        <v>10409.987341040463</v>
      </c>
      <c r="AF9" s="30">
        <f>'CCaMC-AFOaMCpUC-pre-ret'!AF9</f>
        <v>10363.58323699422</v>
      </c>
      <c r="AG9" s="30"/>
      <c r="AH9" s="30"/>
      <c r="AI9" s="30"/>
      <c r="AJ9" s="30"/>
      <c r="AK9" s="30"/>
      <c r="AL9" s="30"/>
      <c r="AM9" s="30"/>
      <c r="AN9" s="30"/>
      <c r="AO9" s="30"/>
      <c r="AP9" s="30"/>
      <c r="AQ9" s="30"/>
      <c r="AR9" s="30"/>
      <c r="AS9" s="30"/>
      <c r="AT9" s="30"/>
      <c r="AU9" s="30"/>
      <c r="AV9" s="30"/>
      <c r="AW9" s="30"/>
      <c r="AX9" s="30"/>
      <c r="AY9" s="30"/>
      <c r="AZ9" s="30"/>
    </row>
    <row r="10" spans="1:52" ht="14.25" customHeight="1">
      <c r="A10" s="12" t="s">
        <v>54</v>
      </c>
      <c r="B10" s="30">
        <f>'CCaMC-AFOaMCpUC-pre-ret'!B10</f>
        <v>14191</v>
      </c>
      <c r="C10" s="30">
        <f>'CCaMC-AFOaMCpUC-pre-ret'!C10</f>
        <v>14191</v>
      </c>
      <c r="D10" s="30">
        <f>'CCaMC-AFOaMCpUC-pre-ret'!D10</f>
        <v>14191</v>
      </c>
      <c r="E10" s="30">
        <f>'CCaMC-AFOaMCpUC-pre-ret'!E10</f>
        <v>14191</v>
      </c>
      <c r="F10" s="30">
        <f>'CCaMC-AFOaMCpUC-pre-ret'!F10</f>
        <v>14191</v>
      </c>
      <c r="G10" s="30">
        <f>'CCaMC-AFOaMCpUC-pre-ret'!G10</f>
        <v>14191</v>
      </c>
      <c r="H10" s="30">
        <f>'CCaMC-AFOaMCpUC-pre-ret'!H10</f>
        <v>14191</v>
      </c>
      <c r="I10" s="30">
        <f>'CCaMC-AFOaMCpUC-pre-ret'!I10</f>
        <v>14191</v>
      </c>
      <c r="J10" s="30">
        <f>'CCaMC-AFOaMCpUC-pre-ret'!J10</f>
        <v>14191</v>
      </c>
      <c r="K10" s="30">
        <f>'CCaMC-AFOaMCpUC-pre-ret'!K10</f>
        <v>14191</v>
      </c>
      <c r="L10" s="30">
        <f>'CCaMC-AFOaMCpUC-pre-ret'!L10</f>
        <v>14191</v>
      </c>
      <c r="M10" s="30">
        <f>'CCaMC-AFOaMCpUC-pre-ret'!M10</f>
        <v>14191</v>
      </c>
      <c r="N10" s="30">
        <f>'CCaMC-AFOaMCpUC-pre-ret'!N10</f>
        <v>14191</v>
      </c>
      <c r="O10" s="30">
        <f>'CCaMC-AFOaMCpUC-pre-ret'!O10</f>
        <v>14191</v>
      </c>
      <c r="P10" s="30">
        <f>'CCaMC-AFOaMCpUC-pre-ret'!P10</f>
        <v>14191</v>
      </c>
      <c r="Q10" s="30">
        <f>'CCaMC-AFOaMCpUC-pre-ret'!Q10</f>
        <v>14191</v>
      </c>
      <c r="R10" s="30">
        <f>'CCaMC-AFOaMCpUC-pre-ret'!R10</f>
        <v>14191</v>
      </c>
      <c r="S10" s="30">
        <f>'CCaMC-AFOaMCpUC-pre-ret'!S10</f>
        <v>14191</v>
      </c>
      <c r="T10" s="30">
        <f>'CCaMC-AFOaMCpUC-pre-ret'!T10</f>
        <v>14191</v>
      </c>
      <c r="U10" s="30">
        <f>'CCaMC-AFOaMCpUC-pre-ret'!U10</f>
        <v>14191</v>
      </c>
      <c r="V10" s="30">
        <f>'CCaMC-AFOaMCpUC-pre-ret'!V10</f>
        <v>14191</v>
      </c>
      <c r="W10" s="30">
        <f>'CCaMC-AFOaMCpUC-pre-ret'!W10</f>
        <v>14191</v>
      </c>
      <c r="X10" s="30">
        <f>'CCaMC-AFOaMCpUC-pre-ret'!X10</f>
        <v>14191</v>
      </c>
      <c r="Y10" s="30">
        <f>'CCaMC-AFOaMCpUC-pre-ret'!Y10</f>
        <v>14191</v>
      </c>
      <c r="Z10" s="30">
        <f>'CCaMC-AFOaMCpUC-pre-ret'!Z10</f>
        <v>14191</v>
      </c>
      <c r="AA10" s="30">
        <f>'CCaMC-AFOaMCpUC-pre-ret'!AA10</f>
        <v>14191</v>
      </c>
      <c r="AB10" s="30">
        <f>'CCaMC-AFOaMCpUC-pre-ret'!AB10</f>
        <v>14191</v>
      </c>
      <c r="AC10" s="30">
        <f>'CCaMC-AFOaMCpUC-pre-ret'!AC10</f>
        <v>14191</v>
      </c>
      <c r="AD10" s="30">
        <f>'CCaMC-AFOaMCpUC-pre-ret'!AD10</f>
        <v>14191</v>
      </c>
      <c r="AE10" s="30">
        <f>'CCaMC-AFOaMCpUC-pre-ret'!AE10</f>
        <v>14191</v>
      </c>
      <c r="AF10" s="30">
        <f>'CCaMC-AFOaMCpUC-pre-ret'!AF10</f>
        <v>14191</v>
      </c>
      <c r="AG10" s="30"/>
      <c r="AH10" s="30"/>
      <c r="AI10" s="30"/>
      <c r="AJ10" s="30"/>
      <c r="AK10" s="30"/>
      <c r="AL10" s="30"/>
      <c r="AM10" s="30"/>
      <c r="AN10" s="30"/>
      <c r="AO10" s="30"/>
      <c r="AP10" s="30"/>
      <c r="AQ10" s="30"/>
      <c r="AR10" s="30"/>
      <c r="AS10" s="30"/>
      <c r="AT10" s="30"/>
      <c r="AU10" s="30"/>
      <c r="AV10" s="30"/>
      <c r="AW10" s="30"/>
      <c r="AX10" s="30"/>
      <c r="AY10" s="30"/>
      <c r="AZ10" s="30"/>
    </row>
    <row r="11" spans="1:52" ht="14.25" customHeight="1">
      <c r="A11" s="12" t="s">
        <v>55</v>
      </c>
      <c r="B11" s="30">
        <f>'CCaMC-AFOaMCpUC-pre-ret'!B11</f>
        <v>78837.5</v>
      </c>
      <c r="C11" s="30">
        <f>'CCaMC-AFOaMCpUC-pre-ret'!C11</f>
        <v>72761.756666666668</v>
      </c>
      <c r="D11" s="30">
        <f>'CCaMC-AFOaMCpUC-pre-ret'!D11</f>
        <v>66686.013333333336</v>
      </c>
      <c r="E11" s="30">
        <f>'CCaMC-AFOaMCpUC-pre-ret'!E11</f>
        <v>60610.27</v>
      </c>
      <c r="F11" s="30">
        <f>'CCaMC-AFOaMCpUC-pre-ret'!F11</f>
        <v>54534.526666666665</v>
      </c>
      <c r="G11" s="30">
        <f>'CCaMC-AFOaMCpUC-pre-ret'!G11</f>
        <v>48458.783333333333</v>
      </c>
      <c r="H11" s="30">
        <f>'CCaMC-AFOaMCpUC-pre-ret'!H11</f>
        <v>42383.039999999994</v>
      </c>
      <c r="I11" s="30">
        <f>'CCaMC-AFOaMCpUC-pre-ret'!I11</f>
        <v>36307.296666666662</v>
      </c>
      <c r="J11" s="30">
        <f>'CCaMC-AFOaMCpUC-pre-ret'!J11</f>
        <v>30231.55333333333</v>
      </c>
      <c r="K11" s="30">
        <f>'CCaMC-AFOaMCpUC-pre-ret'!K11</f>
        <v>24155.809999999998</v>
      </c>
      <c r="L11" s="30">
        <f>'CCaMC-AFOaMCpUC-pre-ret'!L11</f>
        <v>18080.066666666666</v>
      </c>
      <c r="M11" s="30">
        <f>'CCaMC-AFOaMCpUC-pre-ret'!M11</f>
        <v>18211.462499999998</v>
      </c>
      <c r="N11" s="30">
        <f>'CCaMC-AFOaMCpUC-pre-ret'!N11</f>
        <v>18342.858333333334</v>
      </c>
      <c r="O11" s="30">
        <f>'CCaMC-AFOaMCpUC-pre-ret'!O11</f>
        <v>18474.254166666666</v>
      </c>
      <c r="P11" s="30">
        <f>'CCaMC-AFOaMCpUC-pre-ret'!P11</f>
        <v>18605.650000000001</v>
      </c>
      <c r="Q11" s="30">
        <f>'CCaMC-AFOaMCpUC-pre-ret'!Q11</f>
        <v>18737.045833333334</v>
      </c>
      <c r="R11" s="30">
        <f>'CCaMC-AFOaMCpUC-pre-ret'!R11</f>
        <v>18868.441666666666</v>
      </c>
      <c r="S11" s="30">
        <f>'CCaMC-AFOaMCpUC-pre-ret'!S11</f>
        <v>18999.837500000001</v>
      </c>
      <c r="T11" s="30">
        <f>'CCaMC-AFOaMCpUC-pre-ret'!T11</f>
        <v>19131.233333333334</v>
      </c>
      <c r="U11" s="30">
        <f>'CCaMC-AFOaMCpUC-pre-ret'!U11</f>
        <v>19262.629166666669</v>
      </c>
      <c r="V11" s="30">
        <f>'CCaMC-AFOaMCpUC-pre-ret'!V11</f>
        <v>19394.025000000001</v>
      </c>
      <c r="W11" s="30">
        <f>'CCaMC-AFOaMCpUC-pre-ret'!W11</f>
        <v>18800.115833333333</v>
      </c>
      <c r="X11" s="30">
        <f>'CCaMC-AFOaMCpUC-pre-ret'!X11</f>
        <v>18206.206666666669</v>
      </c>
      <c r="Y11" s="30">
        <f>'CCaMC-AFOaMCpUC-pre-ret'!Y11</f>
        <v>17612.297500000001</v>
      </c>
      <c r="Z11" s="30">
        <f>'CCaMC-AFOaMCpUC-pre-ret'!Z11</f>
        <v>17018.388333333332</v>
      </c>
      <c r="AA11" s="30">
        <f>'CCaMC-AFOaMCpUC-pre-ret'!AA11</f>
        <v>16424.479166666668</v>
      </c>
      <c r="AB11" s="30">
        <f>'CCaMC-AFOaMCpUC-pre-ret'!AB11</f>
        <v>15830.57</v>
      </c>
      <c r="AC11" s="30">
        <f>'CCaMC-AFOaMCpUC-pre-ret'!AC11</f>
        <v>15236.660833333333</v>
      </c>
      <c r="AD11" s="30">
        <f>'CCaMC-AFOaMCpUC-pre-ret'!AD11</f>
        <v>14642.751666666667</v>
      </c>
      <c r="AE11" s="30">
        <f>'CCaMC-AFOaMCpUC-pre-ret'!AE11</f>
        <v>14048.842499999999</v>
      </c>
      <c r="AF11" s="30">
        <f>'CCaMC-AFOaMCpUC-pre-ret'!AF11</f>
        <v>13454.933333333332</v>
      </c>
      <c r="AG11" s="30"/>
      <c r="AH11" s="30"/>
      <c r="AI11" s="30"/>
      <c r="AJ11" s="30"/>
      <c r="AK11" s="30"/>
      <c r="AL11" s="30"/>
      <c r="AM11" s="30"/>
      <c r="AN11" s="30"/>
      <c r="AO11" s="30"/>
      <c r="AP11" s="30"/>
      <c r="AQ11" s="30"/>
      <c r="AR11" s="30"/>
      <c r="AS11" s="30"/>
      <c r="AT11" s="30"/>
      <c r="AU11" s="30"/>
      <c r="AV11" s="30"/>
      <c r="AW11" s="30"/>
      <c r="AX11" s="30"/>
      <c r="AY11" s="30"/>
      <c r="AZ11" s="30"/>
    </row>
    <row r="12" spans="1:52" ht="14.25" customHeight="1">
      <c r="A12" s="12" t="s">
        <v>56</v>
      </c>
      <c r="B12" s="30">
        <f>'CCaMC-AFOaMCpUC-pre-ret'!B12</f>
        <v>12614</v>
      </c>
      <c r="C12" s="30">
        <f>'CCaMC-AFOaMCpUC-pre-ret'!C12</f>
        <v>12614</v>
      </c>
      <c r="D12" s="30">
        <f>'CCaMC-AFOaMCpUC-pre-ret'!D12</f>
        <v>12614</v>
      </c>
      <c r="E12" s="30">
        <f>'CCaMC-AFOaMCpUC-pre-ret'!E12</f>
        <v>12614</v>
      </c>
      <c r="F12" s="30">
        <f>'CCaMC-AFOaMCpUC-pre-ret'!F12</f>
        <v>12614</v>
      </c>
      <c r="G12" s="30">
        <f>'CCaMC-AFOaMCpUC-pre-ret'!G12</f>
        <v>12614</v>
      </c>
      <c r="H12" s="30">
        <f>'CCaMC-AFOaMCpUC-pre-ret'!H12</f>
        <v>12614</v>
      </c>
      <c r="I12" s="30">
        <f>'CCaMC-AFOaMCpUC-pre-ret'!I12</f>
        <v>12614</v>
      </c>
      <c r="J12" s="30">
        <f>'CCaMC-AFOaMCpUC-pre-ret'!J12</f>
        <v>12614</v>
      </c>
      <c r="K12" s="30">
        <f>'CCaMC-AFOaMCpUC-pre-ret'!K12</f>
        <v>12614</v>
      </c>
      <c r="L12" s="30">
        <f>'CCaMC-AFOaMCpUC-pre-ret'!L12</f>
        <v>12614</v>
      </c>
      <c r="M12" s="30">
        <f>'CCaMC-AFOaMCpUC-pre-ret'!M12</f>
        <v>12614</v>
      </c>
      <c r="N12" s="30">
        <f>'CCaMC-AFOaMCpUC-pre-ret'!N12</f>
        <v>12614</v>
      </c>
      <c r="O12" s="30">
        <f>'CCaMC-AFOaMCpUC-pre-ret'!O12</f>
        <v>12614</v>
      </c>
      <c r="P12" s="30">
        <f>'CCaMC-AFOaMCpUC-pre-ret'!P12</f>
        <v>12614</v>
      </c>
      <c r="Q12" s="30">
        <f>'CCaMC-AFOaMCpUC-pre-ret'!Q12</f>
        <v>12614</v>
      </c>
      <c r="R12" s="30">
        <f>'CCaMC-AFOaMCpUC-pre-ret'!R12</f>
        <v>12614</v>
      </c>
      <c r="S12" s="30">
        <f>'CCaMC-AFOaMCpUC-pre-ret'!S12</f>
        <v>12614</v>
      </c>
      <c r="T12" s="30">
        <f>'CCaMC-AFOaMCpUC-pre-ret'!T12</f>
        <v>12614</v>
      </c>
      <c r="U12" s="30">
        <f>'CCaMC-AFOaMCpUC-pre-ret'!U12</f>
        <v>12614</v>
      </c>
      <c r="V12" s="30">
        <f>'CCaMC-AFOaMCpUC-pre-ret'!V12</f>
        <v>12614</v>
      </c>
      <c r="W12" s="30">
        <f>'CCaMC-AFOaMCpUC-pre-ret'!W12</f>
        <v>12614</v>
      </c>
      <c r="X12" s="30">
        <f>'CCaMC-AFOaMCpUC-pre-ret'!X12</f>
        <v>12614</v>
      </c>
      <c r="Y12" s="30">
        <f>'CCaMC-AFOaMCpUC-pre-ret'!Y12</f>
        <v>12614</v>
      </c>
      <c r="Z12" s="30">
        <f>'CCaMC-AFOaMCpUC-pre-ret'!Z12</f>
        <v>12614</v>
      </c>
      <c r="AA12" s="30">
        <f>'CCaMC-AFOaMCpUC-pre-ret'!AA12</f>
        <v>12614</v>
      </c>
      <c r="AB12" s="30">
        <f>'CCaMC-AFOaMCpUC-pre-ret'!AB12</f>
        <v>12614</v>
      </c>
      <c r="AC12" s="30">
        <f>'CCaMC-AFOaMCpUC-pre-ret'!AC12</f>
        <v>12614</v>
      </c>
      <c r="AD12" s="30">
        <f>'CCaMC-AFOaMCpUC-pre-ret'!AD12</f>
        <v>12614</v>
      </c>
      <c r="AE12" s="30">
        <f>'CCaMC-AFOaMCpUC-pre-ret'!AE12</f>
        <v>12614</v>
      </c>
      <c r="AF12" s="30">
        <f>'CCaMC-AFOaMCpUC-pre-ret'!AF12</f>
        <v>12614</v>
      </c>
      <c r="AG12" s="30"/>
      <c r="AH12" s="30"/>
      <c r="AI12" s="30"/>
      <c r="AJ12" s="30"/>
      <c r="AK12" s="30"/>
      <c r="AL12" s="30"/>
      <c r="AM12" s="30"/>
      <c r="AN12" s="30"/>
      <c r="AO12" s="30"/>
      <c r="AP12" s="30"/>
      <c r="AQ12" s="30"/>
      <c r="AR12" s="30"/>
      <c r="AS12" s="30"/>
      <c r="AT12" s="30"/>
      <c r="AU12" s="30"/>
      <c r="AV12" s="30"/>
      <c r="AW12" s="30"/>
      <c r="AX12" s="30"/>
      <c r="AY12" s="30"/>
      <c r="AZ12" s="30"/>
    </row>
    <row r="13" spans="1:52" ht="14.25" customHeight="1">
      <c r="A13" s="12" t="s">
        <v>57</v>
      </c>
      <c r="B13" s="30">
        <f>'CCaMC-AFOaMCpUC-pre-ret'!B13</f>
        <v>25228</v>
      </c>
      <c r="C13" s="30">
        <f>'CCaMC-AFOaMCpUC-pre-ret'!C13</f>
        <v>25228</v>
      </c>
      <c r="D13" s="30">
        <f>'CCaMC-AFOaMCpUC-pre-ret'!D13</f>
        <v>25228</v>
      </c>
      <c r="E13" s="30">
        <f>'CCaMC-AFOaMCpUC-pre-ret'!E13</f>
        <v>25228</v>
      </c>
      <c r="F13" s="30">
        <f>'CCaMC-AFOaMCpUC-pre-ret'!F13</f>
        <v>25228</v>
      </c>
      <c r="G13" s="30">
        <f>'CCaMC-AFOaMCpUC-pre-ret'!G13</f>
        <v>25228</v>
      </c>
      <c r="H13" s="30">
        <f>'CCaMC-AFOaMCpUC-pre-ret'!H13</f>
        <v>25228</v>
      </c>
      <c r="I13" s="30">
        <f>'CCaMC-AFOaMCpUC-pre-ret'!I13</f>
        <v>25228</v>
      </c>
      <c r="J13" s="30">
        <f>'CCaMC-AFOaMCpUC-pre-ret'!J13</f>
        <v>25228</v>
      </c>
      <c r="K13" s="30">
        <f>'CCaMC-AFOaMCpUC-pre-ret'!K13</f>
        <v>25228</v>
      </c>
      <c r="L13" s="30">
        <f>'CCaMC-AFOaMCpUC-pre-ret'!L13</f>
        <v>25228</v>
      </c>
      <c r="M13" s="30">
        <f>'CCaMC-AFOaMCpUC-pre-ret'!M13</f>
        <v>25228</v>
      </c>
      <c r="N13" s="30">
        <f>'CCaMC-AFOaMCpUC-pre-ret'!N13</f>
        <v>25228</v>
      </c>
      <c r="O13" s="30">
        <f>'CCaMC-AFOaMCpUC-pre-ret'!O13</f>
        <v>25228</v>
      </c>
      <c r="P13" s="30">
        <f>'CCaMC-AFOaMCpUC-pre-ret'!P13</f>
        <v>25228</v>
      </c>
      <c r="Q13" s="30">
        <f>'CCaMC-AFOaMCpUC-pre-ret'!Q13</f>
        <v>25228</v>
      </c>
      <c r="R13" s="30">
        <f>'CCaMC-AFOaMCpUC-pre-ret'!R13</f>
        <v>25228</v>
      </c>
      <c r="S13" s="30">
        <f>'CCaMC-AFOaMCpUC-pre-ret'!S13</f>
        <v>25228</v>
      </c>
      <c r="T13" s="30">
        <f>'CCaMC-AFOaMCpUC-pre-ret'!T13</f>
        <v>25228</v>
      </c>
      <c r="U13" s="30">
        <f>'CCaMC-AFOaMCpUC-pre-ret'!U13</f>
        <v>25228</v>
      </c>
      <c r="V13" s="30">
        <f>'CCaMC-AFOaMCpUC-pre-ret'!V13</f>
        <v>25228</v>
      </c>
      <c r="W13" s="30">
        <f>'CCaMC-AFOaMCpUC-pre-ret'!W13</f>
        <v>25228</v>
      </c>
      <c r="X13" s="30">
        <f>'CCaMC-AFOaMCpUC-pre-ret'!X13</f>
        <v>25228</v>
      </c>
      <c r="Y13" s="30">
        <f>'CCaMC-AFOaMCpUC-pre-ret'!Y13</f>
        <v>25228</v>
      </c>
      <c r="Z13" s="30">
        <f>'CCaMC-AFOaMCpUC-pre-ret'!Z13</f>
        <v>25228</v>
      </c>
      <c r="AA13" s="30">
        <f>'CCaMC-AFOaMCpUC-pre-ret'!AA13</f>
        <v>25228</v>
      </c>
      <c r="AB13" s="30">
        <f>'CCaMC-AFOaMCpUC-pre-ret'!AB13</f>
        <v>25228</v>
      </c>
      <c r="AC13" s="30">
        <f>'CCaMC-AFOaMCpUC-pre-ret'!AC13</f>
        <v>25228</v>
      </c>
      <c r="AD13" s="30">
        <f>'CCaMC-AFOaMCpUC-pre-ret'!AD13</f>
        <v>25228</v>
      </c>
      <c r="AE13" s="30">
        <f>'CCaMC-AFOaMCpUC-pre-ret'!AE13</f>
        <v>25228</v>
      </c>
      <c r="AF13" s="30">
        <f>'CCaMC-AFOaMCpUC-pre-ret'!AF13</f>
        <v>25228</v>
      </c>
      <c r="AG13" s="30"/>
      <c r="AH13" s="30"/>
      <c r="AI13" s="30"/>
      <c r="AJ13" s="30"/>
      <c r="AK13" s="30"/>
      <c r="AL13" s="30"/>
      <c r="AM13" s="30"/>
      <c r="AN13" s="30"/>
      <c r="AO13" s="30"/>
      <c r="AP13" s="30"/>
      <c r="AQ13" s="30"/>
      <c r="AR13" s="30"/>
      <c r="AS13" s="30"/>
      <c r="AT13" s="30"/>
      <c r="AU13" s="30"/>
      <c r="AV13" s="30"/>
      <c r="AW13" s="30"/>
      <c r="AX13" s="30"/>
      <c r="AY13" s="30"/>
      <c r="AZ13" s="30"/>
    </row>
    <row r="14" spans="1:52" ht="14.25" customHeight="1">
      <c r="A14" s="12" t="s">
        <v>58</v>
      </c>
      <c r="B14" s="30">
        <f>'CCaMC-AFOaMCpUC-pre-ret'!B14</f>
        <v>77260.75</v>
      </c>
      <c r="C14" s="30">
        <f>'CCaMC-AFOaMCpUC-pre-ret'!C14</f>
        <v>76488.142500000002</v>
      </c>
      <c r="D14" s="30">
        <f>'CCaMC-AFOaMCpUC-pre-ret'!D14</f>
        <v>75715.535000000003</v>
      </c>
      <c r="E14" s="30">
        <f>'CCaMC-AFOaMCpUC-pre-ret'!E14</f>
        <v>74942.927500000005</v>
      </c>
      <c r="F14" s="30">
        <f>'CCaMC-AFOaMCpUC-pre-ret'!F14</f>
        <v>74170.320000000007</v>
      </c>
      <c r="G14" s="30">
        <f>'CCaMC-AFOaMCpUC-pre-ret'!G14</f>
        <v>73397.712499999994</v>
      </c>
      <c r="H14" s="30">
        <f>'CCaMC-AFOaMCpUC-pre-ret'!H14</f>
        <v>72625.104999999996</v>
      </c>
      <c r="I14" s="30">
        <f>'CCaMC-AFOaMCpUC-pre-ret'!I14</f>
        <v>71852.497499999998</v>
      </c>
      <c r="J14" s="30">
        <f>'CCaMC-AFOaMCpUC-pre-ret'!J14</f>
        <v>71079.89</v>
      </c>
      <c r="K14" s="30">
        <f>'CCaMC-AFOaMCpUC-pre-ret'!K14</f>
        <v>70307.282500000001</v>
      </c>
      <c r="L14" s="30">
        <f>'CCaMC-AFOaMCpUC-pre-ret'!L14</f>
        <v>69534.675000000003</v>
      </c>
      <c r="M14" s="30">
        <f>'CCaMC-AFOaMCpUC-pre-ret'!M14</f>
        <v>68375.763749999998</v>
      </c>
      <c r="N14" s="30">
        <f>'CCaMC-AFOaMCpUC-pre-ret'!N14</f>
        <v>67216.852500000008</v>
      </c>
      <c r="O14" s="30">
        <f>'CCaMC-AFOaMCpUC-pre-ret'!O14</f>
        <v>66057.941250000003</v>
      </c>
      <c r="P14" s="30">
        <f>'CCaMC-AFOaMCpUC-pre-ret'!P14</f>
        <v>64899.03</v>
      </c>
      <c r="Q14" s="30">
        <f>'CCaMC-AFOaMCpUC-pre-ret'!Q14</f>
        <v>63740.118750000001</v>
      </c>
      <c r="R14" s="30">
        <f>'CCaMC-AFOaMCpUC-pre-ret'!R14</f>
        <v>62581.207500000004</v>
      </c>
      <c r="S14" s="30">
        <f>'CCaMC-AFOaMCpUC-pre-ret'!S14</f>
        <v>61422.296249999999</v>
      </c>
      <c r="T14" s="30">
        <f>'CCaMC-AFOaMCpUC-pre-ret'!T14</f>
        <v>60263.385000000002</v>
      </c>
      <c r="U14" s="30">
        <f>'CCaMC-AFOaMCpUC-pre-ret'!U14</f>
        <v>59104.473749999997</v>
      </c>
      <c r="V14" s="30">
        <f>'CCaMC-AFOaMCpUC-pre-ret'!V14</f>
        <v>57945.5625</v>
      </c>
      <c r="W14" s="30">
        <f>'CCaMC-AFOaMCpUC-pre-ret'!W14</f>
        <v>57945.5625</v>
      </c>
      <c r="X14" s="30">
        <f>'CCaMC-AFOaMCpUC-pre-ret'!X14</f>
        <v>57945.5625</v>
      </c>
      <c r="Y14" s="30">
        <f>'CCaMC-AFOaMCpUC-pre-ret'!Y14</f>
        <v>57945.5625</v>
      </c>
      <c r="Z14" s="30">
        <f>'CCaMC-AFOaMCpUC-pre-ret'!Z14</f>
        <v>57945.5625</v>
      </c>
      <c r="AA14" s="30">
        <f>'CCaMC-AFOaMCpUC-pre-ret'!AA14</f>
        <v>57945.5625</v>
      </c>
      <c r="AB14" s="30">
        <f>'CCaMC-AFOaMCpUC-pre-ret'!AB14</f>
        <v>57945.5625</v>
      </c>
      <c r="AC14" s="30">
        <f>'CCaMC-AFOaMCpUC-pre-ret'!AC14</f>
        <v>57945.5625</v>
      </c>
      <c r="AD14" s="30">
        <f>'CCaMC-AFOaMCpUC-pre-ret'!AD14</f>
        <v>57945.5625</v>
      </c>
      <c r="AE14" s="30">
        <f>'CCaMC-AFOaMCpUC-pre-ret'!AE14</f>
        <v>57945.5625</v>
      </c>
      <c r="AF14" s="30">
        <f>'CCaMC-AFOaMCpUC-pre-ret'!AF14</f>
        <v>57945.5625</v>
      </c>
      <c r="AG14" s="30"/>
      <c r="AH14" s="30"/>
      <c r="AI14" s="30"/>
      <c r="AJ14" s="30"/>
      <c r="AK14" s="30"/>
      <c r="AL14" s="30"/>
      <c r="AM14" s="30"/>
      <c r="AN14" s="30"/>
      <c r="AO14" s="30"/>
      <c r="AP14" s="30"/>
      <c r="AQ14" s="30"/>
      <c r="AR14" s="30"/>
      <c r="AS14" s="30"/>
      <c r="AT14" s="30"/>
      <c r="AU14" s="30"/>
      <c r="AV14" s="30"/>
      <c r="AW14" s="30"/>
      <c r="AX14" s="30"/>
      <c r="AY14" s="30"/>
      <c r="AZ14" s="30"/>
    </row>
    <row r="15" spans="1:52" ht="14.25" customHeight="1">
      <c r="A15" s="12" t="s">
        <v>59</v>
      </c>
      <c r="B15" s="30">
        <f>'CCaMC-AFOaMCpUC-pre-ret'!B15</f>
        <v>78837.5</v>
      </c>
      <c r="C15" s="30">
        <f>'CCaMC-AFOaMCpUC-pre-ret'!C15</f>
        <v>77559.995998475613</v>
      </c>
      <c r="D15" s="30">
        <f>'CCaMC-AFOaMCpUC-pre-ret'!D15</f>
        <v>76282.491996951227</v>
      </c>
      <c r="E15" s="30">
        <f>'CCaMC-AFOaMCpUC-pre-ret'!E15</f>
        <v>75004.987995426825</v>
      </c>
      <c r="F15" s="30">
        <f>'CCaMC-AFOaMCpUC-pre-ret'!F15</f>
        <v>73727.483993902439</v>
      </c>
      <c r="G15" s="30">
        <f>'CCaMC-AFOaMCpUC-pre-ret'!G15</f>
        <v>72449.979992378052</v>
      </c>
      <c r="H15" s="30">
        <f>'CCaMC-AFOaMCpUC-pre-ret'!H15</f>
        <v>71172.475990853665</v>
      </c>
      <c r="I15" s="30">
        <f>'CCaMC-AFOaMCpUC-pre-ret'!I15</f>
        <v>69894.971989329279</v>
      </c>
      <c r="J15" s="30">
        <f>'CCaMC-AFOaMCpUC-pre-ret'!J15</f>
        <v>68617.467987804877</v>
      </c>
      <c r="K15" s="30">
        <f>'CCaMC-AFOaMCpUC-pre-ret'!K15</f>
        <v>67339.963986280491</v>
      </c>
      <c r="L15" s="30">
        <f>'CCaMC-AFOaMCpUC-pre-ret'!L15</f>
        <v>66062.459984756104</v>
      </c>
      <c r="M15" s="30">
        <f>'CCaMC-AFOaMCpUC-pre-ret'!M15</f>
        <v>65204.381097560981</v>
      </c>
      <c r="N15" s="30">
        <f>'CCaMC-AFOaMCpUC-pre-ret'!N15</f>
        <v>64346.302210365859</v>
      </c>
      <c r="O15" s="30">
        <f>'CCaMC-AFOaMCpUC-pre-ret'!O15</f>
        <v>63488.223323170736</v>
      </c>
      <c r="P15" s="30">
        <f>'CCaMC-AFOaMCpUC-pre-ret'!P15</f>
        <v>62630.144435975613</v>
      </c>
      <c r="Q15" s="30">
        <f>'CCaMC-AFOaMCpUC-pre-ret'!Q15</f>
        <v>61772.065548780491</v>
      </c>
      <c r="R15" s="30">
        <f>'CCaMC-AFOaMCpUC-pre-ret'!R15</f>
        <v>60913.986661585368</v>
      </c>
      <c r="S15" s="30">
        <f>'CCaMC-AFOaMCpUC-pre-ret'!S15</f>
        <v>60055.907774390245</v>
      </c>
      <c r="T15" s="30">
        <f>'CCaMC-AFOaMCpUC-pre-ret'!T15</f>
        <v>59197.828887195123</v>
      </c>
      <c r="U15" s="30">
        <f>'CCaMC-AFOaMCpUC-pre-ret'!U15</f>
        <v>58339.75</v>
      </c>
      <c r="V15" s="30">
        <f>'CCaMC-AFOaMCpUC-pre-ret'!V15</f>
        <v>57481.671112804877</v>
      </c>
      <c r="W15" s="30">
        <f>'CCaMC-AFOaMCpUC-pre-ret'!W15</f>
        <v>56660.847751524387</v>
      </c>
      <c r="X15" s="30">
        <f>'CCaMC-AFOaMCpUC-pre-ret'!X15</f>
        <v>55840.024390243903</v>
      </c>
      <c r="Y15" s="30">
        <f>'CCaMC-AFOaMCpUC-pre-ret'!Y15</f>
        <v>55019.201028963413</v>
      </c>
      <c r="Z15" s="30">
        <f>'CCaMC-AFOaMCpUC-pre-ret'!Z15</f>
        <v>54198.377667682929</v>
      </c>
      <c r="AA15" s="30">
        <f>'CCaMC-AFOaMCpUC-pre-ret'!AA15</f>
        <v>53377.554306402439</v>
      </c>
      <c r="AB15" s="30">
        <f>'CCaMC-AFOaMCpUC-pre-ret'!AB15</f>
        <v>52556.730945121948</v>
      </c>
      <c r="AC15" s="30">
        <f>'CCaMC-AFOaMCpUC-pre-ret'!AC15</f>
        <v>51735.907583841465</v>
      </c>
      <c r="AD15" s="30">
        <f>'CCaMC-AFOaMCpUC-pre-ret'!AD15</f>
        <v>50915.084222560974</v>
      </c>
      <c r="AE15" s="30">
        <f>'CCaMC-AFOaMCpUC-pre-ret'!AE15</f>
        <v>50094.260861280491</v>
      </c>
      <c r="AF15" s="30">
        <f>'CCaMC-AFOaMCpUC-pre-ret'!AF15</f>
        <v>49273.4375</v>
      </c>
      <c r="AG15" s="30"/>
      <c r="AH15" s="30"/>
      <c r="AI15" s="30"/>
      <c r="AJ15" s="30"/>
      <c r="AK15" s="30"/>
      <c r="AL15" s="30"/>
      <c r="AM15" s="30"/>
      <c r="AN15" s="30"/>
      <c r="AO15" s="30"/>
      <c r="AP15" s="30"/>
      <c r="AQ15" s="30"/>
      <c r="AR15" s="30"/>
      <c r="AS15" s="30"/>
      <c r="AT15" s="30"/>
      <c r="AU15" s="30"/>
      <c r="AV15" s="30"/>
      <c r="AW15" s="30"/>
      <c r="AX15" s="30"/>
      <c r="AY15" s="30"/>
      <c r="AZ15" s="30"/>
    </row>
    <row r="16" spans="1:52" ht="14.25" customHeight="1">
      <c r="A16" s="12" t="s">
        <v>60</v>
      </c>
      <c r="B16" s="30">
        <f>'CCaMC-AFOaMCpUC-pre-ret'!B16</f>
        <v>78837.5</v>
      </c>
      <c r="C16" s="30">
        <f>'CCaMC-AFOaMCpUC-pre-ret'!C16</f>
        <v>78837.5</v>
      </c>
      <c r="D16" s="30">
        <f>'CCaMC-AFOaMCpUC-pre-ret'!D16</f>
        <v>78837.5</v>
      </c>
      <c r="E16" s="30">
        <f>'CCaMC-AFOaMCpUC-pre-ret'!E16</f>
        <v>78837.5</v>
      </c>
      <c r="F16" s="30">
        <f>'CCaMC-AFOaMCpUC-pre-ret'!F16</f>
        <v>78837.5</v>
      </c>
      <c r="G16" s="30">
        <f>'CCaMC-AFOaMCpUC-pre-ret'!G16</f>
        <v>78837.5</v>
      </c>
      <c r="H16" s="30">
        <f>'CCaMC-AFOaMCpUC-pre-ret'!H16</f>
        <v>78837.5</v>
      </c>
      <c r="I16" s="30">
        <f>'CCaMC-AFOaMCpUC-pre-ret'!I16</f>
        <v>78837.5</v>
      </c>
      <c r="J16" s="30">
        <f>'CCaMC-AFOaMCpUC-pre-ret'!J16</f>
        <v>78837.5</v>
      </c>
      <c r="K16" s="30">
        <f>'CCaMC-AFOaMCpUC-pre-ret'!K16</f>
        <v>78837.5</v>
      </c>
      <c r="L16" s="30">
        <f>'CCaMC-AFOaMCpUC-pre-ret'!L16</f>
        <v>78837.5</v>
      </c>
      <c r="M16" s="30">
        <f>'CCaMC-AFOaMCpUC-pre-ret'!M16</f>
        <v>78837.5</v>
      </c>
      <c r="N16" s="30">
        <f>'CCaMC-AFOaMCpUC-pre-ret'!N16</f>
        <v>78837.5</v>
      </c>
      <c r="O16" s="30">
        <f>'CCaMC-AFOaMCpUC-pre-ret'!O16</f>
        <v>78837.5</v>
      </c>
      <c r="P16" s="30">
        <f>'CCaMC-AFOaMCpUC-pre-ret'!P16</f>
        <v>78837.5</v>
      </c>
      <c r="Q16" s="30">
        <f>'CCaMC-AFOaMCpUC-pre-ret'!Q16</f>
        <v>78837.5</v>
      </c>
      <c r="R16" s="30">
        <f>'CCaMC-AFOaMCpUC-pre-ret'!R16</f>
        <v>78837.5</v>
      </c>
      <c r="S16" s="30">
        <f>'CCaMC-AFOaMCpUC-pre-ret'!S16</f>
        <v>78837.5</v>
      </c>
      <c r="T16" s="30">
        <f>'CCaMC-AFOaMCpUC-pre-ret'!T16</f>
        <v>78837.5</v>
      </c>
      <c r="U16" s="30">
        <f>'CCaMC-AFOaMCpUC-pre-ret'!U16</f>
        <v>78837.5</v>
      </c>
      <c r="V16" s="30">
        <f>'CCaMC-AFOaMCpUC-pre-ret'!V16</f>
        <v>78837.5</v>
      </c>
      <c r="W16" s="30">
        <f>'CCaMC-AFOaMCpUC-pre-ret'!W16</f>
        <v>78837.5</v>
      </c>
      <c r="X16" s="30">
        <f>'CCaMC-AFOaMCpUC-pre-ret'!X16</f>
        <v>78837.5</v>
      </c>
      <c r="Y16" s="30">
        <f>'CCaMC-AFOaMCpUC-pre-ret'!Y16</f>
        <v>78837.5</v>
      </c>
      <c r="Z16" s="30">
        <f>'CCaMC-AFOaMCpUC-pre-ret'!Z16</f>
        <v>78837.5</v>
      </c>
      <c r="AA16" s="30">
        <f>'CCaMC-AFOaMCpUC-pre-ret'!AA16</f>
        <v>78837.5</v>
      </c>
      <c r="AB16" s="30">
        <f>'CCaMC-AFOaMCpUC-pre-ret'!AB16</f>
        <v>78837.5</v>
      </c>
      <c r="AC16" s="30">
        <f>'CCaMC-AFOaMCpUC-pre-ret'!AC16</f>
        <v>78837.5</v>
      </c>
      <c r="AD16" s="30">
        <f>'CCaMC-AFOaMCpUC-pre-ret'!AD16</f>
        <v>78837.5</v>
      </c>
      <c r="AE16" s="30">
        <f>'CCaMC-AFOaMCpUC-pre-ret'!AE16</f>
        <v>78837.5</v>
      </c>
      <c r="AF16" s="30">
        <f>'CCaMC-AFOaMCpUC-pre-ret'!AF16</f>
        <v>78837.5</v>
      </c>
      <c r="AG16" s="30"/>
      <c r="AH16" s="30"/>
      <c r="AI16" s="30"/>
      <c r="AJ16" s="30"/>
      <c r="AK16" s="30"/>
      <c r="AL16" s="30"/>
      <c r="AM16" s="30"/>
      <c r="AN16" s="30"/>
      <c r="AO16" s="30"/>
      <c r="AP16" s="30"/>
      <c r="AQ16" s="30"/>
      <c r="AR16" s="30"/>
      <c r="AS16" s="30"/>
      <c r="AT16" s="30"/>
      <c r="AU16" s="30"/>
      <c r="AV16" s="30"/>
      <c r="AW16" s="30"/>
      <c r="AX16" s="30"/>
      <c r="AY16" s="30"/>
      <c r="AZ16" s="30"/>
    </row>
    <row r="17" spans="1:52" ht="14.25" customHeight="1">
      <c r="A17" s="12" t="s">
        <v>61</v>
      </c>
      <c r="B17" s="30">
        <f>'CCaMC-AFOaMCpUC-pre-ret'!B17</f>
        <v>233952</v>
      </c>
      <c r="C17" s="30">
        <f>'CCaMC-AFOaMCpUC-pre-ret'!C17</f>
        <v>233952</v>
      </c>
      <c r="D17" s="30">
        <f>'CCaMC-AFOaMCpUC-pre-ret'!D17</f>
        <v>233952</v>
      </c>
      <c r="E17" s="30">
        <f>'CCaMC-AFOaMCpUC-pre-ret'!E17</f>
        <v>233952</v>
      </c>
      <c r="F17" s="30">
        <f>'CCaMC-AFOaMCpUC-pre-ret'!F17</f>
        <v>233952</v>
      </c>
      <c r="G17" s="30">
        <f>'CCaMC-AFOaMCpUC-pre-ret'!G17</f>
        <v>233952</v>
      </c>
      <c r="H17" s="30">
        <f>'CCaMC-AFOaMCpUC-pre-ret'!H17</f>
        <v>233952</v>
      </c>
      <c r="I17" s="30">
        <f>'CCaMC-AFOaMCpUC-pre-ret'!I17</f>
        <v>233952</v>
      </c>
      <c r="J17" s="30">
        <f>'CCaMC-AFOaMCpUC-pre-ret'!J17</f>
        <v>233952</v>
      </c>
      <c r="K17" s="30">
        <f>'CCaMC-AFOaMCpUC-pre-ret'!K17</f>
        <v>233952</v>
      </c>
      <c r="L17" s="30">
        <f>'CCaMC-AFOaMCpUC-pre-ret'!L17</f>
        <v>233952</v>
      </c>
      <c r="M17" s="30">
        <f>'CCaMC-AFOaMCpUC-pre-ret'!M17</f>
        <v>233952</v>
      </c>
      <c r="N17" s="30">
        <f>'CCaMC-AFOaMCpUC-pre-ret'!N17</f>
        <v>233952</v>
      </c>
      <c r="O17" s="30">
        <f>'CCaMC-AFOaMCpUC-pre-ret'!O17</f>
        <v>233952</v>
      </c>
      <c r="P17" s="30">
        <f>'CCaMC-AFOaMCpUC-pre-ret'!P17</f>
        <v>233952</v>
      </c>
      <c r="Q17" s="30">
        <f>'CCaMC-AFOaMCpUC-pre-ret'!Q17</f>
        <v>233952</v>
      </c>
      <c r="R17" s="30">
        <f>'CCaMC-AFOaMCpUC-pre-ret'!R17</f>
        <v>233952</v>
      </c>
      <c r="S17" s="30">
        <f>'CCaMC-AFOaMCpUC-pre-ret'!S17</f>
        <v>233952</v>
      </c>
      <c r="T17" s="30">
        <f>'CCaMC-AFOaMCpUC-pre-ret'!T17</f>
        <v>233952</v>
      </c>
      <c r="U17" s="30">
        <f>'CCaMC-AFOaMCpUC-pre-ret'!U17</f>
        <v>233952</v>
      </c>
      <c r="V17" s="30">
        <f>'CCaMC-AFOaMCpUC-pre-ret'!V17</f>
        <v>233952</v>
      </c>
      <c r="W17" s="30">
        <f>'CCaMC-AFOaMCpUC-pre-ret'!W17</f>
        <v>233952</v>
      </c>
      <c r="X17" s="30">
        <f>'CCaMC-AFOaMCpUC-pre-ret'!X17</f>
        <v>233952</v>
      </c>
      <c r="Y17" s="30">
        <f>'CCaMC-AFOaMCpUC-pre-ret'!Y17</f>
        <v>233952</v>
      </c>
      <c r="Z17" s="30">
        <f>'CCaMC-AFOaMCpUC-pre-ret'!Z17</f>
        <v>233952</v>
      </c>
      <c r="AA17" s="30">
        <f>'CCaMC-AFOaMCpUC-pre-ret'!AA17</f>
        <v>233952</v>
      </c>
      <c r="AB17" s="30">
        <f>'CCaMC-AFOaMCpUC-pre-ret'!AB17</f>
        <v>233952</v>
      </c>
      <c r="AC17" s="30">
        <f>'CCaMC-AFOaMCpUC-pre-ret'!AC17</f>
        <v>233952</v>
      </c>
      <c r="AD17" s="30">
        <f>'CCaMC-AFOaMCpUC-pre-ret'!AD17</f>
        <v>233952</v>
      </c>
      <c r="AE17" s="30">
        <f>'CCaMC-AFOaMCpUC-pre-ret'!AE17</f>
        <v>233952</v>
      </c>
      <c r="AF17" s="30">
        <f>'CCaMC-AFOaMCpUC-pre-ret'!AF17</f>
        <v>233952</v>
      </c>
      <c r="AG17" s="30"/>
      <c r="AH17" s="30"/>
      <c r="AI17" s="30"/>
      <c r="AJ17" s="30"/>
      <c r="AK17" s="30"/>
      <c r="AL17" s="30"/>
      <c r="AM17" s="30"/>
      <c r="AN17" s="30"/>
      <c r="AO17" s="30"/>
      <c r="AP17" s="30"/>
      <c r="AQ17" s="30"/>
      <c r="AR17" s="30"/>
      <c r="AS17" s="30"/>
      <c r="AT17" s="30"/>
      <c r="AU17" s="30"/>
      <c r="AV17" s="30"/>
      <c r="AW17" s="30"/>
      <c r="AX17" s="30"/>
      <c r="AY17" s="30"/>
      <c r="AZ17" s="30"/>
    </row>
    <row r="18" spans="1:52" ht="14.25" customHeight="1">
      <c r="C18" s="5"/>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workbookViewId="0">
      <selection activeCell="B4" sqref="B4"/>
    </sheetView>
  </sheetViews>
  <sheetFormatPr baseColWidth="10" defaultColWidth="14.42578125" defaultRowHeight="15" customHeight="1"/>
  <cols>
    <col min="1" max="1" width="36.42578125" customWidth="1"/>
    <col min="2" max="32" width="7.28515625" customWidth="1"/>
  </cols>
  <sheetData>
    <row r="1" spans="1:52" s="25" customFormat="1" ht="14.25" customHeight="1">
      <c r="A1" s="22" t="s">
        <v>65</v>
      </c>
      <c r="B1" s="16">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5" t="s">
        <v>66</v>
      </c>
      <c r="B2" s="57">
        <f>Cal!B21</f>
        <v>33.111750000000001</v>
      </c>
      <c r="C2" s="57">
        <f>$B2</f>
        <v>33.111750000000001</v>
      </c>
      <c r="D2" s="57">
        <f t="shared" ref="D2:AZ7" si="0">$B2</f>
        <v>33.111750000000001</v>
      </c>
      <c r="E2" s="57">
        <f t="shared" si="0"/>
        <v>33.111750000000001</v>
      </c>
      <c r="F2" s="57">
        <f t="shared" si="0"/>
        <v>33.111750000000001</v>
      </c>
      <c r="G2" s="57">
        <f t="shared" si="0"/>
        <v>33.111750000000001</v>
      </c>
      <c r="H2" s="57">
        <f t="shared" si="0"/>
        <v>33.111750000000001</v>
      </c>
      <c r="I2" s="57">
        <f t="shared" si="0"/>
        <v>33.111750000000001</v>
      </c>
      <c r="J2" s="57">
        <f t="shared" si="0"/>
        <v>33.111750000000001</v>
      </c>
      <c r="K2" s="57">
        <f t="shared" si="0"/>
        <v>33.111750000000001</v>
      </c>
      <c r="L2" s="57">
        <f t="shared" si="0"/>
        <v>33.111750000000001</v>
      </c>
      <c r="M2" s="57">
        <f t="shared" si="0"/>
        <v>33.111750000000001</v>
      </c>
      <c r="N2" s="57">
        <f t="shared" si="0"/>
        <v>33.111750000000001</v>
      </c>
      <c r="O2" s="57">
        <f t="shared" si="0"/>
        <v>33.111750000000001</v>
      </c>
      <c r="P2" s="57">
        <f t="shared" si="0"/>
        <v>33.111750000000001</v>
      </c>
      <c r="Q2" s="57">
        <f t="shared" si="0"/>
        <v>33.111750000000001</v>
      </c>
      <c r="R2" s="57">
        <f t="shared" si="0"/>
        <v>33.111750000000001</v>
      </c>
      <c r="S2" s="57">
        <f t="shared" si="0"/>
        <v>33.111750000000001</v>
      </c>
      <c r="T2" s="57">
        <f t="shared" si="0"/>
        <v>33.111750000000001</v>
      </c>
      <c r="U2" s="57">
        <f t="shared" si="0"/>
        <v>33.111750000000001</v>
      </c>
      <c r="V2" s="57">
        <f t="shared" si="0"/>
        <v>33.111750000000001</v>
      </c>
      <c r="W2" s="57">
        <f t="shared" si="0"/>
        <v>33.111750000000001</v>
      </c>
      <c r="X2" s="57">
        <f t="shared" si="0"/>
        <v>33.111750000000001</v>
      </c>
      <c r="Y2" s="57">
        <f t="shared" si="0"/>
        <v>33.111750000000001</v>
      </c>
      <c r="Z2" s="57">
        <f t="shared" si="0"/>
        <v>33.111750000000001</v>
      </c>
      <c r="AA2" s="57">
        <f t="shared" si="0"/>
        <v>33.111750000000001</v>
      </c>
      <c r="AB2" s="57">
        <f t="shared" si="0"/>
        <v>33.111750000000001</v>
      </c>
      <c r="AC2" s="57">
        <f t="shared" si="0"/>
        <v>33.111750000000001</v>
      </c>
      <c r="AD2" s="57">
        <f t="shared" si="0"/>
        <v>33.111750000000001</v>
      </c>
      <c r="AE2" s="57">
        <f t="shared" si="0"/>
        <v>33.111750000000001</v>
      </c>
      <c r="AF2" s="57">
        <f t="shared" si="0"/>
        <v>33.111750000000001</v>
      </c>
      <c r="AG2" s="57"/>
      <c r="AH2" s="57"/>
      <c r="AI2" s="57"/>
      <c r="AJ2" s="57"/>
      <c r="AK2" s="57"/>
      <c r="AL2" s="57"/>
      <c r="AM2" s="57"/>
      <c r="AN2" s="57"/>
      <c r="AO2" s="57"/>
      <c r="AP2" s="57"/>
      <c r="AQ2" s="57"/>
      <c r="AR2" s="57"/>
      <c r="AS2" s="57"/>
      <c r="AT2" s="57"/>
      <c r="AU2" s="57"/>
      <c r="AV2" s="57"/>
      <c r="AW2" s="57"/>
      <c r="AX2" s="57"/>
      <c r="AY2" s="57"/>
      <c r="AZ2" s="57"/>
    </row>
    <row r="3" spans="1:52" ht="14.25" customHeight="1">
      <c r="A3" s="5" t="s">
        <v>49</v>
      </c>
      <c r="B3" s="57">
        <f>Cal!B22</f>
        <v>92.239874999999998</v>
      </c>
      <c r="C3" s="57">
        <f t="shared" ref="C3:R17" si="1">$B3</f>
        <v>92.239874999999998</v>
      </c>
      <c r="D3" s="57">
        <f t="shared" si="1"/>
        <v>92.239874999999998</v>
      </c>
      <c r="E3" s="57">
        <f t="shared" si="1"/>
        <v>92.239874999999998</v>
      </c>
      <c r="F3" s="57">
        <f t="shared" si="1"/>
        <v>92.239874999999998</v>
      </c>
      <c r="G3" s="57">
        <f t="shared" si="1"/>
        <v>92.239874999999998</v>
      </c>
      <c r="H3" s="57">
        <f t="shared" si="1"/>
        <v>92.239874999999998</v>
      </c>
      <c r="I3" s="57">
        <f t="shared" si="1"/>
        <v>92.239874999999998</v>
      </c>
      <c r="J3" s="57">
        <f t="shared" si="1"/>
        <v>92.239874999999998</v>
      </c>
      <c r="K3" s="57">
        <f t="shared" si="1"/>
        <v>92.239874999999998</v>
      </c>
      <c r="L3" s="57">
        <f t="shared" si="1"/>
        <v>92.239874999999998</v>
      </c>
      <c r="M3" s="57">
        <f t="shared" si="1"/>
        <v>92.239874999999998</v>
      </c>
      <c r="N3" s="57">
        <f t="shared" si="1"/>
        <v>92.239874999999998</v>
      </c>
      <c r="O3" s="57">
        <f t="shared" si="1"/>
        <v>92.239874999999998</v>
      </c>
      <c r="P3" s="57">
        <f t="shared" si="1"/>
        <v>92.239874999999998</v>
      </c>
      <c r="Q3" s="57">
        <f t="shared" si="1"/>
        <v>92.239874999999998</v>
      </c>
      <c r="R3" s="57">
        <f t="shared" si="1"/>
        <v>92.239874999999998</v>
      </c>
      <c r="S3" s="57">
        <f t="shared" si="0"/>
        <v>92.239874999999998</v>
      </c>
      <c r="T3" s="57">
        <f t="shared" si="0"/>
        <v>92.239874999999998</v>
      </c>
      <c r="U3" s="57">
        <f t="shared" si="0"/>
        <v>92.239874999999998</v>
      </c>
      <c r="V3" s="57">
        <f t="shared" si="0"/>
        <v>92.239874999999998</v>
      </c>
      <c r="W3" s="57">
        <f t="shared" si="0"/>
        <v>92.239874999999998</v>
      </c>
      <c r="X3" s="57">
        <f t="shared" si="0"/>
        <v>92.239874999999998</v>
      </c>
      <c r="Y3" s="57">
        <f t="shared" si="0"/>
        <v>92.239874999999998</v>
      </c>
      <c r="Z3" s="57">
        <f t="shared" si="0"/>
        <v>92.239874999999998</v>
      </c>
      <c r="AA3" s="57">
        <f t="shared" si="0"/>
        <v>92.239874999999998</v>
      </c>
      <c r="AB3" s="57">
        <f t="shared" si="0"/>
        <v>92.239874999999998</v>
      </c>
      <c r="AC3" s="57">
        <f t="shared" si="0"/>
        <v>92.239874999999998</v>
      </c>
      <c r="AD3" s="57">
        <f t="shared" si="0"/>
        <v>92.239874999999998</v>
      </c>
      <c r="AE3" s="57">
        <f t="shared" si="0"/>
        <v>92.239874999999998</v>
      </c>
      <c r="AF3" s="57">
        <f t="shared" si="0"/>
        <v>92.239874999999998</v>
      </c>
      <c r="AG3" s="57"/>
      <c r="AH3" s="57"/>
      <c r="AI3" s="57"/>
      <c r="AJ3" s="57"/>
      <c r="AK3" s="57"/>
      <c r="AL3" s="57"/>
      <c r="AM3" s="57"/>
      <c r="AN3" s="57"/>
      <c r="AO3" s="57"/>
      <c r="AP3" s="57"/>
      <c r="AQ3" s="57"/>
      <c r="AR3" s="57"/>
      <c r="AS3" s="57"/>
      <c r="AT3" s="57"/>
      <c r="AU3" s="57"/>
      <c r="AV3" s="57"/>
      <c r="AW3" s="57"/>
      <c r="AX3" s="57"/>
      <c r="AY3" s="57"/>
      <c r="AZ3" s="57"/>
    </row>
    <row r="4" spans="1:52" ht="14.25" customHeight="1">
      <c r="A4" s="5" t="s">
        <v>37</v>
      </c>
      <c r="B4" s="57">
        <f>Cal!B23</f>
        <v>6.3069999999999995</v>
      </c>
      <c r="C4" s="57">
        <f t="shared" si="1"/>
        <v>6.3069999999999995</v>
      </c>
      <c r="D4" s="57">
        <f t="shared" si="0"/>
        <v>6.3069999999999995</v>
      </c>
      <c r="E4" s="57">
        <f t="shared" si="0"/>
        <v>6.3069999999999995</v>
      </c>
      <c r="F4" s="57">
        <f t="shared" si="0"/>
        <v>6.3069999999999995</v>
      </c>
      <c r="G4" s="57">
        <f t="shared" si="0"/>
        <v>6.3069999999999995</v>
      </c>
      <c r="H4" s="57">
        <f t="shared" si="0"/>
        <v>6.3069999999999995</v>
      </c>
      <c r="I4" s="57">
        <f t="shared" si="0"/>
        <v>6.3069999999999995</v>
      </c>
      <c r="J4" s="57">
        <f t="shared" si="0"/>
        <v>6.3069999999999995</v>
      </c>
      <c r="K4" s="57">
        <f t="shared" si="0"/>
        <v>6.3069999999999995</v>
      </c>
      <c r="L4" s="57">
        <f t="shared" si="0"/>
        <v>6.3069999999999995</v>
      </c>
      <c r="M4" s="57">
        <f t="shared" si="0"/>
        <v>6.3069999999999995</v>
      </c>
      <c r="N4" s="57">
        <f t="shared" si="0"/>
        <v>6.3069999999999995</v>
      </c>
      <c r="O4" s="57">
        <f t="shared" si="0"/>
        <v>6.3069999999999995</v>
      </c>
      <c r="P4" s="57">
        <f t="shared" si="0"/>
        <v>6.3069999999999995</v>
      </c>
      <c r="Q4" s="57">
        <f t="shared" si="0"/>
        <v>6.3069999999999995</v>
      </c>
      <c r="R4" s="57">
        <f t="shared" si="0"/>
        <v>6.3069999999999995</v>
      </c>
      <c r="S4" s="57">
        <f t="shared" si="0"/>
        <v>6.3069999999999995</v>
      </c>
      <c r="T4" s="57">
        <f t="shared" si="0"/>
        <v>6.3069999999999995</v>
      </c>
      <c r="U4" s="57">
        <f t="shared" si="0"/>
        <v>6.3069999999999995</v>
      </c>
      <c r="V4" s="57">
        <f t="shared" si="0"/>
        <v>6.3069999999999995</v>
      </c>
      <c r="W4" s="57">
        <f t="shared" si="0"/>
        <v>6.3069999999999995</v>
      </c>
      <c r="X4" s="57">
        <f t="shared" si="0"/>
        <v>6.3069999999999995</v>
      </c>
      <c r="Y4" s="57">
        <f t="shared" si="0"/>
        <v>6.3069999999999995</v>
      </c>
      <c r="Z4" s="57">
        <f t="shared" si="0"/>
        <v>6.3069999999999995</v>
      </c>
      <c r="AA4" s="57">
        <f t="shared" si="0"/>
        <v>6.3069999999999995</v>
      </c>
      <c r="AB4" s="57">
        <f t="shared" si="0"/>
        <v>6.3069999999999995</v>
      </c>
      <c r="AC4" s="57">
        <f t="shared" si="0"/>
        <v>6.3069999999999995</v>
      </c>
      <c r="AD4" s="57">
        <f t="shared" si="0"/>
        <v>6.3069999999999995</v>
      </c>
      <c r="AE4" s="57">
        <f t="shared" si="0"/>
        <v>6.3069999999999995</v>
      </c>
      <c r="AF4" s="57">
        <f t="shared" si="0"/>
        <v>6.3069999999999995</v>
      </c>
      <c r="AG4" s="57"/>
      <c r="AH4" s="57"/>
      <c r="AI4" s="57"/>
      <c r="AJ4" s="57"/>
      <c r="AK4" s="57"/>
      <c r="AL4" s="57"/>
      <c r="AM4" s="57"/>
      <c r="AN4" s="57"/>
      <c r="AO4" s="57"/>
      <c r="AP4" s="57"/>
      <c r="AQ4" s="57"/>
      <c r="AR4" s="57"/>
      <c r="AS4" s="57"/>
      <c r="AT4" s="57"/>
      <c r="AU4" s="57"/>
      <c r="AV4" s="57"/>
      <c r="AW4" s="57"/>
      <c r="AX4" s="57"/>
      <c r="AY4" s="57"/>
      <c r="AZ4" s="57"/>
    </row>
    <row r="5" spans="1:52" ht="14.25" customHeight="1">
      <c r="A5" s="5" t="s">
        <v>50</v>
      </c>
      <c r="B5" s="57">
        <f>Cal!B24</f>
        <v>0.53</v>
      </c>
      <c r="C5" s="57">
        <f t="shared" si="1"/>
        <v>0.53</v>
      </c>
      <c r="D5" s="57">
        <f t="shared" si="0"/>
        <v>0.53</v>
      </c>
      <c r="E5" s="57">
        <f t="shared" si="0"/>
        <v>0.53</v>
      </c>
      <c r="F5" s="57">
        <f t="shared" si="0"/>
        <v>0.53</v>
      </c>
      <c r="G5" s="57">
        <f t="shared" si="0"/>
        <v>0.53</v>
      </c>
      <c r="H5" s="57">
        <f t="shared" si="0"/>
        <v>0.53</v>
      </c>
      <c r="I5" s="57">
        <f t="shared" si="0"/>
        <v>0.53</v>
      </c>
      <c r="J5" s="57">
        <f t="shared" si="0"/>
        <v>0.53</v>
      </c>
      <c r="K5" s="57">
        <f t="shared" si="0"/>
        <v>0.53</v>
      </c>
      <c r="L5" s="57">
        <f t="shared" si="0"/>
        <v>0.53</v>
      </c>
      <c r="M5" s="57">
        <f t="shared" si="0"/>
        <v>0.53</v>
      </c>
      <c r="N5" s="57">
        <f t="shared" si="0"/>
        <v>0.53</v>
      </c>
      <c r="O5" s="57">
        <f t="shared" si="0"/>
        <v>0.53</v>
      </c>
      <c r="P5" s="57">
        <f t="shared" si="0"/>
        <v>0.53</v>
      </c>
      <c r="Q5" s="57">
        <f t="shared" si="0"/>
        <v>0.53</v>
      </c>
      <c r="R5" s="57">
        <f t="shared" si="0"/>
        <v>0.53</v>
      </c>
      <c r="S5" s="57">
        <f t="shared" si="0"/>
        <v>0.53</v>
      </c>
      <c r="T5" s="57">
        <f t="shared" si="0"/>
        <v>0.53</v>
      </c>
      <c r="U5" s="57">
        <f t="shared" si="0"/>
        <v>0.53</v>
      </c>
      <c r="V5" s="57">
        <f t="shared" si="0"/>
        <v>0.53</v>
      </c>
      <c r="W5" s="57">
        <f t="shared" si="0"/>
        <v>0.53</v>
      </c>
      <c r="X5" s="57">
        <f t="shared" si="0"/>
        <v>0.53</v>
      </c>
      <c r="Y5" s="57">
        <f t="shared" si="0"/>
        <v>0.53</v>
      </c>
      <c r="Z5" s="57">
        <f t="shared" si="0"/>
        <v>0.53</v>
      </c>
      <c r="AA5" s="57">
        <f t="shared" si="0"/>
        <v>0.53</v>
      </c>
      <c r="AB5" s="57">
        <f t="shared" si="0"/>
        <v>0.53</v>
      </c>
      <c r="AC5" s="57">
        <f t="shared" si="0"/>
        <v>0.53</v>
      </c>
      <c r="AD5" s="57">
        <f t="shared" si="0"/>
        <v>0.53</v>
      </c>
      <c r="AE5" s="57">
        <f t="shared" si="0"/>
        <v>0.53</v>
      </c>
      <c r="AF5" s="57">
        <f t="shared" si="0"/>
        <v>0.53</v>
      </c>
      <c r="AG5" s="57"/>
      <c r="AH5" s="57"/>
      <c r="AI5" s="57"/>
      <c r="AJ5" s="57"/>
      <c r="AK5" s="57"/>
      <c r="AL5" s="57"/>
      <c r="AM5" s="57"/>
      <c r="AN5" s="57"/>
      <c r="AO5" s="57"/>
      <c r="AP5" s="57"/>
      <c r="AQ5" s="57"/>
      <c r="AR5" s="57"/>
      <c r="AS5" s="57"/>
      <c r="AT5" s="57"/>
      <c r="AU5" s="57"/>
      <c r="AV5" s="57"/>
      <c r="AW5" s="57"/>
      <c r="AX5" s="57"/>
      <c r="AY5" s="57"/>
      <c r="AZ5" s="57"/>
    </row>
    <row r="6" spans="1:52" ht="14.25" customHeight="1">
      <c r="A6" s="5" t="s">
        <v>51</v>
      </c>
      <c r="B6" s="57">
        <f>Cal!B25</f>
        <v>40.326000000000001</v>
      </c>
      <c r="C6" s="57">
        <f t="shared" si="1"/>
        <v>40.326000000000001</v>
      </c>
      <c r="D6" s="57">
        <f t="shared" si="0"/>
        <v>40.326000000000001</v>
      </c>
      <c r="E6" s="57">
        <f t="shared" si="0"/>
        <v>40.326000000000001</v>
      </c>
      <c r="F6" s="57">
        <f t="shared" si="0"/>
        <v>40.326000000000001</v>
      </c>
      <c r="G6" s="57">
        <f t="shared" si="0"/>
        <v>40.326000000000001</v>
      </c>
      <c r="H6" s="57">
        <f t="shared" si="0"/>
        <v>40.326000000000001</v>
      </c>
      <c r="I6" s="57">
        <f t="shared" si="0"/>
        <v>40.326000000000001</v>
      </c>
      <c r="J6" s="57">
        <f t="shared" si="0"/>
        <v>40.326000000000001</v>
      </c>
      <c r="K6" s="57">
        <f t="shared" si="0"/>
        <v>40.326000000000001</v>
      </c>
      <c r="L6" s="57">
        <f t="shared" si="0"/>
        <v>40.326000000000001</v>
      </c>
      <c r="M6" s="57">
        <f t="shared" si="0"/>
        <v>40.326000000000001</v>
      </c>
      <c r="N6" s="57">
        <f t="shared" si="0"/>
        <v>40.326000000000001</v>
      </c>
      <c r="O6" s="57">
        <f t="shared" si="0"/>
        <v>40.326000000000001</v>
      </c>
      <c r="P6" s="57">
        <f t="shared" si="0"/>
        <v>40.326000000000001</v>
      </c>
      <c r="Q6" s="57">
        <f t="shared" si="0"/>
        <v>40.326000000000001</v>
      </c>
      <c r="R6" s="57">
        <f t="shared" si="0"/>
        <v>40.326000000000001</v>
      </c>
      <c r="S6" s="57">
        <f t="shared" si="0"/>
        <v>40.326000000000001</v>
      </c>
      <c r="T6" s="57">
        <f t="shared" si="0"/>
        <v>40.326000000000001</v>
      </c>
      <c r="U6" s="57">
        <f t="shared" si="0"/>
        <v>40.326000000000001</v>
      </c>
      <c r="V6" s="57">
        <f t="shared" si="0"/>
        <v>40.326000000000001</v>
      </c>
      <c r="W6" s="57">
        <f t="shared" si="0"/>
        <v>40.326000000000001</v>
      </c>
      <c r="X6" s="57">
        <f t="shared" si="0"/>
        <v>40.326000000000001</v>
      </c>
      <c r="Y6" s="57">
        <f t="shared" si="0"/>
        <v>40.326000000000001</v>
      </c>
      <c r="Z6" s="57">
        <f t="shared" si="0"/>
        <v>40.326000000000001</v>
      </c>
      <c r="AA6" s="57">
        <f t="shared" si="0"/>
        <v>40.326000000000001</v>
      </c>
      <c r="AB6" s="57">
        <f t="shared" si="0"/>
        <v>40.326000000000001</v>
      </c>
      <c r="AC6" s="57">
        <f t="shared" si="0"/>
        <v>40.326000000000001</v>
      </c>
      <c r="AD6" s="57">
        <f t="shared" si="0"/>
        <v>40.326000000000001</v>
      </c>
      <c r="AE6" s="57">
        <f t="shared" si="0"/>
        <v>40.326000000000001</v>
      </c>
      <c r="AF6" s="57">
        <f t="shared" si="0"/>
        <v>40.326000000000001</v>
      </c>
      <c r="AG6" s="57"/>
      <c r="AH6" s="57"/>
      <c r="AI6" s="57"/>
      <c r="AJ6" s="57"/>
      <c r="AK6" s="57"/>
      <c r="AL6" s="57"/>
      <c r="AM6" s="57"/>
      <c r="AN6" s="57"/>
      <c r="AO6" s="57"/>
      <c r="AP6" s="57"/>
      <c r="AQ6" s="57"/>
      <c r="AR6" s="57"/>
      <c r="AS6" s="57"/>
      <c r="AT6" s="57"/>
      <c r="AU6" s="57"/>
      <c r="AV6" s="57"/>
      <c r="AW6" s="57"/>
      <c r="AX6" s="57"/>
      <c r="AY6" s="57"/>
      <c r="AZ6" s="57"/>
    </row>
    <row r="7" spans="1:52" ht="14.25" customHeight="1">
      <c r="A7" s="5" t="s">
        <v>52</v>
      </c>
      <c r="B7" s="57">
        <f>Cal!B26</f>
        <v>42.51</v>
      </c>
      <c r="C7" s="57">
        <f t="shared" si="1"/>
        <v>42.51</v>
      </c>
      <c r="D7" s="57">
        <f t="shared" si="0"/>
        <v>42.51</v>
      </c>
      <c r="E7" s="57">
        <f t="shared" si="0"/>
        <v>42.51</v>
      </c>
      <c r="F7" s="57">
        <f t="shared" si="0"/>
        <v>42.51</v>
      </c>
      <c r="G7" s="57">
        <f t="shared" si="0"/>
        <v>42.51</v>
      </c>
      <c r="H7" s="57">
        <f t="shared" si="0"/>
        <v>42.51</v>
      </c>
      <c r="I7" s="57">
        <f t="shared" si="0"/>
        <v>42.51</v>
      </c>
      <c r="J7" s="57">
        <f t="shared" si="0"/>
        <v>42.51</v>
      </c>
      <c r="K7" s="57">
        <f t="shared" si="0"/>
        <v>42.51</v>
      </c>
      <c r="L7" s="57">
        <f t="shared" si="0"/>
        <v>42.51</v>
      </c>
      <c r="M7" s="57">
        <f t="shared" si="0"/>
        <v>42.51</v>
      </c>
      <c r="N7" s="57">
        <f t="shared" si="0"/>
        <v>42.51</v>
      </c>
      <c r="O7" s="57">
        <f t="shared" si="0"/>
        <v>42.51</v>
      </c>
      <c r="P7" s="57">
        <f t="shared" si="0"/>
        <v>42.51</v>
      </c>
      <c r="Q7" s="57">
        <f t="shared" si="0"/>
        <v>42.51</v>
      </c>
      <c r="R7" s="57">
        <f t="shared" si="0"/>
        <v>42.51</v>
      </c>
      <c r="S7" s="57">
        <f t="shared" si="0"/>
        <v>42.51</v>
      </c>
      <c r="T7" s="57">
        <f t="shared" si="0"/>
        <v>42.51</v>
      </c>
      <c r="U7" s="57">
        <f t="shared" si="0"/>
        <v>42.51</v>
      </c>
      <c r="V7" s="57">
        <f t="shared" si="0"/>
        <v>42.51</v>
      </c>
      <c r="W7" s="57">
        <f t="shared" si="0"/>
        <v>42.51</v>
      </c>
      <c r="X7" s="57">
        <f t="shared" si="0"/>
        <v>42.51</v>
      </c>
      <c r="Y7" s="57">
        <f t="shared" si="0"/>
        <v>42.51</v>
      </c>
      <c r="Z7" s="57">
        <f t="shared" si="0"/>
        <v>42.51</v>
      </c>
      <c r="AA7" s="57">
        <f t="shared" si="0"/>
        <v>42.51</v>
      </c>
      <c r="AB7" s="57">
        <f t="shared" si="0"/>
        <v>42.51</v>
      </c>
      <c r="AC7" s="57">
        <f t="shared" ref="D7:AZ12" si="2">$B7</f>
        <v>42.51</v>
      </c>
      <c r="AD7" s="57">
        <f t="shared" si="2"/>
        <v>42.51</v>
      </c>
      <c r="AE7" s="57">
        <f t="shared" si="2"/>
        <v>42.51</v>
      </c>
      <c r="AF7" s="57">
        <f t="shared" si="2"/>
        <v>42.51</v>
      </c>
      <c r="AG7" s="57"/>
      <c r="AH7" s="57"/>
      <c r="AI7" s="57"/>
      <c r="AJ7" s="57"/>
      <c r="AK7" s="57"/>
      <c r="AL7" s="57"/>
      <c r="AM7" s="57"/>
      <c r="AN7" s="57"/>
      <c r="AO7" s="57"/>
      <c r="AP7" s="57"/>
      <c r="AQ7" s="57"/>
      <c r="AR7" s="57"/>
      <c r="AS7" s="57"/>
      <c r="AT7" s="57"/>
      <c r="AU7" s="57"/>
      <c r="AV7" s="57"/>
      <c r="AW7" s="57"/>
      <c r="AX7" s="57"/>
      <c r="AY7" s="57"/>
      <c r="AZ7" s="57"/>
    </row>
    <row r="8" spans="1:52" ht="14.25" customHeight="1">
      <c r="A8" s="5" t="s">
        <v>63</v>
      </c>
      <c r="B8" s="57">
        <f>Cal!B27</f>
        <v>42.51</v>
      </c>
      <c r="C8" s="57">
        <f t="shared" si="1"/>
        <v>42.51</v>
      </c>
      <c r="D8" s="57">
        <f t="shared" si="2"/>
        <v>42.51</v>
      </c>
      <c r="E8" s="57">
        <f t="shared" si="2"/>
        <v>42.51</v>
      </c>
      <c r="F8" s="57">
        <f t="shared" si="2"/>
        <v>42.51</v>
      </c>
      <c r="G8" s="57">
        <f t="shared" si="2"/>
        <v>42.51</v>
      </c>
      <c r="H8" s="57">
        <f t="shared" si="2"/>
        <v>42.51</v>
      </c>
      <c r="I8" s="57">
        <f t="shared" si="2"/>
        <v>42.51</v>
      </c>
      <c r="J8" s="57">
        <f t="shared" si="2"/>
        <v>42.51</v>
      </c>
      <c r="K8" s="57">
        <f t="shared" si="2"/>
        <v>42.51</v>
      </c>
      <c r="L8" s="57">
        <f t="shared" si="2"/>
        <v>42.51</v>
      </c>
      <c r="M8" s="57">
        <f t="shared" si="2"/>
        <v>42.51</v>
      </c>
      <c r="N8" s="57">
        <f t="shared" si="2"/>
        <v>42.51</v>
      </c>
      <c r="O8" s="57">
        <f t="shared" si="2"/>
        <v>42.51</v>
      </c>
      <c r="P8" s="57">
        <f t="shared" si="2"/>
        <v>42.51</v>
      </c>
      <c r="Q8" s="57">
        <f t="shared" si="2"/>
        <v>42.51</v>
      </c>
      <c r="R8" s="57">
        <f t="shared" si="2"/>
        <v>42.51</v>
      </c>
      <c r="S8" s="57">
        <f t="shared" si="2"/>
        <v>42.51</v>
      </c>
      <c r="T8" s="57">
        <f t="shared" si="2"/>
        <v>42.51</v>
      </c>
      <c r="U8" s="57">
        <f t="shared" si="2"/>
        <v>42.51</v>
      </c>
      <c r="V8" s="57">
        <f t="shared" si="2"/>
        <v>42.51</v>
      </c>
      <c r="W8" s="57">
        <f t="shared" si="2"/>
        <v>42.51</v>
      </c>
      <c r="X8" s="57">
        <f t="shared" si="2"/>
        <v>42.51</v>
      </c>
      <c r="Y8" s="57">
        <f t="shared" si="2"/>
        <v>42.51</v>
      </c>
      <c r="Z8" s="57">
        <f t="shared" si="2"/>
        <v>42.51</v>
      </c>
      <c r="AA8" s="57">
        <f t="shared" si="2"/>
        <v>42.51</v>
      </c>
      <c r="AB8" s="57">
        <f t="shared" si="2"/>
        <v>42.51</v>
      </c>
      <c r="AC8" s="57">
        <f t="shared" si="2"/>
        <v>42.51</v>
      </c>
      <c r="AD8" s="57">
        <f t="shared" si="2"/>
        <v>42.51</v>
      </c>
      <c r="AE8" s="57">
        <f t="shared" si="2"/>
        <v>42.51</v>
      </c>
      <c r="AF8" s="57">
        <f t="shared" si="2"/>
        <v>42.51</v>
      </c>
      <c r="AG8" s="57"/>
      <c r="AH8" s="57"/>
      <c r="AI8" s="57"/>
      <c r="AJ8" s="57"/>
      <c r="AK8" s="57"/>
      <c r="AL8" s="57"/>
      <c r="AM8" s="57"/>
      <c r="AN8" s="57"/>
      <c r="AO8" s="57"/>
      <c r="AP8" s="57"/>
      <c r="AQ8" s="57"/>
      <c r="AR8" s="57"/>
      <c r="AS8" s="57"/>
      <c r="AT8" s="57"/>
      <c r="AU8" s="57"/>
      <c r="AV8" s="57"/>
      <c r="AW8" s="57"/>
      <c r="AX8" s="57"/>
      <c r="AY8" s="57"/>
      <c r="AZ8" s="57"/>
    </row>
    <row r="9" spans="1:52" ht="14.25" customHeight="1">
      <c r="A9" s="5" t="s">
        <v>53</v>
      </c>
      <c r="B9" s="57">
        <f>Cal!B28</f>
        <v>2.88</v>
      </c>
      <c r="C9" s="57">
        <f t="shared" si="1"/>
        <v>2.88</v>
      </c>
      <c r="D9" s="57">
        <f t="shared" si="2"/>
        <v>2.88</v>
      </c>
      <c r="E9" s="57">
        <f t="shared" si="2"/>
        <v>2.88</v>
      </c>
      <c r="F9" s="57">
        <f t="shared" si="2"/>
        <v>2.88</v>
      </c>
      <c r="G9" s="57">
        <f t="shared" si="2"/>
        <v>2.88</v>
      </c>
      <c r="H9" s="57">
        <f t="shared" si="2"/>
        <v>2.88</v>
      </c>
      <c r="I9" s="57">
        <f t="shared" si="2"/>
        <v>2.88</v>
      </c>
      <c r="J9" s="57">
        <f t="shared" si="2"/>
        <v>2.88</v>
      </c>
      <c r="K9" s="57">
        <f t="shared" si="2"/>
        <v>2.88</v>
      </c>
      <c r="L9" s="57">
        <f t="shared" si="2"/>
        <v>2.88</v>
      </c>
      <c r="M9" s="57">
        <f t="shared" si="2"/>
        <v>2.88</v>
      </c>
      <c r="N9" s="57">
        <f t="shared" si="2"/>
        <v>2.88</v>
      </c>
      <c r="O9" s="57">
        <f t="shared" si="2"/>
        <v>2.88</v>
      </c>
      <c r="P9" s="57">
        <f t="shared" si="2"/>
        <v>2.88</v>
      </c>
      <c r="Q9" s="57">
        <f t="shared" si="2"/>
        <v>2.88</v>
      </c>
      <c r="R9" s="57">
        <f t="shared" si="2"/>
        <v>2.88</v>
      </c>
      <c r="S9" s="57">
        <f t="shared" si="2"/>
        <v>2.88</v>
      </c>
      <c r="T9" s="57">
        <f t="shared" si="2"/>
        <v>2.88</v>
      </c>
      <c r="U9" s="57">
        <f t="shared" si="2"/>
        <v>2.88</v>
      </c>
      <c r="V9" s="57">
        <f t="shared" si="2"/>
        <v>2.88</v>
      </c>
      <c r="W9" s="57">
        <f t="shared" si="2"/>
        <v>2.88</v>
      </c>
      <c r="X9" s="57">
        <f t="shared" si="2"/>
        <v>2.88</v>
      </c>
      <c r="Y9" s="57">
        <f t="shared" si="2"/>
        <v>2.88</v>
      </c>
      <c r="Z9" s="57">
        <f t="shared" si="2"/>
        <v>2.88</v>
      </c>
      <c r="AA9" s="57">
        <f t="shared" si="2"/>
        <v>2.88</v>
      </c>
      <c r="AB9" s="57">
        <f t="shared" si="2"/>
        <v>2.88</v>
      </c>
      <c r="AC9" s="57">
        <f t="shared" si="2"/>
        <v>2.88</v>
      </c>
      <c r="AD9" s="57">
        <f t="shared" si="2"/>
        <v>2.88</v>
      </c>
      <c r="AE9" s="57">
        <f t="shared" si="2"/>
        <v>2.88</v>
      </c>
      <c r="AF9" s="57">
        <f t="shared" si="2"/>
        <v>2.88</v>
      </c>
      <c r="AG9" s="57"/>
      <c r="AH9" s="57"/>
      <c r="AI9" s="57"/>
      <c r="AJ9" s="57"/>
      <c r="AK9" s="57"/>
      <c r="AL9" s="57"/>
      <c r="AM9" s="57"/>
      <c r="AN9" s="57"/>
      <c r="AO9" s="57"/>
      <c r="AP9" s="57"/>
      <c r="AQ9" s="57"/>
      <c r="AR9" s="57"/>
      <c r="AS9" s="57"/>
      <c r="AT9" s="57"/>
      <c r="AU9" s="57"/>
      <c r="AV9" s="57"/>
      <c r="AW9" s="57"/>
      <c r="AX9" s="57"/>
      <c r="AY9" s="57"/>
      <c r="AZ9" s="57"/>
    </row>
    <row r="10" spans="1:52" ht="14.25" customHeight="1">
      <c r="A10" s="5" t="s">
        <v>54</v>
      </c>
      <c r="B10" s="57">
        <f>Cal!B29</f>
        <v>0.21</v>
      </c>
      <c r="C10" s="57">
        <f t="shared" si="1"/>
        <v>0.21</v>
      </c>
      <c r="D10" s="57">
        <f t="shared" si="2"/>
        <v>0.21</v>
      </c>
      <c r="E10" s="57">
        <f t="shared" si="2"/>
        <v>0.21</v>
      </c>
      <c r="F10" s="57">
        <f t="shared" si="2"/>
        <v>0.21</v>
      </c>
      <c r="G10" s="57">
        <f t="shared" si="2"/>
        <v>0.21</v>
      </c>
      <c r="H10" s="57">
        <f t="shared" si="2"/>
        <v>0.21</v>
      </c>
      <c r="I10" s="57">
        <f t="shared" si="2"/>
        <v>0.21</v>
      </c>
      <c r="J10" s="57">
        <f t="shared" si="2"/>
        <v>0.21</v>
      </c>
      <c r="K10" s="57">
        <f t="shared" si="2"/>
        <v>0.21</v>
      </c>
      <c r="L10" s="57">
        <f t="shared" si="2"/>
        <v>0.21</v>
      </c>
      <c r="M10" s="57">
        <f t="shared" si="2"/>
        <v>0.21</v>
      </c>
      <c r="N10" s="57">
        <f t="shared" si="2"/>
        <v>0.21</v>
      </c>
      <c r="O10" s="57">
        <f t="shared" si="2"/>
        <v>0.21</v>
      </c>
      <c r="P10" s="57">
        <f t="shared" si="2"/>
        <v>0.21</v>
      </c>
      <c r="Q10" s="57">
        <f t="shared" si="2"/>
        <v>0.21</v>
      </c>
      <c r="R10" s="57">
        <f t="shared" si="2"/>
        <v>0.21</v>
      </c>
      <c r="S10" s="57">
        <f t="shared" si="2"/>
        <v>0.21</v>
      </c>
      <c r="T10" s="57">
        <f t="shared" si="2"/>
        <v>0.21</v>
      </c>
      <c r="U10" s="57">
        <f t="shared" si="2"/>
        <v>0.21</v>
      </c>
      <c r="V10" s="57">
        <f t="shared" si="2"/>
        <v>0.21</v>
      </c>
      <c r="W10" s="57">
        <f t="shared" si="2"/>
        <v>0.21</v>
      </c>
      <c r="X10" s="57">
        <f t="shared" si="2"/>
        <v>0.21</v>
      </c>
      <c r="Y10" s="57">
        <f t="shared" si="2"/>
        <v>0.21</v>
      </c>
      <c r="Z10" s="57">
        <f t="shared" si="2"/>
        <v>0.21</v>
      </c>
      <c r="AA10" s="57">
        <f t="shared" si="2"/>
        <v>0.21</v>
      </c>
      <c r="AB10" s="57">
        <f t="shared" si="2"/>
        <v>0.21</v>
      </c>
      <c r="AC10" s="57">
        <f t="shared" si="2"/>
        <v>0.21</v>
      </c>
      <c r="AD10" s="57">
        <f t="shared" si="2"/>
        <v>0.21</v>
      </c>
      <c r="AE10" s="57">
        <f t="shared" si="2"/>
        <v>0.21</v>
      </c>
      <c r="AF10" s="57">
        <f t="shared" si="2"/>
        <v>0.21</v>
      </c>
      <c r="AG10" s="57"/>
      <c r="AH10" s="57"/>
      <c r="AI10" s="57"/>
      <c r="AJ10" s="57"/>
      <c r="AK10" s="57"/>
      <c r="AL10" s="57"/>
      <c r="AM10" s="57"/>
      <c r="AN10" s="57"/>
      <c r="AO10" s="57"/>
      <c r="AP10" s="57"/>
      <c r="AQ10" s="57"/>
      <c r="AR10" s="57"/>
      <c r="AS10" s="57"/>
      <c r="AT10" s="57"/>
      <c r="AU10" s="57"/>
      <c r="AV10" s="57"/>
      <c r="AW10" s="57"/>
      <c r="AX10" s="57"/>
      <c r="AY10" s="57"/>
      <c r="AZ10" s="57"/>
    </row>
    <row r="11" spans="1:52" ht="14.25" customHeight="1">
      <c r="A11" s="5" t="s">
        <v>55</v>
      </c>
      <c r="B11" s="57">
        <f>Cal!B30</f>
        <v>6.14</v>
      </c>
      <c r="C11" s="57">
        <f t="shared" si="1"/>
        <v>6.14</v>
      </c>
      <c r="D11" s="57">
        <f t="shared" si="2"/>
        <v>6.14</v>
      </c>
      <c r="E11" s="57">
        <f t="shared" si="2"/>
        <v>6.14</v>
      </c>
      <c r="F11" s="57">
        <f t="shared" si="2"/>
        <v>6.14</v>
      </c>
      <c r="G11" s="57">
        <f t="shared" si="2"/>
        <v>6.14</v>
      </c>
      <c r="H11" s="57">
        <f t="shared" si="2"/>
        <v>6.14</v>
      </c>
      <c r="I11" s="57">
        <f t="shared" si="2"/>
        <v>6.14</v>
      </c>
      <c r="J11" s="57">
        <f t="shared" si="2"/>
        <v>6.14</v>
      </c>
      <c r="K11" s="57">
        <f t="shared" si="2"/>
        <v>6.14</v>
      </c>
      <c r="L11" s="57">
        <f t="shared" si="2"/>
        <v>6.14</v>
      </c>
      <c r="M11" s="57">
        <f t="shared" si="2"/>
        <v>6.14</v>
      </c>
      <c r="N11" s="57">
        <f t="shared" si="2"/>
        <v>6.14</v>
      </c>
      <c r="O11" s="57">
        <f t="shared" si="2"/>
        <v>6.14</v>
      </c>
      <c r="P11" s="57">
        <f t="shared" si="2"/>
        <v>6.14</v>
      </c>
      <c r="Q11" s="57">
        <f t="shared" si="2"/>
        <v>6.14</v>
      </c>
      <c r="R11" s="57">
        <f t="shared" si="2"/>
        <v>6.14</v>
      </c>
      <c r="S11" s="57">
        <f t="shared" si="2"/>
        <v>6.14</v>
      </c>
      <c r="T11" s="57">
        <f t="shared" si="2"/>
        <v>6.14</v>
      </c>
      <c r="U11" s="57">
        <f t="shared" si="2"/>
        <v>6.14</v>
      </c>
      <c r="V11" s="57">
        <f t="shared" si="2"/>
        <v>6.14</v>
      </c>
      <c r="W11" s="57">
        <f t="shared" si="2"/>
        <v>6.14</v>
      </c>
      <c r="X11" s="57">
        <f t="shared" si="2"/>
        <v>6.14</v>
      </c>
      <c r="Y11" s="57">
        <f t="shared" si="2"/>
        <v>6.14</v>
      </c>
      <c r="Z11" s="57">
        <f t="shared" si="2"/>
        <v>6.14</v>
      </c>
      <c r="AA11" s="57">
        <f t="shared" si="2"/>
        <v>6.14</v>
      </c>
      <c r="AB11" s="57">
        <f t="shared" si="2"/>
        <v>6.14</v>
      </c>
      <c r="AC11" s="57">
        <f t="shared" si="2"/>
        <v>6.14</v>
      </c>
      <c r="AD11" s="57">
        <f t="shared" si="2"/>
        <v>6.14</v>
      </c>
      <c r="AE11" s="57">
        <f t="shared" si="2"/>
        <v>6.14</v>
      </c>
      <c r="AF11" s="57">
        <f t="shared" si="2"/>
        <v>6.14</v>
      </c>
      <c r="AG11" s="57"/>
      <c r="AH11" s="57"/>
      <c r="AI11" s="57"/>
      <c r="AJ11" s="57"/>
      <c r="AK11" s="57"/>
      <c r="AL11" s="57"/>
      <c r="AM11" s="57"/>
      <c r="AN11" s="57"/>
      <c r="AO11" s="57"/>
      <c r="AP11" s="57"/>
      <c r="AQ11" s="57"/>
      <c r="AR11" s="57"/>
      <c r="AS11" s="57"/>
      <c r="AT11" s="57"/>
      <c r="AU11" s="57"/>
      <c r="AV11" s="57"/>
      <c r="AW11" s="57"/>
      <c r="AX11" s="57"/>
      <c r="AY11" s="57"/>
      <c r="AZ11" s="57"/>
    </row>
    <row r="12" spans="1:52" ht="14.25" customHeight="1">
      <c r="A12" s="5" t="s">
        <v>56</v>
      </c>
      <c r="B12" s="57">
        <f>Cal!B31</f>
        <v>92.239874999999998</v>
      </c>
      <c r="C12" s="57">
        <f t="shared" si="1"/>
        <v>92.239874999999998</v>
      </c>
      <c r="D12" s="57">
        <f t="shared" si="2"/>
        <v>92.239874999999998</v>
      </c>
      <c r="E12" s="57">
        <f t="shared" si="2"/>
        <v>92.239874999999998</v>
      </c>
      <c r="F12" s="57">
        <f t="shared" si="2"/>
        <v>92.239874999999998</v>
      </c>
      <c r="G12" s="57">
        <f t="shared" si="2"/>
        <v>92.239874999999998</v>
      </c>
      <c r="H12" s="57">
        <f t="shared" si="2"/>
        <v>92.239874999999998</v>
      </c>
      <c r="I12" s="57">
        <f t="shared" si="2"/>
        <v>92.239874999999998</v>
      </c>
      <c r="J12" s="57">
        <f t="shared" si="2"/>
        <v>92.239874999999998</v>
      </c>
      <c r="K12" s="57">
        <f t="shared" si="2"/>
        <v>92.239874999999998</v>
      </c>
      <c r="L12" s="57">
        <f t="shared" si="2"/>
        <v>92.239874999999998</v>
      </c>
      <c r="M12" s="57">
        <f t="shared" si="2"/>
        <v>92.239874999999998</v>
      </c>
      <c r="N12" s="57">
        <f t="shared" si="2"/>
        <v>92.239874999999998</v>
      </c>
      <c r="O12" s="57">
        <f t="shared" si="2"/>
        <v>92.239874999999998</v>
      </c>
      <c r="P12" s="57">
        <f t="shared" si="2"/>
        <v>92.239874999999998</v>
      </c>
      <c r="Q12" s="57">
        <f t="shared" si="2"/>
        <v>92.239874999999998</v>
      </c>
      <c r="R12" s="57">
        <f t="shared" si="2"/>
        <v>92.239874999999998</v>
      </c>
      <c r="S12" s="57">
        <f t="shared" si="2"/>
        <v>92.239874999999998</v>
      </c>
      <c r="T12" s="57">
        <f t="shared" si="2"/>
        <v>92.239874999999998</v>
      </c>
      <c r="U12" s="57">
        <f t="shared" si="2"/>
        <v>92.239874999999998</v>
      </c>
      <c r="V12" s="57">
        <f t="shared" si="2"/>
        <v>92.239874999999998</v>
      </c>
      <c r="W12" s="57">
        <f t="shared" si="2"/>
        <v>92.239874999999998</v>
      </c>
      <c r="X12" s="57">
        <f t="shared" si="2"/>
        <v>92.239874999999998</v>
      </c>
      <c r="Y12" s="57">
        <f t="shared" si="2"/>
        <v>92.239874999999998</v>
      </c>
      <c r="Z12" s="57">
        <f t="shared" si="2"/>
        <v>92.239874999999998</v>
      </c>
      <c r="AA12" s="57">
        <f t="shared" si="2"/>
        <v>92.239874999999998</v>
      </c>
      <c r="AB12" s="57">
        <f t="shared" si="2"/>
        <v>92.239874999999998</v>
      </c>
      <c r="AC12" s="57">
        <f t="shared" si="2"/>
        <v>92.239874999999998</v>
      </c>
      <c r="AD12" s="57">
        <f t="shared" si="2"/>
        <v>92.239874999999998</v>
      </c>
      <c r="AE12" s="57">
        <f t="shared" si="2"/>
        <v>92.239874999999998</v>
      </c>
      <c r="AF12" s="57">
        <f t="shared" si="2"/>
        <v>92.239874999999998</v>
      </c>
      <c r="AG12" s="57"/>
      <c r="AH12" s="57"/>
      <c r="AI12" s="57"/>
      <c r="AJ12" s="57"/>
      <c r="AK12" s="57"/>
      <c r="AL12" s="57"/>
      <c r="AM12" s="57"/>
      <c r="AN12" s="57"/>
      <c r="AO12" s="57"/>
      <c r="AP12" s="57"/>
      <c r="AQ12" s="57"/>
      <c r="AR12" s="57"/>
      <c r="AS12" s="57"/>
      <c r="AT12" s="57"/>
      <c r="AU12" s="57"/>
      <c r="AV12" s="57"/>
      <c r="AW12" s="57"/>
      <c r="AX12" s="57"/>
      <c r="AY12" s="57"/>
      <c r="AZ12" s="57"/>
    </row>
    <row r="13" spans="1:52" ht="14.25" customHeight="1">
      <c r="A13" s="5" t="s">
        <v>57</v>
      </c>
      <c r="B13" s="57">
        <f>Cal!B32</f>
        <v>33.111750000000001</v>
      </c>
      <c r="C13" s="57">
        <f t="shared" si="1"/>
        <v>33.111750000000001</v>
      </c>
      <c r="D13" s="57">
        <f t="shared" ref="D12:AZ17" si="3">$B13</f>
        <v>33.111750000000001</v>
      </c>
      <c r="E13" s="57">
        <f t="shared" si="3"/>
        <v>33.111750000000001</v>
      </c>
      <c r="F13" s="57">
        <f t="shared" si="3"/>
        <v>33.111750000000001</v>
      </c>
      <c r="G13" s="57">
        <f t="shared" si="3"/>
        <v>33.111750000000001</v>
      </c>
      <c r="H13" s="57">
        <f t="shared" si="3"/>
        <v>33.111750000000001</v>
      </c>
      <c r="I13" s="57">
        <f t="shared" si="3"/>
        <v>33.111750000000001</v>
      </c>
      <c r="J13" s="57">
        <f t="shared" si="3"/>
        <v>33.111750000000001</v>
      </c>
      <c r="K13" s="57">
        <f t="shared" si="3"/>
        <v>33.111750000000001</v>
      </c>
      <c r="L13" s="57">
        <f t="shared" si="3"/>
        <v>33.111750000000001</v>
      </c>
      <c r="M13" s="57">
        <f t="shared" si="3"/>
        <v>33.111750000000001</v>
      </c>
      <c r="N13" s="57">
        <f t="shared" si="3"/>
        <v>33.111750000000001</v>
      </c>
      <c r="O13" s="57">
        <f t="shared" si="3"/>
        <v>33.111750000000001</v>
      </c>
      <c r="P13" s="57">
        <f t="shared" si="3"/>
        <v>33.111750000000001</v>
      </c>
      <c r="Q13" s="57">
        <f t="shared" si="3"/>
        <v>33.111750000000001</v>
      </c>
      <c r="R13" s="57">
        <f t="shared" si="3"/>
        <v>33.111750000000001</v>
      </c>
      <c r="S13" s="57">
        <f t="shared" si="3"/>
        <v>33.111750000000001</v>
      </c>
      <c r="T13" s="57">
        <f t="shared" si="3"/>
        <v>33.111750000000001</v>
      </c>
      <c r="U13" s="57">
        <f t="shared" si="3"/>
        <v>33.111750000000001</v>
      </c>
      <c r="V13" s="57">
        <f t="shared" si="3"/>
        <v>33.111750000000001</v>
      </c>
      <c r="W13" s="57">
        <f t="shared" si="3"/>
        <v>33.111750000000001</v>
      </c>
      <c r="X13" s="57">
        <f t="shared" si="3"/>
        <v>33.111750000000001</v>
      </c>
      <c r="Y13" s="57">
        <f t="shared" si="3"/>
        <v>33.111750000000001</v>
      </c>
      <c r="Z13" s="57">
        <f t="shared" si="3"/>
        <v>33.111750000000001</v>
      </c>
      <c r="AA13" s="57">
        <f t="shared" si="3"/>
        <v>33.111750000000001</v>
      </c>
      <c r="AB13" s="57">
        <f t="shared" si="3"/>
        <v>33.111750000000001</v>
      </c>
      <c r="AC13" s="57">
        <f t="shared" si="3"/>
        <v>33.111750000000001</v>
      </c>
      <c r="AD13" s="57">
        <f t="shared" si="3"/>
        <v>33.111750000000001</v>
      </c>
      <c r="AE13" s="57">
        <f t="shared" si="3"/>
        <v>33.111750000000001</v>
      </c>
      <c r="AF13" s="57">
        <f t="shared" si="3"/>
        <v>33.111750000000001</v>
      </c>
      <c r="AG13" s="57"/>
      <c r="AH13" s="57"/>
      <c r="AI13" s="57"/>
      <c r="AJ13" s="57"/>
      <c r="AK13" s="57"/>
      <c r="AL13" s="57"/>
      <c r="AM13" s="57"/>
      <c r="AN13" s="57"/>
      <c r="AO13" s="57"/>
      <c r="AP13" s="57"/>
      <c r="AQ13" s="57"/>
      <c r="AR13" s="57"/>
      <c r="AS13" s="57"/>
      <c r="AT13" s="57"/>
      <c r="AU13" s="57"/>
      <c r="AV13" s="57"/>
      <c r="AW13" s="57"/>
      <c r="AX13" s="57"/>
      <c r="AY13" s="57"/>
      <c r="AZ13" s="57"/>
    </row>
    <row r="14" spans="1:52" ht="14.25" customHeight="1">
      <c r="A14" s="5" t="s">
        <v>58</v>
      </c>
      <c r="B14" s="57">
        <f>Cal!B33</f>
        <v>180</v>
      </c>
      <c r="C14" s="57">
        <f t="shared" si="1"/>
        <v>180</v>
      </c>
      <c r="D14" s="57">
        <f t="shared" si="3"/>
        <v>180</v>
      </c>
      <c r="E14" s="57">
        <f t="shared" si="3"/>
        <v>180</v>
      </c>
      <c r="F14" s="57">
        <f t="shared" si="3"/>
        <v>180</v>
      </c>
      <c r="G14" s="57">
        <f t="shared" si="3"/>
        <v>180</v>
      </c>
      <c r="H14" s="57">
        <f t="shared" si="3"/>
        <v>180</v>
      </c>
      <c r="I14" s="57">
        <f t="shared" si="3"/>
        <v>180</v>
      </c>
      <c r="J14" s="57">
        <f t="shared" si="3"/>
        <v>180</v>
      </c>
      <c r="K14" s="57">
        <f t="shared" si="3"/>
        <v>180</v>
      </c>
      <c r="L14" s="57">
        <f t="shared" si="3"/>
        <v>180</v>
      </c>
      <c r="M14" s="57">
        <f t="shared" si="3"/>
        <v>180</v>
      </c>
      <c r="N14" s="57">
        <f t="shared" si="3"/>
        <v>180</v>
      </c>
      <c r="O14" s="57">
        <f t="shared" si="3"/>
        <v>180</v>
      </c>
      <c r="P14" s="57">
        <f t="shared" si="3"/>
        <v>180</v>
      </c>
      <c r="Q14" s="57">
        <f t="shared" si="3"/>
        <v>180</v>
      </c>
      <c r="R14" s="57">
        <f t="shared" si="3"/>
        <v>180</v>
      </c>
      <c r="S14" s="57">
        <f t="shared" si="3"/>
        <v>180</v>
      </c>
      <c r="T14" s="57">
        <f t="shared" si="3"/>
        <v>180</v>
      </c>
      <c r="U14" s="57">
        <f t="shared" si="3"/>
        <v>180</v>
      </c>
      <c r="V14" s="57">
        <f t="shared" si="3"/>
        <v>180</v>
      </c>
      <c r="W14" s="57">
        <f t="shared" si="3"/>
        <v>180</v>
      </c>
      <c r="X14" s="57">
        <f t="shared" si="3"/>
        <v>180</v>
      </c>
      <c r="Y14" s="57">
        <f t="shared" si="3"/>
        <v>180</v>
      </c>
      <c r="Z14" s="57">
        <f t="shared" si="3"/>
        <v>180</v>
      </c>
      <c r="AA14" s="57">
        <f t="shared" si="3"/>
        <v>180</v>
      </c>
      <c r="AB14" s="57">
        <f t="shared" si="3"/>
        <v>180</v>
      </c>
      <c r="AC14" s="57">
        <f t="shared" si="3"/>
        <v>180</v>
      </c>
      <c r="AD14" s="57">
        <f t="shared" si="3"/>
        <v>180</v>
      </c>
      <c r="AE14" s="57">
        <f t="shared" si="3"/>
        <v>180</v>
      </c>
      <c r="AF14" s="57">
        <f t="shared" si="3"/>
        <v>180</v>
      </c>
      <c r="AG14" s="57"/>
      <c r="AH14" s="57"/>
      <c r="AI14" s="57"/>
      <c r="AJ14" s="57"/>
      <c r="AK14" s="57"/>
      <c r="AL14" s="57"/>
      <c r="AM14" s="57"/>
      <c r="AN14" s="57"/>
      <c r="AO14" s="57"/>
      <c r="AP14" s="57"/>
      <c r="AQ14" s="57"/>
      <c r="AR14" s="57"/>
      <c r="AS14" s="57"/>
      <c r="AT14" s="57"/>
      <c r="AU14" s="57"/>
      <c r="AV14" s="57"/>
      <c r="AW14" s="57"/>
      <c r="AX14" s="57"/>
      <c r="AY14" s="57"/>
      <c r="AZ14" s="57"/>
    </row>
    <row r="15" spans="1:52" ht="14.25" customHeight="1">
      <c r="A15" s="5" t="s">
        <v>59</v>
      </c>
      <c r="B15" s="57">
        <f>Cal!B34</f>
        <v>6.14</v>
      </c>
      <c r="C15" s="57">
        <f t="shared" si="1"/>
        <v>6.14</v>
      </c>
      <c r="D15" s="57">
        <f t="shared" si="3"/>
        <v>6.14</v>
      </c>
      <c r="E15" s="57">
        <f t="shared" si="3"/>
        <v>6.14</v>
      </c>
      <c r="F15" s="57">
        <f t="shared" si="3"/>
        <v>6.14</v>
      </c>
      <c r="G15" s="57">
        <f t="shared" si="3"/>
        <v>6.14</v>
      </c>
      <c r="H15" s="57">
        <f t="shared" si="3"/>
        <v>6.14</v>
      </c>
      <c r="I15" s="57">
        <f t="shared" si="3"/>
        <v>6.14</v>
      </c>
      <c r="J15" s="57">
        <f t="shared" si="3"/>
        <v>6.14</v>
      </c>
      <c r="K15" s="57">
        <f t="shared" si="3"/>
        <v>6.14</v>
      </c>
      <c r="L15" s="57">
        <f t="shared" si="3"/>
        <v>6.14</v>
      </c>
      <c r="M15" s="57">
        <f t="shared" si="3"/>
        <v>6.14</v>
      </c>
      <c r="N15" s="57">
        <f t="shared" si="3"/>
        <v>6.14</v>
      </c>
      <c r="O15" s="57">
        <f t="shared" si="3"/>
        <v>6.14</v>
      </c>
      <c r="P15" s="57">
        <f t="shared" si="3"/>
        <v>6.14</v>
      </c>
      <c r="Q15" s="57">
        <f t="shared" si="3"/>
        <v>6.14</v>
      </c>
      <c r="R15" s="57">
        <f t="shared" si="3"/>
        <v>6.14</v>
      </c>
      <c r="S15" s="57">
        <f t="shared" si="3"/>
        <v>6.14</v>
      </c>
      <c r="T15" s="57">
        <f t="shared" si="3"/>
        <v>6.14</v>
      </c>
      <c r="U15" s="57">
        <f t="shared" si="3"/>
        <v>6.14</v>
      </c>
      <c r="V15" s="57">
        <f t="shared" si="3"/>
        <v>6.14</v>
      </c>
      <c r="W15" s="57">
        <f t="shared" si="3"/>
        <v>6.14</v>
      </c>
      <c r="X15" s="57">
        <f t="shared" si="3"/>
        <v>6.14</v>
      </c>
      <c r="Y15" s="57">
        <f t="shared" si="3"/>
        <v>6.14</v>
      </c>
      <c r="Z15" s="57">
        <f t="shared" si="3"/>
        <v>6.14</v>
      </c>
      <c r="AA15" s="57">
        <f t="shared" si="3"/>
        <v>6.14</v>
      </c>
      <c r="AB15" s="57">
        <f t="shared" si="3"/>
        <v>6.14</v>
      </c>
      <c r="AC15" s="57">
        <f t="shared" si="3"/>
        <v>6.14</v>
      </c>
      <c r="AD15" s="57">
        <f t="shared" si="3"/>
        <v>6.14</v>
      </c>
      <c r="AE15" s="57">
        <f t="shared" si="3"/>
        <v>6.14</v>
      </c>
      <c r="AF15" s="57">
        <f t="shared" si="3"/>
        <v>6.14</v>
      </c>
      <c r="AG15" s="57"/>
      <c r="AH15" s="57"/>
      <c r="AI15" s="57"/>
      <c r="AJ15" s="57"/>
      <c r="AK15" s="57"/>
      <c r="AL15" s="57"/>
      <c r="AM15" s="57"/>
      <c r="AN15" s="57"/>
      <c r="AO15" s="57"/>
      <c r="AP15" s="57"/>
      <c r="AQ15" s="57"/>
      <c r="AR15" s="57"/>
      <c r="AS15" s="57"/>
      <c r="AT15" s="57"/>
      <c r="AU15" s="57"/>
      <c r="AV15" s="57"/>
      <c r="AW15" s="57"/>
      <c r="AX15" s="57"/>
      <c r="AY15" s="57"/>
      <c r="AZ15" s="57"/>
    </row>
    <row r="16" spans="1:52" ht="14.25" customHeight="1">
      <c r="A16" s="5" t="s">
        <v>60</v>
      </c>
      <c r="B16" s="57">
        <f>Cal!B35</f>
        <v>6.14</v>
      </c>
      <c r="C16" s="57">
        <f t="shared" si="1"/>
        <v>6.14</v>
      </c>
      <c r="D16" s="57">
        <f t="shared" si="3"/>
        <v>6.14</v>
      </c>
      <c r="E16" s="57">
        <f t="shared" si="3"/>
        <v>6.14</v>
      </c>
      <c r="F16" s="57">
        <f t="shared" si="3"/>
        <v>6.14</v>
      </c>
      <c r="G16" s="57">
        <f t="shared" si="3"/>
        <v>6.14</v>
      </c>
      <c r="H16" s="57">
        <f t="shared" si="3"/>
        <v>6.14</v>
      </c>
      <c r="I16" s="57">
        <f t="shared" si="3"/>
        <v>6.14</v>
      </c>
      <c r="J16" s="57">
        <f t="shared" si="3"/>
        <v>6.14</v>
      </c>
      <c r="K16" s="57">
        <f t="shared" si="3"/>
        <v>6.14</v>
      </c>
      <c r="L16" s="57">
        <f t="shared" si="3"/>
        <v>6.14</v>
      </c>
      <c r="M16" s="57">
        <f t="shared" si="3"/>
        <v>6.14</v>
      </c>
      <c r="N16" s="57">
        <f t="shared" si="3"/>
        <v>6.14</v>
      </c>
      <c r="O16" s="57">
        <f t="shared" si="3"/>
        <v>6.14</v>
      </c>
      <c r="P16" s="57">
        <f t="shared" si="3"/>
        <v>6.14</v>
      </c>
      <c r="Q16" s="57">
        <f t="shared" si="3"/>
        <v>6.14</v>
      </c>
      <c r="R16" s="57">
        <f t="shared" si="3"/>
        <v>6.14</v>
      </c>
      <c r="S16" s="57">
        <f t="shared" si="3"/>
        <v>6.14</v>
      </c>
      <c r="T16" s="57">
        <f t="shared" si="3"/>
        <v>6.14</v>
      </c>
      <c r="U16" s="57">
        <f t="shared" si="3"/>
        <v>6.14</v>
      </c>
      <c r="V16" s="57">
        <f t="shared" si="3"/>
        <v>6.14</v>
      </c>
      <c r="W16" s="57">
        <f t="shared" si="3"/>
        <v>6.14</v>
      </c>
      <c r="X16" s="57">
        <f t="shared" si="3"/>
        <v>6.14</v>
      </c>
      <c r="Y16" s="57">
        <f t="shared" si="3"/>
        <v>6.14</v>
      </c>
      <c r="Z16" s="57">
        <f t="shared" si="3"/>
        <v>6.14</v>
      </c>
      <c r="AA16" s="57">
        <f t="shared" si="3"/>
        <v>6.14</v>
      </c>
      <c r="AB16" s="57">
        <f t="shared" si="3"/>
        <v>6.14</v>
      </c>
      <c r="AC16" s="57">
        <f t="shared" si="3"/>
        <v>6.14</v>
      </c>
      <c r="AD16" s="57">
        <f t="shared" si="3"/>
        <v>6.14</v>
      </c>
      <c r="AE16" s="57">
        <f t="shared" si="3"/>
        <v>6.14</v>
      </c>
      <c r="AF16" s="57">
        <f t="shared" si="3"/>
        <v>6.14</v>
      </c>
      <c r="AG16" s="57"/>
      <c r="AH16" s="57"/>
      <c r="AI16" s="57"/>
      <c r="AJ16" s="57"/>
      <c r="AK16" s="57"/>
      <c r="AL16" s="57"/>
      <c r="AM16" s="57"/>
      <c r="AN16" s="57"/>
      <c r="AO16" s="57"/>
      <c r="AP16" s="57"/>
      <c r="AQ16" s="57"/>
      <c r="AR16" s="57"/>
      <c r="AS16" s="57"/>
      <c r="AT16" s="57"/>
      <c r="AU16" s="57"/>
      <c r="AV16" s="57"/>
      <c r="AW16" s="57"/>
      <c r="AX16" s="57"/>
      <c r="AY16" s="57"/>
      <c r="AZ16" s="57"/>
    </row>
    <row r="17" spans="1:52" ht="14.25" customHeight="1">
      <c r="A17" s="5" t="s">
        <v>61</v>
      </c>
      <c r="B17" s="57">
        <f>Cal!B36</f>
        <v>23.14</v>
      </c>
      <c r="C17" s="57">
        <f t="shared" si="1"/>
        <v>23.14</v>
      </c>
      <c r="D17" s="57">
        <f t="shared" si="3"/>
        <v>23.14</v>
      </c>
      <c r="E17" s="57">
        <f t="shared" si="3"/>
        <v>23.14</v>
      </c>
      <c r="F17" s="57">
        <f t="shared" si="3"/>
        <v>23.14</v>
      </c>
      <c r="G17" s="57">
        <f t="shared" si="3"/>
        <v>23.14</v>
      </c>
      <c r="H17" s="57">
        <f t="shared" si="3"/>
        <v>23.14</v>
      </c>
      <c r="I17" s="57">
        <f t="shared" si="3"/>
        <v>23.14</v>
      </c>
      <c r="J17" s="57">
        <f t="shared" si="3"/>
        <v>23.14</v>
      </c>
      <c r="K17" s="57">
        <f t="shared" si="3"/>
        <v>23.14</v>
      </c>
      <c r="L17" s="57">
        <f t="shared" si="3"/>
        <v>23.14</v>
      </c>
      <c r="M17" s="57">
        <f t="shared" si="3"/>
        <v>23.14</v>
      </c>
      <c r="N17" s="57">
        <f t="shared" si="3"/>
        <v>23.14</v>
      </c>
      <c r="O17" s="57">
        <f t="shared" si="3"/>
        <v>23.14</v>
      </c>
      <c r="P17" s="57">
        <f t="shared" si="3"/>
        <v>23.14</v>
      </c>
      <c r="Q17" s="57">
        <f t="shared" si="3"/>
        <v>23.14</v>
      </c>
      <c r="R17" s="57">
        <f t="shared" si="3"/>
        <v>23.14</v>
      </c>
      <c r="S17" s="57">
        <f t="shared" si="3"/>
        <v>23.14</v>
      </c>
      <c r="T17" s="57">
        <f t="shared" si="3"/>
        <v>23.14</v>
      </c>
      <c r="U17" s="57">
        <f t="shared" si="3"/>
        <v>23.14</v>
      </c>
      <c r="V17" s="57">
        <f t="shared" si="3"/>
        <v>23.14</v>
      </c>
      <c r="W17" s="57">
        <f t="shared" si="3"/>
        <v>23.14</v>
      </c>
      <c r="X17" s="57">
        <f t="shared" si="3"/>
        <v>23.14</v>
      </c>
      <c r="Y17" s="57">
        <f t="shared" si="3"/>
        <v>23.14</v>
      </c>
      <c r="Z17" s="57">
        <f t="shared" si="3"/>
        <v>23.14</v>
      </c>
      <c r="AA17" s="57">
        <f t="shared" si="3"/>
        <v>23.14</v>
      </c>
      <c r="AB17" s="57">
        <f t="shared" si="3"/>
        <v>23.14</v>
      </c>
      <c r="AC17" s="57">
        <f t="shared" si="3"/>
        <v>23.14</v>
      </c>
      <c r="AD17" s="57">
        <f t="shared" si="3"/>
        <v>23.14</v>
      </c>
      <c r="AE17" s="57">
        <f t="shared" si="3"/>
        <v>23.14</v>
      </c>
      <c r="AF17" s="57">
        <f t="shared" si="3"/>
        <v>23.14</v>
      </c>
      <c r="AG17" s="57"/>
      <c r="AH17" s="57"/>
      <c r="AI17" s="57"/>
      <c r="AJ17" s="57"/>
      <c r="AK17" s="57"/>
      <c r="AL17" s="57"/>
      <c r="AM17" s="57"/>
      <c r="AN17" s="57"/>
      <c r="AO17" s="57"/>
      <c r="AP17" s="57"/>
      <c r="AQ17" s="57"/>
      <c r="AR17" s="57"/>
      <c r="AS17" s="57"/>
      <c r="AT17" s="57"/>
      <c r="AU17" s="57"/>
      <c r="AV17" s="57"/>
      <c r="AW17" s="57"/>
      <c r="AX17" s="57"/>
      <c r="AY17" s="57"/>
      <c r="AZ17" s="57"/>
    </row>
    <row r="18" spans="1:52" ht="14.25" customHeight="1">
      <c r="C18" s="5"/>
      <c r="AF18" s="23"/>
      <c r="AG18" s="45"/>
      <c r="AH18" s="45"/>
      <c r="AI18" s="45"/>
      <c r="AJ18" s="45"/>
      <c r="AK18" s="45"/>
      <c r="AL18" s="45"/>
      <c r="AM18" s="45"/>
      <c r="AN18" s="45"/>
      <c r="AO18" s="45"/>
      <c r="AP18" s="45"/>
      <c r="AQ18" s="45"/>
      <c r="AR18" s="45"/>
      <c r="AS18" s="45"/>
      <c r="AT18" s="45"/>
      <c r="AU18" s="45"/>
      <c r="AV18" s="45"/>
      <c r="AW18" s="45"/>
      <c r="AX18" s="45"/>
      <c r="AY18" s="45"/>
      <c r="AZ18" s="45"/>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topLeftCell="J1" workbookViewId="0">
      <selection activeCell="AG1" sqref="AG1"/>
    </sheetView>
  </sheetViews>
  <sheetFormatPr baseColWidth="10" defaultColWidth="14.42578125" defaultRowHeight="15" customHeight="1"/>
  <cols>
    <col min="1" max="1" width="36.42578125" customWidth="1"/>
    <col min="2" max="32" width="7.28515625" customWidth="1"/>
  </cols>
  <sheetData>
    <row r="1" spans="1:52" s="25" customFormat="1" ht="14.25" customHeight="1">
      <c r="A1" s="22" t="s">
        <v>65</v>
      </c>
      <c r="B1" s="16">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5" t="s">
        <v>66</v>
      </c>
      <c r="B2" s="57">
        <v>0</v>
      </c>
      <c r="C2" s="57">
        <f t="shared" ref="C2:AF2" si="0">$B$2</f>
        <v>0</v>
      </c>
      <c r="D2" s="57">
        <f t="shared" si="0"/>
        <v>0</v>
      </c>
      <c r="E2" s="57">
        <f t="shared" si="0"/>
        <v>0</v>
      </c>
      <c r="F2" s="57">
        <f t="shared" si="0"/>
        <v>0</v>
      </c>
      <c r="G2" s="57">
        <f t="shared" si="0"/>
        <v>0</v>
      </c>
      <c r="H2" s="57">
        <f t="shared" si="0"/>
        <v>0</v>
      </c>
      <c r="I2" s="57">
        <f t="shared" si="0"/>
        <v>0</v>
      </c>
      <c r="J2" s="57">
        <f t="shared" si="0"/>
        <v>0</v>
      </c>
      <c r="K2" s="57">
        <f t="shared" si="0"/>
        <v>0</v>
      </c>
      <c r="L2" s="57">
        <f t="shared" si="0"/>
        <v>0</v>
      </c>
      <c r="M2" s="57">
        <f t="shared" si="0"/>
        <v>0</v>
      </c>
      <c r="N2" s="57">
        <f t="shared" si="0"/>
        <v>0</v>
      </c>
      <c r="O2" s="57">
        <f t="shared" si="0"/>
        <v>0</v>
      </c>
      <c r="P2" s="57">
        <f t="shared" si="0"/>
        <v>0</v>
      </c>
      <c r="Q2" s="57">
        <f t="shared" si="0"/>
        <v>0</v>
      </c>
      <c r="R2" s="57">
        <f t="shared" si="0"/>
        <v>0</v>
      </c>
      <c r="S2" s="57">
        <f t="shared" si="0"/>
        <v>0</v>
      </c>
      <c r="T2" s="57">
        <f t="shared" si="0"/>
        <v>0</v>
      </c>
      <c r="U2" s="57">
        <f t="shared" si="0"/>
        <v>0</v>
      </c>
      <c r="V2" s="57">
        <f t="shared" si="0"/>
        <v>0</v>
      </c>
      <c r="W2" s="57">
        <f t="shared" si="0"/>
        <v>0</v>
      </c>
      <c r="X2" s="57">
        <f t="shared" si="0"/>
        <v>0</v>
      </c>
      <c r="Y2" s="57">
        <f t="shared" si="0"/>
        <v>0</v>
      </c>
      <c r="Z2" s="57">
        <f t="shared" si="0"/>
        <v>0</v>
      </c>
      <c r="AA2" s="57">
        <f t="shared" si="0"/>
        <v>0</v>
      </c>
      <c r="AB2" s="57">
        <f t="shared" si="0"/>
        <v>0</v>
      </c>
      <c r="AC2" s="57">
        <f t="shared" si="0"/>
        <v>0</v>
      </c>
      <c r="AD2" s="57">
        <f t="shared" si="0"/>
        <v>0</v>
      </c>
      <c r="AE2" s="57">
        <f t="shared" si="0"/>
        <v>0</v>
      </c>
      <c r="AF2" s="57">
        <f t="shared" si="0"/>
        <v>0</v>
      </c>
      <c r="AG2" s="31"/>
      <c r="AH2" s="31"/>
      <c r="AI2" s="31"/>
      <c r="AJ2" s="31"/>
      <c r="AK2" s="31"/>
      <c r="AL2" s="31"/>
      <c r="AM2" s="31"/>
      <c r="AN2" s="31"/>
      <c r="AO2" s="31"/>
      <c r="AP2" s="31"/>
      <c r="AQ2" s="31"/>
      <c r="AR2" s="31"/>
      <c r="AS2" s="31"/>
      <c r="AT2" s="31"/>
      <c r="AU2" s="31"/>
      <c r="AV2" s="31"/>
      <c r="AW2" s="31"/>
      <c r="AX2" s="31"/>
      <c r="AY2" s="31"/>
      <c r="AZ2" s="31"/>
    </row>
    <row r="3" spans="1:52" ht="14.25" customHeight="1">
      <c r="A3" s="5" t="s">
        <v>49</v>
      </c>
      <c r="B3" s="57">
        <v>0</v>
      </c>
      <c r="C3" s="57">
        <f t="shared" ref="C3:AF3" si="1">$B$3</f>
        <v>0</v>
      </c>
      <c r="D3" s="57">
        <f t="shared" si="1"/>
        <v>0</v>
      </c>
      <c r="E3" s="57">
        <f t="shared" si="1"/>
        <v>0</v>
      </c>
      <c r="F3" s="57">
        <f t="shared" si="1"/>
        <v>0</v>
      </c>
      <c r="G3" s="57">
        <f t="shared" si="1"/>
        <v>0</v>
      </c>
      <c r="H3" s="57">
        <f t="shared" si="1"/>
        <v>0</v>
      </c>
      <c r="I3" s="57">
        <f t="shared" si="1"/>
        <v>0</v>
      </c>
      <c r="J3" s="57">
        <f t="shared" si="1"/>
        <v>0</v>
      </c>
      <c r="K3" s="57">
        <f t="shared" si="1"/>
        <v>0</v>
      </c>
      <c r="L3" s="57">
        <f t="shared" si="1"/>
        <v>0</v>
      </c>
      <c r="M3" s="57">
        <f t="shared" si="1"/>
        <v>0</v>
      </c>
      <c r="N3" s="57">
        <f t="shared" si="1"/>
        <v>0</v>
      </c>
      <c r="O3" s="57">
        <f t="shared" si="1"/>
        <v>0</v>
      </c>
      <c r="P3" s="57">
        <f t="shared" si="1"/>
        <v>0</v>
      </c>
      <c r="Q3" s="57">
        <f t="shared" si="1"/>
        <v>0</v>
      </c>
      <c r="R3" s="57">
        <f t="shared" si="1"/>
        <v>0</v>
      </c>
      <c r="S3" s="57">
        <f t="shared" si="1"/>
        <v>0</v>
      </c>
      <c r="T3" s="57">
        <f t="shared" si="1"/>
        <v>0</v>
      </c>
      <c r="U3" s="57">
        <f t="shared" si="1"/>
        <v>0</v>
      </c>
      <c r="V3" s="57">
        <f t="shared" si="1"/>
        <v>0</v>
      </c>
      <c r="W3" s="57">
        <f t="shared" si="1"/>
        <v>0</v>
      </c>
      <c r="X3" s="57">
        <f t="shared" si="1"/>
        <v>0</v>
      </c>
      <c r="Y3" s="57">
        <f t="shared" si="1"/>
        <v>0</v>
      </c>
      <c r="Z3" s="57">
        <f t="shared" si="1"/>
        <v>0</v>
      </c>
      <c r="AA3" s="57">
        <f t="shared" si="1"/>
        <v>0</v>
      </c>
      <c r="AB3" s="57">
        <f t="shared" si="1"/>
        <v>0</v>
      </c>
      <c r="AC3" s="57">
        <f t="shared" si="1"/>
        <v>0</v>
      </c>
      <c r="AD3" s="57">
        <f t="shared" si="1"/>
        <v>0</v>
      </c>
      <c r="AE3" s="57">
        <f t="shared" si="1"/>
        <v>0</v>
      </c>
      <c r="AF3" s="57">
        <f t="shared" si="1"/>
        <v>0</v>
      </c>
      <c r="AG3" s="31"/>
      <c r="AH3" s="31"/>
      <c r="AI3" s="31"/>
      <c r="AJ3" s="31"/>
      <c r="AK3" s="31"/>
      <c r="AL3" s="31"/>
      <c r="AM3" s="31"/>
      <c r="AN3" s="31"/>
      <c r="AO3" s="31"/>
      <c r="AP3" s="31"/>
      <c r="AQ3" s="31"/>
      <c r="AR3" s="31"/>
      <c r="AS3" s="31"/>
      <c r="AT3" s="31"/>
      <c r="AU3" s="31"/>
      <c r="AV3" s="31"/>
      <c r="AW3" s="31"/>
      <c r="AX3" s="31"/>
      <c r="AY3" s="31"/>
      <c r="AZ3" s="31"/>
    </row>
    <row r="4" spans="1:52" ht="14.25" customHeight="1">
      <c r="A4" s="5" t="s">
        <v>37</v>
      </c>
      <c r="B4" s="57">
        <v>0</v>
      </c>
      <c r="C4" s="57">
        <f t="shared" ref="C4:AF4" si="2">$B$4</f>
        <v>0</v>
      </c>
      <c r="D4" s="57">
        <f t="shared" si="2"/>
        <v>0</v>
      </c>
      <c r="E4" s="57">
        <f t="shared" si="2"/>
        <v>0</v>
      </c>
      <c r="F4" s="57">
        <f t="shared" si="2"/>
        <v>0</v>
      </c>
      <c r="G4" s="57">
        <f t="shared" si="2"/>
        <v>0</v>
      </c>
      <c r="H4" s="57">
        <f t="shared" si="2"/>
        <v>0</v>
      </c>
      <c r="I4" s="57">
        <f t="shared" si="2"/>
        <v>0</v>
      </c>
      <c r="J4" s="57">
        <f t="shared" si="2"/>
        <v>0</v>
      </c>
      <c r="K4" s="57">
        <f t="shared" si="2"/>
        <v>0</v>
      </c>
      <c r="L4" s="57">
        <f t="shared" si="2"/>
        <v>0</v>
      </c>
      <c r="M4" s="57">
        <f t="shared" si="2"/>
        <v>0</v>
      </c>
      <c r="N4" s="57">
        <f t="shared" si="2"/>
        <v>0</v>
      </c>
      <c r="O4" s="57">
        <f t="shared" si="2"/>
        <v>0</v>
      </c>
      <c r="P4" s="57">
        <f t="shared" si="2"/>
        <v>0</v>
      </c>
      <c r="Q4" s="57">
        <f t="shared" si="2"/>
        <v>0</v>
      </c>
      <c r="R4" s="57">
        <f t="shared" si="2"/>
        <v>0</v>
      </c>
      <c r="S4" s="57">
        <f t="shared" si="2"/>
        <v>0</v>
      </c>
      <c r="T4" s="57">
        <f t="shared" si="2"/>
        <v>0</v>
      </c>
      <c r="U4" s="57">
        <f t="shared" si="2"/>
        <v>0</v>
      </c>
      <c r="V4" s="57">
        <f t="shared" si="2"/>
        <v>0</v>
      </c>
      <c r="W4" s="57">
        <f t="shared" si="2"/>
        <v>0</v>
      </c>
      <c r="X4" s="57">
        <f t="shared" si="2"/>
        <v>0</v>
      </c>
      <c r="Y4" s="57">
        <f t="shared" si="2"/>
        <v>0</v>
      </c>
      <c r="Z4" s="57">
        <f t="shared" si="2"/>
        <v>0</v>
      </c>
      <c r="AA4" s="57">
        <f t="shared" si="2"/>
        <v>0</v>
      </c>
      <c r="AB4" s="57">
        <f t="shared" si="2"/>
        <v>0</v>
      </c>
      <c r="AC4" s="57">
        <f t="shared" si="2"/>
        <v>0</v>
      </c>
      <c r="AD4" s="57">
        <f t="shared" si="2"/>
        <v>0</v>
      </c>
      <c r="AE4" s="57">
        <f t="shared" si="2"/>
        <v>0</v>
      </c>
      <c r="AF4" s="57">
        <f t="shared" si="2"/>
        <v>0</v>
      </c>
      <c r="AG4" s="31"/>
      <c r="AH4" s="31"/>
      <c r="AI4" s="31"/>
      <c r="AJ4" s="31"/>
      <c r="AK4" s="31"/>
      <c r="AL4" s="31"/>
      <c r="AM4" s="31"/>
      <c r="AN4" s="31"/>
      <c r="AO4" s="31"/>
      <c r="AP4" s="31"/>
      <c r="AQ4" s="31"/>
      <c r="AR4" s="31"/>
      <c r="AS4" s="31"/>
      <c r="AT4" s="31"/>
      <c r="AU4" s="31"/>
      <c r="AV4" s="31"/>
      <c r="AW4" s="31"/>
      <c r="AX4" s="31"/>
      <c r="AY4" s="31"/>
      <c r="AZ4" s="31"/>
    </row>
    <row r="5" spans="1:52" ht="14.25" customHeight="1">
      <c r="A5" s="5" t="s">
        <v>50</v>
      </c>
      <c r="B5" s="57">
        <v>0</v>
      </c>
      <c r="C5" s="57">
        <f t="shared" ref="C5:AF5" si="3">$B$5</f>
        <v>0</v>
      </c>
      <c r="D5" s="57">
        <f t="shared" si="3"/>
        <v>0</v>
      </c>
      <c r="E5" s="57">
        <f t="shared" si="3"/>
        <v>0</v>
      </c>
      <c r="F5" s="57">
        <f t="shared" si="3"/>
        <v>0</v>
      </c>
      <c r="G5" s="57">
        <f t="shared" si="3"/>
        <v>0</v>
      </c>
      <c r="H5" s="57">
        <f t="shared" si="3"/>
        <v>0</v>
      </c>
      <c r="I5" s="57">
        <f t="shared" si="3"/>
        <v>0</v>
      </c>
      <c r="J5" s="57">
        <f t="shared" si="3"/>
        <v>0</v>
      </c>
      <c r="K5" s="57">
        <f t="shared" si="3"/>
        <v>0</v>
      </c>
      <c r="L5" s="57">
        <f t="shared" si="3"/>
        <v>0</v>
      </c>
      <c r="M5" s="57">
        <f t="shared" si="3"/>
        <v>0</v>
      </c>
      <c r="N5" s="57">
        <f t="shared" si="3"/>
        <v>0</v>
      </c>
      <c r="O5" s="57">
        <f t="shared" si="3"/>
        <v>0</v>
      </c>
      <c r="P5" s="57">
        <f t="shared" si="3"/>
        <v>0</v>
      </c>
      <c r="Q5" s="57">
        <f t="shared" si="3"/>
        <v>0</v>
      </c>
      <c r="R5" s="57">
        <f t="shared" si="3"/>
        <v>0</v>
      </c>
      <c r="S5" s="57">
        <f t="shared" si="3"/>
        <v>0</v>
      </c>
      <c r="T5" s="57">
        <f t="shared" si="3"/>
        <v>0</v>
      </c>
      <c r="U5" s="57">
        <f t="shared" si="3"/>
        <v>0</v>
      </c>
      <c r="V5" s="57">
        <f t="shared" si="3"/>
        <v>0</v>
      </c>
      <c r="W5" s="57">
        <f t="shared" si="3"/>
        <v>0</v>
      </c>
      <c r="X5" s="57">
        <f t="shared" si="3"/>
        <v>0</v>
      </c>
      <c r="Y5" s="57">
        <f t="shared" si="3"/>
        <v>0</v>
      </c>
      <c r="Z5" s="57">
        <f t="shared" si="3"/>
        <v>0</v>
      </c>
      <c r="AA5" s="57">
        <f t="shared" si="3"/>
        <v>0</v>
      </c>
      <c r="AB5" s="57">
        <f t="shared" si="3"/>
        <v>0</v>
      </c>
      <c r="AC5" s="57">
        <f t="shared" si="3"/>
        <v>0</v>
      </c>
      <c r="AD5" s="57">
        <f t="shared" si="3"/>
        <v>0</v>
      </c>
      <c r="AE5" s="57">
        <f t="shared" si="3"/>
        <v>0</v>
      </c>
      <c r="AF5" s="57">
        <f t="shared" si="3"/>
        <v>0</v>
      </c>
      <c r="AG5" s="31"/>
      <c r="AH5" s="31"/>
      <c r="AI5" s="31"/>
      <c r="AJ5" s="31"/>
      <c r="AK5" s="31"/>
      <c r="AL5" s="31"/>
      <c r="AM5" s="31"/>
      <c r="AN5" s="31"/>
      <c r="AO5" s="31"/>
      <c r="AP5" s="31"/>
      <c r="AQ5" s="31"/>
      <c r="AR5" s="31"/>
      <c r="AS5" s="31"/>
      <c r="AT5" s="31"/>
      <c r="AU5" s="31"/>
      <c r="AV5" s="31"/>
      <c r="AW5" s="31"/>
      <c r="AX5" s="31"/>
      <c r="AY5" s="31"/>
      <c r="AZ5" s="31"/>
    </row>
    <row r="6" spans="1:52" ht="14.25" customHeight="1">
      <c r="A6" s="5" t="s">
        <v>51</v>
      </c>
      <c r="B6" s="57">
        <v>0</v>
      </c>
      <c r="C6" s="57">
        <f t="shared" ref="C6:AF6" si="4">$B$6</f>
        <v>0</v>
      </c>
      <c r="D6" s="57">
        <f t="shared" si="4"/>
        <v>0</v>
      </c>
      <c r="E6" s="57">
        <f t="shared" si="4"/>
        <v>0</v>
      </c>
      <c r="F6" s="57">
        <f t="shared" si="4"/>
        <v>0</v>
      </c>
      <c r="G6" s="57">
        <f t="shared" si="4"/>
        <v>0</v>
      </c>
      <c r="H6" s="57">
        <f t="shared" si="4"/>
        <v>0</v>
      </c>
      <c r="I6" s="57">
        <f t="shared" si="4"/>
        <v>0</v>
      </c>
      <c r="J6" s="57">
        <f t="shared" si="4"/>
        <v>0</v>
      </c>
      <c r="K6" s="57">
        <f t="shared" si="4"/>
        <v>0</v>
      </c>
      <c r="L6" s="57">
        <f t="shared" si="4"/>
        <v>0</v>
      </c>
      <c r="M6" s="57">
        <f t="shared" si="4"/>
        <v>0</v>
      </c>
      <c r="N6" s="57">
        <f t="shared" si="4"/>
        <v>0</v>
      </c>
      <c r="O6" s="57">
        <f t="shared" si="4"/>
        <v>0</v>
      </c>
      <c r="P6" s="57">
        <f t="shared" si="4"/>
        <v>0</v>
      </c>
      <c r="Q6" s="57">
        <f t="shared" si="4"/>
        <v>0</v>
      </c>
      <c r="R6" s="57">
        <f t="shared" si="4"/>
        <v>0</v>
      </c>
      <c r="S6" s="57">
        <f t="shared" si="4"/>
        <v>0</v>
      </c>
      <c r="T6" s="57">
        <f t="shared" si="4"/>
        <v>0</v>
      </c>
      <c r="U6" s="57">
        <f t="shared" si="4"/>
        <v>0</v>
      </c>
      <c r="V6" s="57">
        <f t="shared" si="4"/>
        <v>0</v>
      </c>
      <c r="W6" s="57">
        <f t="shared" si="4"/>
        <v>0</v>
      </c>
      <c r="X6" s="57">
        <f t="shared" si="4"/>
        <v>0</v>
      </c>
      <c r="Y6" s="57">
        <f t="shared" si="4"/>
        <v>0</v>
      </c>
      <c r="Z6" s="57">
        <f t="shared" si="4"/>
        <v>0</v>
      </c>
      <c r="AA6" s="57">
        <f t="shared" si="4"/>
        <v>0</v>
      </c>
      <c r="AB6" s="57">
        <f t="shared" si="4"/>
        <v>0</v>
      </c>
      <c r="AC6" s="57">
        <f t="shared" si="4"/>
        <v>0</v>
      </c>
      <c r="AD6" s="57">
        <f t="shared" si="4"/>
        <v>0</v>
      </c>
      <c r="AE6" s="57">
        <f t="shared" si="4"/>
        <v>0</v>
      </c>
      <c r="AF6" s="57">
        <f t="shared" si="4"/>
        <v>0</v>
      </c>
      <c r="AG6" s="31"/>
      <c r="AH6" s="31"/>
      <c r="AI6" s="31"/>
      <c r="AJ6" s="31"/>
      <c r="AK6" s="31"/>
      <c r="AL6" s="31"/>
      <c r="AM6" s="31"/>
      <c r="AN6" s="31"/>
      <c r="AO6" s="31"/>
      <c r="AP6" s="31"/>
      <c r="AQ6" s="31"/>
      <c r="AR6" s="31"/>
      <c r="AS6" s="31"/>
      <c r="AT6" s="31"/>
      <c r="AU6" s="31"/>
      <c r="AV6" s="31"/>
      <c r="AW6" s="31"/>
      <c r="AX6" s="31"/>
      <c r="AY6" s="31"/>
      <c r="AZ6" s="31"/>
    </row>
    <row r="7" spans="1:52" ht="14.25" customHeight="1">
      <c r="A7" s="5" t="s">
        <v>52</v>
      </c>
      <c r="B7" s="57">
        <v>0</v>
      </c>
      <c r="C7" s="57">
        <f t="shared" ref="C7:AF7" si="5">$B$7</f>
        <v>0</v>
      </c>
      <c r="D7" s="57">
        <f t="shared" si="5"/>
        <v>0</v>
      </c>
      <c r="E7" s="57">
        <f t="shared" si="5"/>
        <v>0</v>
      </c>
      <c r="F7" s="57">
        <f t="shared" si="5"/>
        <v>0</v>
      </c>
      <c r="G7" s="57">
        <f t="shared" si="5"/>
        <v>0</v>
      </c>
      <c r="H7" s="57">
        <f t="shared" si="5"/>
        <v>0</v>
      </c>
      <c r="I7" s="57">
        <f t="shared" si="5"/>
        <v>0</v>
      </c>
      <c r="J7" s="57">
        <f t="shared" si="5"/>
        <v>0</v>
      </c>
      <c r="K7" s="57">
        <f t="shared" si="5"/>
        <v>0</v>
      </c>
      <c r="L7" s="57">
        <f t="shared" si="5"/>
        <v>0</v>
      </c>
      <c r="M7" s="57">
        <f t="shared" si="5"/>
        <v>0</v>
      </c>
      <c r="N7" s="57">
        <f t="shared" si="5"/>
        <v>0</v>
      </c>
      <c r="O7" s="57">
        <f t="shared" si="5"/>
        <v>0</v>
      </c>
      <c r="P7" s="57">
        <f t="shared" si="5"/>
        <v>0</v>
      </c>
      <c r="Q7" s="57">
        <f t="shared" si="5"/>
        <v>0</v>
      </c>
      <c r="R7" s="57">
        <f t="shared" si="5"/>
        <v>0</v>
      </c>
      <c r="S7" s="57">
        <f t="shared" si="5"/>
        <v>0</v>
      </c>
      <c r="T7" s="57">
        <f t="shared" si="5"/>
        <v>0</v>
      </c>
      <c r="U7" s="57">
        <f t="shared" si="5"/>
        <v>0</v>
      </c>
      <c r="V7" s="57">
        <f t="shared" si="5"/>
        <v>0</v>
      </c>
      <c r="W7" s="57">
        <f t="shared" si="5"/>
        <v>0</v>
      </c>
      <c r="X7" s="57">
        <f t="shared" si="5"/>
        <v>0</v>
      </c>
      <c r="Y7" s="57">
        <f t="shared" si="5"/>
        <v>0</v>
      </c>
      <c r="Z7" s="57">
        <f t="shared" si="5"/>
        <v>0</v>
      </c>
      <c r="AA7" s="57">
        <f t="shared" si="5"/>
        <v>0</v>
      </c>
      <c r="AB7" s="57">
        <f t="shared" si="5"/>
        <v>0</v>
      </c>
      <c r="AC7" s="57">
        <f t="shared" si="5"/>
        <v>0</v>
      </c>
      <c r="AD7" s="57">
        <f t="shared" si="5"/>
        <v>0</v>
      </c>
      <c r="AE7" s="57">
        <f t="shared" si="5"/>
        <v>0</v>
      </c>
      <c r="AF7" s="57">
        <f t="shared" si="5"/>
        <v>0</v>
      </c>
      <c r="AG7" s="31"/>
      <c r="AH7" s="31"/>
      <c r="AI7" s="31"/>
      <c r="AJ7" s="31"/>
      <c r="AK7" s="31"/>
      <c r="AL7" s="31"/>
      <c r="AM7" s="31"/>
      <c r="AN7" s="31"/>
      <c r="AO7" s="31"/>
      <c r="AP7" s="31"/>
      <c r="AQ7" s="31"/>
      <c r="AR7" s="31"/>
      <c r="AS7" s="31"/>
      <c r="AT7" s="31"/>
      <c r="AU7" s="31"/>
      <c r="AV7" s="31"/>
      <c r="AW7" s="31"/>
      <c r="AX7" s="31"/>
      <c r="AY7" s="31"/>
      <c r="AZ7" s="31"/>
    </row>
    <row r="8" spans="1:52" ht="14.25" customHeight="1">
      <c r="A8" s="5" t="s">
        <v>63</v>
      </c>
      <c r="B8" s="57">
        <v>0</v>
      </c>
      <c r="C8" s="57">
        <f t="shared" ref="C8:AF8" si="6">$B$8</f>
        <v>0</v>
      </c>
      <c r="D8" s="57">
        <f t="shared" si="6"/>
        <v>0</v>
      </c>
      <c r="E8" s="57">
        <f t="shared" si="6"/>
        <v>0</v>
      </c>
      <c r="F8" s="57">
        <f t="shared" si="6"/>
        <v>0</v>
      </c>
      <c r="G8" s="57">
        <f t="shared" si="6"/>
        <v>0</v>
      </c>
      <c r="H8" s="57">
        <f t="shared" si="6"/>
        <v>0</v>
      </c>
      <c r="I8" s="57">
        <f t="shared" si="6"/>
        <v>0</v>
      </c>
      <c r="J8" s="57">
        <f t="shared" si="6"/>
        <v>0</v>
      </c>
      <c r="K8" s="57">
        <f t="shared" si="6"/>
        <v>0</v>
      </c>
      <c r="L8" s="57">
        <f t="shared" si="6"/>
        <v>0</v>
      </c>
      <c r="M8" s="57">
        <f t="shared" si="6"/>
        <v>0</v>
      </c>
      <c r="N8" s="57">
        <f t="shared" si="6"/>
        <v>0</v>
      </c>
      <c r="O8" s="57">
        <f t="shared" si="6"/>
        <v>0</v>
      </c>
      <c r="P8" s="57">
        <f t="shared" si="6"/>
        <v>0</v>
      </c>
      <c r="Q8" s="57">
        <f t="shared" si="6"/>
        <v>0</v>
      </c>
      <c r="R8" s="57">
        <f t="shared" si="6"/>
        <v>0</v>
      </c>
      <c r="S8" s="57">
        <f t="shared" si="6"/>
        <v>0</v>
      </c>
      <c r="T8" s="57">
        <f t="shared" si="6"/>
        <v>0</v>
      </c>
      <c r="U8" s="57">
        <f t="shared" si="6"/>
        <v>0</v>
      </c>
      <c r="V8" s="57">
        <f t="shared" si="6"/>
        <v>0</v>
      </c>
      <c r="W8" s="57">
        <f t="shared" si="6"/>
        <v>0</v>
      </c>
      <c r="X8" s="57">
        <f t="shared" si="6"/>
        <v>0</v>
      </c>
      <c r="Y8" s="57">
        <f t="shared" si="6"/>
        <v>0</v>
      </c>
      <c r="Z8" s="57">
        <f t="shared" si="6"/>
        <v>0</v>
      </c>
      <c r="AA8" s="57">
        <f t="shared" si="6"/>
        <v>0</v>
      </c>
      <c r="AB8" s="57">
        <f t="shared" si="6"/>
        <v>0</v>
      </c>
      <c r="AC8" s="57">
        <f t="shared" si="6"/>
        <v>0</v>
      </c>
      <c r="AD8" s="57">
        <f t="shared" si="6"/>
        <v>0</v>
      </c>
      <c r="AE8" s="57">
        <f t="shared" si="6"/>
        <v>0</v>
      </c>
      <c r="AF8" s="57">
        <f t="shared" si="6"/>
        <v>0</v>
      </c>
      <c r="AG8" s="31"/>
      <c r="AH8" s="31"/>
      <c r="AI8" s="31"/>
      <c r="AJ8" s="31"/>
      <c r="AK8" s="31"/>
      <c r="AL8" s="31"/>
      <c r="AM8" s="31"/>
      <c r="AN8" s="31"/>
      <c r="AO8" s="31"/>
      <c r="AP8" s="31"/>
      <c r="AQ8" s="31"/>
      <c r="AR8" s="31"/>
      <c r="AS8" s="31"/>
      <c r="AT8" s="31"/>
      <c r="AU8" s="31"/>
      <c r="AV8" s="31"/>
      <c r="AW8" s="31"/>
      <c r="AX8" s="31"/>
      <c r="AY8" s="31"/>
      <c r="AZ8" s="31"/>
    </row>
    <row r="9" spans="1:52" ht="14.25" customHeight="1">
      <c r="A9" s="5" t="s">
        <v>53</v>
      </c>
      <c r="B9" s="57">
        <v>0</v>
      </c>
      <c r="C9" s="57">
        <f t="shared" ref="C9:AF9" si="7">$B$9</f>
        <v>0</v>
      </c>
      <c r="D9" s="57">
        <f t="shared" si="7"/>
        <v>0</v>
      </c>
      <c r="E9" s="57">
        <f t="shared" si="7"/>
        <v>0</v>
      </c>
      <c r="F9" s="57">
        <f t="shared" si="7"/>
        <v>0</v>
      </c>
      <c r="G9" s="57">
        <f t="shared" si="7"/>
        <v>0</v>
      </c>
      <c r="H9" s="57">
        <f t="shared" si="7"/>
        <v>0</v>
      </c>
      <c r="I9" s="57">
        <f t="shared" si="7"/>
        <v>0</v>
      </c>
      <c r="J9" s="57">
        <f t="shared" si="7"/>
        <v>0</v>
      </c>
      <c r="K9" s="57">
        <f t="shared" si="7"/>
        <v>0</v>
      </c>
      <c r="L9" s="57">
        <f t="shared" si="7"/>
        <v>0</v>
      </c>
      <c r="M9" s="57">
        <f t="shared" si="7"/>
        <v>0</v>
      </c>
      <c r="N9" s="57">
        <f t="shared" si="7"/>
        <v>0</v>
      </c>
      <c r="O9" s="57">
        <f t="shared" si="7"/>
        <v>0</v>
      </c>
      <c r="P9" s="57">
        <f t="shared" si="7"/>
        <v>0</v>
      </c>
      <c r="Q9" s="57">
        <f t="shared" si="7"/>
        <v>0</v>
      </c>
      <c r="R9" s="57">
        <f t="shared" si="7"/>
        <v>0</v>
      </c>
      <c r="S9" s="57">
        <f t="shared" si="7"/>
        <v>0</v>
      </c>
      <c r="T9" s="57">
        <f t="shared" si="7"/>
        <v>0</v>
      </c>
      <c r="U9" s="57">
        <f t="shared" si="7"/>
        <v>0</v>
      </c>
      <c r="V9" s="57">
        <f t="shared" si="7"/>
        <v>0</v>
      </c>
      <c r="W9" s="57">
        <f t="shared" si="7"/>
        <v>0</v>
      </c>
      <c r="X9" s="57">
        <f t="shared" si="7"/>
        <v>0</v>
      </c>
      <c r="Y9" s="57">
        <f t="shared" si="7"/>
        <v>0</v>
      </c>
      <c r="Z9" s="57">
        <f t="shared" si="7"/>
        <v>0</v>
      </c>
      <c r="AA9" s="57">
        <f t="shared" si="7"/>
        <v>0</v>
      </c>
      <c r="AB9" s="57">
        <f t="shared" si="7"/>
        <v>0</v>
      </c>
      <c r="AC9" s="57">
        <f t="shared" si="7"/>
        <v>0</v>
      </c>
      <c r="AD9" s="57">
        <f t="shared" si="7"/>
        <v>0</v>
      </c>
      <c r="AE9" s="57">
        <f t="shared" si="7"/>
        <v>0</v>
      </c>
      <c r="AF9" s="57">
        <f t="shared" si="7"/>
        <v>0</v>
      </c>
      <c r="AG9" s="31"/>
      <c r="AH9" s="31"/>
      <c r="AI9" s="31"/>
      <c r="AJ9" s="31"/>
      <c r="AK9" s="31"/>
      <c r="AL9" s="31"/>
      <c r="AM9" s="31"/>
      <c r="AN9" s="31"/>
      <c r="AO9" s="31"/>
      <c r="AP9" s="31"/>
      <c r="AQ9" s="31"/>
      <c r="AR9" s="31"/>
      <c r="AS9" s="31"/>
      <c r="AT9" s="31"/>
      <c r="AU9" s="31"/>
      <c r="AV9" s="31"/>
      <c r="AW9" s="31"/>
      <c r="AX9" s="31"/>
      <c r="AY9" s="31"/>
      <c r="AZ9" s="31"/>
    </row>
    <row r="10" spans="1:52" ht="14.25" customHeight="1">
      <c r="A10" s="5" t="s">
        <v>54</v>
      </c>
      <c r="B10" s="57">
        <v>0</v>
      </c>
      <c r="C10" s="57">
        <f t="shared" ref="C10:AF10" si="8">$B10</f>
        <v>0</v>
      </c>
      <c r="D10" s="57">
        <f t="shared" si="8"/>
        <v>0</v>
      </c>
      <c r="E10" s="57">
        <f t="shared" si="8"/>
        <v>0</v>
      </c>
      <c r="F10" s="57">
        <f t="shared" si="8"/>
        <v>0</v>
      </c>
      <c r="G10" s="57">
        <f t="shared" si="8"/>
        <v>0</v>
      </c>
      <c r="H10" s="57">
        <f t="shared" si="8"/>
        <v>0</v>
      </c>
      <c r="I10" s="57">
        <f t="shared" si="8"/>
        <v>0</v>
      </c>
      <c r="J10" s="57">
        <f t="shared" si="8"/>
        <v>0</v>
      </c>
      <c r="K10" s="57">
        <f t="shared" si="8"/>
        <v>0</v>
      </c>
      <c r="L10" s="57">
        <f t="shared" si="8"/>
        <v>0</v>
      </c>
      <c r="M10" s="57">
        <f t="shared" si="8"/>
        <v>0</v>
      </c>
      <c r="N10" s="57">
        <f t="shared" si="8"/>
        <v>0</v>
      </c>
      <c r="O10" s="57">
        <f t="shared" si="8"/>
        <v>0</v>
      </c>
      <c r="P10" s="57">
        <f t="shared" si="8"/>
        <v>0</v>
      </c>
      <c r="Q10" s="57">
        <f t="shared" si="8"/>
        <v>0</v>
      </c>
      <c r="R10" s="57">
        <f t="shared" si="8"/>
        <v>0</v>
      </c>
      <c r="S10" s="57">
        <f t="shared" si="8"/>
        <v>0</v>
      </c>
      <c r="T10" s="57">
        <f t="shared" si="8"/>
        <v>0</v>
      </c>
      <c r="U10" s="57">
        <f t="shared" si="8"/>
        <v>0</v>
      </c>
      <c r="V10" s="57">
        <f t="shared" si="8"/>
        <v>0</v>
      </c>
      <c r="W10" s="57">
        <f t="shared" si="8"/>
        <v>0</v>
      </c>
      <c r="X10" s="57">
        <f t="shared" si="8"/>
        <v>0</v>
      </c>
      <c r="Y10" s="57">
        <f t="shared" si="8"/>
        <v>0</v>
      </c>
      <c r="Z10" s="57">
        <f t="shared" si="8"/>
        <v>0</v>
      </c>
      <c r="AA10" s="57">
        <f t="shared" si="8"/>
        <v>0</v>
      </c>
      <c r="AB10" s="57">
        <f t="shared" si="8"/>
        <v>0</v>
      </c>
      <c r="AC10" s="57">
        <f t="shared" si="8"/>
        <v>0</v>
      </c>
      <c r="AD10" s="57">
        <f t="shared" si="8"/>
        <v>0</v>
      </c>
      <c r="AE10" s="57">
        <f t="shared" si="8"/>
        <v>0</v>
      </c>
      <c r="AF10" s="57">
        <f t="shared" si="8"/>
        <v>0</v>
      </c>
      <c r="AG10" s="31"/>
      <c r="AH10" s="31"/>
      <c r="AI10" s="31"/>
      <c r="AJ10" s="31"/>
      <c r="AK10" s="31"/>
      <c r="AL10" s="31"/>
      <c r="AM10" s="31"/>
      <c r="AN10" s="31"/>
      <c r="AO10" s="31"/>
      <c r="AP10" s="31"/>
      <c r="AQ10" s="31"/>
      <c r="AR10" s="31"/>
      <c r="AS10" s="31"/>
      <c r="AT10" s="31"/>
      <c r="AU10" s="31"/>
      <c r="AV10" s="31"/>
      <c r="AW10" s="31"/>
      <c r="AX10" s="31"/>
      <c r="AY10" s="31"/>
      <c r="AZ10" s="31"/>
    </row>
    <row r="11" spans="1:52" ht="14.25" customHeight="1">
      <c r="A11" s="5" t="s">
        <v>55</v>
      </c>
      <c r="B11" s="57">
        <v>0</v>
      </c>
      <c r="C11" s="57">
        <f t="shared" ref="C11:AF11" si="9">$B11</f>
        <v>0</v>
      </c>
      <c r="D11" s="57">
        <f t="shared" si="9"/>
        <v>0</v>
      </c>
      <c r="E11" s="57">
        <f t="shared" si="9"/>
        <v>0</v>
      </c>
      <c r="F11" s="57">
        <f t="shared" si="9"/>
        <v>0</v>
      </c>
      <c r="G11" s="57">
        <f t="shared" si="9"/>
        <v>0</v>
      </c>
      <c r="H11" s="57">
        <f t="shared" si="9"/>
        <v>0</v>
      </c>
      <c r="I11" s="57">
        <f t="shared" si="9"/>
        <v>0</v>
      </c>
      <c r="J11" s="57">
        <f t="shared" si="9"/>
        <v>0</v>
      </c>
      <c r="K11" s="57">
        <f t="shared" si="9"/>
        <v>0</v>
      </c>
      <c r="L11" s="57">
        <f t="shared" si="9"/>
        <v>0</v>
      </c>
      <c r="M11" s="57">
        <f t="shared" si="9"/>
        <v>0</v>
      </c>
      <c r="N11" s="57">
        <f t="shared" si="9"/>
        <v>0</v>
      </c>
      <c r="O11" s="57">
        <f t="shared" si="9"/>
        <v>0</v>
      </c>
      <c r="P11" s="57">
        <f t="shared" si="9"/>
        <v>0</v>
      </c>
      <c r="Q11" s="57">
        <f t="shared" si="9"/>
        <v>0</v>
      </c>
      <c r="R11" s="57">
        <f t="shared" si="9"/>
        <v>0</v>
      </c>
      <c r="S11" s="57">
        <f t="shared" si="9"/>
        <v>0</v>
      </c>
      <c r="T11" s="57">
        <f t="shared" si="9"/>
        <v>0</v>
      </c>
      <c r="U11" s="57">
        <f t="shared" si="9"/>
        <v>0</v>
      </c>
      <c r="V11" s="57">
        <f t="shared" si="9"/>
        <v>0</v>
      </c>
      <c r="W11" s="57">
        <f t="shared" si="9"/>
        <v>0</v>
      </c>
      <c r="X11" s="57">
        <f t="shared" si="9"/>
        <v>0</v>
      </c>
      <c r="Y11" s="57">
        <f t="shared" si="9"/>
        <v>0</v>
      </c>
      <c r="Z11" s="57">
        <f t="shared" si="9"/>
        <v>0</v>
      </c>
      <c r="AA11" s="57">
        <f t="shared" si="9"/>
        <v>0</v>
      </c>
      <c r="AB11" s="57">
        <f t="shared" si="9"/>
        <v>0</v>
      </c>
      <c r="AC11" s="57">
        <f t="shared" si="9"/>
        <v>0</v>
      </c>
      <c r="AD11" s="57">
        <f t="shared" si="9"/>
        <v>0</v>
      </c>
      <c r="AE11" s="57">
        <f t="shared" si="9"/>
        <v>0</v>
      </c>
      <c r="AF11" s="57">
        <f t="shared" si="9"/>
        <v>0</v>
      </c>
      <c r="AG11" s="31"/>
      <c r="AH11" s="31"/>
      <c r="AI11" s="31"/>
      <c r="AJ11" s="31"/>
      <c r="AK11" s="31"/>
      <c r="AL11" s="31"/>
      <c r="AM11" s="31"/>
      <c r="AN11" s="31"/>
      <c r="AO11" s="31"/>
      <c r="AP11" s="31"/>
      <c r="AQ11" s="31"/>
      <c r="AR11" s="31"/>
      <c r="AS11" s="31"/>
      <c r="AT11" s="31"/>
      <c r="AU11" s="31"/>
      <c r="AV11" s="31"/>
      <c r="AW11" s="31"/>
      <c r="AX11" s="31"/>
      <c r="AY11" s="31"/>
      <c r="AZ11" s="31"/>
    </row>
    <row r="12" spans="1:52" ht="14.25" customHeight="1">
      <c r="A12" s="5" t="s">
        <v>56</v>
      </c>
      <c r="B12" s="57">
        <v>0</v>
      </c>
      <c r="C12" s="57">
        <f t="shared" ref="C12:AF12" si="10">$B12</f>
        <v>0</v>
      </c>
      <c r="D12" s="57">
        <f t="shared" si="10"/>
        <v>0</v>
      </c>
      <c r="E12" s="57">
        <f t="shared" si="10"/>
        <v>0</v>
      </c>
      <c r="F12" s="57">
        <f t="shared" si="10"/>
        <v>0</v>
      </c>
      <c r="G12" s="57">
        <f t="shared" si="10"/>
        <v>0</v>
      </c>
      <c r="H12" s="57">
        <f t="shared" si="10"/>
        <v>0</v>
      </c>
      <c r="I12" s="57">
        <f t="shared" si="10"/>
        <v>0</v>
      </c>
      <c r="J12" s="57">
        <f t="shared" si="10"/>
        <v>0</v>
      </c>
      <c r="K12" s="57">
        <f t="shared" si="10"/>
        <v>0</v>
      </c>
      <c r="L12" s="57">
        <f t="shared" si="10"/>
        <v>0</v>
      </c>
      <c r="M12" s="57">
        <f t="shared" si="10"/>
        <v>0</v>
      </c>
      <c r="N12" s="57">
        <f t="shared" si="10"/>
        <v>0</v>
      </c>
      <c r="O12" s="57">
        <f t="shared" si="10"/>
        <v>0</v>
      </c>
      <c r="P12" s="57">
        <f t="shared" si="10"/>
        <v>0</v>
      </c>
      <c r="Q12" s="57">
        <f t="shared" si="10"/>
        <v>0</v>
      </c>
      <c r="R12" s="57">
        <f t="shared" si="10"/>
        <v>0</v>
      </c>
      <c r="S12" s="57">
        <f t="shared" si="10"/>
        <v>0</v>
      </c>
      <c r="T12" s="57">
        <f t="shared" si="10"/>
        <v>0</v>
      </c>
      <c r="U12" s="57">
        <f t="shared" si="10"/>
        <v>0</v>
      </c>
      <c r="V12" s="57">
        <f t="shared" si="10"/>
        <v>0</v>
      </c>
      <c r="W12" s="57">
        <f t="shared" si="10"/>
        <v>0</v>
      </c>
      <c r="X12" s="57">
        <f t="shared" si="10"/>
        <v>0</v>
      </c>
      <c r="Y12" s="57">
        <f t="shared" si="10"/>
        <v>0</v>
      </c>
      <c r="Z12" s="57">
        <f t="shared" si="10"/>
        <v>0</v>
      </c>
      <c r="AA12" s="57">
        <f t="shared" si="10"/>
        <v>0</v>
      </c>
      <c r="AB12" s="57">
        <f t="shared" si="10"/>
        <v>0</v>
      </c>
      <c r="AC12" s="57">
        <f t="shared" si="10"/>
        <v>0</v>
      </c>
      <c r="AD12" s="57">
        <f t="shared" si="10"/>
        <v>0</v>
      </c>
      <c r="AE12" s="57">
        <f t="shared" si="10"/>
        <v>0</v>
      </c>
      <c r="AF12" s="57">
        <f t="shared" si="10"/>
        <v>0</v>
      </c>
      <c r="AG12" s="31"/>
      <c r="AH12" s="31"/>
      <c r="AI12" s="31"/>
      <c r="AJ12" s="31"/>
      <c r="AK12" s="31"/>
      <c r="AL12" s="31"/>
      <c r="AM12" s="31"/>
      <c r="AN12" s="31"/>
      <c r="AO12" s="31"/>
      <c r="AP12" s="31"/>
      <c r="AQ12" s="31"/>
      <c r="AR12" s="31"/>
      <c r="AS12" s="31"/>
      <c r="AT12" s="31"/>
      <c r="AU12" s="31"/>
      <c r="AV12" s="31"/>
      <c r="AW12" s="31"/>
      <c r="AX12" s="31"/>
      <c r="AY12" s="31"/>
      <c r="AZ12" s="31"/>
    </row>
    <row r="13" spans="1:52" ht="14.25" customHeight="1">
      <c r="A13" s="5" t="s">
        <v>57</v>
      </c>
      <c r="B13" s="57">
        <v>0</v>
      </c>
      <c r="C13" s="57">
        <f t="shared" ref="C13:AF13" si="11">$B13</f>
        <v>0</v>
      </c>
      <c r="D13" s="57">
        <f t="shared" si="11"/>
        <v>0</v>
      </c>
      <c r="E13" s="57">
        <f t="shared" si="11"/>
        <v>0</v>
      </c>
      <c r="F13" s="57">
        <f t="shared" si="11"/>
        <v>0</v>
      </c>
      <c r="G13" s="57">
        <f t="shared" si="11"/>
        <v>0</v>
      </c>
      <c r="H13" s="57">
        <f t="shared" si="11"/>
        <v>0</v>
      </c>
      <c r="I13" s="57">
        <f t="shared" si="11"/>
        <v>0</v>
      </c>
      <c r="J13" s="57">
        <f t="shared" si="11"/>
        <v>0</v>
      </c>
      <c r="K13" s="57">
        <f t="shared" si="11"/>
        <v>0</v>
      </c>
      <c r="L13" s="57">
        <f t="shared" si="11"/>
        <v>0</v>
      </c>
      <c r="M13" s="57">
        <f t="shared" si="11"/>
        <v>0</v>
      </c>
      <c r="N13" s="57">
        <f t="shared" si="11"/>
        <v>0</v>
      </c>
      <c r="O13" s="57">
        <f t="shared" si="11"/>
        <v>0</v>
      </c>
      <c r="P13" s="57">
        <f t="shared" si="11"/>
        <v>0</v>
      </c>
      <c r="Q13" s="57">
        <f t="shared" si="11"/>
        <v>0</v>
      </c>
      <c r="R13" s="57">
        <f t="shared" si="11"/>
        <v>0</v>
      </c>
      <c r="S13" s="57">
        <f t="shared" si="11"/>
        <v>0</v>
      </c>
      <c r="T13" s="57">
        <f t="shared" si="11"/>
        <v>0</v>
      </c>
      <c r="U13" s="57">
        <f t="shared" si="11"/>
        <v>0</v>
      </c>
      <c r="V13" s="57">
        <f t="shared" si="11"/>
        <v>0</v>
      </c>
      <c r="W13" s="57">
        <f t="shared" si="11"/>
        <v>0</v>
      </c>
      <c r="X13" s="57">
        <f t="shared" si="11"/>
        <v>0</v>
      </c>
      <c r="Y13" s="57">
        <f t="shared" si="11"/>
        <v>0</v>
      </c>
      <c r="Z13" s="57">
        <f t="shared" si="11"/>
        <v>0</v>
      </c>
      <c r="AA13" s="57">
        <f t="shared" si="11"/>
        <v>0</v>
      </c>
      <c r="AB13" s="57">
        <f t="shared" si="11"/>
        <v>0</v>
      </c>
      <c r="AC13" s="57">
        <f t="shared" si="11"/>
        <v>0</v>
      </c>
      <c r="AD13" s="57">
        <f t="shared" si="11"/>
        <v>0</v>
      </c>
      <c r="AE13" s="57">
        <f t="shared" si="11"/>
        <v>0</v>
      </c>
      <c r="AF13" s="57">
        <f t="shared" si="11"/>
        <v>0</v>
      </c>
      <c r="AG13" s="31"/>
      <c r="AH13" s="31"/>
      <c r="AI13" s="31"/>
      <c r="AJ13" s="31"/>
      <c r="AK13" s="31"/>
      <c r="AL13" s="31"/>
      <c r="AM13" s="31"/>
      <c r="AN13" s="31"/>
      <c r="AO13" s="31"/>
      <c r="AP13" s="31"/>
      <c r="AQ13" s="31"/>
      <c r="AR13" s="31"/>
      <c r="AS13" s="31"/>
      <c r="AT13" s="31"/>
      <c r="AU13" s="31"/>
      <c r="AV13" s="31"/>
      <c r="AW13" s="31"/>
      <c r="AX13" s="31"/>
      <c r="AY13" s="31"/>
      <c r="AZ13" s="31"/>
    </row>
    <row r="14" spans="1:52" ht="14.25" customHeight="1">
      <c r="A14" s="5" t="s">
        <v>58</v>
      </c>
      <c r="B14" s="57">
        <v>0</v>
      </c>
      <c r="C14" s="57">
        <f t="shared" ref="C14:AF14" si="12">$B14</f>
        <v>0</v>
      </c>
      <c r="D14" s="57">
        <f t="shared" si="12"/>
        <v>0</v>
      </c>
      <c r="E14" s="57">
        <f t="shared" si="12"/>
        <v>0</v>
      </c>
      <c r="F14" s="57">
        <f t="shared" si="12"/>
        <v>0</v>
      </c>
      <c r="G14" s="57">
        <f t="shared" si="12"/>
        <v>0</v>
      </c>
      <c r="H14" s="57">
        <f t="shared" si="12"/>
        <v>0</v>
      </c>
      <c r="I14" s="57">
        <f t="shared" si="12"/>
        <v>0</v>
      </c>
      <c r="J14" s="57">
        <f t="shared" si="12"/>
        <v>0</v>
      </c>
      <c r="K14" s="57">
        <f t="shared" si="12"/>
        <v>0</v>
      </c>
      <c r="L14" s="57">
        <f t="shared" si="12"/>
        <v>0</v>
      </c>
      <c r="M14" s="57">
        <f t="shared" si="12"/>
        <v>0</v>
      </c>
      <c r="N14" s="57">
        <f t="shared" si="12"/>
        <v>0</v>
      </c>
      <c r="O14" s="57">
        <f t="shared" si="12"/>
        <v>0</v>
      </c>
      <c r="P14" s="57">
        <f t="shared" si="12"/>
        <v>0</v>
      </c>
      <c r="Q14" s="57">
        <f t="shared" si="12"/>
        <v>0</v>
      </c>
      <c r="R14" s="57">
        <f t="shared" si="12"/>
        <v>0</v>
      </c>
      <c r="S14" s="57">
        <f t="shared" si="12"/>
        <v>0</v>
      </c>
      <c r="T14" s="57">
        <f t="shared" si="12"/>
        <v>0</v>
      </c>
      <c r="U14" s="57">
        <f t="shared" si="12"/>
        <v>0</v>
      </c>
      <c r="V14" s="57">
        <f t="shared" si="12"/>
        <v>0</v>
      </c>
      <c r="W14" s="57">
        <f t="shared" si="12"/>
        <v>0</v>
      </c>
      <c r="X14" s="57">
        <f t="shared" si="12"/>
        <v>0</v>
      </c>
      <c r="Y14" s="57">
        <f t="shared" si="12"/>
        <v>0</v>
      </c>
      <c r="Z14" s="57">
        <f t="shared" si="12"/>
        <v>0</v>
      </c>
      <c r="AA14" s="57">
        <f t="shared" si="12"/>
        <v>0</v>
      </c>
      <c r="AB14" s="57">
        <f t="shared" si="12"/>
        <v>0</v>
      </c>
      <c r="AC14" s="57">
        <f t="shared" si="12"/>
        <v>0</v>
      </c>
      <c r="AD14" s="57">
        <f t="shared" si="12"/>
        <v>0</v>
      </c>
      <c r="AE14" s="57">
        <f t="shared" si="12"/>
        <v>0</v>
      </c>
      <c r="AF14" s="57">
        <f t="shared" si="12"/>
        <v>0</v>
      </c>
      <c r="AG14" s="31"/>
      <c r="AH14" s="31"/>
      <c r="AI14" s="31"/>
      <c r="AJ14" s="31"/>
      <c r="AK14" s="31"/>
      <c r="AL14" s="31"/>
      <c r="AM14" s="31"/>
      <c r="AN14" s="31"/>
      <c r="AO14" s="31"/>
      <c r="AP14" s="31"/>
      <c r="AQ14" s="31"/>
      <c r="AR14" s="31"/>
      <c r="AS14" s="31"/>
      <c r="AT14" s="31"/>
      <c r="AU14" s="31"/>
      <c r="AV14" s="31"/>
      <c r="AW14" s="31"/>
      <c r="AX14" s="31"/>
      <c r="AY14" s="31"/>
      <c r="AZ14" s="31"/>
    </row>
    <row r="15" spans="1:52" ht="14.25" customHeight="1">
      <c r="A15" s="5" t="s">
        <v>59</v>
      </c>
      <c r="B15" s="57">
        <v>0</v>
      </c>
      <c r="C15" s="57">
        <f t="shared" ref="C15:AF15" si="13">$B15</f>
        <v>0</v>
      </c>
      <c r="D15" s="57">
        <f t="shared" si="13"/>
        <v>0</v>
      </c>
      <c r="E15" s="57">
        <f t="shared" si="13"/>
        <v>0</v>
      </c>
      <c r="F15" s="57">
        <f t="shared" si="13"/>
        <v>0</v>
      </c>
      <c r="G15" s="57">
        <f t="shared" si="13"/>
        <v>0</v>
      </c>
      <c r="H15" s="57">
        <f t="shared" si="13"/>
        <v>0</v>
      </c>
      <c r="I15" s="57">
        <f t="shared" si="13"/>
        <v>0</v>
      </c>
      <c r="J15" s="57">
        <f t="shared" si="13"/>
        <v>0</v>
      </c>
      <c r="K15" s="57">
        <f t="shared" si="13"/>
        <v>0</v>
      </c>
      <c r="L15" s="57">
        <f t="shared" si="13"/>
        <v>0</v>
      </c>
      <c r="M15" s="57">
        <f t="shared" si="13"/>
        <v>0</v>
      </c>
      <c r="N15" s="57">
        <f t="shared" si="13"/>
        <v>0</v>
      </c>
      <c r="O15" s="57">
        <f t="shared" si="13"/>
        <v>0</v>
      </c>
      <c r="P15" s="57">
        <f t="shared" si="13"/>
        <v>0</v>
      </c>
      <c r="Q15" s="57">
        <f t="shared" si="13"/>
        <v>0</v>
      </c>
      <c r="R15" s="57">
        <f t="shared" si="13"/>
        <v>0</v>
      </c>
      <c r="S15" s="57">
        <f t="shared" si="13"/>
        <v>0</v>
      </c>
      <c r="T15" s="57">
        <f t="shared" si="13"/>
        <v>0</v>
      </c>
      <c r="U15" s="57">
        <f t="shared" si="13"/>
        <v>0</v>
      </c>
      <c r="V15" s="57">
        <f t="shared" si="13"/>
        <v>0</v>
      </c>
      <c r="W15" s="57">
        <f t="shared" si="13"/>
        <v>0</v>
      </c>
      <c r="X15" s="57">
        <f t="shared" si="13"/>
        <v>0</v>
      </c>
      <c r="Y15" s="57">
        <f t="shared" si="13"/>
        <v>0</v>
      </c>
      <c r="Z15" s="57">
        <f t="shared" si="13"/>
        <v>0</v>
      </c>
      <c r="AA15" s="57">
        <f t="shared" si="13"/>
        <v>0</v>
      </c>
      <c r="AB15" s="57">
        <f t="shared" si="13"/>
        <v>0</v>
      </c>
      <c r="AC15" s="57">
        <f t="shared" si="13"/>
        <v>0</v>
      </c>
      <c r="AD15" s="57">
        <f t="shared" si="13"/>
        <v>0</v>
      </c>
      <c r="AE15" s="57">
        <f t="shared" si="13"/>
        <v>0</v>
      </c>
      <c r="AF15" s="57">
        <f t="shared" si="13"/>
        <v>0</v>
      </c>
      <c r="AG15" s="31"/>
      <c r="AH15" s="31"/>
      <c r="AI15" s="31"/>
      <c r="AJ15" s="31"/>
      <c r="AK15" s="31"/>
      <c r="AL15" s="31"/>
      <c r="AM15" s="31"/>
      <c r="AN15" s="31"/>
      <c r="AO15" s="31"/>
      <c r="AP15" s="31"/>
      <c r="AQ15" s="31"/>
      <c r="AR15" s="31"/>
      <c r="AS15" s="31"/>
      <c r="AT15" s="31"/>
      <c r="AU15" s="31"/>
      <c r="AV15" s="31"/>
      <c r="AW15" s="31"/>
      <c r="AX15" s="31"/>
      <c r="AY15" s="31"/>
      <c r="AZ15" s="31"/>
    </row>
    <row r="16" spans="1:52" ht="14.25" customHeight="1">
      <c r="A16" s="5" t="s">
        <v>60</v>
      </c>
      <c r="B16" s="57">
        <v>0</v>
      </c>
      <c r="C16" s="57">
        <f t="shared" ref="C16:AF16" si="14">$B16</f>
        <v>0</v>
      </c>
      <c r="D16" s="57">
        <f t="shared" si="14"/>
        <v>0</v>
      </c>
      <c r="E16" s="57">
        <f t="shared" si="14"/>
        <v>0</v>
      </c>
      <c r="F16" s="57">
        <f t="shared" si="14"/>
        <v>0</v>
      </c>
      <c r="G16" s="57">
        <f t="shared" si="14"/>
        <v>0</v>
      </c>
      <c r="H16" s="57">
        <f t="shared" si="14"/>
        <v>0</v>
      </c>
      <c r="I16" s="57">
        <f t="shared" si="14"/>
        <v>0</v>
      </c>
      <c r="J16" s="57">
        <f t="shared" si="14"/>
        <v>0</v>
      </c>
      <c r="K16" s="57">
        <f t="shared" si="14"/>
        <v>0</v>
      </c>
      <c r="L16" s="57">
        <f t="shared" si="14"/>
        <v>0</v>
      </c>
      <c r="M16" s="57">
        <f t="shared" si="14"/>
        <v>0</v>
      </c>
      <c r="N16" s="57">
        <f t="shared" si="14"/>
        <v>0</v>
      </c>
      <c r="O16" s="57">
        <f t="shared" si="14"/>
        <v>0</v>
      </c>
      <c r="P16" s="57">
        <f t="shared" si="14"/>
        <v>0</v>
      </c>
      <c r="Q16" s="57">
        <f t="shared" si="14"/>
        <v>0</v>
      </c>
      <c r="R16" s="57">
        <f t="shared" si="14"/>
        <v>0</v>
      </c>
      <c r="S16" s="57">
        <f t="shared" si="14"/>
        <v>0</v>
      </c>
      <c r="T16" s="57">
        <f t="shared" si="14"/>
        <v>0</v>
      </c>
      <c r="U16" s="57">
        <f t="shared" si="14"/>
        <v>0</v>
      </c>
      <c r="V16" s="57">
        <f t="shared" si="14"/>
        <v>0</v>
      </c>
      <c r="W16" s="57">
        <f t="shared" si="14"/>
        <v>0</v>
      </c>
      <c r="X16" s="57">
        <f t="shared" si="14"/>
        <v>0</v>
      </c>
      <c r="Y16" s="57">
        <f t="shared" si="14"/>
        <v>0</v>
      </c>
      <c r="Z16" s="57">
        <f t="shared" si="14"/>
        <v>0</v>
      </c>
      <c r="AA16" s="57">
        <f t="shared" si="14"/>
        <v>0</v>
      </c>
      <c r="AB16" s="57">
        <f t="shared" si="14"/>
        <v>0</v>
      </c>
      <c r="AC16" s="57">
        <f t="shared" si="14"/>
        <v>0</v>
      </c>
      <c r="AD16" s="57">
        <f t="shared" si="14"/>
        <v>0</v>
      </c>
      <c r="AE16" s="57">
        <f t="shared" si="14"/>
        <v>0</v>
      </c>
      <c r="AF16" s="57">
        <f t="shared" si="14"/>
        <v>0</v>
      </c>
      <c r="AG16" s="31"/>
      <c r="AH16" s="31"/>
      <c r="AI16" s="31"/>
      <c r="AJ16" s="31"/>
      <c r="AK16" s="31"/>
      <c r="AL16" s="31"/>
      <c r="AM16" s="31"/>
      <c r="AN16" s="31"/>
      <c r="AO16" s="31"/>
      <c r="AP16" s="31"/>
      <c r="AQ16" s="31"/>
      <c r="AR16" s="31"/>
      <c r="AS16" s="31"/>
      <c r="AT16" s="31"/>
      <c r="AU16" s="31"/>
      <c r="AV16" s="31"/>
      <c r="AW16" s="31"/>
      <c r="AX16" s="31"/>
      <c r="AY16" s="31"/>
      <c r="AZ16" s="31"/>
    </row>
    <row r="17" spans="1:52" ht="14.25" customHeight="1">
      <c r="A17" s="5" t="s">
        <v>61</v>
      </c>
      <c r="B17" s="57">
        <v>0</v>
      </c>
      <c r="C17" s="57">
        <f t="shared" ref="C17:AF17" si="15">$B17</f>
        <v>0</v>
      </c>
      <c r="D17" s="57">
        <f t="shared" si="15"/>
        <v>0</v>
      </c>
      <c r="E17" s="57">
        <f t="shared" si="15"/>
        <v>0</v>
      </c>
      <c r="F17" s="57">
        <f t="shared" si="15"/>
        <v>0</v>
      </c>
      <c r="G17" s="57">
        <f t="shared" si="15"/>
        <v>0</v>
      </c>
      <c r="H17" s="57">
        <f t="shared" si="15"/>
        <v>0</v>
      </c>
      <c r="I17" s="57">
        <f t="shared" si="15"/>
        <v>0</v>
      </c>
      <c r="J17" s="57">
        <f t="shared" si="15"/>
        <v>0</v>
      </c>
      <c r="K17" s="57">
        <f t="shared" si="15"/>
        <v>0</v>
      </c>
      <c r="L17" s="57">
        <f t="shared" si="15"/>
        <v>0</v>
      </c>
      <c r="M17" s="57">
        <f t="shared" si="15"/>
        <v>0</v>
      </c>
      <c r="N17" s="57">
        <f t="shared" si="15"/>
        <v>0</v>
      </c>
      <c r="O17" s="57">
        <f t="shared" si="15"/>
        <v>0</v>
      </c>
      <c r="P17" s="57">
        <f t="shared" si="15"/>
        <v>0</v>
      </c>
      <c r="Q17" s="57">
        <f t="shared" si="15"/>
        <v>0</v>
      </c>
      <c r="R17" s="57">
        <f t="shared" si="15"/>
        <v>0</v>
      </c>
      <c r="S17" s="57">
        <f t="shared" si="15"/>
        <v>0</v>
      </c>
      <c r="T17" s="57">
        <f t="shared" si="15"/>
        <v>0</v>
      </c>
      <c r="U17" s="57">
        <f t="shared" si="15"/>
        <v>0</v>
      </c>
      <c r="V17" s="57">
        <f t="shared" si="15"/>
        <v>0</v>
      </c>
      <c r="W17" s="57">
        <f t="shared" si="15"/>
        <v>0</v>
      </c>
      <c r="X17" s="57">
        <f t="shared" si="15"/>
        <v>0</v>
      </c>
      <c r="Y17" s="57">
        <f t="shared" si="15"/>
        <v>0</v>
      </c>
      <c r="Z17" s="57">
        <f t="shared" si="15"/>
        <v>0</v>
      </c>
      <c r="AA17" s="57">
        <f t="shared" si="15"/>
        <v>0</v>
      </c>
      <c r="AB17" s="57">
        <f t="shared" si="15"/>
        <v>0</v>
      </c>
      <c r="AC17" s="57">
        <f t="shared" si="15"/>
        <v>0</v>
      </c>
      <c r="AD17" s="57">
        <f t="shared" si="15"/>
        <v>0</v>
      </c>
      <c r="AE17" s="57">
        <f t="shared" si="15"/>
        <v>0</v>
      </c>
      <c r="AF17" s="57">
        <f t="shared" si="15"/>
        <v>0</v>
      </c>
      <c r="AG17" s="31"/>
      <c r="AH17" s="31"/>
      <c r="AI17" s="31"/>
      <c r="AJ17" s="31"/>
      <c r="AK17" s="31"/>
      <c r="AL17" s="31"/>
      <c r="AM17" s="31"/>
      <c r="AN17" s="31"/>
      <c r="AO17" s="31"/>
      <c r="AP17" s="31"/>
      <c r="AQ17" s="31"/>
      <c r="AR17" s="31"/>
      <c r="AS17" s="31"/>
      <c r="AT17" s="31"/>
      <c r="AU17" s="31"/>
      <c r="AV17" s="31"/>
      <c r="AW17" s="31"/>
      <c r="AX17" s="31"/>
      <c r="AY17" s="31"/>
      <c r="AZ17" s="31"/>
    </row>
    <row r="18" spans="1:52" ht="14.25" customHeight="1">
      <c r="C18" s="5"/>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workbookViewId="0">
      <selection activeCell="B6" sqref="B6"/>
    </sheetView>
  </sheetViews>
  <sheetFormatPr baseColWidth="10" defaultColWidth="14.42578125" defaultRowHeight="15" customHeight="1"/>
  <cols>
    <col min="1" max="1" width="36.42578125" customWidth="1"/>
    <col min="2" max="32" width="7.28515625" customWidth="1"/>
  </cols>
  <sheetData>
    <row r="1" spans="1:52" s="25" customFormat="1" ht="14.25" customHeight="1">
      <c r="A1" s="22" t="s">
        <v>67</v>
      </c>
      <c r="B1" s="16">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5" t="s">
        <v>66</v>
      </c>
      <c r="B2" s="58">
        <f>'CCaMC-VOaMCpUC-pre-ret'!B2</f>
        <v>33.111750000000001</v>
      </c>
      <c r="C2" s="58">
        <f>'CCaMC-VOaMCpUC-pre-ret'!C2</f>
        <v>33.111750000000001</v>
      </c>
      <c r="D2" s="58">
        <f>'CCaMC-VOaMCpUC-pre-ret'!D2</f>
        <v>33.111750000000001</v>
      </c>
      <c r="E2" s="58">
        <f>'CCaMC-VOaMCpUC-pre-ret'!E2</f>
        <v>33.111750000000001</v>
      </c>
      <c r="F2" s="58">
        <f>'CCaMC-VOaMCpUC-pre-ret'!F2</f>
        <v>33.111750000000001</v>
      </c>
      <c r="G2" s="58">
        <f>'CCaMC-VOaMCpUC-pre-ret'!G2</f>
        <v>33.111750000000001</v>
      </c>
      <c r="H2" s="58">
        <f>'CCaMC-VOaMCpUC-pre-ret'!H2</f>
        <v>33.111750000000001</v>
      </c>
      <c r="I2" s="58">
        <f>'CCaMC-VOaMCpUC-pre-ret'!I2</f>
        <v>33.111750000000001</v>
      </c>
      <c r="J2" s="58">
        <f>'CCaMC-VOaMCpUC-pre-ret'!J2</f>
        <v>33.111750000000001</v>
      </c>
      <c r="K2" s="58">
        <f>'CCaMC-VOaMCpUC-pre-ret'!K2</f>
        <v>33.111750000000001</v>
      </c>
      <c r="L2" s="58">
        <f>'CCaMC-VOaMCpUC-pre-ret'!L2</f>
        <v>33.111750000000001</v>
      </c>
      <c r="M2" s="58">
        <f>'CCaMC-VOaMCpUC-pre-ret'!M2</f>
        <v>33.111750000000001</v>
      </c>
      <c r="N2" s="58">
        <f>'CCaMC-VOaMCpUC-pre-ret'!N2</f>
        <v>33.111750000000001</v>
      </c>
      <c r="O2" s="58">
        <f>'CCaMC-VOaMCpUC-pre-ret'!O2</f>
        <v>33.111750000000001</v>
      </c>
      <c r="P2" s="58">
        <f>'CCaMC-VOaMCpUC-pre-ret'!P2</f>
        <v>33.111750000000001</v>
      </c>
      <c r="Q2" s="58">
        <f>'CCaMC-VOaMCpUC-pre-ret'!Q2</f>
        <v>33.111750000000001</v>
      </c>
      <c r="R2" s="58">
        <f>'CCaMC-VOaMCpUC-pre-ret'!R2</f>
        <v>33.111750000000001</v>
      </c>
      <c r="S2" s="58">
        <f>'CCaMC-VOaMCpUC-pre-ret'!S2</f>
        <v>33.111750000000001</v>
      </c>
      <c r="T2" s="58">
        <f>'CCaMC-VOaMCpUC-pre-ret'!T2</f>
        <v>33.111750000000001</v>
      </c>
      <c r="U2" s="58">
        <f>'CCaMC-VOaMCpUC-pre-ret'!U2</f>
        <v>33.111750000000001</v>
      </c>
      <c r="V2" s="58">
        <f>'CCaMC-VOaMCpUC-pre-ret'!V2</f>
        <v>33.111750000000001</v>
      </c>
      <c r="W2" s="58">
        <f>'CCaMC-VOaMCpUC-pre-ret'!W2</f>
        <v>33.111750000000001</v>
      </c>
      <c r="X2" s="58">
        <f>'CCaMC-VOaMCpUC-pre-ret'!X2</f>
        <v>33.111750000000001</v>
      </c>
      <c r="Y2" s="58">
        <f>'CCaMC-VOaMCpUC-pre-ret'!Y2</f>
        <v>33.111750000000001</v>
      </c>
      <c r="Z2" s="58">
        <f>'CCaMC-VOaMCpUC-pre-ret'!Z2</f>
        <v>33.111750000000001</v>
      </c>
      <c r="AA2" s="58">
        <f>'CCaMC-VOaMCpUC-pre-ret'!AA2</f>
        <v>33.111750000000001</v>
      </c>
      <c r="AB2" s="58">
        <f>'CCaMC-VOaMCpUC-pre-ret'!AB2</f>
        <v>33.111750000000001</v>
      </c>
      <c r="AC2" s="58">
        <f>'CCaMC-VOaMCpUC-pre-ret'!AC2</f>
        <v>33.111750000000001</v>
      </c>
      <c r="AD2" s="58">
        <f>'CCaMC-VOaMCpUC-pre-ret'!AD2</f>
        <v>33.111750000000001</v>
      </c>
      <c r="AE2" s="58">
        <f>'CCaMC-VOaMCpUC-pre-ret'!AE2</f>
        <v>33.111750000000001</v>
      </c>
      <c r="AF2" s="58">
        <f>'CCaMC-VOaMCpUC-pre-ret'!AF2</f>
        <v>33.111750000000001</v>
      </c>
      <c r="AG2" s="32"/>
      <c r="AH2" s="32"/>
      <c r="AI2" s="32"/>
      <c r="AJ2" s="32"/>
      <c r="AK2" s="32"/>
      <c r="AL2" s="32"/>
      <c r="AM2" s="32"/>
      <c r="AN2" s="32"/>
      <c r="AO2" s="32"/>
      <c r="AP2" s="32"/>
      <c r="AQ2" s="32"/>
      <c r="AR2" s="32"/>
      <c r="AS2" s="32"/>
      <c r="AT2" s="32"/>
      <c r="AU2" s="32"/>
      <c r="AV2" s="32"/>
      <c r="AW2" s="32"/>
      <c r="AX2" s="32"/>
      <c r="AY2" s="32"/>
      <c r="AZ2" s="32"/>
    </row>
    <row r="3" spans="1:52" ht="14.25" customHeight="1">
      <c r="A3" s="5" t="s">
        <v>49</v>
      </c>
      <c r="B3" s="58">
        <f>'CCaMC-VOaMCpUC-pre-ret'!B3</f>
        <v>92.239874999999998</v>
      </c>
      <c r="C3" s="58">
        <f>'CCaMC-VOaMCpUC-pre-ret'!C3</f>
        <v>92.239874999999998</v>
      </c>
      <c r="D3" s="58">
        <f>'CCaMC-VOaMCpUC-pre-ret'!D3</f>
        <v>92.239874999999998</v>
      </c>
      <c r="E3" s="58">
        <f>'CCaMC-VOaMCpUC-pre-ret'!E3</f>
        <v>92.239874999999998</v>
      </c>
      <c r="F3" s="58">
        <f>'CCaMC-VOaMCpUC-pre-ret'!F3</f>
        <v>92.239874999999998</v>
      </c>
      <c r="G3" s="58">
        <f>'CCaMC-VOaMCpUC-pre-ret'!G3</f>
        <v>92.239874999999998</v>
      </c>
      <c r="H3" s="58">
        <f>'CCaMC-VOaMCpUC-pre-ret'!H3</f>
        <v>92.239874999999998</v>
      </c>
      <c r="I3" s="58">
        <f>'CCaMC-VOaMCpUC-pre-ret'!I3</f>
        <v>92.239874999999998</v>
      </c>
      <c r="J3" s="58">
        <f>'CCaMC-VOaMCpUC-pre-ret'!J3</f>
        <v>92.239874999999998</v>
      </c>
      <c r="K3" s="58">
        <f>'CCaMC-VOaMCpUC-pre-ret'!K3</f>
        <v>92.239874999999998</v>
      </c>
      <c r="L3" s="58">
        <f>'CCaMC-VOaMCpUC-pre-ret'!L3</f>
        <v>92.239874999999998</v>
      </c>
      <c r="M3" s="58">
        <f>'CCaMC-VOaMCpUC-pre-ret'!M3</f>
        <v>92.239874999999998</v>
      </c>
      <c r="N3" s="58">
        <f>'CCaMC-VOaMCpUC-pre-ret'!N3</f>
        <v>92.239874999999998</v>
      </c>
      <c r="O3" s="58">
        <f>'CCaMC-VOaMCpUC-pre-ret'!O3</f>
        <v>92.239874999999998</v>
      </c>
      <c r="P3" s="58">
        <f>'CCaMC-VOaMCpUC-pre-ret'!P3</f>
        <v>92.239874999999998</v>
      </c>
      <c r="Q3" s="58">
        <f>'CCaMC-VOaMCpUC-pre-ret'!Q3</f>
        <v>92.239874999999998</v>
      </c>
      <c r="R3" s="58">
        <f>'CCaMC-VOaMCpUC-pre-ret'!R3</f>
        <v>92.239874999999998</v>
      </c>
      <c r="S3" s="58">
        <f>'CCaMC-VOaMCpUC-pre-ret'!S3</f>
        <v>92.239874999999998</v>
      </c>
      <c r="T3" s="58">
        <f>'CCaMC-VOaMCpUC-pre-ret'!T3</f>
        <v>92.239874999999998</v>
      </c>
      <c r="U3" s="58">
        <f>'CCaMC-VOaMCpUC-pre-ret'!U3</f>
        <v>92.239874999999998</v>
      </c>
      <c r="V3" s="58">
        <f>'CCaMC-VOaMCpUC-pre-ret'!V3</f>
        <v>92.239874999999998</v>
      </c>
      <c r="W3" s="58">
        <f>'CCaMC-VOaMCpUC-pre-ret'!W3</f>
        <v>92.239874999999998</v>
      </c>
      <c r="X3" s="58">
        <f>'CCaMC-VOaMCpUC-pre-ret'!X3</f>
        <v>92.239874999999998</v>
      </c>
      <c r="Y3" s="58">
        <f>'CCaMC-VOaMCpUC-pre-ret'!Y3</f>
        <v>92.239874999999998</v>
      </c>
      <c r="Z3" s="58">
        <f>'CCaMC-VOaMCpUC-pre-ret'!Z3</f>
        <v>92.239874999999998</v>
      </c>
      <c r="AA3" s="58">
        <f>'CCaMC-VOaMCpUC-pre-ret'!AA3</f>
        <v>92.239874999999998</v>
      </c>
      <c r="AB3" s="58">
        <f>'CCaMC-VOaMCpUC-pre-ret'!AB3</f>
        <v>92.239874999999998</v>
      </c>
      <c r="AC3" s="58">
        <f>'CCaMC-VOaMCpUC-pre-ret'!AC3</f>
        <v>92.239874999999998</v>
      </c>
      <c r="AD3" s="58">
        <f>'CCaMC-VOaMCpUC-pre-ret'!AD3</f>
        <v>92.239874999999998</v>
      </c>
      <c r="AE3" s="58">
        <f>'CCaMC-VOaMCpUC-pre-ret'!AE3</f>
        <v>92.239874999999998</v>
      </c>
      <c r="AF3" s="58">
        <f>'CCaMC-VOaMCpUC-pre-ret'!AF3</f>
        <v>92.239874999999998</v>
      </c>
      <c r="AG3" s="32"/>
      <c r="AH3" s="32"/>
      <c r="AI3" s="32"/>
      <c r="AJ3" s="32"/>
      <c r="AK3" s="32"/>
      <c r="AL3" s="32"/>
      <c r="AM3" s="32"/>
      <c r="AN3" s="32"/>
      <c r="AO3" s="32"/>
      <c r="AP3" s="32"/>
      <c r="AQ3" s="32"/>
      <c r="AR3" s="32"/>
      <c r="AS3" s="32"/>
      <c r="AT3" s="32"/>
      <c r="AU3" s="32"/>
      <c r="AV3" s="32"/>
      <c r="AW3" s="32"/>
      <c r="AX3" s="32"/>
      <c r="AY3" s="32"/>
      <c r="AZ3" s="32"/>
    </row>
    <row r="4" spans="1:52" ht="14.25" customHeight="1">
      <c r="A4" s="5" t="s">
        <v>37</v>
      </c>
      <c r="B4" s="58">
        <f>'CCaMC-VOaMCpUC-pre-ret'!B4</f>
        <v>6.3069999999999995</v>
      </c>
      <c r="C4" s="58">
        <f>'CCaMC-VOaMCpUC-pre-ret'!C4</f>
        <v>6.3069999999999995</v>
      </c>
      <c r="D4" s="58">
        <f>'CCaMC-VOaMCpUC-pre-ret'!D4</f>
        <v>6.3069999999999995</v>
      </c>
      <c r="E4" s="58">
        <f>'CCaMC-VOaMCpUC-pre-ret'!E4</f>
        <v>6.3069999999999995</v>
      </c>
      <c r="F4" s="58">
        <f>'CCaMC-VOaMCpUC-pre-ret'!F4</f>
        <v>6.3069999999999995</v>
      </c>
      <c r="G4" s="58">
        <f>'CCaMC-VOaMCpUC-pre-ret'!G4</f>
        <v>6.3069999999999995</v>
      </c>
      <c r="H4" s="58">
        <f>'CCaMC-VOaMCpUC-pre-ret'!H4</f>
        <v>6.3069999999999995</v>
      </c>
      <c r="I4" s="58">
        <f>'CCaMC-VOaMCpUC-pre-ret'!I4</f>
        <v>6.3069999999999995</v>
      </c>
      <c r="J4" s="58">
        <f>'CCaMC-VOaMCpUC-pre-ret'!J4</f>
        <v>6.3069999999999995</v>
      </c>
      <c r="K4" s="58">
        <f>'CCaMC-VOaMCpUC-pre-ret'!K4</f>
        <v>6.3069999999999995</v>
      </c>
      <c r="L4" s="58">
        <f>'CCaMC-VOaMCpUC-pre-ret'!L4</f>
        <v>6.3069999999999995</v>
      </c>
      <c r="M4" s="58">
        <f>'CCaMC-VOaMCpUC-pre-ret'!M4</f>
        <v>6.3069999999999995</v>
      </c>
      <c r="N4" s="58">
        <f>'CCaMC-VOaMCpUC-pre-ret'!N4</f>
        <v>6.3069999999999995</v>
      </c>
      <c r="O4" s="58">
        <f>'CCaMC-VOaMCpUC-pre-ret'!O4</f>
        <v>6.3069999999999995</v>
      </c>
      <c r="P4" s="58">
        <f>'CCaMC-VOaMCpUC-pre-ret'!P4</f>
        <v>6.3069999999999995</v>
      </c>
      <c r="Q4" s="58">
        <f>'CCaMC-VOaMCpUC-pre-ret'!Q4</f>
        <v>6.3069999999999995</v>
      </c>
      <c r="R4" s="58">
        <f>'CCaMC-VOaMCpUC-pre-ret'!R4</f>
        <v>6.3069999999999995</v>
      </c>
      <c r="S4" s="58">
        <f>'CCaMC-VOaMCpUC-pre-ret'!S4</f>
        <v>6.3069999999999995</v>
      </c>
      <c r="T4" s="58">
        <f>'CCaMC-VOaMCpUC-pre-ret'!T4</f>
        <v>6.3069999999999995</v>
      </c>
      <c r="U4" s="58">
        <f>'CCaMC-VOaMCpUC-pre-ret'!U4</f>
        <v>6.3069999999999995</v>
      </c>
      <c r="V4" s="58">
        <f>'CCaMC-VOaMCpUC-pre-ret'!V4</f>
        <v>6.3069999999999995</v>
      </c>
      <c r="W4" s="58">
        <f>'CCaMC-VOaMCpUC-pre-ret'!W4</f>
        <v>6.3069999999999995</v>
      </c>
      <c r="X4" s="58">
        <f>'CCaMC-VOaMCpUC-pre-ret'!X4</f>
        <v>6.3069999999999995</v>
      </c>
      <c r="Y4" s="58">
        <f>'CCaMC-VOaMCpUC-pre-ret'!Y4</f>
        <v>6.3069999999999995</v>
      </c>
      <c r="Z4" s="58">
        <f>'CCaMC-VOaMCpUC-pre-ret'!Z4</f>
        <v>6.3069999999999995</v>
      </c>
      <c r="AA4" s="58">
        <f>'CCaMC-VOaMCpUC-pre-ret'!AA4</f>
        <v>6.3069999999999995</v>
      </c>
      <c r="AB4" s="58">
        <f>'CCaMC-VOaMCpUC-pre-ret'!AB4</f>
        <v>6.3069999999999995</v>
      </c>
      <c r="AC4" s="58">
        <f>'CCaMC-VOaMCpUC-pre-ret'!AC4</f>
        <v>6.3069999999999995</v>
      </c>
      <c r="AD4" s="58">
        <f>'CCaMC-VOaMCpUC-pre-ret'!AD4</f>
        <v>6.3069999999999995</v>
      </c>
      <c r="AE4" s="58">
        <f>'CCaMC-VOaMCpUC-pre-ret'!AE4</f>
        <v>6.3069999999999995</v>
      </c>
      <c r="AF4" s="58">
        <f>'CCaMC-VOaMCpUC-pre-ret'!AF4</f>
        <v>6.3069999999999995</v>
      </c>
      <c r="AG4" s="32"/>
      <c r="AH4" s="32"/>
      <c r="AI4" s="32"/>
      <c r="AJ4" s="32"/>
      <c r="AK4" s="32"/>
      <c r="AL4" s="32"/>
      <c r="AM4" s="32"/>
      <c r="AN4" s="32"/>
      <c r="AO4" s="32"/>
      <c r="AP4" s="32"/>
      <c r="AQ4" s="32"/>
      <c r="AR4" s="32"/>
      <c r="AS4" s="32"/>
      <c r="AT4" s="32"/>
      <c r="AU4" s="32"/>
      <c r="AV4" s="32"/>
      <c r="AW4" s="32"/>
      <c r="AX4" s="32"/>
      <c r="AY4" s="32"/>
      <c r="AZ4" s="32"/>
    </row>
    <row r="5" spans="1:52" ht="14.25" customHeight="1">
      <c r="A5" s="5" t="s">
        <v>50</v>
      </c>
      <c r="B5" s="58">
        <f>'CCaMC-VOaMCpUC-pre-ret'!B5</f>
        <v>0.53</v>
      </c>
      <c r="C5" s="58">
        <f>'CCaMC-VOaMCpUC-pre-ret'!C5</f>
        <v>0.53</v>
      </c>
      <c r="D5" s="58">
        <f>'CCaMC-VOaMCpUC-pre-ret'!D5</f>
        <v>0.53</v>
      </c>
      <c r="E5" s="58">
        <f>'CCaMC-VOaMCpUC-pre-ret'!E5</f>
        <v>0.53</v>
      </c>
      <c r="F5" s="58">
        <f>'CCaMC-VOaMCpUC-pre-ret'!F5</f>
        <v>0.53</v>
      </c>
      <c r="G5" s="58">
        <f>'CCaMC-VOaMCpUC-pre-ret'!G5</f>
        <v>0.53</v>
      </c>
      <c r="H5" s="58">
        <f>'CCaMC-VOaMCpUC-pre-ret'!H5</f>
        <v>0.53</v>
      </c>
      <c r="I5" s="58">
        <f>'CCaMC-VOaMCpUC-pre-ret'!I5</f>
        <v>0.53</v>
      </c>
      <c r="J5" s="58">
        <f>'CCaMC-VOaMCpUC-pre-ret'!J5</f>
        <v>0.53</v>
      </c>
      <c r="K5" s="58">
        <f>'CCaMC-VOaMCpUC-pre-ret'!K5</f>
        <v>0.53</v>
      </c>
      <c r="L5" s="58">
        <f>'CCaMC-VOaMCpUC-pre-ret'!L5</f>
        <v>0.53</v>
      </c>
      <c r="M5" s="58">
        <f>'CCaMC-VOaMCpUC-pre-ret'!M5</f>
        <v>0.53</v>
      </c>
      <c r="N5" s="58">
        <f>'CCaMC-VOaMCpUC-pre-ret'!N5</f>
        <v>0.53</v>
      </c>
      <c r="O5" s="58">
        <f>'CCaMC-VOaMCpUC-pre-ret'!O5</f>
        <v>0.53</v>
      </c>
      <c r="P5" s="58">
        <f>'CCaMC-VOaMCpUC-pre-ret'!P5</f>
        <v>0.53</v>
      </c>
      <c r="Q5" s="58">
        <f>'CCaMC-VOaMCpUC-pre-ret'!Q5</f>
        <v>0.53</v>
      </c>
      <c r="R5" s="58">
        <f>'CCaMC-VOaMCpUC-pre-ret'!R5</f>
        <v>0.53</v>
      </c>
      <c r="S5" s="58">
        <f>'CCaMC-VOaMCpUC-pre-ret'!S5</f>
        <v>0.53</v>
      </c>
      <c r="T5" s="58">
        <f>'CCaMC-VOaMCpUC-pre-ret'!T5</f>
        <v>0.53</v>
      </c>
      <c r="U5" s="58">
        <f>'CCaMC-VOaMCpUC-pre-ret'!U5</f>
        <v>0.53</v>
      </c>
      <c r="V5" s="58">
        <f>'CCaMC-VOaMCpUC-pre-ret'!V5</f>
        <v>0.53</v>
      </c>
      <c r="W5" s="58">
        <f>'CCaMC-VOaMCpUC-pre-ret'!W5</f>
        <v>0.53</v>
      </c>
      <c r="X5" s="58">
        <f>'CCaMC-VOaMCpUC-pre-ret'!X5</f>
        <v>0.53</v>
      </c>
      <c r="Y5" s="58">
        <f>'CCaMC-VOaMCpUC-pre-ret'!Y5</f>
        <v>0.53</v>
      </c>
      <c r="Z5" s="58">
        <f>'CCaMC-VOaMCpUC-pre-ret'!Z5</f>
        <v>0.53</v>
      </c>
      <c r="AA5" s="58">
        <f>'CCaMC-VOaMCpUC-pre-ret'!AA5</f>
        <v>0.53</v>
      </c>
      <c r="AB5" s="58">
        <f>'CCaMC-VOaMCpUC-pre-ret'!AB5</f>
        <v>0.53</v>
      </c>
      <c r="AC5" s="58">
        <f>'CCaMC-VOaMCpUC-pre-ret'!AC5</f>
        <v>0.53</v>
      </c>
      <c r="AD5" s="58">
        <f>'CCaMC-VOaMCpUC-pre-ret'!AD5</f>
        <v>0.53</v>
      </c>
      <c r="AE5" s="58">
        <f>'CCaMC-VOaMCpUC-pre-ret'!AE5</f>
        <v>0.53</v>
      </c>
      <c r="AF5" s="58">
        <f>'CCaMC-VOaMCpUC-pre-ret'!AF5</f>
        <v>0.53</v>
      </c>
      <c r="AG5" s="32"/>
      <c r="AH5" s="32"/>
      <c r="AI5" s="32"/>
      <c r="AJ5" s="32"/>
      <c r="AK5" s="32"/>
      <c r="AL5" s="32"/>
      <c r="AM5" s="32"/>
      <c r="AN5" s="32"/>
      <c r="AO5" s="32"/>
      <c r="AP5" s="32"/>
      <c r="AQ5" s="32"/>
      <c r="AR5" s="32"/>
      <c r="AS5" s="32"/>
      <c r="AT5" s="32"/>
      <c r="AU5" s="32"/>
      <c r="AV5" s="32"/>
      <c r="AW5" s="32"/>
      <c r="AX5" s="32"/>
      <c r="AY5" s="32"/>
      <c r="AZ5" s="32"/>
    </row>
    <row r="6" spans="1:52" ht="14.25" customHeight="1">
      <c r="A6" s="5" t="s">
        <v>51</v>
      </c>
      <c r="B6" s="58">
        <f>'CCaMC-VOaMCpUC-pre-ret'!B6</f>
        <v>40.326000000000001</v>
      </c>
      <c r="C6" s="58">
        <f>'CCaMC-VOaMCpUC-pre-ret'!C6</f>
        <v>40.326000000000001</v>
      </c>
      <c r="D6" s="58">
        <f>'CCaMC-VOaMCpUC-pre-ret'!D6</f>
        <v>40.326000000000001</v>
      </c>
      <c r="E6" s="58">
        <f>'CCaMC-VOaMCpUC-pre-ret'!E6</f>
        <v>40.326000000000001</v>
      </c>
      <c r="F6" s="58">
        <f>'CCaMC-VOaMCpUC-pre-ret'!F6</f>
        <v>40.326000000000001</v>
      </c>
      <c r="G6" s="58">
        <f>'CCaMC-VOaMCpUC-pre-ret'!G6</f>
        <v>40.326000000000001</v>
      </c>
      <c r="H6" s="58">
        <f>'CCaMC-VOaMCpUC-pre-ret'!H6</f>
        <v>40.326000000000001</v>
      </c>
      <c r="I6" s="58">
        <f>'CCaMC-VOaMCpUC-pre-ret'!I6</f>
        <v>40.326000000000001</v>
      </c>
      <c r="J6" s="58">
        <f>'CCaMC-VOaMCpUC-pre-ret'!J6</f>
        <v>40.326000000000001</v>
      </c>
      <c r="K6" s="58">
        <f>'CCaMC-VOaMCpUC-pre-ret'!K6</f>
        <v>40.326000000000001</v>
      </c>
      <c r="L6" s="58">
        <f>'CCaMC-VOaMCpUC-pre-ret'!L6</f>
        <v>40.326000000000001</v>
      </c>
      <c r="M6" s="58">
        <f>'CCaMC-VOaMCpUC-pre-ret'!M6</f>
        <v>40.326000000000001</v>
      </c>
      <c r="N6" s="58">
        <f>'CCaMC-VOaMCpUC-pre-ret'!N6</f>
        <v>40.326000000000001</v>
      </c>
      <c r="O6" s="58">
        <f>'CCaMC-VOaMCpUC-pre-ret'!O6</f>
        <v>40.326000000000001</v>
      </c>
      <c r="P6" s="58">
        <f>'CCaMC-VOaMCpUC-pre-ret'!P6</f>
        <v>40.326000000000001</v>
      </c>
      <c r="Q6" s="58">
        <f>'CCaMC-VOaMCpUC-pre-ret'!Q6</f>
        <v>40.326000000000001</v>
      </c>
      <c r="R6" s="58">
        <f>'CCaMC-VOaMCpUC-pre-ret'!R6</f>
        <v>40.326000000000001</v>
      </c>
      <c r="S6" s="58">
        <f>'CCaMC-VOaMCpUC-pre-ret'!S6</f>
        <v>40.326000000000001</v>
      </c>
      <c r="T6" s="58">
        <f>'CCaMC-VOaMCpUC-pre-ret'!T6</f>
        <v>40.326000000000001</v>
      </c>
      <c r="U6" s="58">
        <f>'CCaMC-VOaMCpUC-pre-ret'!U6</f>
        <v>40.326000000000001</v>
      </c>
      <c r="V6" s="58">
        <f>'CCaMC-VOaMCpUC-pre-ret'!V6</f>
        <v>40.326000000000001</v>
      </c>
      <c r="W6" s="58">
        <f>'CCaMC-VOaMCpUC-pre-ret'!W6</f>
        <v>40.326000000000001</v>
      </c>
      <c r="X6" s="58">
        <f>'CCaMC-VOaMCpUC-pre-ret'!X6</f>
        <v>40.326000000000001</v>
      </c>
      <c r="Y6" s="58">
        <f>'CCaMC-VOaMCpUC-pre-ret'!Y6</f>
        <v>40.326000000000001</v>
      </c>
      <c r="Z6" s="58">
        <f>'CCaMC-VOaMCpUC-pre-ret'!Z6</f>
        <v>40.326000000000001</v>
      </c>
      <c r="AA6" s="58">
        <f>'CCaMC-VOaMCpUC-pre-ret'!AA6</f>
        <v>40.326000000000001</v>
      </c>
      <c r="AB6" s="58">
        <f>'CCaMC-VOaMCpUC-pre-ret'!AB6</f>
        <v>40.326000000000001</v>
      </c>
      <c r="AC6" s="58">
        <f>'CCaMC-VOaMCpUC-pre-ret'!AC6</f>
        <v>40.326000000000001</v>
      </c>
      <c r="AD6" s="58">
        <f>'CCaMC-VOaMCpUC-pre-ret'!AD6</f>
        <v>40.326000000000001</v>
      </c>
      <c r="AE6" s="58">
        <f>'CCaMC-VOaMCpUC-pre-ret'!AE6</f>
        <v>40.326000000000001</v>
      </c>
      <c r="AF6" s="58">
        <f>'CCaMC-VOaMCpUC-pre-ret'!AF6</f>
        <v>40.326000000000001</v>
      </c>
      <c r="AG6" s="32"/>
      <c r="AH6" s="32"/>
      <c r="AI6" s="32"/>
      <c r="AJ6" s="32"/>
      <c r="AK6" s="32"/>
      <c r="AL6" s="32"/>
      <c r="AM6" s="32"/>
      <c r="AN6" s="32"/>
      <c r="AO6" s="32"/>
      <c r="AP6" s="32"/>
      <c r="AQ6" s="32"/>
      <c r="AR6" s="32"/>
      <c r="AS6" s="32"/>
      <c r="AT6" s="32"/>
      <c r="AU6" s="32"/>
      <c r="AV6" s="32"/>
      <c r="AW6" s="32"/>
      <c r="AX6" s="32"/>
      <c r="AY6" s="32"/>
      <c r="AZ6" s="32"/>
    </row>
    <row r="7" spans="1:52" ht="14.25" customHeight="1">
      <c r="A7" s="5" t="s">
        <v>52</v>
      </c>
      <c r="B7" s="58">
        <f>'CCaMC-VOaMCpUC-pre-ret'!B7</f>
        <v>42.51</v>
      </c>
      <c r="C7" s="58">
        <f>'CCaMC-VOaMCpUC-pre-ret'!C7</f>
        <v>42.51</v>
      </c>
      <c r="D7" s="58">
        <f>'CCaMC-VOaMCpUC-pre-ret'!D7</f>
        <v>42.51</v>
      </c>
      <c r="E7" s="58">
        <f>'CCaMC-VOaMCpUC-pre-ret'!E7</f>
        <v>42.51</v>
      </c>
      <c r="F7" s="58">
        <f>'CCaMC-VOaMCpUC-pre-ret'!F7</f>
        <v>42.51</v>
      </c>
      <c r="G7" s="58">
        <f>'CCaMC-VOaMCpUC-pre-ret'!G7</f>
        <v>42.51</v>
      </c>
      <c r="H7" s="58">
        <f>'CCaMC-VOaMCpUC-pre-ret'!H7</f>
        <v>42.51</v>
      </c>
      <c r="I7" s="58">
        <f>'CCaMC-VOaMCpUC-pre-ret'!I7</f>
        <v>42.51</v>
      </c>
      <c r="J7" s="58">
        <f>'CCaMC-VOaMCpUC-pre-ret'!J7</f>
        <v>42.51</v>
      </c>
      <c r="K7" s="58">
        <f>'CCaMC-VOaMCpUC-pre-ret'!K7</f>
        <v>42.51</v>
      </c>
      <c r="L7" s="58">
        <f>'CCaMC-VOaMCpUC-pre-ret'!L7</f>
        <v>42.51</v>
      </c>
      <c r="M7" s="58">
        <f>'CCaMC-VOaMCpUC-pre-ret'!M7</f>
        <v>42.51</v>
      </c>
      <c r="N7" s="58">
        <f>'CCaMC-VOaMCpUC-pre-ret'!N7</f>
        <v>42.51</v>
      </c>
      <c r="O7" s="58">
        <f>'CCaMC-VOaMCpUC-pre-ret'!O7</f>
        <v>42.51</v>
      </c>
      <c r="P7" s="58">
        <f>'CCaMC-VOaMCpUC-pre-ret'!P7</f>
        <v>42.51</v>
      </c>
      <c r="Q7" s="58">
        <f>'CCaMC-VOaMCpUC-pre-ret'!Q7</f>
        <v>42.51</v>
      </c>
      <c r="R7" s="58">
        <f>'CCaMC-VOaMCpUC-pre-ret'!R7</f>
        <v>42.51</v>
      </c>
      <c r="S7" s="58">
        <f>'CCaMC-VOaMCpUC-pre-ret'!S7</f>
        <v>42.51</v>
      </c>
      <c r="T7" s="58">
        <f>'CCaMC-VOaMCpUC-pre-ret'!T7</f>
        <v>42.51</v>
      </c>
      <c r="U7" s="58">
        <f>'CCaMC-VOaMCpUC-pre-ret'!U7</f>
        <v>42.51</v>
      </c>
      <c r="V7" s="58">
        <f>'CCaMC-VOaMCpUC-pre-ret'!V7</f>
        <v>42.51</v>
      </c>
      <c r="W7" s="58">
        <f>'CCaMC-VOaMCpUC-pre-ret'!W7</f>
        <v>42.51</v>
      </c>
      <c r="X7" s="58">
        <f>'CCaMC-VOaMCpUC-pre-ret'!X7</f>
        <v>42.51</v>
      </c>
      <c r="Y7" s="58">
        <f>'CCaMC-VOaMCpUC-pre-ret'!Y7</f>
        <v>42.51</v>
      </c>
      <c r="Z7" s="58">
        <f>'CCaMC-VOaMCpUC-pre-ret'!Z7</f>
        <v>42.51</v>
      </c>
      <c r="AA7" s="58">
        <f>'CCaMC-VOaMCpUC-pre-ret'!AA7</f>
        <v>42.51</v>
      </c>
      <c r="AB7" s="58">
        <f>'CCaMC-VOaMCpUC-pre-ret'!AB7</f>
        <v>42.51</v>
      </c>
      <c r="AC7" s="58">
        <f>'CCaMC-VOaMCpUC-pre-ret'!AC7</f>
        <v>42.51</v>
      </c>
      <c r="AD7" s="58">
        <f>'CCaMC-VOaMCpUC-pre-ret'!AD7</f>
        <v>42.51</v>
      </c>
      <c r="AE7" s="58">
        <f>'CCaMC-VOaMCpUC-pre-ret'!AE7</f>
        <v>42.51</v>
      </c>
      <c r="AF7" s="58">
        <f>'CCaMC-VOaMCpUC-pre-ret'!AF7</f>
        <v>42.51</v>
      </c>
      <c r="AG7" s="32"/>
      <c r="AH7" s="32"/>
      <c r="AI7" s="32"/>
      <c r="AJ7" s="32"/>
      <c r="AK7" s="32"/>
      <c r="AL7" s="32"/>
      <c r="AM7" s="32"/>
      <c r="AN7" s="32"/>
      <c r="AO7" s="32"/>
      <c r="AP7" s="32"/>
      <c r="AQ7" s="32"/>
      <c r="AR7" s="32"/>
      <c r="AS7" s="32"/>
      <c r="AT7" s="32"/>
      <c r="AU7" s="32"/>
      <c r="AV7" s="32"/>
      <c r="AW7" s="32"/>
      <c r="AX7" s="32"/>
      <c r="AY7" s="32"/>
      <c r="AZ7" s="32"/>
    </row>
    <row r="8" spans="1:52" ht="14.25" customHeight="1">
      <c r="A8" s="5" t="s">
        <v>63</v>
      </c>
      <c r="B8" s="58">
        <f>'CCaMC-VOaMCpUC-pre-ret'!B8</f>
        <v>42.51</v>
      </c>
      <c r="C8" s="58">
        <f>'CCaMC-VOaMCpUC-pre-ret'!C8</f>
        <v>42.51</v>
      </c>
      <c r="D8" s="58">
        <f>'CCaMC-VOaMCpUC-pre-ret'!D8</f>
        <v>42.51</v>
      </c>
      <c r="E8" s="58">
        <f>'CCaMC-VOaMCpUC-pre-ret'!E8</f>
        <v>42.51</v>
      </c>
      <c r="F8" s="58">
        <f>'CCaMC-VOaMCpUC-pre-ret'!F8</f>
        <v>42.51</v>
      </c>
      <c r="G8" s="58">
        <f>'CCaMC-VOaMCpUC-pre-ret'!G8</f>
        <v>42.51</v>
      </c>
      <c r="H8" s="58">
        <f>'CCaMC-VOaMCpUC-pre-ret'!H8</f>
        <v>42.51</v>
      </c>
      <c r="I8" s="58">
        <f>'CCaMC-VOaMCpUC-pre-ret'!I8</f>
        <v>42.51</v>
      </c>
      <c r="J8" s="58">
        <f>'CCaMC-VOaMCpUC-pre-ret'!J8</f>
        <v>42.51</v>
      </c>
      <c r="K8" s="58">
        <f>'CCaMC-VOaMCpUC-pre-ret'!K8</f>
        <v>42.51</v>
      </c>
      <c r="L8" s="58">
        <f>'CCaMC-VOaMCpUC-pre-ret'!L8</f>
        <v>42.51</v>
      </c>
      <c r="M8" s="58">
        <f>'CCaMC-VOaMCpUC-pre-ret'!M8</f>
        <v>42.51</v>
      </c>
      <c r="N8" s="58">
        <f>'CCaMC-VOaMCpUC-pre-ret'!N8</f>
        <v>42.51</v>
      </c>
      <c r="O8" s="58">
        <f>'CCaMC-VOaMCpUC-pre-ret'!O8</f>
        <v>42.51</v>
      </c>
      <c r="P8" s="58">
        <f>'CCaMC-VOaMCpUC-pre-ret'!P8</f>
        <v>42.51</v>
      </c>
      <c r="Q8" s="58">
        <f>'CCaMC-VOaMCpUC-pre-ret'!Q8</f>
        <v>42.51</v>
      </c>
      <c r="R8" s="58">
        <f>'CCaMC-VOaMCpUC-pre-ret'!R8</f>
        <v>42.51</v>
      </c>
      <c r="S8" s="58">
        <f>'CCaMC-VOaMCpUC-pre-ret'!S8</f>
        <v>42.51</v>
      </c>
      <c r="T8" s="58">
        <f>'CCaMC-VOaMCpUC-pre-ret'!T8</f>
        <v>42.51</v>
      </c>
      <c r="U8" s="58">
        <f>'CCaMC-VOaMCpUC-pre-ret'!U8</f>
        <v>42.51</v>
      </c>
      <c r="V8" s="58">
        <f>'CCaMC-VOaMCpUC-pre-ret'!V8</f>
        <v>42.51</v>
      </c>
      <c r="W8" s="58">
        <f>'CCaMC-VOaMCpUC-pre-ret'!W8</f>
        <v>42.51</v>
      </c>
      <c r="X8" s="58">
        <f>'CCaMC-VOaMCpUC-pre-ret'!X8</f>
        <v>42.51</v>
      </c>
      <c r="Y8" s="58">
        <f>'CCaMC-VOaMCpUC-pre-ret'!Y8</f>
        <v>42.51</v>
      </c>
      <c r="Z8" s="58">
        <f>'CCaMC-VOaMCpUC-pre-ret'!Z8</f>
        <v>42.51</v>
      </c>
      <c r="AA8" s="58">
        <f>'CCaMC-VOaMCpUC-pre-ret'!AA8</f>
        <v>42.51</v>
      </c>
      <c r="AB8" s="58">
        <f>'CCaMC-VOaMCpUC-pre-ret'!AB8</f>
        <v>42.51</v>
      </c>
      <c r="AC8" s="58">
        <f>'CCaMC-VOaMCpUC-pre-ret'!AC8</f>
        <v>42.51</v>
      </c>
      <c r="AD8" s="58">
        <f>'CCaMC-VOaMCpUC-pre-ret'!AD8</f>
        <v>42.51</v>
      </c>
      <c r="AE8" s="58">
        <f>'CCaMC-VOaMCpUC-pre-ret'!AE8</f>
        <v>42.51</v>
      </c>
      <c r="AF8" s="58">
        <f>'CCaMC-VOaMCpUC-pre-ret'!AF8</f>
        <v>42.51</v>
      </c>
      <c r="AG8" s="32"/>
      <c r="AH8" s="32"/>
      <c r="AI8" s="32"/>
      <c r="AJ8" s="32"/>
      <c r="AK8" s="32"/>
      <c r="AL8" s="32"/>
      <c r="AM8" s="32"/>
      <c r="AN8" s="32"/>
      <c r="AO8" s="32"/>
      <c r="AP8" s="32"/>
      <c r="AQ8" s="32"/>
      <c r="AR8" s="32"/>
      <c r="AS8" s="32"/>
      <c r="AT8" s="32"/>
      <c r="AU8" s="32"/>
      <c r="AV8" s="32"/>
      <c r="AW8" s="32"/>
      <c r="AX8" s="32"/>
      <c r="AY8" s="32"/>
      <c r="AZ8" s="32"/>
    </row>
    <row r="9" spans="1:52" ht="14.25" customHeight="1">
      <c r="A9" s="5" t="s">
        <v>53</v>
      </c>
      <c r="B9" s="58">
        <f>'CCaMC-VOaMCpUC-pre-ret'!B9</f>
        <v>2.88</v>
      </c>
      <c r="C9" s="58">
        <f>'CCaMC-VOaMCpUC-pre-ret'!C9</f>
        <v>2.88</v>
      </c>
      <c r="D9" s="58">
        <f>'CCaMC-VOaMCpUC-pre-ret'!D9</f>
        <v>2.88</v>
      </c>
      <c r="E9" s="58">
        <f>'CCaMC-VOaMCpUC-pre-ret'!E9</f>
        <v>2.88</v>
      </c>
      <c r="F9" s="58">
        <f>'CCaMC-VOaMCpUC-pre-ret'!F9</f>
        <v>2.88</v>
      </c>
      <c r="G9" s="58">
        <f>'CCaMC-VOaMCpUC-pre-ret'!G9</f>
        <v>2.88</v>
      </c>
      <c r="H9" s="58">
        <f>'CCaMC-VOaMCpUC-pre-ret'!H9</f>
        <v>2.88</v>
      </c>
      <c r="I9" s="58">
        <f>'CCaMC-VOaMCpUC-pre-ret'!I9</f>
        <v>2.88</v>
      </c>
      <c r="J9" s="58">
        <f>'CCaMC-VOaMCpUC-pre-ret'!J9</f>
        <v>2.88</v>
      </c>
      <c r="K9" s="58">
        <f>'CCaMC-VOaMCpUC-pre-ret'!K9</f>
        <v>2.88</v>
      </c>
      <c r="L9" s="58">
        <f>'CCaMC-VOaMCpUC-pre-ret'!L9</f>
        <v>2.88</v>
      </c>
      <c r="M9" s="58">
        <f>'CCaMC-VOaMCpUC-pre-ret'!M9</f>
        <v>2.88</v>
      </c>
      <c r="N9" s="58">
        <f>'CCaMC-VOaMCpUC-pre-ret'!N9</f>
        <v>2.88</v>
      </c>
      <c r="O9" s="58">
        <f>'CCaMC-VOaMCpUC-pre-ret'!O9</f>
        <v>2.88</v>
      </c>
      <c r="P9" s="58">
        <f>'CCaMC-VOaMCpUC-pre-ret'!P9</f>
        <v>2.88</v>
      </c>
      <c r="Q9" s="58">
        <f>'CCaMC-VOaMCpUC-pre-ret'!Q9</f>
        <v>2.88</v>
      </c>
      <c r="R9" s="58">
        <f>'CCaMC-VOaMCpUC-pre-ret'!R9</f>
        <v>2.88</v>
      </c>
      <c r="S9" s="58">
        <f>'CCaMC-VOaMCpUC-pre-ret'!S9</f>
        <v>2.88</v>
      </c>
      <c r="T9" s="58">
        <f>'CCaMC-VOaMCpUC-pre-ret'!T9</f>
        <v>2.88</v>
      </c>
      <c r="U9" s="58">
        <f>'CCaMC-VOaMCpUC-pre-ret'!U9</f>
        <v>2.88</v>
      </c>
      <c r="V9" s="58">
        <f>'CCaMC-VOaMCpUC-pre-ret'!V9</f>
        <v>2.88</v>
      </c>
      <c r="W9" s="58">
        <f>'CCaMC-VOaMCpUC-pre-ret'!W9</f>
        <v>2.88</v>
      </c>
      <c r="X9" s="58">
        <f>'CCaMC-VOaMCpUC-pre-ret'!X9</f>
        <v>2.88</v>
      </c>
      <c r="Y9" s="58">
        <f>'CCaMC-VOaMCpUC-pre-ret'!Y9</f>
        <v>2.88</v>
      </c>
      <c r="Z9" s="58">
        <f>'CCaMC-VOaMCpUC-pre-ret'!Z9</f>
        <v>2.88</v>
      </c>
      <c r="AA9" s="58">
        <f>'CCaMC-VOaMCpUC-pre-ret'!AA9</f>
        <v>2.88</v>
      </c>
      <c r="AB9" s="58">
        <f>'CCaMC-VOaMCpUC-pre-ret'!AB9</f>
        <v>2.88</v>
      </c>
      <c r="AC9" s="58">
        <f>'CCaMC-VOaMCpUC-pre-ret'!AC9</f>
        <v>2.88</v>
      </c>
      <c r="AD9" s="58">
        <f>'CCaMC-VOaMCpUC-pre-ret'!AD9</f>
        <v>2.88</v>
      </c>
      <c r="AE9" s="58">
        <f>'CCaMC-VOaMCpUC-pre-ret'!AE9</f>
        <v>2.88</v>
      </c>
      <c r="AF9" s="58">
        <f>'CCaMC-VOaMCpUC-pre-ret'!AF9</f>
        <v>2.88</v>
      </c>
      <c r="AG9" s="32"/>
      <c r="AH9" s="32"/>
      <c r="AI9" s="32"/>
      <c r="AJ9" s="32"/>
      <c r="AK9" s="32"/>
      <c r="AL9" s="32"/>
      <c r="AM9" s="32"/>
      <c r="AN9" s="32"/>
      <c r="AO9" s="32"/>
      <c r="AP9" s="32"/>
      <c r="AQ9" s="32"/>
      <c r="AR9" s="32"/>
      <c r="AS9" s="32"/>
      <c r="AT9" s="32"/>
      <c r="AU9" s="32"/>
      <c r="AV9" s="32"/>
      <c r="AW9" s="32"/>
      <c r="AX9" s="32"/>
      <c r="AY9" s="32"/>
      <c r="AZ9" s="32"/>
    </row>
    <row r="10" spans="1:52" ht="14.25" customHeight="1">
      <c r="A10" s="5" t="s">
        <v>54</v>
      </c>
      <c r="B10" s="58">
        <f>'CCaMC-VOaMCpUC-pre-ret'!B10</f>
        <v>0.21</v>
      </c>
      <c r="C10" s="58">
        <f>'CCaMC-VOaMCpUC-pre-ret'!C10</f>
        <v>0.21</v>
      </c>
      <c r="D10" s="58">
        <f>'CCaMC-VOaMCpUC-pre-ret'!D10</f>
        <v>0.21</v>
      </c>
      <c r="E10" s="58">
        <f>'CCaMC-VOaMCpUC-pre-ret'!E10</f>
        <v>0.21</v>
      </c>
      <c r="F10" s="58">
        <f>'CCaMC-VOaMCpUC-pre-ret'!F10</f>
        <v>0.21</v>
      </c>
      <c r="G10" s="58">
        <f>'CCaMC-VOaMCpUC-pre-ret'!G10</f>
        <v>0.21</v>
      </c>
      <c r="H10" s="58">
        <f>'CCaMC-VOaMCpUC-pre-ret'!H10</f>
        <v>0.21</v>
      </c>
      <c r="I10" s="58">
        <f>'CCaMC-VOaMCpUC-pre-ret'!I10</f>
        <v>0.21</v>
      </c>
      <c r="J10" s="58">
        <f>'CCaMC-VOaMCpUC-pre-ret'!J10</f>
        <v>0.21</v>
      </c>
      <c r="K10" s="58">
        <f>'CCaMC-VOaMCpUC-pre-ret'!K10</f>
        <v>0.21</v>
      </c>
      <c r="L10" s="58">
        <f>'CCaMC-VOaMCpUC-pre-ret'!L10</f>
        <v>0.21</v>
      </c>
      <c r="M10" s="58">
        <f>'CCaMC-VOaMCpUC-pre-ret'!M10</f>
        <v>0.21</v>
      </c>
      <c r="N10" s="58">
        <f>'CCaMC-VOaMCpUC-pre-ret'!N10</f>
        <v>0.21</v>
      </c>
      <c r="O10" s="58">
        <f>'CCaMC-VOaMCpUC-pre-ret'!O10</f>
        <v>0.21</v>
      </c>
      <c r="P10" s="58">
        <f>'CCaMC-VOaMCpUC-pre-ret'!P10</f>
        <v>0.21</v>
      </c>
      <c r="Q10" s="58">
        <f>'CCaMC-VOaMCpUC-pre-ret'!Q10</f>
        <v>0.21</v>
      </c>
      <c r="R10" s="58">
        <f>'CCaMC-VOaMCpUC-pre-ret'!R10</f>
        <v>0.21</v>
      </c>
      <c r="S10" s="58">
        <f>'CCaMC-VOaMCpUC-pre-ret'!S10</f>
        <v>0.21</v>
      </c>
      <c r="T10" s="58">
        <f>'CCaMC-VOaMCpUC-pre-ret'!T10</f>
        <v>0.21</v>
      </c>
      <c r="U10" s="58">
        <f>'CCaMC-VOaMCpUC-pre-ret'!U10</f>
        <v>0.21</v>
      </c>
      <c r="V10" s="58">
        <f>'CCaMC-VOaMCpUC-pre-ret'!V10</f>
        <v>0.21</v>
      </c>
      <c r="W10" s="58">
        <f>'CCaMC-VOaMCpUC-pre-ret'!W10</f>
        <v>0.21</v>
      </c>
      <c r="X10" s="58">
        <f>'CCaMC-VOaMCpUC-pre-ret'!X10</f>
        <v>0.21</v>
      </c>
      <c r="Y10" s="58">
        <f>'CCaMC-VOaMCpUC-pre-ret'!Y10</f>
        <v>0.21</v>
      </c>
      <c r="Z10" s="58">
        <f>'CCaMC-VOaMCpUC-pre-ret'!Z10</f>
        <v>0.21</v>
      </c>
      <c r="AA10" s="58">
        <f>'CCaMC-VOaMCpUC-pre-ret'!AA10</f>
        <v>0.21</v>
      </c>
      <c r="AB10" s="58">
        <f>'CCaMC-VOaMCpUC-pre-ret'!AB10</f>
        <v>0.21</v>
      </c>
      <c r="AC10" s="58">
        <f>'CCaMC-VOaMCpUC-pre-ret'!AC10</f>
        <v>0.21</v>
      </c>
      <c r="AD10" s="58">
        <f>'CCaMC-VOaMCpUC-pre-ret'!AD10</f>
        <v>0.21</v>
      </c>
      <c r="AE10" s="58">
        <f>'CCaMC-VOaMCpUC-pre-ret'!AE10</f>
        <v>0.21</v>
      </c>
      <c r="AF10" s="58">
        <f>'CCaMC-VOaMCpUC-pre-ret'!AF10</f>
        <v>0.21</v>
      </c>
      <c r="AG10" s="32"/>
      <c r="AH10" s="32"/>
      <c r="AI10" s="32"/>
      <c r="AJ10" s="32"/>
      <c r="AK10" s="32"/>
      <c r="AL10" s="32"/>
      <c r="AM10" s="32"/>
      <c r="AN10" s="32"/>
      <c r="AO10" s="32"/>
      <c r="AP10" s="32"/>
      <c r="AQ10" s="32"/>
      <c r="AR10" s="32"/>
      <c r="AS10" s="32"/>
      <c r="AT10" s="32"/>
      <c r="AU10" s="32"/>
      <c r="AV10" s="32"/>
      <c r="AW10" s="32"/>
      <c r="AX10" s="32"/>
      <c r="AY10" s="32"/>
      <c r="AZ10" s="32"/>
    </row>
    <row r="11" spans="1:52" ht="14.25" customHeight="1">
      <c r="A11" s="5" t="s">
        <v>55</v>
      </c>
      <c r="B11" s="58">
        <f>'CCaMC-VOaMCpUC-pre-ret'!B11</f>
        <v>6.14</v>
      </c>
      <c r="C11" s="58">
        <f>'CCaMC-VOaMCpUC-pre-ret'!C11</f>
        <v>6.14</v>
      </c>
      <c r="D11" s="58">
        <f>'CCaMC-VOaMCpUC-pre-ret'!D11</f>
        <v>6.14</v>
      </c>
      <c r="E11" s="58">
        <f>'CCaMC-VOaMCpUC-pre-ret'!E11</f>
        <v>6.14</v>
      </c>
      <c r="F11" s="58">
        <f>'CCaMC-VOaMCpUC-pre-ret'!F11</f>
        <v>6.14</v>
      </c>
      <c r="G11" s="58">
        <f>'CCaMC-VOaMCpUC-pre-ret'!G11</f>
        <v>6.14</v>
      </c>
      <c r="H11" s="58">
        <f>'CCaMC-VOaMCpUC-pre-ret'!H11</f>
        <v>6.14</v>
      </c>
      <c r="I11" s="58">
        <f>'CCaMC-VOaMCpUC-pre-ret'!I11</f>
        <v>6.14</v>
      </c>
      <c r="J11" s="58">
        <f>'CCaMC-VOaMCpUC-pre-ret'!J11</f>
        <v>6.14</v>
      </c>
      <c r="K11" s="58">
        <f>'CCaMC-VOaMCpUC-pre-ret'!K11</f>
        <v>6.14</v>
      </c>
      <c r="L11" s="58">
        <f>'CCaMC-VOaMCpUC-pre-ret'!L11</f>
        <v>6.14</v>
      </c>
      <c r="M11" s="58">
        <f>'CCaMC-VOaMCpUC-pre-ret'!M11</f>
        <v>6.14</v>
      </c>
      <c r="N11" s="58">
        <f>'CCaMC-VOaMCpUC-pre-ret'!N11</f>
        <v>6.14</v>
      </c>
      <c r="O11" s="58">
        <f>'CCaMC-VOaMCpUC-pre-ret'!O11</f>
        <v>6.14</v>
      </c>
      <c r="P11" s="58">
        <f>'CCaMC-VOaMCpUC-pre-ret'!P11</f>
        <v>6.14</v>
      </c>
      <c r="Q11" s="58">
        <f>'CCaMC-VOaMCpUC-pre-ret'!Q11</f>
        <v>6.14</v>
      </c>
      <c r="R11" s="58">
        <f>'CCaMC-VOaMCpUC-pre-ret'!R11</f>
        <v>6.14</v>
      </c>
      <c r="S11" s="58">
        <f>'CCaMC-VOaMCpUC-pre-ret'!S11</f>
        <v>6.14</v>
      </c>
      <c r="T11" s="58">
        <f>'CCaMC-VOaMCpUC-pre-ret'!T11</f>
        <v>6.14</v>
      </c>
      <c r="U11" s="58">
        <f>'CCaMC-VOaMCpUC-pre-ret'!U11</f>
        <v>6.14</v>
      </c>
      <c r="V11" s="58">
        <f>'CCaMC-VOaMCpUC-pre-ret'!V11</f>
        <v>6.14</v>
      </c>
      <c r="W11" s="58">
        <f>'CCaMC-VOaMCpUC-pre-ret'!W11</f>
        <v>6.14</v>
      </c>
      <c r="X11" s="58">
        <f>'CCaMC-VOaMCpUC-pre-ret'!X11</f>
        <v>6.14</v>
      </c>
      <c r="Y11" s="58">
        <f>'CCaMC-VOaMCpUC-pre-ret'!Y11</f>
        <v>6.14</v>
      </c>
      <c r="Z11" s="58">
        <f>'CCaMC-VOaMCpUC-pre-ret'!Z11</f>
        <v>6.14</v>
      </c>
      <c r="AA11" s="58">
        <f>'CCaMC-VOaMCpUC-pre-ret'!AA11</f>
        <v>6.14</v>
      </c>
      <c r="AB11" s="58">
        <f>'CCaMC-VOaMCpUC-pre-ret'!AB11</f>
        <v>6.14</v>
      </c>
      <c r="AC11" s="58">
        <f>'CCaMC-VOaMCpUC-pre-ret'!AC11</f>
        <v>6.14</v>
      </c>
      <c r="AD11" s="58">
        <f>'CCaMC-VOaMCpUC-pre-ret'!AD11</f>
        <v>6.14</v>
      </c>
      <c r="AE11" s="58">
        <f>'CCaMC-VOaMCpUC-pre-ret'!AE11</f>
        <v>6.14</v>
      </c>
      <c r="AF11" s="58">
        <f>'CCaMC-VOaMCpUC-pre-ret'!AF11</f>
        <v>6.14</v>
      </c>
      <c r="AG11" s="32"/>
      <c r="AH11" s="32"/>
      <c r="AI11" s="32"/>
      <c r="AJ11" s="32"/>
      <c r="AK11" s="32"/>
      <c r="AL11" s="32"/>
      <c r="AM11" s="32"/>
      <c r="AN11" s="32"/>
      <c r="AO11" s="32"/>
      <c r="AP11" s="32"/>
      <c r="AQ11" s="32"/>
      <c r="AR11" s="32"/>
      <c r="AS11" s="32"/>
      <c r="AT11" s="32"/>
      <c r="AU11" s="32"/>
      <c r="AV11" s="32"/>
      <c r="AW11" s="32"/>
      <c r="AX11" s="32"/>
      <c r="AY11" s="32"/>
      <c r="AZ11" s="32"/>
    </row>
    <row r="12" spans="1:52" ht="14.25" customHeight="1">
      <c r="A12" s="5" t="s">
        <v>56</v>
      </c>
      <c r="B12" s="58">
        <f>'CCaMC-VOaMCpUC-pre-ret'!B12</f>
        <v>92.239874999999998</v>
      </c>
      <c r="C12" s="58">
        <f>'CCaMC-VOaMCpUC-pre-ret'!C12</f>
        <v>92.239874999999998</v>
      </c>
      <c r="D12" s="58">
        <f>'CCaMC-VOaMCpUC-pre-ret'!D12</f>
        <v>92.239874999999998</v>
      </c>
      <c r="E12" s="58">
        <f>'CCaMC-VOaMCpUC-pre-ret'!E12</f>
        <v>92.239874999999998</v>
      </c>
      <c r="F12" s="58">
        <f>'CCaMC-VOaMCpUC-pre-ret'!F12</f>
        <v>92.239874999999998</v>
      </c>
      <c r="G12" s="58">
        <f>'CCaMC-VOaMCpUC-pre-ret'!G12</f>
        <v>92.239874999999998</v>
      </c>
      <c r="H12" s="58">
        <f>'CCaMC-VOaMCpUC-pre-ret'!H12</f>
        <v>92.239874999999998</v>
      </c>
      <c r="I12" s="58">
        <f>'CCaMC-VOaMCpUC-pre-ret'!I12</f>
        <v>92.239874999999998</v>
      </c>
      <c r="J12" s="58">
        <f>'CCaMC-VOaMCpUC-pre-ret'!J12</f>
        <v>92.239874999999998</v>
      </c>
      <c r="K12" s="58">
        <f>'CCaMC-VOaMCpUC-pre-ret'!K12</f>
        <v>92.239874999999998</v>
      </c>
      <c r="L12" s="58">
        <f>'CCaMC-VOaMCpUC-pre-ret'!L12</f>
        <v>92.239874999999998</v>
      </c>
      <c r="M12" s="58">
        <f>'CCaMC-VOaMCpUC-pre-ret'!M12</f>
        <v>92.239874999999998</v>
      </c>
      <c r="N12" s="58">
        <f>'CCaMC-VOaMCpUC-pre-ret'!N12</f>
        <v>92.239874999999998</v>
      </c>
      <c r="O12" s="58">
        <f>'CCaMC-VOaMCpUC-pre-ret'!O12</f>
        <v>92.239874999999998</v>
      </c>
      <c r="P12" s="58">
        <f>'CCaMC-VOaMCpUC-pre-ret'!P12</f>
        <v>92.239874999999998</v>
      </c>
      <c r="Q12" s="58">
        <f>'CCaMC-VOaMCpUC-pre-ret'!Q12</f>
        <v>92.239874999999998</v>
      </c>
      <c r="R12" s="58">
        <f>'CCaMC-VOaMCpUC-pre-ret'!R12</f>
        <v>92.239874999999998</v>
      </c>
      <c r="S12" s="58">
        <f>'CCaMC-VOaMCpUC-pre-ret'!S12</f>
        <v>92.239874999999998</v>
      </c>
      <c r="T12" s="58">
        <f>'CCaMC-VOaMCpUC-pre-ret'!T12</f>
        <v>92.239874999999998</v>
      </c>
      <c r="U12" s="58">
        <f>'CCaMC-VOaMCpUC-pre-ret'!U12</f>
        <v>92.239874999999998</v>
      </c>
      <c r="V12" s="58">
        <f>'CCaMC-VOaMCpUC-pre-ret'!V12</f>
        <v>92.239874999999998</v>
      </c>
      <c r="W12" s="58">
        <f>'CCaMC-VOaMCpUC-pre-ret'!W12</f>
        <v>92.239874999999998</v>
      </c>
      <c r="X12" s="58">
        <f>'CCaMC-VOaMCpUC-pre-ret'!X12</f>
        <v>92.239874999999998</v>
      </c>
      <c r="Y12" s="58">
        <f>'CCaMC-VOaMCpUC-pre-ret'!Y12</f>
        <v>92.239874999999998</v>
      </c>
      <c r="Z12" s="58">
        <f>'CCaMC-VOaMCpUC-pre-ret'!Z12</f>
        <v>92.239874999999998</v>
      </c>
      <c r="AA12" s="58">
        <f>'CCaMC-VOaMCpUC-pre-ret'!AA12</f>
        <v>92.239874999999998</v>
      </c>
      <c r="AB12" s="58">
        <f>'CCaMC-VOaMCpUC-pre-ret'!AB12</f>
        <v>92.239874999999998</v>
      </c>
      <c r="AC12" s="58">
        <f>'CCaMC-VOaMCpUC-pre-ret'!AC12</f>
        <v>92.239874999999998</v>
      </c>
      <c r="AD12" s="58">
        <f>'CCaMC-VOaMCpUC-pre-ret'!AD12</f>
        <v>92.239874999999998</v>
      </c>
      <c r="AE12" s="58">
        <f>'CCaMC-VOaMCpUC-pre-ret'!AE12</f>
        <v>92.239874999999998</v>
      </c>
      <c r="AF12" s="58">
        <f>'CCaMC-VOaMCpUC-pre-ret'!AF12</f>
        <v>92.239874999999998</v>
      </c>
      <c r="AG12" s="32"/>
      <c r="AH12" s="32"/>
      <c r="AI12" s="32"/>
      <c r="AJ12" s="32"/>
      <c r="AK12" s="32"/>
      <c r="AL12" s="32"/>
      <c r="AM12" s="32"/>
      <c r="AN12" s="32"/>
      <c r="AO12" s="32"/>
      <c r="AP12" s="32"/>
      <c r="AQ12" s="32"/>
      <c r="AR12" s="32"/>
      <c r="AS12" s="32"/>
      <c r="AT12" s="32"/>
      <c r="AU12" s="32"/>
      <c r="AV12" s="32"/>
      <c r="AW12" s="32"/>
      <c r="AX12" s="32"/>
      <c r="AY12" s="32"/>
      <c r="AZ12" s="32"/>
    </row>
    <row r="13" spans="1:52" ht="14.25" customHeight="1">
      <c r="A13" s="5" t="s">
        <v>57</v>
      </c>
      <c r="B13" s="58">
        <f>'CCaMC-VOaMCpUC-pre-ret'!B13</f>
        <v>33.111750000000001</v>
      </c>
      <c r="C13" s="58">
        <f>'CCaMC-VOaMCpUC-pre-ret'!C13</f>
        <v>33.111750000000001</v>
      </c>
      <c r="D13" s="58">
        <f>'CCaMC-VOaMCpUC-pre-ret'!D13</f>
        <v>33.111750000000001</v>
      </c>
      <c r="E13" s="58">
        <f>'CCaMC-VOaMCpUC-pre-ret'!E13</f>
        <v>33.111750000000001</v>
      </c>
      <c r="F13" s="58">
        <f>'CCaMC-VOaMCpUC-pre-ret'!F13</f>
        <v>33.111750000000001</v>
      </c>
      <c r="G13" s="58">
        <f>'CCaMC-VOaMCpUC-pre-ret'!G13</f>
        <v>33.111750000000001</v>
      </c>
      <c r="H13" s="58">
        <f>'CCaMC-VOaMCpUC-pre-ret'!H13</f>
        <v>33.111750000000001</v>
      </c>
      <c r="I13" s="58">
        <f>'CCaMC-VOaMCpUC-pre-ret'!I13</f>
        <v>33.111750000000001</v>
      </c>
      <c r="J13" s="58">
        <f>'CCaMC-VOaMCpUC-pre-ret'!J13</f>
        <v>33.111750000000001</v>
      </c>
      <c r="K13" s="58">
        <f>'CCaMC-VOaMCpUC-pre-ret'!K13</f>
        <v>33.111750000000001</v>
      </c>
      <c r="L13" s="58">
        <f>'CCaMC-VOaMCpUC-pre-ret'!L13</f>
        <v>33.111750000000001</v>
      </c>
      <c r="M13" s="58">
        <f>'CCaMC-VOaMCpUC-pre-ret'!M13</f>
        <v>33.111750000000001</v>
      </c>
      <c r="N13" s="58">
        <f>'CCaMC-VOaMCpUC-pre-ret'!N13</f>
        <v>33.111750000000001</v>
      </c>
      <c r="O13" s="58">
        <f>'CCaMC-VOaMCpUC-pre-ret'!O13</f>
        <v>33.111750000000001</v>
      </c>
      <c r="P13" s="58">
        <f>'CCaMC-VOaMCpUC-pre-ret'!P13</f>
        <v>33.111750000000001</v>
      </c>
      <c r="Q13" s="58">
        <f>'CCaMC-VOaMCpUC-pre-ret'!Q13</f>
        <v>33.111750000000001</v>
      </c>
      <c r="R13" s="58">
        <f>'CCaMC-VOaMCpUC-pre-ret'!R13</f>
        <v>33.111750000000001</v>
      </c>
      <c r="S13" s="58">
        <f>'CCaMC-VOaMCpUC-pre-ret'!S13</f>
        <v>33.111750000000001</v>
      </c>
      <c r="T13" s="58">
        <f>'CCaMC-VOaMCpUC-pre-ret'!T13</f>
        <v>33.111750000000001</v>
      </c>
      <c r="U13" s="58">
        <f>'CCaMC-VOaMCpUC-pre-ret'!U13</f>
        <v>33.111750000000001</v>
      </c>
      <c r="V13" s="58">
        <f>'CCaMC-VOaMCpUC-pre-ret'!V13</f>
        <v>33.111750000000001</v>
      </c>
      <c r="W13" s="58">
        <f>'CCaMC-VOaMCpUC-pre-ret'!W13</f>
        <v>33.111750000000001</v>
      </c>
      <c r="X13" s="58">
        <f>'CCaMC-VOaMCpUC-pre-ret'!X13</f>
        <v>33.111750000000001</v>
      </c>
      <c r="Y13" s="58">
        <f>'CCaMC-VOaMCpUC-pre-ret'!Y13</f>
        <v>33.111750000000001</v>
      </c>
      <c r="Z13" s="58">
        <f>'CCaMC-VOaMCpUC-pre-ret'!Z13</f>
        <v>33.111750000000001</v>
      </c>
      <c r="AA13" s="58">
        <f>'CCaMC-VOaMCpUC-pre-ret'!AA13</f>
        <v>33.111750000000001</v>
      </c>
      <c r="AB13" s="58">
        <f>'CCaMC-VOaMCpUC-pre-ret'!AB13</f>
        <v>33.111750000000001</v>
      </c>
      <c r="AC13" s="58">
        <f>'CCaMC-VOaMCpUC-pre-ret'!AC13</f>
        <v>33.111750000000001</v>
      </c>
      <c r="AD13" s="58">
        <f>'CCaMC-VOaMCpUC-pre-ret'!AD13</f>
        <v>33.111750000000001</v>
      </c>
      <c r="AE13" s="58">
        <f>'CCaMC-VOaMCpUC-pre-ret'!AE13</f>
        <v>33.111750000000001</v>
      </c>
      <c r="AF13" s="58">
        <f>'CCaMC-VOaMCpUC-pre-ret'!AF13</f>
        <v>33.111750000000001</v>
      </c>
      <c r="AG13" s="32"/>
      <c r="AH13" s="32"/>
      <c r="AI13" s="32"/>
      <c r="AJ13" s="32"/>
      <c r="AK13" s="32"/>
      <c r="AL13" s="32"/>
      <c r="AM13" s="32"/>
      <c r="AN13" s="32"/>
      <c r="AO13" s="32"/>
      <c r="AP13" s="32"/>
      <c r="AQ13" s="32"/>
      <c r="AR13" s="32"/>
      <c r="AS13" s="32"/>
      <c r="AT13" s="32"/>
      <c r="AU13" s="32"/>
      <c r="AV13" s="32"/>
      <c r="AW13" s="32"/>
      <c r="AX13" s="32"/>
      <c r="AY13" s="32"/>
      <c r="AZ13" s="32"/>
    </row>
    <row r="14" spans="1:52" ht="14.25" customHeight="1">
      <c r="A14" s="5" t="s">
        <v>58</v>
      </c>
      <c r="B14" s="58">
        <f>'CCaMC-VOaMCpUC-pre-ret'!B14</f>
        <v>180</v>
      </c>
      <c r="C14" s="58">
        <f>'CCaMC-VOaMCpUC-pre-ret'!C14</f>
        <v>180</v>
      </c>
      <c r="D14" s="58">
        <f>'CCaMC-VOaMCpUC-pre-ret'!D14</f>
        <v>180</v>
      </c>
      <c r="E14" s="58">
        <f>'CCaMC-VOaMCpUC-pre-ret'!E14</f>
        <v>180</v>
      </c>
      <c r="F14" s="58">
        <f>'CCaMC-VOaMCpUC-pre-ret'!F14</f>
        <v>180</v>
      </c>
      <c r="G14" s="58">
        <f>'CCaMC-VOaMCpUC-pre-ret'!G14</f>
        <v>180</v>
      </c>
      <c r="H14" s="58">
        <f>'CCaMC-VOaMCpUC-pre-ret'!H14</f>
        <v>180</v>
      </c>
      <c r="I14" s="58">
        <f>'CCaMC-VOaMCpUC-pre-ret'!I14</f>
        <v>180</v>
      </c>
      <c r="J14" s="58">
        <f>'CCaMC-VOaMCpUC-pre-ret'!J14</f>
        <v>180</v>
      </c>
      <c r="K14" s="58">
        <f>'CCaMC-VOaMCpUC-pre-ret'!K14</f>
        <v>180</v>
      </c>
      <c r="L14" s="58">
        <f>'CCaMC-VOaMCpUC-pre-ret'!L14</f>
        <v>180</v>
      </c>
      <c r="M14" s="58">
        <f>'CCaMC-VOaMCpUC-pre-ret'!M14</f>
        <v>180</v>
      </c>
      <c r="N14" s="58">
        <f>'CCaMC-VOaMCpUC-pre-ret'!N14</f>
        <v>180</v>
      </c>
      <c r="O14" s="58">
        <f>'CCaMC-VOaMCpUC-pre-ret'!O14</f>
        <v>180</v>
      </c>
      <c r="P14" s="58">
        <f>'CCaMC-VOaMCpUC-pre-ret'!P14</f>
        <v>180</v>
      </c>
      <c r="Q14" s="58">
        <f>'CCaMC-VOaMCpUC-pre-ret'!Q14</f>
        <v>180</v>
      </c>
      <c r="R14" s="58">
        <f>'CCaMC-VOaMCpUC-pre-ret'!R14</f>
        <v>180</v>
      </c>
      <c r="S14" s="58">
        <f>'CCaMC-VOaMCpUC-pre-ret'!S14</f>
        <v>180</v>
      </c>
      <c r="T14" s="58">
        <f>'CCaMC-VOaMCpUC-pre-ret'!T14</f>
        <v>180</v>
      </c>
      <c r="U14" s="58">
        <f>'CCaMC-VOaMCpUC-pre-ret'!U14</f>
        <v>180</v>
      </c>
      <c r="V14" s="58">
        <f>'CCaMC-VOaMCpUC-pre-ret'!V14</f>
        <v>180</v>
      </c>
      <c r="W14" s="58">
        <f>'CCaMC-VOaMCpUC-pre-ret'!W14</f>
        <v>180</v>
      </c>
      <c r="X14" s="58">
        <f>'CCaMC-VOaMCpUC-pre-ret'!X14</f>
        <v>180</v>
      </c>
      <c r="Y14" s="58">
        <f>'CCaMC-VOaMCpUC-pre-ret'!Y14</f>
        <v>180</v>
      </c>
      <c r="Z14" s="58">
        <f>'CCaMC-VOaMCpUC-pre-ret'!Z14</f>
        <v>180</v>
      </c>
      <c r="AA14" s="58">
        <f>'CCaMC-VOaMCpUC-pre-ret'!AA14</f>
        <v>180</v>
      </c>
      <c r="AB14" s="58">
        <f>'CCaMC-VOaMCpUC-pre-ret'!AB14</f>
        <v>180</v>
      </c>
      <c r="AC14" s="58">
        <f>'CCaMC-VOaMCpUC-pre-ret'!AC14</f>
        <v>180</v>
      </c>
      <c r="AD14" s="58">
        <f>'CCaMC-VOaMCpUC-pre-ret'!AD14</f>
        <v>180</v>
      </c>
      <c r="AE14" s="58">
        <f>'CCaMC-VOaMCpUC-pre-ret'!AE14</f>
        <v>180</v>
      </c>
      <c r="AF14" s="58">
        <f>'CCaMC-VOaMCpUC-pre-ret'!AF14</f>
        <v>180</v>
      </c>
      <c r="AG14" s="32"/>
      <c r="AH14" s="32"/>
      <c r="AI14" s="32"/>
      <c r="AJ14" s="32"/>
      <c r="AK14" s="32"/>
      <c r="AL14" s="32"/>
      <c r="AM14" s="32"/>
      <c r="AN14" s="32"/>
      <c r="AO14" s="32"/>
      <c r="AP14" s="32"/>
      <c r="AQ14" s="32"/>
      <c r="AR14" s="32"/>
      <c r="AS14" s="32"/>
      <c r="AT14" s="32"/>
      <c r="AU14" s="32"/>
      <c r="AV14" s="32"/>
      <c r="AW14" s="32"/>
      <c r="AX14" s="32"/>
      <c r="AY14" s="32"/>
      <c r="AZ14" s="32"/>
    </row>
    <row r="15" spans="1:52" ht="14.25" customHeight="1">
      <c r="A15" s="5" t="s">
        <v>59</v>
      </c>
      <c r="B15" s="58">
        <f>'CCaMC-VOaMCpUC-pre-ret'!B15</f>
        <v>6.14</v>
      </c>
      <c r="C15" s="58">
        <f>'CCaMC-VOaMCpUC-pre-ret'!C15</f>
        <v>6.14</v>
      </c>
      <c r="D15" s="58">
        <f>'CCaMC-VOaMCpUC-pre-ret'!D15</f>
        <v>6.14</v>
      </c>
      <c r="E15" s="58">
        <f>'CCaMC-VOaMCpUC-pre-ret'!E15</f>
        <v>6.14</v>
      </c>
      <c r="F15" s="58">
        <f>'CCaMC-VOaMCpUC-pre-ret'!F15</f>
        <v>6.14</v>
      </c>
      <c r="G15" s="58">
        <f>'CCaMC-VOaMCpUC-pre-ret'!G15</f>
        <v>6.14</v>
      </c>
      <c r="H15" s="58">
        <f>'CCaMC-VOaMCpUC-pre-ret'!H15</f>
        <v>6.14</v>
      </c>
      <c r="I15" s="58">
        <f>'CCaMC-VOaMCpUC-pre-ret'!I15</f>
        <v>6.14</v>
      </c>
      <c r="J15" s="58">
        <f>'CCaMC-VOaMCpUC-pre-ret'!J15</f>
        <v>6.14</v>
      </c>
      <c r="K15" s="58">
        <f>'CCaMC-VOaMCpUC-pre-ret'!K15</f>
        <v>6.14</v>
      </c>
      <c r="L15" s="58">
        <f>'CCaMC-VOaMCpUC-pre-ret'!L15</f>
        <v>6.14</v>
      </c>
      <c r="M15" s="58">
        <f>'CCaMC-VOaMCpUC-pre-ret'!M15</f>
        <v>6.14</v>
      </c>
      <c r="N15" s="58">
        <f>'CCaMC-VOaMCpUC-pre-ret'!N15</f>
        <v>6.14</v>
      </c>
      <c r="O15" s="58">
        <f>'CCaMC-VOaMCpUC-pre-ret'!O15</f>
        <v>6.14</v>
      </c>
      <c r="P15" s="58">
        <f>'CCaMC-VOaMCpUC-pre-ret'!P15</f>
        <v>6.14</v>
      </c>
      <c r="Q15" s="58">
        <f>'CCaMC-VOaMCpUC-pre-ret'!Q15</f>
        <v>6.14</v>
      </c>
      <c r="R15" s="58">
        <f>'CCaMC-VOaMCpUC-pre-ret'!R15</f>
        <v>6.14</v>
      </c>
      <c r="S15" s="58">
        <f>'CCaMC-VOaMCpUC-pre-ret'!S15</f>
        <v>6.14</v>
      </c>
      <c r="T15" s="58">
        <f>'CCaMC-VOaMCpUC-pre-ret'!T15</f>
        <v>6.14</v>
      </c>
      <c r="U15" s="58">
        <f>'CCaMC-VOaMCpUC-pre-ret'!U15</f>
        <v>6.14</v>
      </c>
      <c r="V15" s="58">
        <f>'CCaMC-VOaMCpUC-pre-ret'!V15</f>
        <v>6.14</v>
      </c>
      <c r="W15" s="58">
        <f>'CCaMC-VOaMCpUC-pre-ret'!W15</f>
        <v>6.14</v>
      </c>
      <c r="X15" s="58">
        <f>'CCaMC-VOaMCpUC-pre-ret'!X15</f>
        <v>6.14</v>
      </c>
      <c r="Y15" s="58">
        <f>'CCaMC-VOaMCpUC-pre-ret'!Y15</f>
        <v>6.14</v>
      </c>
      <c r="Z15" s="58">
        <f>'CCaMC-VOaMCpUC-pre-ret'!Z15</f>
        <v>6.14</v>
      </c>
      <c r="AA15" s="58">
        <f>'CCaMC-VOaMCpUC-pre-ret'!AA15</f>
        <v>6.14</v>
      </c>
      <c r="AB15" s="58">
        <f>'CCaMC-VOaMCpUC-pre-ret'!AB15</f>
        <v>6.14</v>
      </c>
      <c r="AC15" s="58">
        <f>'CCaMC-VOaMCpUC-pre-ret'!AC15</f>
        <v>6.14</v>
      </c>
      <c r="AD15" s="58">
        <f>'CCaMC-VOaMCpUC-pre-ret'!AD15</f>
        <v>6.14</v>
      </c>
      <c r="AE15" s="58">
        <f>'CCaMC-VOaMCpUC-pre-ret'!AE15</f>
        <v>6.14</v>
      </c>
      <c r="AF15" s="58">
        <f>'CCaMC-VOaMCpUC-pre-ret'!AF15</f>
        <v>6.14</v>
      </c>
      <c r="AG15" s="32"/>
      <c r="AH15" s="32"/>
      <c r="AI15" s="32"/>
      <c r="AJ15" s="32"/>
      <c r="AK15" s="32"/>
      <c r="AL15" s="32"/>
      <c r="AM15" s="32"/>
      <c r="AN15" s="32"/>
      <c r="AO15" s="32"/>
      <c r="AP15" s="32"/>
      <c r="AQ15" s="32"/>
      <c r="AR15" s="32"/>
      <c r="AS15" s="32"/>
      <c r="AT15" s="32"/>
      <c r="AU15" s="32"/>
      <c r="AV15" s="32"/>
      <c r="AW15" s="32"/>
      <c r="AX15" s="32"/>
      <c r="AY15" s="32"/>
      <c r="AZ15" s="32"/>
    </row>
    <row r="16" spans="1:52" ht="14.25" customHeight="1">
      <c r="A16" s="5" t="s">
        <v>60</v>
      </c>
      <c r="B16" s="58">
        <f>'CCaMC-VOaMCpUC-pre-ret'!B16</f>
        <v>6.14</v>
      </c>
      <c r="C16" s="58">
        <f>'CCaMC-VOaMCpUC-pre-ret'!C16</f>
        <v>6.14</v>
      </c>
      <c r="D16" s="58">
        <f>'CCaMC-VOaMCpUC-pre-ret'!D16</f>
        <v>6.14</v>
      </c>
      <c r="E16" s="58">
        <f>'CCaMC-VOaMCpUC-pre-ret'!E16</f>
        <v>6.14</v>
      </c>
      <c r="F16" s="58">
        <f>'CCaMC-VOaMCpUC-pre-ret'!F16</f>
        <v>6.14</v>
      </c>
      <c r="G16" s="58">
        <f>'CCaMC-VOaMCpUC-pre-ret'!G16</f>
        <v>6.14</v>
      </c>
      <c r="H16" s="58">
        <f>'CCaMC-VOaMCpUC-pre-ret'!H16</f>
        <v>6.14</v>
      </c>
      <c r="I16" s="58">
        <f>'CCaMC-VOaMCpUC-pre-ret'!I16</f>
        <v>6.14</v>
      </c>
      <c r="J16" s="58">
        <f>'CCaMC-VOaMCpUC-pre-ret'!J16</f>
        <v>6.14</v>
      </c>
      <c r="K16" s="58">
        <f>'CCaMC-VOaMCpUC-pre-ret'!K16</f>
        <v>6.14</v>
      </c>
      <c r="L16" s="58">
        <f>'CCaMC-VOaMCpUC-pre-ret'!L16</f>
        <v>6.14</v>
      </c>
      <c r="M16" s="58">
        <f>'CCaMC-VOaMCpUC-pre-ret'!M16</f>
        <v>6.14</v>
      </c>
      <c r="N16" s="58">
        <f>'CCaMC-VOaMCpUC-pre-ret'!N16</f>
        <v>6.14</v>
      </c>
      <c r="O16" s="58">
        <f>'CCaMC-VOaMCpUC-pre-ret'!O16</f>
        <v>6.14</v>
      </c>
      <c r="P16" s="58">
        <f>'CCaMC-VOaMCpUC-pre-ret'!P16</f>
        <v>6.14</v>
      </c>
      <c r="Q16" s="58">
        <f>'CCaMC-VOaMCpUC-pre-ret'!Q16</f>
        <v>6.14</v>
      </c>
      <c r="R16" s="58">
        <f>'CCaMC-VOaMCpUC-pre-ret'!R16</f>
        <v>6.14</v>
      </c>
      <c r="S16" s="58">
        <f>'CCaMC-VOaMCpUC-pre-ret'!S16</f>
        <v>6.14</v>
      </c>
      <c r="T16" s="58">
        <f>'CCaMC-VOaMCpUC-pre-ret'!T16</f>
        <v>6.14</v>
      </c>
      <c r="U16" s="58">
        <f>'CCaMC-VOaMCpUC-pre-ret'!U16</f>
        <v>6.14</v>
      </c>
      <c r="V16" s="58">
        <f>'CCaMC-VOaMCpUC-pre-ret'!V16</f>
        <v>6.14</v>
      </c>
      <c r="W16" s="58">
        <f>'CCaMC-VOaMCpUC-pre-ret'!W16</f>
        <v>6.14</v>
      </c>
      <c r="X16" s="58">
        <f>'CCaMC-VOaMCpUC-pre-ret'!X16</f>
        <v>6.14</v>
      </c>
      <c r="Y16" s="58">
        <f>'CCaMC-VOaMCpUC-pre-ret'!Y16</f>
        <v>6.14</v>
      </c>
      <c r="Z16" s="58">
        <f>'CCaMC-VOaMCpUC-pre-ret'!Z16</f>
        <v>6.14</v>
      </c>
      <c r="AA16" s="58">
        <f>'CCaMC-VOaMCpUC-pre-ret'!AA16</f>
        <v>6.14</v>
      </c>
      <c r="AB16" s="58">
        <f>'CCaMC-VOaMCpUC-pre-ret'!AB16</f>
        <v>6.14</v>
      </c>
      <c r="AC16" s="58">
        <f>'CCaMC-VOaMCpUC-pre-ret'!AC16</f>
        <v>6.14</v>
      </c>
      <c r="AD16" s="58">
        <f>'CCaMC-VOaMCpUC-pre-ret'!AD16</f>
        <v>6.14</v>
      </c>
      <c r="AE16" s="58">
        <f>'CCaMC-VOaMCpUC-pre-ret'!AE16</f>
        <v>6.14</v>
      </c>
      <c r="AF16" s="58">
        <f>'CCaMC-VOaMCpUC-pre-ret'!AF16</f>
        <v>6.14</v>
      </c>
      <c r="AG16" s="32"/>
      <c r="AH16" s="32"/>
      <c r="AI16" s="32"/>
      <c r="AJ16" s="32"/>
      <c r="AK16" s="32"/>
      <c r="AL16" s="32"/>
      <c r="AM16" s="32"/>
      <c r="AN16" s="32"/>
      <c r="AO16" s="32"/>
      <c r="AP16" s="32"/>
      <c r="AQ16" s="32"/>
      <c r="AR16" s="32"/>
      <c r="AS16" s="32"/>
      <c r="AT16" s="32"/>
      <c r="AU16" s="32"/>
      <c r="AV16" s="32"/>
      <c r="AW16" s="32"/>
      <c r="AX16" s="32"/>
      <c r="AY16" s="32"/>
      <c r="AZ16" s="32"/>
    </row>
    <row r="17" spans="1:52" ht="14.25" customHeight="1">
      <c r="A17" s="5" t="s">
        <v>61</v>
      </c>
      <c r="B17" s="58">
        <f>'CCaMC-VOaMCpUC-pre-ret'!B17</f>
        <v>23.14</v>
      </c>
      <c r="C17" s="58">
        <f>'CCaMC-VOaMCpUC-pre-ret'!C17</f>
        <v>23.14</v>
      </c>
      <c r="D17" s="58">
        <f>'CCaMC-VOaMCpUC-pre-ret'!D17</f>
        <v>23.14</v>
      </c>
      <c r="E17" s="58">
        <f>'CCaMC-VOaMCpUC-pre-ret'!E17</f>
        <v>23.14</v>
      </c>
      <c r="F17" s="58">
        <f>'CCaMC-VOaMCpUC-pre-ret'!F17</f>
        <v>23.14</v>
      </c>
      <c r="G17" s="58">
        <f>'CCaMC-VOaMCpUC-pre-ret'!G17</f>
        <v>23.14</v>
      </c>
      <c r="H17" s="58">
        <f>'CCaMC-VOaMCpUC-pre-ret'!H17</f>
        <v>23.14</v>
      </c>
      <c r="I17" s="58">
        <f>'CCaMC-VOaMCpUC-pre-ret'!I17</f>
        <v>23.14</v>
      </c>
      <c r="J17" s="58">
        <f>'CCaMC-VOaMCpUC-pre-ret'!J17</f>
        <v>23.14</v>
      </c>
      <c r="K17" s="58">
        <f>'CCaMC-VOaMCpUC-pre-ret'!K17</f>
        <v>23.14</v>
      </c>
      <c r="L17" s="58">
        <f>'CCaMC-VOaMCpUC-pre-ret'!L17</f>
        <v>23.14</v>
      </c>
      <c r="M17" s="58">
        <f>'CCaMC-VOaMCpUC-pre-ret'!M17</f>
        <v>23.14</v>
      </c>
      <c r="N17" s="58">
        <f>'CCaMC-VOaMCpUC-pre-ret'!N17</f>
        <v>23.14</v>
      </c>
      <c r="O17" s="58">
        <f>'CCaMC-VOaMCpUC-pre-ret'!O17</f>
        <v>23.14</v>
      </c>
      <c r="P17" s="58">
        <f>'CCaMC-VOaMCpUC-pre-ret'!P17</f>
        <v>23.14</v>
      </c>
      <c r="Q17" s="58">
        <f>'CCaMC-VOaMCpUC-pre-ret'!Q17</f>
        <v>23.14</v>
      </c>
      <c r="R17" s="58">
        <f>'CCaMC-VOaMCpUC-pre-ret'!R17</f>
        <v>23.14</v>
      </c>
      <c r="S17" s="58">
        <f>'CCaMC-VOaMCpUC-pre-ret'!S17</f>
        <v>23.14</v>
      </c>
      <c r="T17" s="58">
        <f>'CCaMC-VOaMCpUC-pre-ret'!T17</f>
        <v>23.14</v>
      </c>
      <c r="U17" s="58">
        <f>'CCaMC-VOaMCpUC-pre-ret'!U17</f>
        <v>23.14</v>
      </c>
      <c r="V17" s="58">
        <f>'CCaMC-VOaMCpUC-pre-ret'!V17</f>
        <v>23.14</v>
      </c>
      <c r="W17" s="58">
        <f>'CCaMC-VOaMCpUC-pre-ret'!W17</f>
        <v>23.14</v>
      </c>
      <c r="X17" s="58">
        <f>'CCaMC-VOaMCpUC-pre-ret'!X17</f>
        <v>23.14</v>
      </c>
      <c r="Y17" s="58">
        <f>'CCaMC-VOaMCpUC-pre-ret'!Y17</f>
        <v>23.14</v>
      </c>
      <c r="Z17" s="58">
        <f>'CCaMC-VOaMCpUC-pre-ret'!Z17</f>
        <v>23.14</v>
      </c>
      <c r="AA17" s="58">
        <f>'CCaMC-VOaMCpUC-pre-ret'!AA17</f>
        <v>23.14</v>
      </c>
      <c r="AB17" s="58">
        <f>'CCaMC-VOaMCpUC-pre-ret'!AB17</f>
        <v>23.14</v>
      </c>
      <c r="AC17" s="58">
        <f>'CCaMC-VOaMCpUC-pre-ret'!AC17</f>
        <v>23.14</v>
      </c>
      <c r="AD17" s="58">
        <f>'CCaMC-VOaMCpUC-pre-ret'!AD17</f>
        <v>23.14</v>
      </c>
      <c r="AE17" s="58">
        <f>'CCaMC-VOaMCpUC-pre-ret'!AE17</f>
        <v>23.14</v>
      </c>
      <c r="AF17" s="58">
        <f>'CCaMC-VOaMCpUC-pre-ret'!AF17</f>
        <v>23.14</v>
      </c>
      <c r="AG17" s="32"/>
      <c r="AH17" s="32"/>
      <c r="AI17" s="32"/>
      <c r="AJ17" s="32"/>
      <c r="AK17" s="32"/>
      <c r="AL17" s="32"/>
      <c r="AM17" s="32"/>
      <c r="AN17" s="32"/>
      <c r="AO17" s="32"/>
      <c r="AP17" s="32"/>
      <c r="AQ17" s="32"/>
      <c r="AR17" s="32"/>
      <c r="AS17" s="32"/>
      <c r="AT17" s="32"/>
      <c r="AU17" s="32"/>
      <c r="AV17" s="32"/>
      <c r="AW17" s="32"/>
      <c r="AX17" s="32"/>
      <c r="AY17" s="32"/>
      <c r="AZ17" s="32"/>
    </row>
    <row r="18" spans="1:52" ht="14.25" customHeight="1">
      <c r="C18" s="5"/>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BA1000"/>
  <sheetViews>
    <sheetView workbookViewId="0">
      <selection activeCell="B8" sqref="B8"/>
    </sheetView>
  </sheetViews>
  <sheetFormatPr baseColWidth="10" defaultColWidth="14.42578125" defaultRowHeight="15" customHeight="1"/>
  <cols>
    <col min="1" max="1" width="28.140625" customWidth="1"/>
    <col min="2" max="2" width="10.28515625" customWidth="1"/>
    <col min="3" max="33" width="9.140625" customWidth="1"/>
  </cols>
  <sheetData>
    <row r="1" spans="1:53" ht="14.25" customHeight="1">
      <c r="A1" s="24" t="s">
        <v>68</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25"/>
      <c r="AI1" s="25"/>
      <c r="AJ1" s="25"/>
      <c r="AK1" s="25"/>
      <c r="AL1" s="25"/>
      <c r="AM1" s="25"/>
      <c r="AN1" s="25"/>
      <c r="AO1" s="25"/>
      <c r="AP1" s="25"/>
      <c r="AQ1" s="25"/>
      <c r="AR1" s="25"/>
      <c r="AS1" s="25"/>
      <c r="AT1" s="25"/>
      <c r="AU1" s="25"/>
      <c r="AV1" s="25"/>
      <c r="AW1" s="25"/>
      <c r="AX1" s="25"/>
      <c r="AY1" s="25"/>
      <c r="AZ1" s="25"/>
      <c r="BA1" s="25"/>
    </row>
    <row r="2" spans="1:53" ht="14.25" customHeight="1">
      <c r="A2" s="1" t="s">
        <v>69</v>
      </c>
      <c r="B2" s="30">
        <f>TREND('capital processing'!$M$3:$N$3,'capital processing'!$M$2:$N$2,'CCaMC-BCCpUC'!B1)</f>
        <v>1763976.4040404046</v>
      </c>
      <c r="C2" s="30">
        <f>TREND('capital processing'!$M$3:$N$3,'capital processing'!$M$2:$N$2,'CCaMC-BCCpUC'!C1)</f>
        <v>1760420</v>
      </c>
      <c r="D2" s="30">
        <f>TREND('capital processing'!$M$3:$N$3,'capital processing'!$M$2:$N$2,'CCaMC-BCCpUC'!D1)</f>
        <v>1756863.5959595963</v>
      </c>
      <c r="E2" s="30">
        <f>TREND('capital processing'!$M$3:$N$3,'capital processing'!$M$2:$N$2,'CCaMC-BCCpUC'!E1)</f>
        <v>1753307.1919191917</v>
      </c>
      <c r="F2" s="30">
        <f>TREND('capital processing'!$M$3:$N$3,'capital processing'!$M$2:$N$2,'CCaMC-BCCpUC'!F1)</f>
        <v>1749750.7878787881</v>
      </c>
      <c r="G2" s="30">
        <f>TREND('capital processing'!$M$3:$N$3,'capital processing'!$M$2:$N$2,'CCaMC-BCCpUC'!G1)</f>
        <v>1746194.3838383844</v>
      </c>
      <c r="H2" s="30">
        <f>TREND('capital processing'!$M$3:$N$3,'capital processing'!$M$2:$N$2,'CCaMC-BCCpUC'!H1)</f>
        <v>1742637.9797979798</v>
      </c>
      <c r="I2" s="30">
        <f>TREND('capital processing'!$M$3:$N$3,'capital processing'!$M$2:$N$2,'CCaMC-BCCpUC'!I1)</f>
        <v>1739081.5757575762</v>
      </c>
      <c r="J2" s="30">
        <f>TREND('capital processing'!$M$3:$N$3,'capital processing'!$M$2:$N$2,'CCaMC-BCCpUC'!J1)</f>
        <v>1735525.1717171716</v>
      </c>
      <c r="K2" s="30">
        <f>TREND('capital processing'!$M$3:$N$3,'capital processing'!$M$2:$N$2,'CCaMC-BCCpUC'!K1)</f>
        <v>1731968.7676767679</v>
      </c>
      <c r="L2" s="30">
        <f>TREND('capital processing'!$M$3:$N$3,'capital processing'!$M$2:$N$2,'CCaMC-BCCpUC'!L1)</f>
        <v>1728412.3636363642</v>
      </c>
      <c r="M2" s="30">
        <f>TREND('capital processing'!$M$3:$N$3,'capital processing'!$M$2:$N$2,'CCaMC-BCCpUC'!M1)</f>
        <v>1724855.9595959596</v>
      </c>
      <c r="N2" s="30">
        <f>TREND('capital processing'!$M$3:$N$3,'capital processing'!$M$2:$N$2,'CCaMC-BCCpUC'!N1)</f>
        <v>1721299.555555556</v>
      </c>
      <c r="O2" s="30">
        <f>TREND('capital processing'!$M$3:$N$3,'capital processing'!$M$2:$N$2,'CCaMC-BCCpUC'!O1)</f>
        <v>1717743.1515151514</v>
      </c>
      <c r="P2" s="30">
        <f>TREND('capital processing'!$M$3:$N$3,'capital processing'!$M$2:$N$2,'CCaMC-BCCpUC'!P1)</f>
        <v>1714186.7474747477</v>
      </c>
      <c r="Q2" s="30">
        <f>TREND('capital processing'!$M$3:$N$3,'capital processing'!$M$2:$N$2,'CCaMC-BCCpUC'!Q1)</f>
        <v>1710630.343434344</v>
      </c>
      <c r="R2" s="30">
        <f>TREND('capital processing'!$M$3:$N$3,'capital processing'!$M$2:$N$2,'CCaMC-BCCpUC'!R1)</f>
        <v>1707073.9393939395</v>
      </c>
      <c r="S2" s="30">
        <f>TREND('capital processing'!$M$3:$N$3,'capital processing'!$M$2:$N$2,'CCaMC-BCCpUC'!S1)</f>
        <v>1703517.5353535358</v>
      </c>
      <c r="T2" s="30">
        <f>TREND('capital processing'!$M$3:$N$3,'capital processing'!$M$2:$N$2,'CCaMC-BCCpUC'!T1)</f>
        <v>1699961.1313131312</v>
      </c>
      <c r="U2" s="30">
        <f>TREND('capital processing'!$M$3:$N$3,'capital processing'!$M$2:$N$2,'CCaMC-BCCpUC'!U1)</f>
        <v>1696404.7272727275</v>
      </c>
      <c r="V2" s="30">
        <f>TREND('capital processing'!$M$3:$N$3,'capital processing'!$M$2:$N$2,'CCaMC-BCCpUC'!V1)</f>
        <v>1692848.3232323239</v>
      </c>
      <c r="W2" s="30">
        <f>TREND('capital processing'!$M$3:$N$3,'capital processing'!$M$2:$N$2,'CCaMC-BCCpUC'!W1)</f>
        <v>1689291.9191919193</v>
      </c>
      <c r="X2" s="30">
        <f>TREND('capital processing'!$M$3:$N$3,'capital processing'!$M$2:$N$2,'CCaMC-BCCpUC'!X1)</f>
        <v>1685735.5151515156</v>
      </c>
      <c r="Y2" s="30">
        <f>TREND('capital processing'!$M$3:$N$3,'capital processing'!$M$2:$N$2,'CCaMC-BCCpUC'!Y1)</f>
        <v>1682179.111111111</v>
      </c>
      <c r="Z2" s="30">
        <f>TREND('capital processing'!$M$3:$N$3,'capital processing'!$M$2:$N$2,'CCaMC-BCCpUC'!Z1)</f>
        <v>1678622.7070707073</v>
      </c>
      <c r="AA2" s="30">
        <f>TREND('capital processing'!$M$3:$N$3,'capital processing'!$M$2:$N$2,'CCaMC-BCCpUC'!AA1)</f>
        <v>1675066.3030303037</v>
      </c>
      <c r="AB2" s="30">
        <f>TREND('capital processing'!$M$3:$N$3,'capital processing'!$M$2:$N$2,'CCaMC-BCCpUC'!AB1)</f>
        <v>1671509.8989898991</v>
      </c>
      <c r="AC2" s="30">
        <f>TREND('capital processing'!$M$3:$N$3,'capital processing'!$M$2:$N$2,'CCaMC-BCCpUC'!AC1)</f>
        <v>1667953.4949494954</v>
      </c>
      <c r="AD2" s="30">
        <f>TREND('capital processing'!$M$3:$N$3,'capital processing'!$M$2:$N$2,'CCaMC-BCCpUC'!AD1)</f>
        <v>1664397.0909090908</v>
      </c>
      <c r="AE2" s="30">
        <f>TREND('capital processing'!$M$3:$N$3,'capital processing'!$M$2:$N$2,'CCaMC-BCCpUC'!AE1)</f>
        <v>1660840.6868686872</v>
      </c>
      <c r="AF2" s="30">
        <f>TREND('capital processing'!$M$3:$N$3,'capital processing'!$M$2:$N$2,'CCaMC-BCCpUC'!AF1)</f>
        <v>1657284.2828282835</v>
      </c>
      <c r="AG2" s="30">
        <f>TREND('capital processing'!$M$3:$N$3,'capital processing'!$M$2:$N$2,'CCaMC-BCCpUC'!AG1)</f>
        <v>1653727.8787878789</v>
      </c>
      <c r="AH2" s="30"/>
      <c r="AI2" s="30"/>
      <c r="AJ2" s="30"/>
      <c r="AK2" s="30"/>
      <c r="AL2" s="30"/>
      <c r="AM2" s="30"/>
      <c r="AN2" s="30"/>
      <c r="AO2" s="30"/>
      <c r="AP2" s="30"/>
      <c r="AQ2" s="30"/>
      <c r="AR2" s="30"/>
      <c r="AS2" s="30"/>
      <c r="AT2" s="30"/>
      <c r="AU2" s="30"/>
      <c r="AV2" s="30"/>
      <c r="AW2" s="30"/>
      <c r="AX2" s="30"/>
      <c r="AY2" s="30"/>
      <c r="AZ2" s="30"/>
      <c r="BA2" s="30"/>
    </row>
    <row r="3" spans="1:53" ht="14.25" customHeight="1">
      <c r="A3" s="1" t="s">
        <v>70</v>
      </c>
      <c r="B3" s="30">
        <f>TREND('capital processing'!$M$4:$N$4,'capital processing'!$M$2:$N$2,'CCaMC-BCCpUC'!B1)</f>
        <v>624712.49870129861</v>
      </c>
      <c r="C3" s="30">
        <f>TREND('capital processing'!$M$4:$N$4,'capital processing'!$M$2:$N$2,'CCaMC-BCCpUC'!C1)</f>
        <v>622288</v>
      </c>
      <c r="D3" s="30">
        <f>TREND('capital processing'!$M$4:$N$4,'capital processing'!$M$2:$N$2,'CCaMC-BCCpUC'!D1)</f>
        <v>619863.50129870139</v>
      </c>
      <c r="E3" s="30">
        <f>TREND('capital processing'!$M$4:$N$4,'capital processing'!$M$2:$N$2,'CCaMC-BCCpUC'!E1)</f>
        <v>617439.00259740278</v>
      </c>
      <c r="F3" s="30">
        <f>TREND('capital processing'!$M$4:$N$4,'capital processing'!$M$2:$N$2,'CCaMC-BCCpUC'!F1)</f>
        <v>615014.50389610324</v>
      </c>
      <c r="G3" s="30">
        <f>TREND('capital processing'!$M$4:$N$4,'capital processing'!$M$2:$N$2,'CCaMC-BCCpUC'!G1)</f>
        <v>612590.00519480463</v>
      </c>
      <c r="H3" s="30">
        <f>TREND('capital processing'!$M$4:$N$4,'capital processing'!$M$2:$N$2,'CCaMC-BCCpUC'!H1)</f>
        <v>610165.50649350602</v>
      </c>
      <c r="I3" s="30">
        <f>TREND('capital processing'!$M$4:$N$4,'capital processing'!$M$2:$N$2,'CCaMC-BCCpUC'!I1)</f>
        <v>607741.00779220741</v>
      </c>
      <c r="J3" s="30">
        <f>TREND('capital processing'!$M$4:$N$4,'capital processing'!$M$2:$N$2,'CCaMC-BCCpUC'!J1)</f>
        <v>605316.5090909088</v>
      </c>
      <c r="K3" s="30">
        <f>TREND('capital processing'!$M$4:$N$4,'capital processing'!$M$2:$N$2,'CCaMC-BCCpUC'!K1)</f>
        <v>602892.01038961019</v>
      </c>
      <c r="L3" s="30">
        <f>TREND('capital processing'!$M$4:$N$4,'capital processing'!$M$2:$N$2,'CCaMC-BCCpUC'!L1)</f>
        <v>600467.51168831158</v>
      </c>
      <c r="M3" s="30">
        <f>TREND('capital processing'!$M$4:$N$4,'capital processing'!$M$2:$N$2,'CCaMC-BCCpUC'!M1)</f>
        <v>598043.01298701297</v>
      </c>
      <c r="N3" s="30">
        <f>TREND('capital processing'!$M$4:$N$4,'capital processing'!$M$2:$N$2,'CCaMC-BCCpUC'!N1)</f>
        <v>595618.51428571437</v>
      </c>
      <c r="O3" s="30">
        <f>TREND('capital processing'!$M$4:$N$4,'capital processing'!$M$2:$N$2,'CCaMC-BCCpUC'!O1)</f>
        <v>593194.01558441576</v>
      </c>
      <c r="P3" s="30">
        <f>TREND('capital processing'!$M$4:$N$4,'capital processing'!$M$2:$N$2,'CCaMC-BCCpUC'!P1)</f>
        <v>590769.51688311622</v>
      </c>
      <c r="Q3" s="30">
        <f>TREND('capital processing'!$M$4:$N$4,'capital processing'!$M$2:$N$2,'CCaMC-BCCpUC'!Q1)</f>
        <v>588345.01818181761</v>
      </c>
      <c r="R3" s="30">
        <f>TREND('capital processing'!$M$4:$N$4,'capital processing'!$M$2:$N$2,'CCaMC-BCCpUC'!R1)</f>
        <v>585920.519480519</v>
      </c>
      <c r="S3" s="30">
        <f>TREND('capital processing'!$M$4:$N$4,'capital processing'!$M$2:$N$2,'CCaMC-BCCpUC'!S1)</f>
        <v>583496.02077922039</v>
      </c>
      <c r="T3" s="30">
        <f>TREND('capital processing'!$M$4:$N$4,'capital processing'!$M$2:$N$2,'CCaMC-BCCpUC'!T1)</f>
        <v>581071.52207792178</v>
      </c>
      <c r="U3" s="30">
        <f>TREND('capital processing'!$M$4:$N$4,'capital processing'!$M$2:$N$2,'CCaMC-BCCpUC'!U1)</f>
        <v>578647.02337662317</v>
      </c>
      <c r="V3" s="30">
        <f>TREND('capital processing'!$M$4:$N$4,'capital processing'!$M$2:$N$2,'CCaMC-BCCpUC'!V1)</f>
        <v>576222.52467532456</v>
      </c>
      <c r="W3" s="30">
        <f>TREND('capital processing'!$M$4:$N$4,'capital processing'!$M$2:$N$2,'CCaMC-BCCpUC'!W1)</f>
        <v>573798.02597402595</v>
      </c>
      <c r="X3" s="30">
        <f>TREND('capital processing'!$M$4:$N$4,'capital processing'!$M$2:$N$2,'CCaMC-BCCpUC'!X1)</f>
        <v>571373.52727272734</v>
      </c>
      <c r="Y3" s="30">
        <f>TREND('capital processing'!$M$4:$N$4,'capital processing'!$M$2:$N$2,'CCaMC-BCCpUC'!Y1)</f>
        <v>568949.02857142873</v>
      </c>
      <c r="Z3" s="30">
        <f>TREND('capital processing'!$M$4:$N$4,'capital processing'!$M$2:$N$2,'CCaMC-BCCpUC'!Z1)</f>
        <v>566524.52987012919</v>
      </c>
      <c r="AA3" s="30">
        <f>TREND('capital processing'!$M$4:$N$4,'capital processing'!$M$2:$N$2,'CCaMC-BCCpUC'!AA1)</f>
        <v>564100.03116883058</v>
      </c>
      <c r="AB3" s="30">
        <f>TREND('capital processing'!$M$4:$N$4,'capital processing'!$M$2:$N$2,'CCaMC-BCCpUC'!AB1)</f>
        <v>561675.53246753197</v>
      </c>
      <c r="AC3" s="30">
        <f>TREND('capital processing'!$M$4:$N$4,'capital processing'!$M$2:$N$2,'CCaMC-BCCpUC'!AC1)</f>
        <v>559251.03376623336</v>
      </c>
      <c r="AD3" s="30">
        <f>TREND('capital processing'!$M$4:$N$4,'capital processing'!$M$2:$N$2,'CCaMC-BCCpUC'!AD1)</f>
        <v>556826.53506493475</v>
      </c>
      <c r="AE3" s="30">
        <f>TREND('capital processing'!$M$4:$N$4,'capital processing'!$M$2:$N$2,'CCaMC-BCCpUC'!AE1)</f>
        <v>554402.03636363614</v>
      </c>
      <c r="AF3" s="30">
        <f>TREND('capital processing'!$M$4:$N$4,'capital processing'!$M$2:$N$2,'CCaMC-BCCpUC'!AF1)</f>
        <v>551977.53766233753</v>
      </c>
      <c r="AG3" s="30">
        <f>TREND('capital processing'!$M$4:$N$4,'capital processing'!$M$2:$N$2,'CCaMC-BCCpUC'!AG1)</f>
        <v>549553.03896103892</v>
      </c>
      <c r="AH3" s="30"/>
      <c r="AI3" s="30"/>
      <c r="AJ3" s="30"/>
      <c r="AK3" s="30"/>
      <c r="AL3" s="30"/>
      <c r="AM3" s="30"/>
      <c r="AN3" s="30"/>
      <c r="AO3" s="30"/>
      <c r="AP3" s="30"/>
      <c r="AQ3" s="30"/>
      <c r="AR3" s="30"/>
      <c r="AS3" s="30"/>
      <c r="AT3" s="30"/>
      <c r="AU3" s="30"/>
      <c r="AV3" s="30"/>
      <c r="AW3" s="30"/>
      <c r="AX3" s="30"/>
      <c r="AY3" s="30"/>
      <c r="AZ3" s="30"/>
      <c r="BA3" s="30"/>
    </row>
    <row r="4" spans="1:53" ht="14.25" customHeight="1">
      <c r="A4" s="1" t="s">
        <v>71</v>
      </c>
      <c r="B4" s="30">
        <f>nuclear!$C$8</f>
        <v>9520000</v>
      </c>
      <c r="C4" s="30">
        <f>nuclear!$C$8</f>
        <v>9520000</v>
      </c>
      <c r="D4" s="30">
        <f>nuclear!$C$8</f>
        <v>9520000</v>
      </c>
      <c r="E4" s="30">
        <f>nuclear!$C$8</f>
        <v>9520000</v>
      </c>
      <c r="F4" s="30">
        <f>nuclear!$C$8</f>
        <v>9520000</v>
      </c>
      <c r="G4" s="30">
        <f>nuclear!$C$8</f>
        <v>9520000</v>
      </c>
      <c r="H4" s="30">
        <f>nuclear!$C$8</f>
        <v>9520000</v>
      </c>
      <c r="I4" s="30">
        <f>nuclear!$C$8</f>
        <v>9520000</v>
      </c>
      <c r="J4" s="30">
        <f>nuclear!$C$8</f>
        <v>9520000</v>
      </c>
      <c r="K4" s="30">
        <f>nuclear!$C$8</f>
        <v>9520000</v>
      </c>
      <c r="L4" s="30">
        <f>nuclear!$C$8</f>
        <v>9520000</v>
      </c>
      <c r="M4" s="30">
        <f>nuclear!$C$8</f>
        <v>9520000</v>
      </c>
      <c r="N4" s="30">
        <f>nuclear!$C$8</f>
        <v>9520000</v>
      </c>
      <c r="O4" s="30">
        <f>nuclear!$C$8</f>
        <v>9520000</v>
      </c>
      <c r="P4" s="30">
        <f>nuclear!$C$8</f>
        <v>9520000</v>
      </c>
      <c r="Q4" s="30">
        <f>nuclear!$C$8</f>
        <v>9520000</v>
      </c>
      <c r="R4" s="30">
        <f>nuclear!$C$8</f>
        <v>9520000</v>
      </c>
      <c r="S4" s="30">
        <f>nuclear!$C$8</f>
        <v>9520000</v>
      </c>
      <c r="T4" s="30">
        <f>nuclear!$C$8</f>
        <v>9520000</v>
      </c>
      <c r="U4" s="30">
        <f>nuclear!$C$8</f>
        <v>9520000</v>
      </c>
      <c r="V4" s="30">
        <f>nuclear!$C$8</f>
        <v>9520000</v>
      </c>
      <c r="W4" s="30">
        <f>nuclear!$C$8</f>
        <v>9520000</v>
      </c>
      <c r="X4" s="30">
        <f>nuclear!$C$8</f>
        <v>9520000</v>
      </c>
      <c r="Y4" s="30">
        <f>nuclear!$C$8</f>
        <v>9520000</v>
      </c>
      <c r="Z4" s="30">
        <f>nuclear!$C$8</f>
        <v>9520000</v>
      </c>
      <c r="AA4" s="30">
        <f>nuclear!$C$8</f>
        <v>9520000</v>
      </c>
      <c r="AB4" s="30">
        <f>nuclear!$C$8</f>
        <v>9520000</v>
      </c>
      <c r="AC4" s="30">
        <f>nuclear!$C$8</f>
        <v>9520000</v>
      </c>
      <c r="AD4" s="30">
        <f>nuclear!$C$8</f>
        <v>9520000</v>
      </c>
      <c r="AE4" s="30">
        <f>nuclear!$C$8</f>
        <v>9520000</v>
      </c>
      <c r="AF4" s="30">
        <f>nuclear!$C$8</f>
        <v>9520000</v>
      </c>
      <c r="AG4" s="30">
        <f>nuclear!$C$8</f>
        <v>9520000</v>
      </c>
      <c r="AH4" s="30"/>
      <c r="AI4" s="30"/>
      <c r="AJ4" s="30"/>
      <c r="AK4" s="30"/>
      <c r="AL4" s="30"/>
      <c r="AM4" s="30"/>
      <c r="AN4" s="30"/>
      <c r="AO4" s="30"/>
      <c r="AP4" s="30"/>
      <c r="AQ4" s="30"/>
      <c r="AR4" s="30"/>
      <c r="AS4" s="30"/>
      <c r="AT4" s="30"/>
      <c r="AU4" s="30"/>
      <c r="AV4" s="30"/>
      <c r="AW4" s="30"/>
      <c r="AX4" s="30"/>
      <c r="AY4" s="30"/>
      <c r="AZ4" s="30"/>
      <c r="BA4" s="30"/>
    </row>
    <row r="5" spans="1:53" ht="14.25" customHeight="1">
      <c r="A5" s="1" t="s">
        <v>72</v>
      </c>
      <c r="B5" s="30">
        <f>TREND('capital processing'!$M$5:$N$5,'capital processing'!$M$2:$N$2,'CCaMC-BCCpUC'!B1)</f>
        <v>1807999.628205128</v>
      </c>
      <c r="C5" s="30">
        <f>TREND('capital processing'!$M$5:$N$5,'capital processing'!$M$2:$N$2,'CCaMC-BCCpUC'!C1)</f>
        <v>1801360</v>
      </c>
      <c r="D5" s="30">
        <f>TREND('capital processing'!$M$5:$N$5,'capital processing'!$M$2:$N$2,'CCaMC-BCCpUC'!D1)</f>
        <v>1794720.371794872</v>
      </c>
      <c r="E5" s="30">
        <f>TREND('capital processing'!$M$5:$N$5,'capital processing'!$M$2:$N$2,'CCaMC-BCCpUC'!E1)</f>
        <v>1788080.743589744</v>
      </c>
      <c r="F5" s="30">
        <f>TREND('capital processing'!$M$5:$N$5,'capital processing'!$M$2:$N$2,'CCaMC-BCCpUC'!F1)</f>
        <v>1781441.115384616</v>
      </c>
      <c r="G5" s="30">
        <f>TREND('capital processing'!$M$5:$N$5,'capital processing'!$M$2:$N$2,'CCaMC-BCCpUC'!G1)</f>
        <v>1774801.4871794861</v>
      </c>
      <c r="H5" s="30">
        <f>TREND('capital processing'!$M$5:$N$5,'capital processing'!$M$2:$N$2,'CCaMC-BCCpUC'!H1)</f>
        <v>1768161.8589743581</v>
      </c>
      <c r="I5" s="30">
        <f>TREND('capital processing'!$M$5:$N$5,'capital processing'!$M$2:$N$2,'CCaMC-BCCpUC'!I1)</f>
        <v>1761522.2307692301</v>
      </c>
      <c r="J5" s="30">
        <f>TREND('capital processing'!$M$5:$N$5,'capital processing'!$M$2:$N$2,'CCaMC-BCCpUC'!J1)</f>
        <v>1754882.602564102</v>
      </c>
      <c r="K5" s="30">
        <f>TREND('capital processing'!$M$5:$N$5,'capital processing'!$M$2:$N$2,'CCaMC-BCCpUC'!K1)</f>
        <v>1748242.974358974</v>
      </c>
      <c r="L5" s="30">
        <f>TREND('capital processing'!$M$5:$N$5,'capital processing'!$M$2:$N$2,'CCaMC-BCCpUC'!L1)</f>
        <v>1741603.346153846</v>
      </c>
      <c r="M5" s="30">
        <f>TREND('capital processing'!$M$5:$N$5,'capital processing'!$M$2:$N$2,'CCaMC-BCCpUC'!M1)</f>
        <v>1734963.717948718</v>
      </c>
      <c r="N5" s="30">
        <f>TREND('capital processing'!$M$5:$N$5,'capital processing'!$M$2:$N$2,'CCaMC-BCCpUC'!N1)</f>
        <v>1728324.08974359</v>
      </c>
      <c r="O5" s="30">
        <f>TREND('capital processing'!$M$5:$N$5,'capital processing'!$M$2:$N$2,'CCaMC-BCCpUC'!O1)</f>
        <v>1721684.461538462</v>
      </c>
      <c r="P5" s="30">
        <f>TREND('capital processing'!$M$5:$N$5,'capital processing'!$M$2:$N$2,'CCaMC-BCCpUC'!P1)</f>
        <v>1715044.833333334</v>
      </c>
      <c r="Q5" s="30">
        <f>TREND('capital processing'!$M$5:$N$5,'capital processing'!$M$2:$N$2,'CCaMC-BCCpUC'!Q1)</f>
        <v>1708405.2051282041</v>
      </c>
      <c r="R5" s="30">
        <f>TREND('capital processing'!$M$5:$N$5,'capital processing'!$M$2:$N$2,'CCaMC-BCCpUC'!R1)</f>
        <v>1701765.5769230761</v>
      </c>
      <c r="S5" s="30">
        <f>TREND('capital processing'!$M$5:$N$5,'capital processing'!$M$2:$N$2,'CCaMC-BCCpUC'!S1)</f>
        <v>1695125.948717948</v>
      </c>
      <c r="T5" s="30">
        <f>TREND('capital processing'!$M$5:$N$5,'capital processing'!$M$2:$N$2,'CCaMC-BCCpUC'!T1)</f>
        <v>1688486.32051282</v>
      </c>
      <c r="U5" s="30">
        <f>TREND('capital processing'!$M$5:$N$5,'capital processing'!$M$2:$N$2,'CCaMC-BCCpUC'!U1)</f>
        <v>1681846.692307692</v>
      </c>
      <c r="V5" s="30">
        <f>TREND('capital processing'!$M$5:$N$5,'capital processing'!$M$2:$N$2,'CCaMC-BCCpUC'!V1)</f>
        <v>1675207.064102564</v>
      </c>
      <c r="W5" s="30">
        <f>TREND('capital processing'!$M$5:$N$5,'capital processing'!$M$2:$N$2,'CCaMC-BCCpUC'!W1)</f>
        <v>1668567.435897436</v>
      </c>
      <c r="X5" s="30">
        <f>TREND('capital processing'!$M$5:$N$5,'capital processing'!$M$2:$N$2,'CCaMC-BCCpUC'!X1)</f>
        <v>1661927.807692308</v>
      </c>
      <c r="Y5" s="30">
        <f>TREND('capital processing'!$M$5:$N$5,'capital processing'!$M$2:$N$2,'CCaMC-BCCpUC'!Y1)</f>
        <v>1655288.17948718</v>
      </c>
      <c r="Z5" s="30">
        <f>TREND('capital processing'!$M$5:$N$5,'capital processing'!$M$2:$N$2,'CCaMC-BCCpUC'!Z1)</f>
        <v>1648648.551282052</v>
      </c>
      <c r="AA5" s="30">
        <f>TREND('capital processing'!$M$5:$N$5,'capital processing'!$M$2:$N$2,'CCaMC-BCCpUC'!AA1)</f>
        <v>1642008.9230769221</v>
      </c>
      <c r="AB5" s="30">
        <f>TREND('capital processing'!$M$5:$N$5,'capital processing'!$M$2:$N$2,'CCaMC-BCCpUC'!AB1)</f>
        <v>1635369.2948717941</v>
      </c>
      <c r="AC5" s="30">
        <f>TREND('capital processing'!$M$5:$N$5,'capital processing'!$M$2:$N$2,'CCaMC-BCCpUC'!AC1)</f>
        <v>1628729.666666666</v>
      </c>
      <c r="AD5" s="30">
        <f>TREND('capital processing'!$M$5:$N$5,'capital processing'!$M$2:$N$2,'CCaMC-BCCpUC'!AD1)</f>
        <v>1622090.038461538</v>
      </c>
      <c r="AE5" s="30">
        <f>TREND('capital processing'!$M$5:$N$5,'capital processing'!$M$2:$N$2,'CCaMC-BCCpUC'!AE1)</f>
        <v>1615450.41025641</v>
      </c>
      <c r="AF5" s="30">
        <f>TREND('capital processing'!$M$5:$N$5,'capital processing'!$M$2:$N$2,'CCaMC-BCCpUC'!AF1)</f>
        <v>1608810.782051282</v>
      </c>
      <c r="AG5" s="30">
        <f>TREND('capital processing'!$M$5:$N$5,'capital processing'!$M$2:$N$2,'CCaMC-BCCpUC'!AG1)</f>
        <v>1602171.153846154</v>
      </c>
      <c r="AH5" s="30"/>
      <c r="AI5" s="30"/>
      <c r="AJ5" s="30"/>
      <c r="AK5" s="30"/>
      <c r="AL5" s="30"/>
      <c r="AM5" s="30"/>
      <c r="AN5" s="30"/>
      <c r="AO5" s="30"/>
      <c r="AP5" s="30"/>
      <c r="AQ5" s="30"/>
      <c r="AR5" s="30"/>
      <c r="AS5" s="30"/>
      <c r="AT5" s="30"/>
      <c r="AU5" s="30"/>
      <c r="AV5" s="30"/>
      <c r="AW5" s="30"/>
      <c r="AX5" s="30"/>
      <c r="AY5" s="30"/>
      <c r="AZ5" s="30"/>
      <c r="BA5" s="30"/>
    </row>
    <row r="6" spans="1:53" ht="14.25" customHeight="1">
      <c r="A6" s="1" t="s">
        <v>73</v>
      </c>
      <c r="B6" s="30">
        <f>TREND('capital processing'!$M$6:$N$6,'capital processing'!$M$2:$N$2,'CCaMC-BCCpUC'!B1)</f>
        <v>768591.18400000036</v>
      </c>
      <c r="C6" s="30">
        <f>TREND('capital processing'!$M$6:$N$6,'capital processing'!$M$2:$N$2,'CCaMC-BCCpUC'!C1)</f>
        <v>761484.00000000186</v>
      </c>
      <c r="D6" s="30">
        <f>TREND('capital processing'!$M$6:$N$6,'capital processing'!$M$2:$N$2,'CCaMC-BCCpUC'!D1)</f>
        <v>754376.81600000151</v>
      </c>
      <c r="E6" s="30">
        <f>TREND('capital processing'!$M$6:$N$6,'capital processing'!$M$2:$N$2,'CCaMC-BCCpUC'!E1)</f>
        <v>747269.63200000115</v>
      </c>
      <c r="F6" s="30">
        <f>TREND('capital processing'!$M$6:$N$6,'capital processing'!$M$2:$N$2,'CCaMC-BCCpUC'!F1)</f>
        <v>740162.44800000079</v>
      </c>
      <c r="G6" s="30">
        <f>TREND('capital processing'!$M$6:$N$6,'capital processing'!$M$2:$N$2,'CCaMC-BCCpUC'!G1)</f>
        <v>733055.26400000043</v>
      </c>
      <c r="H6" s="30">
        <f>TREND('capital processing'!$M$6:$N$6,'capital processing'!$M$2:$N$2,'CCaMC-BCCpUC'!H1)</f>
        <v>725948.08000000194</v>
      </c>
      <c r="I6" s="30">
        <f>TREND('capital processing'!$M$6:$N$6,'capital processing'!$M$2:$N$2,'CCaMC-BCCpUC'!I1)</f>
        <v>718840.89600000158</v>
      </c>
      <c r="J6" s="30">
        <f>TREND('capital processing'!$M$6:$N$6,'capital processing'!$M$2:$N$2,'CCaMC-BCCpUC'!J1)</f>
        <v>711733.71200000122</v>
      </c>
      <c r="K6" s="30">
        <f>TREND('capital processing'!$M$6:$N$6,'capital processing'!$M$2:$N$2,'CCaMC-BCCpUC'!K1)</f>
        <v>704626.52800000086</v>
      </c>
      <c r="L6" s="30">
        <f>TREND('capital processing'!$M$6:$N$6,'capital processing'!$M$2:$N$2,'CCaMC-BCCpUC'!L1)</f>
        <v>697519.34400000051</v>
      </c>
      <c r="M6" s="30">
        <f>TREND('capital processing'!$M$6:$N$6,'capital processing'!$M$2:$N$2,'CCaMC-BCCpUC'!M1)</f>
        <v>690412.16000000201</v>
      </c>
      <c r="N6" s="30">
        <f>TREND('capital processing'!$M$6:$N$6,'capital processing'!$M$2:$N$2,'CCaMC-BCCpUC'!N1)</f>
        <v>683304.97600000165</v>
      </c>
      <c r="O6" s="30">
        <f>TREND('capital processing'!$M$6:$N$6,'capital processing'!$M$2:$N$2,'CCaMC-BCCpUC'!O1)</f>
        <v>676197.7920000013</v>
      </c>
      <c r="P6" s="30">
        <f>TREND('capital processing'!$M$6:$N$6,'capital processing'!$M$2:$N$2,'CCaMC-BCCpUC'!P1)</f>
        <v>669090.60800000094</v>
      </c>
      <c r="Q6" s="30">
        <f>TREND('capital processing'!$M$6:$N$6,'capital processing'!$M$2:$N$2,'CCaMC-BCCpUC'!Q1)</f>
        <v>661983.42400000058</v>
      </c>
      <c r="R6" s="30">
        <f>TREND('capital processing'!$M$6:$N$6,'capital processing'!$M$2:$N$2,'CCaMC-BCCpUC'!R1)</f>
        <v>654876.24000000022</v>
      </c>
      <c r="S6" s="30">
        <f>TREND('capital processing'!$M$6:$N$6,'capital processing'!$M$2:$N$2,'CCaMC-BCCpUC'!S1)</f>
        <v>647769.05600000173</v>
      </c>
      <c r="T6" s="30">
        <f>TREND('capital processing'!$M$6:$N$6,'capital processing'!$M$2:$N$2,'CCaMC-BCCpUC'!T1)</f>
        <v>640661.87200000137</v>
      </c>
      <c r="U6" s="30">
        <f>TREND('capital processing'!$M$6:$N$6,'capital processing'!$M$2:$N$2,'CCaMC-BCCpUC'!U1)</f>
        <v>633554.68800000101</v>
      </c>
      <c r="V6" s="30">
        <f>TREND('capital processing'!$M$6:$N$6,'capital processing'!$M$2:$N$2,'CCaMC-BCCpUC'!V1)</f>
        <v>626447.50400000066</v>
      </c>
      <c r="W6" s="30">
        <f>TREND('capital processing'!$M$6:$N$6,'capital processing'!$M$2:$N$2,'CCaMC-BCCpUC'!W1)</f>
        <v>619340.3200000003</v>
      </c>
      <c r="X6" s="30">
        <f>TREND('capital processing'!$M$6:$N$6,'capital processing'!$M$2:$N$2,'CCaMC-BCCpUC'!X1)</f>
        <v>612233.1360000018</v>
      </c>
      <c r="Y6" s="30">
        <f>TREND('capital processing'!$M$6:$N$6,'capital processing'!$M$2:$N$2,'CCaMC-BCCpUC'!Y1)</f>
        <v>605125.95200000145</v>
      </c>
      <c r="Z6" s="30">
        <f>TREND('capital processing'!$M$6:$N$6,'capital processing'!$M$2:$N$2,'CCaMC-BCCpUC'!Z1)</f>
        <v>598018.76800000109</v>
      </c>
      <c r="AA6" s="30">
        <f>TREND('capital processing'!$M$6:$N$6,'capital processing'!$M$2:$N$2,'CCaMC-BCCpUC'!AA1)</f>
        <v>590911.58400000073</v>
      </c>
      <c r="AB6" s="30">
        <f>TREND('capital processing'!$M$6:$N$6,'capital processing'!$M$2:$N$2,'CCaMC-BCCpUC'!AB1)</f>
        <v>583804.40000000037</v>
      </c>
      <c r="AC6" s="30">
        <f>TREND('capital processing'!$M$6:$N$6,'capital processing'!$M$2:$N$2,'CCaMC-BCCpUC'!AC1)</f>
        <v>576697.21600000188</v>
      </c>
      <c r="AD6" s="30">
        <f>TREND('capital processing'!$M$6:$N$6,'capital processing'!$M$2:$N$2,'CCaMC-BCCpUC'!AD1)</f>
        <v>569590.03200000152</v>
      </c>
      <c r="AE6" s="30">
        <f>TREND('capital processing'!$M$6:$N$6,'capital processing'!$M$2:$N$2,'CCaMC-BCCpUC'!AE1)</f>
        <v>562482.84800000116</v>
      </c>
      <c r="AF6" s="30">
        <f>TREND('capital processing'!$M$6:$N$6,'capital processing'!$M$2:$N$2,'CCaMC-BCCpUC'!AF1)</f>
        <v>555375.6640000008</v>
      </c>
      <c r="AG6" s="30">
        <f>TREND('capital processing'!$M$6:$N$6,'capital processing'!$M$2:$N$2,'CCaMC-BCCpUC'!AG1)</f>
        <v>548268.48000000045</v>
      </c>
      <c r="AH6" s="30"/>
      <c r="AI6" s="30"/>
      <c r="AJ6" s="30"/>
      <c r="AK6" s="30"/>
      <c r="AL6" s="30"/>
      <c r="AM6" s="30"/>
      <c r="AN6" s="30"/>
      <c r="AO6" s="30"/>
      <c r="AP6" s="30"/>
      <c r="AQ6" s="30"/>
      <c r="AR6" s="30"/>
      <c r="AS6" s="30"/>
      <c r="AT6" s="30"/>
      <c r="AU6" s="30"/>
      <c r="AV6" s="30"/>
      <c r="AW6" s="30"/>
      <c r="AX6" s="30"/>
      <c r="AY6" s="30"/>
      <c r="AZ6" s="30"/>
      <c r="BA6" s="30"/>
    </row>
    <row r="7" spans="1:53" ht="14.25" customHeight="1">
      <c r="A7" s="1" t="s">
        <v>22</v>
      </c>
      <c r="B7" s="30">
        <f>TREND('capital processing'!$M$7:$N$7,'capital processing'!$M$2:$N$2,'CCaMC-BCCpUC'!B1)</f>
        <v>607307.76033755392</v>
      </c>
      <c r="C7" s="30">
        <f>TREND('capital processing'!$M$7:$N$7,'capital processing'!$M$2:$N$2,'CCaMC-BCCpUC'!C1)</f>
        <v>597724</v>
      </c>
      <c r="D7" s="30">
        <f>TREND('capital processing'!$M$7:$N$7,'capital processing'!$M$2:$N$2,'CCaMC-BCCpUC'!D1)</f>
        <v>588140.23966244608</v>
      </c>
      <c r="E7" s="30">
        <f>TREND('capital processing'!$M$7:$N$7,'capital processing'!$M$2:$N$2,'CCaMC-BCCpUC'!E1)</f>
        <v>578556.47932489589</v>
      </c>
      <c r="F7" s="30">
        <f>TREND('capital processing'!$M$7:$N$7,'capital processing'!$M$2:$N$2,'CCaMC-BCCpUC'!F1)</f>
        <v>568972.71898734197</v>
      </c>
      <c r="G7" s="30">
        <f>TREND('capital processing'!$M$7:$N$7,'capital processing'!$M$2:$N$2,'CCaMC-BCCpUC'!G1)</f>
        <v>559388.95864978805</v>
      </c>
      <c r="H7" s="30">
        <f>TREND('capital processing'!$M$7:$N$7,'capital processing'!$M$2:$N$2,'CCaMC-BCCpUC'!H1)</f>
        <v>549805.19831223786</v>
      </c>
      <c r="I7" s="30">
        <f>TREND('capital processing'!$M$7:$N$7,'capital processing'!$M$2:$N$2,'CCaMC-BCCpUC'!I1)</f>
        <v>540221.43797468394</v>
      </c>
      <c r="J7" s="30">
        <f>TREND('capital processing'!$M$7:$N$7,'capital processing'!$M$2:$N$2,'CCaMC-BCCpUC'!J1)</f>
        <v>530637.67763713002</v>
      </c>
      <c r="K7" s="30">
        <f>TREND('capital processing'!$M$7:$N$7,'capital processing'!$M$2:$N$2,'CCaMC-BCCpUC'!K1)</f>
        <v>521053.91729957983</v>
      </c>
      <c r="L7" s="30">
        <f>TREND('capital processing'!$M$7:$N$7,'capital processing'!$M$2:$N$2,'CCaMC-BCCpUC'!L1)</f>
        <v>511470.15696202591</v>
      </c>
      <c r="M7" s="30">
        <f>TREND('capital processing'!$M$7:$N$7,'capital processing'!$M$2:$N$2,'CCaMC-BCCpUC'!M1)</f>
        <v>501886.39662447199</v>
      </c>
      <c r="N7" s="30">
        <f>TREND('capital processing'!$M$7:$N$7,'capital processing'!$M$2:$N$2,'CCaMC-BCCpUC'!N1)</f>
        <v>492302.6362869218</v>
      </c>
      <c r="O7" s="30">
        <f>TREND('capital processing'!$M$7:$N$7,'capital processing'!$M$2:$N$2,'CCaMC-BCCpUC'!O1)</f>
        <v>482718.87594936788</v>
      </c>
      <c r="P7" s="30">
        <f>TREND('capital processing'!$M$7:$N$7,'capital processing'!$M$2:$N$2,'CCaMC-BCCpUC'!P1)</f>
        <v>473135.11561181396</v>
      </c>
      <c r="Q7" s="30">
        <f>TREND('capital processing'!$M$7:$N$7,'capital processing'!$M$2:$N$2,'CCaMC-BCCpUC'!Q1)</f>
        <v>463551.35527426377</v>
      </c>
      <c r="R7" s="30">
        <f>TREND('capital processing'!$M$7:$N$7,'capital processing'!$M$2:$N$2,'CCaMC-BCCpUC'!R1)</f>
        <v>453967.59493670985</v>
      </c>
      <c r="S7" s="30">
        <f>TREND('capital processing'!$M$7:$N$7,'capital processing'!$M$2:$N$2,'CCaMC-BCCpUC'!S1)</f>
        <v>444383.83459915593</v>
      </c>
      <c r="T7" s="30">
        <f>TREND('capital processing'!$M$7:$N$7,'capital processing'!$M$2:$N$2,'CCaMC-BCCpUC'!T1)</f>
        <v>434800.07426160574</v>
      </c>
      <c r="U7" s="30">
        <f>TREND('capital processing'!$M$7:$N$7,'capital processing'!$M$2:$N$2,'CCaMC-BCCpUC'!U1)</f>
        <v>425216.31392405182</v>
      </c>
      <c r="V7" s="30">
        <f>TREND('capital processing'!$M$7:$N$7,'capital processing'!$M$2:$N$2,'CCaMC-BCCpUC'!V1)</f>
        <v>415632.5535864979</v>
      </c>
      <c r="W7" s="30">
        <f>TREND('capital processing'!$M$7:$N$7,'capital processing'!$M$2:$N$2,'CCaMC-BCCpUC'!W1)</f>
        <v>406048.79324894398</v>
      </c>
      <c r="X7" s="30">
        <f>TREND('capital processing'!$M$7:$N$7,'capital processing'!$M$2:$N$2,'CCaMC-BCCpUC'!X1)</f>
        <v>396465.03291139379</v>
      </c>
      <c r="Y7" s="30">
        <f>TREND('capital processing'!$M$7:$N$7,'capital processing'!$M$2:$N$2,'CCaMC-BCCpUC'!Y1)</f>
        <v>386881.27257383987</v>
      </c>
      <c r="Z7" s="30">
        <f>TREND('capital processing'!$M$7:$N$7,'capital processing'!$M$2:$N$2,'CCaMC-BCCpUC'!Z1)</f>
        <v>377297.51223628595</v>
      </c>
      <c r="AA7" s="30">
        <f>TREND('capital processing'!$M$7:$N$7,'capital processing'!$M$2:$N$2,'CCaMC-BCCpUC'!AA1)</f>
        <v>367713.75189873576</v>
      </c>
      <c r="AB7" s="30">
        <f>TREND('capital processing'!$M$7:$N$7,'capital processing'!$M$2:$N$2,'CCaMC-BCCpUC'!AB1)</f>
        <v>358129.99156118184</v>
      </c>
      <c r="AC7" s="30">
        <f>TREND('capital processing'!$M$7:$N$7,'capital processing'!$M$2:$N$2,'CCaMC-BCCpUC'!AC1)</f>
        <v>348546.23122362792</v>
      </c>
      <c r="AD7" s="30">
        <f>TREND('capital processing'!$M$7:$N$7,'capital processing'!$M$2:$N$2,'CCaMC-BCCpUC'!AD1)</f>
        <v>338962.47088607773</v>
      </c>
      <c r="AE7" s="30">
        <f>TREND('capital processing'!$M$7:$N$7,'capital processing'!$M$2:$N$2,'CCaMC-BCCpUC'!AE1)</f>
        <v>329378.71054852381</v>
      </c>
      <c r="AF7" s="30">
        <f>TREND('capital processing'!$M$7:$N$7,'capital processing'!$M$2:$N$2,'CCaMC-BCCpUC'!AF1)</f>
        <v>319794.9502109699</v>
      </c>
      <c r="AG7" s="30">
        <f>TREND('capital processing'!$M$7:$N$7,'capital processing'!$M$2:$N$2,'CCaMC-BCCpUC'!AG1)</f>
        <v>310211.1898734197</v>
      </c>
      <c r="AH7" s="30"/>
      <c r="AI7" s="30"/>
      <c r="AJ7" s="30"/>
      <c r="AK7" s="30"/>
      <c r="AL7" s="30"/>
      <c r="AM7" s="30"/>
      <c r="AN7" s="30"/>
      <c r="AO7" s="30"/>
      <c r="AP7" s="30"/>
      <c r="AQ7" s="30"/>
      <c r="AR7" s="30"/>
      <c r="AS7" s="30"/>
      <c r="AT7" s="30"/>
      <c r="AU7" s="30"/>
      <c r="AV7" s="30"/>
      <c r="AW7" s="30"/>
      <c r="AX7" s="30"/>
      <c r="AY7" s="30"/>
      <c r="AZ7" s="30"/>
      <c r="BA7" s="30"/>
    </row>
    <row r="8" spans="1:53" ht="14.25" customHeight="1">
      <c r="A8" s="1" t="s">
        <v>74</v>
      </c>
      <c r="B8" s="30">
        <f>'solar thermal'!B11*About!$A$38</f>
        <v>4606807.4483846799</v>
      </c>
      <c r="C8" s="30">
        <f>'solar thermal'!C11*About!$A$38</f>
        <v>4568794.4718256928</v>
      </c>
      <c r="D8" s="30">
        <f>'solar thermal'!D11*About!$A$38</f>
        <v>4530781.4952667179</v>
      </c>
      <c r="E8" s="30">
        <f>'solar thermal'!E11*About!$A$38</f>
        <v>4492768.5187077438</v>
      </c>
      <c r="F8" s="30">
        <f>'solar thermal'!F11*About!$A$38</f>
        <v>4454755.5421487698</v>
      </c>
      <c r="G8" s="30">
        <f>'solar thermal'!G11*About!$A$38</f>
        <v>4416742.5655897819</v>
      </c>
      <c r="H8" s="30">
        <f>'solar thermal'!H11*About!$A$38</f>
        <v>4378729.5890308078</v>
      </c>
      <c r="I8" s="30">
        <f>'solar thermal'!I11*About!$A$38</f>
        <v>4340716.6124718338</v>
      </c>
      <c r="J8" s="30">
        <f>'solar thermal'!J11*About!$A$38</f>
        <v>4302703.6359128458</v>
      </c>
      <c r="K8" s="30">
        <f>'solar thermal'!K11*About!$A$38</f>
        <v>4264690.6593538718</v>
      </c>
      <c r="L8" s="30">
        <f>'solar thermal'!L11*About!$A$38</f>
        <v>4226677.6827948978</v>
      </c>
      <c r="M8" s="30">
        <f>'solar thermal'!M11*About!$A$38</f>
        <v>4188664.7062359103</v>
      </c>
      <c r="N8" s="30">
        <f>'solar thermal'!N11*About!$A$38</f>
        <v>4150651.7296769358</v>
      </c>
      <c r="O8" s="30">
        <f>'solar thermal'!O11*About!$A$38</f>
        <v>4112638.7531179618</v>
      </c>
      <c r="P8" s="30">
        <f>'solar thermal'!P11*About!$A$38</f>
        <v>4074625.7765589873</v>
      </c>
      <c r="Q8" s="30">
        <f>'solar thermal'!Q11*About!$A$38</f>
        <v>4036612.8000000003</v>
      </c>
      <c r="R8" s="30">
        <f>'solar thermal'!R11*About!$A$38</f>
        <v>3998599.8234410258</v>
      </c>
      <c r="S8" s="30">
        <f>'solar thermal'!S11*About!$A$38</f>
        <v>3960586.8468820518</v>
      </c>
      <c r="T8" s="30">
        <f>'solar thermal'!T11*About!$A$38</f>
        <v>3922573.8703230643</v>
      </c>
      <c r="U8" s="30">
        <f>'solar thermal'!U11*About!$A$38</f>
        <v>3884560.8937640898</v>
      </c>
      <c r="V8" s="30">
        <f>'solar thermal'!V11*About!$A$38</f>
        <v>3846547.9172051158</v>
      </c>
      <c r="W8" s="30">
        <f>'solar thermal'!W11*About!$A$38</f>
        <v>3808534.9406461283</v>
      </c>
      <c r="X8" s="30">
        <f>'solar thermal'!X11*About!$A$38</f>
        <v>3770521.9640871538</v>
      </c>
      <c r="Y8" s="30">
        <f>'solar thermal'!Y11*About!$A$38</f>
        <v>3732508.9875281798</v>
      </c>
      <c r="Z8" s="30">
        <f>'solar thermal'!Z11*About!$A$38</f>
        <v>3694496.0109692053</v>
      </c>
      <c r="AA8" s="30">
        <f>'solar thermal'!AA11*About!$A$38</f>
        <v>3656483.0344102178</v>
      </c>
      <c r="AB8" s="30">
        <f>'solar thermal'!AB11*About!$A$38</f>
        <v>3618470.0578512438</v>
      </c>
      <c r="AC8" s="30">
        <f>'solar thermal'!AC11*About!$A$38</f>
        <v>3580457.0812922693</v>
      </c>
      <c r="AD8" s="30">
        <f>'solar thermal'!AD11*About!$A$38</f>
        <v>3542444.1047332818</v>
      </c>
      <c r="AE8" s="30">
        <f>'solar thermal'!AE11*About!$A$38</f>
        <v>3504431.1281743078</v>
      </c>
      <c r="AF8" s="30">
        <f>'solar thermal'!AF11*About!$A$38</f>
        <v>3466418.1516153333</v>
      </c>
      <c r="AG8" s="30">
        <f>'solar thermal'!AG11*About!$A$38</f>
        <v>3428405.1750563458</v>
      </c>
      <c r="AH8" s="30"/>
      <c r="AI8" s="30"/>
      <c r="AJ8" s="30"/>
      <c r="AK8" s="30"/>
      <c r="AL8" s="30"/>
      <c r="AM8" s="30"/>
      <c r="AN8" s="30"/>
      <c r="AO8" s="30"/>
      <c r="AP8" s="30"/>
      <c r="AQ8" s="30"/>
      <c r="AR8" s="30"/>
      <c r="AS8" s="30"/>
      <c r="AT8" s="30"/>
      <c r="AU8" s="30"/>
      <c r="AV8" s="30"/>
      <c r="AW8" s="30"/>
      <c r="AX8" s="30"/>
      <c r="AY8" s="30"/>
      <c r="AZ8" s="30"/>
      <c r="BA8" s="30"/>
    </row>
    <row r="9" spans="1:53" ht="14.25" customHeight="1">
      <c r="A9" s="1" t="s">
        <v>23</v>
      </c>
      <c r="B9" s="30">
        <f>TREND('capital processing'!$M$8:$N$8,'capital processing'!$M$2:$N$2,'CCaMC-BCCpUC'!B1)</f>
        <v>906684.53333333321</v>
      </c>
      <c r="C9" s="30">
        <f>TREND('capital processing'!$M$8:$N$8,'capital processing'!$M$2:$N$2,'CCaMC-BCCpUC'!C1)</f>
        <v>900680</v>
      </c>
      <c r="D9" s="30">
        <f>TREND('capital processing'!$M$8:$N$8,'capital processing'!$M$2:$N$2,'CCaMC-BCCpUC'!D1)</f>
        <v>894675.46666666679</v>
      </c>
      <c r="E9" s="30">
        <f>TREND('capital processing'!$M$8:$N$8,'capital processing'!$M$2:$N$2,'CCaMC-BCCpUC'!E1)</f>
        <v>888670.93333333358</v>
      </c>
      <c r="F9" s="30">
        <f>TREND('capital processing'!$M$8:$N$8,'capital processing'!$M$2:$N$2,'CCaMC-BCCpUC'!F1)</f>
        <v>882666.40000000037</v>
      </c>
      <c r="G9" s="30">
        <f>TREND('capital processing'!$M$8:$N$8,'capital processing'!$M$2:$N$2,'CCaMC-BCCpUC'!G1)</f>
        <v>876661.86666666716</v>
      </c>
      <c r="H9" s="30">
        <f>TREND('capital processing'!$M$8:$N$8,'capital processing'!$M$2:$N$2,'CCaMC-BCCpUC'!H1)</f>
        <v>870657.33333333395</v>
      </c>
      <c r="I9" s="30">
        <f>TREND('capital processing'!$M$8:$N$8,'capital processing'!$M$2:$N$2,'CCaMC-BCCpUC'!I1)</f>
        <v>864652.79999999888</v>
      </c>
      <c r="J9" s="30">
        <f>TREND('capital processing'!$M$8:$N$8,'capital processing'!$M$2:$N$2,'CCaMC-BCCpUC'!J1)</f>
        <v>858648.26666666567</v>
      </c>
      <c r="K9" s="30">
        <f>TREND('capital processing'!$M$8:$N$8,'capital processing'!$M$2:$N$2,'CCaMC-BCCpUC'!K1)</f>
        <v>852643.73333333246</v>
      </c>
      <c r="L9" s="30">
        <f>TREND('capital processing'!$M$8:$N$8,'capital processing'!$M$2:$N$2,'CCaMC-BCCpUC'!L1)</f>
        <v>846639.19999999925</v>
      </c>
      <c r="M9" s="30">
        <f>TREND('capital processing'!$M$8:$N$8,'capital processing'!$M$2:$N$2,'CCaMC-BCCpUC'!M1)</f>
        <v>840634.66666666605</v>
      </c>
      <c r="N9" s="30">
        <f>TREND('capital processing'!$M$8:$N$8,'capital processing'!$M$2:$N$2,'CCaMC-BCCpUC'!N1)</f>
        <v>834630.13333333284</v>
      </c>
      <c r="O9" s="30">
        <f>TREND('capital processing'!$M$8:$N$8,'capital processing'!$M$2:$N$2,'CCaMC-BCCpUC'!O1)</f>
        <v>828625.59999999963</v>
      </c>
      <c r="P9" s="30">
        <f>TREND('capital processing'!$M$8:$N$8,'capital processing'!$M$2:$N$2,'CCaMC-BCCpUC'!P1)</f>
        <v>822621.06666666642</v>
      </c>
      <c r="Q9" s="30">
        <f>TREND('capital processing'!$M$8:$N$8,'capital processing'!$M$2:$N$2,'CCaMC-BCCpUC'!Q1)</f>
        <v>816616.53333333321</v>
      </c>
      <c r="R9" s="30">
        <f>TREND('capital processing'!$M$8:$N$8,'capital processing'!$M$2:$N$2,'CCaMC-BCCpUC'!R1)</f>
        <v>810612</v>
      </c>
      <c r="S9" s="30">
        <f>TREND('capital processing'!$M$8:$N$8,'capital processing'!$M$2:$N$2,'CCaMC-BCCpUC'!S1)</f>
        <v>804607.46666666679</v>
      </c>
      <c r="T9" s="30">
        <f>TREND('capital processing'!$M$8:$N$8,'capital processing'!$M$2:$N$2,'CCaMC-BCCpUC'!T1)</f>
        <v>798602.93333333358</v>
      </c>
      <c r="U9" s="30">
        <f>TREND('capital processing'!$M$8:$N$8,'capital processing'!$M$2:$N$2,'CCaMC-BCCpUC'!U1)</f>
        <v>792598.40000000037</v>
      </c>
      <c r="V9" s="30">
        <f>TREND('capital processing'!$M$8:$N$8,'capital processing'!$M$2:$N$2,'CCaMC-BCCpUC'!V1)</f>
        <v>786593.86666666716</v>
      </c>
      <c r="W9" s="30">
        <f>TREND('capital processing'!$M$8:$N$8,'capital processing'!$M$2:$N$2,'CCaMC-BCCpUC'!W1)</f>
        <v>780589.33333333395</v>
      </c>
      <c r="X9" s="30">
        <f>TREND('capital processing'!$M$8:$N$8,'capital processing'!$M$2:$N$2,'CCaMC-BCCpUC'!X1)</f>
        <v>774584.79999999888</v>
      </c>
      <c r="Y9" s="30">
        <f>TREND('capital processing'!$M$8:$N$8,'capital processing'!$M$2:$N$2,'CCaMC-BCCpUC'!Y1)</f>
        <v>768580.26666666567</v>
      </c>
      <c r="Z9" s="30">
        <f>TREND('capital processing'!$M$8:$N$8,'capital processing'!$M$2:$N$2,'CCaMC-BCCpUC'!Z1)</f>
        <v>762575.73333333246</v>
      </c>
      <c r="AA9" s="30">
        <f>TREND('capital processing'!$M$8:$N$8,'capital processing'!$M$2:$N$2,'CCaMC-BCCpUC'!AA1)</f>
        <v>756571.19999999925</v>
      </c>
      <c r="AB9" s="30">
        <f>TREND('capital processing'!$M$8:$N$8,'capital processing'!$M$2:$N$2,'CCaMC-BCCpUC'!AB1)</f>
        <v>750566.66666666605</v>
      </c>
      <c r="AC9" s="30">
        <f>TREND('capital processing'!$M$8:$N$8,'capital processing'!$M$2:$N$2,'CCaMC-BCCpUC'!AC1)</f>
        <v>744562.13333333284</v>
      </c>
      <c r="AD9" s="30">
        <f>TREND('capital processing'!$M$8:$N$8,'capital processing'!$M$2:$N$2,'CCaMC-BCCpUC'!AD1)</f>
        <v>738557.59999999963</v>
      </c>
      <c r="AE9" s="30">
        <f>TREND('capital processing'!$M$8:$N$8,'capital processing'!$M$2:$N$2,'CCaMC-BCCpUC'!AE1)</f>
        <v>732553.06666666642</v>
      </c>
      <c r="AF9" s="30">
        <f>TREND('capital processing'!$M$8:$N$8,'capital processing'!$M$2:$N$2,'CCaMC-BCCpUC'!AF1)</f>
        <v>726548.53333333321</v>
      </c>
      <c r="AG9" s="30">
        <f>TREND('capital processing'!$M$8:$N$8,'capital processing'!$M$2:$N$2,'CCaMC-BCCpUC'!AG1)</f>
        <v>720544</v>
      </c>
      <c r="AH9" s="30"/>
      <c r="AI9" s="30"/>
      <c r="AJ9" s="30"/>
      <c r="AK9" s="30"/>
      <c r="AL9" s="30"/>
      <c r="AM9" s="30"/>
      <c r="AN9" s="30"/>
      <c r="AO9" s="30"/>
      <c r="AP9" s="30"/>
      <c r="AQ9" s="30"/>
      <c r="AR9" s="30"/>
      <c r="AS9" s="30"/>
      <c r="AT9" s="30"/>
      <c r="AU9" s="30"/>
      <c r="AV9" s="30"/>
      <c r="AW9" s="30"/>
      <c r="AX9" s="30"/>
      <c r="AY9" s="30"/>
      <c r="AZ9" s="30"/>
      <c r="BA9" s="30"/>
    </row>
    <row r="10" spans="1:53" ht="14.25" customHeight="1">
      <c r="A10" s="1" t="s">
        <v>21</v>
      </c>
      <c r="B10" s="30">
        <f>TREND('capital processing'!$B$9:$D$9,'capital processing'!$B$2:$D$2,'CCaMC-BCCpUC'!B1)</f>
        <v>3963142.8571428508</v>
      </c>
      <c r="C10" s="30">
        <f t="array" ref="C10">TREND('capital processing'!$B$9:$D$9,'capital processing'!$B$2:$D$2,'CCaMC-BCCpUC'!C1)</f>
        <v>3925714.2857142836</v>
      </c>
      <c r="D10" s="30">
        <f t="array" ref="D10">TREND('capital processing'!$B$9:$D$9,'capital processing'!$B$2:$D$2,'CCaMC-BCCpUC'!D1)</f>
        <v>3888285.7142857164</v>
      </c>
      <c r="E10" s="30">
        <f t="array" ref="E10">TREND('capital processing'!$B$9:$D$9,'capital processing'!$B$2:$D$2,'CCaMC-BCCpUC'!E1)</f>
        <v>3850857.1428571343</v>
      </c>
      <c r="F10" s="30">
        <f t="array" ref="F10">TREND('capital processing'!$B$9:$D$9,'capital processing'!$B$2:$D$2,'CCaMC-BCCpUC'!F1)</f>
        <v>3813428.5714285672</v>
      </c>
      <c r="G10" s="30">
        <f t="array" ref="G10">TREND('capital processing'!$B$9:$D$9,'capital processing'!$B$2:$D$2,'CCaMC-BCCpUC'!G1)</f>
        <v>3776000</v>
      </c>
      <c r="H10" s="30">
        <f t="array" ref="H10">TREND('capital processing'!$B$9:$D$9,'capital processing'!$B$2:$D$2,'CCaMC-BCCpUC'!H1)</f>
        <v>3738571.4285714328</v>
      </c>
      <c r="I10" s="30">
        <f t="array" ref="I10">TREND('capital processing'!$B$9:$D$9,'capital processing'!$B$2:$D$2,'CCaMC-BCCpUC'!I1)</f>
        <v>3701142.8571428508</v>
      </c>
      <c r="J10" s="30">
        <f t="array" ref="J10">TREND('capital processing'!$B$9:$D$9,'capital processing'!$B$2:$D$2,'CCaMC-BCCpUC'!J1)</f>
        <v>3663714.2857142836</v>
      </c>
      <c r="K10" s="30">
        <f t="array" ref="K10">TREND('capital processing'!$B$9:$D$9,'capital processing'!$B$2:$D$2,'CCaMC-BCCpUC'!K1)</f>
        <v>3626285.7142857164</v>
      </c>
      <c r="L10" s="30">
        <f t="array" ref="L10">TREND('capital processing'!$B$9:$D$9,'capital processing'!$B$2:$D$2,'CCaMC-BCCpUC'!L1)</f>
        <v>3588857.1428571343</v>
      </c>
      <c r="M10" s="30">
        <f t="array" ref="M10">TREND('capital processing'!$B$9:$D$9,'capital processing'!$B$2:$D$2,'CCaMC-BCCpUC'!M1)</f>
        <v>3551428.5714285672</v>
      </c>
      <c r="N10" s="30">
        <f t="array" ref="N10">TREND('capital processing'!$B$9:$D$9,'capital processing'!$B$2:$D$2,'CCaMC-BCCpUC'!N1)</f>
        <v>3514000</v>
      </c>
      <c r="O10" s="30">
        <f t="array" ref="O10">TREND('capital processing'!$B$9:$D$9,'capital processing'!$B$2:$D$2,'CCaMC-BCCpUC'!O1)</f>
        <v>3476571.4285714328</v>
      </c>
      <c r="P10" s="30">
        <f t="array" ref="P10">TREND('capital processing'!$B$9:$D$9,'capital processing'!$B$2:$D$2,'CCaMC-BCCpUC'!P1)</f>
        <v>3439142.8571428508</v>
      </c>
      <c r="Q10" s="30">
        <f t="array" ref="Q10">TREND('capital processing'!$B$9:$D$9,'capital processing'!$B$2:$D$2,'CCaMC-BCCpUC'!Q1)</f>
        <v>3401714.2857142836</v>
      </c>
      <c r="R10" s="30">
        <f t="array" ref="R10">TREND('capital processing'!$B$9:$D$9,'capital processing'!$B$2:$D$2,'CCaMC-BCCpUC'!R1)</f>
        <v>3364285.7142857164</v>
      </c>
      <c r="S10" s="30">
        <f t="array" ref="S10">TREND('capital processing'!$B$9:$D$9,'capital processing'!$B$2:$D$2,'CCaMC-BCCpUC'!S1)</f>
        <v>3326857.1428571343</v>
      </c>
      <c r="T10" s="30">
        <f t="array" ref="T10">TREND('capital processing'!$B$9:$D$9,'capital processing'!$B$2:$D$2,'CCaMC-BCCpUC'!T1)</f>
        <v>3289428.5714285672</v>
      </c>
      <c r="U10" s="30">
        <f t="array" ref="U10">TREND('capital processing'!$B$9:$D$9,'capital processing'!$B$2:$D$2,'CCaMC-BCCpUC'!U1)</f>
        <v>3252000</v>
      </c>
      <c r="V10" s="30">
        <f t="array" ref="V10">TREND('capital processing'!$B$9:$D$9,'capital processing'!$B$2:$D$2,'CCaMC-BCCpUC'!V1)</f>
        <v>3214571.4285714328</v>
      </c>
      <c r="W10" s="30">
        <f t="array" ref="W10">TREND('capital processing'!$B$9:$D$9,'capital processing'!$B$2:$D$2,'CCaMC-BCCpUC'!W1)</f>
        <v>3177142.8571428508</v>
      </c>
      <c r="X10" s="30">
        <f t="array" ref="X10">TREND('capital processing'!$B$9:$D$9,'capital processing'!$B$2:$D$2,'CCaMC-BCCpUC'!X1)</f>
        <v>3139714.2857142836</v>
      </c>
      <c r="Y10" s="30">
        <f t="array" ref="Y10">TREND('capital processing'!$B$9:$D$9,'capital processing'!$B$2:$D$2,'CCaMC-BCCpUC'!Y1)</f>
        <v>3102285.7142857164</v>
      </c>
      <c r="Z10" s="30">
        <f t="array" ref="Z10">TREND('capital processing'!$B$9:$D$9,'capital processing'!$B$2:$D$2,'CCaMC-BCCpUC'!Z1)</f>
        <v>3064857.1428571343</v>
      </c>
      <c r="AA10" s="30">
        <f t="array" ref="AA10">TREND('capital processing'!$B$9:$D$9,'capital processing'!$B$2:$D$2,'CCaMC-BCCpUC'!AA1)</f>
        <v>3027428.5714285672</v>
      </c>
      <c r="AB10" s="30">
        <f t="array" ref="AB10">TREND('capital processing'!$B$9:$D$9,'capital processing'!$B$2:$D$2,'CCaMC-BCCpUC'!AB1)</f>
        <v>2990000</v>
      </c>
      <c r="AC10" s="30">
        <f t="array" ref="AC10">TREND('capital processing'!$B$9:$D$9,'capital processing'!$B$2:$D$2,'CCaMC-BCCpUC'!AC1)</f>
        <v>2952571.4285714328</v>
      </c>
      <c r="AD10" s="30">
        <f t="array" ref="AD10">TREND('capital processing'!$B$9:$D$9,'capital processing'!$B$2:$D$2,'CCaMC-BCCpUC'!AD1)</f>
        <v>2915142.8571428508</v>
      </c>
      <c r="AE10" s="30">
        <f t="array" ref="AE10">TREND('capital processing'!$B$9:$D$9,'capital processing'!$B$2:$D$2,'CCaMC-BCCpUC'!AE1)</f>
        <v>2877714.2857142836</v>
      </c>
      <c r="AF10" s="30">
        <f t="array" ref="AF10">TREND('capital processing'!$B$9:$D$9,'capital processing'!$B$2:$D$2,'CCaMC-BCCpUC'!AF1)</f>
        <v>2840285.7142857164</v>
      </c>
      <c r="AG10" s="30">
        <f t="array" ref="AG10">TREND('capital processing'!$B$9:$D$9,'capital processing'!$B$2:$D$2,'CCaMC-BCCpUC'!AG1)</f>
        <v>2802857.1428571343</v>
      </c>
      <c r="AH10" s="30"/>
      <c r="AI10" s="30"/>
      <c r="AJ10" s="30"/>
      <c r="AK10" s="30"/>
      <c r="AL10" s="30"/>
      <c r="AM10" s="30"/>
      <c r="AN10" s="30"/>
      <c r="AO10" s="30"/>
      <c r="AP10" s="30"/>
      <c r="AQ10" s="30"/>
      <c r="AR10" s="30"/>
      <c r="AS10" s="30"/>
      <c r="AT10" s="30"/>
      <c r="AU10" s="30"/>
      <c r="AV10" s="30"/>
      <c r="AW10" s="30"/>
      <c r="AX10" s="30"/>
      <c r="AY10" s="30"/>
      <c r="AZ10" s="30"/>
      <c r="BA10" s="30"/>
    </row>
    <row r="11" spans="1:53" ht="14.25" customHeight="1">
      <c r="A11" s="1" t="s">
        <v>75</v>
      </c>
      <c r="B11" s="30">
        <f t="array" ref="B11">TREND('capital processing'!$B$10:$D$10,'capital processing'!$B$2:$D$2,'CCaMC-BCCpUC'!B1)</f>
        <v>803571.42857142864</v>
      </c>
      <c r="C11" s="30">
        <f t="array" ref="C11">TREND('capital processing'!$B$10:$D$10,'capital processing'!$B$2:$D$2,'CCaMC-BCCpUC'!C1)</f>
        <v>802857.14285714296</v>
      </c>
      <c r="D11" s="30">
        <f t="array" ref="D11">TREND('capital processing'!$B$10:$D$10,'capital processing'!$B$2:$D$2,'CCaMC-BCCpUC'!D1)</f>
        <v>802142.85714285728</v>
      </c>
      <c r="E11" s="30">
        <f t="array" ref="E11">TREND('capital processing'!$B$10:$D$10,'capital processing'!$B$2:$D$2,'CCaMC-BCCpUC'!E1)</f>
        <v>801428.57142857159</v>
      </c>
      <c r="F11" s="30">
        <f t="array" ref="F11">TREND('capital processing'!$B$10:$D$10,'capital processing'!$B$2:$D$2,'CCaMC-BCCpUC'!F1)</f>
        <v>800714.28571428591</v>
      </c>
      <c r="G11" s="30">
        <f t="array" ref="G11">TREND('capital processing'!$B$10:$D$10,'capital processing'!$B$2:$D$2,'CCaMC-BCCpUC'!G1)</f>
        <v>800000</v>
      </c>
      <c r="H11" s="30">
        <f t="array" ref="H11">TREND('capital processing'!$B$10:$D$10,'capital processing'!$B$2:$D$2,'CCaMC-BCCpUC'!H1)</f>
        <v>799285.71428571432</v>
      </c>
      <c r="I11" s="30">
        <f t="array" ref="I11">TREND('capital processing'!$B$10:$D$10,'capital processing'!$B$2:$D$2,'CCaMC-BCCpUC'!I1)</f>
        <v>798571.42857142864</v>
      </c>
      <c r="J11" s="30">
        <f t="array" ref="J11">TREND('capital processing'!$B$10:$D$10,'capital processing'!$B$2:$D$2,'CCaMC-BCCpUC'!J1)</f>
        <v>797857.14285714296</v>
      </c>
      <c r="K11" s="30">
        <f t="array" ref="K11">TREND('capital processing'!$B$10:$D$10,'capital processing'!$B$2:$D$2,'CCaMC-BCCpUC'!K1)</f>
        <v>797142.85714285728</v>
      </c>
      <c r="L11" s="30">
        <f t="array" ref="L11">TREND('capital processing'!$B$10:$D$10,'capital processing'!$B$2:$D$2,'CCaMC-BCCpUC'!L1)</f>
        <v>796428.57142857159</v>
      </c>
      <c r="M11" s="30">
        <f t="array" ref="M11">TREND('capital processing'!$B$10:$D$10,'capital processing'!$B$2:$D$2,'CCaMC-BCCpUC'!M1)</f>
        <v>795714.28571428591</v>
      </c>
      <c r="N11" s="30">
        <f t="array" ref="N11">TREND('capital processing'!$B$10:$D$10,'capital processing'!$B$2:$D$2,'CCaMC-BCCpUC'!N1)</f>
        <v>795000</v>
      </c>
      <c r="O11" s="30">
        <f t="array" ref="O11">TREND('capital processing'!$B$10:$D$10,'capital processing'!$B$2:$D$2,'CCaMC-BCCpUC'!O1)</f>
        <v>794285.71428571432</v>
      </c>
      <c r="P11" s="30">
        <f t="array" ref="P11">TREND('capital processing'!$B$10:$D$10,'capital processing'!$B$2:$D$2,'CCaMC-BCCpUC'!P1)</f>
        <v>793571.42857142864</v>
      </c>
      <c r="Q11" s="30">
        <f t="array" ref="Q11">TREND('capital processing'!$B$10:$D$10,'capital processing'!$B$2:$D$2,'CCaMC-BCCpUC'!Q1)</f>
        <v>792857.14285714296</v>
      </c>
      <c r="R11" s="30">
        <f t="array" ref="R11">TREND('capital processing'!$B$10:$D$10,'capital processing'!$B$2:$D$2,'CCaMC-BCCpUC'!R1)</f>
        <v>792142.85714285728</v>
      </c>
      <c r="S11" s="30">
        <f t="array" ref="S11">TREND('capital processing'!$B$10:$D$10,'capital processing'!$B$2:$D$2,'CCaMC-BCCpUC'!S1)</f>
        <v>791428.57142857159</v>
      </c>
      <c r="T11" s="30">
        <f t="array" ref="T11">TREND('capital processing'!$B$10:$D$10,'capital processing'!$B$2:$D$2,'CCaMC-BCCpUC'!T1)</f>
        <v>790714.28571428591</v>
      </c>
      <c r="U11" s="30">
        <f t="array" ref="U11">TREND('capital processing'!$B$10:$D$10,'capital processing'!$B$2:$D$2,'CCaMC-BCCpUC'!U1)</f>
        <v>790000</v>
      </c>
      <c r="V11" s="30">
        <f t="array" ref="V11">TREND('capital processing'!$B$10:$D$10,'capital processing'!$B$2:$D$2,'CCaMC-BCCpUC'!V1)</f>
        <v>789285.71428571432</v>
      </c>
      <c r="W11" s="30">
        <f t="array" ref="W11">TREND('capital processing'!$B$10:$D$10,'capital processing'!$B$2:$D$2,'CCaMC-BCCpUC'!W1)</f>
        <v>788571.42857142864</v>
      </c>
      <c r="X11" s="30">
        <f t="array" ref="X11">TREND('capital processing'!$B$10:$D$10,'capital processing'!$B$2:$D$2,'CCaMC-BCCpUC'!X1)</f>
        <v>787857.14285714296</v>
      </c>
      <c r="Y11" s="30">
        <f t="array" ref="Y11">TREND('capital processing'!$B$10:$D$10,'capital processing'!$B$2:$D$2,'CCaMC-BCCpUC'!Y1)</f>
        <v>787142.85714285728</v>
      </c>
      <c r="Z11" s="30">
        <f t="array" ref="Z11">TREND('capital processing'!$B$10:$D$10,'capital processing'!$B$2:$D$2,'CCaMC-BCCpUC'!Z1)</f>
        <v>786428.57142857159</v>
      </c>
      <c r="AA11" s="30">
        <f t="array" ref="AA11">TREND('capital processing'!$B$10:$D$10,'capital processing'!$B$2:$D$2,'CCaMC-BCCpUC'!AA1)</f>
        <v>785714.28571428591</v>
      </c>
      <c r="AB11" s="30">
        <f t="array" ref="AB11">TREND('capital processing'!$B$10:$D$10,'capital processing'!$B$2:$D$2,'CCaMC-BCCpUC'!AB1)</f>
        <v>785000</v>
      </c>
      <c r="AC11" s="30">
        <f t="array" ref="AC11">TREND('capital processing'!$B$10:$D$10,'capital processing'!$B$2:$D$2,'CCaMC-BCCpUC'!AC1)</f>
        <v>784285.71428571432</v>
      </c>
      <c r="AD11" s="30">
        <f t="array" ref="AD11">TREND('capital processing'!$B$10:$D$10,'capital processing'!$B$2:$D$2,'CCaMC-BCCpUC'!AD1)</f>
        <v>783571.42857142864</v>
      </c>
      <c r="AE11" s="30">
        <f t="array" ref="AE11">TREND('capital processing'!$B$10:$D$10,'capital processing'!$B$2:$D$2,'CCaMC-BCCpUC'!AE1)</f>
        <v>782857.14285714296</v>
      </c>
      <c r="AF11" s="30">
        <f t="array" ref="AF11">TREND('capital processing'!$B$10:$D$10,'capital processing'!$B$2:$D$2,'CCaMC-BCCpUC'!AF1)</f>
        <v>782142.85714285728</v>
      </c>
      <c r="AG11" s="30">
        <f t="array" ref="AG11">TREND('capital processing'!$B$10:$D$10,'capital processing'!$B$2:$D$2,'CCaMC-BCCpUC'!AG1)</f>
        <v>781428.57142857159</v>
      </c>
      <c r="AH11" s="30"/>
      <c r="AI11" s="30"/>
      <c r="AJ11" s="30"/>
      <c r="AK11" s="30"/>
      <c r="AL11" s="30"/>
      <c r="AM11" s="30"/>
      <c r="AN11" s="30"/>
      <c r="AO11" s="30"/>
      <c r="AP11" s="30"/>
      <c r="AQ11" s="30"/>
      <c r="AR11" s="30"/>
      <c r="AS11" s="30"/>
      <c r="AT11" s="30"/>
      <c r="AU11" s="30"/>
      <c r="AV11" s="30"/>
      <c r="AW11" s="30"/>
      <c r="AX11" s="30"/>
      <c r="AY11" s="30"/>
      <c r="AZ11" s="30"/>
      <c r="BA11" s="30"/>
    </row>
    <row r="12" spans="1:53" ht="14.25" customHeight="1">
      <c r="A12" s="1" t="s">
        <v>76</v>
      </c>
      <c r="B12" s="30">
        <f>TREND('capital processing'!$M$11:$N$11,'capital processing'!$M$2:$N$2,'CCaMC-BCCpUC'!B1)</f>
        <v>797305.51111111138</v>
      </c>
      <c r="C12" s="30">
        <f>TREND('capital processing'!$M$11:$N$11,'capital processing'!$M$2:$N$2,'CCaMC-BCCpUC'!C1)</f>
        <v>794236</v>
      </c>
      <c r="D12" s="30">
        <f>TREND('capital processing'!$M$11:$N$11,'capital processing'!$M$2:$N$2,'CCaMC-BCCpUC'!D1)</f>
        <v>791166.48888888862</v>
      </c>
      <c r="E12" s="30">
        <f>TREND('capital processing'!$M$11:$N$11,'capital processing'!$M$2:$N$2,'CCaMC-BCCpUC'!E1)</f>
        <v>788096.97777777724</v>
      </c>
      <c r="F12" s="30">
        <f>TREND('capital processing'!$M$11:$N$11,'capital processing'!$M$2:$N$2,'CCaMC-BCCpUC'!F1)</f>
        <v>785027.46666666679</v>
      </c>
      <c r="G12" s="30">
        <f>TREND('capital processing'!$M$11:$N$11,'capital processing'!$M$2:$N$2,'CCaMC-BCCpUC'!G1)</f>
        <v>781957.95555555541</v>
      </c>
      <c r="H12" s="30">
        <f>TREND('capital processing'!$M$11:$N$11,'capital processing'!$M$2:$N$2,'CCaMC-BCCpUC'!H1)</f>
        <v>778888.44444444403</v>
      </c>
      <c r="I12" s="30">
        <f>TREND('capital processing'!$M$11:$N$11,'capital processing'!$M$2:$N$2,'CCaMC-BCCpUC'!I1)</f>
        <v>775818.93333333358</v>
      </c>
      <c r="J12" s="30">
        <f>TREND('capital processing'!$M$11:$N$11,'capital processing'!$M$2:$N$2,'CCaMC-BCCpUC'!J1)</f>
        <v>772749.4222222222</v>
      </c>
      <c r="K12" s="30">
        <f>TREND('capital processing'!$M$11:$N$11,'capital processing'!$M$2:$N$2,'CCaMC-BCCpUC'!K1)</f>
        <v>769679.91111111082</v>
      </c>
      <c r="L12" s="30">
        <f>TREND('capital processing'!$M$11:$N$11,'capital processing'!$M$2:$N$2,'CCaMC-BCCpUC'!L1)</f>
        <v>766610.39999999944</v>
      </c>
      <c r="M12" s="30">
        <f>TREND('capital processing'!$M$11:$N$11,'capital processing'!$M$2:$N$2,'CCaMC-BCCpUC'!M1)</f>
        <v>763540.88888888899</v>
      </c>
      <c r="N12" s="30">
        <f>TREND('capital processing'!$M$11:$N$11,'capital processing'!$M$2:$N$2,'CCaMC-BCCpUC'!N1)</f>
        <v>760471.37777777761</v>
      </c>
      <c r="O12" s="30">
        <f>TREND('capital processing'!$M$11:$N$11,'capital processing'!$M$2:$N$2,'CCaMC-BCCpUC'!O1)</f>
        <v>757401.86666666623</v>
      </c>
      <c r="P12" s="30">
        <f>TREND('capital processing'!$M$11:$N$11,'capital processing'!$M$2:$N$2,'CCaMC-BCCpUC'!P1)</f>
        <v>754332.35555555578</v>
      </c>
      <c r="Q12" s="30">
        <f>TREND('capital processing'!$M$11:$N$11,'capital processing'!$M$2:$N$2,'CCaMC-BCCpUC'!Q1)</f>
        <v>751262.8444444444</v>
      </c>
      <c r="R12" s="30">
        <f>TREND('capital processing'!$M$11:$N$11,'capital processing'!$M$2:$N$2,'CCaMC-BCCpUC'!R1)</f>
        <v>748193.33333333302</v>
      </c>
      <c r="S12" s="30">
        <f>TREND('capital processing'!$M$11:$N$11,'capital processing'!$M$2:$N$2,'CCaMC-BCCpUC'!S1)</f>
        <v>745123.82222222164</v>
      </c>
      <c r="T12" s="30">
        <f>TREND('capital processing'!$M$11:$N$11,'capital processing'!$M$2:$N$2,'CCaMC-BCCpUC'!T1)</f>
        <v>742054.31111111119</v>
      </c>
      <c r="U12" s="30">
        <f>TREND('capital processing'!$M$11:$N$11,'capital processing'!$M$2:$N$2,'CCaMC-BCCpUC'!U1)</f>
        <v>738984.79999999981</v>
      </c>
      <c r="V12" s="30">
        <f>TREND('capital processing'!$M$11:$N$11,'capital processing'!$M$2:$N$2,'CCaMC-BCCpUC'!V1)</f>
        <v>735915.28888888843</v>
      </c>
      <c r="W12" s="30">
        <f>TREND('capital processing'!$M$11:$N$11,'capital processing'!$M$2:$N$2,'CCaMC-BCCpUC'!W1)</f>
        <v>732845.77777777798</v>
      </c>
      <c r="X12" s="30">
        <f>TREND('capital processing'!$M$11:$N$11,'capital processing'!$M$2:$N$2,'CCaMC-BCCpUC'!X1)</f>
        <v>729776.2666666666</v>
      </c>
      <c r="Y12" s="30">
        <f>TREND('capital processing'!$M$11:$N$11,'capital processing'!$M$2:$N$2,'CCaMC-BCCpUC'!Y1)</f>
        <v>726706.75555555522</v>
      </c>
      <c r="Z12" s="30">
        <f>TREND('capital processing'!$M$11:$N$11,'capital processing'!$M$2:$N$2,'CCaMC-BCCpUC'!Z1)</f>
        <v>723637.24444444478</v>
      </c>
      <c r="AA12" s="30">
        <f>TREND('capital processing'!$M$11:$N$11,'capital processing'!$M$2:$N$2,'CCaMC-BCCpUC'!AA1)</f>
        <v>720567.7333333334</v>
      </c>
      <c r="AB12" s="30">
        <f>TREND('capital processing'!$M$11:$N$11,'capital processing'!$M$2:$N$2,'CCaMC-BCCpUC'!AB1)</f>
        <v>717498.22222222202</v>
      </c>
      <c r="AC12" s="30">
        <f>TREND('capital processing'!$M$11:$N$11,'capital processing'!$M$2:$N$2,'CCaMC-BCCpUC'!AC1)</f>
        <v>714428.71111111064</v>
      </c>
      <c r="AD12" s="30">
        <f>TREND('capital processing'!$M$11:$N$11,'capital processing'!$M$2:$N$2,'CCaMC-BCCpUC'!AD1)</f>
        <v>711359.20000000019</v>
      </c>
      <c r="AE12" s="30">
        <f>TREND('capital processing'!$M$11:$N$11,'capital processing'!$M$2:$N$2,'CCaMC-BCCpUC'!AE1)</f>
        <v>708289.68888888881</v>
      </c>
      <c r="AF12" s="30">
        <f>TREND('capital processing'!$M$11:$N$11,'capital processing'!$M$2:$N$2,'CCaMC-BCCpUC'!AF1)</f>
        <v>705220.17777777743</v>
      </c>
      <c r="AG12" s="30">
        <f>TREND('capital processing'!$M$11:$N$11,'capital processing'!$M$2:$N$2,'CCaMC-BCCpUC'!AG1)</f>
        <v>702150.66666666698</v>
      </c>
      <c r="AH12" s="30"/>
      <c r="AI12" s="30"/>
      <c r="AJ12" s="30"/>
      <c r="AK12" s="30"/>
      <c r="AL12" s="30"/>
      <c r="AM12" s="30"/>
      <c r="AN12" s="30"/>
      <c r="AO12" s="30"/>
      <c r="AP12" s="30"/>
      <c r="AQ12" s="30"/>
      <c r="AR12" s="30"/>
      <c r="AS12" s="30"/>
      <c r="AT12" s="30"/>
      <c r="AU12" s="30"/>
      <c r="AV12" s="30"/>
      <c r="AW12" s="30"/>
      <c r="AX12" s="30"/>
      <c r="AY12" s="30"/>
      <c r="AZ12" s="30"/>
      <c r="BA12" s="30"/>
    </row>
    <row r="13" spans="1:53" ht="14.25" customHeight="1">
      <c r="A13" s="1" t="s">
        <v>77</v>
      </c>
      <c r="B13" s="30">
        <f>TREND('capital processing'!$M$12:$N$12,'capital processing'!$M$2:$N$2,'CCaMC-BCCpUC'!B1)</f>
        <v>1763976.4040404046</v>
      </c>
      <c r="C13" s="30">
        <f>TREND('capital processing'!$M$12:$N$12,'capital processing'!$M$2:$N$2,'CCaMC-BCCpUC'!C1)</f>
        <v>1760420</v>
      </c>
      <c r="D13" s="30">
        <f>TREND('capital processing'!$M$12:$N$12,'capital processing'!$M$2:$N$2,'CCaMC-BCCpUC'!D1)</f>
        <v>1756863.5959595963</v>
      </c>
      <c r="E13" s="30">
        <f>TREND('capital processing'!$M$12:$N$12,'capital processing'!$M$2:$N$2,'CCaMC-BCCpUC'!E1)</f>
        <v>1753307.1919191917</v>
      </c>
      <c r="F13" s="30">
        <f>TREND('capital processing'!$M$12:$N$12,'capital processing'!$M$2:$N$2,'CCaMC-BCCpUC'!F1)</f>
        <v>1749750.7878787881</v>
      </c>
      <c r="G13" s="30">
        <f>TREND('capital processing'!$M$12:$N$12,'capital processing'!$M$2:$N$2,'CCaMC-BCCpUC'!G1)</f>
        <v>1746194.3838383844</v>
      </c>
      <c r="H13" s="30">
        <f>TREND('capital processing'!$M$12:$N$12,'capital processing'!$M$2:$N$2,'CCaMC-BCCpUC'!H1)</f>
        <v>1742637.9797979798</v>
      </c>
      <c r="I13" s="30">
        <f>TREND('capital processing'!$M$12:$N$12,'capital processing'!$M$2:$N$2,'CCaMC-BCCpUC'!I1)</f>
        <v>1739081.5757575762</v>
      </c>
      <c r="J13" s="30">
        <f>TREND('capital processing'!$M$12:$N$12,'capital processing'!$M$2:$N$2,'CCaMC-BCCpUC'!J1)</f>
        <v>1735525.1717171716</v>
      </c>
      <c r="K13" s="30">
        <f>TREND('capital processing'!$M$12:$N$12,'capital processing'!$M$2:$N$2,'CCaMC-BCCpUC'!K1)</f>
        <v>1731968.7676767679</v>
      </c>
      <c r="L13" s="30">
        <f>TREND('capital processing'!$M$12:$N$12,'capital processing'!$M$2:$N$2,'CCaMC-BCCpUC'!L1)</f>
        <v>1728412.3636363642</v>
      </c>
      <c r="M13" s="30">
        <f>TREND('capital processing'!$M$12:$N$12,'capital processing'!$M$2:$N$2,'CCaMC-BCCpUC'!M1)</f>
        <v>1724855.9595959596</v>
      </c>
      <c r="N13" s="30">
        <f>TREND('capital processing'!$M$12:$N$12,'capital processing'!$M$2:$N$2,'CCaMC-BCCpUC'!N1)</f>
        <v>1721299.555555556</v>
      </c>
      <c r="O13" s="30">
        <f>TREND('capital processing'!$M$12:$N$12,'capital processing'!$M$2:$N$2,'CCaMC-BCCpUC'!O1)</f>
        <v>1717743.1515151514</v>
      </c>
      <c r="P13" s="30">
        <f>TREND('capital processing'!$M$12:$N$12,'capital processing'!$M$2:$N$2,'CCaMC-BCCpUC'!P1)</f>
        <v>1714186.7474747477</v>
      </c>
      <c r="Q13" s="30">
        <f>TREND('capital processing'!$M$12:$N$12,'capital processing'!$M$2:$N$2,'CCaMC-BCCpUC'!Q1)</f>
        <v>1710630.343434344</v>
      </c>
      <c r="R13" s="30">
        <f>TREND('capital processing'!$M$12:$N$12,'capital processing'!$M$2:$N$2,'CCaMC-BCCpUC'!R1)</f>
        <v>1707073.9393939395</v>
      </c>
      <c r="S13" s="30">
        <f>TREND('capital processing'!$M$12:$N$12,'capital processing'!$M$2:$N$2,'CCaMC-BCCpUC'!S1)</f>
        <v>1703517.5353535358</v>
      </c>
      <c r="T13" s="30">
        <f>TREND('capital processing'!$M$12:$N$12,'capital processing'!$M$2:$N$2,'CCaMC-BCCpUC'!T1)</f>
        <v>1699961.1313131312</v>
      </c>
      <c r="U13" s="30">
        <f>TREND('capital processing'!$M$12:$N$12,'capital processing'!$M$2:$N$2,'CCaMC-BCCpUC'!U1)</f>
        <v>1696404.7272727275</v>
      </c>
      <c r="V13" s="30">
        <f>TREND('capital processing'!$M$12:$N$12,'capital processing'!$M$2:$N$2,'CCaMC-BCCpUC'!V1)</f>
        <v>1692848.3232323239</v>
      </c>
      <c r="W13" s="30">
        <f>TREND('capital processing'!$M$12:$N$12,'capital processing'!$M$2:$N$2,'CCaMC-BCCpUC'!W1)</f>
        <v>1689291.9191919193</v>
      </c>
      <c r="X13" s="30">
        <f>TREND('capital processing'!$M$12:$N$12,'capital processing'!$M$2:$N$2,'CCaMC-BCCpUC'!X1)</f>
        <v>1685735.5151515156</v>
      </c>
      <c r="Y13" s="30">
        <f>TREND('capital processing'!$M$12:$N$12,'capital processing'!$M$2:$N$2,'CCaMC-BCCpUC'!Y1)</f>
        <v>1682179.111111111</v>
      </c>
      <c r="Z13" s="30">
        <f>TREND('capital processing'!$M$12:$N$12,'capital processing'!$M$2:$N$2,'CCaMC-BCCpUC'!Z1)</f>
        <v>1678622.7070707073</v>
      </c>
      <c r="AA13" s="30">
        <f>TREND('capital processing'!$M$12:$N$12,'capital processing'!$M$2:$N$2,'CCaMC-BCCpUC'!AA1)</f>
        <v>1675066.3030303037</v>
      </c>
      <c r="AB13" s="30">
        <f>TREND('capital processing'!$M$12:$N$12,'capital processing'!$M$2:$N$2,'CCaMC-BCCpUC'!AB1)</f>
        <v>1671509.8989898991</v>
      </c>
      <c r="AC13" s="30">
        <f>TREND('capital processing'!$M$12:$N$12,'capital processing'!$M$2:$N$2,'CCaMC-BCCpUC'!AC1)</f>
        <v>1667953.4949494954</v>
      </c>
      <c r="AD13" s="30">
        <f>TREND('capital processing'!$M$12:$N$12,'capital processing'!$M$2:$N$2,'CCaMC-BCCpUC'!AD1)</f>
        <v>1664397.0909090908</v>
      </c>
      <c r="AE13" s="30">
        <f>TREND('capital processing'!$M$12:$N$12,'capital processing'!$M$2:$N$2,'CCaMC-BCCpUC'!AE1)</f>
        <v>1660840.6868686872</v>
      </c>
      <c r="AF13" s="30">
        <f>TREND('capital processing'!$M$12:$N$12,'capital processing'!$M$2:$N$2,'CCaMC-BCCpUC'!AF1)</f>
        <v>1657284.2828282835</v>
      </c>
      <c r="AG13" s="30">
        <f>TREND('capital processing'!$M$12:$N$12,'capital processing'!$M$2:$N$2,'CCaMC-BCCpUC'!AG1)</f>
        <v>1653727.8787878789</v>
      </c>
      <c r="AH13" s="30"/>
      <c r="AI13" s="30"/>
      <c r="AJ13" s="30"/>
      <c r="AK13" s="30"/>
      <c r="AL13" s="30"/>
      <c r="AM13" s="30"/>
      <c r="AN13" s="30"/>
      <c r="AO13" s="30"/>
      <c r="AP13" s="30"/>
      <c r="AQ13" s="30"/>
      <c r="AR13" s="30"/>
      <c r="AS13" s="30"/>
      <c r="AT13" s="30"/>
      <c r="AU13" s="30"/>
      <c r="AV13" s="30"/>
      <c r="AW13" s="30"/>
      <c r="AX13" s="30"/>
      <c r="AY13" s="30"/>
      <c r="AZ13" s="30"/>
      <c r="BA13" s="30"/>
    </row>
    <row r="14" spans="1:53" ht="14.25" customHeight="1">
      <c r="A14" s="1" t="s">
        <v>78</v>
      </c>
      <c r="B14" s="30">
        <f>TREND('capital processing'!$M$13:$N$13,'capital processing'!$M$2:$N$2,'CCaMC-BCCpUC'!B1)</f>
        <v>2347095.6586666629</v>
      </c>
      <c r="C14" s="30">
        <f>TREND('capital processing'!$M$13:$N$13,'capital processing'!$M$2:$N$2,'CCaMC-BCCpUC'!C1)</f>
        <v>2325391.9999999925</v>
      </c>
      <c r="D14" s="30">
        <f>TREND('capital processing'!$M$13:$N$13,'capital processing'!$M$2:$N$2,'CCaMC-BCCpUC'!D1)</f>
        <v>2303688.3413333297</v>
      </c>
      <c r="E14" s="30">
        <f>TREND('capital processing'!$M$13:$N$13,'capital processing'!$M$2:$N$2,'CCaMC-BCCpUC'!E1)</f>
        <v>2281984.6826666594</v>
      </c>
      <c r="F14" s="30">
        <f>TREND('capital processing'!$M$13:$N$13,'capital processing'!$M$2:$N$2,'CCaMC-BCCpUC'!F1)</f>
        <v>2260281.0239999965</v>
      </c>
      <c r="G14" s="30">
        <f>TREND('capital processing'!$M$13:$N$13,'capital processing'!$M$2:$N$2,'CCaMC-BCCpUC'!G1)</f>
        <v>2238577.3653333262</v>
      </c>
      <c r="H14" s="30">
        <f>TREND('capital processing'!$M$13:$N$13,'capital processing'!$M$2:$N$2,'CCaMC-BCCpUC'!H1)</f>
        <v>2216873.7066666633</v>
      </c>
      <c r="I14" s="30">
        <f>TREND('capital processing'!$M$13:$N$13,'capital processing'!$M$2:$N$2,'CCaMC-BCCpUC'!I1)</f>
        <v>2195170.047999993</v>
      </c>
      <c r="J14" s="30">
        <f>TREND('capital processing'!$M$13:$N$13,'capital processing'!$M$2:$N$2,'CCaMC-BCCpUC'!J1)</f>
        <v>2173466.3893333301</v>
      </c>
      <c r="K14" s="30">
        <f>TREND('capital processing'!$M$13:$N$13,'capital processing'!$M$2:$N$2,'CCaMC-BCCpUC'!K1)</f>
        <v>2151762.7306666598</v>
      </c>
      <c r="L14" s="30">
        <f>TREND('capital processing'!$M$13:$N$13,'capital processing'!$M$2:$N$2,'CCaMC-BCCpUC'!L1)</f>
        <v>2130059.0719999969</v>
      </c>
      <c r="M14" s="30">
        <f>TREND('capital processing'!$M$13:$N$13,'capital processing'!$M$2:$N$2,'CCaMC-BCCpUC'!M1)</f>
        <v>2108355.4133333266</v>
      </c>
      <c r="N14" s="30">
        <f>TREND('capital processing'!$M$13:$N$13,'capital processing'!$M$2:$N$2,'CCaMC-BCCpUC'!N1)</f>
        <v>2086651.7546666637</v>
      </c>
      <c r="O14" s="30">
        <f>TREND('capital processing'!$M$13:$N$13,'capital processing'!$M$2:$N$2,'CCaMC-BCCpUC'!O1)</f>
        <v>2064948.0959999934</v>
      </c>
      <c r="P14" s="30">
        <f>TREND('capital processing'!$M$13:$N$13,'capital processing'!$M$2:$N$2,'CCaMC-BCCpUC'!P1)</f>
        <v>2043244.4373333305</v>
      </c>
      <c r="Q14" s="30">
        <f>TREND('capital processing'!$M$13:$N$13,'capital processing'!$M$2:$N$2,'CCaMC-BCCpUC'!Q1)</f>
        <v>2021540.7786666602</v>
      </c>
      <c r="R14" s="30">
        <f>TREND('capital processing'!$M$13:$N$13,'capital processing'!$M$2:$N$2,'CCaMC-BCCpUC'!R1)</f>
        <v>1999837.1199999973</v>
      </c>
      <c r="S14" s="30">
        <f>TREND('capital processing'!$M$13:$N$13,'capital processing'!$M$2:$N$2,'CCaMC-BCCpUC'!S1)</f>
        <v>1978133.461333327</v>
      </c>
      <c r="T14" s="30">
        <f>TREND('capital processing'!$M$13:$N$13,'capital processing'!$M$2:$N$2,'CCaMC-BCCpUC'!T1)</f>
        <v>1956429.8026666641</v>
      </c>
      <c r="U14" s="30">
        <f>TREND('capital processing'!$M$13:$N$13,'capital processing'!$M$2:$N$2,'CCaMC-BCCpUC'!U1)</f>
        <v>1934726.1439999938</v>
      </c>
      <c r="V14" s="30">
        <f>TREND('capital processing'!$M$13:$N$13,'capital processing'!$M$2:$N$2,'CCaMC-BCCpUC'!V1)</f>
        <v>1913022.4853333309</v>
      </c>
      <c r="W14" s="30">
        <f>TREND('capital processing'!$M$13:$N$13,'capital processing'!$M$2:$N$2,'CCaMC-BCCpUC'!W1)</f>
        <v>1891318.8266666606</v>
      </c>
      <c r="X14" s="30">
        <f>TREND('capital processing'!$M$13:$N$13,'capital processing'!$M$2:$N$2,'CCaMC-BCCpUC'!X1)</f>
        <v>1869615.1679999977</v>
      </c>
      <c r="Y14" s="30">
        <f>TREND('capital processing'!$M$13:$N$13,'capital processing'!$M$2:$N$2,'CCaMC-BCCpUC'!Y1)</f>
        <v>1847911.5093333274</v>
      </c>
      <c r="Z14" s="30">
        <f>TREND('capital processing'!$M$13:$N$13,'capital processing'!$M$2:$N$2,'CCaMC-BCCpUC'!Z1)</f>
        <v>1826207.8506666645</v>
      </c>
      <c r="AA14" s="30">
        <f>TREND('capital processing'!$M$13:$N$13,'capital processing'!$M$2:$N$2,'CCaMC-BCCpUC'!AA1)</f>
        <v>1804504.1919999942</v>
      </c>
      <c r="AB14" s="30">
        <f>TREND('capital processing'!$M$13:$N$13,'capital processing'!$M$2:$N$2,'CCaMC-BCCpUC'!AB1)</f>
        <v>1782800.5333333313</v>
      </c>
      <c r="AC14" s="30">
        <f>TREND('capital processing'!$M$13:$N$13,'capital processing'!$M$2:$N$2,'CCaMC-BCCpUC'!AC1)</f>
        <v>1761096.874666661</v>
      </c>
      <c r="AD14" s="30">
        <f>TREND('capital processing'!$M$13:$N$13,'capital processing'!$M$2:$N$2,'CCaMC-BCCpUC'!AD1)</f>
        <v>1739393.2159999982</v>
      </c>
      <c r="AE14" s="30">
        <f>TREND('capital processing'!$M$13:$N$13,'capital processing'!$M$2:$N$2,'CCaMC-BCCpUC'!AE1)</f>
        <v>1717689.5573333278</v>
      </c>
      <c r="AF14" s="30">
        <f>TREND('capital processing'!$M$13:$N$13,'capital processing'!$M$2:$N$2,'CCaMC-BCCpUC'!AF1)</f>
        <v>1695985.8986666575</v>
      </c>
      <c r="AG14" s="30">
        <f>TREND('capital processing'!$M$13:$N$13,'capital processing'!$M$2:$N$2,'CCaMC-BCCpUC'!AG1)</f>
        <v>1674282.2399999946</v>
      </c>
      <c r="AH14" s="30"/>
      <c r="AI14" s="30"/>
      <c r="AJ14" s="30"/>
      <c r="AK14" s="30"/>
      <c r="AL14" s="30"/>
      <c r="AM14" s="30"/>
      <c r="AN14" s="30"/>
      <c r="AO14" s="30"/>
      <c r="AP14" s="30"/>
      <c r="AQ14" s="30"/>
      <c r="AR14" s="30"/>
      <c r="AS14" s="30"/>
      <c r="AT14" s="30"/>
      <c r="AU14" s="30"/>
      <c r="AV14" s="30"/>
      <c r="AW14" s="30"/>
      <c r="AX14" s="30"/>
      <c r="AY14" s="30"/>
      <c r="AZ14" s="30"/>
      <c r="BA14" s="30"/>
    </row>
    <row r="15" spans="1:53" ht="14.25" customHeight="1">
      <c r="A15" s="14" t="s">
        <v>79</v>
      </c>
      <c r="B15" s="30">
        <f t="array" ref="B15">TREND('capital processing'!$B$14:$D$14,'capital processing'!$B$2:$D$2,'CCaMC-BCCpUC'!B1)</f>
        <v>803571.42857142864</v>
      </c>
      <c r="C15" s="30">
        <f t="array" ref="C15">TREND('capital processing'!$B$14:$D$14,'capital processing'!$B$2:$D$2,'CCaMC-BCCpUC'!C1)</f>
        <v>802857.14285714296</v>
      </c>
      <c r="D15" s="30">
        <f t="array" ref="D15">TREND('capital processing'!$B$14:$D$14,'capital processing'!$B$2:$D$2,'CCaMC-BCCpUC'!D1)</f>
        <v>802142.85714285728</v>
      </c>
      <c r="E15" s="30">
        <f t="array" ref="E15">TREND('capital processing'!$B$14:$D$14,'capital processing'!$B$2:$D$2,'CCaMC-BCCpUC'!E1)</f>
        <v>801428.57142857159</v>
      </c>
      <c r="F15" s="30">
        <f t="array" ref="F15">TREND('capital processing'!$B$14:$D$14,'capital processing'!$B$2:$D$2,'CCaMC-BCCpUC'!F1)</f>
        <v>800714.28571428591</v>
      </c>
      <c r="G15" s="30">
        <f t="array" ref="G15">TREND('capital processing'!$B$14:$D$14,'capital processing'!$B$2:$D$2,'CCaMC-BCCpUC'!G1)</f>
        <v>800000</v>
      </c>
      <c r="H15" s="30">
        <f t="array" ref="H15">TREND('capital processing'!$B$14:$D$14,'capital processing'!$B$2:$D$2,'CCaMC-BCCpUC'!H1)</f>
        <v>799285.71428571432</v>
      </c>
      <c r="I15" s="30">
        <f t="array" ref="I15">TREND('capital processing'!$B$14:$D$14,'capital processing'!$B$2:$D$2,'CCaMC-BCCpUC'!I1)</f>
        <v>798571.42857142864</v>
      </c>
      <c r="J15" s="30">
        <f t="array" ref="J15">TREND('capital processing'!$B$14:$D$14,'capital processing'!$B$2:$D$2,'CCaMC-BCCpUC'!J1)</f>
        <v>797857.14285714296</v>
      </c>
      <c r="K15" s="30">
        <f t="array" ref="K15">TREND('capital processing'!$B$14:$D$14,'capital processing'!$B$2:$D$2,'CCaMC-BCCpUC'!K1)</f>
        <v>797142.85714285728</v>
      </c>
      <c r="L15" s="30">
        <f t="array" ref="L15">TREND('capital processing'!$B$14:$D$14,'capital processing'!$B$2:$D$2,'CCaMC-BCCpUC'!L1)</f>
        <v>796428.57142857159</v>
      </c>
      <c r="M15" s="30">
        <f t="array" ref="M15">TREND('capital processing'!$B$14:$D$14,'capital processing'!$B$2:$D$2,'CCaMC-BCCpUC'!M1)</f>
        <v>795714.28571428591</v>
      </c>
      <c r="N15" s="30">
        <f t="array" ref="N15">TREND('capital processing'!$B$14:$D$14,'capital processing'!$B$2:$D$2,'CCaMC-BCCpUC'!N1)</f>
        <v>795000</v>
      </c>
      <c r="O15" s="30">
        <f t="array" ref="O15">TREND('capital processing'!$B$14:$D$14,'capital processing'!$B$2:$D$2,'CCaMC-BCCpUC'!O1)</f>
        <v>794285.71428571432</v>
      </c>
      <c r="P15" s="30">
        <f t="array" ref="P15">TREND('capital processing'!$B$14:$D$14,'capital processing'!$B$2:$D$2,'CCaMC-BCCpUC'!P1)</f>
        <v>793571.42857142864</v>
      </c>
      <c r="Q15" s="30">
        <f t="array" ref="Q15">TREND('capital processing'!$B$14:$D$14,'capital processing'!$B$2:$D$2,'CCaMC-BCCpUC'!Q1)</f>
        <v>792857.14285714296</v>
      </c>
      <c r="R15" s="30">
        <f t="array" ref="R15">TREND('capital processing'!$B$14:$D$14,'capital processing'!$B$2:$D$2,'CCaMC-BCCpUC'!R1)</f>
        <v>792142.85714285728</v>
      </c>
      <c r="S15" s="30">
        <f t="array" ref="S15">TREND('capital processing'!$B$14:$D$14,'capital processing'!$B$2:$D$2,'CCaMC-BCCpUC'!S1)</f>
        <v>791428.57142857159</v>
      </c>
      <c r="T15" s="30">
        <f t="array" ref="T15">TREND('capital processing'!$B$14:$D$14,'capital processing'!$B$2:$D$2,'CCaMC-BCCpUC'!T1)</f>
        <v>790714.28571428591</v>
      </c>
      <c r="U15" s="30">
        <f t="array" ref="U15">TREND('capital processing'!$B$14:$D$14,'capital processing'!$B$2:$D$2,'CCaMC-BCCpUC'!U1)</f>
        <v>790000</v>
      </c>
      <c r="V15" s="30">
        <f t="array" ref="V15">TREND('capital processing'!$B$14:$D$14,'capital processing'!$B$2:$D$2,'CCaMC-BCCpUC'!V1)</f>
        <v>789285.71428571432</v>
      </c>
      <c r="W15" s="30">
        <f t="array" ref="W15">TREND('capital processing'!$B$14:$D$14,'capital processing'!$B$2:$D$2,'CCaMC-BCCpUC'!W1)</f>
        <v>788571.42857142864</v>
      </c>
      <c r="X15" s="30">
        <f t="array" ref="X15">TREND('capital processing'!$B$14:$D$14,'capital processing'!$B$2:$D$2,'CCaMC-BCCpUC'!X1)</f>
        <v>787857.14285714296</v>
      </c>
      <c r="Y15" s="30">
        <f t="array" ref="Y15">TREND('capital processing'!$B$14:$D$14,'capital processing'!$B$2:$D$2,'CCaMC-BCCpUC'!Y1)</f>
        <v>787142.85714285728</v>
      </c>
      <c r="Z15" s="30">
        <f t="array" ref="Z15">TREND('capital processing'!$B$14:$D$14,'capital processing'!$B$2:$D$2,'CCaMC-BCCpUC'!Z1)</f>
        <v>786428.57142857159</v>
      </c>
      <c r="AA15" s="30">
        <f t="array" ref="AA15">TREND('capital processing'!$B$14:$D$14,'capital processing'!$B$2:$D$2,'CCaMC-BCCpUC'!AA1)</f>
        <v>785714.28571428591</v>
      </c>
      <c r="AB15" s="30">
        <f t="array" ref="AB15">TREND('capital processing'!$B$14:$D$14,'capital processing'!$B$2:$D$2,'CCaMC-BCCpUC'!AB1)</f>
        <v>785000</v>
      </c>
      <c r="AC15" s="30">
        <f t="array" ref="AC15">TREND('capital processing'!$B$14:$D$14,'capital processing'!$B$2:$D$2,'CCaMC-BCCpUC'!AC1)</f>
        <v>784285.71428571432</v>
      </c>
      <c r="AD15" s="30">
        <f t="array" ref="AD15">TREND('capital processing'!$B$14:$D$14,'capital processing'!$B$2:$D$2,'CCaMC-BCCpUC'!AD1)</f>
        <v>783571.42857142864</v>
      </c>
      <c r="AE15" s="30">
        <f t="array" ref="AE15">TREND('capital processing'!$B$14:$D$14,'capital processing'!$B$2:$D$2,'CCaMC-BCCpUC'!AE1)</f>
        <v>782857.14285714296</v>
      </c>
      <c r="AF15" s="30">
        <f t="array" ref="AF15">TREND('capital processing'!$B$14:$D$14,'capital processing'!$B$2:$D$2,'CCaMC-BCCpUC'!AF1)</f>
        <v>782142.85714285728</v>
      </c>
      <c r="AG15" s="30">
        <f t="array" ref="AG15">TREND('capital processing'!$B$14:$D$14,'capital processing'!$B$2:$D$2,'CCaMC-BCCpUC'!AG1)</f>
        <v>781428.57142857159</v>
      </c>
      <c r="AH15" s="30"/>
      <c r="AI15" s="30"/>
      <c r="AJ15" s="30"/>
      <c r="AK15" s="30"/>
      <c r="AL15" s="30"/>
      <c r="AM15" s="30"/>
      <c r="AN15" s="30"/>
      <c r="AO15" s="30"/>
      <c r="AP15" s="30"/>
      <c r="AQ15" s="30"/>
      <c r="AR15" s="30"/>
      <c r="AS15" s="30"/>
      <c r="AT15" s="30"/>
      <c r="AU15" s="30"/>
      <c r="AV15" s="30"/>
      <c r="AW15" s="30"/>
      <c r="AX15" s="30"/>
      <c r="AY15" s="30"/>
      <c r="AZ15" s="30"/>
      <c r="BA15" s="30"/>
    </row>
    <row r="16" spans="1:53" ht="14.25" customHeight="1">
      <c r="A16" s="14" t="s">
        <v>80</v>
      </c>
      <c r="B16" s="30">
        <f t="shared" ref="B16:AG16" si="0">B15</f>
        <v>803571.42857142864</v>
      </c>
      <c r="C16" s="30">
        <f t="shared" si="0"/>
        <v>802857.14285714296</v>
      </c>
      <c r="D16" s="30">
        <f t="shared" si="0"/>
        <v>802142.85714285728</v>
      </c>
      <c r="E16" s="30">
        <f t="shared" si="0"/>
        <v>801428.57142857159</v>
      </c>
      <c r="F16" s="30">
        <f t="shared" si="0"/>
        <v>800714.28571428591</v>
      </c>
      <c r="G16" s="30">
        <f t="shared" si="0"/>
        <v>800000</v>
      </c>
      <c r="H16" s="30">
        <f t="shared" si="0"/>
        <v>799285.71428571432</v>
      </c>
      <c r="I16" s="30">
        <f t="shared" si="0"/>
        <v>798571.42857142864</v>
      </c>
      <c r="J16" s="30">
        <f t="shared" si="0"/>
        <v>797857.14285714296</v>
      </c>
      <c r="K16" s="30">
        <f t="shared" si="0"/>
        <v>797142.85714285728</v>
      </c>
      <c r="L16" s="30">
        <f t="shared" si="0"/>
        <v>796428.57142857159</v>
      </c>
      <c r="M16" s="30">
        <f t="shared" si="0"/>
        <v>795714.28571428591</v>
      </c>
      <c r="N16" s="30">
        <f t="shared" si="0"/>
        <v>795000</v>
      </c>
      <c r="O16" s="30">
        <f t="shared" si="0"/>
        <v>794285.71428571432</v>
      </c>
      <c r="P16" s="30">
        <f t="shared" si="0"/>
        <v>793571.42857142864</v>
      </c>
      <c r="Q16" s="30">
        <f t="shared" si="0"/>
        <v>792857.14285714296</v>
      </c>
      <c r="R16" s="30">
        <f t="shared" si="0"/>
        <v>792142.85714285728</v>
      </c>
      <c r="S16" s="30">
        <f t="shared" si="0"/>
        <v>791428.57142857159</v>
      </c>
      <c r="T16" s="30">
        <f t="shared" si="0"/>
        <v>790714.28571428591</v>
      </c>
      <c r="U16" s="30">
        <f t="shared" si="0"/>
        <v>790000</v>
      </c>
      <c r="V16" s="30">
        <f t="shared" si="0"/>
        <v>789285.71428571432</v>
      </c>
      <c r="W16" s="30">
        <f t="shared" si="0"/>
        <v>788571.42857142864</v>
      </c>
      <c r="X16" s="30">
        <f t="shared" si="0"/>
        <v>787857.14285714296</v>
      </c>
      <c r="Y16" s="30">
        <f t="shared" si="0"/>
        <v>787142.85714285728</v>
      </c>
      <c r="Z16" s="30">
        <f t="shared" si="0"/>
        <v>786428.57142857159</v>
      </c>
      <c r="AA16" s="30">
        <f t="shared" si="0"/>
        <v>785714.28571428591</v>
      </c>
      <c r="AB16" s="30">
        <f t="shared" si="0"/>
        <v>785000</v>
      </c>
      <c r="AC16" s="30">
        <f t="shared" si="0"/>
        <v>784285.71428571432</v>
      </c>
      <c r="AD16" s="30">
        <f t="shared" si="0"/>
        <v>783571.42857142864</v>
      </c>
      <c r="AE16" s="30">
        <f t="shared" si="0"/>
        <v>782857.14285714296</v>
      </c>
      <c r="AF16" s="30">
        <f t="shared" si="0"/>
        <v>782142.85714285728</v>
      </c>
      <c r="AG16" s="30">
        <f t="shared" si="0"/>
        <v>781428.57142857159</v>
      </c>
      <c r="AH16" s="30"/>
      <c r="AI16" s="30"/>
      <c r="AJ16" s="30"/>
      <c r="AK16" s="30"/>
      <c r="AL16" s="30"/>
      <c r="AM16" s="30"/>
      <c r="AN16" s="30"/>
      <c r="AO16" s="30"/>
      <c r="AP16" s="30"/>
      <c r="AQ16" s="30"/>
      <c r="AR16" s="30"/>
      <c r="AS16" s="30"/>
      <c r="AT16" s="30"/>
      <c r="AU16" s="30"/>
      <c r="AV16" s="30"/>
      <c r="AW16" s="30"/>
      <c r="AX16" s="30"/>
      <c r="AY16" s="30"/>
      <c r="AZ16" s="30"/>
      <c r="BA16" s="30"/>
    </row>
    <row r="17" spans="1:53" ht="14.25" customHeight="1">
      <c r="A17" s="14" t="s">
        <v>81</v>
      </c>
      <c r="B17" s="30">
        <f t="array" ref="B17">TREND('capital processing'!$B$16:$D$16,'capital processing'!$B$2:$D$2,'CCaMC-BCCpUC'!B$1)</f>
        <v>691214.28571428545</v>
      </c>
      <c r="C17" s="30">
        <f t="array" ref="C17">TREND('capital processing'!$B$16:$D$16,'capital processing'!$B$2:$D$2,'CCaMC-BCCpUC'!C$1)</f>
        <v>688571.42857142817</v>
      </c>
      <c r="D17" s="30">
        <f t="array" ref="D17">TREND('capital processing'!$B$16:$D$16,'capital processing'!$B$2:$D$2,'CCaMC-BCCpUC'!D$1)</f>
        <v>685928.5714285709</v>
      </c>
      <c r="E17" s="30">
        <f t="array" ref="E17">TREND('capital processing'!$B$16:$D$16,'capital processing'!$B$2:$D$2,'CCaMC-BCCpUC'!E$1)</f>
        <v>683285.71428571362</v>
      </c>
      <c r="F17" s="30">
        <f t="array" ref="F17">TREND('capital processing'!$B$16:$D$16,'capital processing'!$B$2:$D$2,'CCaMC-BCCpUC'!F$1)</f>
        <v>680642.85714285634</v>
      </c>
      <c r="G17" s="30">
        <f t="array" ref="G17">TREND('capital processing'!$B$16:$D$16,'capital processing'!$B$2:$D$2,'CCaMC-BCCpUC'!G$1)</f>
        <v>678000</v>
      </c>
      <c r="H17" s="30">
        <f t="array" ref="H17">TREND('capital processing'!$B$16:$D$16,'capital processing'!$B$2:$D$2,'CCaMC-BCCpUC'!H$1)</f>
        <v>675357.14285714272</v>
      </c>
      <c r="I17" s="30">
        <f t="array" ref="I17">TREND('capital processing'!$B$16:$D$16,'capital processing'!$B$2:$D$2,'CCaMC-BCCpUC'!I$1)</f>
        <v>672714.28571428545</v>
      </c>
      <c r="J17" s="30">
        <f t="array" ref="J17">TREND('capital processing'!$B$16:$D$16,'capital processing'!$B$2:$D$2,'CCaMC-BCCpUC'!J$1)</f>
        <v>670071.42857142817</v>
      </c>
      <c r="K17" s="30">
        <f t="array" ref="K17">TREND('capital processing'!$B$16:$D$16,'capital processing'!$B$2:$D$2,'CCaMC-BCCpUC'!K$1)</f>
        <v>667428.5714285709</v>
      </c>
      <c r="L17" s="30">
        <f t="array" ref="L17">TREND('capital processing'!$B$16:$D$16,'capital processing'!$B$2:$D$2,'CCaMC-BCCpUC'!L$1)</f>
        <v>664785.71428571362</v>
      </c>
      <c r="M17" s="30">
        <f t="array" ref="M17">TREND('capital processing'!$B$16:$D$16,'capital processing'!$B$2:$D$2,'CCaMC-BCCpUC'!M$1)</f>
        <v>662142.85714285634</v>
      </c>
      <c r="N17" s="30">
        <f t="array" ref="N17">TREND('capital processing'!$B$16:$D$16,'capital processing'!$B$2:$D$2,'CCaMC-BCCpUC'!N$1)</f>
        <v>659500</v>
      </c>
      <c r="O17" s="30">
        <f t="array" ref="O17">TREND('capital processing'!$B$16:$D$16,'capital processing'!$B$2:$D$2,'CCaMC-BCCpUC'!O$1)</f>
        <v>656857.14285714272</v>
      </c>
      <c r="P17" s="30">
        <f t="array" ref="P17">TREND('capital processing'!$B$16:$D$16,'capital processing'!$B$2:$D$2,'CCaMC-BCCpUC'!P$1)</f>
        <v>654214.28571428545</v>
      </c>
      <c r="Q17" s="30">
        <f t="array" ref="Q17">TREND('capital processing'!$B$16:$D$16,'capital processing'!$B$2:$D$2,'CCaMC-BCCpUC'!Q$1)</f>
        <v>651571.42857142817</v>
      </c>
      <c r="R17" s="30">
        <f t="array" ref="R17">TREND('capital processing'!$B$16:$D$16,'capital processing'!$B$2:$D$2,'CCaMC-BCCpUC'!R$1)</f>
        <v>648928.5714285709</v>
      </c>
      <c r="S17" s="30">
        <f t="array" ref="S17">TREND('capital processing'!$B$16:$D$16,'capital processing'!$B$2:$D$2,'CCaMC-BCCpUC'!S$1)</f>
        <v>646285.71428571362</v>
      </c>
      <c r="T17" s="30">
        <f t="array" ref="T17">TREND('capital processing'!$B$16:$D$16,'capital processing'!$B$2:$D$2,'CCaMC-BCCpUC'!T$1)</f>
        <v>643642.85714285634</v>
      </c>
      <c r="U17" s="30">
        <f t="array" ref="U17">TREND('capital processing'!$B$16:$D$16,'capital processing'!$B$2:$D$2,'CCaMC-BCCpUC'!U$1)</f>
        <v>641000</v>
      </c>
      <c r="V17" s="30">
        <f t="array" ref="V17">TREND('capital processing'!$B$16:$D$16,'capital processing'!$B$2:$D$2,'CCaMC-BCCpUC'!V$1)</f>
        <v>638357.14285714272</v>
      </c>
      <c r="W17" s="30">
        <f t="array" ref="W17">TREND('capital processing'!$B$16:$D$16,'capital processing'!$B$2:$D$2,'CCaMC-BCCpUC'!W$1)</f>
        <v>635714.28571428545</v>
      </c>
      <c r="X17" s="30">
        <f t="array" ref="X17">TREND('capital processing'!$B$16:$D$16,'capital processing'!$B$2:$D$2,'CCaMC-BCCpUC'!X$1)</f>
        <v>633071.42857142817</v>
      </c>
      <c r="Y17" s="30">
        <f t="array" ref="Y17">TREND('capital processing'!$B$16:$D$16,'capital processing'!$B$2:$D$2,'CCaMC-BCCpUC'!Y$1)</f>
        <v>630428.5714285709</v>
      </c>
      <c r="Z17" s="30">
        <f t="array" ref="Z17">TREND('capital processing'!$B$16:$D$16,'capital processing'!$B$2:$D$2,'CCaMC-BCCpUC'!Z$1)</f>
        <v>627785.71428571362</v>
      </c>
      <c r="AA17" s="30">
        <f t="array" ref="AA17">TREND('capital processing'!$B$16:$D$16,'capital processing'!$B$2:$D$2,'CCaMC-BCCpUC'!AA$1)</f>
        <v>625142.85714285634</v>
      </c>
      <c r="AB17" s="30">
        <f t="array" ref="AB17">TREND('capital processing'!$B$16:$D$16,'capital processing'!$B$2:$D$2,'CCaMC-BCCpUC'!AB$1)</f>
        <v>622500</v>
      </c>
      <c r="AC17" s="30">
        <f t="array" ref="AC17">TREND('capital processing'!$B$16:$D$16,'capital processing'!$B$2:$D$2,'CCaMC-BCCpUC'!AC$1)</f>
        <v>619857.14285714272</v>
      </c>
      <c r="AD17" s="30">
        <f t="array" ref="AD17">TREND('capital processing'!$B$16:$D$16,'capital processing'!$B$2:$D$2,'CCaMC-BCCpUC'!AD$1)</f>
        <v>617214.28571428545</v>
      </c>
      <c r="AE17" s="30">
        <f t="array" ref="AE17">TREND('capital processing'!$B$16:$D$16,'capital processing'!$B$2:$D$2,'CCaMC-BCCpUC'!AE$1)</f>
        <v>614571.42857142817</v>
      </c>
      <c r="AF17" s="30">
        <f t="array" ref="AF17">TREND('capital processing'!$B$16:$D$16,'capital processing'!$B$2:$D$2,'CCaMC-BCCpUC'!AF$1)</f>
        <v>611928.5714285709</v>
      </c>
      <c r="AG17" s="30">
        <f t="array" ref="AG17">TREND('capital processing'!$B$16:$D$16,'capital processing'!$B$2:$D$2,'CCaMC-BCCpUC'!AG$1)</f>
        <v>609285.71428571362</v>
      </c>
      <c r="AH17" s="30"/>
      <c r="AI17" s="30"/>
      <c r="AJ17" s="30"/>
      <c r="AK17" s="30"/>
      <c r="AL17" s="30"/>
      <c r="AM17" s="30"/>
      <c r="AN17" s="30"/>
      <c r="AO17" s="30"/>
      <c r="AP17" s="30"/>
      <c r="AQ17" s="30"/>
      <c r="AR17" s="30"/>
      <c r="AS17" s="30"/>
      <c r="AT17" s="30"/>
      <c r="AU17" s="30"/>
      <c r="AV17" s="30"/>
      <c r="AW17" s="30"/>
      <c r="AX17" s="30"/>
      <c r="AY17" s="30"/>
      <c r="AZ17" s="30"/>
      <c r="BA17" s="30"/>
    </row>
    <row r="18" spans="1:53" ht="14.25" customHeight="1"/>
    <row r="19" spans="1:53" ht="14.25" customHeight="1">
      <c r="A19" s="14"/>
    </row>
    <row r="20" spans="1:53" ht="14.25" customHeight="1"/>
    <row r="21" spans="1:53" ht="14.25" customHeight="1">
      <c r="D21" s="11"/>
    </row>
    <row r="22" spans="1:53" ht="14.25" customHeight="1">
      <c r="D22" s="11"/>
    </row>
    <row r="23" spans="1:53" ht="14.25" customHeight="1">
      <c r="D23" s="11"/>
    </row>
    <row r="24" spans="1:53" ht="14.25" customHeight="1">
      <c r="D24" s="11"/>
    </row>
    <row r="25" spans="1:53" ht="14.25" customHeight="1">
      <c r="D25" s="11"/>
    </row>
    <row r="26" spans="1:53" ht="14.25" customHeight="1">
      <c r="D26" s="11"/>
    </row>
    <row r="27" spans="1:53" ht="14.25" customHeight="1">
      <c r="D27" s="11"/>
    </row>
    <row r="28" spans="1:53" ht="14.25" customHeight="1">
      <c r="D28" s="11"/>
    </row>
    <row r="29" spans="1:53" ht="14.25" customHeight="1">
      <c r="D29" s="11"/>
    </row>
    <row r="30" spans="1:53" ht="14.25" customHeight="1">
      <c r="D30" s="11"/>
    </row>
    <row r="31" spans="1:53" ht="14.25" customHeight="1">
      <c r="D31" s="11"/>
    </row>
    <row r="32" spans="1:53" ht="14.25" customHeight="1">
      <c r="D32" s="11"/>
    </row>
    <row r="33" spans="4:4" ht="14.25" customHeight="1">
      <c r="D33" s="11"/>
    </row>
    <row r="34" spans="4:4" ht="14.25" customHeight="1">
      <c r="D34" s="11"/>
    </row>
    <row r="35" spans="4:4" ht="14.25" customHeight="1">
      <c r="D35" s="11"/>
    </row>
    <row r="36" spans="4:4" ht="14.25" customHeight="1">
      <c r="D36" s="11"/>
    </row>
    <row r="37" spans="4:4" ht="14.25" customHeight="1"/>
    <row r="38" spans="4:4" ht="14.25" customHeight="1"/>
    <row r="39" spans="4:4" ht="14.25" customHeight="1"/>
    <row r="40" spans="4:4" ht="14.25" customHeight="1"/>
    <row r="41" spans="4:4" ht="14.25" customHeight="1"/>
    <row r="42" spans="4:4" ht="14.25" customHeight="1"/>
    <row r="43" spans="4:4" ht="14.25" customHeight="1"/>
    <row r="44" spans="4:4" ht="14.25" customHeight="1"/>
    <row r="45" spans="4:4" ht="14.25" customHeight="1"/>
    <row r="46" spans="4:4" ht="14.25" customHeight="1"/>
    <row r="47" spans="4:4" ht="14.25" customHeight="1"/>
    <row r="48" spans="4:4"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G1000"/>
  <sheetViews>
    <sheetView workbookViewId="0">
      <selection activeCell="A13" sqref="A13"/>
    </sheetView>
  </sheetViews>
  <sheetFormatPr baseColWidth="10" defaultColWidth="14.42578125" defaultRowHeight="15" customHeight="1"/>
  <cols>
    <col min="1" max="1" width="35.42578125" customWidth="1"/>
    <col min="2" max="33" width="9.140625" customWidth="1"/>
  </cols>
  <sheetData>
    <row r="1" spans="1:33" ht="14.25" customHeight="1">
      <c r="A1" s="24" t="s">
        <v>68</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c r="A2" s="10" t="s">
        <v>82</v>
      </c>
      <c r="B2" s="33">
        <v>0</v>
      </c>
      <c r="C2" s="33">
        <v>0</v>
      </c>
      <c r="D2" s="33">
        <v>0</v>
      </c>
      <c r="E2" s="33">
        <v>0</v>
      </c>
      <c r="F2" s="33">
        <v>0</v>
      </c>
      <c r="G2" s="33">
        <v>0</v>
      </c>
      <c r="H2" s="33">
        <v>0</v>
      </c>
      <c r="I2" s="33">
        <v>0</v>
      </c>
      <c r="J2" s="33">
        <v>0</v>
      </c>
      <c r="K2" s="33">
        <v>0</v>
      </c>
      <c r="L2" s="33">
        <v>0</v>
      </c>
      <c r="M2" s="33">
        <v>0</v>
      </c>
      <c r="N2" s="33">
        <v>0</v>
      </c>
      <c r="O2" s="33">
        <v>0</v>
      </c>
      <c r="P2" s="33">
        <v>0</v>
      </c>
      <c r="Q2" s="33">
        <v>0</v>
      </c>
      <c r="R2" s="33">
        <v>0</v>
      </c>
      <c r="S2" s="33">
        <v>0</v>
      </c>
      <c r="T2" s="33">
        <v>0</v>
      </c>
      <c r="U2" s="33">
        <v>0</v>
      </c>
      <c r="V2" s="33">
        <v>0</v>
      </c>
      <c r="W2" s="33">
        <v>0</v>
      </c>
      <c r="X2" s="33">
        <v>0</v>
      </c>
      <c r="Y2" s="33">
        <v>0</v>
      </c>
      <c r="Z2" s="33">
        <v>0</v>
      </c>
      <c r="AA2" s="33">
        <v>0</v>
      </c>
      <c r="AB2" s="33">
        <v>0</v>
      </c>
      <c r="AC2" s="33">
        <v>0</v>
      </c>
      <c r="AD2" s="33">
        <v>0</v>
      </c>
      <c r="AE2" s="33">
        <v>0</v>
      </c>
      <c r="AF2" s="33">
        <v>0</v>
      </c>
      <c r="AG2" s="33">
        <v>0</v>
      </c>
    </row>
    <row r="3" spans="1:33" ht="14.25" customHeight="1">
      <c r="A3" s="10" t="s">
        <v>83</v>
      </c>
      <c r="B3" s="33">
        <v>0</v>
      </c>
      <c r="C3" s="33">
        <v>0</v>
      </c>
      <c r="D3" s="33">
        <v>0</v>
      </c>
      <c r="E3" s="33">
        <v>0</v>
      </c>
      <c r="F3" s="33">
        <v>0</v>
      </c>
      <c r="G3" s="33">
        <v>0</v>
      </c>
      <c r="H3" s="33">
        <v>0</v>
      </c>
      <c r="I3" s="33">
        <v>0</v>
      </c>
      <c r="J3" s="33">
        <v>0</v>
      </c>
      <c r="K3" s="33">
        <v>0</v>
      </c>
      <c r="L3" s="33">
        <v>0</v>
      </c>
      <c r="M3" s="33">
        <v>0</v>
      </c>
      <c r="N3" s="33">
        <v>0</v>
      </c>
      <c r="O3" s="33">
        <v>0</v>
      </c>
      <c r="P3" s="33">
        <v>0</v>
      </c>
      <c r="Q3" s="33">
        <v>0</v>
      </c>
      <c r="R3" s="33">
        <v>0</v>
      </c>
      <c r="S3" s="33">
        <v>0</v>
      </c>
      <c r="T3" s="33">
        <v>0</v>
      </c>
      <c r="U3" s="33">
        <v>0</v>
      </c>
      <c r="V3" s="33">
        <v>0</v>
      </c>
      <c r="W3" s="33">
        <v>0</v>
      </c>
      <c r="X3" s="33">
        <v>0</v>
      </c>
      <c r="Y3" s="33">
        <v>0</v>
      </c>
      <c r="Z3" s="33">
        <v>0</v>
      </c>
      <c r="AA3" s="33">
        <v>0</v>
      </c>
      <c r="AB3" s="33">
        <v>0</v>
      </c>
      <c r="AC3" s="33">
        <v>0</v>
      </c>
      <c r="AD3" s="33">
        <v>0</v>
      </c>
      <c r="AE3" s="33">
        <v>0</v>
      </c>
      <c r="AF3" s="33">
        <v>0</v>
      </c>
      <c r="AG3" s="33">
        <v>0</v>
      </c>
    </row>
    <row r="4" spans="1:33" ht="14.25" customHeight="1">
      <c r="A4" s="10" t="s">
        <v>84</v>
      </c>
      <c r="B4" s="33">
        <v>0</v>
      </c>
      <c r="C4" s="33">
        <v>0</v>
      </c>
      <c r="D4" s="33">
        <v>0</v>
      </c>
      <c r="E4" s="33">
        <v>0</v>
      </c>
      <c r="F4" s="33">
        <v>0</v>
      </c>
      <c r="G4" s="33">
        <v>0</v>
      </c>
      <c r="H4" s="33">
        <v>0</v>
      </c>
      <c r="I4" s="33">
        <v>0</v>
      </c>
      <c r="J4" s="33">
        <v>0</v>
      </c>
      <c r="K4" s="33">
        <v>0</v>
      </c>
      <c r="L4" s="33">
        <v>0</v>
      </c>
      <c r="M4" s="33">
        <v>0</v>
      </c>
      <c r="N4" s="33">
        <v>0</v>
      </c>
      <c r="O4" s="33">
        <v>0</v>
      </c>
      <c r="P4" s="33">
        <v>0</v>
      </c>
      <c r="Q4" s="33">
        <v>0</v>
      </c>
      <c r="R4" s="33">
        <v>0</v>
      </c>
      <c r="S4" s="33">
        <v>0</v>
      </c>
      <c r="T4" s="33">
        <v>0</v>
      </c>
      <c r="U4" s="33">
        <v>0</v>
      </c>
      <c r="V4" s="33">
        <v>0</v>
      </c>
      <c r="W4" s="33">
        <v>0</v>
      </c>
      <c r="X4" s="33">
        <v>0</v>
      </c>
      <c r="Y4" s="33">
        <v>0</v>
      </c>
      <c r="Z4" s="33">
        <v>0</v>
      </c>
      <c r="AA4" s="33">
        <v>0</v>
      </c>
      <c r="AB4" s="33">
        <v>0</v>
      </c>
      <c r="AC4" s="33">
        <v>0</v>
      </c>
      <c r="AD4" s="33">
        <v>0</v>
      </c>
      <c r="AE4" s="33">
        <v>0</v>
      </c>
      <c r="AF4" s="33">
        <v>0</v>
      </c>
      <c r="AG4" s="33">
        <v>0</v>
      </c>
    </row>
    <row r="5" spans="1:33" ht="14.25" customHeight="1">
      <c r="A5" s="10" t="s">
        <v>85</v>
      </c>
      <c r="B5" s="33">
        <v>0</v>
      </c>
      <c r="C5" s="33">
        <v>0</v>
      </c>
      <c r="D5" s="33">
        <v>0</v>
      </c>
      <c r="E5" s="33">
        <v>0</v>
      </c>
      <c r="F5" s="33">
        <v>0</v>
      </c>
      <c r="G5" s="33">
        <v>0</v>
      </c>
      <c r="H5" s="33">
        <v>0</v>
      </c>
      <c r="I5" s="33">
        <v>0</v>
      </c>
      <c r="J5" s="33">
        <v>0</v>
      </c>
      <c r="K5" s="33">
        <v>0</v>
      </c>
      <c r="L5" s="33">
        <v>0</v>
      </c>
      <c r="M5" s="33">
        <v>0</v>
      </c>
      <c r="N5" s="33">
        <v>0</v>
      </c>
      <c r="O5" s="33">
        <v>0</v>
      </c>
      <c r="P5" s="33">
        <v>0</v>
      </c>
      <c r="Q5" s="33">
        <v>0</v>
      </c>
      <c r="R5" s="33">
        <v>0</v>
      </c>
      <c r="S5" s="33">
        <v>0</v>
      </c>
      <c r="T5" s="33">
        <v>0</v>
      </c>
      <c r="U5" s="33">
        <v>0</v>
      </c>
      <c r="V5" s="33">
        <v>0</v>
      </c>
      <c r="W5" s="33">
        <v>0</v>
      </c>
      <c r="X5" s="33">
        <v>0</v>
      </c>
      <c r="Y5" s="33">
        <v>0</v>
      </c>
      <c r="Z5" s="33">
        <v>0</v>
      </c>
      <c r="AA5" s="33">
        <v>0</v>
      </c>
      <c r="AB5" s="33">
        <v>0</v>
      </c>
      <c r="AC5" s="33">
        <v>0</v>
      </c>
      <c r="AD5" s="33">
        <v>0</v>
      </c>
      <c r="AE5" s="33">
        <v>0</v>
      </c>
      <c r="AF5" s="33">
        <v>0</v>
      </c>
      <c r="AG5" s="33">
        <v>0</v>
      </c>
    </row>
    <row r="6" spans="1:33" ht="14.25" customHeight="1">
      <c r="A6" s="10" t="s">
        <v>86</v>
      </c>
      <c r="B6" s="33">
        <v>0</v>
      </c>
      <c r="C6" s="33">
        <v>0</v>
      </c>
      <c r="D6" s="33">
        <v>0</v>
      </c>
      <c r="E6" s="33">
        <v>0</v>
      </c>
      <c r="F6" s="33">
        <v>0</v>
      </c>
      <c r="G6" s="33">
        <v>0</v>
      </c>
      <c r="H6" s="33">
        <v>0</v>
      </c>
      <c r="I6" s="33">
        <v>0</v>
      </c>
      <c r="J6" s="33">
        <v>0</v>
      </c>
      <c r="K6" s="33">
        <v>0</v>
      </c>
      <c r="L6" s="33">
        <v>0</v>
      </c>
      <c r="M6" s="33">
        <v>0</v>
      </c>
      <c r="N6" s="33">
        <v>0</v>
      </c>
      <c r="O6" s="33">
        <v>0</v>
      </c>
      <c r="P6" s="33">
        <v>0</v>
      </c>
      <c r="Q6" s="33">
        <v>0</v>
      </c>
      <c r="R6" s="33">
        <v>0</v>
      </c>
      <c r="S6" s="33">
        <v>0</v>
      </c>
      <c r="T6" s="33">
        <v>0</v>
      </c>
      <c r="U6" s="33">
        <v>0</v>
      </c>
      <c r="V6" s="33">
        <v>0</v>
      </c>
      <c r="W6" s="33">
        <v>0</v>
      </c>
      <c r="X6" s="33">
        <v>0</v>
      </c>
      <c r="Y6" s="33">
        <v>0</v>
      </c>
      <c r="Z6" s="33">
        <v>0</v>
      </c>
      <c r="AA6" s="33">
        <v>0</v>
      </c>
      <c r="AB6" s="33">
        <v>0</v>
      </c>
      <c r="AC6" s="33">
        <v>0</v>
      </c>
      <c r="AD6" s="33">
        <v>0</v>
      </c>
      <c r="AE6" s="33">
        <v>0</v>
      </c>
      <c r="AF6" s="33">
        <v>0</v>
      </c>
      <c r="AG6" s="33">
        <v>0</v>
      </c>
    </row>
    <row r="7" spans="1:33" ht="14.25" customHeight="1">
      <c r="A7" s="10" t="s">
        <v>87</v>
      </c>
      <c r="B7" s="33">
        <v>0</v>
      </c>
      <c r="C7" s="33">
        <v>0</v>
      </c>
      <c r="D7" s="33">
        <v>0</v>
      </c>
      <c r="E7" s="33">
        <v>0</v>
      </c>
      <c r="F7" s="33">
        <v>0</v>
      </c>
      <c r="G7" s="33">
        <v>0</v>
      </c>
      <c r="H7" s="33">
        <v>0</v>
      </c>
      <c r="I7" s="33">
        <v>0</v>
      </c>
      <c r="J7" s="33">
        <v>0</v>
      </c>
      <c r="K7" s="33">
        <v>0</v>
      </c>
      <c r="L7" s="33">
        <v>0</v>
      </c>
      <c r="M7" s="33">
        <v>0</v>
      </c>
      <c r="N7" s="33">
        <v>0</v>
      </c>
      <c r="O7" s="33">
        <v>0</v>
      </c>
      <c r="P7" s="33">
        <v>0</v>
      </c>
      <c r="Q7" s="33">
        <v>0</v>
      </c>
      <c r="R7" s="33">
        <v>0</v>
      </c>
      <c r="S7" s="33">
        <v>0</v>
      </c>
      <c r="T7" s="33">
        <v>0</v>
      </c>
      <c r="U7" s="33">
        <v>0</v>
      </c>
      <c r="V7" s="33">
        <v>0</v>
      </c>
      <c r="W7" s="33">
        <v>0</v>
      </c>
      <c r="X7" s="33">
        <v>0</v>
      </c>
      <c r="Y7" s="33">
        <v>0</v>
      </c>
      <c r="Z7" s="33">
        <v>0</v>
      </c>
      <c r="AA7" s="33">
        <v>0</v>
      </c>
      <c r="AB7" s="33">
        <v>0</v>
      </c>
      <c r="AC7" s="33">
        <v>0</v>
      </c>
      <c r="AD7" s="33">
        <v>0</v>
      </c>
      <c r="AE7" s="33">
        <v>0</v>
      </c>
      <c r="AF7" s="33">
        <v>0</v>
      </c>
      <c r="AG7" s="33">
        <v>0</v>
      </c>
    </row>
    <row r="8" spans="1:33" ht="14.25" customHeight="1">
      <c r="A8" s="10" t="s">
        <v>88</v>
      </c>
      <c r="B8" s="33">
        <v>0</v>
      </c>
      <c r="C8" s="33">
        <v>0</v>
      </c>
      <c r="D8" s="33">
        <v>0</v>
      </c>
      <c r="E8" s="33">
        <v>0</v>
      </c>
      <c r="F8" s="33">
        <v>0</v>
      </c>
      <c r="G8" s="33">
        <v>0</v>
      </c>
      <c r="H8" s="33">
        <v>0</v>
      </c>
      <c r="I8" s="33">
        <v>0</v>
      </c>
      <c r="J8" s="33">
        <v>0</v>
      </c>
      <c r="K8" s="33">
        <v>0</v>
      </c>
      <c r="L8" s="33">
        <v>0</v>
      </c>
      <c r="M8" s="33">
        <v>0</v>
      </c>
      <c r="N8" s="33">
        <v>0</v>
      </c>
      <c r="O8" s="33">
        <v>0</v>
      </c>
      <c r="P8" s="33">
        <v>0</v>
      </c>
      <c r="Q8" s="33">
        <v>0</v>
      </c>
      <c r="R8" s="33">
        <v>0</v>
      </c>
      <c r="S8" s="33">
        <v>0</v>
      </c>
      <c r="T8" s="33">
        <v>0</v>
      </c>
      <c r="U8" s="33">
        <v>0</v>
      </c>
      <c r="V8" s="33">
        <v>0</v>
      </c>
      <c r="W8" s="33">
        <v>0</v>
      </c>
      <c r="X8" s="33">
        <v>0</v>
      </c>
      <c r="Y8" s="33">
        <v>0</v>
      </c>
      <c r="Z8" s="33">
        <v>0</v>
      </c>
      <c r="AA8" s="33">
        <v>0</v>
      </c>
      <c r="AB8" s="33">
        <v>0</v>
      </c>
      <c r="AC8" s="33">
        <v>0</v>
      </c>
      <c r="AD8" s="33">
        <v>0</v>
      </c>
      <c r="AE8" s="33">
        <v>0</v>
      </c>
      <c r="AF8" s="33">
        <v>0</v>
      </c>
      <c r="AG8" s="33">
        <v>0</v>
      </c>
    </row>
    <row r="9" spans="1:33" ht="14.25" customHeight="1">
      <c r="A9" s="10" t="s">
        <v>89</v>
      </c>
      <c r="B9" s="33">
        <v>0</v>
      </c>
      <c r="C9" s="33">
        <v>0</v>
      </c>
      <c r="D9" s="33">
        <v>0</v>
      </c>
      <c r="E9" s="33">
        <v>0</v>
      </c>
      <c r="F9" s="33">
        <v>0</v>
      </c>
      <c r="G9" s="33">
        <v>0</v>
      </c>
      <c r="H9" s="33">
        <v>0</v>
      </c>
      <c r="I9" s="33">
        <v>0</v>
      </c>
      <c r="J9" s="33">
        <v>0</v>
      </c>
      <c r="K9" s="33">
        <v>0</v>
      </c>
      <c r="L9" s="33">
        <v>0</v>
      </c>
      <c r="M9" s="33">
        <v>0</v>
      </c>
      <c r="N9" s="33">
        <v>0</v>
      </c>
      <c r="O9" s="33">
        <v>0</v>
      </c>
      <c r="P9" s="33">
        <v>0</v>
      </c>
      <c r="Q9" s="33">
        <v>0</v>
      </c>
      <c r="R9" s="33">
        <v>0</v>
      </c>
      <c r="S9" s="33">
        <v>0</v>
      </c>
      <c r="T9" s="33">
        <v>0</v>
      </c>
      <c r="U9" s="33">
        <v>0</v>
      </c>
      <c r="V9" s="33">
        <v>0</v>
      </c>
      <c r="W9" s="33">
        <v>0</v>
      </c>
      <c r="X9" s="33">
        <v>0</v>
      </c>
      <c r="Y9" s="33">
        <v>0</v>
      </c>
      <c r="Z9" s="33">
        <v>0</v>
      </c>
      <c r="AA9" s="33">
        <v>0</v>
      </c>
      <c r="AB9" s="33">
        <v>0</v>
      </c>
      <c r="AC9" s="33">
        <v>0</v>
      </c>
      <c r="AD9" s="33">
        <v>0</v>
      </c>
      <c r="AE9" s="33">
        <v>0</v>
      </c>
      <c r="AF9" s="33">
        <v>0</v>
      </c>
      <c r="AG9" s="33">
        <v>0</v>
      </c>
    </row>
    <row r="10" spans="1:33" ht="14.25" customHeight="1">
      <c r="A10" s="10" t="s">
        <v>90</v>
      </c>
      <c r="B10" s="33">
        <v>0</v>
      </c>
      <c r="C10" s="33">
        <v>0</v>
      </c>
      <c r="D10" s="33">
        <v>0</v>
      </c>
      <c r="E10" s="33">
        <v>0</v>
      </c>
      <c r="F10" s="33">
        <v>0</v>
      </c>
      <c r="G10" s="33">
        <v>0</v>
      </c>
      <c r="H10" s="33">
        <v>0</v>
      </c>
      <c r="I10" s="33">
        <v>0</v>
      </c>
      <c r="J10" s="33">
        <v>0</v>
      </c>
      <c r="K10" s="33">
        <v>0</v>
      </c>
      <c r="L10" s="33">
        <v>0</v>
      </c>
      <c r="M10" s="33">
        <v>0</v>
      </c>
      <c r="N10" s="33">
        <v>0</v>
      </c>
      <c r="O10" s="33">
        <v>0</v>
      </c>
      <c r="P10" s="33">
        <v>0</v>
      </c>
      <c r="Q10" s="33">
        <v>0</v>
      </c>
      <c r="R10" s="33">
        <v>0</v>
      </c>
      <c r="S10" s="33">
        <v>0</v>
      </c>
      <c r="T10" s="33">
        <v>0</v>
      </c>
      <c r="U10" s="33">
        <v>0</v>
      </c>
      <c r="V10" s="33">
        <v>0</v>
      </c>
      <c r="W10" s="33">
        <v>0</v>
      </c>
      <c r="X10" s="33">
        <v>0</v>
      </c>
      <c r="Y10" s="33">
        <v>0</v>
      </c>
      <c r="Z10" s="33">
        <v>0</v>
      </c>
      <c r="AA10" s="33">
        <v>0</v>
      </c>
      <c r="AB10" s="33">
        <v>0</v>
      </c>
      <c r="AC10" s="33">
        <v>0</v>
      </c>
      <c r="AD10" s="33">
        <v>0</v>
      </c>
      <c r="AE10" s="33">
        <v>0</v>
      </c>
      <c r="AF10" s="33">
        <v>0</v>
      </c>
      <c r="AG10" s="33">
        <v>0</v>
      </c>
    </row>
    <row r="11" spans="1:33" ht="14.25" customHeight="1">
      <c r="A11" s="10" t="s">
        <v>91</v>
      </c>
      <c r="B11" s="33">
        <v>0</v>
      </c>
      <c r="C11" s="33">
        <v>0</v>
      </c>
      <c r="D11" s="33">
        <v>0</v>
      </c>
      <c r="E11" s="33">
        <v>0</v>
      </c>
      <c r="F11" s="33">
        <v>0</v>
      </c>
      <c r="G11" s="33">
        <v>0</v>
      </c>
      <c r="H11" s="33">
        <v>0</v>
      </c>
      <c r="I11" s="33">
        <v>0</v>
      </c>
      <c r="J11" s="33">
        <v>0</v>
      </c>
      <c r="K11" s="33">
        <v>0</v>
      </c>
      <c r="L11" s="33">
        <v>0</v>
      </c>
      <c r="M11" s="33">
        <v>0</v>
      </c>
      <c r="N11" s="33">
        <v>0</v>
      </c>
      <c r="O11" s="33">
        <v>0</v>
      </c>
      <c r="P11" s="33">
        <v>0</v>
      </c>
      <c r="Q11" s="33">
        <v>0</v>
      </c>
      <c r="R11" s="33">
        <v>0</v>
      </c>
      <c r="S11" s="33">
        <v>0</v>
      </c>
      <c r="T11" s="33">
        <v>0</v>
      </c>
      <c r="U11" s="33">
        <v>0</v>
      </c>
      <c r="V11" s="33">
        <v>0</v>
      </c>
      <c r="W11" s="33">
        <v>0</v>
      </c>
      <c r="X11" s="33">
        <v>0</v>
      </c>
      <c r="Y11" s="33">
        <v>0</v>
      </c>
      <c r="Z11" s="33">
        <v>0</v>
      </c>
      <c r="AA11" s="33">
        <v>0</v>
      </c>
      <c r="AB11" s="33">
        <v>0</v>
      </c>
      <c r="AC11" s="33">
        <v>0</v>
      </c>
      <c r="AD11" s="33">
        <v>0</v>
      </c>
      <c r="AE11" s="33">
        <v>0</v>
      </c>
      <c r="AF11" s="33">
        <v>0</v>
      </c>
      <c r="AG11" s="33">
        <v>0</v>
      </c>
    </row>
    <row r="12" spans="1:33" ht="14.25" customHeight="1">
      <c r="A12" s="10" t="s">
        <v>92</v>
      </c>
      <c r="B12" s="33">
        <v>0</v>
      </c>
      <c r="C12" s="33">
        <v>0</v>
      </c>
      <c r="D12" s="33">
        <v>0</v>
      </c>
      <c r="E12" s="33">
        <v>0</v>
      </c>
      <c r="F12" s="33">
        <v>0</v>
      </c>
      <c r="G12" s="33">
        <v>0</v>
      </c>
      <c r="H12" s="33">
        <v>0</v>
      </c>
      <c r="I12" s="33">
        <v>0</v>
      </c>
      <c r="J12" s="33">
        <v>0</v>
      </c>
      <c r="K12" s="33">
        <v>0</v>
      </c>
      <c r="L12" s="33">
        <v>0</v>
      </c>
      <c r="M12" s="33">
        <v>0</v>
      </c>
      <c r="N12" s="33">
        <v>0</v>
      </c>
      <c r="O12" s="33">
        <v>0</v>
      </c>
      <c r="P12" s="33">
        <v>0</v>
      </c>
      <c r="Q12" s="33">
        <v>0</v>
      </c>
      <c r="R12" s="33">
        <v>0</v>
      </c>
      <c r="S12" s="33">
        <v>0</v>
      </c>
      <c r="T12" s="33">
        <v>0</v>
      </c>
      <c r="U12" s="33">
        <v>0</v>
      </c>
      <c r="V12" s="33">
        <v>0</v>
      </c>
      <c r="W12" s="33">
        <v>0</v>
      </c>
      <c r="X12" s="33">
        <v>0</v>
      </c>
      <c r="Y12" s="33">
        <v>0</v>
      </c>
      <c r="Z12" s="33">
        <v>0</v>
      </c>
      <c r="AA12" s="33">
        <v>0</v>
      </c>
      <c r="AB12" s="33">
        <v>0</v>
      </c>
      <c r="AC12" s="33">
        <v>0</v>
      </c>
      <c r="AD12" s="33">
        <v>0</v>
      </c>
      <c r="AE12" s="33">
        <v>0</v>
      </c>
      <c r="AF12" s="33">
        <v>0</v>
      </c>
      <c r="AG12" s="33">
        <v>0</v>
      </c>
    </row>
    <row r="13" spans="1:33" ht="14.25" customHeight="1">
      <c r="A13" s="10" t="s">
        <v>93</v>
      </c>
      <c r="B13" s="33">
        <v>0</v>
      </c>
      <c r="C13" s="33">
        <v>0</v>
      </c>
      <c r="D13" s="33">
        <v>0</v>
      </c>
      <c r="E13" s="33">
        <v>0</v>
      </c>
      <c r="F13" s="33">
        <v>0</v>
      </c>
      <c r="G13" s="33">
        <v>0</v>
      </c>
      <c r="H13" s="33">
        <v>0</v>
      </c>
      <c r="I13" s="33">
        <v>0</v>
      </c>
      <c r="J13" s="33">
        <v>0</v>
      </c>
      <c r="K13" s="33">
        <v>0</v>
      </c>
      <c r="L13" s="33">
        <v>0</v>
      </c>
      <c r="M13" s="33">
        <v>0</v>
      </c>
      <c r="N13" s="33">
        <v>0</v>
      </c>
      <c r="O13" s="33">
        <v>0</v>
      </c>
      <c r="P13" s="33">
        <v>0</v>
      </c>
      <c r="Q13" s="33">
        <v>0</v>
      </c>
      <c r="R13" s="33">
        <v>0</v>
      </c>
      <c r="S13" s="33">
        <v>0</v>
      </c>
      <c r="T13" s="33">
        <v>0</v>
      </c>
      <c r="U13" s="33">
        <v>0</v>
      </c>
      <c r="V13" s="33">
        <v>0</v>
      </c>
      <c r="W13" s="33">
        <v>0</v>
      </c>
      <c r="X13" s="33">
        <v>0</v>
      </c>
      <c r="Y13" s="33">
        <v>0</v>
      </c>
      <c r="Z13" s="33">
        <v>0</v>
      </c>
      <c r="AA13" s="33">
        <v>0</v>
      </c>
      <c r="AB13" s="33">
        <v>0</v>
      </c>
      <c r="AC13" s="33">
        <v>0</v>
      </c>
      <c r="AD13" s="33">
        <v>0</v>
      </c>
      <c r="AE13" s="33">
        <v>0</v>
      </c>
      <c r="AF13" s="33">
        <v>0</v>
      </c>
      <c r="AG13" s="33">
        <v>0</v>
      </c>
    </row>
    <row r="14" spans="1:33" ht="14.25" customHeight="1">
      <c r="A14" s="10" t="s">
        <v>94</v>
      </c>
      <c r="B14" s="33">
        <v>0</v>
      </c>
      <c r="C14" s="33">
        <v>0</v>
      </c>
      <c r="D14" s="33">
        <v>0</v>
      </c>
      <c r="E14" s="33">
        <v>0</v>
      </c>
      <c r="F14" s="33">
        <v>0</v>
      </c>
      <c r="G14" s="33">
        <v>0</v>
      </c>
      <c r="H14" s="33">
        <v>0</v>
      </c>
      <c r="I14" s="33">
        <v>0</v>
      </c>
      <c r="J14" s="33">
        <v>0</v>
      </c>
      <c r="K14" s="33">
        <v>0</v>
      </c>
      <c r="L14" s="33">
        <v>0</v>
      </c>
      <c r="M14" s="33">
        <v>0</v>
      </c>
      <c r="N14" s="33">
        <v>0</v>
      </c>
      <c r="O14" s="33">
        <v>0</v>
      </c>
      <c r="P14" s="33">
        <v>0</v>
      </c>
      <c r="Q14" s="33">
        <v>0</v>
      </c>
      <c r="R14" s="33">
        <v>0</v>
      </c>
      <c r="S14" s="33">
        <v>0</v>
      </c>
      <c r="T14" s="33">
        <v>0</v>
      </c>
      <c r="U14" s="33">
        <v>0</v>
      </c>
      <c r="V14" s="33">
        <v>0</v>
      </c>
      <c r="W14" s="33">
        <v>0</v>
      </c>
      <c r="X14" s="33">
        <v>0</v>
      </c>
      <c r="Y14" s="33">
        <v>0</v>
      </c>
      <c r="Z14" s="33">
        <v>0</v>
      </c>
      <c r="AA14" s="33">
        <v>0</v>
      </c>
      <c r="AB14" s="33">
        <v>0</v>
      </c>
      <c r="AC14" s="33">
        <v>0</v>
      </c>
      <c r="AD14" s="33">
        <v>0</v>
      </c>
      <c r="AE14" s="33">
        <v>0</v>
      </c>
      <c r="AF14" s="33">
        <v>0</v>
      </c>
      <c r="AG14" s="33">
        <v>0</v>
      </c>
    </row>
    <row r="15" spans="1:33" ht="14.25" customHeight="1">
      <c r="A15" s="10" t="s">
        <v>95</v>
      </c>
      <c r="B15" s="33">
        <v>0</v>
      </c>
      <c r="C15" s="33">
        <v>0</v>
      </c>
      <c r="D15" s="33">
        <v>0</v>
      </c>
      <c r="E15" s="33">
        <v>0</v>
      </c>
      <c r="F15" s="33">
        <v>0</v>
      </c>
      <c r="G15" s="33">
        <v>0</v>
      </c>
      <c r="H15" s="33">
        <v>0</v>
      </c>
      <c r="I15" s="33">
        <v>0</v>
      </c>
      <c r="J15" s="33">
        <v>0</v>
      </c>
      <c r="K15" s="33">
        <v>0</v>
      </c>
      <c r="L15" s="33">
        <v>0</v>
      </c>
      <c r="M15" s="33">
        <v>0</v>
      </c>
      <c r="N15" s="33">
        <v>0</v>
      </c>
      <c r="O15" s="33">
        <v>0</v>
      </c>
      <c r="P15" s="33">
        <v>0</v>
      </c>
      <c r="Q15" s="33">
        <v>0</v>
      </c>
      <c r="R15" s="33">
        <v>0</v>
      </c>
      <c r="S15" s="33">
        <v>0</v>
      </c>
      <c r="T15" s="33">
        <v>0</v>
      </c>
      <c r="U15" s="33">
        <v>0</v>
      </c>
      <c r="V15" s="33">
        <v>0</v>
      </c>
      <c r="W15" s="33">
        <v>0</v>
      </c>
      <c r="X15" s="33">
        <v>0</v>
      </c>
      <c r="Y15" s="33">
        <v>0</v>
      </c>
      <c r="Z15" s="33">
        <v>0</v>
      </c>
      <c r="AA15" s="33">
        <v>0</v>
      </c>
      <c r="AB15" s="33">
        <v>0</v>
      </c>
      <c r="AC15" s="33">
        <v>0</v>
      </c>
      <c r="AD15" s="33">
        <v>0</v>
      </c>
      <c r="AE15" s="33">
        <v>0</v>
      </c>
      <c r="AF15" s="33">
        <v>0</v>
      </c>
      <c r="AG15" s="33">
        <v>0</v>
      </c>
    </row>
    <row r="16" spans="1:33" ht="14.25" customHeight="1">
      <c r="A16" s="10" t="s">
        <v>96</v>
      </c>
      <c r="B16" s="33">
        <v>0</v>
      </c>
      <c r="C16" s="33">
        <v>0</v>
      </c>
      <c r="D16" s="33">
        <v>0</v>
      </c>
      <c r="E16" s="33">
        <v>0</v>
      </c>
      <c r="F16" s="33">
        <v>0</v>
      </c>
      <c r="G16" s="33">
        <v>0</v>
      </c>
      <c r="H16" s="33">
        <v>0</v>
      </c>
      <c r="I16" s="33">
        <v>0</v>
      </c>
      <c r="J16" s="33">
        <v>0</v>
      </c>
      <c r="K16" s="33">
        <v>0</v>
      </c>
      <c r="L16" s="33">
        <v>0</v>
      </c>
      <c r="M16" s="33">
        <v>0</v>
      </c>
      <c r="N16" s="33">
        <v>0</v>
      </c>
      <c r="O16" s="33">
        <v>0</v>
      </c>
      <c r="P16" s="33">
        <v>0</v>
      </c>
      <c r="Q16" s="33">
        <v>0</v>
      </c>
      <c r="R16" s="33">
        <v>0</v>
      </c>
      <c r="S16" s="33">
        <v>0</v>
      </c>
      <c r="T16" s="33">
        <v>0</v>
      </c>
      <c r="U16" s="33">
        <v>0</v>
      </c>
      <c r="V16" s="33">
        <v>0</v>
      </c>
      <c r="W16" s="33">
        <v>0</v>
      </c>
      <c r="X16" s="33">
        <v>0</v>
      </c>
      <c r="Y16" s="33">
        <v>0</v>
      </c>
      <c r="Z16" s="33">
        <v>0</v>
      </c>
      <c r="AA16" s="33">
        <v>0</v>
      </c>
      <c r="AB16" s="33">
        <v>0</v>
      </c>
      <c r="AC16" s="33">
        <v>0</v>
      </c>
      <c r="AD16" s="33">
        <v>0</v>
      </c>
      <c r="AE16" s="33">
        <v>0</v>
      </c>
      <c r="AF16" s="33">
        <v>0</v>
      </c>
      <c r="AG16" s="33">
        <v>0</v>
      </c>
    </row>
    <row r="17" spans="1:33" ht="14.25" customHeight="1">
      <c r="A17" s="10" t="s">
        <v>97</v>
      </c>
      <c r="B17" s="33">
        <v>0</v>
      </c>
      <c r="C17" s="33">
        <v>0</v>
      </c>
      <c r="D17" s="33">
        <v>0</v>
      </c>
      <c r="E17" s="33">
        <v>0</v>
      </c>
      <c r="F17" s="33">
        <v>0</v>
      </c>
      <c r="G17" s="33">
        <v>0</v>
      </c>
      <c r="H17" s="33">
        <v>0</v>
      </c>
      <c r="I17" s="33">
        <v>0</v>
      </c>
      <c r="J17" s="33">
        <v>0</v>
      </c>
      <c r="K17" s="33">
        <v>0</v>
      </c>
      <c r="L17" s="33">
        <v>0</v>
      </c>
      <c r="M17" s="33">
        <v>0</v>
      </c>
      <c r="N17" s="33">
        <v>0</v>
      </c>
      <c r="O17" s="33">
        <v>0</v>
      </c>
      <c r="P17" s="33">
        <v>0</v>
      </c>
      <c r="Q17" s="33">
        <v>0</v>
      </c>
      <c r="R17" s="33">
        <v>0</v>
      </c>
      <c r="S17" s="33">
        <v>0</v>
      </c>
      <c r="T17" s="33">
        <v>0</v>
      </c>
      <c r="U17" s="33">
        <v>0</v>
      </c>
      <c r="V17" s="33">
        <v>0</v>
      </c>
      <c r="W17" s="33">
        <v>0</v>
      </c>
      <c r="X17" s="33">
        <v>0</v>
      </c>
      <c r="Y17" s="33">
        <v>0</v>
      </c>
      <c r="Z17" s="33">
        <v>0</v>
      </c>
      <c r="AA17" s="33">
        <v>0</v>
      </c>
      <c r="AB17" s="33">
        <v>0</v>
      </c>
      <c r="AC17" s="33">
        <v>0</v>
      </c>
      <c r="AD17" s="33">
        <v>0</v>
      </c>
      <c r="AE17" s="33">
        <v>0</v>
      </c>
      <c r="AF17" s="33">
        <v>0</v>
      </c>
      <c r="AG17" s="33">
        <v>0</v>
      </c>
    </row>
    <row r="18" spans="1:33" ht="14.25" customHeight="1"/>
    <row r="19" spans="1:33" ht="14.25" customHeight="1"/>
    <row r="20" spans="1:33" ht="14.25" customHeight="1"/>
    <row r="21" spans="1:33" ht="14.25" customHeight="1"/>
    <row r="22" spans="1:33" ht="14.25" customHeight="1"/>
    <row r="23" spans="1:33" ht="14.25" customHeight="1"/>
    <row r="24" spans="1:33" ht="14.25" customHeight="1"/>
    <row r="25" spans="1:33" ht="14.25" customHeight="1"/>
    <row r="26" spans="1:33" ht="14.25" customHeight="1"/>
    <row r="27" spans="1:33" ht="14.25" customHeight="1"/>
    <row r="28" spans="1:33" ht="14.25" customHeight="1"/>
    <row r="29" spans="1:33" ht="14.25" customHeight="1"/>
    <row r="30" spans="1:33" ht="14.25" customHeight="1"/>
    <row r="31" spans="1:33" ht="14.25" customHeight="1"/>
    <row r="32" spans="1:3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15</vt:i4>
      </vt:variant>
    </vt:vector>
  </HeadingPairs>
  <TitlesOfParts>
    <vt:vector size="15" baseType="lpstr">
      <vt:lpstr>About</vt:lpstr>
      <vt:lpstr>solar thermal</vt:lpstr>
      <vt:lpstr>nuclear</vt:lpstr>
      <vt:lpstr>capital processing</vt:lpstr>
      <vt:lpstr>Cal</vt:lpstr>
      <vt:lpstr>Projections - CABRI</vt:lpstr>
      <vt:lpstr>Projections - CPL estimations</vt:lpstr>
      <vt:lpstr>CCaMC-AFOaMCpUC-pre-ret</vt:lpstr>
      <vt:lpstr>CCaMC-AFOaMCpUC-pre-nonret</vt:lpstr>
      <vt:lpstr>CCaMC-AFOaMCpUC-new</vt:lpstr>
      <vt:lpstr>CCaMC-VOaMCpUC-pre-ret</vt:lpstr>
      <vt:lpstr>CCaMC-VOaMCpUC-pre-nonret</vt:lpstr>
      <vt:lpstr>CCaMC-VOaMCpUC-new</vt:lpstr>
      <vt:lpstr>CCaMC-BCCpUC</vt:lpstr>
      <vt:lpstr>CCaMC-BSCpUC</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Saidou Sy</cp:lastModifiedBy>
  <dcterms:created xsi:type="dcterms:W3CDTF">2015-06-05T18:17:20Z</dcterms:created>
  <dcterms:modified xsi:type="dcterms:W3CDTF">2026-01-18T03:12:36Z</dcterms:modified>
</cp:coreProperties>
</file>