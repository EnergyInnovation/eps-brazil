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saido\Documents\eps-brazil-cpl-good\InputData\elec\CCaMC\"/>
    </mc:Choice>
  </mc:AlternateContent>
  <bookViews>
    <workbookView xWindow="0" yWindow="765" windowWidth="34200" windowHeight="21375" firstSheet="1" activeTab="4"/>
  </bookViews>
  <sheets>
    <sheet name="About" sheetId="1" r:id="rId1"/>
    <sheet name="solar thermal" sheetId="3" r:id="rId2"/>
    <sheet name="nuclear" sheetId="4" r:id="rId3"/>
    <sheet name="capital processing" sheetId="5" r:id="rId4"/>
    <sheet name="Cal" sheetId="16" r:id="rId5"/>
    <sheet name="CCaMC-AFOaMCpUC-pre-ret" sheetId="6" r:id="rId6"/>
    <sheet name="CCaMC-AFOaMCpUC-pre-nonret" sheetId="7" r:id="rId7"/>
    <sheet name="CCaMC-AFOaMCpUC-new" sheetId="8" r:id="rId8"/>
    <sheet name="CCaMC-VOaMCpUC-pre-ret" sheetId="9" r:id="rId9"/>
    <sheet name="CCaMC-VOaMCpUC-pre-nonret" sheetId="10" r:id="rId10"/>
    <sheet name="CCaMC-VOaMCpUC-new" sheetId="11" r:id="rId11"/>
    <sheet name="CCaMC-BCCpUC" sheetId="12" r:id="rId12"/>
    <sheet name="CCaMC-BSCpUC" sheetId="13" r:id="rId13"/>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29" roundtripDataSignature="AMtx7mgE8SvcDr1XnmEra9+mR2GrWqzDGQ=="/>
    </ext>
  </extLst>
</workbook>
</file>

<file path=xl/calcChain.xml><?xml version="1.0" encoding="utf-8"?>
<calcChain xmlns="http://schemas.openxmlformats.org/spreadsheetml/2006/main">
  <c r="D2" i="9" l="1"/>
  <c r="E2" i="9"/>
  <c r="F2" i="9"/>
  <c r="G2" i="9"/>
  <c r="H2" i="9"/>
  <c r="I2" i="9"/>
  <c r="J2" i="9"/>
  <c r="K2" i="9"/>
  <c r="L2" i="9"/>
  <c r="M2" i="9"/>
  <c r="N2" i="9"/>
  <c r="O2" i="9"/>
  <c r="P2" i="9"/>
  <c r="Q2" i="9"/>
  <c r="R2" i="9"/>
  <c r="S2" i="9"/>
  <c r="T2" i="9"/>
  <c r="U2" i="9"/>
  <c r="V2" i="9"/>
  <c r="W2" i="9"/>
  <c r="X2" i="9"/>
  <c r="Y2" i="9"/>
  <c r="Z2" i="9"/>
  <c r="AA2" i="9"/>
  <c r="AB2" i="9"/>
  <c r="AC2" i="9"/>
  <c r="AD2" i="9"/>
  <c r="AE2" i="9"/>
  <c r="AF2" i="9"/>
  <c r="AG2" i="9"/>
  <c r="AH2" i="9"/>
  <c r="AI2" i="9"/>
  <c r="AJ2" i="9"/>
  <c r="AK2" i="9"/>
  <c r="AL2" i="9"/>
  <c r="AM2" i="9"/>
  <c r="AN2" i="9"/>
  <c r="AO2" i="9"/>
  <c r="AP2" i="9"/>
  <c r="AQ2" i="9"/>
  <c r="AR2" i="9"/>
  <c r="AS2" i="9"/>
  <c r="AT2" i="9"/>
  <c r="AU2" i="9"/>
  <c r="AV2" i="9"/>
  <c r="AW2" i="9"/>
  <c r="AX2" i="9"/>
  <c r="AY2" i="9"/>
  <c r="AZ2" i="9"/>
  <c r="D3" i="9"/>
  <c r="E3" i="9"/>
  <c r="F3" i="9"/>
  <c r="G3" i="9"/>
  <c r="H3" i="9"/>
  <c r="I3" i="9"/>
  <c r="J3" i="9"/>
  <c r="K3" i="9"/>
  <c r="L3" i="9"/>
  <c r="M3" i="9"/>
  <c r="N3" i="9"/>
  <c r="O3" i="9"/>
  <c r="P3" i="9"/>
  <c r="Q3" i="9"/>
  <c r="R3" i="9"/>
  <c r="S3" i="9"/>
  <c r="T3" i="9"/>
  <c r="U3" i="9"/>
  <c r="V3" i="9"/>
  <c r="W3" i="9"/>
  <c r="X3" i="9"/>
  <c r="Y3" i="9"/>
  <c r="Z3" i="9"/>
  <c r="AA3" i="9"/>
  <c r="AB3" i="9"/>
  <c r="AC3" i="9"/>
  <c r="AD3" i="9"/>
  <c r="AE3" i="9"/>
  <c r="AF3" i="9"/>
  <c r="AG3" i="9"/>
  <c r="AH3" i="9"/>
  <c r="AI3" i="9"/>
  <c r="AJ3" i="9"/>
  <c r="AK3" i="9"/>
  <c r="AL3" i="9"/>
  <c r="AM3" i="9"/>
  <c r="AN3" i="9"/>
  <c r="AO3" i="9"/>
  <c r="AP3" i="9"/>
  <c r="AQ3" i="9"/>
  <c r="AR3" i="9"/>
  <c r="AS3" i="9"/>
  <c r="AT3" i="9"/>
  <c r="AU3" i="9"/>
  <c r="AV3" i="9"/>
  <c r="AW3" i="9"/>
  <c r="AX3" i="9"/>
  <c r="AY3" i="9"/>
  <c r="AZ3" i="9"/>
  <c r="D4" i="9"/>
  <c r="E4" i="9"/>
  <c r="F4" i="9"/>
  <c r="G4" i="9"/>
  <c r="H4" i="9"/>
  <c r="I4" i="9"/>
  <c r="J4" i="9"/>
  <c r="K4" i="9"/>
  <c r="L4" i="9"/>
  <c r="M4" i="9"/>
  <c r="N4" i="9"/>
  <c r="O4" i="9"/>
  <c r="P4" i="9"/>
  <c r="Q4" i="9"/>
  <c r="R4" i="9"/>
  <c r="S4" i="9"/>
  <c r="T4" i="9"/>
  <c r="U4" i="9"/>
  <c r="V4" i="9"/>
  <c r="W4" i="9"/>
  <c r="X4" i="9"/>
  <c r="Y4" i="9"/>
  <c r="Z4" i="9"/>
  <c r="AA4" i="9"/>
  <c r="AB4" i="9"/>
  <c r="AC4" i="9"/>
  <c r="AD4" i="9"/>
  <c r="AE4" i="9"/>
  <c r="AF4" i="9"/>
  <c r="AG4" i="9"/>
  <c r="AH4" i="9"/>
  <c r="AI4" i="9"/>
  <c r="AJ4" i="9"/>
  <c r="AK4" i="9"/>
  <c r="AL4" i="9"/>
  <c r="AM4" i="9"/>
  <c r="AN4" i="9"/>
  <c r="AO4" i="9"/>
  <c r="AP4" i="9"/>
  <c r="AQ4" i="9"/>
  <c r="AR4" i="9"/>
  <c r="AS4" i="9"/>
  <c r="AT4" i="9"/>
  <c r="AU4" i="9"/>
  <c r="AV4" i="9"/>
  <c r="AW4" i="9"/>
  <c r="AX4" i="9"/>
  <c r="AY4" i="9"/>
  <c r="AZ4" i="9"/>
  <c r="D5" i="9"/>
  <c r="E5" i="9"/>
  <c r="F5" i="9"/>
  <c r="G5" i="9"/>
  <c r="H5" i="9"/>
  <c r="I5" i="9"/>
  <c r="J5" i="9"/>
  <c r="K5" i="9"/>
  <c r="L5" i="9"/>
  <c r="M5" i="9"/>
  <c r="N5" i="9"/>
  <c r="O5" i="9"/>
  <c r="P5" i="9"/>
  <c r="Q5" i="9"/>
  <c r="R5" i="9"/>
  <c r="S5" i="9"/>
  <c r="T5" i="9"/>
  <c r="U5" i="9"/>
  <c r="V5" i="9"/>
  <c r="W5" i="9"/>
  <c r="X5" i="9"/>
  <c r="Y5" i="9"/>
  <c r="Z5" i="9"/>
  <c r="AA5" i="9"/>
  <c r="AB5" i="9"/>
  <c r="AC5" i="9"/>
  <c r="AD5" i="9"/>
  <c r="AE5" i="9"/>
  <c r="AF5" i="9"/>
  <c r="AG5" i="9"/>
  <c r="AH5" i="9"/>
  <c r="AI5" i="9"/>
  <c r="AJ5" i="9"/>
  <c r="AK5" i="9"/>
  <c r="AL5" i="9"/>
  <c r="AM5" i="9"/>
  <c r="AN5" i="9"/>
  <c r="AO5" i="9"/>
  <c r="AP5" i="9"/>
  <c r="AQ5" i="9"/>
  <c r="AR5" i="9"/>
  <c r="AS5" i="9"/>
  <c r="AT5" i="9"/>
  <c r="AU5" i="9"/>
  <c r="AV5" i="9"/>
  <c r="AW5" i="9"/>
  <c r="AX5" i="9"/>
  <c r="AY5" i="9"/>
  <c r="AZ5" i="9"/>
  <c r="D6" i="9"/>
  <c r="E6" i="9"/>
  <c r="F6" i="9"/>
  <c r="G6" i="9"/>
  <c r="H6" i="9"/>
  <c r="I6" i="9"/>
  <c r="J6" i="9"/>
  <c r="K6" i="9"/>
  <c r="L6" i="9"/>
  <c r="M6" i="9"/>
  <c r="N6" i="9"/>
  <c r="O6" i="9"/>
  <c r="P6" i="9"/>
  <c r="Q6" i="9"/>
  <c r="R6" i="9"/>
  <c r="S6" i="9"/>
  <c r="T6" i="9"/>
  <c r="U6" i="9"/>
  <c r="V6" i="9"/>
  <c r="W6" i="9"/>
  <c r="X6" i="9"/>
  <c r="Y6" i="9"/>
  <c r="Z6" i="9"/>
  <c r="AA6" i="9"/>
  <c r="AB6" i="9"/>
  <c r="AC6" i="9"/>
  <c r="AD6" i="9"/>
  <c r="AE6" i="9"/>
  <c r="AF6" i="9"/>
  <c r="AG6" i="9"/>
  <c r="AH6" i="9"/>
  <c r="AI6" i="9"/>
  <c r="AJ6" i="9"/>
  <c r="AK6" i="9"/>
  <c r="AL6" i="9"/>
  <c r="AM6" i="9"/>
  <c r="AN6" i="9"/>
  <c r="AO6" i="9"/>
  <c r="AP6" i="9"/>
  <c r="AQ6" i="9"/>
  <c r="AR6" i="9"/>
  <c r="AS6" i="9"/>
  <c r="AT6" i="9"/>
  <c r="AU6" i="9"/>
  <c r="AV6" i="9"/>
  <c r="AW6" i="9"/>
  <c r="AX6" i="9"/>
  <c r="AY6" i="9"/>
  <c r="AZ6" i="9"/>
  <c r="D7" i="9"/>
  <c r="E7" i="9"/>
  <c r="F7" i="9"/>
  <c r="G7" i="9"/>
  <c r="H7" i="9"/>
  <c r="I7" i="9"/>
  <c r="J7" i="9"/>
  <c r="K7" i="9"/>
  <c r="L7" i="9"/>
  <c r="M7" i="9"/>
  <c r="N7" i="9"/>
  <c r="O7" i="9"/>
  <c r="P7" i="9"/>
  <c r="Q7" i="9"/>
  <c r="R7" i="9"/>
  <c r="S7" i="9"/>
  <c r="T7" i="9"/>
  <c r="U7" i="9"/>
  <c r="V7" i="9"/>
  <c r="W7" i="9"/>
  <c r="X7" i="9"/>
  <c r="Y7" i="9"/>
  <c r="Z7" i="9"/>
  <c r="AA7" i="9"/>
  <c r="AB7" i="9"/>
  <c r="AC7" i="9"/>
  <c r="AD7" i="9"/>
  <c r="AE7" i="9"/>
  <c r="AF7" i="9"/>
  <c r="AG7" i="9"/>
  <c r="AH7" i="9"/>
  <c r="AI7" i="9"/>
  <c r="AJ7" i="9"/>
  <c r="AK7" i="9"/>
  <c r="AL7" i="9"/>
  <c r="AM7" i="9"/>
  <c r="AN7" i="9"/>
  <c r="AO7" i="9"/>
  <c r="AP7" i="9"/>
  <c r="AQ7" i="9"/>
  <c r="AR7" i="9"/>
  <c r="AS7" i="9"/>
  <c r="AT7" i="9"/>
  <c r="AU7" i="9"/>
  <c r="AV7" i="9"/>
  <c r="AW7" i="9"/>
  <c r="AX7" i="9"/>
  <c r="AY7" i="9"/>
  <c r="AZ7" i="9"/>
  <c r="D8" i="9"/>
  <c r="E8" i="9"/>
  <c r="F8" i="9"/>
  <c r="G8" i="9"/>
  <c r="H8" i="9"/>
  <c r="I8" i="9"/>
  <c r="J8" i="9"/>
  <c r="K8" i="9"/>
  <c r="L8" i="9"/>
  <c r="M8" i="9"/>
  <c r="N8" i="9"/>
  <c r="O8" i="9"/>
  <c r="P8" i="9"/>
  <c r="Q8" i="9"/>
  <c r="R8" i="9"/>
  <c r="S8" i="9"/>
  <c r="T8" i="9"/>
  <c r="U8" i="9"/>
  <c r="V8" i="9"/>
  <c r="W8" i="9"/>
  <c r="X8" i="9"/>
  <c r="Y8" i="9"/>
  <c r="Z8" i="9"/>
  <c r="AA8" i="9"/>
  <c r="AB8" i="9"/>
  <c r="AC8" i="9"/>
  <c r="AD8" i="9"/>
  <c r="AE8" i="9"/>
  <c r="AF8" i="9"/>
  <c r="AG8" i="9"/>
  <c r="AH8" i="9"/>
  <c r="AI8" i="9"/>
  <c r="AJ8" i="9"/>
  <c r="AK8" i="9"/>
  <c r="AL8" i="9"/>
  <c r="AM8" i="9"/>
  <c r="AN8" i="9"/>
  <c r="AO8" i="9"/>
  <c r="AP8" i="9"/>
  <c r="AQ8" i="9"/>
  <c r="AR8" i="9"/>
  <c r="AS8" i="9"/>
  <c r="AT8" i="9"/>
  <c r="AU8" i="9"/>
  <c r="AV8" i="9"/>
  <c r="AW8" i="9"/>
  <c r="AX8" i="9"/>
  <c r="AY8" i="9"/>
  <c r="AZ8" i="9"/>
  <c r="D9" i="9"/>
  <c r="E9" i="9"/>
  <c r="F9" i="9"/>
  <c r="G9" i="9"/>
  <c r="H9" i="9"/>
  <c r="I9" i="9"/>
  <c r="J9" i="9"/>
  <c r="K9" i="9"/>
  <c r="L9" i="9"/>
  <c r="M9" i="9"/>
  <c r="N9" i="9"/>
  <c r="O9" i="9"/>
  <c r="P9" i="9"/>
  <c r="Q9" i="9"/>
  <c r="R9" i="9"/>
  <c r="S9" i="9"/>
  <c r="T9" i="9"/>
  <c r="U9" i="9"/>
  <c r="V9" i="9"/>
  <c r="W9" i="9"/>
  <c r="X9" i="9"/>
  <c r="Y9" i="9"/>
  <c r="Z9" i="9"/>
  <c r="AA9" i="9"/>
  <c r="AB9" i="9"/>
  <c r="AC9" i="9"/>
  <c r="AD9" i="9"/>
  <c r="AE9" i="9"/>
  <c r="AF9" i="9"/>
  <c r="AG9" i="9"/>
  <c r="AH9" i="9"/>
  <c r="AI9" i="9"/>
  <c r="AJ9" i="9"/>
  <c r="AK9" i="9"/>
  <c r="AL9" i="9"/>
  <c r="AM9" i="9"/>
  <c r="AN9" i="9"/>
  <c r="AO9" i="9"/>
  <c r="AP9" i="9"/>
  <c r="AQ9" i="9"/>
  <c r="AR9" i="9"/>
  <c r="AS9" i="9"/>
  <c r="AT9" i="9"/>
  <c r="AU9" i="9"/>
  <c r="AV9" i="9"/>
  <c r="AW9" i="9"/>
  <c r="AX9" i="9"/>
  <c r="AY9" i="9"/>
  <c r="AZ9" i="9"/>
  <c r="D10" i="9"/>
  <c r="E10" i="9"/>
  <c r="F10" i="9"/>
  <c r="G10" i="9"/>
  <c r="H10" i="9"/>
  <c r="I10" i="9"/>
  <c r="J10" i="9"/>
  <c r="K10" i="9"/>
  <c r="L10" i="9"/>
  <c r="M10" i="9"/>
  <c r="N10" i="9"/>
  <c r="O10" i="9"/>
  <c r="P10" i="9"/>
  <c r="Q10" i="9"/>
  <c r="R10" i="9"/>
  <c r="S10" i="9"/>
  <c r="T10" i="9"/>
  <c r="U10" i="9"/>
  <c r="V10" i="9"/>
  <c r="W10" i="9"/>
  <c r="X10" i="9"/>
  <c r="Y10" i="9"/>
  <c r="Z10" i="9"/>
  <c r="AA10" i="9"/>
  <c r="AB10" i="9"/>
  <c r="AC10" i="9"/>
  <c r="AD10" i="9"/>
  <c r="AE10" i="9"/>
  <c r="AF10" i="9"/>
  <c r="AG10" i="9"/>
  <c r="AH10" i="9"/>
  <c r="AI10" i="9"/>
  <c r="AJ10" i="9"/>
  <c r="AK10" i="9"/>
  <c r="AL10" i="9"/>
  <c r="AM10" i="9"/>
  <c r="AN10" i="9"/>
  <c r="AO10" i="9"/>
  <c r="AP10" i="9"/>
  <c r="AQ10" i="9"/>
  <c r="AR10" i="9"/>
  <c r="AS10" i="9"/>
  <c r="AT10" i="9"/>
  <c r="AU10" i="9"/>
  <c r="AV10" i="9"/>
  <c r="AW10" i="9"/>
  <c r="AX10" i="9"/>
  <c r="AY10" i="9"/>
  <c r="AZ10" i="9"/>
  <c r="D11" i="9"/>
  <c r="E11" i="9"/>
  <c r="F11" i="9"/>
  <c r="G11" i="9"/>
  <c r="H11" i="9"/>
  <c r="I11" i="9"/>
  <c r="J11" i="9"/>
  <c r="K11" i="9"/>
  <c r="L11" i="9"/>
  <c r="M11" i="9"/>
  <c r="N11" i="9"/>
  <c r="O11" i="9"/>
  <c r="P11" i="9"/>
  <c r="Q11" i="9"/>
  <c r="R11" i="9"/>
  <c r="S11" i="9"/>
  <c r="T11" i="9"/>
  <c r="U11" i="9"/>
  <c r="V11" i="9"/>
  <c r="W11" i="9"/>
  <c r="X11" i="9"/>
  <c r="Y11" i="9"/>
  <c r="Z11" i="9"/>
  <c r="AA11" i="9"/>
  <c r="AB11" i="9"/>
  <c r="AC11" i="9"/>
  <c r="AD11" i="9"/>
  <c r="AE11" i="9"/>
  <c r="AF11" i="9"/>
  <c r="AG11" i="9"/>
  <c r="AH11" i="9"/>
  <c r="AI11" i="9"/>
  <c r="AJ11" i="9"/>
  <c r="AK11" i="9"/>
  <c r="AL11" i="9"/>
  <c r="AM11" i="9"/>
  <c r="AN11" i="9"/>
  <c r="AO11" i="9"/>
  <c r="AP11" i="9"/>
  <c r="AQ11" i="9"/>
  <c r="AR11" i="9"/>
  <c r="AS11" i="9"/>
  <c r="AT11" i="9"/>
  <c r="AU11" i="9"/>
  <c r="AV11" i="9"/>
  <c r="AW11" i="9"/>
  <c r="AX11" i="9"/>
  <c r="AY11" i="9"/>
  <c r="AZ11" i="9"/>
  <c r="D12" i="9"/>
  <c r="E12" i="9"/>
  <c r="F12" i="9"/>
  <c r="G12" i="9"/>
  <c r="H12" i="9"/>
  <c r="I12" i="9"/>
  <c r="J12" i="9"/>
  <c r="K12" i="9"/>
  <c r="L12" i="9"/>
  <c r="M12" i="9"/>
  <c r="N12" i="9"/>
  <c r="O12" i="9"/>
  <c r="P12" i="9"/>
  <c r="Q12" i="9"/>
  <c r="R12" i="9"/>
  <c r="S12" i="9"/>
  <c r="T12" i="9"/>
  <c r="U12" i="9"/>
  <c r="V12" i="9"/>
  <c r="W12" i="9"/>
  <c r="X12" i="9"/>
  <c r="Y12" i="9"/>
  <c r="Z12" i="9"/>
  <c r="AA12" i="9"/>
  <c r="AB12" i="9"/>
  <c r="AC12" i="9"/>
  <c r="AD12" i="9"/>
  <c r="AE12" i="9"/>
  <c r="AF12" i="9"/>
  <c r="AG12" i="9"/>
  <c r="AH12" i="9"/>
  <c r="AI12" i="9"/>
  <c r="AJ12" i="9"/>
  <c r="AK12" i="9"/>
  <c r="AL12" i="9"/>
  <c r="AM12" i="9"/>
  <c r="AN12" i="9"/>
  <c r="AO12" i="9"/>
  <c r="AP12" i="9"/>
  <c r="AQ12" i="9"/>
  <c r="AR12" i="9"/>
  <c r="AS12" i="9"/>
  <c r="AT12" i="9"/>
  <c r="AU12" i="9"/>
  <c r="AV12" i="9"/>
  <c r="AW12" i="9"/>
  <c r="AX12" i="9"/>
  <c r="AY12" i="9"/>
  <c r="AZ12" i="9"/>
  <c r="D13" i="9"/>
  <c r="E13" i="9"/>
  <c r="F13" i="9"/>
  <c r="G13" i="9"/>
  <c r="H13" i="9"/>
  <c r="I13" i="9"/>
  <c r="J13" i="9"/>
  <c r="K13" i="9"/>
  <c r="L13" i="9"/>
  <c r="M13" i="9"/>
  <c r="N13" i="9"/>
  <c r="O13" i="9"/>
  <c r="P13" i="9"/>
  <c r="Q13" i="9"/>
  <c r="R13" i="9"/>
  <c r="S13" i="9"/>
  <c r="T13" i="9"/>
  <c r="U13" i="9"/>
  <c r="V13" i="9"/>
  <c r="W13" i="9"/>
  <c r="X13" i="9"/>
  <c r="Y13" i="9"/>
  <c r="Z13" i="9"/>
  <c r="AA13" i="9"/>
  <c r="AB13" i="9"/>
  <c r="AC13" i="9"/>
  <c r="AD13" i="9"/>
  <c r="AE13" i="9"/>
  <c r="AF13" i="9"/>
  <c r="AG13" i="9"/>
  <c r="AH13" i="9"/>
  <c r="AI13" i="9"/>
  <c r="AJ13" i="9"/>
  <c r="AK13" i="9"/>
  <c r="AL13" i="9"/>
  <c r="AM13" i="9"/>
  <c r="AN13" i="9"/>
  <c r="AO13" i="9"/>
  <c r="AP13" i="9"/>
  <c r="AQ13" i="9"/>
  <c r="AR13" i="9"/>
  <c r="AS13" i="9"/>
  <c r="AT13" i="9"/>
  <c r="AU13" i="9"/>
  <c r="AV13" i="9"/>
  <c r="AW13" i="9"/>
  <c r="AX13" i="9"/>
  <c r="AY13" i="9"/>
  <c r="AZ13" i="9"/>
  <c r="D14" i="9"/>
  <c r="E14" i="9"/>
  <c r="F14" i="9"/>
  <c r="G14" i="9"/>
  <c r="H14" i="9"/>
  <c r="I14" i="9"/>
  <c r="J14" i="9"/>
  <c r="K14" i="9"/>
  <c r="L14" i="9"/>
  <c r="M14" i="9"/>
  <c r="N14" i="9"/>
  <c r="O14" i="9"/>
  <c r="P14" i="9"/>
  <c r="Q14" i="9"/>
  <c r="R14" i="9"/>
  <c r="S14" i="9"/>
  <c r="T14" i="9"/>
  <c r="U14" i="9"/>
  <c r="V14" i="9"/>
  <c r="W14" i="9"/>
  <c r="X14" i="9"/>
  <c r="Y14" i="9"/>
  <c r="Z14" i="9"/>
  <c r="AA14" i="9"/>
  <c r="AB14" i="9"/>
  <c r="AC14" i="9"/>
  <c r="AD14" i="9"/>
  <c r="AE14" i="9"/>
  <c r="AF14" i="9"/>
  <c r="AG14" i="9"/>
  <c r="AH14" i="9"/>
  <c r="AI14" i="9"/>
  <c r="AJ14" i="9"/>
  <c r="AK14" i="9"/>
  <c r="AL14" i="9"/>
  <c r="AM14" i="9"/>
  <c r="AN14" i="9"/>
  <c r="AO14" i="9"/>
  <c r="AP14" i="9"/>
  <c r="AQ14" i="9"/>
  <c r="AR14" i="9"/>
  <c r="AS14" i="9"/>
  <c r="AT14" i="9"/>
  <c r="AU14" i="9"/>
  <c r="AV14" i="9"/>
  <c r="AW14" i="9"/>
  <c r="AX14" i="9"/>
  <c r="AY14" i="9"/>
  <c r="AZ14" i="9"/>
  <c r="D15" i="9"/>
  <c r="E15" i="9"/>
  <c r="F15" i="9"/>
  <c r="G15" i="9"/>
  <c r="H15" i="9"/>
  <c r="I15" i="9"/>
  <c r="J15" i="9"/>
  <c r="K15" i="9"/>
  <c r="L15" i="9"/>
  <c r="M15" i="9"/>
  <c r="N15" i="9"/>
  <c r="O15" i="9"/>
  <c r="P15" i="9"/>
  <c r="Q15" i="9"/>
  <c r="R15" i="9"/>
  <c r="S15" i="9"/>
  <c r="T15" i="9"/>
  <c r="U15" i="9"/>
  <c r="V15" i="9"/>
  <c r="W15" i="9"/>
  <c r="X15" i="9"/>
  <c r="Y15" i="9"/>
  <c r="Z15" i="9"/>
  <c r="AA15" i="9"/>
  <c r="AB15" i="9"/>
  <c r="AC15" i="9"/>
  <c r="AD15" i="9"/>
  <c r="AE15" i="9"/>
  <c r="AF15" i="9"/>
  <c r="AG15" i="9"/>
  <c r="AH15" i="9"/>
  <c r="AI15" i="9"/>
  <c r="AJ15" i="9"/>
  <c r="AK15" i="9"/>
  <c r="AL15" i="9"/>
  <c r="AM15" i="9"/>
  <c r="AN15" i="9"/>
  <c r="AO15" i="9"/>
  <c r="AP15" i="9"/>
  <c r="AQ15" i="9"/>
  <c r="AR15" i="9"/>
  <c r="AS15" i="9"/>
  <c r="AT15" i="9"/>
  <c r="AU15" i="9"/>
  <c r="AV15" i="9"/>
  <c r="AW15" i="9"/>
  <c r="AX15" i="9"/>
  <c r="AY15" i="9"/>
  <c r="AZ15" i="9"/>
  <c r="D16" i="9"/>
  <c r="E16" i="9"/>
  <c r="F16" i="9"/>
  <c r="G16" i="9"/>
  <c r="H16" i="9"/>
  <c r="I16" i="9"/>
  <c r="J16" i="9"/>
  <c r="K16" i="9"/>
  <c r="L16" i="9"/>
  <c r="M16" i="9"/>
  <c r="N16" i="9"/>
  <c r="O16" i="9"/>
  <c r="P16" i="9"/>
  <c r="Q16" i="9"/>
  <c r="R16" i="9"/>
  <c r="S16" i="9"/>
  <c r="T16" i="9"/>
  <c r="U16" i="9"/>
  <c r="V16" i="9"/>
  <c r="W16" i="9"/>
  <c r="X16" i="9"/>
  <c r="Y16" i="9"/>
  <c r="Z16" i="9"/>
  <c r="AA16" i="9"/>
  <c r="AB16" i="9"/>
  <c r="AC16" i="9"/>
  <c r="AD16" i="9"/>
  <c r="AE16" i="9"/>
  <c r="AF16" i="9"/>
  <c r="AG16" i="9"/>
  <c r="AH16" i="9"/>
  <c r="AI16" i="9"/>
  <c r="AJ16" i="9"/>
  <c r="AK16" i="9"/>
  <c r="AL16" i="9"/>
  <c r="AM16" i="9"/>
  <c r="AN16" i="9"/>
  <c r="AO16" i="9"/>
  <c r="AP16" i="9"/>
  <c r="AQ16" i="9"/>
  <c r="AR16" i="9"/>
  <c r="AS16" i="9"/>
  <c r="AT16" i="9"/>
  <c r="AU16" i="9"/>
  <c r="AV16" i="9"/>
  <c r="AW16" i="9"/>
  <c r="AX16" i="9"/>
  <c r="AY16" i="9"/>
  <c r="AZ16" i="9"/>
  <c r="D17" i="9"/>
  <c r="E17" i="9"/>
  <c r="F17" i="9"/>
  <c r="G17" i="9"/>
  <c r="H17" i="9"/>
  <c r="I17" i="9"/>
  <c r="J17" i="9"/>
  <c r="K17" i="9"/>
  <c r="L17" i="9"/>
  <c r="M17" i="9"/>
  <c r="N17" i="9"/>
  <c r="O17" i="9"/>
  <c r="P17" i="9"/>
  <c r="Q17" i="9"/>
  <c r="R17" i="9"/>
  <c r="S17" i="9"/>
  <c r="T17" i="9"/>
  <c r="U17" i="9"/>
  <c r="V17" i="9"/>
  <c r="W17" i="9"/>
  <c r="X17" i="9"/>
  <c r="Y17" i="9"/>
  <c r="Z17" i="9"/>
  <c r="AA17" i="9"/>
  <c r="AB17" i="9"/>
  <c r="AC17" i="9"/>
  <c r="AD17" i="9"/>
  <c r="AE17" i="9"/>
  <c r="AF17" i="9"/>
  <c r="AG17" i="9"/>
  <c r="AH17" i="9"/>
  <c r="AI17" i="9"/>
  <c r="AJ17" i="9"/>
  <c r="AK17" i="9"/>
  <c r="AL17" i="9"/>
  <c r="AM17" i="9"/>
  <c r="AN17" i="9"/>
  <c r="AO17" i="9"/>
  <c r="AP17" i="9"/>
  <c r="AQ17" i="9"/>
  <c r="AR17" i="9"/>
  <c r="AS17" i="9"/>
  <c r="AT17" i="9"/>
  <c r="AU17" i="9"/>
  <c r="AV17" i="9"/>
  <c r="AW17" i="9"/>
  <c r="AX17" i="9"/>
  <c r="AY17" i="9"/>
  <c r="AZ17" i="9"/>
  <c r="C3" i="9"/>
  <c r="C4" i="9"/>
  <c r="C5" i="9"/>
  <c r="C6" i="9"/>
  <c r="C7" i="9"/>
  <c r="C8" i="9"/>
  <c r="C9" i="9"/>
  <c r="C10" i="9"/>
  <c r="C11" i="9"/>
  <c r="C12" i="9"/>
  <c r="C13" i="9"/>
  <c r="C14" i="9"/>
  <c r="C15" i="9"/>
  <c r="C16" i="9"/>
  <c r="C17" i="9"/>
  <c r="C2" i="9"/>
  <c r="B3" i="9"/>
  <c r="B4" i="9"/>
  <c r="B5" i="9"/>
  <c r="B6" i="9"/>
  <c r="B7" i="9"/>
  <c r="B8" i="9"/>
  <c r="B9" i="9"/>
  <c r="B10" i="9"/>
  <c r="B11" i="9"/>
  <c r="B12" i="9"/>
  <c r="B13" i="9"/>
  <c r="B14" i="9"/>
  <c r="B15" i="9"/>
  <c r="B16" i="9"/>
  <c r="B17" i="9"/>
  <c r="B2" i="9"/>
  <c r="AF2" i="11" l="1"/>
  <c r="AF3" i="11"/>
  <c r="AF4" i="11"/>
  <c r="AF5" i="11"/>
  <c r="AF6" i="11"/>
  <c r="AF7" i="11"/>
  <c r="AF8" i="11"/>
  <c r="AF9" i="11"/>
  <c r="AF10" i="11"/>
  <c r="AF11" i="11"/>
  <c r="AF12" i="11"/>
  <c r="AF13" i="11"/>
  <c r="AF14" i="11"/>
  <c r="AF15" i="11"/>
  <c r="AF16" i="11"/>
  <c r="AF17" i="11"/>
  <c r="AF2" i="10"/>
  <c r="AF3" i="10"/>
  <c r="AF4" i="10"/>
  <c r="AF5" i="10"/>
  <c r="AF6" i="10"/>
  <c r="AF7" i="10"/>
  <c r="AF8" i="10"/>
  <c r="AF9" i="10"/>
  <c r="AF10" i="10"/>
  <c r="AF11" i="10"/>
  <c r="AF12" i="10"/>
  <c r="AF13" i="10"/>
  <c r="AF14" i="10"/>
  <c r="AF15" i="10"/>
  <c r="AF16" i="10"/>
  <c r="AF17" i="10"/>
  <c r="C10" i="6" l="1"/>
  <c r="D10" i="6" s="1"/>
  <c r="E10" i="6" s="1"/>
  <c r="F10" i="6" s="1"/>
  <c r="G10" i="6" s="1"/>
  <c r="H10" i="6" s="1"/>
  <c r="I10" i="6" s="1"/>
  <c r="J10" i="6" s="1"/>
  <c r="K10" i="6" s="1"/>
  <c r="C12" i="6"/>
  <c r="D12" i="6"/>
  <c r="E12" i="6"/>
  <c r="F12" i="6" s="1"/>
  <c r="G12" i="6" s="1"/>
  <c r="H12" i="6" s="1"/>
  <c r="I12" i="6" s="1"/>
  <c r="J12" i="6" s="1"/>
  <c r="K12" i="6" s="1"/>
  <c r="C13" i="6"/>
  <c r="D13" i="6"/>
  <c r="E13" i="6" s="1"/>
  <c r="F13" i="6" s="1"/>
  <c r="G13" i="6" s="1"/>
  <c r="H13" i="6" s="1"/>
  <c r="I13" i="6" s="1"/>
  <c r="J13" i="6" s="1"/>
  <c r="K13" i="6" s="1"/>
  <c r="C14" i="6"/>
  <c r="D14" i="6" s="1"/>
  <c r="E14" i="6" s="1"/>
  <c r="F14" i="6" s="1"/>
  <c r="G14" i="6" s="1"/>
  <c r="H14" i="6" s="1"/>
  <c r="I14" i="6" s="1"/>
  <c r="J14" i="6" s="1"/>
  <c r="K14" i="6" s="1"/>
  <c r="C15" i="6"/>
  <c r="D15" i="6"/>
  <c r="E15" i="6"/>
  <c r="F15" i="6" s="1"/>
  <c r="G15" i="6" s="1"/>
  <c r="H15" i="6" s="1"/>
  <c r="I15" i="6" s="1"/>
  <c r="J15" i="6" s="1"/>
  <c r="K15" i="6" s="1"/>
  <c r="C16" i="6"/>
  <c r="D16" i="6"/>
  <c r="E16" i="6" s="1"/>
  <c r="F16" i="6" s="1"/>
  <c r="G16" i="6" s="1"/>
  <c r="H16" i="6" s="1"/>
  <c r="I16" i="6" s="1"/>
  <c r="J16" i="6" s="1"/>
  <c r="K16" i="6" s="1"/>
  <c r="C17" i="6"/>
  <c r="D17" i="6" s="1"/>
  <c r="E17" i="6" s="1"/>
  <c r="F17" i="6" s="1"/>
  <c r="G17" i="6" s="1"/>
  <c r="H17" i="6" s="1"/>
  <c r="I17" i="6" s="1"/>
  <c r="J17" i="6" s="1"/>
  <c r="K17" i="6" s="1"/>
  <c r="C9" i="6"/>
  <c r="D9" i="6" s="1"/>
  <c r="E9" i="6" s="1"/>
  <c r="F9" i="6" s="1"/>
  <c r="G9" i="6" s="1"/>
  <c r="H9" i="6" s="1"/>
  <c r="I9" i="6" s="1"/>
  <c r="J9" i="6" s="1"/>
  <c r="K9" i="6" s="1"/>
  <c r="C4" i="6"/>
  <c r="D4" i="6" s="1"/>
  <c r="E4" i="6" s="1"/>
  <c r="F4" i="6" s="1"/>
  <c r="G4" i="6" s="1"/>
  <c r="H4" i="6" s="1"/>
  <c r="I4" i="6" s="1"/>
  <c r="J4" i="6" s="1"/>
  <c r="K4" i="6" s="1"/>
  <c r="C5" i="6"/>
  <c r="D5" i="6"/>
  <c r="E5" i="6"/>
  <c r="F5" i="6"/>
  <c r="G5" i="6"/>
  <c r="H5" i="6" s="1"/>
  <c r="I5" i="6" s="1"/>
  <c r="J5" i="6" s="1"/>
  <c r="K5" i="6" s="1"/>
  <c r="C6" i="6"/>
  <c r="D6" i="6"/>
  <c r="E6" i="6"/>
  <c r="F6" i="6"/>
  <c r="G6" i="6" s="1"/>
  <c r="H6" i="6" s="1"/>
  <c r="I6" i="6" s="1"/>
  <c r="J6" i="6" s="1"/>
  <c r="K6" i="6" s="1"/>
  <c r="D2" i="6"/>
  <c r="E2" i="6" s="1"/>
  <c r="F2" i="6" s="1"/>
  <c r="G2" i="6" s="1"/>
  <c r="H2" i="6" s="1"/>
  <c r="I2" i="6" s="1"/>
  <c r="J2" i="6" s="1"/>
  <c r="K2" i="6" s="1"/>
  <c r="C2" i="6"/>
  <c r="C3" i="16"/>
  <c r="D3" i="16" s="1"/>
  <c r="C4" i="16"/>
  <c r="D4" i="16"/>
  <c r="C5" i="16"/>
  <c r="D5" i="16"/>
  <c r="C6" i="16"/>
  <c r="D6" i="16" s="1"/>
  <c r="C7" i="16"/>
  <c r="D7" i="16" s="1"/>
  <c r="C8" i="16"/>
  <c r="D8" i="16"/>
  <c r="C9" i="16"/>
  <c r="D9" i="16"/>
  <c r="C10" i="16"/>
  <c r="D10" i="16" s="1"/>
  <c r="C11" i="16"/>
  <c r="D11" i="16" s="1"/>
  <c r="C12" i="16"/>
  <c r="D12" i="16"/>
  <c r="C13" i="16"/>
  <c r="D13" i="16"/>
  <c r="C14" i="16"/>
  <c r="D14" i="16" s="1"/>
  <c r="C15" i="16"/>
  <c r="D15" i="16" s="1"/>
  <c r="C16" i="16"/>
  <c r="D16" i="16"/>
  <c r="C2" i="16"/>
  <c r="D2" i="16" l="1"/>
  <c r="C8" i="6"/>
  <c r="D8" i="6"/>
  <c r="E8" i="6"/>
  <c r="F8" i="6"/>
  <c r="G8" i="6"/>
  <c r="H8" i="6"/>
  <c r="I8" i="6"/>
  <c r="J8" i="6"/>
  <c r="K8" i="6"/>
  <c r="L8" i="6"/>
  <c r="M8" i="6"/>
  <c r="N8" i="6"/>
  <c r="O8" i="6"/>
  <c r="P8" i="6"/>
  <c r="Q8" i="6"/>
  <c r="R8" i="6"/>
  <c r="S8" i="6"/>
  <c r="T8" i="6"/>
  <c r="U8" i="6"/>
  <c r="V8" i="6"/>
  <c r="W8" i="6"/>
  <c r="X8" i="6"/>
  <c r="Y8" i="6"/>
  <c r="Z8" i="6"/>
  <c r="AA8" i="6"/>
  <c r="AB8" i="6"/>
  <c r="AC8" i="6"/>
  <c r="AD8" i="6"/>
  <c r="AE8" i="6"/>
  <c r="AF8" i="6"/>
  <c r="AG8" i="6"/>
  <c r="AH8" i="6"/>
  <c r="AI8" i="6"/>
  <c r="AJ8" i="6"/>
  <c r="AK8" i="6"/>
  <c r="AL8" i="6"/>
  <c r="AM8" i="6"/>
  <c r="AN8" i="6"/>
  <c r="AO8" i="6"/>
  <c r="AP8" i="6"/>
  <c r="AQ8" i="6"/>
  <c r="AR8" i="6"/>
  <c r="AS8" i="6"/>
  <c r="AT8" i="6"/>
  <c r="AU8" i="6"/>
  <c r="AV8" i="6"/>
  <c r="AW8" i="6"/>
  <c r="AX8" i="6"/>
  <c r="AY8" i="6"/>
  <c r="AZ8" i="6"/>
  <c r="B8" i="6"/>
  <c r="AH13" i="3" l="1"/>
  <c r="AI13" i="3"/>
  <c r="AJ13" i="3"/>
  <c r="AK13" i="3"/>
  <c r="AL13" i="3"/>
  <c r="AM13" i="3"/>
  <c r="AN13" i="3"/>
  <c r="AO13" i="3"/>
  <c r="AP13" i="3"/>
  <c r="AQ13" i="3"/>
  <c r="AR13" i="3"/>
  <c r="AS13" i="3"/>
  <c r="AT13" i="3"/>
  <c r="AU13" i="3"/>
  <c r="AV13" i="3"/>
  <c r="AW13" i="3"/>
  <c r="AX13" i="3"/>
  <c r="AY13" i="3"/>
  <c r="AZ13" i="3"/>
  <c r="BA13" i="3"/>
  <c r="AG13" i="3"/>
  <c r="AK3" i="4" l="1"/>
  <c r="AL3" i="4"/>
  <c r="AM3" i="4"/>
  <c r="AN3" i="4"/>
  <c r="AO3" i="4"/>
  <c r="AP3" i="4"/>
  <c r="AQ3" i="4"/>
  <c r="AR3" i="4"/>
  <c r="AS3" i="4"/>
  <c r="AT3" i="4"/>
  <c r="AU3" i="4"/>
  <c r="AV3" i="4"/>
  <c r="AW3" i="4"/>
  <c r="AX3" i="4"/>
  <c r="AY3" i="4"/>
  <c r="AZ3" i="4"/>
  <c r="BA3" i="4"/>
  <c r="BB3" i="4"/>
  <c r="BC3" i="4"/>
  <c r="AJ3" i="4"/>
  <c r="B12" i="16" l="1"/>
  <c r="B5" i="6"/>
  <c r="C4" i="12"/>
  <c r="D4" i="12"/>
  <c r="E4" i="12"/>
  <c r="F4" i="12"/>
  <c r="G4" i="12"/>
  <c r="H4" i="12"/>
  <c r="I4" i="12"/>
  <c r="J4" i="12"/>
  <c r="K4" i="12"/>
  <c r="L4" i="12"/>
  <c r="M4" i="12"/>
  <c r="N4" i="12"/>
  <c r="O4" i="12"/>
  <c r="P4" i="12"/>
  <c r="Q4" i="12"/>
  <c r="R4" i="12"/>
  <c r="S4" i="12"/>
  <c r="T4" i="12"/>
  <c r="U4" i="12"/>
  <c r="V4" i="12"/>
  <c r="W4" i="12"/>
  <c r="X4" i="12"/>
  <c r="Y4" i="12"/>
  <c r="Z4" i="12"/>
  <c r="AA4" i="12"/>
  <c r="AB4" i="12"/>
  <c r="AC4" i="12"/>
  <c r="AD4" i="12"/>
  <c r="AE4" i="12"/>
  <c r="AF4" i="12"/>
  <c r="AG4" i="12"/>
  <c r="B4" i="12"/>
  <c r="AF3" i="6"/>
  <c r="L4" i="6"/>
  <c r="L4" i="8" s="1"/>
  <c r="AF4" i="6"/>
  <c r="AF4" i="8" s="1"/>
  <c r="AF5" i="6"/>
  <c r="AF5" i="8" s="1"/>
  <c r="L6" i="6"/>
  <c r="AF6" i="6"/>
  <c r="AF6" i="8" s="1"/>
  <c r="L10" i="6"/>
  <c r="AF10" i="6"/>
  <c r="AF10" i="8" s="1"/>
  <c r="L14" i="6"/>
  <c r="AF14" i="6"/>
  <c r="AF14" i="8" s="1"/>
  <c r="AF17" i="6"/>
  <c r="AF17" i="8" s="1"/>
  <c r="AF9" i="6"/>
  <c r="AF9" i="8" s="1"/>
  <c r="AF11" i="6"/>
  <c r="AF11" i="8" s="1"/>
  <c r="L11" i="6"/>
  <c r="AF2" i="6"/>
  <c r="AF2" i="8" s="1"/>
  <c r="B4" i="6"/>
  <c r="B10" i="6"/>
  <c r="B17" i="6"/>
  <c r="B17" i="8" s="1"/>
  <c r="L17" i="6"/>
  <c r="B14" i="6"/>
  <c r="L5" i="6"/>
  <c r="AF16" i="6"/>
  <c r="B15" i="6"/>
  <c r="L9" i="6"/>
  <c r="B9" i="6"/>
  <c r="B7" i="6"/>
  <c r="B6" i="6"/>
  <c r="AE17" i="10"/>
  <c r="AD17" i="10"/>
  <c r="AC17" i="10"/>
  <c r="AB17" i="10"/>
  <c r="AA17" i="10"/>
  <c r="Z17" i="10"/>
  <c r="Y17" i="10"/>
  <c r="X17" i="10"/>
  <c r="W17" i="10"/>
  <c r="V17" i="10"/>
  <c r="U17" i="10"/>
  <c r="T17" i="10"/>
  <c r="S17" i="10"/>
  <c r="R17" i="10"/>
  <c r="Q17" i="10"/>
  <c r="P17" i="10"/>
  <c r="O17" i="10"/>
  <c r="N17" i="10"/>
  <c r="M17" i="10"/>
  <c r="L17" i="10"/>
  <c r="K17" i="10"/>
  <c r="J17" i="10"/>
  <c r="I17" i="10"/>
  <c r="H17" i="10"/>
  <c r="G17" i="10"/>
  <c r="F17" i="10"/>
  <c r="E17" i="10"/>
  <c r="D17" i="10"/>
  <c r="C17" i="10"/>
  <c r="AE16" i="10"/>
  <c r="AD16" i="10"/>
  <c r="AC16" i="10"/>
  <c r="AB16" i="10"/>
  <c r="AA16" i="10"/>
  <c r="Z16" i="10"/>
  <c r="Y16" i="10"/>
  <c r="X16" i="10"/>
  <c r="W16" i="10"/>
  <c r="V16" i="10"/>
  <c r="U16" i="10"/>
  <c r="T16" i="10"/>
  <c r="S16" i="10"/>
  <c r="R16" i="10"/>
  <c r="Q16" i="10"/>
  <c r="P16" i="10"/>
  <c r="O16" i="10"/>
  <c r="N16" i="10"/>
  <c r="M16" i="10"/>
  <c r="L16" i="10"/>
  <c r="K16" i="10"/>
  <c r="J16" i="10"/>
  <c r="I16" i="10"/>
  <c r="H16" i="10"/>
  <c r="G16" i="10"/>
  <c r="F16" i="10"/>
  <c r="E16" i="10"/>
  <c r="D16" i="10"/>
  <c r="C16" i="10"/>
  <c r="AE15" i="10"/>
  <c r="AD15" i="10"/>
  <c r="AC15" i="10"/>
  <c r="AB15" i="10"/>
  <c r="AA15" i="10"/>
  <c r="Z15" i="10"/>
  <c r="Y15" i="10"/>
  <c r="X15" i="10"/>
  <c r="W15" i="10"/>
  <c r="V15" i="10"/>
  <c r="U15" i="10"/>
  <c r="T15" i="10"/>
  <c r="S15" i="10"/>
  <c r="R15" i="10"/>
  <c r="Q15" i="10"/>
  <c r="P15" i="10"/>
  <c r="O15" i="10"/>
  <c r="N15" i="10"/>
  <c r="M15" i="10"/>
  <c r="L15" i="10"/>
  <c r="K15" i="10"/>
  <c r="J15" i="10"/>
  <c r="I15" i="10"/>
  <c r="H15" i="10"/>
  <c r="G15" i="10"/>
  <c r="F15" i="10"/>
  <c r="E15" i="10"/>
  <c r="D15" i="10"/>
  <c r="C15" i="10"/>
  <c r="AE14" i="10"/>
  <c r="AD14" i="10"/>
  <c r="AC14" i="10"/>
  <c r="AB14" i="10"/>
  <c r="AA14" i="10"/>
  <c r="Z14" i="10"/>
  <c r="Y14" i="10"/>
  <c r="X14" i="10"/>
  <c r="W14" i="10"/>
  <c r="V14" i="10"/>
  <c r="U14" i="10"/>
  <c r="T14" i="10"/>
  <c r="S14" i="10"/>
  <c r="R14" i="10"/>
  <c r="Q14" i="10"/>
  <c r="P14" i="10"/>
  <c r="O14" i="10"/>
  <c r="N14" i="10"/>
  <c r="M14" i="10"/>
  <c r="L14" i="10"/>
  <c r="K14" i="10"/>
  <c r="J14" i="10"/>
  <c r="I14" i="10"/>
  <c r="H14" i="10"/>
  <c r="G14" i="10"/>
  <c r="F14" i="10"/>
  <c r="E14" i="10"/>
  <c r="D14" i="10"/>
  <c r="C14" i="10"/>
  <c r="AE13" i="10"/>
  <c r="AD13" i="10"/>
  <c r="AC13" i="10"/>
  <c r="AB13" i="10"/>
  <c r="AA13" i="10"/>
  <c r="Z13" i="10"/>
  <c r="Y13" i="10"/>
  <c r="X13" i="10"/>
  <c r="W13" i="10"/>
  <c r="V13" i="10"/>
  <c r="U13" i="10"/>
  <c r="T13" i="10"/>
  <c r="S13" i="10"/>
  <c r="R13" i="10"/>
  <c r="Q13" i="10"/>
  <c r="P13" i="10"/>
  <c r="O13" i="10"/>
  <c r="N13" i="10"/>
  <c r="M13" i="10"/>
  <c r="L13" i="10"/>
  <c r="K13" i="10"/>
  <c r="J13" i="10"/>
  <c r="I13" i="10"/>
  <c r="H13" i="10"/>
  <c r="G13" i="10"/>
  <c r="F13" i="10"/>
  <c r="E13" i="10"/>
  <c r="D13" i="10"/>
  <c r="C13" i="10"/>
  <c r="AE12" i="10"/>
  <c r="AD12" i="10"/>
  <c r="AC12" i="10"/>
  <c r="AB12" i="10"/>
  <c r="AA12" i="10"/>
  <c r="Z12" i="10"/>
  <c r="Y12" i="10"/>
  <c r="X12" i="10"/>
  <c r="W12" i="10"/>
  <c r="V12" i="10"/>
  <c r="U12" i="10"/>
  <c r="T12" i="10"/>
  <c r="S12" i="10"/>
  <c r="R12" i="10"/>
  <c r="Q12" i="10"/>
  <c r="P12" i="10"/>
  <c r="O12" i="10"/>
  <c r="N12" i="10"/>
  <c r="M12" i="10"/>
  <c r="L12" i="10"/>
  <c r="K12" i="10"/>
  <c r="J12" i="10"/>
  <c r="I12" i="10"/>
  <c r="H12" i="10"/>
  <c r="G12" i="10"/>
  <c r="F12" i="10"/>
  <c r="E12" i="10"/>
  <c r="D12" i="10"/>
  <c r="C12" i="10"/>
  <c r="AE11" i="10"/>
  <c r="AD11" i="10"/>
  <c r="AC11" i="10"/>
  <c r="AB11" i="10"/>
  <c r="AA11" i="10"/>
  <c r="Z11" i="10"/>
  <c r="Y11" i="10"/>
  <c r="X11" i="10"/>
  <c r="W11" i="10"/>
  <c r="V11" i="10"/>
  <c r="U11" i="10"/>
  <c r="T11" i="10"/>
  <c r="S11" i="10"/>
  <c r="R11" i="10"/>
  <c r="Q11" i="10"/>
  <c r="P11" i="10"/>
  <c r="O11" i="10"/>
  <c r="N11" i="10"/>
  <c r="M11" i="10"/>
  <c r="L11" i="10"/>
  <c r="K11" i="10"/>
  <c r="J11" i="10"/>
  <c r="I11" i="10"/>
  <c r="H11" i="10"/>
  <c r="G11" i="10"/>
  <c r="F11" i="10"/>
  <c r="E11" i="10"/>
  <c r="D11" i="10"/>
  <c r="C11" i="10"/>
  <c r="AE10" i="10"/>
  <c r="AD10" i="10"/>
  <c r="AC10" i="10"/>
  <c r="AB10" i="10"/>
  <c r="AA10" i="10"/>
  <c r="Z10" i="10"/>
  <c r="Y10" i="10"/>
  <c r="X10" i="10"/>
  <c r="W10" i="10"/>
  <c r="V10" i="10"/>
  <c r="U10" i="10"/>
  <c r="T10" i="10"/>
  <c r="S10" i="10"/>
  <c r="R10" i="10"/>
  <c r="Q10" i="10"/>
  <c r="P10" i="10"/>
  <c r="O10" i="10"/>
  <c r="N10" i="10"/>
  <c r="M10" i="10"/>
  <c r="L10" i="10"/>
  <c r="K10" i="10"/>
  <c r="J10" i="10"/>
  <c r="I10" i="10"/>
  <c r="H10" i="10"/>
  <c r="G10" i="10"/>
  <c r="F10" i="10"/>
  <c r="E10" i="10"/>
  <c r="D10" i="10"/>
  <c r="C10" i="10"/>
  <c r="AE9" i="10"/>
  <c r="AD9" i="10"/>
  <c r="AC9" i="10"/>
  <c r="AB9" i="10"/>
  <c r="AA9" i="10"/>
  <c r="Z9" i="10"/>
  <c r="Y9" i="10"/>
  <c r="X9" i="10"/>
  <c r="W9" i="10"/>
  <c r="V9" i="10"/>
  <c r="U9" i="10"/>
  <c r="T9" i="10"/>
  <c r="S9" i="10"/>
  <c r="R9" i="10"/>
  <c r="Q9" i="10"/>
  <c r="P9" i="10"/>
  <c r="O9" i="10"/>
  <c r="N9" i="10"/>
  <c r="M9" i="10"/>
  <c r="L9" i="10"/>
  <c r="K9" i="10"/>
  <c r="J9" i="10"/>
  <c r="I9" i="10"/>
  <c r="H9" i="10"/>
  <c r="G9" i="10"/>
  <c r="F9" i="10"/>
  <c r="E9" i="10"/>
  <c r="D9" i="10"/>
  <c r="C9" i="10"/>
  <c r="AE8" i="10"/>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AE7" i="10"/>
  <c r="AD7" i="10"/>
  <c r="AC7" i="10"/>
  <c r="AB7" i="10"/>
  <c r="AA7" i="10"/>
  <c r="Z7" i="10"/>
  <c r="Y7" i="10"/>
  <c r="X7" i="10"/>
  <c r="W7" i="10"/>
  <c r="V7" i="10"/>
  <c r="U7" i="10"/>
  <c r="T7" i="10"/>
  <c r="S7" i="10"/>
  <c r="R7" i="10"/>
  <c r="Q7" i="10"/>
  <c r="P7" i="10"/>
  <c r="O7" i="10"/>
  <c r="N7" i="10"/>
  <c r="M7" i="10"/>
  <c r="L7" i="10"/>
  <c r="K7" i="10"/>
  <c r="J7" i="10"/>
  <c r="I7" i="10"/>
  <c r="H7" i="10"/>
  <c r="G7" i="10"/>
  <c r="F7" i="10"/>
  <c r="E7" i="10"/>
  <c r="D7" i="10"/>
  <c r="C7" i="10"/>
  <c r="AE6" i="10"/>
  <c r="AD6" i="10"/>
  <c r="AC6" i="10"/>
  <c r="AB6" i="10"/>
  <c r="AA6" i="10"/>
  <c r="Z6" i="10"/>
  <c r="Y6" i="10"/>
  <c r="X6" i="10"/>
  <c r="W6" i="10"/>
  <c r="V6" i="10"/>
  <c r="U6" i="10"/>
  <c r="T6" i="10"/>
  <c r="S6" i="10"/>
  <c r="R6" i="10"/>
  <c r="Q6" i="10"/>
  <c r="P6" i="10"/>
  <c r="O6" i="10"/>
  <c r="N6" i="10"/>
  <c r="M6" i="10"/>
  <c r="L6" i="10"/>
  <c r="K6" i="10"/>
  <c r="J6" i="10"/>
  <c r="I6" i="10"/>
  <c r="H6" i="10"/>
  <c r="G6" i="10"/>
  <c r="F6" i="10"/>
  <c r="E6" i="10"/>
  <c r="D6" i="10"/>
  <c r="C6" i="10"/>
  <c r="AE5" i="10"/>
  <c r="AD5" i="10"/>
  <c r="AC5" i="10"/>
  <c r="AB5" i="10"/>
  <c r="AA5" i="10"/>
  <c r="Z5" i="10"/>
  <c r="Y5" i="10"/>
  <c r="X5" i="10"/>
  <c r="W5" i="10"/>
  <c r="V5" i="10"/>
  <c r="U5" i="10"/>
  <c r="T5" i="10"/>
  <c r="S5" i="10"/>
  <c r="R5" i="10"/>
  <c r="Q5" i="10"/>
  <c r="P5" i="10"/>
  <c r="O5" i="10"/>
  <c r="N5" i="10"/>
  <c r="M5" i="10"/>
  <c r="L5" i="10"/>
  <c r="K5" i="10"/>
  <c r="J5" i="10"/>
  <c r="I5" i="10"/>
  <c r="H5" i="10"/>
  <c r="G5" i="10"/>
  <c r="F5" i="10"/>
  <c r="E5" i="10"/>
  <c r="D5" i="10"/>
  <c r="C5" i="10"/>
  <c r="AE4" i="10"/>
  <c r="AD4" i="10"/>
  <c r="AC4" i="10"/>
  <c r="AB4" i="10"/>
  <c r="AA4" i="10"/>
  <c r="Z4" i="10"/>
  <c r="Y4" i="10"/>
  <c r="X4" i="10"/>
  <c r="W4" i="10"/>
  <c r="V4" i="10"/>
  <c r="U4" i="10"/>
  <c r="T4" i="10"/>
  <c r="S4" i="10"/>
  <c r="R4" i="10"/>
  <c r="Q4" i="10"/>
  <c r="P4" i="10"/>
  <c r="O4" i="10"/>
  <c r="N4" i="10"/>
  <c r="M4" i="10"/>
  <c r="L4" i="10"/>
  <c r="K4" i="10"/>
  <c r="J4" i="10"/>
  <c r="I4" i="10"/>
  <c r="H4" i="10"/>
  <c r="G4" i="10"/>
  <c r="F4" i="10"/>
  <c r="E4" i="10"/>
  <c r="D4" i="10"/>
  <c r="C4" i="10"/>
  <c r="AE3" i="10"/>
  <c r="AD3" i="10"/>
  <c r="AC3" i="10"/>
  <c r="AB3" i="10"/>
  <c r="AA3" i="10"/>
  <c r="Z3" i="10"/>
  <c r="Y3" i="10"/>
  <c r="X3" i="10"/>
  <c r="W3" i="10"/>
  <c r="V3" i="10"/>
  <c r="U3" i="10"/>
  <c r="T3" i="10"/>
  <c r="S3" i="10"/>
  <c r="R3" i="10"/>
  <c r="Q3" i="10"/>
  <c r="P3" i="10"/>
  <c r="O3" i="10"/>
  <c r="N3" i="10"/>
  <c r="M3" i="10"/>
  <c r="L3" i="10"/>
  <c r="K3" i="10"/>
  <c r="J3" i="10"/>
  <c r="I3" i="10"/>
  <c r="H3" i="10"/>
  <c r="G3" i="10"/>
  <c r="F3" i="10"/>
  <c r="E3" i="10"/>
  <c r="D3" i="10"/>
  <c r="C3" i="10"/>
  <c r="AE2" i="10"/>
  <c r="AD2" i="10"/>
  <c r="AC2" i="10"/>
  <c r="AB2" i="10"/>
  <c r="AA2" i="10"/>
  <c r="Z2" i="10"/>
  <c r="Y2" i="10"/>
  <c r="X2" i="10"/>
  <c r="W2" i="10"/>
  <c r="V2" i="10"/>
  <c r="U2" i="10"/>
  <c r="T2" i="10"/>
  <c r="S2" i="10"/>
  <c r="R2" i="10"/>
  <c r="Q2" i="10"/>
  <c r="P2" i="10"/>
  <c r="O2" i="10"/>
  <c r="N2" i="10"/>
  <c r="M2" i="10"/>
  <c r="L2" i="10"/>
  <c r="K2" i="10"/>
  <c r="J2" i="10"/>
  <c r="I2" i="10"/>
  <c r="H2" i="10"/>
  <c r="G2" i="10"/>
  <c r="F2" i="10"/>
  <c r="E2" i="10"/>
  <c r="D2" i="10"/>
  <c r="C2" i="10"/>
  <c r="B8" i="3"/>
  <c r="B7" i="3"/>
  <c r="L16" i="6" l="1"/>
  <c r="B12" i="6"/>
  <c r="B12" i="8" s="1"/>
  <c r="B13" i="6"/>
  <c r="C7" i="6"/>
  <c r="D7" i="6" s="1"/>
  <c r="E7" i="6" s="1"/>
  <c r="F7" i="6" s="1"/>
  <c r="G7" i="6" s="1"/>
  <c r="H7" i="6" s="1"/>
  <c r="I7" i="6" s="1"/>
  <c r="J7" i="6" s="1"/>
  <c r="K7" i="6" s="1"/>
  <c r="L7" i="6" s="1"/>
  <c r="M7" i="6" s="1"/>
  <c r="N7" i="6" s="1"/>
  <c r="O7" i="6" s="1"/>
  <c r="P7" i="6" s="1"/>
  <c r="Q7" i="6" s="1"/>
  <c r="R7" i="6" s="1"/>
  <c r="S7" i="6" s="1"/>
  <c r="T7" i="6" s="1"/>
  <c r="U7" i="6" s="1"/>
  <c r="V7" i="6" s="1"/>
  <c r="W7" i="6" s="1"/>
  <c r="X7" i="6" s="1"/>
  <c r="Y7" i="6" s="1"/>
  <c r="Z7" i="6" s="1"/>
  <c r="AA7" i="6" s="1"/>
  <c r="AB7" i="6" s="1"/>
  <c r="AC7" i="6" s="1"/>
  <c r="AD7" i="6" s="1"/>
  <c r="AE7" i="6" s="1"/>
  <c r="AF7" i="6" s="1"/>
  <c r="AG7" i="6" s="1"/>
  <c r="AH7" i="6" s="1"/>
  <c r="AI7" i="6" s="1"/>
  <c r="AJ7" i="6" s="1"/>
  <c r="AK7" i="6" s="1"/>
  <c r="AL7" i="6" s="1"/>
  <c r="AM7" i="6" s="1"/>
  <c r="AN7" i="6" s="1"/>
  <c r="AO7" i="6" s="1"/>
  <c r="AP7" i="6" s="1"/>
  <c r="AQ7" i="6" s="1"/>
  <c r="AR7" i="6" s="1"/>
  <c r="AS7" i="6" s="1"/>
  <c r="AT7" i="6" s="1"/>
  <c r="AU7" i="6" s="1"/>
  <c r="AV7" i="6" s="1"/>
  <c r="AW7" i="6" s="1"/>
  <c r="AX7" i="6" s="1"/>
  <c r="AY7" i="6" s="1"/>
  <c r="AZ7" i="6" s="1"/>
  <c r="B3" i="6"/>
  <c r="P6" i="6"/>
  <c r="P6" i="8" s="1"/>
  <c r="B2" i="6"/>
  <c r="L3" i="6"/>
  <c r="S3" i="6" s="1"/>
  <c r="S3" i="8" s="1"/>
  <c r="L2" i="6"/>
  <c r="L2" i="8" s="1"/>
  <c r="X3" i="11"/>
  <c r="E17" i="11"/>
  <c r="H15" i="11"/>
  <c r="J13" i="11"/>
  <c r="J9" i="11"/>
  <c r="G7" i="11"/>
  <c r="B13" i="11"/>
  <c r="B9" i="11"/>
  <c r="B5" i="11"/>
  <c r="U8" i="11"/>
  <c r="AA12" i="11"/>
  <c r="X6" i="11"/>
  <c r="E10" i="11"/>
  <c r="C5" i="8"/>
  <c r="B12" i="11"/>
  <c r="B10" i="11"/>
  <c r="B8" i="11"/>
  <c r="B6" i="11"/>
  <c r="B4" i="11"/>
  <c r="AE7" i="11"/>
  <c r="G14" i="8"/>
  <c r="T11" i="6"/>
  <c r="T11" i="8" s="1"/>
  <c r="C4" i="8"/>
  <c r="N16" i="6"/>
  <c r="N16" i="8" s="1"/>
  <c r="AF16" i="8"/>
  <c r="S16" i="6"/>
  <c r="S16" i="8" s="1"/>
  <c r="AD16" i="6"/>
  <c r="AD16" i="8" s="1"/>
  <c r="Y16" i="6"/>
  <c r="Y16" i="8" s="1"/>
  <c r="C6" i="8"/>
  <c r="B6" i="8"/>
  <c r="D6" i="8"/>
  <c r="B7" i="8"/>
  <c r="D10" i="8"/>
  <c r="W14" i="6"/>
  <c r="W14" i="8" s="1"/>
  <c r="U6" i="6"/>
  <c r="U6" i="8" s="1"/>
  <c r="AC6" i="6"/>
  <c r="L6" i="8"/>
  <c r="S6" i="6"/>
  <c r="S6" i="8" s="1"/>
  <c r="AB6" i="6"/>
  <c r="AB6" i="8" s="1"/>
  <c r="T6" i="6"/>
  <c r="T6" i="8" s="1"/>
  <c r="AD6" i="6"/>
  <c r="AD6" i="8" s="1"/>
  <c r="Q6" i="6"/>
  <c r="Q6" i="8" s="1"/>
  <c r="Z6" i="6"/>
  <c r="Z6" i="8" s="1"/>
  <c r="X6" i="6"/>
  <c r="X6" i="8" s="1"/>
  <c r="AA6" i="6"/>
  <c r="AA6" i="8" s="1"/>
  <c r="Y6" i="6"/>
  <c r="Y6" i="8" s="1"/>
  <c r="N6" i="6"/>
  <c r="N6" i="8" s="1"/>
  <c r="O6" i="6"/>
  <c r="O6" i="8" s="1"/>
  <c r="AE6" i="6"/>
  <c r="AE6" i="8" s="1"/>
  <c r="M6" i="6"/>
  <c r="M6" i="8" s="1"/>
  <c r="R6" i="6"/>
  <c r="R6" i="8" s="1"/>
  <c r="V6" i="6"/>
  <c r="V6" i="8" s="1"/>
  <c r="W6" i="6"/>
  <c r="W6" i="8" s="1"/>
  <c r="O7" i="8"/>
  <c r="P7" i="8"/>
  <c r="U10" i="6"/>
  <c r="U10" i="8" s="1"/>
  <c r="AC10" i="6"/>
  <c r="T10" i="6"/>
  <c r="T10" i="8" s="1"/>
  <c r="AD10" i="6"/>
  <c r="AD10" i="8" s="1"/>
  <c r="M10" i="6"/>
  <c r="M10" i="8" s="1"/>
  <c r="V10" i="6"/>
  <c r="V10" i="8" s="1"/>
  <c r="AE10" i="6"/>
  <c r="AE10" i="8" s="1"/>
  <c r="L10" i="8"/>
  <c r="R10" i="6"/>
  <c r="R10" i="8" s="1"/>
  <c r="AA10" i="6"/>
  <c r="AA10" i="8" s="1"/>
  <c r="Y10" i="6"/>
  <c r="Y10" i="8" s="1"/>
  <c r="N10" i="6"/>
  <c r="N10" i="8" s="1"/>
  <c r="Z10" i="6"/>
  <c r="Z10" i="8" s="1"/>
  <c r="O10" i="6"/>
  <c r="O10" i="8" s="1"/>
  <c r="AB10" i="6"/>
  <c r="AB10" i="8" s="1"/>
  <c r="P10" i="6"/>
  <c r="P10" i="8" s="1"/>
  <c r="Q10" i="6"/>
  <c r="Q10" i="8" s="1"/>
  <c r="S10" i="6"/>
  <c r="S10" i="8" s="1"/>
  <c r="W10" i="6"/>
  <c r="W10" i="8" s="1"/>
  <c r="X10" i="6"/>
  <c r="X10" i="8" s="1"/>
  <c r="L5" i="8"/>
  <c r="O5" i="6"/>
  <c r="O5" i="8" s="1"/>
  <c r="W5" i="6"/>
  <c r="W5" i="8" s="1"/>
  <c r="AE5" i="6"/>
  <c r="AE5" i="8" s="1"/>
  <c r="P5" i="6"/>
  <c r="P5" i="8" s="1"/>
  <c r="S5" i="6"/>
  <c r="S5" i="8" s="1"/>
  <c r="AB5" i="6"/>
  <c r="AB5" i="8" s="1"/>
  <c r="T5" i="6"/>
  <c r="T5" i="8" s="1"/>
  <c r="AC5" i="6"/>
  <c r="Q5" i="6"/>
  <c r="Q5" i="8" s="1"/>
  <c r="Z5" i="6"/>
  <c r="Z5" i="8" s="1"/>
  <c r="AA5" i="6"/>
  <c r="AA5" i="8" s="1"/>
  <c r="AD5" i="6"/>
  <c r="AD5" i="8" s="1"/>
  <c r="N5" i="6"/>
  <c r="N5" i="8" s="1"/>
  <c r="M5" i="6"/>
  <c r="M5" i="8" s="1"/>
  <c r="R5" i="6"/>
  <c r="R5" i="8" s="1"/>
  <c r="U5" i="6"/>
  <c r="U5" i="8" s="1"/>
  <c r="V5" i="6"/>
  <c r="V5" i="8" s="1"/>
  <c r="X5" i="6"/>
  <c r="X5" i="8" s="1"/>
  <c r="Y5" i="6"/>
  <c r="Y5" i="8" s="1"/>
  <c r="L17" i="8"/>
  <c r="U17" i="6"/>
  <c r="U17" i="8" s="1"/>
  <c r="AC17" i="6"/>
  <c r="N17" i="6"/>
  <c r="N17" i="8" s="1"/>
  <c r="T17" i="6"/>
  <c r="T17" i="8" s="1"/>
  <c r="AD17" i="6"/>
  <c r="AD17" i="8" s="1"/>
  <c r="V17" i="6"/>
  <c r="V17" i="8" s="1"/>
  <c r="AE17" i="6"/>
  <c r="AE17" i="8" s="1"/>
  <c r="W17" i="6"/>
  <c r="W17" i="8" s="1"/>
  <c r="O17" i="6"/>
  <c r="O17" i="8" s="1"/>
  <c r="X17" i="6"/>
  <c r="X17" i="8" s="1"/>
  <c r="P17" i="6"/>
  <c r="P17" i="8" s="1"/>
  <c r="Y17" i="6"/>
  <c r="Y17" i="8" s="1"/>
  <c r="M17" i="6"/>
  <c r="M17" i="8" s="1"/>
  <c r="Q17" i="6"/>
  <c r="Q17" i="8" s="1"/>
  <c r="Z17" i="6"/>
  <c r="Z17" i="8" s="1"/>
  <c r="R17" i="6"/>
  <c r="R17" i="8" s="1"/>
  <c r="AA17" i="6"/>
  <c r="AA17" i="8" s="1"/>
  <c r="S17" i="6"/>
  <c r="S17" i="8" s="1"/>
  <c r="AB17" i="6"/>
  <c r="AB17" i="8" s="1"/>
  <c r="Y13" i="11"/>
  <c r="L13" i="11"/>
  <c r="X12" i="11"/>
  <c r="P12" i="11"/>
  <c r="Z12" i="11"/>
  <c r="N12" i="11"/>
  <c r="V12" i="11"/>
  <c r="U12" i="11"/>
  <c r="R12" i="11"/>
  <c r="O12" i="11"/>
  <c r="L5" i="11"/>
  <c r="AA5" i="11"/>
  <c r="N5" i="11"/>
  <c r="S5" i="11"/>
  <c r="W5" i="11"/>
  <c r="L10" i="11"/>
  <c r="Z10" i="11"/>
  <c r="N10" i="11"/>
  <c r="AE10" i="11"/>
  <c r="AB10" i="11"/>
  <c r="W10" i="11"/>
  <c r="E10" i="8"/>
  <c r="G10" i="8"/>
  <c r="H10" i="8"/>
  <c r="I10" i="8"/>
  <c r="J10" i="8"/>
  <c r="F10" i="8"/>
  <c r="K10" i="8"/>
  <c r="H17" i="8"/>
  <c r="E17" i="8"/>
  <c r="J17" i="8"/>
  <c r="K17" i="8"/>
  <c r="F17" i="8"/>
  <c r="G17" i="8"/>
  <c r="I17" i="8"/>
  <c r="E13" i="11"/>
  <c r="I13" i="11"/>
  <c r="H13" i="11"/>
  <c r="F5" i="11"/>
  <c r="H5" i="11"/>
  <c r="G5" i="11"/>
  <c r="E5" i="11"/>
  <c r="J5" i="11"/>
  <c r="K5" i="11"/>
  <c r="I5" i="11"/>
  <c r="N15" i="11"/>
  <c r="K6" i="8"/>
  <c r="B15" i="8"/>
  <c r="B16" i="11"/>
  <c r="C9" i="8"/>
  <c r="D9" i="8"/>
  <c r="B9" i="8"/>
  <c r="D14" i="8"/>
  <c r="B14" i="8"/>
  <c r="C14" i="8"/>
  <c r="C3" i="11"/>
  <c r="B3" i="11"/>
  <c r="D3" i="11"/>
  <c r="E16" i="8"/>
  <c r="G16" i="8"/>
  <c r="I16" i="8"/>
  <c r="F16" i="8"/>
  <c r="J16" i="8"/>
  <c r="K16" i="8"/>
  <c r="H16" i="8"/>
  <c r="H5" i="8"/>
  <c r="K9" i="8"/>
  <c r="F9" i="8"/>
  <c r="E9" i="8"/>
  <c r="H9" i="8"/>
  <c r="I9" i="8"/>
  <c r="J9" i="8"/>
  <c r="G9" i="8"/>
  <c r="O9" i="6"/>
  <c r="O9" i="8" s="1"/>
  <c r="W9" i="6"/>
  <c r="W9" i="8" s="1"/>
  <c r="AE9" i="6"/>
  <c r="AE9" i="8" s="1"/>
  <c r="T9" i="6"/>
  <c r="T9" i="8" s="1"/>
  <c r="AC9" i="6"/>
  <c r="U9" i="6"/>
  <c r="U9" i="8" s="1"/>
  <c r="AD9" i="6"/>
  <c r="AD9" i="8" s="1"/>
  <c r="R9" i="6"/>
  <c r="R9" i="8" s="1"/>
  <c r="AA9" i="6"/>
  <c r="AA9" i="8" s="1"/>
  <c r="N9" i="6"/>
  <c r="N9" i="8" s="1"/>
  <c r="AB9" i="6"/>
  <c r="AB9" i="8" s="1"/>
  <c r="P9" i="6"/>
  <c r="P9" i="8" s="1"/>
  <c r="S9" i="6"/>
  <c r="S9" i="8" s="1"/>
  <c r="V9" i="6"/>
  <c r="V9" i="8" s="1"/>
  <c r="X9" i="6"/>
  <c r="X9" i="8" s="1"/>
  <c r="Y9" i="6"/>
  <c r="Y9" i="8" s="1"/>
  <c r="M9" i="6"/>
  <c r="M9" i="8" s="1"/>
  <c r="Q9" i="6"/>
  <c r="Q9" i="8" s="1"/>
  <c r="L9" i="8"/>
  <c r="Z9" i="6"/>
  <c r="Z9" i="8" s="1"/>
  <c r="E3" i="11"/>
  <c r="I3" i="11"/>
  <c r="H3" i="11"/>
  <c r="G3" i="11"/>
  <c r="L9" i="11"/>
  <c r="T9" i="11"/>
  <c r="Y9" i="11"/>
  <c r="Q9" i="11"/>
  <c r="AE9" i="11"/>
  <c r="R9" i="11"/>
  <c r="O9" i="11"/>
  <c r="N9" i="11"/>
  <c r="AA9" i="11"/>
  <c r="Z9" i="11"/>
  <c r="X9" i="11"/>
  <c r="L17" i="11"/>
  <c r="T17" i="11"/>
  <c r="O17" i="11"/>
  <c r="C17" i="8"/>
  <c r="H7" i="11"/>
  <c r="B2" i="11"/>
  <c r="D2" i="11"/>
  <c r="I5" i="8"/>
  <c r="M11" i="6"/>
  <c r="M11" i="8" s="1"/>
  <c r="AA16" i="6"/>
  <c r="AA16" i="8" s="1"/>
  <c r="X14" i="6"/>
  <c r="X14" i="8" s="1"/>
  <c r="F15" i="11"/>
  <c r="M15" i="11"/>
  <c r="AD15" i="11"/>
  <c r="L11" i="8"/>
  <c r="S11" i="6"/>
  <c r="S11" i="8" s="1"/>
  <c r="AA11" i="6"/>
  <c r="AA11" i="8" s="1"/>
  <c r="U11" i="6"/>
  <c r="U11" i="8" s="1"/>
  <c r="AD11" i="6"/>
  <c r="AD11" i="8" s="1"/>
  <c r="V11" i="6"/>
  <c r="V11" i="8" s="1"/>
  <c r="AE11" i="6"/>
  <c r="AE11" i="8" s="1"/>
  <c r="R11" i="6"/>
  <c r="R11" i="8" s="1"/>
  <c r="AB11" i="6"/>
  <c r="AB11" i="8" s="1"/>
  <c r="AB3" i="11"/>
  <c r="T3" i="11"/>
  <c r="AA3" i="11"/>
  <c r="S3" i="11"/>
  <c r="L3" i="11"/>
  <c r="N3" i="11"/>
  <c r="M3" i="11"/>
  <c r="Z3" i="11"/>
  <c r="P3" i="11"/>
  <c r="B16" i="6"/>
  <c r="O16" i="6"/>
  <c r="O16" i="8" s="1"/>
  <c r="W16" i="6"/>
  <c r="W16" i="8" s="1"/>
  <c r="AE16" i="6"/>
  <c r="AE16" i="8" s="1"/>
  <c r="P16" i="6"/>
  <c r="P16" i="8" s="1"/>
  <c r="X16" i="6"/>
  <c r="X16" i="8" s="1"/>
  <c r="U16" i="6"/>
  <c r="U16" i="8" s="1"/>
  <c r="B10" i="8"/>
  <c r="P8" i="11"/>
  <c r="L8" i="11"/>
  <c r="AB8" i="11"/>
  <c r="T8" i="11"/>
  <c r="M8" i="11"/>
  <c r="D17" i="8"/>
  <c r="Z16" i="6"/>
  <c r="Z16" i="8" s="1"/>
  <c r="Q11" i="6"/>
  <c r="Q11" i="8" s="1"/>
  <c r="G15" i="11"/>
  <c r="AD3" i="11"/>
  <c r="V8" i="11"/>
  <c r="E7" i="11"/>
  <c r="D5" i="8"/>
  <c r="L14" i="8"/>
  <c r="S14" i="6"/>
  <c r="S14" i="8" s="1"/>
  <c r="AA14" i="6"/>
  <c r="AA14" i="8" s="1"/>
  <c r="T14" i="6"/>
  <c r="T14" i="8" s="1"/>
  <c r="AB14" i="6"/>
  <c r="AB14" i="8" s="1"/>
  <c r="Q14" i="6"/>
  <c r="Q14" i="8" s="1"/>
  <c r="Y14" i="6"/>
  <c r="Y14" i="8" s="1"/>
  <c r="AF3" i="8"/>
  <c r="AA15" i="11"/>
  <c r="S15" i="11"/>
  <c r="Z15" i="11"/>
  <c r="R15" i="11"/>
  <c r="AE15" i="11"/>
  <c r="W15" i="11"/>
  <c r="O15" i="11"/>
  <c r="U15" i="11"/>
  <c r="T15" i="11"/>
  <c r="X15" i="11"/>
  <c r="AA7" i="11"/>
  <c r="S7" i="11"/>
  <c r="Z7" i="11"/>
  <c r="R7" i="11"/>
  <c r="L7" i="11"/>
  <c r="AD7" i="11"/>
  <c r="T7" i="11"/>
  <c r="W7" i="11"/>
  <c r="M7" i="11"/>
  <c r="V14" i="6"/>
  <c r="V14" i="8" s="1"/>
  <c r="P11" i="6"/>
  <c r="P11" i="8" s="1"/>
  <c r="D5" i="11"/>
  <c r="O3" i="11"/>
  <c r="AE3" i="11"/>
  <c r="Y7" i="11"/>
  <c r="P15" i="11"/>
  <c r="L16" i="8"/>
  <c r="E6" i="8"/>
  <c r="J6" i="8"/>
  <c r="B7" i="11"/>
  <c r="D7" i="11"/>
  <c r="H9" i="11"/>
  <c r="AD14" i="11"/>
  <c r="V14" i="11"/>
  <c r="N14" i="11"/>
  <c r="U14" i="11"/>
  <c r="M14" i="11"/>
  <c r="Z14" i="11"/>
  <c r="R14" i="11"/>
  <c r="L14" i="11"/>
  <c r="AA14" i="11"/>
  <c r="O14" i="11"/>
  <c r="Y14" i="11"/>
  <c r="AE14" i="11"/>
  <c r="Q14" i="11"/>
  <c r="AD6" i="11"/>
  <c r="V6" i="11"/>
  <c r="N6" i="11"/>
  <c r="AC6" i="11"/>
  <c r="U6" i="11"/>
  <c r="M6" i="11"/>
  <c r="L6" i="11"/>
  <c r="AB6" i="11"/>
  <c r="R6" i="11"/>
  <c r="AA6" i="11"/>
  <c r="Q6" i="11"/>
  <c r="T6" i="11"/>
  <c r="K14" i="8"/>
  <c r="I6" i="8"/>
  <c r="V16" i="6"/>
  <c r="V16" i="8" s="1"/>
  <c r="U14" i="6"/>
  <c r="U14" i="8" s="1"/>
  <c r="AC11" i="6"/>
  <c r="O11" i="6"/>
  <c r="O11" i="8" s="1"/>
  <c r="K7" i="11"/>
  <c r="Q3" i="11"/>
  <c r="AE6" i="11"/>
  <c r="AD8" i="11"/>
  <c r="S14" i="11"/>
  <c r="Q15" i="11"/>
  <c r="E14" i="8"/>
  <c r="B14" i="11"/>
  <c r="C14" i="11"/>
  <c r="C10" i="8"/>
  <c r="F6" i="8"/>
  <c r="J14" i="8"/>
  <c r="H6" i="8"/>
  <c r="M16" i="6"/>
  <c r="M16" i="8" s="1"/>
  <c r="T16" i="6"/>
  <c r="T16" i="8" s="1"/>
  <c r="AE14" i="6"/>
  <c r="AE14" i="8" s="1"/>
  <c r="R14" i="6"/>
  <c r="R14" i="8" s="1"/>
  <c r="Z11" i="6"/>
  <c r="Z11" i="8" s="1"/>
  <c r="N11" i="6"/>
  <c r="N11" i="8" s="1"/>
  <c r="R3" i="11"/>
  <c r="O6" i="11"/>
  <c r="N7" i="11"/>
  <c r="AC7" i="11"/>
  <c r="T14" i="11"/>
  <c r="V15" i="11"/>
  <c r="B11" i="6"/>
  <c r="C11" i="6" s="1"/>
  <c r="D11" i="6" s="1"/>
  <c r="E11" i="6" s="1"/>
  <c r="F11" i="6" s="1"/>
  <c r="G11" i="6" s="1"/>
  <c r="H11" i="6" s="1"/>
  <c r="I11" i="6" s="1"/>
  <c r="J11" i="6" s="1"/>
  <c r="K11" i="6" s="1"/>
  <c r="E5" i="8"/>
  <c r="G5" i="8"/>
  <c r="O7" i="11"/>
  <c r="W14" i="11"/>
  <c r="Y15" i="11"/>
  <c r="E15" i="11"/>
  <c r="J15" i="11"/>
  <c r="I15" i="11"/>
  <c r="K15" i="11"/>
  <c r="F5" i="8"/>
  <c r="I14" i="8"/>
  <c r="G6" i="8"/>
  <c r="AD14" i="6"/>
  <c r="AD14" i="8" s="1"/>
  <c r="P14" i="6"/>
  <c r="P14" i="8" s="1"/>
  <c r="Y11" i="6"/>
  <c r="Y11" i="8" s="1"/>
  <c r="B5" i="8"/>
  <c r="H14" i="11"/>
  <c r="G14" i="11"/>
  <c r="E14" i="11"/>
  <c r="F14" i="11"/>
  <c r="J14" i="11"/>
  <c r="G6" i="11"/>
  <c r="K6" i="11"/>
  <c r="E6" i="11"/>
  <c r="F14" i="8"/>
  <c r="H14" i="8"/>
  <c r="K5" i="8"/>
  <c r="M14" i="6"/>
  <c r="M14" i="8" s="1"/>
  <c r="AC16" i="6"/>
  <c r="R16" i="6"/>
  <c r="R16" i="8" s="1"/>
  <c r="AC14" i="6"/>
  <c r="O14" i="6"/>
  <c r="O14" i="8" s="1"/>
  <c r="X11" i="6"/>
  <c r="X11" i="8" s="1"/>
  <c r="H8" i="11"/>
  <c r="I14" i="11"/>
  <c r="V3" i="11"/>
  <c r="S6" i="11"/>
  <c r="P7" i="11"/>
  <c r="R8" i="11"/>
  <c r="X14" i="11"/>
  <c r="AB15" i="11"/>
  <c r="C5" i="11"/>
  <c r="C7" i="11"/>
  <c r="U3" i="11"/>
  <c r="J5" i="8"/>
  <c r="AB16" i="6"/>
  <c r="AB16" i="8" s="1"/>
  <c r="Q16" i="6"/>
  <c r="Q16" i="8" s="1"/>
  <c r="Z14" i="6"/>
  <c r="Z14" i="8" s="1"/>
  <c r="N14" i="6"/>
  <c r="N14" i="8" s="1"/>
  <c r="W11" i="6"/>
  <c r="W11" i="8" s="1"/>
  <c r="D10" i="11"/>
  <c r="F6" i="11"/>
  <c r="G9" i="11"/>
  <c r="K14" i="11"/>
  <c r="Y3" i="11"/>
  <c r="W6" i="11"/>
  <c r="Q7" i="11"/>
  <c r="S8" i="11"/>
  <c r="AB14" i="11"/>
  <c r="L15" i="11"/>
  <c r="AB2" i="6"/>
  <c r="AB2" i="8" s="1"/>
  <c r="I2" i="8"/>
  <c r="T2" i="6"/>
  <c r="T2" i="8" s="1"/>
  <c r="G2" i="8"/>
  <c r="AA2" i="6"/>
  <c r="AA2" i="8" s="1"/>
  <c r="S2" i="6"/>
  <c r="S2" i="8" s="1"/>
  <c r="Z2" i="6"/>
  <c r="Z2" i="8" s="1"/>
  <c r="R2" i="6"/>
  <c r="R2" i="8" s="1"/>
  <c r="Y2" i="6"/>
  <c r="Y2" i="8" s="1"/>
  <c r="Q2" i="6"/>
  <c r="Q2" i="8" s="1"/>
  <c r="P2" i="6"/>
  <c r="P2" i="8" s="1"/>
  <c r="W2" i="6"/>
  <c r="W2" i="8" s="1"/>
  <c r="O2" i="6"/>
  <c r="O2" i="8" s="1"/>
  <c r="F2" i="8"/>
  <c r="AD2" i="6"/>
  <c r="AD2" i="8" s="1"/>
  <c r="V2" i="6"/>
  <c r="V2" i="8" s="1"/>
  <c r="N2" i="6"/>
  <c r="N2" i="8" s="1"/>
  <c r="X2" i="6"/>
  <c r="X2" i="8" s="1"/>
  <c r="U2" i="6"/>
  <c r="U2" i="8" s="1"/>
  <c r="E2" i="8"/>
  <c r="K2" i="8"/>
  <c r="J2" i="8"/>
  <c r="H2" i="8"/>
  <c r="D2" i="8"/>
  <c r="B13" i="8"/>
  <c r="B2" i="8"/>
  <c r="C2" i="8"/>
  <c r="AB4" i="6"/>
  <c r="AB4" i="8" s="1"/>
  <c r="R4" i="6"/>
  <c r="R4" i="8" s="1"/>
  <c r="N4" i="6"/>
  <c r="N4" i="8" s="1"/>
  <c r="AC4" i="6"/>
  <c r="T4" i="6"/>
  <c r="T4" i="8" s="1"/>
  <c r="J4" i="8"/>
  <c r="AD4" i="6"/>
  <c r="AD4" i="8" s="1"/>
  <c r="S4" i="6"/>
  <c r="S4" i="8" s="1"/>
  <c r="G4" i="8"/>
  <c r="AA4" i="6"/>
  <c r="AA4" i="8" s="1"/>
  <c r="M4" i="6"/>
  <c r="M4" i="8" s="1"/>
  <c r="Z4" i="6"/>
  <c r="Z4" i="8" s="1"/>
  <c r="V4" i="6"/>
  <c r="V4" i="8" s="1"/>
  <c r="U4" i="6"/>
  <c r="U4" i="8" s="1"/>
  <c r="I4" i="8"/>
  <c r="H4" i="8"/>
  <c r="F4" i="8"/>
  <c r="D4" i="8"/>
  <c r="Y4" i="6"/>
  <c r="Y4" i="8" s="1"/>
  <c r="Q4" i="6"/>
  <c r="Q4" i="8" s="1"/>
  <c r="K4" i="8"/>
  <c r="X4" i="6"/>
  <c r="X4" i="8" s="1"/>
  <c r="P4" i="6"/>
  <c r="P4" i="8" s="1"/>
  <c r="E4" i="8"/>
  <c r="AE4" i="6"/>
  <c r="AE4" i="8" s="1"/>
  <c r="W4" i="6"/>
  <c r="W4" i="8" s="1"/>
  <c r="O4" i="6"/>
  <c r="O4" i="8" s="1"/>
  <c r="B4" i="8"/>
  <c r="AF15" i="6"/>
  <c r="AF15" i="8" s="1"/>
  <c r="L15" i="6"/>
  <c r="C16" i="11"/>
  <c r="L7" i="12" a="1"/>
  <c r="L7" i="12" s="1"/>
  <c r="J3" i="12" a="1"/>
  <c r="J3" i="12" s="1"/>
  <c r="C8" i="3"/>
  <c r="D8" i="3" s="1"/>
  <c r="E8" i="3" s="1"/>
  <c r="E7" i="3" s="1"/>
  <c r="AG7" i="12" a="1"/>
  <c r="AG7" i="12" s="1"/>
  <c r="Y7" i="12" a="1"/>
  <c r="Y7" i="12" s="1"/>
  <c r="Z10" i="12" a="1"/>
  <c r="Z10" i="12" s="1"/>
  <c r="C10" i="12" a="1"/>
  <c r="C10" i="12" s="1"/>
  <c r="AA10" i="12" a="1"/>
  <c r="AA10" i="12" s="1"/>
  <c r="D10" i="12" a="1"/>
  <c r="D10" i="12" s="1"/>
  <c r="AG10" i="12" a="1"/>
  <c r="AG10" i="12" s="1"/>
  <c r="S10" i="12" a="1"/>
  <c r="S10" i="12" s="1"/>
  <c r="AC10" i="12" a="1"/>
  <c r="AC10" i="12" s="1"/>
  <c r="J10" i="12" a="1"/>
  <c r="J10" i="12" s="1"/>
  <c r="X6" i="12" a="1"/>
  <c r="X6" i="12" s="1"/>
  <c r="O6" i="12" a="1"/>
  <c r="O6" i="12" s="1"/>
  <c r="G6" i="12" a="1"/>
  <c r="G6" i="12" s="1"/>
  <c r="AF6" i="12" a="1"/>
  <c r="AF6" i="12" s="1"/>
  <c r="W6" i="12" a="1"/>
  <c r="W6" i="12" s="1"/>
  <c r="J6" i="12" a="1"/>
  <c r="J6" i="12" s="1"/>
  <c r="AA6" i="12" a="1"/>
  <c r="AA6" i="12" s="1"/>
  <c r="R6" i="12" a="1"/>
  <c r="R6" i="12" s="1"/>
  <c r="Z6" i="12" a="1"/>
  <c r="Z6" i="12" s="1"/>
  <c r="D6" i="12" a="1"/>
  <c r="D6" i="12" s="1"/>
  <c r="V6" i="12" a="1"/>
  <c r="V6" i="12" s="1"/>
  <c r="P6" i="12" a="1"/>
  <c r="P6" i="12" s="1"/>
  <c r="V11" i="12" a="1"/>
  <c r="V11" i="12" s="1"/>
  <c r="L3" i="8" l="1"/>
  <c r="AE3" i="6"/>
  <c r="AE3" i="8" s="1"/>
  <c r="N3" i="6"/>
  <c r="N3" i="8" s="1"/>
  <c r="O3" i="6"/>
  <c r="O3" i="8" s="1"/>
  <c r="AB3" i="6"/>
  <c r="AB3" i="8" s="1"/>
  <c r="B3" i="8"/>
  <c r="C3" i="6"/>
  <c r="R3" i="6"/>
  <c r="R3" i="8" s="1"/>
  <c r="Z3" i="6"/>
  <c r="Z3" i="8" s="1"/>
  <c r="P3" i="6"/>
  <c r="P3" i="8" s="1"/>
  <c r="U3" i="6"/>
  <c r="U3" i="8" s="1"/>
  <c r="Y3" i="6"/>
  <c r="Y3" i="8" s="1"/>
  <c r="AC3" i="6"/>
  <c r="M3" i="6"/>
  <c r="M3" i="8" s="1"/>
  <c r="X3" i="6"/>
  <c r="X3" i="8" s="1"/>
  <c r="Q3" i="6"/>
  <c r="Q3" i="8" s="1"/>
  <c r="V3" i="6"/>
  <c r="V3" i="8" s="1"/>
  <c r="AD3" i="6"/>
  <c r="AD3" i="8" s="1"/>
  <c r="W3" i="6"/>
  <c r="W3" i="8" s="1"/>
  <c r="T3" i="6"/>
  <c r="T3" i="8" s="1"/>
  <c r="AA3" i="6"/>
  <c r="AA3" i="8" s="1"/>
  <c r="G7" i="8"/>
  <c r="I7" i="8"/>
  <c r="H7" i="8"/>
  <c r="F7" i="8"/>
  <c r="Z7" i="8"/>
  <c r="D7" i="8"/>
  <c r="W7" i="8"/>
  <c r="J7" i="8"/>
  <c r="K7" i="8"/>
  <c r="AA7" i="8"/>
  <c r="E7" i="8"/>
  <c r="L7" i="8"/>
  <c r="C7" i="8"/>
  <c r="AD7" i="8"/>
  <c r="O5" i="11"/>
  <c r="AA10" i="11"/>
  <c r="U7" i="11"/>
  <c r="W3" i="11"/>
  <c r="P9" i="11"/>
  <c r="AB9" i="11"/>
  <c r="F3" i="11"/>
  <c r="AB5" i="11"/>
  <c r="AA8" i="11"/>
  <c r="K3" i="11"/>
  <c r="AB7" i="11"/>
  <c r="V9" i="11"/>
  <c r="M9" i="11"/>
  <c r="X10" i="11"/>
  <c r="AD5" i="11"/>
  <c r="O13" i="11"/>
  <c r="Q10" i="11"/>
  <c r="W9" i="11"/>
  <c r="U9" i="11"/>
  <c r="K10" i="11"/>
  <c r="G13" i="11"/>
  <c r="M10" i="11"/>
  <c r="T5" i="11"/>
  <c r="T13" i="11"/>
  <c r="I6" i="11"/>
  <c r="AC2" i="6"/>
  <c r="AW2" i="6" s="1"/>
  <c r="AE2" i="6"/>
  <c r="AE2" i="8" s="1"/>
  <c r="M2" i="6"/>
  <c r="M2" i="8" s="1"/>
  <c r="T10" i="11"/>
  <c r="R10" i="11"/>
  <c r="M12" i="11"/>
  <c r="AB12" i="11"/>
  <c r="AE12" i="11"/>
  <c r="Y12" i="11"/>
  <c r="L12" i="11"/>
  <c r="G8" i="11"/>
  <c r="P14" i="11"/>
  <c r="I10" i="11"/>
  <c r="I12" i="11"/>
  <c r="O10" i="11"/>
  <c r="V10" i="11"/>
  <c r="M5" i="11"/>
  <c r="X5" i="11"/>
  <c r="W12" i="11"/>
  <c r="S12" i="11"/>
  <c r="K12" i="11"/>
  <c r="H12" i="11"/>
  <c r="S10" i="11"/>
  <c r="R5" i="11"/>
  <c r="Q5" i="11"/>
  <c r="Q12" i="11"/>
  <c r="T12" i="11"/>
  <c r="E9" i="11"/>
  <c r="F8" i="11"/>
  <c r="K9" i="11"/>
  <c r="F12" i="11"/>
  <c r="I9" i="11"/>
  <c r="J3" i="11"/>
  <c r="G12" i="11"/>
  <c r="J8" i="11"/>
  <c r="F9" i="11"/>
  <c r="AT4" i="6"/>
  <c r="AW4" i="6"/>
  <c r="AX4" i="6"/>
  <c r="AY4" i="6"/>
  <c r="AU4" i="6"/>
  <c r="AR4" i="6"/>
  <c r="AV4" i="6"/>
  <c r="AS4" i="6"/>
  <c r="AP4" i="6"/>
  <c r="AQ4" i="6"/>
  <c r="AZ4" i="6"/>
  <c r="AT11" i="6"/>
  <c r="AW11" i="6"/>
  <c r="AP11" i="6"/>
  <c r="AQ11" i="6"/>
  <c r="AZ11" i="6"/>
  <c r="AU11" i="6"/>
  <c r="AX11" i="6"/>
  <c r="AV11" i="6"/>
  <c r="AY11" i="6"/>
  <c r="AS11" i="6"/>
  <c r="AR11" i="6"/>
  <c r="AQ5" i="6"/>
  <c r="AY5" i="6"/>
  <c r="AW5" i="6"/>
  <c r="AR5" i="6"/>
  <c r="AZ5" i="6"/>
  <c r="AT5" i="6"/>
  <c r="AS5" i="6"/>
  <c r="AU5" i="6"/>
  <c r="AV5" i="6"/>
  <c r="AP5" i="6"/>
  <c r="AX5" i="6"/>
  <c r="AP16" i="6"/>
  <c r="AX16" i="6"/>
  <c r="AQ16" i="6"/>
  <c r="AY16" i="6"/>
  <c r="AR16" i="6"/>
  <c r="AZ16" i="6"/>
  <c r="AT16" i="6"/>
  <c r="AV16" i="6"/>
  <c r="AW16" i="6"/>
  <c r="AS16" i="6"/>
  <c r="AU16" i="6"/>
  <c r="AU17" i="6"/>
  <c r="AX17" i="6"/>
  <c r="AY17" i="6"/>
  <c r="AZ17" i="6"/>
  <c r="AV17" i="6"/>
  <c r="AR17" i="6"/>
  <c r="AS17" i="6"/>
  <c r="AW17" i="6"/>
  <c r="AP17" i="6"/>
  <c r="AT17" i="6"/>
  <c r="AQ17" i="6"/>
  <c r="AW10" i="6"/>
  <c r="AP10" i="6"/>
  <c r="AX10" i="6"/>
  <c r="AR10" i="6"/>
  <c r="AQ10" i="6"/>
  <c r="AY10" i="6"/>
  <c r="AS10" i="6"/>
  <c r="AT10" i="6"/>
  <c r="AU10" i="6"/>
  <c r="AV10" i="6"/>
  <c r="AZ10" i="6"/>
  <c r="AS2" i="6"/>
  <c r="AU2" i="6"/>
  <c r="AT2" i="6"/>
  <c r="AV2" i="6"/>
  <c r="AP2" i="6"/>
  <c r="AV6" i="6"/>
  <c r="AW6" i="6"/>
  <c r="AR6" i="6"/>
  <c r="AS6" i="6"/>
  <c r="AP6" i="6"/>
  <c r="AX6" i="6"/>
  <c r="AQ6" i="6"/>
  <c r="AT6" i="6"/>
  <c r="AU6" i="6"/>
  <c r="AY6" i="6"/>
  <c r="AZ6" i="6"/>
  <c r="AV9" i="6"/>
  <c r="AZ9" i="6"/>
  <c r="AS9" i="6"/>
  <c r="AW9" i="6"/>
  <c r="AR9" i="6"/>
  <c r="AP9" i="6"/>
  <c r="AX9" i="6"/>
  <c r="AY9" i="6"/>
  <c r="AQ9" i="6"/>
  <c r="AT9" i="6"/>
  <c r="AU9" i="6"/>
  <c r="AT14" i="6"/>
  <c r="AX14" i="6"/>
  <c r="AY14" i="6"/>
  <c r="AS14" i="6"/>
  <c r="AU14" i="6"/>
  <c r="AW14" i="6"/>
  <c r="AQ14" i="6"/>
  <c r="AZ14" i="6"/>
  <c r="AV14" i="6"/>
  <c r="AP14" i="6"/>
  <c r="AR14" i="6"/>
  <c r="N7" i="8"/>
  <c r="U7" i="8"/>
  <c r="F13" i="11"/>
  <c r="Y7" i="8"/>
  <c r="R7" i="8"/>
  <c r="X7" i="8"/>
  <c r="T7" i="8"/>
  <c r="AE7" i="8"/>
  <c r="V7" i="8"/>
  <c r="S7" i="8"/>
  <c r="J10" i="11"/>
  <c r="M7" i="8"/>
  <c r="Q7" i="8"/>
  <c r="K13" i="11"/>
  <c r="V5" i="11"/>
  <c r="Y5" i="11"/>
  <c r="AB7" i="8"/>
  <c r="AD10" i="11"/>
  <c r="AF7" i="8"/>
  <c r="X17" i="11"/>
  <c r="AB17" i="11"/>
  <c r="P17" i="11"/>
  <c r="R17" i="11"/>
  <c r="M17" i="11"/>
  <c r="U17" i="11"/>
  <c r="S17" i="11"/>
  <c r="AA17" i="11"/>
  <c r="V17" i="11"/>
  <c r="W17" i="11"/>
  <c r="AC17" i="11"/>
  <c r="AD17" i="11"/>
  <c r="Q17" i="11"/>
  <c r="AE17" i="11"/>
  <c r="Z17" i="11"/>
  <c r="N17" i="11"/>
  <c r="Y17" i="11"/>
  <c r="G17" i="11"/>
  <c r="K17" i="11"/>
  <c r="J17" i="11"/>
  <c r="F17" i="11"/>
  <c r="H17" i="11"/>
  <c r="I17" i="11"/>
  <c r="C7" i="3"/>
  <c r="P10" i="11"/>
  <c r="Y10" i="11"/>
  <c r="AE5" i="11"/>
  <c r="Z5" i="11"/>
  <c r="AD12" i="11"/>
  <c r="H10" i="11"/>
  <c r="U5" i="11"/>
  <c r="P5" i="11"/>
  <c r="AC15" i="11"/>
  <c r="AC3" i="11"/>
  <c r="AC16" i="8"/>
  <c r="AO16" i="6"/>
  <c r="AG16" i="6"/>
  <c r="AH16" i="6"/>
  <c r="AJ16" i="6"/>
  <c r="AI16" i="6"/>
  <c r="AK16" i="6"/>
  <c r="AL16" i="6"/>
  <c r="AM16" i="6"/>
  <c r="AN16" i="6"/>
  <c r="AC5" i="11"/>
  <c r="AC2" i="8"/>
  <c r="AK2" i="6"/>
  <c r="AN2" i="6"/>
  <c r="AJ2" i="6"/>
  <c r="AL2" i="6"/>
  <c r="AC5" i="8"/>
  <c r="AJ5" i="6"/>
  <c r="AL5" i="6"/>
  <c r="AM5" i="6"/>
  <c r="AO5" i="6"/>
  <c r="AK5" i="6"/>
  <c r="AN5" i="6"/>
  <c r="AG5" i="6"/>
  <c r="AH5" i="6"/>
  <c r="AI5" i="6"/>
  <c r="AC12" i="11"/>
  <c r="AC4" i="8"/>
  <c r="AM4" i="6"/>
  <c r="AL4" i="6"/>
  <c r="AN4" i="6"/>
  <c r="AG4" i="6"/>
  <c r="AH4" i="6"/>
  <c r="AI4" i="6"/>
  <c r="AJ4" i="6"/>
  <c r="AK4" i="6"/>
  <c r="AO4" i="6"/>
  <c r="AC14" i="11"/>
  <c r="AC10" i="11"/>
  <c r="AC17" i="8"/>
  <c r="AL17" i="6"/>
  <c r="AM17" i="6"/>
  <c r="AG17" i="6"/>
  <c r="AO17" i="6"/>
  <c r="AN17" i="6"/>
  <c r="AI17" i="6"/>
  <c r="AH17" i="6"/>
  <c r="AJ17" i="6"/>
  <c r="AK17" i="6"/>
  <c r="F10" i="11"/>
  <c r="AC10" i="8"/>
  <c r="AI10" i="6"/>
  <c r="AJ10" i="6"/>
  <c r="AL10" i="6"/>
  <c r="AH10" i="6"/>
  <c r="AM10" i="6"/>
  <c r="AO10" i="6"/>
  <c r="AK10" i="6"/>
  <c r="AN10" i="6"/>
  <c r="AG10" i="6"/>
  <c r="AC6" i="8"/>
  <c r="AJ6" i="6"/>
  <c r="AK6" i="6"/>
  <c r="AM6" i="6"/>
  <c r="AL6" i="6"/>
  <c r="AN6" i="6"/>
  <c r="AO6" i="6"/>
  <c r="AG6" i="6"/>
  <c r="AH6" i="6"/>
  <c r="AI6" i="6"/>
  <c r="J12" i="11"/>
  <c r="AC11" i="8"/>
  <c r="AN11" i="6"/>
  <c r="AO11" i="6"/>
  <c r="AI11" i="6"/>
  <c r="AL11" i="6"/>
  <c r="AM11" i="6"/>
  <c r="AH11" i="6"/>
  <c r="AJ11" i="6"/>
  <c r="AK11" i="6"/>
  <c r="AG11" i="6"/>
  <c r="AC3" i="8"/>
  <c r="AC7" i="8"/>
  <c r="AC14" i="8"/>
  <c r="AM14" i="6"/>
  <c r="AN14" i="6"/>
  <c r="AH14" i="6"/>
  <c r="AJ14" i="6"/>
  <c r="AG14" i="6"/>
  <c r="AL14" i="6"/>
  <c r="AI14" i="6"/>
  <c r="AK14" i="6"/>
  <c r="AO14" i="6"/>
  <c r="AC9" i="11"/>
  <c r="AC9" i="8"/>
  <c r="AL9" i="6"/>
  <c r="AM9" i="6"/>
  <c r="AO9" i="6"/>
  <c r="AK9" i="6"/>
  <c r="AG9" i="6"/>
  <c r="AN9" i="6"/>
  <c r="AH9" i="6"/>
  <c r="AI9" i="6"/>
  <c r="AJ9" i="6"/>
  <c r="AG3" i="12" a="1"/>
  <c r="AG3" i="12" s="1"/>
  <c r="R7" i="12" a="1"/>
  <c r="R7" i="12" s="1"/>
  <c r="J7" i="12" a="1"/>
  <c r="J7" i="12" s="1"/>
  <c r="K3" i="12" a="1"/>
  <c r="K3" i="12" s="1"/>
  <c r="AB3" i="12" a="1"/>
  <c r="AB3" i="12" s="1"/>
  <c r="G7" i="12" a="1"/>
  <c r="G7" i="12" s="1"/>
  <c r="C6" i="12" a="1"/>
  <c r="C6" i="12" s="1"/>
  <c r="L3" i="12" a="1"/>
  <c r="L3" i="12" s="1"/>
  <c r="AE3" i="12" a="1"/>
  <c r="AE3" i="12" s="1"/>
  <c r="E3" i="12" a="1"/>
  <c r="E3" i="12" s="1"/>
  <c r="P3" i="12" a="1"/>
  <c r="P3" i="12" s="1"/>
  <c r="AF3" i="12" a="1"/>
  <c r="AF3" i="12" s="1"/>
  <c r="AC7" i="12" a="1"/>
  <c r="AC7" i="12" s="1"/>
  <c r="U7" i="12" a="1"/>
  <c r="U7" i="12" s="1"/>
  <c r="B7" i="12" a="1"/>
  <c r="B7" i="12" s="1"/>
  <c r="AC3" i="12" a="1"/>
  <c r="AC3" i="12" s="1"/>
  <c r="AE10" i="12" a="1"/>
  <c r="AE10" i="12" s="1"/>
  <c r="D6" i="11"/>
  <c r="K8" i="11"/>
  <c r="E8" i="11"/>
  <c r="Z8" i="11"/>
  <c r="X8" i="11"/>
  <c r="N8" i="11"/>
  <c r="C6" i="11"/>
  <c r="F7" i="11"/>
  <c r="H6" i="11"/>
  <c r="I8" i="11"/>
  <c r="D8" i="11"/>
  <c r="Q8" i="11"/>
  <c r="O8" i="11"/>
  <c r="I7" i="11"/>
  <c r="C8" i="11"/>
  <c r="AC8" i="11"/>
  <c r="W8" i="11"/>
  <c r="J7" i="11"/>
  <c r="Y8" i="11"/>
  <c r="AE8" i="11"/>
  <c r="Y6" i="11"/>
  <c r="R13" i="11"/>
  <c r="V13" i="11"/>
  <c r="M13" i="11"/>
  <c r="G10" i="11"/>
  <c r="E12" i="11"/>
  <c r="Z13" i="11"/>
  <c r="U13" i="11"/>
  <c r="Z6" i="11"/>
  <c r="J6" i="11"/>
  <c r="AA13" i="11"/>
  <c r="AB13" i="11"/>
  <c r="W13" i="11"/>
  <c r="P13" i="11"/>
  <c r="AD13" i="11"/>
  <c r="S13" i="11"/>
  <c r="X13" i="11"/>
  <c r="V7" i="11"/>
  <c r="C10" i="11"/>
  <c r="AD9" i="11"/>
  <c r="S9" i="11"/>
  <c r="U10" i="11"/>
  <c r="N13" i="11"/>
  <c r="AE13" i="11"/>
  <c r="Q13" i="11"/>
  <c r="X7" i="11"/>
  <c r="C12" i="11"/>
  <c r="D13" i="11"/>
  <c r="C13" i="11"/>
  <c r="C9" i="11"/>
  <c r="D9" i="11"/>
  <c r="D12" i="11"/>
  <c r="D14" i="11"/>
  <c r="P6" i="11"/>
  <c r="C2" i="11"/>
  <c r="L2" i="11"/>
  <c r="AE2" i="11"/>
  <c r="W2" i="11"/>
  <c r="O2" i="11"/>
  <c r="AD2" i="11"/>
  <c r="V2" i="11"/>
  <c r="N2" i="11"/>
  <c r="U2" i="11"/>
  <c r="T2" i="11"/>
  <c r="Y2" i="11"/>
  <c r="M2" i="11"/>
  <c r="AA2" i="11"/>
  <c r="Z2" i="11"/>
  <c r="S2" i="11"/>
  <c r="R2" i="11"/>
  <c r="Q2" i="11"/>
  <c r="P2" i="11"/>
  <c r="AB2" i="11"/>
  <c r="X2" i="11"/>
  <c r="E15" i="8"/>
  <c r="J15" i="8"/>
  <c r="K15" i="8"/>
  <c r="F15" i="8"/>
  <c r="G15" i="8"/>
  <c r="H15" i="8"/>
  <c r="I15" i="8"/>
  <c r="B17" i="11"/>
  <c r="D17" i="11"/>
  <c r="C17" i="11"/>
  <c r="C16" i="8"/>
  <c r="B16" i="8"/>
  <c r="D16" i="8"/>
  <c r="L16" i="11"/>
  <c r="X16" i="11"/>
  <c r="P16" i="11"/>
  <c r="AE16" i="11"/>
  <c r="W16" i="11"/>
  <c r="O16" i="11"/>
  <c r="AB16" i="11"/>
  <c r="T16" i="11"/>
  <c r="AA16" i="11"/>
  <c r="N16" i="11"/>
  <c r="Z16" i="11"/>
  <c r="M16" i="11"/>
  <c r="Y16" i="11"/>
  <c r="AD16" i="11"/>
  <c r="R16" i="11"/>
  <c r="V16" i="11"/>
  <c r="U16" i="11"/>
  <c r="S16" i="11"/>
  <c r="Q16" i="11"/>
  <c r="D16" i="11"/>
  <c r="D11" i="8"/>
  <c r="C11" i="8"/>
  <c r="B11" i="8"/>
  <c r="L15" i="8"/>
  <c r="Q15" i="6"/>
  <c r="Q15" i="8" s="1"/>
  <c r="Y15" i="6"/>
  <c r="Y15" i="8" s="1"/>
  <c r="R15" i="6"/>
  <c r="R15" i="8" s="1"/>
  <c r="Z15" i="6"/>
  <c r="Z15" i="8" s="1"/>
  <c r="O15" i="6"/>
  <c r="O15" i="8" s="1"/>
  <c r="W15" i="6"/>
  <c r="W15" i="8" s="1"/>
  <c r="AE15" i="6"/>
  <c r="AE15" i="8" s="1"/>
  <c r="U15" i="6"/>
  <c r="U15" i="8" s="1"/>
  <c r="V15" i="6"/>
  <c r="V15" i="8" s="1"/>
  <c r="X15" i="6"/>
  <c r="X15" i="8" s="1"/>
  <c r="M15" i="6"/>
  <c r="M15" i="8" s="1"/>
  <c r="AA15" i="6"/>
  <c r="AA15" i="8" s="1"/>
  <c r="N15" i="6"/>
  <c r="N15" i="8" s="1"/>
  <c r="AB15" i="6"/>
  <c r="AB15" i="8" s="1"/>
  <c r="P15" i="6"/>
  <c r="P15" i="8" s="1"/>
  <c r="AC15" i="6"/>
  <c r="S15" i="6"/>
  <c r="S15" i="8" s="1"/>
  <c r="AD15" i="6"/>
  <c r="AD15" i="8" s="1"/>
  <c r="T15" i="6"/>
  <c r="T15" i="8" s="1"/>
  <c r="B15" i="11"/>
  <c r="D15" i="11"/>
  <c r="C15" i="11"/>
  <c r="AE11" i="11"/>
  <c r="W11" i="11"/>
  <c r="O11" i="11"/>
  <c r="AD11" i="11"/>
  <c r="V11" i="11"/>
  <c r="N11" i="11"/>
  <c r="L11" i="11"/>
  <c r="AA11" i="11"/>
  <c r="S11" i="11"/>
  <c r="T11" i="11"/>
  <c r="R11" i="11"/>
  <c r="X11" i="11"/>
  <c r="Y11" i="11"/>
  <c r="U11" i="11"/>
  <c r="Q11" i="11"/>
  <c r="P11" i="11"/>
  <c r="M11" i="11"/>
  <c r="AB11" i="11"/>
  <c r="Z11" i="11"/>
  <c r="E16" i="11"/>
  <c r="K16" i="11"/>
  <c r="F16" i="11"/>
  <c r="H16" i="11"/>
  <c r="J16" i="11"/>
  <c r="I16" i="11"/>
  <c r="G16" i="11"/>
  <c r="B11" i="11"/>
  <c r="D11" i="11"/>
  <c r="C11" i="11"/>
  <c r="C15" i="8"/>
  <c r="D15" i="8"/>
  <c r="E11" i="8"/>
  <c r="I11" i="8"/>
  <c r="G11" i="8"/>
  <c r="H11" i="8"/>
  <c r="J11" i="8"/>
  <c r="K11" i="8"/>
  <c r="F11" i="8"/>
  <c r="J11" i="11"/>
  <c r="E11" i="11"/>
  <c r="I11" i="11"/>
  <c r="F11" i="11"/>
  <c r="K11" i="11"/>
  <c r="H11" i="11"/>
  <c r="G11" i="11"/>
  <c r="E2" i="11"/>
  <c r="J2" i="11"/>
  <c r="I2" i="11"/>
  <c r="H2" i="11"/>
  <c r="G2" i="11"/>
  <c r="F2" i="11"/>
  <c r="K2" i="11"/>
  <c r="I4" i="11"/>
  <c r="H4" i="11"/>
  <c r="F4" i="11"/>
  <c r="E4" i="11"/>
  <c r="G4" i="11"/>
  <c r="D4" i="11"/>
  <c r="C4" i="11"/>
  <c r="K4" i="11"/>
  <c r="J4" i="11"/>
  <c r="AE4" i="11"/>
  <c r="AD4" i="11"/>
  <c r="V4" i="11"/>
  <c r="N4" i="11"/>
  <c r="U4" i="11"/>
  <c r="M4" i="11"/>
  <c r="L4" i="11"/>
  <c r="AB4" i="11"/>
  <c r="T4" i="11"/>
  <c r="Z4" i="11"/>
  <c r="R4" i="11"/>
  <c r="S4" i="11"/>
  <c r="Y4" i="11"/>
  <c r="Q4" i="11"/>
  <c r="AA4" i="11"/>
  <c r="X4" i="11"/>
  <c r="P4" i="11"/>
  <c r="W4" i="11"/>
  <c r="O4" i="11"/>
  <c r="L14" i="12" a="1"/>
  <c r="L14" i="12" s="1"/>
  <c r="AE6" i="12" a="1"/>
  <c r="AE6" i="12" s="1"/>
  <c r="E6" i="12" a="1"/>
  <c r="E6" i="12" s="1"/>
  <c r="I6" i="12" a="1"/>
  <c r="I6" i="12" s="1"/>
  <c r="N6" i="12" a="1"/>
  <c r="N6" i="12" s="1"/>
  <c r="K6" i="12" a="1"/>
  <c r="K6" i="12" s="1"/>
  <c r="K10" i="12" a="1"/>
  <c r="K10" i="12" s="1"/>
  <c r="B10" i="12" a="1"/>
  <c r="B10" i="12" s="1"/>
  <c r="I10" i="12" a="1"/>
  <c r="I10" i="12" s="1"/>
  <c r="L10" i="12" a="1"/>
  <c r="L10" i="12" s="1"/>
  <c r="Q7" i="12" a="1"/>
  <c r="Q7" i="12" s="1"/>
  <c r="P7" i="12" a="1"/>
  <c r="P7" i="12" s="1"/>
  <c r="K7" i="12" a="1"/>
  <c r="K7" i="12" s="1"/>
  <c r="S7" i="12" a="1"/>
  <c r="S7" i="12" s="1"/>
  <c r="I3" i="12" a="1"/>
  <c r="I3" i="12" s="1"/>
  <c r="M3" i="12" a="1"/>
  <c r="M3" i="12" s="1"/>
  <c r="C3" i="12" a="1"/>
  <c r="C3" i="12" s="1"/>
  <c r="D3" i="12" a="1"/>
  <c r="D3" i="12" s="1"/>
  <c r="AB10" i="12" a="1"/>
  <c r="AB10" i="12" s="1"/>
  <c r="T10" i="12" a="1"/>
  <c r="T10" i="12" s="1"/>
  <c r="R10" i="12" a="1"/>
  <c r="R10" i="12" s="1"/>
  <c r="Q10" i="12" a="1"/>
  <c r="Q10" i="12" s="1"/>
  <c r="AD7" i="12" a="1"/>
  <c r="AD7" i="12" s="1"/>
  <c r="C7" i="12" a="1"/>
  <c r="C7" i="12" s="1"/>
  <c r="T7" i="12" a="1"/>
  <c r="T7" i="12" s="1"/>
  <c r="AB7" i="12" a="1"/>
  <c r="AB7" i="12" s="1"/>
  <c r="Y3" i="12" a="1"/>
  <c r="Y3" i="12" s="1"/>
  <c r="U3" i="12" a="1"/>
  <c r="U3" i="12" s="1"/>
  <c r="G3" i="12" a="1"/>
  <c r="G3" i="12" s="1"/>
  <c r="H3" i="12" a="1"/>
  <c r="H3" i="12" s="1"/>
  <c r="G5" i="12" a="1"/>
  <c r="G5" i="12" s="1"/>
  <c r="M6" i="12" a="1"/>
  <c r="M6" i="12" s="1"/>
  <c r="L6" i="12" a="1"/>
  <c r="L6" i="12" s="1"/>
  <c r="T6" i="12" a="1"/>
  <c r="T6" i="12" s="1"/>
  <c r="S6" i="12" a="1"/>
  <c r="S6" i="12" s="1"/>
  <c r="AC6" i="12" a="1"/>
  <c r="AC6" i="12" s="1"/>
  <c r="E10" i="12" a="1"/>
  <c r="E10" i="12" s="1"/>
  <c r="F10" i="12" a="1"/>
  <c r="F10" i="12" s="1"/>
  <c r="G10" i="12" a="1"/>
  <c r="G10" i="12" s="1"/>
  <c r="H10" i="12" a="1"/>
  <c r="H10" i="12" s="1"/>
  <c r="Z7" i="12" a="1"/>
  <c r="Z7" i="12" s="1"/>
  <c r="M7" i="12" a="1"/>
  <c r="M7" i="12" s="1"/>
  <c r="E7" i="12" a="1"/>
  <c r="E7" i="12" s="1"/>
  <c r="F7" i="12" a="1"/>
  <c r="F7" i="12" s="1"/>
  <c r="Z3" i="12" a="1"/>
  <c r="Z3" i="12" s="1"/>
  <c r="F3" i="12" a="1"/>
  <c r="F3" i="12" s="1"/>
  <c r="O3" i="12" a="1"/>
  <c r="O3" i="12" s="1"/>
  <c r="U6" i="12" a="1"/>
  <c r="U6" i="12" s="1"/>
  <c r="Y6" i="12" a="1"/>
  <c r="Y6" i="12" s="1"/>
  <c r="AB6" i="12" a="1"/>
  <c r="AB6" i="12" s="1"/>
  <c r="W10" i="12" a="1"/>
  <c r="W10" i="12" s="1"/>
  <c r="O10" i="12" a="1"/>
  <c r="O10" i="12" s="1"/>
  <c r="P10" i="12" a="1"/>
  <c r="P10" i="12" s="1"/>
  <c r="M10" i="12" a="1"/>
  <c r="M10" i="12" s="1"/>
  <c r="H7" i="12" a="1"/>
  <c r="H7" i="12" s="1"/>
  <c r="V7" i="12" a="1"/>
  <c r="V7" i="12" s="1"/>
  <c r="N7" i="12" a="1"/>
  <c r="N7" i="12" s="1"/>
  <c r="O7" i="12" a="1"/>
  <c r="O7" i="12" s="1"/>
  <c r="Q3" i="12" a="1"/>
  <c r="Q3" i="12" s="1"/>
  <c r="N3" i="12" a="1"/>
  <c r="N3" i="12" s="1"/>
  <c r="S3" i="12" a="1"/>
  <c r="S3" i="12" s="1"/>
  <c r="T3" i="12" a="1"/>
  <c r="T3" i="12" s="1"/>
  <c r="AD6" i="12" a="1"/>
  <c r="AD6" i="12" s="1"/>
  <c r="B6" i="12" a="1"/>
  <c r="B6" i="12" s="1"/>
  <c r="AG6" i="12" a="1"/>
  <c r="AG6" i="12" s="1"/>
  <c r="N10" i="12" a="1"/>
  <c r="N10" i="12" s="1"/>
  <c r="X10" i="12" a="1"/>
  <c r="X10" i="12" s="1"/>
  <c r="U10" i="12" a="1"/>
  <c r="U10" i="12" s="1"/>
  <c r="V10" i="12" a="1"/>
  <c r="V10" i="12" s="1"/>
  <c r="I7" i="12" a="1"/>
  <c r="I7" i="12" s="1"/>
  <c r="AE7" i="12" a="1"/>
  <c r="AE7" i="12" s="1"/>
  <c r="W7" i="12" a="1"/>
  <c r="W7" i="12" s="1"/>
  <c r="X7" i="12" a="1"/>
  <c r="X7" i="12" s="1"/>
  <c r="B3" i="12" a="1"/>
  <c r="B3" i="12" s="1"/>
  <c r="V3" i="12" a="1"/>
  <c r="V3" i="12" s="1"/>
  <c r="W3" i="12" a="1"/>
  <c r="W3" i="12" s="1"/>
  <c r="X3" i="12" a="1"/>
  <c r="X3" i="12" s="1"/>
  <c r="H6" i="12" a="1"/>
  <c r="H6" i="12" s="1"/>
  <c r="Q6" i="12" a="1"/>
  <c r="Q6" i="12" s="1"/>
  <c r="F6" i="12" a="1"/>
  <c r="F6" i="12" s="1"/>
  <c r="AF10" i="12" a="1"/>
  <c r="AF10" i="12" s="1"/>
  <c r="Y10" i="12" a="1"/>
  <c r="Y10" i="12" s="1"/>
  <c r="AD10" i="12" a="1"/>
  <c r="AD10" i="12" s="1"/>
  <c r="AA7" i="12" a="1"/>
  <c r="AA7" i="12" s="1"/>
  <c r="D7" i="12" a="1"/>
  <c r="D7" i="12" s="1"/>
  <c r="AF7" i="12" a="1"/>
  <c r="AF7" i="12" s="1"/>
  <c r="R3" i="12" a="1"/>
  <c r="R3" i="12" s="1"/>
  <c r="AD3" i="12" a="1"/>
  <c r="AD3" i="12" s="1"/>
  <c r="AA3" i="12" a="1"/>
  <c r="AA3" i="12" s="1"/>
  <c r="N5" i="12" a="1"/>
  <c r="N5" i="12" s="1"/>
  <c r="X5" i="12" a="1"/>
  <c r="X5" i="12" s="1"/>
  <c r="R5" i="12" a="1"/>
  <c r="R5" i="12" s="1"/>
  <c r="AE9" i="12" a="1"/>
  <c r="AE9" i="12" s="1"/>
  <c r="V9" i="12" a="1"/>
  <c r="V9" i="12" s="1"/>
  <c r="M9" i="12" a="1"/>
  <c r="M9" i="12" s="1"/>
  <c r="H9" i="12" a="1"/>
  <c r="H9" i="12" s="1"/>
  <c r="Z9" i="12" a="1"/>
  <c r="Z9" i="12" s="1"/>
  <c r="Q9" i="12" a="1"/>
  <c r="Q9" i="12" s="1"/>
  <c r="L9" i="12" a="1"/>
  <c r="L9" i="12" s="1"/>
  <c r="C9" i="12" a="1"/>
  <c r="C9" i="12" s="1"/>
  <c r="AD9" i="12" a="1"/>
  <c r="AD9" i="12" s="1"/>
  <c r="U9" i="12" a="1"/>
  <c r="U9" i="12" s="1"/>
  <c r="P9" i="12" a="1"/>
  <c r="P9" i="12" s="1"/>
  <c r="G9" i="12" a="1"/>
  <c r="G9" i="12" s="1"/>
  <c r="AA9" i="12" a="1"/>
  <c r="AA9" i="12" s="1"/>
  <c r="R9" i="12" a="1"/>
  <c r="R9" i="12" s="1"/>
  <c r="I9" i="12" a="1"/>
  <c r="I9" i="12" s="1"/>
  <c r="D9" i="12" a="1"/>
  <c r="D9" i="12" s="1"/>
  <c r="T9" i="12" a="1"/>
  <c r="T9" i="12" s="1"/>
  <c r="K9" i="12" a="1"/>
  <c r="K9" i="12" s="1"/>
  <c r="B9" i="12" a="1"/>
  <c r="B9" i="12" s="1"/>
  <c r="AC9" i="12" a="1"/>
  <c r="AC9" i="12" s="1"/>
  <c r="AB9" i="12" a="1"/>
  <c r="AB9" i="12" s="1"/>
  <c r="S9" i="12" a="1"/>
  <c r="S9" i="12" s="1"/>
  <c r="J9" i="12" a="1"/>
  <c r="J9" i="12" s="1"/>
  <c r="AF9" i="12" a="1"/>
  <c r="AF9" i="12" s="1"/>
  <c r="W9" i="12" a="1"/>
  <c r="W9" i="12" s="1"/>
  <c r="N9" i="12" a="1"/>
  <c r="N9" i="12" s="1"/>
  <c r="E9" i="12" a="1"/>
  <c r="E9" i="12" s="1"/>
  <c r="O9" i="12" a="1"/>
  <c r="O9" i="12" s="1"/>
  <c r="AG9" i="12" a="1"/>
  <c r="AG9" i="12" s="1"/>
  <c r="F9" i="12" a="1"/>
  <c r="F9" i="12" s="1"/>
  <c r="Y9" i="12" a="1"/>
  <c r="Y9" i="12" s="1"/>
  <c r="X9" i="12" a="1"/>
  <c r="X9" i="12" s="1"/>
  <c r="Q5" i="12" a="1"/>
  <c r="Q5" i="12" s="1"/>
  <c r="I5" i="12" a="1"/>
  <c r="I5" i="12" s="1"/>
  <c r="AG5" i="12" a="1"/>
  <c r="AG5" i="12" s="1"/>
  <c r="K5" i="12" a="1"/>
  <c r="K5" i="12" s="1"/>
  <c r="O11" i="12" a="1"/>
  <c r="O11" i="12" s="1"/>
  <c r="AF11" i="12" a="1"/>
  <c r="AF11" i="12" s="1"/>
  <c r="D11" i="12" a="1"/>
  <c r="D11" i="12" s="1"/>
  <c r="C11" i="12" a="1"/>
  <c r="C11" i="12" s="1"/>
  <c r="J14" i="12" a="1"/>
  <c r="J14" i="12" s="1"/>
  <c r="AF14" i="12" a="1"/>
  <c r="AF14" i="12" s="1"/>
  <c r="R14" i="12" a="1"/>
  <c r="R14" i="12" s="1"/>
  <c r="Q14" i="12" a="1"/>
  <c r="Q14" i="12" s="1"/>
  <c r="B5" i="12" a="1"/>
  <c r="B5" i="12" s="1"/>
  <c r="V5" i="12" a="1"/>
  <c r="V5" i="12" s="1"/>
  <c r="F5" i="12" a="1"/>
  <c r="F5" i="12" s="1"/>
  <c r="O5" i="12" a="1"/>
  <c r="O5" i="12" s="1"/>
  <c r="AG11" i="12" a="1"/>
  <c r="AG11" i="12" s="1"/>
  <c r="J11" i="12" a="1"/>
  <c r="J11" i="12" s="1"/>
  <c r="I11" i="12" a="1"/>
  <c r="I11" i="12" s="1"/>
  <c r="L11" i="12" a="1"/>
  <c r="L11" i="12" s="1"/>
  <c r="E14" i="12" a="1"/>
  <c r="E14" i="12" s="1"/>
  <c r="AG14" i="12" a="1"/>
  <c r="AG14" i="12" s="1"/>
  <c r="AA14" i="12" a="1"/>
  <c r="AA14" i="12" s="1"/>
  <c r="Z14" i="12" a="1"/>
  <c r="Z14" i="12" s="1"/>
  <c r="AC5" i="12" a="1"/>
  <c r="AC5" i="12" s="1"/>
  <c r="H5" i="12" a="1"/>
  <c r="H5" i="12" s="1"/>
  <c r="M5" i="12" a="1"/>
  <c r="M5" i="12" s="1"/>
  <c r="S5" i="12" a="1"/>
  <c r="S5" i="12" s="1"/>
  <c r="F11" i="12" a="1"/>
  <c r="F11" i="12" s="1"/>
  <c r="S11" i="12" a="1"/>
  <c r="S11" i="12" s="1"/>
  <c r="R11" i="12" a="1"/>
  <c r="R11" i="12" s="1"/>
  <c r="Q11" i="12" a="1"/>
  <c r="Q11" i="12" s="1"/>
  <c r="AB14" i="12" a="1"/>
  <c r="AB14" i="12" s="1"/>
  <c r="F14" i="12" a="1"/>
  <c r="F14" i="12" s="1"/>
  <c r="G14" i="12" a="1"/>
  <c r="G14" i="12" s="1"/>
  <c r="H14" i="12" a="1"/>
  <c r="H14" i="12" s="1"/>
  <c r="AE12" i="12" a="1"/>
  <c r="AE12" i="12" s="1"/>
  <c r="V12" i="12" a="1"/>
  <c r="V12" i="12" s="1"/>
  <c r="M12" i="12" a="1"/>
  <c r="M12" i="12" s="1"/>
  <c r="H12" i="12" a="1"/>
  <c r="H12" i="12" s="1"/>
  <c r="Z12" i="12" a="1"/>
  <c r="Z12" i="12" s="1"/>
  <c r="Q12" i="12" a="1"/>
  <c r="Q12" i="12" s="1"/>
  <c r="L12" i="12" a="1"/>
  <c r="L12" i="12" s="1"/>
  <c r="C12" i="12" a="1"/>
  <c r="C12" i="12" s="1"/>
  <c r="AD12" i="12" a="1"/>
  <c r="AD12" i="12" s="1"/>
  <c r="U12" i="12" a="1"/>
  <c r="U12" i="12" s="1"/>
  <c r="P12" i="12" a="1"/>
  <c r="P12" i="12" s="1"/>
  <c r="G12" i="12" a="1"/>
  <c r="G12" i="12" s="1"/>
  <c r="AA12" i="12" a="1"/>
  <c r="AA12" i="12" s="1"/>
  <c r="R12" i="12" a="1"/>
  <c r="R12" i="12" s="1"/>
  <c r="I12" i="12" a="1"/>
  <c r="I12" i="12" s="1"/>
  <c r="D12" i="12" a="1"/>
  <c r="D12" i="12" s="1"/>
  <c r="Y12" i="12" a="1"/>
  <c r="Y12" i="12" s="1"/>
  <c r="X12" i="12" a="1"/>
  <c r="X12" i="12" s="1"/>
  <c r="O12" i="12" a="1"/>
  <c r="O12" i="12" s="1"/>
  <c r="F12" i="12" a="1"/>
  <c r="F12" i="12" s="1"/>
  <c r="AG12" i="12" a="1"/>
  <c r="AG12" i="12" s="1"/>
  <c r="K12" i="12" a="1"/>
  <c r="K12" i="12" s="1"/>
  <c r="AC12" i="12" a="1"/>
  <c r="AC12" i="12" s="1"/>
  <c r="AB12" i="12" a="1"/>
  <c r="AB12" i="12" s="1"/>
  <c r="J12" i="12" a="1"/>
  <c r="J12" i="12" s="1"/>
  <c r="W12" i="12" a="1"/>
  <c r="W12" i="12" s="1"/>
  <c r="E12" i="12" a="1"/>
  <c r="E12" i="12" s="1"/>
  <c r="AF12" i="12" a="1"/>
  <c r="AF12" i="12" s="1"/>
  <c r="N12" i="12" a="1"/>
  <c r="N12" i="12" s="1"/>
  <c r="S12" i="12" a="1"/>
  <c r="S12" i="12" s="1"/>
  <c r="B12" i="12" a="1"/>
  <c r="B12" i="12" s="1"/>
  <c r="T12" i="12" a="1"/>
  <c r="T12" i="12" s="1"/>
  <c r="D5" i="12" a="1"/>
  <c r="D5" i="12" s="1"/>
  <c r="AB5" i="12" a="1"/>
  <c r="AB5" i="12" s="1"/>
  <c r="T5" i="12" a="1"/>
  <c r="T5" i="12" s="1"/>
  <c r="W5" i="12" a="1"/>
  <c r="W5" i="12" s="1"/>
  <c r="X11" i="12" a="1"/>
  <c r="X11" i="12" s="1"/>
  <c r="AB11" i="12" a="1"/>
  <c r="AB11" i="12" s="1"/>
  <c r="AA11" i="12" a="1"/>
  <c r="AA11" i="12" s="1"/>
  <c r="Z11" i="12" a="1"/>
  <c r="Z11" i="12" s="1"/>
  <c r="N14" i="12" a="1"/>
  <c r="N14" i="12" s="1"/>
  <c r="O14" i="12" a="1"/>
  <c r="O14" i="12" s="1"/>
  <c r="P14" i="12" a="1"/>
  <c r="P14" i="12" s="1"/>
  <c r="M14" i="12" a="1"/>
  <c r="M14" i="12" s="1"/>
  <c r="AF5" i="12" a="1"/>
  <c r="AF5" i="12" s="1"/>
  <c r="E5" i="12" a="1"/>
  <c r="E5" i="12" s="1"/>
  <c r="Z5" i="12" a="1"/>
  <c r="Z5" i="12" s="1"/>
  <c r="AA5" i="12" a="1"/>
  <c r="AA5" i="12" s="1"/>
  <c r="Y11" i="12" a="1"/>
  <c r="Y11" i="12" s="1"/>
  <c r="AC11" i="12" a="1"/>
  <c r="AC11" i="12" s="1"/>
  <c r="G11" i="12" a="1"/>
  <c r="G11" i="12" s="1"/>
  <c r="H11" i="12" a="1"/>
  <c r="H11" i="12" s="1"/>
  <c r="AF11" i="3"/>
  <c r="U11" i="3"/>
  <c r="S14" i="12" a="1"/>
  <c r="S14" i="12" s="1"/>
  <c r="X14" i="12" a="1"/>
  <c r="X14" i="12" s="1"/>
  <c r="U14" i="12" a="1"/>
  <c r="U14" i="12" s="1"/>
  <c r="V14" i="12" a="1"/>
  <c r="V14" i="12" s="1"/>
  <c r="AG17" i="12" a="1"/>
  <c r="AG17" i="12" s="1"/>
  <c r="AC17" i="12" a="1"/>
  <c r="AC17" i="12" s="1"/>
  <c r="Y17" i="12" a="1"/>
  <c r="Y17" i="12" s="1"/>
  <c r="U17" i="12" a="1"/>
  <c r="U17" i="12" s="1"/>
  <c r="Q17" i="12" a="1"/>
  <c r="Q17" i="12" s="1"/>
  <c r="M17" i="12" a="1"/>
  <c r="M17" i="12" s="1"/>
  <c r="AF17" i="12" a="1"/>
  <c r="AF17" i="12" s="1"/>
  <c r="AB17" i="12" a="1"/>
  <c r="AB17" i="12" s="1"/>
  <c r="X17" i="12" a="1"/>
  <c r="X17" i="12" s="1"/>
  <c r="T17" i="12" a="1"/>
  <c r="T17" i="12" s="1"/>
  <c r="P17" i="12" a="1"/>
  <c r="P17" i="12" s="1"/>
  <c r="L17" i="12" a="1"/>
  <c r="L17" i="12" s="1"/>
  <c r="AD17" i="12" a="1"/>
  <c r="AD17" i="12" s="1"/>
  <c r="Z17" i="12" a="1"/>
  <c r="Z17" i="12" s="1"/>
  <c r="V17" i="12" a="1"/>
  <c r="V17" i="12" s="1"/>
  <c r="F17" i="12" a="1"/>
  <c r="F17" i="12" s="1"/>
  <c r="AE17" i="12" a="1"/>
  <c r="AE17" i="12" s="1"/>
  <c r="W17" i="12" a="1"/>
  <c r="W17" i="12" s="1"/>
  <c r="J17" i="12" a="1"/>
  <c r="J17" i="12" s="1"/>
  <c r="O17" i="12" a="1"/>
  <c r="O17" i="12" s="1"/>
  <c r="E17" i="12" a="1"/>
  <c r="E17" i="12" s="1"/>
  <c r="AA17" i="12" a="1"/>
  <c r="AA17" i="12" s="1"/>
  <c r="R17" i="12" a="1"/>
  <c r="R17" i="12" s="1"/>
  <c r="K17" i="12" a="1"/>
  <c r="K17" i="12" s="1"/>
  <c r="B17" i="12" a="1"/>
  <c r="B17" i="12" s="1"/>
  <c r="I17" i="12" a="1"/>
  <c r="I17" i="12" s="1"/>
  <c r="H17" i="12" a="1"/>
  <c r="H17" i="12" s="1"/>
  <c r="S17" i="12" a="1"/>
  <c r="S17" i="12" s="1"/>
  <c r="G17" i="12" a="1"/>
  <c r="G17" i="12" s="1"/>
  <c r="D17" i="12" a="1"/>
  <c r="D17" i="12" s="1"/>
  <c r="N17" i="12" a="1"/>
  <c r="N17" i="12" s="1"/>
  <c r="C17" i="12" a="1"/>
  <c r="C17" i="12" s="1"/>
  <c r="J5" i="12" a="1"/>
  <c r="J5" i="12" s="1"/>
  <c r="L5" i="12" a="1"/>
  <c r="L5" i="12" s="1"/>
  <c r="AD5" i="12" a="1"/>
  <c r="AD5" i="12" s="1"/>
  <c r="AE5" i="12" a="1"/>
  <c r="AE5" i="12" s="1"/>
  <c r="E11" i="12" a="1"/>
  <c r="E11" i="12" s="1"/>
  <c r="B11" i="12" a="1"/>
  <c r="B11" i="12" s="1"/>
  <c r="P11" i="12" a="1"/>
  <c r="P11" i="12" s="1"/>
  <c r="M11" i="12" a="1"/>
  <c r="M11" i="12" s="1"/>
  <c r="D7" i="3"/>
  <c r="T11" i="3" s="1"/>
  <c r="B14" i="12" a="1"/>
  <c r="B14" i="12" s="1"/>
  <c r="Y14" i="12" a="1"/>
  <c r="Y14" i="12" s="1"/>
  <c r="AD14" i="12" a="1"/>
  <c r="AD14" i="12" s="1"/>
  <c r="AE14" i="12" a="1"/>
  <c r="AE14" i="12" s="1"/>
  <c r="N11" i="12" a="1"/>
  <c r="N11" i="12" s="1"/>
  <c r="K11" i="12" a="1"/>
  <c r="K11" i="12" s="1"/>
  <c r="U11" i="12" a="1"/>
  <c r="U11" i="12" s="1"/>
  <c r="K14" i="12" a="1"/>
  <c r="K14" i="12" s="1"/>
  <c r="W14" i="12" a="1"/>
  <c r="W14" i="12" s="1"/>
  <c r="D14" i="12" a="1"/>
  <c r="D14" i="12" s="1"/>
  <c r="C14" i="12" a="1"/>
  <c r="C14" i="12" s="1"/>
  <c r="AF2" i="12" a="1"/>
  <c r="AF2" i="12" s="1"/>
  <c r="AB2" i="12" a="1"/>
  <c r="AB2" i="12" s="1"/>
  <c r="X2" i="12" a="1"/>
  <c r="X2" i="12" s="1"/>
  <c r="T2" i="12" a="1"/>
  <c r="T2" i="12" s="1"/>
  <c r="P2" i="12" a="1"/>
  <c r="P2" i="12" s="1"/>
  <c r="L2" i="12" a="1"/>
  <c r="L2" i="12" s="1"/>
  <c r="H2" i="12" a="1"/>
  <c r="H2" i="12" s="1"/>
  <c r="D2" i="12" a="1"/>
  <c r="D2" i="12" s="1"/>
  <c r="AE2" i="12" a="1"/>
  <c r="AE2" i="12" s="1"/>
  <c r="AA2" i="12" a="1"/>
  <c r="AA2" i="12" s="1"/>
  <c r="W2" i="12" a="1"/>
  <c r="W2" i="12" s="1"/>
  <c r="S2" i="12" a="1"/>
  <c r="S2" i="12" s="1"/>
  <c r="O2" i="12" a="1"/>
  <c r="O2" i="12" s="1"/>
  <c r="K2" i="12" a="1"/>
  <c r="K2" i="12" s="1"/>
  <c r="G2" i="12" a="1"/>
  <c r="G2" i="12" s="1"/>
  <c r="C2" i="12" a="1"/>
  <c r="C2" i="12" s="1"/>
  <c r="AD2" i="12" a="1"/>
  <c r="AD2" i="12" s="1"/>
  <c r="V2" i="12" a="1"/>
  <c r="V2" i="12" s="1"/>
  <c r="N2" i="12" a="1"/>
  <c r="N2" i="12" s="1"/>
  <c r="F2" i="12" a="1"/>
  <c r="F2" i="12" s="1"/>
  <c r="AC2" i="12" a="1"/>
  <c r="AC2" i="12" s="1"/>
  <c r="U2" i="12" a="1"/>
  <c r="U2" i="12" s="1"/>
  <c r="M2" i="12" a="1"/>
  <c r="M2" i="12" s="1"/>
  <c r="E2" i="12" a="1"/>
  <c r="E2" i="12" s="1"/>
  <c r="R2" i="12" a="1"/>
  <c r="R2" i="12" s="1"/>
  <c r="B2" i="12" a="1"/>
  <c r="B2" i="12" s="1"/>
  <c r="AG2" i="12" a="1"/>
  <c r="AG2" i="12" s="1"/>
  <c r="Q2" i="12" a="1"/>
  <c r="Q2" i="12" s="1"/>
  <c r="Z2" i="12" a="1"/>
  <c r="Z2" i="12" s="1"/>
  <c r="J2" i="12" a="1"/>
  <c r="J2" i="12" s="1"/>
  <c r="Y2" i="12" a="1"/>
  <c r="Y2" i="12" s="1"/>
  <c r="I2" i="12" a="1"/>
  <c r="I2" i="12" s="1"/>
  <c r="C5" i="12" a="1"/>
  <c r="C5" i="12" s="1"/>
  <c r="Z15" i="12" a="1"/>
  <c r="Z15" i="12" s="1"/>
  <c r="Z16" i="12" s="1"/>
  <c r="P5" i="12" a="1"/>
  <c r="P5" i="12" s="1"/>
  <c r="U5" i="12" a="1"/>
  <c r="U5" i="12" s="1"/>
  <c r="Y5" i="12" a="1"/>
  <c r="Y5" i="12" s="1"/>
  <c r="U15" i="12" a="1"/>
  <c r="U15" i="12" s="1"/>
  <c r="U16" i="12" s="1"/>
  <c r="P15" i="12" a="1"/>
  <c r="P15" i="12" s="1"/>
  <c r="P16" i="12" s="1"/>
  <c r="I15" i="12" a="1"/>
  <c r="I15" i="12" s="1"/>
  <c r="I16" i="12" s="1"/>
  <c r="B15" i="12" a="1"/>
  <c r="B15" i="12" s="1"/>
  <c r="B16" i="12" s="1"/>
  <c r="S15" i="12" a="1"/>
  <c r="S15" i="12" s="1"/>
  <c r="S16" i="12" s="1"/>
  <c r="F15" i="12" a="1"/>
  <c r="F15" i="12" s="1"/>
  <c r="F16" i="12" s="1"/>
  <c r="W11" i="12" a="1"/>
  <c r="W11" i="12" s="1"/>
  <c r="T11" i="12" a="1"/>
  <c r="T11" i="12" s="1"/>
  <c r="AD11" i="12" a="1"/>
  <c r="AD11" i="12" s="1"/>
  <c r="AE11" i="12" a="1"/>
  <c r="AE11" i="12" s="1"/>
  <c r="AC14" i="12" a="1"/>
  <c r="AC14" i="12" s="1"/>
  <c r="T14" i="12" a="1"/>
  <c r="T14" i="12" s="1"/>
  <c r="I14" i="12" a="1"/>
  <c r="I14" i="12" s="1"/>
  <c r="AW3" i="6"/>
  <c r="AU3" i="6"/>
  <c r="AH3" i="6"/>
  <c r="AJ3" i="6"/>
  <c r="AV3" i="6"/>
  <c r="AM3" i="6"/>
  <c r="AZ3" i="6"/>
  <c r="AL3" i="6"/>
  <c r="AP3" i="6"/>
  <c r="AX3" i="6"/>
  <c r="AS3" i="6"/>
  <c r="AT3" i="6"/>
  <c r="AQ3" i="6"/>
  <c r="AY3" i="6"/>
  <c r="AO3" i="6"/>
  <c r="AR3" i="6"/>
  <c r="AI3" i="6"/>
  <c r="AG3" i="6"/>
  <c r="AN3" i="6"/>
  <c r="AK3" i="6"/>
  <c r="D3" i="6" l="1"/>
  <c r="C3" i="8"/>
  <c r="AX2" i="6"/>
  <c r="AM2" i="6"/>
  <c r="AY2" i="6"/>
  <c r="AZ2" i="6"/>
  <c r="AG2" i="6"/>
  <c r="AH2" i="6"/>
  <c r="AQ2" i="6"/>
  <c r="AR2" i="6"/>
  <c r="AI2" i="6"/>
  <c r="AO2" i="6"/>
  <c r="E12" i="8"/>
  <c r="D12" i="8"/>
  <c r="C12" i="8"/>
  <c r="AF12" i="6"/>
  <c r="AF12" i="8" s="1"/>
  <c r="L12" i="6"/>
  <c r="I12" i="8" s="1"/>
  <c r="D13" i="8"/>
  <c r="C13" i="8"/>
  <c r="K13" i="8"/>
  <c r="E13" i="8"/>
  <c r="AF13" i="6"/>
  <c r="AF13" i="8" s="1"/>
  <c r="L13" i="6"/>
  <c r="G13" i="8" s="1"/>
  <c r="AS15" i="6"/>
  <c r="AP15" i="6"/>
  <c r="AY15" i="6"/>
  <c r="AT15" i="6"/>
  <c r="AW15" i="6"/>
  <c r="AU15" i="6"/>
  <c r="AX15" i="6"/>
  <c r="AV15" i="6"/>
  <c r="AR15" i="6"/>
  <c r="AZ15" i="6"/>
  <c r="AQ15" i="6"/>
  <c r="AB11" i="3"/>
  <c r="AB12" i="3" s="1"/>
  <c r="AB14" i="3" s="1"/>
  <c r="AB16" i="3" s="1"/>
  <c r="AA8" i="8" s="1"/>
  <c r="AA11" i="3"/>
  <c r="C11" i="3"/>
  <c r="V11" i="3"/>
  <c r="V8" i="12" s="1"/>
  <c r="AG11" i="3"/>
  <c r="I11" i="3"/>
  <c r="I12" i="3" s="1"/>
  <c r="I14" i="3" s="1"/>
  <c r="I16" i="3" s="1"/>
  <c r="P11" i="3"/>
  <c r="P12" i="3" s="1"/>
  <c r="P14" i="3" s="1"/>
  <c r="P16" i="3" s="1"/>
  <c r="AF12" i="3"/>
  <c r="AF14" i="3" s="1"/>
  <c r="AF16" i="3" s="1"/>
  <c r="AE8" i="8" s="1"/>
  <c r="AF8" i="12"/>
  <c r="C8" i="12"/>
  <c r="C12" i="3"/>
  <c r="C14" i="3" s="1"/>
  <c r="C16" i="3" s="1"/>
  <c r="B8" i="8"/>
  <c r="AG12" i="3"/>
  <c r="AG14" i="3" s="1"/>
  <c r="AG16" i="3" s="1"/>
  <c r="AG8" i="12"/>
  <c r="U8" i="12"/>
  <c r="U12" i="3"/>
  <c r="U14" i="3" s="1"/>
  <c r="U16" i="3" s="1"/>
  <c r="T8" i="8" s="1"/>
  <c r="AB8" i="12"/>
  <c r="AA8" i="12"/>
  <c r="AA12" i="3"/>
  <c r="AA14" i="3" s="1"/>
  <c r="AA16" i="3" s="1"/>
  <c r="Z8" i="8"/>
  <c r="T8" i="12"/>
  <c r="T12" i="3"/>
  <c r="T14" i="3" s="1"/>
  <c r="T16" i="3" s="1"/>
  <c r="S8" i="8" s="1"/>
  <c r="AD11" i="3"/>
  <c r="N11" i="3"/>
  <c r="AN11" i="3"/>
  <c r="AY11" i="3"/>
  <c r="AM11" i="3"/>
  <c r="AR11" i="3"/>
  <c r="AZ11" i="3"/>
  <c r="AK11" i="3"/>
  <c r="AS11" i="3"/>
  <c r="AX11" i="3"/>
  <c r="AL11" i="3"/>
  <c r="AV11" i="3"/>
  <c r="AJ11" i="3"/>
  <c r="AU11" i="3"/>
  <c r="AW11" i="3"/>
  <c r="AI11" i="3"/>
  <c r="AO11" i="3"/>
  <c r="AT11" i="3"/>
  <c r="AH11" i="3"/>
  <c r="AP11" i="3"/>
  <c r="BA11" i="3"/>
  <c r="AQ11" i="3"/>
  <c r="AC11" i="11"/>
  <c r="AC15" i="8"/>
  <c r="AJ15" i="6"/>
  <c r="AK15" i="6"/>
  <c r="AM15" i="6"/>
  <c r="AN15" i="6"/>
  <c r="AO15" i="6"/>
  <c r="AG15" i="6"/>
  <c r="AH15" i="6"/>
  <c r="AI15" i="6"/>
  <c r="AL15" i="6"/>
  <c r="AC16" i="11"/>
  <c r="AC2" i="11"/>
  <c r="AC13" i="11"/>
  <c r="AC4" i="11"/>
  <c r="AG15" i="12" a="1"/>
  <c r="AG15" i="12" s="1"/>
  <c r="AG16" i="12" s="1"/>
  <c r="AD15" i="12" a="1"/>
  <c r="AD15" i="12" s="1"/>
  <c r="AD16" i="12" s="1"/>
  <c r="AF15" i="12" a="1"/>
  <c r="AF15" i="12" s="1"/>
  <c r="AF16" i="12" s="1"/>
  <c r="M15" i="12" a="1"/>
  <c r="M15" i="12" s="1"/>
  <c r="M16" i="12" s="1"/>
  <c r="J15" i="12" a="1"/>
  <c r="J15" i="12" s="1"/>
  <c r="J16" i="12" s="1"/>
  <c r="AE15" i="12" a="1"/>
  <c r="AE15" i="12" s="1"/>
  <c r="AE16" i="12" s="1"/>
  <c r="Y15" i="12" a="1"/>
  <c r="Y15" i="12" s="1"/>
  <c r="Y16" i="12" s="1"/>
  <c r="R15" i="12" a="1"/>
  <c r="R15" i="12" s="1"/>
  <c r="R16" i="12" s="1"/>
  <c r="V15" i="12" a="1"/>
  <c r="V15" i="12" s="1"/>
  <c r="V16" i="12" s="1"/>
  <c r="O15" i="12" a="1"/>
  <c r="O15" i="12" s="1"/>
  <c r="O16" i="12" s="1"/>
  <c r="C15" i="12" a="1"/>
  <c r="C15" i="12" s="1"/>
  <c r="C16" i="12" s="1"/>
  <c r="K15" i="12" a="1"/>
  <c r="K15" i="12" s="1"/>
  <c r="K16" i="12" s="1"/>
  <c r="N15" i="12" a="1"/>
  <c r="N15" i="12" s="1"/>
  <c r="N16" i="12" s="1"/>
  <c r="T15" i="12" a="1"/>
  <c r="T15" i="12" s="1"/>
  <c r="T16" i="12" s="1"/>
  <c r="L15" i="12" a="1"/>
  <c r="L15" i="12" s="1"/>
  <c r="L16" i="12" s="1"/>
  <c r="W15" i="12" a="1"/>
  <c r="W15" i="12" s="1"/>
  <c r="W16" i="12" s="1"/>
  <c r="D15" i="12" a="1"/>
  <c r="D15" i="12" s="1"/>
  <c r="D16" i="12" s="1"/>
  <c r="Q15" i="12" a="1"/>
  <c r="Q15" i="12" s="1"/>
  <c r="Q16" i="12" s="1"/>
  <c r="AB15" i="12" a="1"/>
  <c r="AB15" i="12" s="1"/>
  <c r="AB16" i="12" s="1"/>
  <c r="AA15" i="12" a="1"/>
  <c r="AA15" i="12" s="1"/>
  <c r="AA16" i="12" s="1"/>
  <c r="E15" i="12" a="1"/>
  <c r="E15" i="12" s="1"/>
  <c r="E16" i="12" s="1"/>
  <c r="AC15" i="12" a="1"/>
  <c r="AC15" i="12" s="1"/>
  <c r="AC16" i="12" s="1"/>
  <c r="G15" i="12" a="1"/>
  <c r="G15" i="12" s="1"/>
  <c r="G16" i="12" s="1"/>
  <c r="H15" i="12" a="1"/>
  <c r="H15" i="12" s="1"/>
  <c r="H16" i="12" s="1"/>
  <c r="AE13" i="12" a="1"/>
  <c r="AE13" i="12" s="1"/>
  <c r="V13" i="12" a="1"/>
  <c r="V13" i="12" s="1"/>
  <c r="M13" i="12" a="1"/>
  <c r="M13" i="12" s="1"/>
  <c r="H13" i="12" a="1"/>
  <c r="H13" i="12" s="1"/>
  <c r="Z13" i="12" a="1"/>
  <c r="Z13" i="12" s="1"/>
  <c r="Q13" i="12" a="1"/>
  <c r="Q13" i="12" s="1"/>
  <c r="L13" i="12" a="1"/>
  <c r="L13" i="12" s="1"/>
  <c r="C13" i="12" a="1"/>
  <c r="C13" i="12" s="1"/>
  <c r="AD13" i="12" a="1"/>
  <c r="AD13" i="12" s="1"/>
  <c r="U13" i="12" a="1"/>
  <c r="U13" i="12" s="1"/>
  <c r="P13" i="12" a="1"/>
  <c r="P13" i="12" s="1"/>
  <c r="G13" i="12" a="1"/>
  <c r="G13" i="12" s="1"/>
  <c r="AA13" i="12" a="1"/>
  <c r="AA13" i="12" s="1"/>
  <c r="R13" i="12" a="1"/>
  <c r="R13" i="12" s="1"/>
  <c r="I13" i="12" a="1"/>
  <c r="I13" i="12" s="1"/>
  <c r="D13" i="12" a="1"/>
  <c r="D13" i="12" s="1"/>
  <c r="T13" i="12" a="1"/>
  <c r="T13" i="12" s="1"/>
  <c r="K13" i="12" a="1"/>
  <c r="K13" i="12" s="1"/>
  <c r="B13" i="12" a="1"/>
  <c r="B13" i="12" s="1"/>
  <c r="AC13" i="12" a="1"/>
  <c r="AC13" i="12" s="1"/>
  <c r="AB13" i="12" a="1"/>
  <c r="AB13" i="12" s="1"/>
  <c r="S13" i="12" a="1"/>
  <c r="S13" i="12" s="1"/>
  <c r="J13" i="12" a="1"/>
  <c r="J13" i="12" s="1"/>
  <c r="AF13" i="12" a="1"/>
  <c r="AF13" i="12" s="1"/>
  <c r="W13" i="12" a="1"/>
  <c r="W13" i="12" s="1"/>
  <c r="N13" i="12" a="1"/>
  <c r="N13" i="12" s="1"/>
  <c r="E13" i="12" a="1"/>
  <c r="E13" i="12" s="1"/>
  <c r="O13" i="12" a="1"/>
  <c r="O13" i="12" s="1"/>
  <c r="AG13" i="12" a="1"/>
  <c r="AG13" i="12" s="1"/>
  <c r="Y13" i="12" a="1"/>
  <c r="Y13" i="12" s="1"/>
  <c r="X13" i="12" a="1"/>
  <c r="X13" i="12" s="1"/>
  <c r="F13" i="12" a="1"/>
  <c r="F13" i="12" s="1"/>
  <c r="H11" i="3"/>
  <c r="E11" i="3"/>
  <c r="G11" i="3"/>
  <c r="B11" i="3"/>
  <c r="J11" i="3"/>
  <c r="R11" i="3"/>
  <c r="Z11" i="3"/>
  <c r="W11" i="3"/>
  <c r="O11" i="3"/>
  <c r="K11" i="3"/>
  <c r="M11" i="3"/>
  <c r="F11" i="3"/>
  <c r="S11" i="3"/>
  <c r="X11" i="3"/>
  <c r="D11" i="3"/>
  <c r="Q11" i="3"/>
  <c r="X15" i="12" a="1"/>
  <c r="X15" i="12" s="1"/>
  <c r="X16" i="12" s="1"/>
  <c r="Y11" i="3"/>
  <c r="AC11" i="3"/>
  <c r="AE11" i="3"/>
  <c r="L11" i="3"/>
  <c r="E3" i="6" l="1"/>
  <c r="D3" i="8"/>
  <c r="J12" i="8"/>
  <c r="K12" i="8"/>
  <c r="G12" i="8"/>
  <c r="J13" i="8"/>
  <c r="AB12" i="6"/>
  <c r="AB12" i="8" s="1"/>
  <c r="U12" i="6"/>
  <c r="U12" i="8" s="1"/>
  <c r="R12" i="6"/>
  <c r="R12" i="8" s="1"/>
  <c r="AE12" i="6"/>
  <c r="AE12" i="8" s="1"/>
  <c r="O12" i="6"/>
  <c r="O12" i="8" s="1"/>
  <c r="AC12" i="6"/>
  <c r="Y12" i="6"/>
  <c r="Y12" i="8" s="1"/>
  <c r="X12" i="6"/>
  <c r="X12" i="8" s="1"/>
  <c r="T12" i="6"/>
  <c r="T12" i="8" s="1"/>
  <c r="P12" i="6"/>
  <c r="P12" i="8" s="1"/>
  <c r="V12" i="6"/>
  <c r="V12" i="8" s="1"/>
  <c r="N12" i="6"/>
  <c r="N12" i="8" s="1"/>
  <c r="AD12" i="6"/>
  <c r="AD12" i="8" s="1"/>
  <c r="W12" i="6"/>
  <c r="W12" i="8" s="1"/>
  <c r="M12" i="6"/>
  <c r="M12" i="8" s="1"/>
  <c r="AA12" i="6"/>
  <c r="AA12" i="8" s="1"/>
  <c r="Z12" i="6"/>
  <c r="Z12" i="8" s="1"/>
  <c r="S12" i="6"/>
  <c r="S12" i="8" s="1"/>
  <c r="Q12" i="6"/>
  <c r="Q12" i="8" s="1"/>
  <c r="L12" i="8"/>
  <c r="H12" i="8"/>
  <c r="F12" i="8"/>
  <c r="M13" i="6"/>
  <c r="M13" i="8" s="1"/>
  <c r="AB13" i="6"/>
  <c r="AB13" i="8" s="1"/>
  <c r="N13" i="6"/>
  <c r="N13" i="8" s="1"/>
  <c r="V13" i="6"/>
  <c r="V13" i="8" s="1"/>
  <c r="R13" i="6"/>
  <c r="R13" i="8" s="1"/>
  <c r="U13" i="6"/>
  <c r="U13" i="8" s="1"/>
  <c r="Q13" i="6"/>
  <c r="Q13" i="8" s="1"/>
  <c r="AC13" i="6"/>
  <c r="Y13" i="6"/>
  <c r="Y13" i="8" s="1"/>
  <c r="Z13" i="6"/>
  <c r="Z13" i="8" s="1"/>
  <c r="O13" i="6"/>
  <c r="O13" i="8" s="1"/>
  <c r="W13" i="6"/>
  <c r="W13" i="8" s="1"/>
  <c r="AE13" i="6"/>
  <c r="AE13" i="8" s="1"/>
  <c r="S13" i="6"/>
  <c r="S13" i="8" s="1"/>
  <c r="AD13" i="6"/>
  <c r="AD13" i="8" s="1"/>
  <c r="P13" i="6"/>
  <c r="P13" i="8" s="1"/>
  <c r="AA13" i="6"/>
  <c r="AA13" i="8" s="1"/>
  <c r="L13" i="8"/>
  <c r="X13" i="6"/>
  <c r="X13" i="8" s="1"/>
  <c r="T13" i="6"/>
  <c r="T13" i="8" s="1"/>
  <c r="F13" i="8"/>
  <c r="I13" i="8"/>
  <c r="H13" i="8"/>
  <c r="AF8" i="8"/>
  <c r="V12" i="3"/>
  <c r="V14" i="3" s="1"/>
  <c r="V16" i="3" s="1"/>
  <c r="U8" i="8" s="1"/>
  <c r="O8" i="8"/>
  <c r="P8" i="12"/>
  <c r="H8" i="8"/>
  <c r="I8" i="12"/>
  <c r="AE12" i="3"/>
  <c r="AE14" i="3" s="1"/>
  <c r="AE16" i="3" s="1"/>
  <c r="AD8" i="8" s="1"/>
  <c r="AE8" i="12"/>
  <c r="B8" i="12"/>
  <c r="B12" i="3"/>
  <c r="B14" i="3" s="1"/>
  <c r="B16" i="3" s="1"/>
  <c r="AX12" i="3"/>
  <c r="AX14" i="3" s="1"/>
  <c r="AX16" i="3" s="1"/>
  <c r="AC8" i="12"/>
  <c r="AC12" i="3"/>
  <c r="AC14" i="3" s="1"/>
  <c r="AC16" i="3" s="1"/>
  <c r="AB8" i="8" s="1"/>
  <c r="G12" i="3"/>
  <c r="G14" i="3" s="1"/>
  <c r="G16" i="3" s="1"/>
  <c r="F8" i="8" s="1"/>
  <c r="G8" i="12"/>
  <c r="AS12" i="3"/>
  <c r="AS14" i="3" s="1"/>
  <c r="AS16" i="3" s="1"/>
  <c r="Y12" i="3"/>
  <c r="Y14" i="3" s="1"/>
  <c r="Y16" i="3" s="1"/>
  <c r="X8" i="8" s="1"/>
  <c r="Y8" i="12"/>
  <c r="E8" i="12"/>
  <c r="E12" i="3"/>
  <c r="E14" i="3" s="1"/>
  <c r="E16" i="3" s="1"/>
  <c r="D8" i="8" s="1"/>
  <c r="AK12" i="3"/>
  <c r="AK14" i="3" s="1"/>
  <c r="AK16" i="3" s="1"/>
  <c r="O12" i="3"/>
  <c r="O14" i="3" s="1"/>
  <c r="O16" i="3" s="1"/>
  <c r="N8" i="8" s="1"/>
  <c r="O8" i="12"/>
  <c r="AW12" i="3"/>
  <c r="AW14" i="3" s="1"/>
  <c r="AW16" i="3" s="1"/>
  <c r="Q12" i="3"/>
  <c r="Q14" i="3" s="1"/>
  <c r="Q16" i="3" s="1"/>
  <c r="P8" i="8" s="1"/>
  <c r="Q8" i="12"/>
  <c r="AQ12" i="3"/>
  <c r="AQ14" i="3" s="1"/>
  <c r="AQ16" i="3" s="1"/>
  <c r="AR12" i="3"/>
  <c r="AR14" i="3" s="1"/>
  <c r="AR16" i="3" s="1"/>
  <c r="D8" i="12"/>
  <c r="D12" i="3"/>
  <c r="D14" i="3" s="1"/>
  <c r="D16" i="3" s="1"/>
  <c r="C8" i="8" s="1"/>
  <c r="AJ12" i="3"/>
  <c r="AJ14" i="3" s="1"/>
  <c r="AJ16" i="3" s="1"/>
  <c r="AM12" i="3"/>
  <c r="AM14" i="3" s="1"/>
  <c r="AM16" i="3" s="1"/>
  <c r="X12" i="3"/>
  <c r="X14" i="3" s="1"/>
  <c r="X16" i="3" s="1"/>
  <c r="X8" i="12"/>
  <c r="W8" i="8"/>
  <c r="R12" i="3"/>
  <c r="R14" i="3" s="1"/>
  <c r="R16" i="3" s="1"/>
  <c r="R8" i="12"/>
  <c r="Q8" i="8"/>
  <c r="AP12" i="3"/>
  <c r="AP14" i="3" s="1"/>
  <c r="AP16" i="3" s="1"/>
  <c r="AV12" i="3"/>
  <c r="AV14" i="3" s="1"/>
  <c r="AV16" i="3" s="1"/>
  <c r="AY12" i="3"/>
  <c r="AY14" i="3" s="1"/>
  <c r="AY16" i="3" s="1"/>
  <c r="F8" i="12"/>
  <c r="F12" i="3"/>
  <c r="F14" i="3" s="1"/>
  <c r="F16" i="3" s="1"/>
  <c r="E8" i="8" s="1"/>
  <c r="AT12" i="3"/>
  <c r="AT14" i="3" s="1"/>
  <c r="AT16" i="3" s="1"/>
  <c r="N8" i="12"/>
  <c r="N12" i="3"/>
  <c r="N14" i="3" s="1"/>
  <c r="N16" i="3" s="1"/>
  <c r="M8" i="8" s="1"/>
  <c r="M8" i="12"/>
  <c r="M12" i="3"/>
  <c r="M14" i="3" s="1"/>
  <c r="M16" i="3" s="1"/>
  <c r="L8" i="8" s="1"/>
  <c r="AO12" i="3"/>
  <c r="AO14" i="3" s="1"/>
  <c r="AO16" i="3" s="1"/>
  <c r="AD8" i="12"/>
  <c r="AD12" i="3"/>
  <c r="AD14" i="3" s="1"/>
  <c r="AD16" i="3" s="1"/>
  <c r="AC8" i="8" s="1"/>
  <c r="K8" i="12"/>
  <c r="K12" i="3"/>
  <c r="K14" i="3" s="1"/>
  <c r="K16" i="3" s="1"/>
  <c r="J8" i="8" s="1"/>
  <c r="AI12" i="3"/>
  <c r="AI14" i="3" s="1"/>
  <c r="AI16" i="3" s="1"/>
  <c r="H12" i="3"/>
  <c r="H14" i="3" s="1"/>
  <c r="H16" i="3" s="1"/>
  <c r="H8" i="12"/>
  <c r="G8" i="8"/>
  <c r="AZ12" i="3"/>
  <c r="AZ14" i="3" s="1"/>
  <c r="AZ16" i="3" s="1"/>
  <c r="W12" i="3"/>
  <c r="W14" i="3" s="1"/>
  <c r="W16" i="3" s="1"/>
  <c r="V8" i="8" s="1"/>
  <c r="W8" i="12"/>
  <c r="AU12" i="3"/>
  <c r="AU14" i="3" s="1"/>
  <c r="AU16" i="3" s="1"/>
  <c r="Z12" i="3"/>
  <c r="Z14" i="3" s="1"/>
  <c r="Z16" i="3" s="1"/>
  <c r="Z8" i="12"/>
  <c r="Y8" i="8"/>
  <c r="BA12" i="3"/>
  <c r="BA14" i="3" s="1"/>
  <c r="BA16" i="3" s="1"/>
  <c r="L8" i="12"/>
  <c r="L12" i="3"/>
  <c r="L14" i="3" s="1"/>
  <c r="L16" i="3" s="1"/>
  <c r="K8" i="8" s="1"/>
  <c r="S8" i="12"/>
  <c r="S12" i="3"/>
  <c r="S14" i="3" s="1"/>
  <c r="S16" i="3" s="1"/>
  <c r="R8" i="8" s="1"/>
  <c r="J12" i="3"/>
  <c r="J14" i="3" s="1"/>
  <c r="J16" i="3" s="1"/>
  <c r="I8" i="8" s="1"/>
  <c r="J8" i="12"/>
  <c r="AH12" i="3"/>
  <c r="AH14" i="3" s="1"/>
  <c r="AH16" i="3" s="1"/>
  <c r="AL12" i="3"/>
  <c r="AL14" i="3" s="1"/>
  <c r="AL16" i="3" s="1"/>
  <c r="AN12" i="3"/>
  <c r="AN14" i="3" s="1"/>
  <c r="AN16" i="3" s="1"/>
  <c r="F3" i="6" l="1"/>
  <c r="E3" i="8"/>
  <c r="AS12" i="6"/>
  <c r="AT12" i="6"/>
  <c r="AH12" i="6"/>
  <c r="AU12" i="6"/>
  <c r="AW12" i="6"/>
  <c r="AC12" i="8"/>
  <c r="AJ12" i="6"/>
  <c r="AK12" i="6"/>
  <c r="AI12" i="6"/>
  <c r="AQ12" i="6"/>
  <c r="AP12" i="6"/>
  <c r="AY12" i="6"/>
  <c r="AX12" i="6"/>
  <c r="AR12" i="6"/>
  <c r="AV12" i="6"/>
  <c r="AL12" i="6"/>
  <c r="AM12" i="6"/>
  <c r="AO12" i="6"/>
  <c r="AZ12" i="6"/>
  <c r="AN12" i="6"/>
  <c r="AG12" i="6"/>
  <c r="AY13" i="6"/>
  <c r="AS13" i="6"/>
  <c r="AC13" i="8"/>
  <c r="AM13" i="6"/>
  <c r="AT13" i="6"/>
  <c r="AH13" i="6"/>
  <c r="AL13" i="6"/>
  <c r="AP13" i="6"/>
  <c r="AN13" i="6"/>
  <c r="AV13" i="6"/>
  <c r="AX13" i="6"/>
  <c r="AO13" i="6"/>
  <c r="AQ13" i="6"/>
  <c r="AU13" i="6"/>
  <c r="AJ13" i="6"/>
  <c r="AZ13" i="6"/>
  <c r="AR13" i="6"/>
  <c r="AI13" i="6"/>
  <c r="AG13" i="6"/>
  <c r="AW13" i="6"/>
  <c r="AK13" i="6"/>
  <c r="G3" i="6" l="1"/>
  <c r="F3" i="8"/>
  <c r="H3" i="6" l="1"/>
  <c r="G3" i="8"/>
  <c r="I3" i="6" l="1"/>
  <c r="H3" i="8"/>
  <c r="J3" i="6" l="1"/>
  <c r="I3" i="8"/>
  <c r="K3" i="6" l="1"/>
  <c r="K3" i="8" s="1"/>
  <c r="J3" i="8"/>
</calcChain>
</file>

<file path=xl/sharedStrings.xml><?xml version="1.0" encoding="utf-8"?>
<sst xmlns="http://schemas.openxmlformats.org/spreadsheetml/2006/main" count="301" uniqueCount="150">
  <si>
    <t>CCaMC BAU Construction Cost per Unit Capacity</t>
  </si>
  <si>
    <t>CCaMC Annual Fixed O&amp;M Cost per Unit Capacity</t>
  </si>
  <si>
    <t>CCaMC Variable O&amp;M Cost per Unit Elec Output</t>
  </si>
  <si>
    <t>CCaMC BAU Soft Costs per Unit Capacity</t>
  </si>
  <si>
    <t>Sources:</t>
  </si>
  <si>
    <t>Solar Thermal Capital and O&amp;M Costs</t>
  </si>
  <si>
    <t>IRENA Renewable Power Generation Cost in 2020</t>
  </si>
  <si>
    <t>https://www.irena.org/publications/2021/Jun/Renewable-Power-Costs-in-2020</t>
  </si>
  <si>
    <t>page 105</t>
  </si>
  <si>
    <t>Nuclear Capital and O&amp;M Costs</t>
  </si>
  <si>
    <t>National Renewable Energy Lab</t>
  </si>
  <si>
    <t>Annual Technology Baseline (ATB) Spreadsheet - 2020 Final</t>
  </si>
  <si>
    <t>https://atb.nrel.gov/</t>
  </si>
  <si>
    <t>taken from US EPS</t>
  </si>
  <si>
    <t>Notes:</t>
  </si>
  <si>
    <t>Solar thermal data is taken from China as available data that is the nearest (Asia) with Indonesia is China. It is assumed that the investment cost is affected by the capacity factor linearly (inversely proportional). Currency of solar thermal data is in 2020 USD and to be converted to  2019.</t>
  </si>
  <si>
    <t>Data for nuclear in Indonesia is not available. Data is taken from US EPS. Currency of nuclear data is in 2018 USD and to be converted to  2019.</t>
  </si>
  <si>
    <t>It is chosen to not include endogenous learning since soft cost data specific for Indonesia is not available. Solar PV, onshore &amp; offshore wind data for specifically Indonesia is available but not with the soft cost, therefore we choose to not use endogenous learning.</t>
  </si>
  <si>
    <t>For coal power plant, data used is for sub-bituminious CPP since most CPP in Indonesia is that type. Lignite PP is assumed to be the same with CPP (since in most cases in Indonesia, lignite and sub-bituminious coal are mixed together).</t>
  </si>
  <si>
    <t>Petroleum, crude oil, heavy oil are assumed to be the same PP type.</t>
  </si>
  <si>
    <t>Currency conversion factor</t>
  </si>
  <si>
    <t>Geothermal</t>
  </si>
  <si>
    <t>Solar PV</t>
  </si>
  <si>
    <t>Biomass</t>
  </si>
  <si>
    <t>Solar Thermal (CSP)</t>
  </si>
  <si>
    <t>page 105, parabolic through collector &amp; 10h storage, data for China</t>
  </si>
  <si>
    <t>Available data</t>
  </si>
  <si>
    <t>Investment (2020 $/kW)</t>
  </si>
  <si>
    <t>capacity factor increase in 10 years</t>
  </si>
  <si>
    <t>Fixed O&amp;M (2020 $/kWh)</t>
  </si>
  <si>
    <t>capacity factor 2020</t>
  </si>
  <si>
    <t>Investment ($/MW)</t>
  </si>
  <si>
    <t>Capacity factor</t>
  </si>
  <si>
    <t>Projection each year (2020$/MW)</t>
  </si>
  <si>
    <t>NREL CAPEX ($/kW)</t>
  </si>
  <si>
    <t>Model Electricity Source</t>
  </si>
  <si>
    <t>NREL Electricity Source</t>
  </si>
  <si>
    <t>nuclear</t>
  </si>
  <si>
    <t>Nuclear - Moderate</t>
  </si>
  <si>
    <t>NREL O&amp;M Cost</t>
  </si>
  <si>
    <t>Model Subscript</t>
  </si>
  <si>
    <t>EIA Technology Name</t>
  </si>
  <si>
    <t>Variable O&amp;M ($/MWh)</t>
  </si>
  <si>
    <t>Fixed O&amp;M ($/kW-yr)</t>
  </si>
  <si>
    <t>Currency Year</t>
  </si>
  <si>
    <t>Source</t>
  </si>
  <si>
    <t>NREL ATB</t>
  </si>
  <si>
    <t>Available capital cost data (2019 $/MW)</t>
  </si>
  <si>
    <t>M$ to $</t>
  </si>
  <si>
    <t>hard coal</t>
  </si>
  <si>
    <t>natural gas nonpeaker</t>
  </si>
  <si>
    <t>hydro</t>
  </si>
  <si>
    <t>onshore wind</t>
  </si>
  <si>
    <t>solar PV</t>
  </si>
  <si>
    <t>biomass</t>
  </si>
  <si>
    <t>geothermal</t>
  </si>
  <si>
    <t>petroleum</t>
  </si>
  <si>
    <t>natural gas peaker</t>
  </si>
  <si>
    <t>lignite</t>
  </si>
  <si>
    <t>offshore wind</t>
  </si>
  <si>
    <t>crude oil</t>
  </si>
  <si>
    <t>heavy or residual fuel oil</t>
  </si>
  <si>
    <t>municipal solid waste</t>
  </si>
  <si>
    <t>Fixed O&amp;M ($/MW) - Preex.Retiring</t>
  </si>
  <si>
    <t>solar thermal</t>
  </si>
  <si>
    <t>Fixed O&amp;M ($/MW) - Preex.Nonretiring</t>
  </si>
  <si>
    <t>Variable O&amp;M ($/MWh)-Preex.Retiring</t>
  </si>
  <si>
    <t>coal</t>
  </si>
  <si>
    <t>Variable O&amp;M ($/MWh)-Newly Built</t>
  </si>
  <si>
    <t>Unit: $/MW</t>
  </si>
  <si>
    <t>Hard Coal</t>
  </si>
  <si>
    <t>Natural Gas Nonpeaker</t>
  </si>
  <si>
    <t>Nuclear</t>
  </si>
  <si>
    <t>Hydro</t>
  </si>
  <si>
    <t>Onshore Wind</t>
  </si>
  <si>
    <t>Solar Thermal</t>
  </si>
  <si>
    <t>Petroleum</t>
  </si>
  <si>
    <t>Natural Gas Peaker</t>
  </si>
  <si>
    <t>Lignite</t>
  </si>
  <si>
    <t>Offshore Wind</t>
  </si>
  <si>
    <t>Crude Oil</t>
  </si>
  <si>
    <t>Heavy or Residual Fuel Oil</t>
  </si>
  <si>
    <t>Municipal Solid Waste</t>
  </si>
  <si>
    <t>Hard Coal (NOT USED)</t>
  </si>
  <si>
    <t>Natural Gas Nonpeaker (NOT USED)</t>
  </si>
  <si>
    <t>Nuclear (NOT USED)</t>
  </si>
  <si>
    <t>Hydro (NOT USED)</t>
  </si>
  <si>
    <t>Onshore Wind (NOT USED)</t>
  </si>
  <si>
    <t>Solar PV (NOT USED)</t>
  </si>
  <si>
    <t>Solar Thermal (NOT USED)</t>
  </si>
  <si>
    <t>Biomass (NOT USED)</t>
  </si>
  <si>
    <t>Geothermal (NOT USED)</t>
  </si>
  <si>
    <t>Petroleum (NOT USED)</t>
  </si>
  <si>
    <t>Natural Gas Peaker (NOT USED)</t>
  </si>
  <si>
    <t>Lignite (NOT USED)</t>
  </si>
  <si>
    <t>Offshore Wind (NOT USED)</t>
  </si>
  <si>
    <t>Crude Oil (NOT USED)</t>
  </si>
  <si>
    <t>Heavy or Residual Fuel Oil (NOT USED)</t>
  </si>
  <si>
    <t>Municipal Solid Waste (NOT USED)</t>
  </si>
  <si>
    <t>Fixed O&amp;M Cost ($/MW)</t>
  </si>
  <si>
    <t>Variable O&amp;M Cost ($/MWh)</t>
  </si>
  <si>
    <t>Solar thermal</t>
  </si>
  <si>
    <t>For 2020 (use 2016 USD- Check page 8 from the 2017 TDIPS report for more info)</t>
  </si>
  <si>
    <t>2016 USD to 2012 USD</t>
  </si>
  <si>
    <t>2022 USD to 2012 USD</t>
  </si>
  <si>
    <t>https://www.officialdata.org/us/inflation/2022?endYear=2012&amp;amount=1</t>
  </si>
  <si>
    <t>2020 USD to 2012 USD</t>
  </si>
  <si>
    <t>RetireYear</t>
  </si>
  <si>
    <t>(Multiple Items)</t>
  </si>
  <si>
    <t>Row Labels</t>
  </si>
  <si>
    <t>Sum of WeightedVOM</t>
  </si>
  <si>
    <t>Sum of WeightedFOM</t>
  </si>
  <si>
    <t>VOM Adjusted for Currency Year</t>
  </si>
  <si>
    <t>FOM Adjusted for Currency Year</t>
  </si>
  <si>
    <t>battery</t>
  </si>
  <si>
    <t>biopower</t>
  </si>
  <si>
    <t>csp-ns</t>
  </si>
  <si>
    <t>DUPV</t>
  </si>
  <si>
    <t>gas-CC</t>
  </si>
  <si>
    <t>gas-CT</t>
  </si>
  <si>
    <t>lfill-gas</t>
  </si>
  <si>
    <t>o-g-s</t>
  </si>
  <si>
    <t>pumped-hydro</t>
  </si>
  <si>
    <t>UPV</t>
  </si>
  <si>
    <t>wind-ofs</t>
  </si>
  <si>
    <t>wind-ons</t>
  </si>
  <si>
    <t>(blank)</t>
  </si>
  <si>
    <t>Grand Total</t>
  </si>
  <si>
    <t>US Data</t>
  </si>
  <si>
    <t>Investment ($/MW)-2012$-US</t>
  </si>
  <si>
    <t>Adjustement factor</t>
  </si>
  <si>
    <t>Fixed O&amp;M Cost ($/MW)-US</t>
  </si>
  <si>
    <t>Variable O&amp;M Cost ($/MWh)-US</t>
  </si>
  <si>
    <t>For 2023-2050 (use 2022 USD- Check page 8 from the 2024 TDIPS report for more info)</t>
  </si>
  <si>
    <t>Power Generation Cost Report</t>
  </si>
  <si>
    <t>https://www.epe.gov.br/sites-pt/publicacoes-dados-abertos/publicacoes/PublishingImages/pt/publicacoes-dados-abertos/publicacoes/caderno-de-precos-da-geracao/EPE_Power%20Generation%20Costs%20Report%202021.pdf</t>
  </si>
  <si>
    <t xml:space="preserve">
Power Generation Costs Report 2021
Empresa de Pesquisa Energética</t>
  </si>
  <si>
    <t>EPE - Empresa de Pesquisa Energética</t>
  </si>
  <si>
    <t>Energy Sources</t>
  </si>
  <si>
    <t>Fixed O&amp;M (BRL/kW)</t>
  </si>
  <si>
    <t>Fixed O&amp;M (BRL/MW)</t>
  </si>
  <si>
    <t>Fixed O&amp;M ($/MW)</t>
  </si>
  <si>
    <t>kW to MW</t>
  </si>
  <si>
    <t>2021 BRL to 2021 USD</t>
  </si>
  <si>
    <t>2021 USD to 2012 USD</t>
  </si>
  <si>
    <t>2021 BRL to 2012 USD</t>
  </si>
  <si>
    <t>Need to be revised</t>
  </si>
  <si>
    <t>Fixed O&amp;M Cost ($/MW)-BRA</t>
  </si>
  <si>
    <t>Variable O&amp;M Cost ($/MWh)-BRA</t>
  </si>
  <si>
    <t>Investment ($/MW)-2012$-BRA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</si>
</sst>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23">
    <font>
      <sz val="11"/>
      <color theme="1"/>
      <name val="Calibri"/>
      <scheme val="minor"/>
    </font>
    <font>
      <b/>
      <sz val="11"/>
      <color theme="1"/>
      <name val="Calibri"/>
      <family val="2"/>
    </font>
    <font>
      <sz val="11"/>
      <color theme="1"/>
      <name val="Calibri"/>
      <family val="2"/>
    </font>
    <font>
      <sz val="11"/>
      <color theme="1"/>
      <name val="Calibri"/>
      <family val="2"/>
      <scheme val="minor"/>
    </font>
    <font>
      <u/>
      <sz val="11"/>
      <color theme="10"/>
      <name val="Calibri"/>
      <family val="2"/>
    </font>
    <font>
      <i/>
      <sz val="11"/>
      <color theme="1"/>
      <name val="Calibri"/>
      <family val="2"/>
    </font>
    <font>
      <b/>
      <sz val="11"/>
      <color theme="1"/>
      <name val="Calibri"/>
      <family val="2"/>
      <scheme val="minor"/>
    </font>
    <font>
      <sz val="10"/>
      <color theme="1"/>
      <name val="Calibri (Body)"/>
    </font>
    <font>
      <sz val="10"/>
      <color theme="1"/>
      <name val="Calibri"/>
      <family val="2"/>
    </font>
    <font>
      <u/>
      <sz val="11"/>
      <color theme="10"/>
      <name val="Calibri"/>
      <family val="2"/>
      <scheme val="minor"/>
    </font>
    <font>
      <sz val="11"/>
      <color rgb="FFFF0000"/>
      <name val="Calibri"/>
      <family val="2"/>
      <scheme val="minor"/>
    </font>
    <font>
      <sz val="11"/>
      <color rgb="FF000000"/>
      <name val="Calibri"/>
      <family val="2"/>
      <scheme val="minor"/>
    </font>
    <font>
      <b/>
      <sz val="10"/>
      <color theme="1"/>
      <name val="Calibri"/>
      <family val="2"/>
    </font>
    <font>
      <b/>
      <sz val="10"/>
      <color theme="1"/>
      <name val="Calibri"/>
      <family val="2"/>
      <scheme val="minor"/>
    </font>
    <font>
      <sz val="10"/>
      <color theme="1"/>
      <name val="Calibri"/>
      <family val="2"/>
      <scheme val="minor"/>
    </font>
    <font>
      <b/>
      <sz val="11"/>
      <color rgb="FF000000"/>
      <name val="Calibri"/>
      <family val="2"/>
      <scheme val="minor"/>
    </font>
    <font>
      <u/>
      <sz val="20"/>
      <color rgb="FF1A0DAB"/>
      <name val="Arial"/>
      <family val="2"/>
    </font>
    <font>
      <sz val="12"/>
      <color rgb="FF1A0DAB"/>
      <name val="Arial"/>
      <family val="2"/>
    </font>
    <font>
      <sz val="14"/>
      <color rgb="FF202124"/>
      <name val="Arial"/>
      <family val="2"/>
    </font>
    <font>
      <b/>
      <sz val="11"/>
      <color rgb="FF333333"/>
      <name val="Calibri"/>
      <family val="2"/>
      <scheme val="minor"/>
    </font>
    <font>
      <b/>
      <sz val="11"/>
      <color rgb="FFFF0000"/>
      <name val="Calibri"/>
      <family val="2"/>
      <scheme val="minor"/>
    </font>
    <font>
      <sz val="8"/>
      <color theme="1"/>
      <name val="Calibri (Body)"/>
    </font>
    <font>
      <sz val="8"/>
      <color theme="1"/>
      <name val="Calibri"/>
      <family val="2"/>
    </font>
  </fonts>
  <fills count="6">
    <fill>
      <patternFill patternType="none"/>
    </fill>
    <fill>
      <patternFill patternType="gray125"/>
    </fill>
    <fill>
      <patternFill patternType="solid">
        <fgColor rgb="FFBFBFBF"/>
        <bgColor rgb="FFBFBFBF"/>
      </patternFill>
    </fill>
    <fill>
      <patternFill patternType="solid">
        <fgColor rgb="FFFFFF00"/>
        <bgColor rgb="FFFFFF00"/>
      </patternFill>
    </fill>
    <fill>
      <patternFill patternType="solid">
        <fgColor rgb="FFFFFF00"/>
        <bgColor indexed="64"/>
      </patternFill>
    </fill>
    <fill>
      <patternFill patternType="solid">
        <fgColor theme="2"/>
        <bgColor indexed="64"/>
      </patternFill>
    </fill>
  </fills>
  <borders count="3">
    <border>
      <left/>
      <right/>
      <top/>
      <bottom/>
      <diagonal/>
    </border>
    <border>
      <left/>
      <right/>
      <top/>
      <bottom/>
      <diagonal/>
    </border>
    <border>
      <left style="thin">
        <color theme="2" tint="-0.14999847407452621"/>
      </left>
      <right style="thin">
        <color theme="2" tint="-0.14999847407452621"/>
      </right>
      <top style="thin">
        <color theme="2" tint="-0.14999847407452621"/>
      </top>
      <bottom style="thin">
        <color theme="2" tint="-0.14999847407452621"/>
      </bottom>
      <diagonal/>
    </border>
  </borders>
  <cellStyleXfs count="2">
    <xf numFmtId="0" fontId="0" fillId="0" borderId="0"/>
    <xf numFmtId="0" fontId="9" fillId="0" borderId="0" applyNumberFormat="0" applyFill="0" applyBorder="0" applyAlignment="0" applyProtection="0"/>
  </cellStyleXfs>
  <cellXfs count="65">
    <xf numFmtId="0" fontId="0" fillId="0" borderId="0" xfId="0"/>
    <xf numFmtId="0" fontId="1" fillId="0" borderId="0" xfId="0" applyFont="1"/>
    <xf numFmtId="0" fontId="2" fillId="0" borderId="0" xfId="0" applyFont="1" applyAlignment="1">
      <alignment horizontal="left"/>
    </xf>
    <xf numFmtId="0" fontId="1" fillId="0" borderId="0" xfId="0" applyFont="1" applyAlignment="1">
      <alignment horizontal="left"/>
    </xf>
    <xf numFmtId="1" fontId="1" fillId="2" borderId="1" xfId="0" applyNumberFormat="1" applyFont="1" applyFill="1" applyBorder="1" applyAlignment="1">
      <alignment horizontal="left"/>
    </xf>
    <xf numFmtId="0" fontId="3" fillId="0" borderId="0" xfId="0" applyFont="1"/>
    <xf numFmtId="0" fontId="4" fillId="0" borderId="0" xfId="0" applyFont="1"/>
    <xf numFmtId="0" fontId="1" fillId="2" borderId="1" xfId="0" applyFont="1" applyFill="1" applyBorder="1" applyAlignment="1">
      <alignment horizontal="left"/>
    </xf>
    <xf numFmtId="0" fontId="2" fillId="0" borderId="0" xfId="0" applyFont="1" applyAlignment="1">
      <alignment wrapText="1"/>
    </xf>
    <xf numFmtId="0" fontId="1" fillId="3" borderId="1" xfId="0" applyFont="1" applyFill="1" applyBorder="1"/>
    <xf numFmtId="0" fontId="1" fillId="2" borderId="1" xfId="0" applyFont="1" applyFill="1" applyBorder="1"/>
    <xf numFmtId="9" fontId="2" fillId="0" borderId="0" xfId="0" applyNumberFormat="1" applyFont="1"/>
    <xf numFmtId="0" fontId="2" fillId="0" borderId="0" xfId="0" applyFont="1"/>
    <xf numFmtId="164" fontId="2" fillId="0" borderId="0" xfId="0" applyNumberFormat="1" applyFont="1"/>
    <xf numFmtId="0" fontId="1" fillId="0" borderId="0" xfId="0" applyFont="1" applyAlignment="1">
      <alignment wrapText="1"/>
    </xf>
    <xf numFmtId="0" fontId="2" fillId="2" borderId="1" xfId="0" applyFont="1" applyFill="1" applyBorder="1"/>
    <xf numFmtId="0" fontId="1" fillId="0" borderId="0" xfId="0" applyFont="1" applyAlignment="1">
      <alignment horizontal="right" wrapText="1"/>
    </xf>
    <xf numFmtId="0" fontId="1" fillId="0" borderId="0" xfId="0" applyFont="1" applyAlignment="1">
      <alignment horizontal="center" wrapText="1"/>
    </xf>
    <xf numFmtId="2" fontId="2" fillId="0" borderId="0" xfId="0" applyNumberFormat="1" applyFont="1"/>
    <xf numFmtId="0" fontId="2" fillId="0" borderId="0" xfId="0" applyFont="1" applyAlignment="1">
      <alignment horizontal="center"/>
    </xf>
    <xf numFmtId="1" fontId="2" fillId="0" borderId="0" xfId="0" applyNumberFormat="1" applyFont="1"/>
    <xf numFmtId="1" fontId="3" fillId="0" borderId="0" xfId="0" applyNumberFormat="1" applyFont="1"/>
    <xf numFmtId="0" fontId="1" fillId="0" borderId="0" xfId="0" applyFont="1" applyAlignment="1">
      <alignment horizontal="left" wrapText="1"/>
    </xf>
    <xf numFmtId="2" fontId="3" fillId="0" borderId="0" xfId="0" applyNumberFormat="1" applyFont="1"/>
    <xf numFmtId="0" fontId="5" fillId="0" borderId="0" xfId="0" applyFont="1"/>
    <xf numFmtId="0" fontId="6" fillId="0" borderId="0" xfId="0" applyFont="1"/>
    <xf numFmtId="0" fontId="6" fillId="0" borderId="0" xfId="0" applyFont="1" applyAlignment="1">
      <alignment horizontal="left"/>
    </xf>
    <xf numFmtId="11" fontId="0" fillId="0" borderId="0" xfId="0" applyNumberFormat="1" applyAlignment="1">
      <alignment horizontal="left"/>
    </xf>
    <xf numFmtId="11" fontId="3" fillId="0" borderId="0" xfId="0" applyNumberFormat="1" applyFont="1" applyAlignment="1">
      <alignment horizontal="left"/>
    </xf>
    <xf numFmtId="11" fontId="0" fillId="0" borderId="0" xfId="0" applyNumberFormat="1"/>
    <xf numFmtId="11" fontId="2" fillId="0" borderId="0" xfId="0" applyNumberFormat="1" applyFont="1"/>
    <xf numFmtId="11" fontId="7" fillId="0" borderId="0" xfId="0" applyNumberFormat="1" applyFont="1"/>
    <xf numFmtId="11" fontId="8" fillId="0" borderId="0" xfId="0" applyNumberFormat="1" applyFont="1"/>
    <xf numFmtId="11" fontId="2" fillId="2" borderId="1" xfId="0" applyNumberFormat="1" applyFont="1" applyFill="1" applyBorder="1"/>
    <xf numFmtId="0" fontId="9" fillId="0" borderId="0" xfId="1"/>
    <xf numFmtId="0" fontId="3" fillId="0" borderId="0" xfId="0" applyFont="1" applyAlignment="1">
      <alignment vertical="top"/>
    </xf>
    <xf numFmtId="0" fontId="10" fillId="0" borderId="0" xfId="0" applyFont="1" applyAlignment="1">
      <alignment vertical="top"/>
    </xf>
    <xf numFmtId="0" fontId="10" fillId="0" borderId="0" xfId="0" applyFont="1"/>
    <xf numFmtId="0" fontId="9" fillId="0" borderId="0" xfId="1" applyAlignment="1">
      <alignment horizontal="left"/>
    </xf>
    <xf numFmtId="0" fontId="11" fillId="0" borderId="0" xfId="0" applyFont="1"/>
    <xf numFmtId="0" fontId="1" fillId="0" borderId="0" xfId="0" applyFont="1" applyAlignment="1">
      <alignment horizontal="right"/>
    </xf>
    <xf numFmtId="0" fontId="12" fillId="0" borderId="0" xfId="0" applyFont="1" applyAlignment="1">
      <alignment horizontal="left"/>
    </xf>
    <xf numFmtId="0" fontId="12" fillId="0" borderId="0" xfId="0" applyFont="1" applyAlignment="1">
      <alignment horizontal="right"/>
    </xf>
    <xf numFmtId="0" fontId="13" fillId="0" borderId="0" xfId="0" applyFont="1"/>
    <xf numFmtId="0" fontId="8" fillId="0" borderId="0" xfId="0" applyFont="1"/>
    <xf numFmtId="11" fontId="14" fillId="0" borderId="0" xfId="0" applyNumberFormat="1" applyFont="1"/>
    <xf numFmtId="0" fontId="15" fillId="0" borderId="1" xfId="0" applyFont="1" applyBorder="1"/>
    <xf numFmtId="0" fontId="2" fillId="0" borderId="2" xfId="0" applyFont="1" applyBorder="1"/>
    <xf numFmtId="11" fontId="0" fillId="0" borderId="2" xfId="0" applyNumberFormat="1" applyBorder="1" applyAlignment="1">
      <alignment horizontal="left"/>
    </xf>
    <xf numFmtId="0" fontId="2" fillId="4" borderId="2" xfId="0" applyFont="1" applyFill="1" applyBorder="1"/>
    <xf numFmtId="11" fontId="0" fillId="4" borderId="2" xfId="0" applyNumberFormat="1" applyFill="1" applyBorder="1" applyAlignment="1">
      <alignment horizontal="left"/>
    </xf>
    <xf numFmtId="0" fontId="2" fillId="5" borderId="2" xfId="0" applyFont="1" applyFill="1" applyBorder="1"/>
    <xf numFmtId="0" fontId="2" fillId="4" borderId="0" xfId="0" applyFont="1" applyFill="1"/>
    <xf numFmtId="0" fontId="3" fillId="0" borderId="0" xfId="0" applyFont="1" applyAlignment="1">
      <alignment horizontal="left"/>
    </xf>
    <xf numFmtId="0" fontId="3" fillId="0" borderId="0" xfId="0" applyFont="1" applyAlignment="1">
      <alignment wrapText="1"/>
    </xf>
    <xf numFmtId="0" fontId="16" fillId="0" borderId="0" xfId="0" applyFont="1"/>
    <xf numFmtId="0" fontId="17" fillId="0" borderId="0" xfId="0" applyFont="1"/>
    <xf numFmtId="0" fontId="18" fillId="0" borderId="0" xfId="0" applyFont="1"/>
    <xf numFmtId="0" fontId="19" fillId="0" borderId="0" xfId="0" applyFont="1"/>
    <xf numFmtId="0" fontId="20" fillId="0" borderId="0" xfId="0" applyFont="1"/>
    <xf numFmtId="11" fontId="21" fillId="0" borderId="0" xfId="0" applyNumberFormat="1" applyFont="1"/>
    <xf numFmtId="11" fontId="22" fillId="0" borderId="0" xfId="0" applyNumberFormat="1" applyFont="1"/>
    <xf numFmtId="0" fontId="2" fillId="0" borderId="0" xfId="0" applyFont="1" applyAlignment="1">
      <alignment wrapText="1"/>
    </xf>
    <xf numFmtId="0" fontId="0" fillId="0" borderId="0" xfId="0"/>
    <xf numFmtId="0" fontId="2" fillId="0" borderId="0" xfId="0" applyFont="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33" Type="http://schemas.openxmlformats.org/officeDocument/2006/relationships/calcChain" Target="calcChain.xml"/><Relationship Id="rId2" Type="http://schemas.openxmlformats.org/officeDocument/2006/relationships/worksheet" Target="worksheets/sheet2.xml"/><Relationship Id="rId29"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32"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30"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'solar thermal'!$A$11</c:f>
              <c:strCache>
                <c:ptCount val="1"/>
                <c:pt idx="0">
                  <c:v>Investment ($/MW)</c:v>
                </c:pt>
              </c:strCache>
            </c:strRef>
          </c:tx>
          <c:spPr>
            <a:ln w="28575" cap="rnd">
              <a:solidFill>
                <a:schemeClr val="accent1"/>
              </a:solidFill>
              <a:round/>
            </a:ln>
            <a:effectLst/>
          </c:spPr>
          <c:marker>
            <c:symbol val="none"/>
          </c:marker>
          <c:cat>
            <c:numRef>
              <c:f>'solar thermal'!$B$10:$BA$10</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'solar thermal'!$B$11:$BA$11</c:f>
              <c:numCache>
                <c:formatCode>General</c:formatCode>
                <c:ptCount val="52"/>
                <c:pt idx="0">
                  <c:v>5176188.1442524493</c:v>
                </c:pt>
                <c:pt idx="1">
                  <c:v>5133476.9346356094</c:v>
                </c:pt>
                <c:pt idx="2">
                  <c:v>5090765.7250187844</c:v>
                </c:pt>
                <c:pt idx="3">
                  <c:v>5048054.5154019594</c:v>
                </c:pt>
                <c:pt idx="4">
                  <c:v>5005343.3057851344</c:v>
                </c:pt>
                <c:pt idx="5">
                  <c:v>4962632.0961682945</c:v>
                </c:pt>
                <c:pt idx="6">
                  <c:v>4919920.8865514696</c:v>
                </c:pt>
                <c:pt idx="7">
                  <c:v>4877209.6769346446</c:v>
                </c:pt>
                <c:pt idx="8">
                  <c:v>4834498.4673178047</c:v>
                </c:pt>
                <c:pt idx="9">
                  <c:v>4791787.2577009797</c:v>
                </c:pt>
                <c:pt idx="10">
                  <c:v>4749076.0480841547</c:v>
                </c:pt>
                <c:pt idx="11">
                  <c:v>4706364.8384673148</c:v>
                </c:pt>
                <c:pt idx="12">
                  <c:v>4663653.6288504899</c:v>
                </c:pt>
                <c:pt idx="13">
                  <c:v>4620942.4192336649</c:v>
                </c:pt>
                <c:pt idx="14">
                  <c:v>4578231.2096168399</c:v>
                </c:pt>
                <c:pt idx="15">
                  <c:v>4535520</c:v>
                </c:pt>
                <c:pt idx="16">
                  <c:v>4492808.790383175</c:v>
                </c:pt>
                <c:pt idx="17">
                  <c:v>4450097.58076635</c:v>
                </c:pt>
                <c:pt idx="18">
                  <c:v>4407386.3711495101</c:v>
                </c:pt>
                <c:pt idx="19">
                  <c:v>4364675.1615326852</c:v>
                </c:pt>
                <c:pt idx="20">
                  <c:v>4321963.9519158602</c:v>
                </c:pt>
                <c:pt idx="21">
                  <c:v>4279252.7422990203</c:v>
                </c:pt>
                <c:pt idx="22">
                  <c:v>4236541.5326821953</c:v>
                </c:pt>
                <c:pt idx="23">
                  <c:v>4193830.3230653703</c:v>
                </c:pt>
                <c:pt idx="24">
                  <c:v>4151119.1134485453</c:v>
                </c:pt>
                <c:pt idx="25">
                  <c:v>4108407.9038317055</c:v>
                </c:pt>
                <c:pt idx="26">
                  <c:v>4065696.6942148805</c:v>
                </c:pt>
                <c:pt idx="27">
                  <c:v>4022985.4845980555</c:v>
                </c:pt>
                <c:pt idx="28">
                  <c:v>3980274.2749812156</c:v>
                </c:pt>
                <c:pt idx="29">
                  <c:v>3937563.0653643906</c:v>
                </c:pt>
                <c:pt idx="30">
                  <c:v>3894851.8557475656</c:v>
                </c:pt>
                <c:pt idx="31">
                  <c:v>3852140.6461307257</c:v>
                </c:pt>
                <c:pt idx="32">
                  <c:v>3809429.4365139008</c:v>
                </c:pt>
                <c:pt idx="33">
                  <c:v>3766718.2268970758</c:v>
                </c:pt>
                <c:pt idx="34">
                  <c:v>3724007.0172802359</c:v>
                </c:pt>
                <c:pt idx="35">
                  <c:v>3681295.8076634109</c:v>
                </c:pt>
                <c:pt idx="36">
                  <c:v>3638584.5980465859</c:v>
                </c:pt>
                <c:pt idx="37">
                  <c:v>3595873.3884297609</c:v>
                </c:pt>
                <c:pt idx="38">
                  <c:v>3553162.178812921</c:v>
                </c:pt>
                <c:pt idx="39">
                  <c:v>3510450.9691960961</c:v>
                </c:pt>
                <c:pt idx="40">
                  <c:v>3467739.7595792711</c:v>
                </c:pt>
                <c:pt idx="41">
                  <c:v>3425028.5499624312</c:v>
                </c:pt>
                <c:pt idx="42">
                  <c:v>3382317.3403456062</c:v>
                </c:pt>
                <c:pt idx="43">
                  <c:v>3339606.1307287812</c:v>
                </c:pt>
                <c:pt idx="44">
                  <c:v>3296894.9211119413</c:v>
                </c:pt>
                <c:pt idx="45">
                  <c:v>3254183.7114951164</c:v>
                </c:pt>
                <c:pt idx="46">
                  <c:v>3211472.5018782914</c:v>
                </c:pt>
                <c:pt idx="47">
                  <c:v>3168761.2922614664</c:v>
                </c:pt>
                <c:pt idx="48">
                  <c:v>3126050.0826446265</c:v>
                </c:pt>
                <c:pt idx="49">
                  <c:v>3083338.8730278015</c:v>
                </c:pt>
                <c:pt idx="50">
                  <c:v>3040627.6634109765</c:v>
                </c:pt>
                <c:pt idx="51">
                  <c:v>2997916.4537941366</c:v>
                </c:pt>
              </c:numCache>
            </c:numRef>
          </c:val>
          <c:smooth val="0"/>
          <c:extLst xmlns:c16r2="http://schemas.microsoft.com/office/drawing/2015/06/chart">
            <c:ext xmlns:c16="http://schemas.microsoft.com/office/drawing/2014/chart" uri="{C3380CC4-5D6E-409C-BE32-E72D297353CC}">
              <c16:uniqueId val="{00000000-0A1C-D242-AE4B-B662113621A0}"/>
            </c:ext>
          </c:extLst>
        </c:ser>
        <c:ser>
          <c:idx val="1"/>
          <c:order val="1"/>
          <c:tx>
            <c:strRef>
              <c:f>'solar thermal'!$A$12</c:f>
              <c:strCache>
                <c:ptCount val="1"/>
                <c:pt idx="0">
                  <c:v>Investment ($/MW)-2012$-BRA</c:v>
                </c:pt>
              </c:strCache>
            </c:strRef>
          </c:tx>
          <c:spPr>
            <a:ln w="28575" cap="rnd">
              <a:solidFill>
                <a:schemeClr val="accent2"/>
              </a:solidFill>
              <a:round/>
            </a:ln>
            <a:effectLst/>
          </c:spPr>
          <c:marker>
            <c:symbol val="none"/>
          </c:marker>
          <c:cat>
            <c:numRef>
              <c:f>'solar thermal'!$B$10:$BA$10</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'solar thermal'!$B$12:$BA$12</c:f>
              <c:numCache>
                <c:formatCode>General</c:formatCode>
                <c:ptCount val="52"/>
                <c:pt idx="0">
                  <c:v>4606807.4483846799</c:v>
                </c:pt>
                <c:pt idx="1">
                  <c:v>4568794.4718256928</c:v>
                </c:pt>
                <c:pt idx="2">
                  <c:v>4530781.4952667179</c:v>
                </c:pt>
                <c:pt idx="3">
                  <c:v>4492768.5187077438</c:v>
                </c:pt>
                <c:pt idx="4">
                  <c:v>4454755.5421487698</c:v>
                </c:pt>
                <c:pt idx="5">
                  <c:v>4416742.5655897819</c:v>
                </c:pt>
                <c:pt idx="6">
                  <c:v>4378729.5890308078</c:v>
                </c:pt>
                <c:pt idx="7">
                  <c:v>4340716.6124718338</c:v>
                </c:pt>
                <c:pt idx="8">
                  <c:v>4302703.6359128458</c:v>
                </c:pt>
                <c:pt idx="9">
                  <c:v>4264690.6593538718</c:v>
                </c:pt>
                <c:pt idx="10">
                  <c:v>4226677.6827948978</c:v>
                </c:pt>
                <c:pt idx="11">
                  <c:v>4188664.7062359103</c:v>
                </c:pt>
                <c:pt idx="12">
                  <c:v>4150651.7296769358</c:v>
                </c:pt>
                <c:pt idx="13">
                  <c:v>4112638.7531179618</c:v>
                </c:pt>
                <c:pt idx="14">
                  <c:v>4074625.7765589873</c:v>
                </c:pt>
                <c:pt idx="15">
                  <c:v>4036612.8000000003</c:v>
                </c:pt>
                <c:pt idx="16">
                  <c:v>3998599.8234410258</c:v>
                </c:pt>
                <c:pt idx="17">
                  <c:v>3960586.8468820518</c:v>
                </c:pt>
                <c:pt idx="18">
                  <c:v>3922573.8703230643</c:v>
                </c:pt>
                <c:pt idx="19">
                  <c:v>3884560.8937640898</c:v>
                </c:pt>
                <c:pt idx="20">
                  <c:v>3846547.9172051158</c:v>
                </c:pt>
                <c:pt idx="21">
                  <c:v>3808534.9406461283</c:v>
                </c:pt>
                <c:pt idx="22">
                  <c:v>3770521.9640871538</c:v>
                </c:pt>
                <c:pt idx="23">
                  <c:v>3732508.9875281798</c:v>
                </c:pt>
                <c:pt idx="24">
                  <c:v>3694496.0109692053</c:v>
                </c:pt>
                <c:pt idx="25">
                  <c:v>3656483.0344102178</c:v>
                </c:pt>
                <c:pt idx="26">
                  <c:v>3618470.0578512438</c:v>
                </c:pt>
                <c:pt idx="27">
                  <c:v>3580457.0812922693</c:v>
                </c:pt>
                <c:pt idx="28">
                  <c:v>3542444.1047332818</c:v>
                </c:pt>
                <c:pt idx="29">
                  <c:v>3504431.1281743078</c:v>
                </c:pt>
                <c:pt idx="30">
                  <c:v>3466418.1516153333</c:v>
                </c:pt>
                <c:pt idx="31">
                  <c:v>3428405.1750563458</c:v>
                </c:pt>
                <c:pt idx="32">
                  <c:v>3390392.1984973717</c:v>
                </c:pt>
                <c:pt idx="33">
                  <c:v>3352379.2219383973</c:v>
                </c:pt>
                <c:pt idx="34">
                  <c:v>3314366.2453794102</c:v>
                </c:pt>
                <c:pt idx="35">
                  <c:v>3276353.2688204357</c:v>
                </c:pt>
                <c:pt idx="36">
                  <c:v>3238340.2922614617</c:v>
                </c:pt>
                <c:pt idx="37">
                  <c:v>3200327.3157024872</c:v>
                </c:pt>
                <c:pt idx="38">
                  <c:v>3162314.3391434997</c:v>
                </c:pt>
                <c:pt idx="39">
                  <c:v>3124301.3625845257</c:v>
                </c:pt>
                <c:pt idx="40">
                  <c:v>3086288.3860255512</c:v>
                </c:pt>
                <c:pt idx="41">
                  <c:v>3048275.4094665637</c:v>
                </c:pt>
                <c:pt idx="42">
                  <c:v>3010262.4329075897</c:v>
                </c:pt>
                <c:pt idx="43">
                  <c:v>2972249.4563486152</c:v>
                </c:pt>
                <c:pt idx="44">
                  <c:v>2934236.4797896277</c:v>
                </c:pt>
                <c:pt idx="45">
                  <c:v>2896223.5032306537</c:v>
                </c:pt>
                <c:pt idx="46">
                  <c:v>2858210.5266716792</c:v>
                </c:pt>
                <c:pt idx="47">
                  <c:v>2820197.5501127052</c:v>
                </c:pt>
                <c:pt idx="48">
                  <c:v>2782184.5735537177</c:v>
                </c:pt>
                <c:pt idx="49">
                  <c:v>2744171.5969947432</c:v>
                </c:pt>
                <c:pt idx="50">
                  <c:v>2706158.6204357692</c:v>
                </c:pt>
                <c:pt idx="51">
                  <c:v>2668145.6438767817</c:v>
                </c:pt>
              </c:numCache>
            </c:numRef>
          </c:val>
          <c:smooth val="0"/>
          <c:extLst xmlns:c16r2="http://schemas.microsoft.com/office/drawing/2015/06/chart">
            <c:ext xmlns:c16="http://schemas.microsoft.com/office/drawing/2014/chart" uri="{C3380CC4-5D6E-409C-BE32-E72D297353CC}">
              <c16:uniqueId val="{00000001-0A1C-D242-AE4B-B662113621A0}"/>
            </c:ext>
          </c:extLst>
        </c:ser>
        <c:ser>
          <c:idx val="2"/>
          <c:order val="2"/>
          <c:tx>
            <c:strRef>
              <c:f>'solar thermal'!$A$13</c:f>
              <c:strCache>
                <c:ptCount val="1"/>
                <c:pt idx="0">
                  <c:v>Investment ($/MW)-2012$-US</c:v>
                </c:pt>
              </c:strCache>
            </c:strRef>
          </c:tx>
          <c:spPr>
            <a:ln w="28575" cap="rnd">
              <a:solidFill>
                <a:schemeClr val="accent3"/>
              </a:solidFill>
              <a:round/>
            </a:ln>
            <a:effectLst/>
          </c:spPr>
          <c:marker>
            <c:symbol val="none"/>
          </c:marker>
          <c:cat>
            <c:numRef>
              <c:f>'solar thermal'!$B$10:$BA$10</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'solar thermal'!$B$13:$BA$13</c:f>
              <c:numCache>
                <c:formatCode>General</c:formatCode>
                <c:ptCount val="52"/>
                <c:pt idx="0">
                  <c:v>5770615.6415932029</c:v>
                </c:pt>
                <c:pt idx="1">
                  <c:v>5579703.7886677757</c:v>
                </c:pt>
                <c:pt idx="2">
                  <c:v>5388791.9357423494</c:v>
                </c:pt>
                <c:pt idx="3">
                  <c:v>5197880.082816923</c:v>
                </c:pt>
                <c:pt idx="4">
                  <c:v>5006968.2298914967</c:v>
                </c:pt>
                <c:pt idx="5">
                  <c:v>4816056.3769660695</c:v>
                </c:pt>
                <c:pt idx="6">
                  <c:v>4630891.4252945716</c:v>
                </c:pt>
                <c:pt idx="7">
                  <c:v>4445255.6682265233</c:v>
                </c:pt>
                <c:pt idx="8">
                  <c:v>4259148.6487105982</c:v>
                </c:pt>
                <c:pt idx="9">
                  <c:v>4072569.907682443</c:v>
                </c:pt>
                <c:pt idx="10">
                  <c:v>3885518.9840730261</c:v>
                </c:pt>
                <c:pt idx="11">
                  <c:v>3865472.7944376948</c:v>
                </c:pt>
                <c:pt idx="12">
                  <c:v>3845426.6048023649</c:v>
                </c:pt>
                <c:pt idx="13">
                  <c:v>3825380.4151670355</c:v>
                </c:pt>
                <c:pt idx="14">
                  <c:v>3805334.2255317057</c:v>
                </c:pt>
                <c:pt idx="15">
                  <c:v>3785288.0358963748</c:v>
                </c:pt>
                <c:pt idx="16">
                  <c:v>3765241.846261045</c:v>
                </c:pt>
                <c:pt idx="17">
                  <c:v>3745195.6566257156</c:v>
                </c:pt>
                <c:pt idx="18">
                  <c:v>3725149.4669903857</c:v>
                </c:pt>
                <c:pt idx="19">
                  <c:v>3705103.2773550553</c:v>
                </c:pt>
                <c:pt idx="20">
                  <c:v>3685057.0877197245</c:v>
                </c:pt>
                <c:pt idx="21">
                  <c:v>3665010.8980843951</c:v>
                </c:pt>
                <c:pt idx="22">
                  <c:v>3644964.7084490648</c:v>
                </c:pt>
                <c:pt idx="23">
                  <c:v>3624918.5188137349</c:v>
                </c:pt>
                <c:pt idx="24">
                  <c:v>3604872.3291784045</c:v>
                </c:pt>
                <c:pt idx="25">
                  <c:v>3584826.1395430746</c:v>
                </c:pt>
                <c:pt idx="26">
                  <c:v>3564779.9499077443</c:v>
                </c:pt>
                <c:pt idx="27">
                  <c:v>3544733.7602724144</c:v>
                </c:pt>
                <c:pt idx="28">
                  <c:v>3524687.5706370845</c:v>
                </c:pt>
                <c:pt idx="29">
                  <c:v>3504641.3810017542</c:v>
                </c:pt>
                <c:pt idx="30">
                  <c:v>3484595.1913664243</c:v>
                </c:pt>
                <c:pt idx="31">
                  <c:v>3047968.6751432121</c:v>
                </c:pt>
                <c:pt idx="32">
                  <c:v>2983317.3613967001</c:v>
                </c:pt>
                <c:pt idx="33">
                  <c:v>2918666.0476502031</c:v>
                </c:pt>
                <c:pt idx="34">
                  <c:v>2854014.7339036912</c:v>
                </c:pt>
                <c:pt idx="35">
                  <c:v>2789363.4201571941</c:v>
                </c:pt>
                <c:pt idx="36">
                  <c:v>2724712.1064106822</c:v>
                </c:pt>
                <c:pt idx="37">
                  <c:v>2660060.7926641852</c:v>
                </c:pt>
                <c:pt idx="38">
                  <c:v>2595409.4789176732</c:v>
                </c:pt>
                <c:pt idx="39">
                  <c:v>2530758.1651711762</c:v>
                </c:pt>
                <c:pt idx="40">
                  <c:v>2466106.8514246643</c:v>
                </c:pt>
                <c:pt idx="41">
                  <c:v>2401455.5376781523</c:v>
                </c:pt>
                <c:pt idx="42">
                  <c:v>2336804.2239316553</c:v>
                </c:pt>
                <c:pt idx="43">
                  <c:v>2272152.9101851434</c:v>
                </c:pt>
                <c:pt idx="44">
                  <c:v>2207501.5964386463</c:v>
                </c:pt>
                <c:pt idx="45">
                  <c:v>2142850.2826921344</c:v>
                </c:pt>
                <c:pt idx="46">
                  <c:v>2078198.9689456373</c:v>
                </c:pt>
                <c:pt idx="47">
                  <c:v>2013547.6551991254</c:v>
                </c:pt>
                <c:pt idx="48">
                  <c:v>1948896.3414526284</c:v>
                </c:pt>
                <c:pt idx="49">
                  <c:v>1884245.0277061164</c:v>
                </c:pt>
                <c:pt idx="50">
                  <c:v>1819593.7139596194</c:v>
                </c:pt>
                <c:pt idx="51">
                  <c:v>1754942.4002131075</c:v>
                </c:pt>
              </c:numCache>
            </c:numRef>
          </c:val>
          <c:smooth val="0"/>
          <c:extLst xmlns:c16r2="http://schemas.microsoft.com/office/drawing/2015/06/chart">
            <c:ext xmlns:c16="http://schemas.microsoft.com/office/drawing/2014/chart" uri="{C3380CC4-5D6E-409C-BE32-E72D297353CC}">
              <c16:uniqueId val="{00000002-0A1C-D242-AE4B-B662113621A0}"/>
            </c:ext>
          </c:extLst>
        </c:ser>
        <c:ser>
          <c:idx val="3"/>
          <c:order val="3"/>
          <c:tx>
            <c:strRef>
              <c:f>'solar thermal'!$A$14</c:f>
              <c:strCache>
                <c:ptCount val="1"/>
                <c:pt idx="0">
                  <c:v>Adjustement factor</c:v>
                </c:pt>
              </c:strCache>
            </c:strRef>
          </c:tx>
          <c:spPr>
            <a:ln w="28575" cap="rnd">
              <a:solidFill>
                <a:schemeClr val="accent4"/>
              </a:solidFill>
              <a:round/>
            </a:ln>
            <a:effectLst/>
          </c:spPr>
          <c:marker>
            <c:symbol val="none"/>
          </c:marker>
          <c:cat>
            <c:numRef>
              <c:f>'solar thermal'!$B$10:$BA$10</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'solar thermal'!$B$14:$BA$14</c:f>
              <c:numCache>
                <c:formatCode>General</c:formatCode>
                <c:ptCount val="52"/>
                <c:pt idx="0">
                  <c:v>1.2526279221018013</c:v>
                </c:pt>
                <c:pt idx="1">
                  <c:v>1.2212639073777645</c:v>
                </c:pt>
                <c:pt idx="2">
                  <c:v>1.1893736083657953</c:v>
                </c:pt>
                <c:pt idx="3">
                  <c:v>1.156943666510553</c:v>
                </c:pt>
                <c:pt idx="4">
                  <c:v>1.1239602672959166</c:v>
                </c:pt>
                <c:pt idx="5">
                  <c:v>1.0904091206237114</c:v>
                </c:pt>
                <c:pt idx="6">
                  <c:v>1.0575878987584564</c:v>
                </c:pt>
                <c:pt idx="7">
                  <c:v>1.0240833634368864</c:v>
                </c:pt>
                <c:pt idx="8">
                  <c:v>0.98987729788342549</c:v>
                </c:pt>
                <c:pt idx="9">
                  <c:v>0.95495083535542147</c:v>
                </c:pt>
                <c:pt idx="10">
                  <c:v>0.91928442991747605</c:v>
                </c:pt>
                <c:pt idx="11">
                  <c:v>0.92284130278628873</c:v>
                </c:pt>
                <c:pt idx="12">
                  <c:v>0.92646332558035938</c:v>
                </c:pt>
                <c:pt idx="13">
                  <c:v>0.93015230483515143</c:v>
                </c:pt>
                <c:pt idx="14">
                  <c:v>0.93391011450020867</c:v>
                </c:pt>
                <c:pt idx="15">
                  <c:v>0.93773869911336916</c:v>
                </c:pt>
                <c:pt idx="16">
                  <c:v>0.94164007715601739</c:v>
                </c:pt>
                <c:pt idx="17">
                  <c:v>0.94561634460158306</c:v>
                </c:pt>
                <c:pt idx="18">
                  <c:v>0.94966967867034235</c:v>
                </c:pt>
                <c:pt idx="19">
                  <c:v>0.95380234180467627</c:v>
                </c:pt>
                <c:pt idx="20">
                  <c:v>0.95801668588006839</c:v>
                </c:pt>
                <c:pt idx="21">
                  <c:v>0.96231515666825318</c:v>
                </c:pt>
                <c:pt idx="22">
                  <c:v>0.9667002985703369</c:v>
                </c:pt>
                <c:pt idx="23">
                  <c:v>0.97117475963917355</c:v>
                </c:pt>
                <c:pt idx="24">
                  <c:v>0.97574129691175682</c:v>
                </c:pt>
                <c:pt idx="25">
                  <c:v>0.98040278207425047</c:v>
                </c:pt>
                <c:pt idx="26">
                  <c:v>0.98516220748407068</c:v>
                </c:pt>
                <c:pt idx="27">
                  <c:v>0.99002269257561903</c:v>
                </c:pt>
                <c:pt idx="28">
                  <c:v>0.99498749067840719</c:v>
                </c:pt>
                <c:pt idx="29">
                  <c:v>1.0000599962789269</c:v>
                </c:pt>
                <c:pt idx="30">
                  <c:v>1.0052437527603588</c:v>
                </c:pt>
                <c:pt idx="31">
                  <c:v>0.88903397338184187</c:v>
                </c:pt>
                <c:pt idx="32">
                  <c:v>0.87993281801406698</c:v>
                </c:pt>
                <c:pt idx="33">
                  <c:v>0.87062526475229296</c:v>
                </c:pt>
                <c:pt idx="34">
                  <c:v>0.86110421196887954</c:v>
                </c:pt>
                <c:pt idx="35">
                  <c:v>0.85136222845756515</c:v>
                </c:pt>
                <c:pt idx="36">
                  <c:v>0.84139153408979983</c:v>
                </c:pt>
                <c:pt idx="37">
                  <c:v>0.83118397909255382</c:v>
                </c:pt>
                <c:pt idx="38">
                  <c:v>0.82073102183150759</c:v>
                </c:pt>
                <c:pt idx="39">
                  <c:v>0.81002370497244514</c:v>
                </c:pt>
                <c:pt idx="40">
                  <c:v>0.7990526298809224</c:v>
                </c:pt>
                <c:pt idx="41">
                  <c:v>0.78780792910650999</c:v>
                </c:pt>
                <c:pt idx="42">
                  <c:v>0.77627923678220767</c:v>
                </c:pt>
                <c:pt idx="43">
                  <c:v>0.76445565675246685</c:v>
                </c:pt>
                <c:pt idx="44">
                  <c:v>0.7523257282238256</c:v>
                </c:pt>
                <c:pt idx="45">
                  <c:v>0.73987738871045239</c:v>
                </c:pt>
                <c:pt idx="46">
                  <c:v>0.72709793402295408</c:v>
                </c:pt>
                <c:pt idx="47">
                  <c:v>0.71397397502123805</c:v>
                </c:pt>
                <c:pt idx="48">
                  <c:v>0.70049139082216949</c:v>
                </c:pt>
                <c:pt idx="49">
                  <c:v>0.68663527811804181</c:v>
                </c:pt>
                <c:pt idx="50">
                  <c:v>0.6723898962236784</c:v>
                </c:pt>
                <c:pt idx="51">
                  <c:v>0.65773860742594192</c:v>
                </c:pt>
              </c:numCache>
            </c:numRef>
          </c:val>
          <c:smooth val="0"/>
          <c:extLst xmlns:c16r2="http://schemas.microsoft.com/office/drawing/2015/06/chart">
            <c:ext xmlns:c16="http://schemas.microsoft.com/office/drawing/2014/chart" uri="{C3380CC4-5D6E-409C-BE32-E72D297353CC}">
              <c16:uniqueId val="{00000003-0A1C-D242-AE4B-B662113621A0}"/>
            </c:ext>
          </c:extLst>
        </c:ser>
        <c:ser>
          <c:idx val="4"/>
          <c:order val="4"/>
          <c:tx>
            <c:strRef>
              <c:f>'solar thermal'!$A$15</c:f>
              <c:strCache>
                <c:ptCount val="1"/>
                <c:pt idx="0">
                  <c:v>Fixed O&amp;M Cost ($/MW)-US</c:v>
                </c:pt>
              </c:strCache>
            </c:strRef>
          </c:tx>
          <c:spPr>
            <a:ln w="28575" cap="rnd">
              <a:solidFill>
                <a:schemeClr val="accent5"/>
              </a:solidFill>
              <a:round/>
            </a:ln>
            <a:effectLst/>
          </c:spPr>
          <c:marker>
            <c:symbol val="none"/>
          </c:marker>
          <c:cat>
            <c:numRef>
              <c:f>'solar thermal'!$B$10:$BA$10</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'solar thermal'!$B$15:$BA$15</c:f>
              <c:numCache>
                <c:formatCode>General</c:formatCode>
                <c:ptCount val="52"/>
                <c:pt idx="0">
                  <c:v>77011.173441128762</c:v>
                </c:pt>
              </c:numCache>
            </c:numRef>
          </c:val>
          <c:smooth val="0"/>
          <c:extLst xmlns:c16r2="http://schemas.microsoft.com/office/drawing/2015/06/chart">
            <c:ext xmlns:c16="http://schemas.microsoft.com/office/drawing/2014/chart" uri="{C3380CC4-5D6E-409C-BE32-E72D297353CC}">
              <c16:uniqueId val="{00000004-0A1C-D242-AE4B-B662113621A0}"/>
            </c:ext>
          </c:extLst>
        </c:ser>
        <c:ser>
          <c:idx val="5"/>
          <c:order val="5"/>
          <c:tx>
            <c:strRef>
              <c:f>'solar thermal'!$A$16</c:f>
              <c:strCache>
                <c:ptCount val="1"/>
                <c:pt idx="0">
                  <c:v>Fixed O&amp;M Cost ($/MW)-BRA</c:v>
                </c:pt>
              </c:strCache>
            </c:strRef>
          </c:tx>
          <c:spPr>
            <a:ln w="28575" cap="rnd">
              <a:solidFill>
                <a:schemeClr val="accent6"/>
              </a:solidFill>
              <a:round/>
            </a:ln>
            <a:effectLst/>
          </c:spPr>
          <c:marker>
            <c:symbol val="none"/>
          </c:marker>
          <c:cat>
            <c:numRef>
              <c:f>'solar thermal'!$B$10:$BA$10</c:f>
              <c:numCache>
                <c:formatCode>General</c:formatCode>
                <c:ptCount val="5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pt idx="42">
                  <c:v>2061</c:v>
                </c:pt>
                <c:pt idx="43">
                  <c:v>2062</c:v>
                </c:pt>
                <c:pt idx="44">
                  <c:v>2063</c:v>
                </c:pt>
                <c:pt idx="45">
                  <c:v>2064</c:v>
                </c:pt>
                <c:pt idx="46">
                  <c:v>2065</c:v>
                </c:pt>
                <c:pt idx="47">
                  <c:v>2066</c:v>
                </c:pt>
                <c:pt idx="48">
                  <c:v>2067</c:v>
                </c:pt>
                <c:pt idx="49">
                  <c:v>2068</c:v>
                </c:pt>
                <c:pt idx="50">
                  <c:v>2069</c:v>
                </c:pt>
                <c:pt idx="51">
                  <c:v>2070</c:v>
                </c:pt>
              </c:numCache>
            </c:numRef>
          </c:cat>
          <c:val>
            <c:numRef>
              <c:f>'solar thermal'!$B$16:$BA$16</c:f>
              <c:numCache>
                <c:formatCode>General</c:formatCode>
                <c:ptCount val="52"/>
                <c:pt idx="0">
                  <c:v>96466.346166182542</c:v>
                </c:pt>
                <c:pt idx="1">
                  <c:v>94050.966588459632</c:v>
                </c:pt>
                <c:pt idx="2">
                  <c:v>91595.057240159411</c:v>
                </c:pt>
                <c:pt idx="3">
                  <c:v>89097.589363259627</c:v>
                </c:pt>
                <c:pt idx="4">
                  <c:v>86557.499085663279</c:v>
                </c:pt>
                <c:pt idx="5">
                  <c:v>83973.685910141328</c:v>
                </c:pt>
                <c:pt idx="6">
                  <c:v>81446.085100526412</c:v>
                </c:pt>
                <c:pt idx="7">
                  <c:v>78865.861519812563</c:v>
                </c:pt>
                <c:pt idx="8">
                  <c:v>76231.612272736354</c:v>
                </c:pt>
                <c:pt idx="9">
                  <c:v>73541.884409307153</c:v>
                </c:pt>
                <c:pt idx="10">
                  <c:v>70795.172674103931</c:v>
                </c:pt>
                <c:pt idx="11">
                  <c:v>71069.091627512098</c:v>
                </c:pt>
                <c:pt idx="12">
                  <c:v>71348.027853114007</c:v>
                </c:pt>
                <c:pt idx="13">
                  <c:v>71632.120474325522</c:v>
                </c:pt>
                <c:pt idx="14">
                  <c:v>71921.51380619999</c:v>
                </c:pt>
                <c:pt idx="15">
                  <c:v>72216.357599878131</c:v>
                </c:pt>
                <c:pt idx="16">
                  <c:v>72516.807300979926</c:v>
                </c:pt>
                <c:pt idx="17">
                  <c:v>72823.0243228787</c:v>
                </c:pt>
                <c:pt idx="18">
                  <c:v>73135.17633586275</c:v>
                </c:pt>
                <c:pt idx="19">
                  <c:v>73453.437573274699</c:v>
                </c:pt>
                <c:pt idx="20">
                  <c:v>73777.98915580532</c:v>
                </c:pt>
                <c:pt idx="21">
                  <c:v>74109.019435205846</c:v>
                </c:pt>
                <c:pt idx="22">
                  <c:v>74446.72435879118</c:v>
                </c:pt>
                <c:pt idx="23">
                  <c:v>74791.307856218933</c:v>
                </c:pt>
                <c:pt idx="24">
                  <c:v>75142.982250143221</c:v>
                </c:pt>
                <c:pt idx="25">
                  <c:v>75501.968692485272</c:v>
                </c:pt>
                <c:pt idx="26">
                  <c:v>75868.497628201047</c:v>
                </c:pt>
                <c:pt idx="27">
                  <c:v>76242.809288594304</c:v>
                </c:pt>
                <c:pt idx="28">
                  <c:v>76625.154216388299</c:v>
                </c:pt>
                <c:pt idx="29">
                  <c:v>77015.793824971028</c:v>
                </c:pt>
                <c:pt idx="30">
                  <c:v>77415.00099443915</c:v>
                </c:pt>
                <c:pt idx="31">
                  <c:v>68465.549519164881</c:v>
                </c:pt>
                <c:pt idx="32">
                  <c:v>67764.658864622499</c:v>
                </c:pt>
                <c:pt idx="33">
                  <c:v>67047.873266067487</c:v>
                </c:pt>
                <c:pt idx="34">
                  <c:v>66314.645818821882</c:v>
                </c:pt>
                <c:pt idx="35">
                  <c:v>65564.404236971444</c:v>
                </c:pt>
                <c:pt idx="36">
                  <c:v>64796.54936368698</c:v>
                </c:pt>
                <c:pt idx="37">
                  <c:v>64010.453575384206</c:v>
                </c:pt>
                <c:pt idx="38">
                  <c:v>63205.459070781064</c:v>
                </c:pt>
                <c:pt idx="39">
                  <c:v>62380.876035058689</c:v>
                </c:pt>
                <c:pt idx="40">
                  <c:v>61535.980668349781</c:v>
                </c:pt>
                <c:pt idx="41">
                  <c:v>60670.013066717911</c:v>
                </c:pt>
                <c:pt idx="42">
                  <c:v>59782.17494258166</c:v>
                </c:pt>
                <c:pt idx="43">
                  <c:v>58871.627170216219</c:v>
                </c:pt>
                <c:pt idx="44">
                  <c:v>57937.487140468533</c:v>
                </c:pt>
                <c:pt idx="45">
                  <c:v>56978.825907150094</c:v>
                </c:pt>
                <c:pt idx="46">
                  <c:v>55994.665105728112</c:v>
                </c:pt>
                <c:pt idx="47">
                  <c:v>54983.9736228127</c:v>
                </c:pt>
                <c:pt idx="48">
                  <c:v>53945.663992623609</c:v>
                </c:pt>
                <c:pt idx="49">
                  <c:v>52878.588493946205</c:v>
                </c:pt>
                <c:pt idx="50">
                  <c:v>51781.534918144265</c:v>
                </c:pt>
                <c:pt idx="51">
                  <c:v>50653.221975405715</c:v>
                </c:pt>
              </c:numCache>
            </c:numRef>
          </c:val>
          <c:smooth val="0"/>
          <c:extLst xmlns:c16r2="http://schemas.microsoft.com/office/drawing/2015/06/chart">
            <c:ext xmlns:c16="http://schemas.microsoft.com/office/drawing/2014/chart" uri="{C3380CC4-5D6E-409C-BE32-E72D297353CC}">
              <c16:uniqueId val="{00000005-0A1C-D242-AE4B-B662113621A0}"/>
            </c:ext>
          </c:extLst>
        </c:ser>
        <c:dLbls>
          <c:showLegendKey val="0"/>
          <c:showVal val="0"/>
          <c:showCatName val="0"/>
          <c:showSerName val="0"/>
          <c:showPercent val="0"/>
          <c:showBubbleSize val="0"/>
        </c:dLbls>
        <c:smooth val="0"/>
        <c:axId val="-1756775488"/>
        <c:axId val="-1756773856"/>
      </c:lineChart>
      <c:catAx>
        <c:axId val="-175677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773856"/>
        <c:crosses val="autoZero"/>
        <c:auto val="1"/>
        <c:lblAlgn val="ctr"/>
        <c:lblOffset val="100"/>
        <c:noMultiLvlLbl val="0"/>
      </c:catAx>
      <c:valAx>
        <c:axId val="-1756773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775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xdr:col>
      <xdr:colOff>0</xdr:colOff>
      <xdr:row>19</xdr:row>
      <xdr:rowOff>165100</xdr:rowOff>
    </xdr:from>
    <xdr:to>
      <xdr:col>14</xdr:col>
      <xdr:colOff>609600</xdr:colOff>
      <xdr:row>49</xdr:row>
      <xdr:rowOff>6350</xdr:rowOff>
    </xdr:to>
    <xdr:graphicFrame macro="">
      <xdr:nvGraphicFramePr>
        <xdr:cNvPr id="2" name="Chart 1">
          <a:extLst>
            <a:ext uri="{FF2B5EF4-FFF2-40B4-BE49-F238E27FC236}">
              <a16:creationId xmlns="" xmlns:a16="http://schemas.microsoft.com/office/drawing/2014/main" id="{338648E9-E1CC-68F2-C644-E03A907ED0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718385</xdr:colOff>
      <xdr:row>0</xdr:row>
      <xdr:rowOff>112247</xdr:rowOff>
    </xdr:from>
    <xdr:to>
      <xdr:col>14</xdr:col>
      <xdr:colOff>639875</xdr:colOff>
      <xdr:row>19</xdr:row>
      <xdr:rowOff>85283</xdr:rowOff>
    </xdr:to>
    <xdr:pic>
      <xdr:nvPicPr>
        <xdr:cNvPr id="2" name="Picture 1">
          <a:extLst>
            <a:ext uri="{FF2B5EF4-FFF2-40B4-BE49-F238E27FC236}">
              <a16:creationId xmlns="" xmlns:a16="http://schemas.microsoft.com/office/drawing/2014/main" id="{B420740C-30BD-7D46-8630-F11B39DFE50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02173" y="112247"/>
          <a:ext cx="6762172" cy="3629097"/>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officialdata.org/us/inflation/2022?endYear=2012&amp;amount=1" TargetMode="External"/><Relationship Id="rId2" Type="http://schemas.openxmlformats.org/officeDocument/2006/relationships/hyperlink" Target="https://atb.nrel.gov/" TargetMode="External"/><Relationship Id="rId1" Type="http://schemas.openxmlformats.org/officeDocument/2006/relationships/hyperlink" Target="https://www.irena.org/publications/2021/Jun/Renewable-Power-Costs-in-2020" TargetMode="External"/><Relationship Id="rId4" Type="http://schemas.openxmlformats.org/officeDocument/2006/relationships/hyperlink" Target="https://www.epe.gov.br/sites-pt/publicacoes-dados-abertos/publicacoes/PublishingImages/pt/publicacoes-dados-abertos/publicacoes/caderno-de-precos-da-geracao/EPE_Power%20Generation%20Costs%20Report%202021.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4"/>
  <sheetViews>
    <sheetView topLeftCell="A4" workbookViewId="0">
      <selection activeCell="B12" sqref="B12"/>
    </sheetView>
  </sheetViews>
  <sheetFormatPr baseColWidth="10" defaultColWidth="14.42578125" defaultRowHeight="15" customHeight="1"/>
  <cols>
    <col min="1" max="1" width="8.7109375" customWidth="1"/>
    <col min="2" max="2" width="113" customWidth="1"/>
    <col min="3" max="26" width="8.7109375" customWidth="1"/>
  </cols>
  <sheetData>
    <row r="1" spans="1:8" ht="14.25" customHeight="1">
      <c r="A1" s="1" t="s">
        <v>0</v>
      </c>
      <c r="B1" s="2"/>
    </row>
    <row r="2" spans="1:8" ht="14.25" customHeight="1">
      <c r="A2" s="1" t="s">
        <v>1</v>
      </c>
      <c r="B2" s="2"/>
    </row>
    <row r="3" spans="1:8" ht="14.25" customHeight="1">
      <c r="A3" s="1" t="s">
        <v>2</v>
      </c>
      <c r="B3" s="2"/>
    </row>
    <row r="4" spans="1:8" ht="14.25" customHeight="1">
      <c r="A4" s="1" t="s">
        <v>3</v>
      </c>
      <c r="B4" s="2"/>
    </row>
    <row r="5" spans="1:8" ht="14.25" customHeight="1">
      <c r="A5" s="2"/>
      <c r="B5" s="2"/>
    </row>
    <row r="6" spans="1:8" ht="14.25" customHeight="1">
      <c r="A6" s="3" t="s">
        <v>4</v>
      </c>
      <c r="B6" s="4" t="s">
        <v>137</v>
      </c>
    </row>
    <row r="7" spans="1:8" ht="14.25" customHeight="1">
      <c r="A7" s="2"/>
      <c r="B7" s="5" t="s">
        <v>134</v>
      </c>
    </row>
    <row r="8" spans="1:8" ht="14.25" customHeight="1">
      <c r="A8" s="2"/>
      <c r="B8" s="53">
        <v>2021</v>
      </c>
    </row>
    <row r="9" spans="1:8" ht="14.25" customHeight="1">
      <c r="A9" s="2"/>
      <c r="B9" s="34" t="s">
        <v>135</v>
      </c>
    </row>
    <row r="10" spans="1:8" ht="14.25" customHeight="1">
      <c r="A10" s="2"/>
      <c r="B10" s="38"/>
    </row>
    <row r="11" spans="1:8" ht="14.25" customHeight="1">
      <c r="A11" s="2"/>
      <c r="B11" s="5"/>
    </row>
    <row r="12" spans="1:8" ht="14.25" customHeight="1">
      <c r="A12" s="2"/>
      <c r="B12" s="34"/>
    </row>
    <row r="13" spans="1:8" ht="14.25" customHeight="1">
      <c r="A13" s="2"/>
      <c r="H13" s="54" t="s">
        <v>136</v>
      </c>
    </row>
    <row r="14" spans="1:8" ht="14.25" customHeight="1">
      <c r="A14" s="2"/>
      <c r="B14" s="7" t="s">
        <v>5</v>
      </c>
    </row>
    <row r="15" spans="1:8" ht="14.25" customHeight="1">
      <c r="A15" s="2"/>
      <c r="B15" s="5" t="s">
        <v>6</v>
      </c>
    </row>
    <row r="16" spans="1:8" ht="14.25" customHeight="1">
      <c r="A16" s="2"/>
      <c r="B16" s="2">
        <v>2020</v>
      </c>
    </row>
    <row r="17" spans="1:5" ht="14.25" customHeight="1">
      <c r="A17" s="2"/>
      <c r="B17" s="2" t="s">
        <v>6</v>
      </c>
    </row>
    <row r="18" spans="1:5" ht="14.25" customHeight="1">
      <c r="A18" s="2"/>
      <c r="B18" s="6" t="s">
        <v>7</v>
      </c>
    </row>
    <row r="19" spans="1:5" ht="14.25" customHeight="1">
      <c r="A19" s="2"/>
      <c r="B19" s="5" t="s">
        <v>8</v>
      </c>
      <c r="E19" s="55"/>
    </row>
    <row r="20" spans="1:5" ht="14.25" customHeight="1">
      <c r="A20" s="2"/>
      <c r="E20" s="56"/>
    </row>
    <row r="21" spans="1:5" ht="14.25" customHeight="1">
      <c r="B21" s="7" t="s">
        <v>9</v>
      </c>
      <c r="E21" s="56"/>
    </row>
    <row r="22" spans="1:5" ht="14.25" customHeight="1">
      <c r="B22" s="5" t="s">
        <v>10</v>
      </c>
      <c r="E22" s="57"/>
    </row>
    <row r="23" spans="1:5" ht="14.25" customHeight="1">
      <c r="B23" s="2">
        <v>2020</v>
      </c>
    </row>
    <row r="24" spans="1:5" ht="14.25" customHeight="1">
      <c r="B24" s="5" t="s">
        <v>11</v>
      </c>
    </row>
    <row r="25" spans="1:5" ht="14.25" customHeight="1">
      <c r="B25" s="6" t="s">
        <v>12</v>
      </c>
    </row>
    <row r="26" spans="1:5" ht="14.25" customHeight="1">
      <c r="B26" s="5" t="s">
        <v>13</v>
      </c>
    </row>
    <row r="27" spans="1:5" ht="14.25" customHeight="1"/>
    <row r="28" spans="1:5" ht="14.25" customHeight="1">
      <c r="A28" s="3" t="s">
        <v>14</v>
      </c>
      <c r="B28" s="35" t="s">
        <v>102</v>
      </c>
    </row>
    <row r="29" spans="1:5" ht="14.25" customHeight="1">
      <c r="A29" s="3"/>
      <c r="B29" s="5" t="s">
        <v>133</v>
      </c>
    </row>
    <row r="30" spans="1:5" ht="14.25" customHeight="1">
      <c r="B30" s="8" t="s">
        <v>15</v>
      </c>
    </row>
    <row r="31" spans="1:5" ht="14.25" customHeight="1">
      <c r="B31" s="8" t="s">
        <v>16</v>
      </c>
    </row>
    <row r="32" spans="1:5" ht="14.25" customHeight="1">
      <c r="B32" s="8" t="s">
        <v>17</v>
      </c>
    </row>
    <row r="33" spans="1:2" ht="14.25" customHeight="1">
      <c r="B33" s="8" t="s">
        <v>18</v>
      </c>
    </row>
    <row r="34" spans="1:2" ht="14.25" customHeight="1">
      <c r="B34" s="8" t="s">
        <v>19</v>
      </c>
    </row>
    <row r="35" spans="1:2" ht="14.25" customHeight="1"/>
    <row r="36" spans="1:2" ht="14.25" customHeight="1">
      <c r="A36" s="1" t="s">
        <v>20</v>
      </c>
    </row>
    <row r="37" spans="1:2" ht="14.25" customHeight="1">
      <c r="A37" s="39">
        <v>0.96</v>
      </c>
      <c r="B37" s="8" t="s">
        <v>103</v>
      </c>
    </row>
    <row r="38" spans="1:2" ht="14.25" customHeight="1">
      <c r="A38" s="39">
        <v>0.89</v>
      </c>
      <c r="B38" s="8" t="s">
        <v>106</v>
      </c>
    </row>
    <row r="39" spans="1:2" ht="14.25" customHeight="1">
      <c r="A39" s="5">
        <v>0.78</v>
      </c>
      <c r="B39" s="8" t="s">
        <v>104</v>
      </c>
    </row>
    <row r="40" spans="1:2" ht="14.25" customHeight="1">
      <c r="B40" s="34" t="s">
        <v>105</v>
      </c>
    </row>
    <row r="41" spans="1:2" ht="14.25" customHeight="1">
      <c r="B41" s="36"/>
    </row>
    <row r="42" spans="1:2" ht="14.25" customHeight="1">
      <c r="B42" s="37"/>
    </row>
    <row r="43" spans="1:2" ht="14.25" customHeight="1"/>
    <row r="44" spans="1:2" ht="14.25" customHeight="1"/>
    <row r="45" spans="1:2" ht="14.25" customHeight="1"/>
    <row r="46" spans="1:2" ht="14.25" customHeight="1"/>
    <row r="47" spans="1:2" ht="14.25" customHeight="1"/>
    <row r="48" spans="1:2"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sheetData>
  <hyperlinks>
    <hyperlink ref="B18" r:id="rId1"/>
    <hyperlink ref="B25" r:id="rId2"/>
    <hyperlink ref="B40" r:id="rId3"/>
    <hyperlink ref="B9" r:id="rId4"/>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004"/>
  <sheetViews>
    <sheetView topLeftCell="A7" workbookViewId="0">
      <selection activeCell="A13" sqref="A13"/>
    </sheetView>
  </sheetViews>
  <sheetFormatPr baseColWidth="10" defaultColWidth="14.42578125" defaultRowHeight="15" customHeight="1"/>
  <cols>
    <col min="1" max="1" width="30.7109375" customWidth="1"/>
    <col min="2" max="4" width="8.7109375" customWidth="1"/>
    <col min="5" max="5" width="8.85546875" customWidth="1"/>
    <col min="6" max="33" width="8.7109375" customWidth="1"/>
  </cols>
  <sheetData>
    <row r="1" spans="1:53" ht="14.25" customHeight="1">
      <c r="A1" s="9" t="s">
        <v>24</v>
      </c>
      <c r="B1" s="5" t="s">
        <v>25</v>
      </c>
    </row>
    <row r="2" spans="1:53" ht="14.25" customHeight="1">
      <c r="A2" s="10" t="s">
        <v>26</v>
      </c>
    </row>
    <row r="3" spans="1:53" ht="28.5" customHeight="1">
      <c r="A3" s="5" t="s">
        <v>27</v>
      </c>
      <c r="B3" s="5">
        <v>5154</v>
      </c>
      <c r="D3" s="62" t="s">
        <v>28</v>
      </c>
      <c r="E3" s="63"/>
      <c r="F3" s="11">
        <v>0.1</v>
      </c>
    </row>
    <row r="4" spans="1:53" ht="14.25" customHeight="1">
      <c r="A4" s="5" t="s">
        <v>29</v>
      </c>
      <c r="B4" s="5">
        <v>2.1000000000000001E-2</v>
      </c>
      <c r="D4" s="64" t="s">
        <v>30</v>
      </c>
      <c r="E4" s="63"/>
      <c r="F4" s="11">
        <v>0.41</v>
      </c>
    </row>
    <row r="5" spans="1:53" ht="14.25" customHeight="1"/>
    <row r="6" spans="1:53" ht="14.25" customHeight="1">
      <c r="B6" s="1">
        <v>2020</v>
      </c>
      <c r="C6" s="1">
        <v>2030</v>
      </c>
      <c r="D6" s="1">
        <v>2040</v>
      </c>
      <c r="E6" s="1">
        <v>2050</v>
      </c>
    </row>
    <row r="7" spans="1:53" ht="14.25" customHeight="1">
      <c r="A7" s="1" t="s">
        <v>31</v>
      </c>
      <c r="B7" s="5">
        <f>B3*1000</f>
        <v>5154000</v>
      </c>
      <c r="C7" s="5">
        <f t="shared" ref="C7:E7" si="0">$B$7*$B$8/C8</f>
        <v>4685454.5454545449</v>
      </c>
      <c r="D7" s="5">
        <f t="shared" si="0"/>
        <v>4259504.132231405</v>
      </c>
      <c r="E7" s="5">
        <f t="shared" si="0"/>
        <v>3872276.483846731</v>
      </c>
    </row>
    <row r="8" spans="1:53" ht="14.25" customHeight="1">
      <c r="A8" s="1" t="s">
        <v>32</v>
      </c>
      <c r="B8" s="11">
        <f>F4</f>
        <v>0.41</v>
      </c>
      <c r="C8" s="13">
        <f t="shared" ref="C8:E8" si="1">(1+$F$3)*B8</f>
        <v>0.45100000000000001</v>
      </c>
      <c r="D8" s="13">
        <f t="shared" si="1"/>
        <v>0.49610000000000004</v>
      </c>
      <c r="E8" s="13">
        <f t="shared" si="1"/>
        <v>0.54571000000000014</v>
      </c>
    </row>
    <row r="9" spans="1:53" ht="14.25" customHeight="1"/>
    <row r="10" spans="1:53" ht="14.25" customHeight="1">
      <c r="A10" s="10" t="s">
        <v>33</v>
      </c>
      <c r="B10" s="1">
        <v>2019</v>
      </c>
      <c r="C10" s="1">
        <v>2020</v>
      </c>
      <c r="D10" s="1">
        <v>2021</v>
      </c>
      <c r="E10" s="1">
        <v>2022</v>
      </c>
      <c r="F10" s="1">
        <v>2023</v>
      </c>
      <c r="G10" s="1">
        <v>2024</v>
      </c>
      <c r="H10" s="1">
        <v>2025</v>
      </c>
      <c r="I10" s="1">
        <v>2026</v>
      </c>
      <c r="J10" s="1">
        <v>2027</v>
      </c>
      <c r="K10" s="1">
        <v>2028</v>
      </c>
      <c r="L10" s="1">
        <v>2029</v>
      </c>
      <c r="M10" s="1">
        <v>2030</v>
      </c>
      <c r="N10" s="1">
        <v>2031</v>
      </c>
      <c r="O10" s="1">
        <v>2032</v>
      </c>
      <c r="P10" s="1">
        <v>2033</v>
      </c>
      <c r="Q10" s="1">
        <v>2034</v>
      </c>
      <c r="R10" s="1">
        <v>2035</v>
      </c>
      <c r="S10" s="1">
        <v>2036</v>
      </c>
      <c r="T10" s="1">
        <v>2037</v>
      </c>
      <c r="U10" s="1">
        <v>2038</v>
      </c>
      <c r="V10" s="1">
        <v>2039</v>
      </c>
      <c r="W10" s="1">
        <v>2040</v>
      </c>
      <c r="X10" s="1">
        <v>2041</v>
      </c>
      <c r="Y10" s="1">
        <v>2042</v>
      </c>
      <c r="Z10" s="1">
        <v>2043</v>
      </c>
      <c r="AA10" s="1">
        <v>2044</v>
      </c>
      <c r="AB10" s="1">
        <v>2045</v>
      </c>
      <c r="AC10" s="1">
        <v>2046</v>
      </c>
      <c r="AD10" s="1">
        <v>2047</v>
      </c>
      <c r="AE10" s="1">
        <v>2048</v>
      </c>
      <c r="AF10" s="1">
        <v>2049</v>
      </c>
      <c r="AG10" s="1">
        <v>2050</v>
      </c>
      <c r="AH10" s="25">
        <v>2051</v>
      </c>
      <c r="AI10" s="25">
        <v>2052</v>
      </c>
      <c r="AJ10" s="25">
        <v>2053</v>
      </c>
      <c r="AK10" s="25">
        <v>2054</v>
      </c>
      <c r="AL10" s="25">
        <v>2055</v>
      </c>
      <c r="AM10" s="25">
        <v>2056</v>
      </c>
      <c r="AN10" s="25">
        <v>2057</v>
      </c>
      <c r="AO10" s="25">
        <v>2058</v>
      </c>
      <c r="AP10" s="25">
        <v>2059</v>
      </c>
      <c r="AQ10" s="25">
        <v>2060</v>
      </c>
      <c r="AR10" s="25">
        <v>2061</v>
      </c>
      <c r="AS10" s="25">
        <v>2062</v>
      </c>
      <c r="AT10" s="25">
        <v>2063</v>
      </c>
      <c r="AU10" s="25">
        <v>2064</v>
      </c>
      <c r="AV10" s="25">
        <v>2065</v>
      </c>
      <c r="AW10" s="25">
        <v>2066</v>
      </c>
      <c r="AX10" s="25">
        <v>2067</v>
      </c>
      <c r="AY10" s="25">
        <v>2068</v>
      </c>
      <c r="AZ10" s="25">
        <v>2069</v>
      </c>
      <c r="BA10" s="25">
        <v>2070</v>
      </c>
    </row>
    <row r="11" spans="1:53" ht="14.25" customHeight="1">
      <c r="A11" s="1" t="s">
        <v>31</v>
      </c>
      <c r="B11" s="5">
        <f t="shared" ref="B11:BA11" si="2">TREND($B$7:$E$7,$B$6:$E$6,B10)</f>
        <v>5176188.1442524493</v>
      </c>
      <c r="C11" s="5">
        <f t="shared" si="2"/>
        <v>5133476.9346356094</v>
      </c>
      <c r="D11" s="5">
        <f t="shared" si="2"/>
        <v>5090765.7250187844</v>
      </c>
      <c r="E11" s="5">
        <f t="shared" si="2"/>
        <v>5048054.5154019594</v>
      </c>
      <c r="F11" s="5">
        <f t="shared" si="2"/>
        <v>5005343.3057851344</v>
      </c>
      <c r="G11" s="5">
        <f t="shared" si="2"/>
        <v>4962632.0961682945</v>
      </c>
      <c r="H11" s="5">
        <f t="shared" si="2"/>
        <v>4919920.8865514696</v>
      </c>
      <c r="I11" s="5">
        <f t="shared" si="2"/>
        <v>4877209.6769346446</v>
      </c>
      <c r="J11" s="5">
        <f t="shared" si="2"/>
        <v>4834498.4673178047</v>
      </c>
      <c r="K11" s="5">
        <f t="shared" si="2"/>
        <v>4791787.2577009797</v>
      </c>
      <c r="L11" s="5">
        <f t="shared" si="2"/>
        <v>4749076.0480841547</v>
      </c>
      <c r="M11" s="5">
        <f t="shared" si="2"/>
        <v>4706364.8384673148</v>
      </c>
      <c r="N11" s="5">
        <f t="shared" si="2"/>
        <v>4663653.6288504899</v>
      </c>
      <c r="O11" s="5">
        <f t="shared" si="2"/>
        <v>4620942.4192336649</v>
      </c>
      <c r="P11" s="5">
        <f t="shared" si="2"/>
        <v>4578231.2096168399</v>
      </c>
      <c r="Q11" s="5">
        <f t="shared" si="2"/>
        <v>4535520</v>
      </c>
      <c r="R11" s="5">
        <f t="shared" si="2"/>
        <v>4492808.790383175</v>
      </c>
      <c r="S11" s="5">
        <f t="shared" si="2"/>
        <v>4450097.58076635</v>
      </c>
      <c r="T11" s="5">
        <f t="shared" si="2"/>
        <v>4407386.3711495101</v>
      </c>
      <c r="U11" s="5">
        <f t="shared" si="2"/>
        <v>4364675.1615326852</v>
      </c>
      <c r="V11" s="5">
        <f t="shared" si="2"/>
        <v>4321963.9519158602</v>
      </c>
      <c r="W11" s="5">
        <f t="shared" si="2"/>
        <v>4279252.7422990203</v>
      </c>
      <c r="X11" s="5">
        <f t="shared" si="2"/>
        <v>4236541.5326821953</v>
      </c>
      <c r="Y11" s="5">
        <f t="shared" si="2"/>
        <v>4193830.3230653703</v>
      </c>
      <c r="Z11" s="5">
        <f t="shared" si="2"/>
        <v>4151119.1134485453</v>
      </c>
      <c r="AA11" s="5">
        <f t="shared" si="2"/>
        <v>4108407.9038317055</v>
      </c>
      <c r="AB11" s="5">
        <f t="shared" si="2"/>
        <v>4065696.6942148805</v>
      </c>
      <c r="AC11" s="5">
        <f t="shared" si="2"/>
        <v>4022985.4845980555</v>
      </c>
      <c r="AD11" s="5">
        <f t="shared" si="2"/>
        <v>3980274.2749812156</v>
      </c>
      <c r="AE11" s="5">
        <f t="shared" si="2"/>
        <v>3937563.0653643906</v>
      </c>
      <c r="AF11" s="5">
        <f t="shared" si="2"/>
        <v>3894851.8557475656</v>
      </c>
      <c r="AG11" s="5">
        <f t="shared" si="2"/>
        <v>3852140.6461307257</v>
      </c>
      <c r="AH11" s="5">
        <f t="shared" si="2"/>
        <v>3809429.4365139008</v>
      </c>
      <c r="AI11" s="5">
        <f t="shared" si="2"/>
        <v>3766718.2268970758</v>
      </c>
      <c r="AJ11" s="5">
        <f t="shared" si="2"/>
        <v>3724007.0172802359</v>
      </c>
      <c r="AK11" s="5">
        <f t="shared" si="2"/>
        <v>3681295.8076634109</v>
      </c>
      <c r="AL11" s="5">
        <f t="shared" si="2"/>
        <v>3638584.5980465859</v>
      </c>
      <c r="AM11" s="5">
        <f t="shared" si="2"/>
        <v>3595873.3884297609</v>
      </c>
      <c r="AN11" s="5">
        <f t="shared" si="2"/>
        <v>3553162.178812921</v>
      </c>
      <c r="AO11" s="5">
        <f t="shared" si="2"/>
        <v>3510450.9691960961</v>
      </c>
      <c r="AP11" s="5">
        <f t="shared" si="2"/>
        <v>3467739.7595792711</v>
      </c>
      <c r="AQ11" s="5">
        <f t="shared" si="2"/>
        <v>3425028.5499624312</v>
      </c>
      <c r="AR11" s="5">
        <f t="shared" si="2"/>
        <v>3382317.3403456062</v>
      </c>
      <c r="AS11" s="5">
        <f t="shared" si="2"/>
        <v>3339606.1307287812</v>
      </c>
      <c r="AT11" s="5">
        <f t="shared" si="2"/>
        <v>3296894.9211119413</v>
      </c>
      <c r="AU11" s="5">
        <f t="shared" si="2"/>
        <v>3254183.7114951164</v>
      </c>
      <c r="AV11" s="5">
        <f t="shared" si="2"/>
        <v>3211472.5018782914</v>
      </c>
      <c r="AW11" s="5">
        <f t="shared" si="2"/>
        <v>3168761.2922614664</v>
      </c>
      <c r="AX11" s="5">
        <f t="shared" si="2"/>
        <v>3126050.0826446265</v>
      </c>
      <c r="AY11" s="5">
        <f t="shared" si="2"/>
        <v>3083338.8730278015</v>
      </c>
      <c r="AZ11" s="5">
        <f t="shared" si="2"/>
        <v>3040627.6634109765</v>
      </c>
      <c r="BA11" s="5">
        <f t="shared" si="2"/>
        <v>2997916.4537941366</v>
      </c>
    </row>
    <row r="12" spans="1:53" ht="14.25" customHeight="1">
      <c r="A12" s="1" t="s">
        <v>149</v>
      </c>
      <c r="B12">
        <f>B11*About!$A$38</f>
        <v>4606807.4483846799</v>
      </c>
      <c r="C12">
        <f>C11*About!$A$38</f>
        <v>4568794.4718256928</v>
      </c>
      <c r="D12">
        <f>D11*About!$A$38</f>
        <v>4530781.4952667179</v>
      </c>
      <c r="E12">
        <f>E11*About!$A$38</f>
        <v>4492768.5187077438</v>
      </c>
      <c r="F12">
        <f>F11*About!$A$38</f>
        <v>4454755.5421487698</v>
      </c>
      <c r="G12">
        <f>G11*About!$A$38</f>
        <v>4416742.5655897819</v>
      </c>
      <c r="H12">
        <f>H11*About!$A$38</f>
        <v>4378729.5890308078</v>
      </c>
      <c r="I12">
        <f>I11*About!$A$38</f>
        <v>4340716.6124718338</v>
      </c>
      <c r="J12">
        <f>J11*About!$A$38</f>
        <v>4302703.6359128458</v>
      </c>
      <c r="K12">
        <f>K11*About!$A$38</f>
        <v>4264690.6593538718</v>
      </c>
      <c r="L12">
        <f>L11*About!$A$38</f>
        <v>4226677.6827948978</v>
      </c>
      <c r="M12">
        <f>M11*About!$A$38</f>
        <v>4188664.7062359103</v>
      </c>
      <c r="N12">
        <f>N11*About!$A$38</f>
        <v>4150651.7296769358</v>
      </c>
      <c r="O12">
        <f>O11*About!$A$38</f>
        <v>4112638.7531179618</v>
      </c>
      <c r="P12">
        <f>P11*About!$A$38</f>
        <v>4074625.7765589873</v>
      </c>
      <c r="Q12">
        <f>Q11*About!$A$38</f>
        <v>4036612.8000000003</v>
      </c>
      <c r="R12">
        <f>R11*About!$A$38</f>
        <v>3998599.8234410258</v>
      </c>
      <c r="S12">
        <f>S11*About!$A$38</f>
        <v>3960586.8468820518</v>
      </c>
      <c r="T12">
        <f>T11*About!$A$38</f>
        <v>3922573.8703230643</v>
      </c>
      <c r="U12">
        <f>U11*About!$A$38</f>
        <v>3884560.8937640898</v>
      </c>
      <c r="V12">
        <f>V11*About!$A$38</f>
        <v>3846547.9172051158</v>
      </c>
      <c r="W12">
        <f>W11*About!$A$38</f>
        <v>3808534.9406461283</v>
      </c>
      <c r="X12">
        <f>X11*About!$A$38</f>
        <v>3770521.9640871538</v>
      </c>
      <c r="Y12">
        <f>Y11*About!$A$38</f>
        <v>3732508.9875281798</v>
      </c>
      <c r="Z12">
        <f>Z11*About!$A$38</f>
        <v>3694496.0109692053</v>
      </c>
      <c r="AA12">
        <f>AA11*About!$A$38</f>
        <v>3656483.0344102178</v>
      </c>
      <c r="AB12">
        <f>AB11*About!$A$38</f>
        <v>3618470.0578512438</v>
      </c>
      <c r="AC12">
        <f>AC11*About!$A$38</f>
        <v>3580457.0812922693</v>
      </c>
      <c r="AD12">
        <f>AD11*About!$A$38</f>
        <v>3542444.1047332818</v>
      </c>
      <c r="AE12">
        <f>AE11*About!$A$38</f>
        <v>3504431.1281743078</v>
      </c>
      <c r="AF12">
        <f>AF11*About!$A$38</f>
        <v>3466418.1516153333</v>
      </c>
      <c r="AG12">
        <f>AG11*About!$A$38</f>
        <v>3428405.1750563458</v>
      </c>
      <c r="AH12">
        <f>AH11*About!$A$38</f>
        <v>3390392.1984973717</v>
      </c>
      <c r="AI12">
        <f>AI11*About!$A$38</f>
        <v>3352379.2219383973</v>
      </c>
      <c r="AJ12">
        <f>AJ11*About!$A$38</f>
        <v>3314366.2453794102</v>
      </c>
      <c r="AK12">
        <f>AK11*About!$A$38</f>
        <v>3276353.2688204357</v>
      </c>
      <c r="AL12">
        <f>AL11*About!$A$38</f>
        <v>3238340.2922614617</v>
      </c>
      <c r="AM12">
        <f>AM11*About!$A$38</f>
        <v>3200327.3157024872</v>
      </c>
      <c r="AN12">
        <f>AN11*About!$A$38</f>
        <v>3162314.3391434997</v>
      </c>
      <c r="AO12">
        <f>AO11*About!$A$38</f>
        <v>3124301.3625845257</v>
      </c>
      <c r="AP12">
        <f>AP11*About!$A$38</f>
        <v>3086288.3860255512</v>
      </c>
      <c r="AQ12">
        <f>AQ11*About!$A$38</f>
        <v>3048275.4094665637</v>
      </c>
      <c r="AR12">
        <f>AR11*About!$A$38</f>
        <v>3010262.4329075897</v>
      </c>
      <c r="AS12">
        <f>AS11*About!$A$38</f>
        <v>2972249.4563486152</v>
      </c>
      <c r="AT12">
        <f>AT11*About!$A$38</f>
        <v>2934236.4797896277</v>
      </c>
      <c r="AU12">
        <f>AU11*About!$A$38</f>
        <v>2896223.5032306537</v>
      </c>
      <c r="AV12">
        <f>AV11*About!$A$38</f>
        <v>2858210.5266716792</v>
      </c>
      <c r="AW12">
        <f>AW11*About!$A$38</f>
        <v>2820197.5501127052</v>
      </c>
      <c r="AX12">
        <f>AX11*About!$A$38</f>
        <v>2782184.5735537177</v>
      </c>
      <c r="AY12">
        <f>AY11*About!$A$38</f>
        <v>2744171.5969947432</v>
      </c>
      <c r="AZ12">
        <f>AZ11*About!$A$38</f>
        <v>2706158.6204357692</v>
      </c>
      <c r="BA12">
        <f>BA11*About!$A$38</f>
        <v>2668145.6438767817</v>
      </c>
    </row>
    <row r="13" spans="1:53" ht="14.25" customHeight="1">
      <c r="A13" s="1" t="s">
        <v>129</v>
      </c>
      <c r="B13">
        <v>5770615.6415932029</v>
      </c>
      <c r="C13">
        <v>5579703.7886677757</v>
      </c>
      <c r="D13">
        <v>5388791.9357423494</v>
      </c>
      <c r="E13">
        <v>5197880.082816923</v>
      </c>
      <c r="F13">
        <v>5006968.2298914967</v>
      </c>
      <c r="G13">
        <v>4816056.3769660695</v>
      </c>
      <c r="H13">
        <v>4630891.4252945716</v>
      </c>
      <c r="I13">
        <v>4445255.6682265233</v>
      </c>
      <c r="J13">
        <v>4259148.6487105982</v>
      </c>
      <c r="K13">
        <v>4072569.907682443</v>
      </c>
      <c r="L13">
        <v>3885518.9840730261</v>
      </c>
      <c r="M13">
        <v>3865472.7944376948</v>
      </c>
      <c r="N13">
        <v>3845426.6048023649</v>
      </c>
      <c r="O13">
        <v>3825380.4151670355</v>
      </c>
      <c r="P13">
        <v>3805334.2255317057</v>
      </c>
      <c r="Q13">
        <v>3785288.0358963748</v>
      </c>
      <c r="R13">
        <v>3765241.846261045</v>
      </c>
      <c r="S13">
        <v>3745195.6566257156</v>
      </c>
      <c r="T13">
        <v>3725149.4669903857</v>
      </c>
      <c r="U13">
        <v>3705103.2773550553</v>
      </c>
      <c r="V13">
        <v>3685057.0877197245</v>
      </c>
      <c r="W13">
        <v>3665010.8980843951</v>
      </c>
      <c r="X13">
        <v>3644964.7084490648</v>
      </c>
      <c r="Y13">
        <v>3624918.5188137349</v>
      </c>
      <c r="Z13">
        <v>3604872.3291784045</v>
      </c>
      <c r="AA13">
        <v>3584826.1395430746</v>
      </c>
      <c r="AB13">
        <v>3564779.9499077443</v>
      </c>
      <c r="AC13">
        <v>3544733.7602724144</v>
      </c>
      <c r="AD13">
        <v>3524687.5706370845</v>
      </c>
      <c r="AE13">
        <v>3504641.3810017542</v>
      </c>
      <c r="AF13">
        <v>3484595.1913664243</v>
      </c>
      <c r="AG13">
        <f>_xlfn.FORECAST.LINEAR(AG10,$B$13:$AF$13,$B$10:$AF$10)</f>
        <v>3047968.6751432121</v>
      </c>
      <c r="AH13">
        <f t="shared" ref="AH13:BA13" si="3">_xlfn.FORECAST.LINEAR(AH10,$B$13:$AF$13,$B$10:$AF$10)</f>
        <v>2983317.3613967001</v>
      </c>
      <c r="AI13">
        <f t="shared" si="3"/>
        <v>2918666.0476502031</v>
      </c>
      <c r="AJ13">
        <f t="shared" si="3"/>
        <v>2854014.7339036912</v>
      </c>
      <c r="AK13">
        <f t="shared" si="3"/>
        <v>2789363.4201571941</v>
      </c>
      <c r="AL13">
        <f t="shared" si="3"/>
        <v>2724712.1064106822</v>
      </c>
      <c r="AM13">
        <f t="shared" si="3"/>
        <v>2660060.7926641852</v>
      </c>
      <c r="AN13">
        <f t="shared" si="3"/>
        <v>2595409.4789176732</v>
      </c>
      <c r="AO13">
        <f t="shared" si="3"/>
        <v>2530758.1651711762</v>
      </c>
      <c r="AP13">
        <f t="shared" si="3"/>
        <v>2466106.8514246643</v>
      </c>
      <c r="AQ13">
        <f t="shared" si="3"/>
        <v>2401455.5376781523</v>
      </c>
      <c r="AR13">
        <f t="shared" si="3"/>
        <v>2336804.2239316553</v>
      </c>
      <c r="AS13">
        <f t="shared" si="3"/>
        <v>2272152.9101851434</v>
      </c>
      <c r="AT13">
        <f t="shared" si="3"/>
        <v>2207501.5964386463</v>
      </c>
      <c r="AU13">
        <f t="shared" si="3"/>
        <v>2142850.2826921344</v>
      </c>
      <c r="AV13">
        <f t="shared" si="3"/>
        <v>2078198.9689456373</v>
      </c>
      <c r="AW13">
        <f t="shared" si="3"/>
        <v>2013547.6551991254</v>
      </c>
      <c r="AX13">
        <f t="shared" si="3"/>
        <v>1948896.3414526284</v>
      </c>
      <c r="AY13">
        <f t="shared" si="3"/>
        <v>1884245.0277061164</v>
      </c>
      <c r="AZ13">
        <f t="shared" si="3"/>
        <v>1819593.7139596194</v>
      </c>
      <c r="BA13">
        <f t="shared" si="3"/>
        <v>1754942.4002131075</v>
      </c>
    </row>
    <row r="14" spans="1:53" ht="14.25" customHeight="1">
      <c r="A14" s="1" t="s">
        <v>130</v>
      </c>
      <c r="B14">
        <f>B13/B12</f>
        <v>1.2526279221018013</v>
      </c>
      <c r="C14">
        <f t="shared" ref="C14:BA14" si="4">C13/C12</f>
        <v>1.2212639073777645</v>
      </c>
      <c r="D14">
        <f t="shared" si="4"/>
        <v>1.1893736083657953</v>
      </c>
      <c r="E14">
        <f t="shared" si="4"/>
        <v>1.156943666510553</v>
      </c>
      <c r="F14">
        <f t="shared" si="4"/>
        <v>1.1239602672959166</v>
      </c>
      <c r="G14">
        <f t="shared" si="4"/>
        <v>1.0904091206237114</v>
      </c>
      <c r="H14">
        <f t="shared" si="4"/>
        <v>1.0575878987584564</v>
      </c>
      <c r="I14">
        <f t="shared" si="4"/>
        <v>1.0240833634368864</v>
      </c>
      <c r="J14">
        <f t="shared" si="4"/>
        <v>0.98987729788342549</v>
      </c>
      <c r="K14">
        <f t="shared" si="4"/>
        <v>0.95495083535542147</v>
      </c>
      <c r="L14">
        <f t="shared" si="4"/>
        <v>0.91928442991747605</v>
      </c>
      <c r="M14">
        <f t="shared" si="4"/>
        <v>0.92284130278628873</v>
      </c>
      <c r="N14">
        <f t="shared" si="4"/>
        <v>0.92646332558035938</v>
      </c>
      <c r="O14">
        <f t="shared" si="4"/>
        <v>0.93015230483515143</v>
      </c>
      <c r="P14">
        <f t="shared" si="4"/>
        <v>0.93391011450020867</v>
      </c>
      <c r="Q14">
        <f t="shared" si="4"/>
        <v>0.93773869911336916</v>
      </c>
      <c r="R14">
        <f t="shared" si="4"/>
        <v>0.94164007715601739</v>
      </c>
      <c r="S14">
        <f t="shared" si="4"/>
        <v>0.94561634460158306</v>
      </c>
      <c r="T14">
        <f t="shared" si="4"/>
        <v>0.94966967867034235</v>
      </c>
      <c r="U14">
        <f t="shared" si="4"/>
        <v>0.95380234180467627</v>
      </c>
      <c r="V14">
        <f t="shared" si="4"/>
        <v>0.95801668588006839</v>
      </c>
      <c r="W14">
        <f t="shared" si="4"/>
        <v>0.96231515666825318</v>
      </c>
      <c r="X14">
        <f t="shared" si="4"/>
        <v>0.9667002985703369</v>
      </c>
      <c r="Y14">
        <f t="shared" si="4"/>
        <v>0.97117475963917355</v>
      </c>
      <c r="Z14">
        <f t="shared" si="4"/>
        <v>0.97574129691175682</v>
      </c>
      <c r="AA14">
        <f t="shared" si="4"/>
        <v>0.98040278207425047</v>
      </c>
      <c r="AB14">
        <f t="shared" si="4"/>
        <v>0.98516220748407068</v>
      </c>
      <c r="AC14">
        <f t="shared" si="4"/>
        <v>0.99002269257561903</v>
      </c>
      <c r="AD14">
        <f t="shared" si="4"/>
        <v>0.99498749067840719</v>
      </c>
      <c r="AE14">
        <f t="shared" si="4"/>
        <v>1.0000599962789269</v>
      </c>
      <c r="AF14">
        <f t="shared" si="4"/>
        <v>1.0052437527603588</v>
      </c>
      <c r="AG14">
        <f t="shared" si="4"/>
        <v>0.88903397338184187</v>
      </c>
      <c r="AH14">
        <f t="shared" si="4"/>
        <v>0.87993281801406698</v>
      </c>
      <c r="AI14">
        <f t="shared" si="4"/>
        <v>0.87062526475229296</v>
      </c>
      <c r="AJ14">
        <f t="shared" si="4"/>
        <v>0.86110421196887954</v>
      </c>
      <c r="AK14">
        <f t="shared" si="4"/>
        <v>0.85136222845756515</v>
      </c>
      <c r="AL14">
        <f t="shared" si="4"/>
        <v>0.84139153408979983</v>
      </c>
      <c r="AM14">
        <f t="shared" si="4"/>
        <v>0.83118397909255382</v>
      </c>
      <c r="AN14">
        <f t="shared" si="4"/>
        <v>0.82073102183150759</v>
      </c>
      <c r="AO14">
        <f t="shared" si="4"/>
        <v>0.81002370497244514</v>
      </c>
      <c r="AP14">
        <f t="shared" si="4"/>
        <v>0.7990526298809224</v>
      </c>
      <c r="AQ14">
        <f t="shared" si="4"/>
        <v>0.78780792910650999</v>
      </c>
      <c r="AR14">
        <f t="shared" si="4"/>
        <v>0.77627923678220767</v>
      </c>
      <c r="AS14">
        <f t="shared" si="4"/>
        <v>0.76445565675246685</v>
      </c>
      <c r="AT14">
        <f t="shared" si="4"/>
        <v>0.7523257282238256</v>
      </c>
      <c r="AU14">
        <f t="shared" si="4"/>
        <v>0.73987738871045239</v>
      </c>
      <c r="AV14">
        <f t="shared" si="4"/>
        <v>0.72709793402295408</v>
      </c>
      <c r="AW14">
        <f t="shared" si="4"/>
        <v>0.71397397502123805</v>
      </c>
      <c r="AX14">
        <f t="shared" si="4"/>
        <v>0.70049139082216949</v>
      </c>
      <c r="AY14">
        <f t="shared" si="4"/>
        <v>0.68663527811804181</v>
      </c>
      <c r="AZ14">
        <f t="shared" si="4"/>
        <v>0.6723898962236784</v>
      </c>
      <c r="BA14">
        <f t="shared" si="4"/>
        <v>0.65773860742594192</v>
      </c>
    </row>
    <row r="15" spans="1:53" ht="14.25" customHeight="1">
      <c r="A15" s="25" t="s">
        <v>131</v>
      </c>
      <c r="B15">
        <v>77011.173441128762</v>
      </c>
    </row>
    <row r="16" spans="1:53" ht="14.25" customHeight="1">
      <c r="A16" s="46" t="s">
        <v>147</v>
      </c>
      <c r="B16">
        <f>$B$15*B14</f>
        <v>96466.346166182542</v>
      </c>
      <c r="C16">
        <f t="shared" ref="C16:BA16" si="5">$B$15*C14</f>
        <v>94050.966588459632</v>
      </c>
      <c r="D16">
        <f t="shared" si="5"/>
        <v>91595.057240159411</v>
      </c>
      <c r="E16">
        <f t="shared" si="5"/>
        <v>89097.589363259627</v>
      </c>
      <c r="F16">
        <f t="shared" si="5"/>
        <v>86557.499085663279</v>
      </c>
      <c r="G16">
        <f t="shared" si="5"/>
        <v>83973.685910141328</v>
      </c>
      <c r="H16">
        <f t="shared" si="5"/>
        <v>81446.085100526412</v>
      </c>
      <c r="I16">
        <f t="shared" si="5"/>
        <v>78865.861519812563</v>
      </c>
      <c r="J16">
        <f t="shared" si="5"/>
        <v>76231.612272736354</v>
      </c>
      <c r="K16">
        <f t="shared" si="5"/>
        <v>73541.884409307153</v>
      </c>
      <c r="L16">
        <f t="shared" si="5"/>
        <v>70795.172674103931</v>
      </c>
      <c r="M16">
        <f t="shared" si="5"/>
        <v>71069.091627512098</v>
      </c>
      <c r="N16">
        <f t="shared" si="5"/>
        <v>71348.027853114007</v>
      </c>
      <c r="O16">
        <f t="shared" si="5"/>
        <v>71632.120474325522</v>
      </c>
      <c r="P16">
        <f t="shared" si="5"/>
        <v>71921.51380619999</v>
      </c>
      <c r="Q16">
        <f t="shared" si="5"/>
        <v>72216.357599878131</v>
      </c>
      <c r="R16">
        <f t="shared" si="5"/>
        <v>72516.807300979926</v>
      </c>
      <c r="S16">
        <f t="shared" si="5"/>
        <v>72823.0243228787</v>
      </c>
      <c r="T16">
        <f t="shared" si="5"/>
        <v>73135.17633586275</v>
      </c>
      <c r="U16">
        <f t="shared" si="5"/>
        <v>73453.437573274699</v>
      </c>
      <c r="V16">
        <f t="shared" si="5"/>
        <v>73777.98915580532</v>
      </c>
      <c r="W16">
        <f t="shared" si="5"/>
        <v>74109.019435205846</v>
      </c>
      <c r="X16">
        <f t="shared" si="5"/>
        <v>74446.72435879118</v>
      </c>
      <c r="Y16">
        <f t="shared" si="5"/>
        <v>74791.307856218933</v>
      </c>
      <c r="Z16">
        <f t="shared" si="5"/>
        <v>75142.982250143221</v>
      </c>
      <c r="AA16">
        <f t="shared" si="5"/>
        <v>75501.968692485272</v>
      </c>
      <c r="AB16">
        <f t="shared" si="5"/>
        <v>75868.497628201047</v>
      </c>
      <c r="AC16">
        <f t="shared" si="5"/>
        <v>76242.809288594304</v>
      </c>
      <c r="AD16">
        <f t="shared" si="5"/>
        <v>76625.154216388299</v>
      </c>
      <c r="AE16">
        <f t="shared" si="5"/>
        <v>77015.793824971028</v>
      </c>
      <c r="AF16">
        <f t="shared" si="5"/>
        <v>77415.00099443915</v>
      </c>
      <c r="AG16">
        <f t="shared" si="5"/>
        <v>68465.549519164881</v>
      </c>
      <c r="AH16">
        <f t="shared" si="5"/>
        <v>67764.658864622499</v>
      </c>
      <c r="AI16">
        <f t="shared" si="5"/>
        <v>67047.873266067487</v>
      </c>
      <c r="AJ16">
        <f t="shared" si="5"/>
        <v>66314.645818821882</v>
      </c>
      <c r="AK16">
        <f t="shared" si="5"/>
        <v>65564.404236971444</v>
      </c>
      <c r="AL16">
        <f t="shared" si="5"/>
        <v>64796.54936368698</v>
      </c>
      <c r="AM16">
        <f t="shared" si="5"/>
        <v>64010.453575384206</v>
      </c>
      <c r="AN16">
        <f t="shared" si="5"/>
        <v>63205.459070781064</v>
      </c>
      <c r="AO16">
        <f t="shared" si="5"/>
        <v>62380.876035058689</v>
      </c>
      <c r="AP16">
        <f t="shared" si="5"/>
        <v>61535.980668349781</v>
      </c>
      <c r="AQ16">
        <f t="shared" si="5"/>
        <v>60670.013066717911</v>
      </c>
      <c r="AR16">
        <f t="shared" si="5"/>
        <v>59782.17494258166</v>
      </c>
      <c r="AS16">
        <f t="shared" si="5"/>
        <v>58871.627170216219</v>
      </c>
      <c r="AT16">
        <f t="shared" si="5"/>
        <v>57937.487140468533</v>
      </c>
      <c r="AU16">
        <f t="shared" si="5"/>
        <v>56978.825907150094</v>
      </c>
      <c r="AV16">
        <f t="shared" si="5"/>
        <v>55994.665105728112</v>
      </c>
      <c r="AW16">
        <f t="shared" si="5"/>
        <v>54983.9736228127</v>
      </c>
      <c r="AX16">
        <f t="shared" si="5"/>
        <v>53945.663992623609</v>
      </c>
      <c r="AY16">
        <f t="shared" si="5"/>
        <v>52878.588493946205</v>
      </c>
      <c r="AZ16">
        <f t="shared" si="5"/>
        <v>51781.534918144265</v>
      </c>
      <c r="BA16">
        <f t="shared" si="5"/>
        <v>50653.221975405715</v>
      </c>
    </row>
    <row r="17" spans="1:53" ht="14.25" customHeight="1">
      <c r="A17" s="25" t="s">
        <v>132</v>
      </c>
      <c r="B17">
        <v>0</v>
      </c>
    </row>
    <row r="18" spans="1:53" ht="14.25" customHeight="1">
      <c r="A18" s="25" t="s">
        <v>148</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row>
    <row r="19" spans="1:53" ht="14.25" customHeight="1">
      <c r="A19" s="46"/>
    </row>
    <row r="20" spans="1:53" ht="14.25" customHeight="1">
      <c r="A20" s="46"/>
    </row>
    <row r="21" spans="1:53" ht="14.25" customHeight="1"/>
    <row r="22" spans="1:53" ht="14.25" customHeight="1">
      <c r="A22" s="5" t="s">
        <v>128</v>
      </c>
    </row>
    <row r="23" spans="1:53" ht="14.25" customHeight="1">
      <c r="A23" t="s">
        <v>107</v>
      </c>
      <c r="B23" t="s">
        <v>108</v>
      </c>
    </row>
    <row r="24" spans="1:53" ht="14.25" customHeight="1"/>
    <row r="25" spans="1:53" ht="14.25" customHeight="1">
      <c r="A25" t="s">
        <v>109</v>
      </c>
      <c r="B25" t="s">
        <v>110</v>
      </c>
      <c r="C25" t="s">
        <v>111</v>
      </c>
      <c r="E25" t="s">
        <v>112</v>
      </c>
      <c r="F25" t="s">
        <v>113</v>
      </c>
    </row>
    <row r="26" spans="1:53" ht="14.25" customHeight="1">
      <c r="A26" t="s">
        <v>114</v>
      </c>
      <c r="B26" t="e">
        <v>#N/A</v>
      </c>
      <c r="C26" t="e">
        <v>#N/A</v>
      </c>
    </row>
    <row r="27" spans="1:53" ht="14.25" customHeight="1">
      <c r="A27" t="s">
        <v>115</v>
      </c>
      <c r="B27">
        <v>3.4396772942024576</v>
      </c>
      <c r="C27">
        <v>68.332118922034056</v>
      </c>
      <c r="E27">
        <v>6.9518421539183022</v>
      </c>
      <c r="F27">
        <v>138.10426506853423</v>
      </c>
    </row>
    <row r="28" spans="1:53" ht="14.25" customHeight="1">
      <c r="A28" t="s">
        <v>67</v>
      </c>
      <c r="B28">
        <v>0.75224685861676899</v>
      </c>
      <c r="C28">
        <v>15.798310345109863</v>
      </c>
      <c r="E28">
        <v>1.5203465251519233</v>
      </c>
      <c r="F28">
        <v>31.929553392386921</v>
      </c>
    </row>
    <row r="29" spans="1:53" ht="14.25" customHeight="1">
      <c r="A29" t="s">
        <v>116</v>
      </c>
      <c r="B29">
        <v>0</v>
      </c>
      <c r="C29">
        <v>38.104085049749671</v>
      </c>
      <c r="E29">
        <v>0</v>
      </c>
      <c r="F29">
        <v>77.011173441128761</v>
      </c>
    </row>
    <row r="30" spans="1:53" ht="14.25" customHeight="1">
      <c r="A30" t="s">
        <v>117</v>
      </c>
      <c r="B30">
        <v>0</v>
      </c>
      <c r="C30">
        <v>16.048024514257353</v>
      </c>
      <c r="E30">
        <v>0</v>
      </c>
      <c r="F30">
        <v>32.434244193014109</v>
      </c>
    </row>
    <row r="31" spans="1:53" ht="14.25" customHeight="1">
      <c r="A31" t="s">
        <v>118</v>
      </c>
      <c r="B31">
        <v>1.7799214398712855</v>
      </c>
      <c r="C31">
        <v>6.2877402942667855</v>
      </c>
      <c r="E31">
        <v>3.5973528438891544</v>
      </c>
      <c r="F31">
        <v>12.707988073256061</v>
      </c>
    </row>
    <row r="32" spans="1:53" ht="14.25" customHeight="1">
      <c r="A32" t="s">
        <v>119</v>
      </c>
      <c r="B32">
        <v>3.6097729646846477</v>
      </c>
      <c r="C32">
        <v>2.5109611862334766</v>
      </c>
      <c r="E32">
        <v>7.295618081459569</v>
      </c>
      <c r="F32">
        <v>5.0748382270430357</v>
      </c>
    </row>
    <row r="33" spans="1:6" ht="14.25" customHeight="1">
      <c r="A33" t="s">
        <v>55</v>
      </c>
      <c r="B33">
        <v>0</v>
      </c>
      <c r="C33">
        <v>54.610345686466886</v>
      </c>
      <c r="E33">
        <v>0</v>
      </c>
      <c r="F33">
        <v>110.3715467212912</v>
      </c>
    </row>
    <row r="34" spans="1:6" ht="14.25" customHeight="1">
      <c r="A34" t="s">
        <v>51</v>
      </c>
      <c r="B34">
        <v>0</v>
      </c>
      <c r="C34">
        <v>7.6751558671219051</v>
      </c>
      <c r="E34">
        <v>0</v>
      </c>
      <c r="F34">
        <v>15.512057536584392</v>
      </c>
    </row>
    <row r="35" spans="1:6" ht="14.25" customHeight="1">
      <c r="A35" t="s">
        <v>120</v>
      </c>
      <c r="B35">
        <v>3.3409404500318773</v>
      </c>
      <c r="C35">
        <v>125.55197727588457</v>
      </c>
      <c r="E35">
        <v>6.7522876908857299</v>
      </c>
      <c r="F35">
        <v>253.74982984753032</v>
      </c>
    </row>
    <row r="36" spans="1:6" ht="14.25" customHeight="1">
      <c r="A36" t="s">
        <v>37</v>
      </c>
      <c r="B36">
        <v>7.5359364781726834E-2</v>
      </c>
      <c r="C36">
        <v>77.126740226266676</v>
      </c>
      <c r="E36">
        <v>0.15230684857126578</v>
      </c>
      <c r="F36">
        <v>155.87884503089325</v>
      </c>
    </row>
    <row r="37" spans="1:6" ht="14.25" customHeight="1">
      <c r="A37" t="s">
        <v>121</v>
      </c>
      <c r="B37">
        <v>1.0947084655985806</v>
      </c>
      <c r="C37">
        <v>6.9712954514298984</v>
      </c>
      <c r="E37">
        <v>2.2124867557274697</v>
      </c>
      <c r="F37">
        <v>14.089503590454193</v>
      </c>
    </row>
    <row r="38" spans="1:6" ht="14.25" customHeight="1">
      <c r="A38" t="s">
        <v>122</v>
      </c>
      <c r="B38">
        <v>3.7120325552780667E-3</v>
      </c>
      <c r="C38">
        <v>8.9169438878850666</v>
      </c>
      <c r="E38">
        <v>7.5022922754974693E-3</v>
      </c>
      <c r="F38">
        <v>18.02180294890039</v>
      </c>
    </row>
    <row r="39" spans="1:6" ht="14.25" customHeight="1">
      <c r="A39" t="s">
        <v>123</v>
      </c>
      <c r="B39">
        <v>0</v>
      </c>
      <c r="C39">
        <v>15.298749469803766</v>
      </c>
      <c r="E39">
        <v>0</v>
      </c>
      <c r="F39">
        <v>30.919903924032802</v>
      </c>
    </row>
    <row r="40" spans="1:6" ht="14.25" customHeight="1">
      <c r="A40" t="s">
        <v>124</v>
      </c>
      <c r="B40">
        <v>0</v>
      </c>
      <c r="C40">
        <v>42.27300000000001</v>
      </c>
      <c r="E40">
        <v>0</v>
      </c>
      <c r="F40">
        <v>85.436858820422557</v>
      </c>
    </row>
    <row r="41" spans="1:6" ht="14.25" customHeight="1">
      <c r="A41" t="s">
        <v>125</v>
      </c>
      <c r="B41">
        <v>0</v>
      </c>
      <c r="C41">
        <v>17.362461864395268</v>
      </c>
      <c r="E41">
        <v>0</v>
      </c>
      <c r="F41">
        <v>35.09081927195394</v>
      </c>
    </row>
    <row r="42" spans="1:6" ht="14.25" customHeight="1">
      <c r="A42" t="s">
        <v>126</v>
      </c>
    </row>
    <row r="43" spans="1:6" ht="14.25" customHeight="1">
      <c r="A43" t="s">
        <v>127</v>
      </c>
      <c r="B43" t="e">
        <v>#N/A</v>
      </c>
      <c r="C43" t="e">
        <v>#N/A</v>
      </c>
    </row>
    <row r="44" spans="1:6" ht="14.25" customHeight="1"/>
    <row r="45" spans="1:6" ht="14.25" customHeight="1"/>
    <row r="46" spans="1:6" ht="14.25" customHeight="1"/>
    <row r="47" spans="1:6" ht="14.25" customHeight="1"/>
    <row r="48" spans="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sheetData>
  <mergeCells count="2">
    <mergeCell ref="D3:E3"/>
    <mergeCell ref="D4:E4"/>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1000"/>
  <sheetViews>
    <sheetView workbookViewId="0">
      <selection activeCell="A8" sqref="A8"/>
    </sheetView>
  </sheetViews>
  <sheetFormatPr baseColWidth="10" defaultColWidth="14.42578125" defaultRowHeight="15" customHeight="1"/>
  <cols>
    <col min="1" max="1" width="18.140625" customWidth="1"/>
    <col min="2" max="2" width="17.42578125" customWidth="1"/>
    <col min="3" max="35" width="8.7109375" customWidth="1"/>
  </cols>
  <sheetData>
    <row r="1" spans="1:59" ht="14.25" customHeight="1">
      <c r="A1" s="10" t="s">
        <v>34</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row>
    <row r="2" spans="1:59" ht="30.75" customHeight="1">
      <c r="A2" s="14" t="s">
        <v>35</v>
      </c>
      <c r="B2" s="14" t="s">
        <v>36</v>
      </c>
      <c r="C2" s="1">
        <v>2018</v>
      </c>
      <c r="D2" s="1">
        <v>2019</v>
      </c>
      <c r="E2" s="1">
        <v>2020</v>
      </c>
      <c r="F2" s="1">
        <v>2021</v>
      </c>
      <c r="G2" s="1">
        <v>2022</v>
      </c>
      <c r="H2" s="1">
        <v>2023</v>
      </c>
      <c r="I2" s="1">
        <v>2024</v>
      </c>
      <c r="J2" s="1">
        <v>2025</v>
      </c>
      <c r="K2" s="1">
        <v>2026</v>
      </c>
      <c r="L2" s="1">
        <v>2027</v>
      </c>
      <c r="M2" s="1">
        <v>2028</v>
      </c>
      <c r="N2" s="1">
        <v>2029</v>
      </c>
      <c r="O2" s="1">
        <v>2030</v>
      </c>
      <c r="P2" s="1">
        <v>2031</v>
      </c>
      <c r="Q2" s="1">
        <v>2032</v>
      </c>
      <c r="R2" s="1">
        <v>2033</v>
      </c>
      <c r="S2" s="1">
        <v>2034</v>
      </c>
      <c r="T2" s="1">
        <v>2035</v>
      </c>
      <c r="U2" s="1">
        <v>2036</v>
      </c>
      <c r="V2" s="1">
        <v>2037</v>
      </c>
      <c r="W2" s="1">
        <v>2038</v>
      </c>
      <c r="X2" s="1">
        <v>2039</v>
      </c>
      <c r="Y2" s="1">
        <v>2040</v>
      </c>
      <c r="Z2" s="1">
        <v>2041</v>
      </c>
      <c r="AA2" s="1">
        <v>2042</v>
      </c>
      <c r="AB2" s="1">
        <v>2043</v>
      </c>
      <c r="AC2" s="1">
        <v>2044</v>
      </c>
      <c r="AD2" s="1">
        <v>2045</v>
      </c>
      <c r="AE2" s="1">
        <v>2046</v>
      </c>
      <c r="AF2" s="1">
        <v>2047</v>
      </c>
      <c r="AG2" s="1">
        <v>2048</v>
      </c>
      <c r="AH2" s="1">
        <v>2049</v>
      </c>
      <c r="AI2" s="1">
        <v>2050</v>
      </c>
      <c r="AJ2" s="25">
        <v>2051</v>
      </c>
      <c r="AK2" s="25">
        <v>2052</v>
      </c>
      <c r="AL2" s="25">
        <v>2053</v>
      </c>
      <c r="AM2" s="25">
        <v>2054</v>
      </c>
      <c r="AN2" s="25">
        <v>2055</v>
      </c>
      <c r="AO2" s="25">
        <v>2056</v>
      </c>
      <c r="AP2" s="25">
        <v>2057</v>
      </c>
      <c r="AQ2" s="25">
        <v>2058</v>
      </c>
      <c r="AR2" s="25">
        <v>2059</v>
      </c>
      <c r="AS2" s="25">
        <v>2060</v>
      </c>
      <c r="AT2" s="25">
        <v>2061</v>
      </c>
      <c r="AU2" s="25">
        <v>2062</v>
      </c>
      <c r="AV2" s="25">
        <v>2063</v>
      </c>
      <c r="AW2" s="25">
        <v>2064</v>
      </c>
      <c r="AX2" s="25">
        <v>2065</v>
      </c>
      <c r="AY2" s="25">
        <v>2066</v>
      </c>
      <c r="AZ2" s="25">
        <v>2067</v>
      </c>
      <c r="BA2" s="25">
        <v>2068</v>
      </c>
      <c r="BB2" s="25">
        <v>2069</v>
      </c>
      <c r="BC2" s="25">
        <v>2070</v>
      </c>
      <c r="BD2" s="25"/>
      <c r="BE2" s="25"/>
      <c r="BF2" s="25"/>
      <c r="BG2" s="25"/>
    </row>
    <row r="3" spans="1:59" ht="14.25" customHeight="1">
      <c r="A3" s="5" t="s">
        <v>37</v>
      </c>
      <c r="B3" s="5" t="s">
        <v>38</v>
      </c>
      <c r="C3" s="5">
        <v>7185.6550639581592</v>
      </c>
      <c r="D3" s="5">
        <v>7148.971053592184</v>
      </c>
      <c r="E3" s="5">
        <v>7112.2870432262098</v>
      </c>
      <c r="F3" s="5">
        <v>7075.6030328602355</v>
      </c>
      <c r="G3" s="5">
        <v>7038.9190224942613</v>
      </c>
      <c r="H3" s="5">
        <v>7002.2350121282861</v>
      </c>
      <c r="I3" s="5">
        <v>6965.5510017623119</v>
      </c>
      <c r="J3" s="5">
        <v>6928.8669913963377</v>
      </c>
      <c r="K3" s="5">
        <v>6892.1829810303625</v>
      </c>
      <c r="L3" s="5">
        <v>6851.2589598080949</v>
      </c>
      <c r="M3" s="5">
        <v>6813.6278029420464</v>
      </c>
      <c r="N3" s="5">
        <v>6774.1539532539337</v>
      </c>
      <c r="O3" s="5">
        <v>6727.7998011345171</v>
      </c>
      <c r="P3" s="5">
        <v>6683.1960440087441</v>
      </c>
      <c r="Q3" s="5">
        <v>6636.3542050003807</v>
      </c>
      <c r="R3" s="5">
        <v>6588.5183027418716</v>
      </c>
      <c r="S3" s="5">
        <v>6547.775053991485</v>
      </c>
      <c r="T3" s="5">
        <v>6505.1168147586513</v>
      </c>
      <c r="U3" s="5">
        <v>6453.4227874690823</v>
      </c>
      <c r="V3" s="5">
        <v>6411.16930743789</v>
      </c>
      <c r="W3" s="5">
        <v>6366.4717553695682</v>
      </c>
      <c r="X3" s="5">
        <v>6316.8299293305672</v>
      </c>
      <c r="Y3" s="5">
        <v>6266.0122705067661</v>
      </c>
      <c r="Z3" s="5">
        <v>6226.1659149347006</v>
      </c>
      <c r="AA3" s="5">
        <v>6177.7439681364785</v>
      </c>
      <c r="AB3" s="5">
        <v>6133.5759493936757</v>
      </c>
      <c r="AC3" s="5">
        <v>6089.1104732365557</v>
      </c>
      <c r="AD3" s="5">
        <v>6048.0420750528901</v>
      </c>
      <c r="AE3" s="5">
        <v>5995.95406657903</v>
      </c>
      <c r="AF3" s="5">
        <v>5951.8102131161768</v>
      </c>
      <c r="AG3" s="5">
        <v>5907.4100770717405</v>
      </c>
      <c r="AH3" s="5">
        <v>5862.8788955144619</v>
      </c>
      <c r="AI3" s="5">
        <v>5768.0885837282767</v>
      </c>
      <c r="AJ3">
        <f>_xlfn.FORECAST.LINEAR(AJ2,$C$3:$AI$3,$C$2:$AI$2)</f>
        <v>5785.9289093374973</v>
      </c>
      <c r="AK3">
        <f t="shared" ref="AK3:BC3" si="0">_xlfn.FORECAST.LINEAR(AK2,$C$3:$AI$3,$C$2:$AI$2)</f>
        <v>5742.2264059527806</v>
      </c>
      <c r="AL3">
        <f t="shared" si="0"/>
        <v>5698.5239025680639</v>
      </c>
      <c r="AM3">
        <f t="shared" si="0"/>
        <v>5654.8213991833327</v>
      </c>
      <c r="AN3">
        <f t="shared" si="0"/>
        <v>5611.118895798616</v>
      </c>
      <c r="AO3">
        <f t="shared" si="0"/>
        <v>5567.4163924138993</v>
      </c>
      <c r="AP3">
        <f t="shared" si="0"/>
        <v>5523.7138890291681</v>
      </c>
      <c r="AQ3">
        <f t="shared" si="0"/>
        <v>5480.0113856444514</v>
      </c>
      <c r="AR3">
        <f t="shared" si="0"/>
        <v>5436.3088822597347</v>
      </c>
      <c r="AS3">
        <f t="shared" si="0"/>
        <v>5392.606378875018</v>
      </c>
      <c r="AT3">
        <f t="shared" si="0"/>
        <v>5348.9038754902867</v>
      </c>
      <c r="AU3">
        <f t="shared" si="0"/>
        <v>5305.20137210557</v>
      </c>
      <c r="AV3">
        <f t="shared" si="0"/>
        <v>5261.4988687208534</v>
      </c>
      <c r="AW3">
        <f t="shared" si="0"/>
        <v>5217.7963653361367</v>
      </c>
      <c r="AX3">
        <f t="shared" si="0"/>
        <v>5174.0938619514054</v>
      </c>
      <c r="AY3">
        <f t="shared" si="0"/>
        <v>5130.3913585666887</v>
      </c>
      <c r="AZ3">
        <f t="shared" si="0"/>
        <v>5086.688855181972</v>
      </c>
      <c r="BA3">
        <f t="shared" si="0"/>
        <v>5042.9863517972408</v>
      </c>
      <c r="BB3">
        <f t="shared" si="0"/>
        <v>4999.2838484125241</v>
      </c>
      <c r="BC3">
        <f t="shared" si="0"/>
        <v>4955.5813450278074</v>
      </c>
    </row>
    <row r="4" spans="1:59" ht="14.25" customHeight="1">
      <c r="A4" s="10" t="s">
        <v>39</v>
      </c>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row>
    <row r="5" spans="1:59" ht="14.25" customHeight="1">
      <c r="A5" s="14" t="s">
        <v>40</v>
      </c>
      <c r="B5" s="14" t="s">
        <v>41</v>
      </c>
      <c r="C5" s="16" t="s">
        <v>42</v>
      </c>
      <c r="D5" s="16" t="s">
        <v>43</v>
      </c>
      <c r="E5" s="17" t="s">
        <v>44</v>
      </c>
      <c r="F5" s="14" t="s">
        <v>45</v>
      </c>
    </row>
    <row r="6" spans="1:59" ht="14.25" customHeight="1">
      <c r="A6" s="5" t="s">
        <v>37</v>
      </c>
      <c r="B6" s="5" t="s">
        <v>38</v>
      </c>
      <c r="C6" s="18">
        <v>2.3182711198428287</v>
      </c>
      <c r="D6" s="18">
        <v>118.98821218074656</v>
      </c>
      <c r="E6" s="19">
        <v>2018</v>
      </c>
      <c r="F6" s="5" t="s">
        <v>46</v>
      </c>
    </row>
    <row r="7" spans="1:59" ht="14.25" customHeight="1"/>
    <row r="8" spans="1:59" ht="14.25" customHeight="1"/>
    <row r="9" spans="1:59" ht="14.25" customHeight="1"/>
    <row r="10" spans="1:59" ht="14.25" customHeight="1"/>
    <row r="11" spans="1:59" ht="14.25" customHeight="1"/>
    <row r="12" spans="1:59" ht="14.25" customHeight="1"/>
    <row r="13" spans="1:59" ht="14.25" customHeight="1"/>
    <row r="14" spans="1:59" ht="14.25" customHeight="1"/>
    <row r="15" spans="1:59" ht="14.25" customHeight="1"/>
    <row r="16" spans="1:59"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0"/>
  <sheetViews>
    <sheetView workbookViewId="0">
      <selection activeCell="B11" sqref="B11"/>
    </sheetView>
  </sheetViews>
  <sheetFormatPr baseColWidth="10" defaultColWidth="14.42578125" defaultRowHeight="15" customHeight="1"/>
  <cols>
    <col min="1" max="1" width="22.28515625" customWidth="1"/>
    <col min="2" max="4" width="11.7109375" customWidth="1"/>
    <col min="5" max="26" width="8.7109375" customWidth="1"/>
  </cols>
  <sheetData>
    <row r="1" spans="1:6" ht="14.25" customHeight="1">
      <c r="A1" s="10" t="s">
        <v>47</v>
      </c>
      <c r="B1" s="10"/>
      <c r="C1" s="10"/>
      <c r="E1" s="5" t="s">
        <v>48</v>
      </c>
      <c r="F1" s="5">
        <v>1000000</v>
      </c>
    </row>
    <row r="2" spans="1:6" ht="14.25" customHeight="1">
      <c r="B2" s="1">
        <v>2020</v>
      </c>
      <c r="C2" s="1">
        <v>2030</v>
      </c>
      <c r="D2" s="1">
        <v>2050</v>
      </c>
    </row>
    <row r="3" spans="1:6" ht="14.25" customHeight="1">
      <c r="A3" s="12" t="s">
        <v>49</v>
      </c>
      <c r="B3" s="20">
        <v>1650000</v>
      </c>
      <c r="C3" s="20">
        <v>1600000</v>
      </c>
      <c r="D3" s="20">
        <v>1550000</v>
      </c>
    </row>
    <row r="4" spans="1:6" ht="14.25" customHeight="1">
      <c r="A4" s="12" t="s">
        <v>50</v>
      </c>
      <c r="B4" s="5">
        <v>770000</v>
      </c>
      <c r="C4" s="5">
        <v>730000</v>
      </c>
      <c r="D4" s="5">
        <v>680000</v>
      </c>
    </row>
    <row r="5" spans="1:6" ht="14.25" customHeight="1">
      <c r="A5" s="12" t="s">
        <v>51</v>
      </c>
      <c r="B5" s="5">
        <v>2080000</v>
      </c>
      <c r="C5" s="5">
        <v>2000000</v>
      </c>
      <c r="D5" s="5">
        <v>1850000</v>
      </c>
    </row>
    <row r="6" spans="1:6" ht="14.25" customHeight="1">
      <c r="A6" s="12" t="s">
        <v>52</v>
      </c>
      <c r="B6" s="5">
        <v>1500000</v>
      </c>
      <c r="C6" s="5">
        <v>1280000</v>
      </c>
      <c r="D6" s="5">
        <v>1080000</v>
      </c>
    </row>
    <row r="7" spans="1:6" ht="14.25" customHeight="1">
      <c r="A7" s="12" t="s">
        <v>53</v>
      </c>
      <c r="B7" s="5">
        <v>790000</v>
      </c>
      <c r="C7" s="5">
        <v>560000</v>
      </c>
      <c r="D7" s="5">
        <v>410000</v>
      </c>
      <c r="F7" s="59" t="s">
        <v>146</v>
      </c>
    </row>
    <row r="8" spans="1:6" ht="14.25" customHeight="1">
      <c r="A8" s="12" t="s">
        <v>54</v>
      </c>
      <c r="B8" s="5">
        <v>2000000</v>
      </c>
      <c r="C8" s="5">
        <v>1820000</v>
      </c>
      <c r="D8" s="5">
        <v>1600000</v>
      </c>
    </row>
    <row r="9" spans="1:6" ht="14.25" customHeight="1">
      <c r="A9" s="12" t="s">
        <v>55</v>
      </c>
      <c r="B9" s="5">
        <v>4000000</v>
      </c>
      <c r="C9" s="5">
        <v>3440000</v>
      </c>
      <c r="D9" s="5">
        <v>2840000</v>
      </c>
    </row>
    <row r="10" spans="1:6" ht="14.25" customHeight="1">
      <c r="A10" s="12" t="s">
        <v>56</v>
      </c>
      <c r="B10" s="20">
        <v>800000</v>
      </c>
      <c r="C10" s="20">
        <v>800000</v>
      </c>
      <c r="D10" s="20">
        <v>780000</v>
      </c>
    </row>
    <row r="11" spans="1:6" ht="14.25" customHeight="1">
      <c r="A11" s="12" t="s">
        <v>57</v>
      </c>
      <c r="B11" s="5">
        <v>690000</v>
      </c>
      <c r="C11" s="5">
        <v>660000</v>
      </c>
      <c r="D11" s="5">
        <v>610000</v>
      </c>
    </row>
    <row r="12" spans="1:6" ht="14.25" customHeight="1">
      <c r="A12" s="12" t="s">
        <v>58</v>
      </c>
      <c r="B12" s="20">
        <v>1650000</v>
      </c>
      <c r="C12" s="20">
        <v>1600000</v>
      </c>
      <c r="D12" s="20">
        <v>1550000</v>
      </c>
    </row>
    <row r="13" spans="1:6" ht="14.25" customHeight="1">
      <c r="A13" s="12" t="s">
        <v>59</v>
      </c>
      <c r="B13" s="5">
        <v>3500000</v>
      </c>
      <c r="C13" s="5">
        <v>2980000</v>
      </c>
      <c r="D13" s="5">
        <v>2520000</v>
      </c>
    </row>
    <row r="14" spans="1:6" ht="14.25" customHeight="1">
      <c r="A14" s="12" t="s">
        <v>60</v>
      </c>
      <c r="B14" s="20">
        <v>800000</v>
      </c>
      <c r="C14" s="20">
        <v>800000</v>
      </c>
      <c r="D14" s="20">
        <v>780000</v>
      </c>
    </row>
    <row r="15" spans="1:6" ht="14.25" customHeight="1">
      <c r="A15" s="12" t="s">
        <v>61</v>
      </c>
      <c r="B15" s="20">
        <v>800000</v>
      </c>
      <c r="C15" s="20">
        <v>800000</v>
      </c>
      <c r="D15" s="20">
        <v>780000</v>
      </c>
    </row>
    <row r="16" spans="1:6" ht="14.25" customHeight="1">
      <c r="A16" s="12" t="s">
        <v>62</v>
      </c>
      <c r="B16" s="5">
        <v>690000</v>
      </c>
      <c r="C16" s="5">
        <v>660000</v>
      </c>
      <c r="D16" s="5">
        <v>610000</v>
      </c>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7"/>
  <sheetViews>
    <sheetView tabSelected="1" zoomScale="99" workbookViewId="0">
      <selection activeCell="B3" sqref="B3"/>
    </sheetView>
  </sheetViews>
  <sheetFormatPr baseColWidth="10" defaultColWidth="11.42578125" defaultRowHeight="15"/>
  <cols>
    <col min="1" max="1" width="29.140625" customWidth="1"/>
  </cols>
  <sheetData>
    <row r="1" spans="1:7">
      <c r="A1" s="25" t="s">
        <v>99</v>
      </c>
      <c r="B1" s="26">
        <v>2020</v>
      </c>
      <c r="C1" s="26">
        <v>2030</v>
      </c>
      <c r="D1" s="26">
        <v>2050</v>
      </c>
    </row>
    <row r="2" spans="1:7">
      <c r="A2" s="12" t="s">
        <v>49</v>
      </c>
      <c r="B2" s="27">
        <v>25228</v>
      </c>
      <c r="C2" s="27">
        <f>B2</f>
        <v>25228</v>
      </c>
      <c r="D2" s="27">
        <f>C2</f>
        <v>25228</v>
      </c>
    </row>
    <row r="3" spans="1:7">
      <c r="A3" s="12" t="s">
        <v>50</v>
      </c>
      <c r="B3" s="27">
        <v>12614</v>
      </c>
      <c r="C3" s="27">
        <f t="shared" ref="C3:D3" si="0">B3</f>
        <v>12614</v>
      </c>
      <c r="D3" s="27">
        <f t="shared" si="0"/>
        <v>12614</v>
      </c>
    </row>
    <row r="4" spans="1:7">
      <c r="A4" s="12" t="s">
        <v>72</v>
      </c>
      <c r="B4" s="27">
        <v>77261</v>
      </c>
      <c r="C4" s="27">
        <f t="shared" ref="C4:D4" si="1">B4</f>
        <v>77261</v>
      </c>
      <c r="D4" s="27">
        <f t="shared" si="1"/>
        <v>77261</v>
      </c>
    </row>
    <row r="5" spans="1:7">
      <c r="A5" s="12" t="s">
        <v>51</v>
      </c>
      <c r="B5" s="27">
        <v>14191</v>
      </c>
      <c r="C5" s="27">
        <f t="shared" ref="C5:D5" si="2">B5</f>
        <v>14191</v>
      </c>
      <c r="D5" s="27">
        <f t="shared" si="2"/>
        <v>14191</v>
      </c>
    </row>
    <row r="6" spans="1:7">
      <c r="A6" s="49" t="s">
        <v>52</v>
      </c>
      <c r="B6" s="50">
        <v>14191</v>
      </c>
      <c r="C6" s="27">
        <f t="shared" ref="C6:D6" si="3">B6</f>
        <v>14191</v>
      </c>
      <c r="D6" s="27">
        <f t="shared" si="3"/>
        <v>14191</v>
      </c>
    </row>
    <row r="7" spans="1:7">
      <c r="A7" s="49" t="s">
        <v>53</v>
      </c>
      <c r="B7" s="50">
        <v>7884</v>
      </c>
      <c r="C7" s="27">
        <f t="shared" ref="C7:D7" si="4">B7</f>
        <v>7884</v>
      </c>
      <c r="D7" s="27">
        <f t="shared" si="4"/>
        <v>7884</v>
      </c>
    </row>
    <row r="8" spans="1:7">
      <c r="A8" s="12" t="s">
        <v>54</v>
      </c>
      <c r="B8" s="27">
        <v>45696</v>
      </c>
      <c r="C8" s="27">
        <f t="shared" ref="C8:D8" si="5">B8</f>
        <v>45696</v>
      </c>
      <c r="D8" s="27">
        <f t="shared" si="5"/>
        <v>45696</v>
      </c>
    </row>
    <row r="9" spans="1:7">
      <c r="A9" s="12" t="s">
        <v>55</v>
      </c>
      <c r="B9" s="27">
        <v>14191</v>
      </c>
      <c r="C9" s="27">
        <f t="shared" ref="C9:D9" si="6">B9</f>
        <v>14191</v>
      </c>
      <c r="D9" s="27">
        <f t="shared" si="6"/>
        <v>14191</v>
      </c>
      <c r="F9" s="27"/>
      <c r="G9" s="27"/>
    </row>
    <row r="10" spans="1:7">
      <c r="A10" s="12" t="s">
        <v>56</v>
      </c>
      <c r="B10" s="27">
        <v>78838</v>
      </c>
      <c r="C10" s="27">
        <f t="shared" ref="C10:D10" si="7">B10</f>
        <v>78838</v>
      </c>
      <c r="D10" s="27">
        <f t="shared" si="7"/>
        <v>78838</v>
      </c>
    </row>
    <row r="11" spans="1:7">
      <c r="A11" s="12" t="s">
        <v>57</v>
      </c>
      <c r="B11" s="27">
        <v>12614</v>
      </c>
      <c r="C11" s="27">
        <f t="shared" ref="C11:D11" si="8">B11</f>
        <v>12614</v>
      </c>
      <c r="D11" s="27">
        <f t="shared" si="8"/>
        <v>12614</v>
      </c>
    </row>
    <row r="12" spans="1:7">
      <c r="A12" s="47" t="s">
        <v>58</v>
      </c>
      <c r="B12" s="48">
        <f>B2</f>
        <v>25228</v>
      </c>
      <c r="C12" s="27">
        <f t="shared" ref="C12:D12" si="9">B12</f>
        <v>25228</v>
      </c>
      <c r="D12" s="27">
        <f t="shared" si="9"/>
        <v>25228</v>
      </c>
    </row>
    <row r="13" spans="1:7">
      <c r="A13" s="49" t="s">
        <v>59</v>
      </c>
      <c r="B13" s="27">
        <v>77261</v>
      </c>
      <c r="C13" s="27">
        <f t="shared" ref="C13:D13" si="10">B13</f>
        <v>77261</v>
      </c>
      <c r="D13" s="27">
        <f t="shared" si="10"/>
        <v>77261</v>
      </c>
    </row>
    <row r="14" spans="1:7">
      <c r="A14" s="51" t="s">
        <v>60</v>
      </c>
      <c r="B14" s="27">
        <v>78838</v>
      </c>
      <c r="C14" s="27">
        <f t="shared" ref="C14:D14" si="11">B14</f>
        <v>78838</v>
      </c>
      <c r="D14" s="27">
        <f t="shared" si="11"/>
        <v>78838</v>
      </c>
    </row>
    <row r="15" spans="1:7">
      <c r="A15" s="12" t="s">
        <v>61</v>
      </c>
      <c r="B15" s="27">
        <v>78838</v>
      </c>
      <c r="C15" s="27">
        <f t="shared" ref="C15:D15" si="12">B15</f>
        <v>78838</v>
      </c>
      <c r="D15" s="27">
        <f t="shared" si="12"/>
        <v>78838</v>
      </c>
    </row>
    <row r="16" spans="1:7">
      <c r="A16" s="52" t="s">
        <v>62</v>
      </c>
      <c r="B16" s="27">
        <v>233952</v>
      </c>
      <c r="C16" s="27">
        <f t="shared" ref="C16:D16" si="13">B16</f>
        <v>233952</v>
      </c>
      <c r="D16" s="27">
        <f t="shared" si="13"/>
        <v>233952</v>
      </c>
    </row>
    <row r="20" spans="1:5">
      <c r="A20" s="25" t="s">
        <v>100</v>
      </c>
      <c r="B20" s="26">
        <v>2020</v>
      </c>
      <c r="C20" s="26">
        <v>2030</v>
      </c>
      <c r="D20" s="26">
        <v>2050</v>
      </c>
    </row>
    <row r="21" spans="1:5">
      <c r="A21" s="12" t="s">
        <v>49</v>
      </c>
      <c r="B21" s="28">
        <v>0.12</v>
      </c>
      <c r="C21" s="28">
        <v>0.12</v>
      </c>
      <c r="D21" s="28">
        <v>0.12</v>
      </c>
    </row>
    <row r="22" spans="1:5">
      <c r="A22" s="12" t="s">
        <v>50</v>
      </c>
      <c r="B22" s="28">
        <v>0.12479999999999999</v>
      </c>
      <c r="C22" s="28">
        <v>0.12479999999999999</v>
      </c>
      <c r="D22" s="28">
        <v>0.12479999999999999</v>
      </c>
    </row>
    <row r="23" spans="1:5">
      <c r="A23" s="12" t="s">
        <v>72</v>
      </c>
      <c r="B23" s="28">
        <v>1.87</v>
      </c>
      <c r="C23" s="28">
        <v>1.87</v>
      </c>
      <c r="D23" s="28">
        <v>1.87</v>
      </c>
      <c r="E23" s="59"/>
    </row>
    <row r="24" spans="1:5">
      <c r="A24" s="12" t="s">
        <v>51</v>
      </c>
      <c r="B24" s="28">
        <v>0.53</v>
      </c>
      <c r="C24" s="28">
        <v>0.53</v>
      </c>
      <c r="D24" s="28">
        <v>0.53</v>
      </c>
    </row>
    <row r="25" spans="1:5">
      <c r="A25" s="12" t="s">
        <v>52</v>
      </c>
      <c r="B25" s="28">
        <v>0</v>
      </c>
      <c r="C25" s="28">
        <v>0</v>
      </c>
      <c r="D25" s="28">
        <v>0</v>
      </c>
    </row>
    <row r="26" spans="1:5">
      <c r="A26" s="12" t="s">
        <v>53</v>
      </c>
      <c r="B26" s="28">
        <v>0</v>
      </c>
      <c r="C26" s="28">
        <v>0</v>
      </c>
      <c r="D26" s="28">
        <v>0</v>
      </c>
    </row>
    <row r="27" spans="1:5">
      <c r="A27" s="12" t="s">
        <v>101</v>
      </c>
      <c r="B27" s="28">
        <v>0</v>
      </c>
      <c r="C27" s="28">
        <v>0</v>
      </c>
      <c r="D27" s="28">
        <v>0</v>
      </c>
    </row>
    <row r="28" spans="1:5">
      <c r="A28" s="12" t="s">
        <v>54</v>
      </c>
      <c r="B28" s="28">
        <v>2.88</v>
      </c>
      <c r="C28" s="28">
        <v>2.88</v>
      </c>
      <c r="D28" s="28">
        <v>2.88</v>
      </c>
    </row>
    <row r="29" spans="1:5">
      <c r="A29" s="12" t="s">
        <v>55</v>
      </c>
      <c r="B29" s="28">
        <v>0.21</v>
      </c>
      <c r="C29" s="28">
        <v>0.21</v>
      </c>
      <c r="D29" s="28">
        <v>0.21</v>
      </c>
    </row>
    <row r="30" spans="1:5">
      <c r="A30" s="12" t="s">
        <v>56</v>
      </c>
      <c r="B30" s="28">
        <v>6.14</v>
      </c>
      <c r="C30" s="28">
        <v>6.14</v>
      </c>
      <c r="D30" s="28">
        <v>6.14</v>
      </c>
    </row>
    <row r="31" spans="1:5">
      <c r="A31" s="12" t="s">
        <v>57</v>
      </c>
      <c r="B31" s="28">
        <v>0.12479999999999999</v>
      </c>
      <c r="C31" s="28">
        <v>0.12479999999999999</v>
      </c>
      <c r="D31" s="28">
        <v>0.12479999999999999</v>
      </c>
    </row>
    <row r="32" spans="1:5">
      <c r="A32" s="12" t="s">
        <v>58</v>
      </c>
      <c r="B32" s="28">
        <v>0.12</v>
      </c>
      <c r="C32" s="28">
        <v>0.12</v>
      </c>
      <c r="D32" s="28">
        <v>0.12</v>
      </c>
    </row>
    <row r="33" spans="1:4">
      <c r="A33" s="12" t="s">
        <v>59</v>
      </c>
      <c r="B33" s="28">
        <v>4.29</v>
      </c>
      <c r="C33" s="28">
        <v>4.29</v>
      </c>
      <c r="D33" s="28">
        <v>4.29</v>
      </c>
    </row>
    <row r="34" spans="1:4">
      <c r="A34" s="12" t="s">
        <v>60</v>
      </c>
      <c r="B34" s="28">
        <v>6.14</v>
      </c>
      <c r="C34" s="28">
        <v>6.14</v>
      </c>
      <c r="D34" s="28">
        <v>6.14</v>
      </c>
    </row>
    <row r="35" spans="1:4">
      <c r="A35" s="12" t="s">
        <v>61</v>
      </c>
      <c r="B35" s="28">
        <v>6.14</v>
      </c>
      <c r="C35" s="28">
        <v>6.14</v>
      </c>
      <c r="D35" s="28">
        <v>6.14</v>
      </c>
    </row>
    <row r="36" spans="1:4">
      <c r="A36" s="12" t="s">
        <v>62</v>
      </c>
      <c r="B36" s="28">
        <v>23.14</v>
      </c>
      <c r="C36" s="28">
        <v>23.14</v>
      </c>
      <c r="D36" s="28">
        <v>23.14</v>
      </c>
    </row>
    <row r="39" spans="1:4">
      <c r="A39" s="25" t="s">
        <v>138</v>
      </c>
      <c r="B39" s="25" t="s">
        <v>139</v>
      </c>
      <c r="C39" s="25" t="s">
        <v>140</v>
      </c>
      <c r="D39" s="25" t="s">
        <v>141</v>
      </c>
    </row>
    <row r="40" spans="1:4">
      <c r="A40" s="5" t="s">
        <v>49</v>
      </c>
      <c r="B40" s="5">
        <v>160</v>
      </c>
      <c r="C40" s="5">
        <v>160000</v>
      </c>
      <c r="D40" s="5">
        <v>25228</v>
      </c>
    </row>
    <row r="41" spans="1:4">
      <c r="A41" s="5" t="s">
        <v>50</v>
      </c>
      <c r="B41" s="5">
        <v>80</v>
      </c>
      <c r="C41" s="5">
        <v>80000</v>
      </c>
      <c r="D41" s="5">
        <v>12614</v>
      </c>
    </row>
    <row r="42" spans="1:4">
      <c r="A42" s="5" t="s">
        <v>37</v>
      </c>
      <c r="B42" s="5">
        <v>490</v>
      </c>
      <c r="C42" s="5">
        <v>490000</v>
      </c>
      <c r="D42" s="5">
        <v>77261</v>
      </c>
    </row>
    <row r="43" spans="1:4">
      <c r="A43" s="5" t="s">
        <v>51</v>
      </c>
      <c r="B43" s="5">
        <v>90</v>
      </c>
      <c r="C43" s="5">
        <v>90000</v>
      </c>
      <c r="D43" s="5">
        <v>14191</v>
      </c>
    </row>
    <row r="44" spans="1:4">
      <c r="A44" s="5" t="s">
        <v>52</v>
      </c>
      <c r="B44" s="5">
        <v>90</v>
      </c>
      <c r="C44" s="5">
        <v>90000</v>
      </c>
      <c r="D44" s="5">
        <v>14191</v>
      </c>
    </row>
    <row r="45" spans="1:4">
      <c r="A45" s="5" t="s">
        <v>53</v>
      </c>
      <c r="B45" s="5">
        <v>50</v>
      </c>
      <c r="C45" s="5">
        <v>50000</v>
      </c>
      <c r="D45" s="5">
        <v>7884</v>
      </c>
    </row>
    <row r="46" spans="1:4">
      <c r="A46" s="5" t="s">
        <v>64</v>
      </c>
      <c r="B46" s="5"/>
      <c r="C46" s="5"/>
      <c r="D46" s="5"/>
    </row>
    <row r="47" spans="1:4">
      <c r="A47" s="5" t="s">
        <v>54</v>
      </c>
      <c r="B47" s="5">
        <v>90</v>
      </c>
      <c r="C47" s="5">
        <v>90000</v>
      </c>
      <c r="D47" s="5">
        <v>14191</v>
      </c>
    </row>
    <row r="48" spans="1:4">
      <c r="A48" s="5" t="s">
        <v>55</v>
      </c>
      <c r="B48" s="5"/>
      <c r="C48" s="5"/>
      <c r="D48" s="5"/>
    </row>
    <row r="49" spans="1:4">
      <c r="A49" s="5" t="s">
        <v>56</v>
      </c>
      <c r="B49" s="5">
        <v>500</v>
      </c>
      <c r="C49" s="5">
        <v>500000</v>
      </c>
      <c r="D49" s="5">
        <v>78838</v>
      </c>
    </row>
    <row r="50" spans="1:4">
      <c r="A50" s="5" t="s">
        <v>57</v>
      </c>
      <c r="B50" s="5">
        <v>80</v>
      </c>
      <c r="C50" s="5">
        <v>80000</v>
      </c>
      <c r="D50" s="5">
        <v>12614</v>
      </c>
    </row>
    <row r="51" spans="1:4">
      <c r="A51" s="5" t="s">
        <v>58</v>
      </c>
      <c r="B51" s="5"/>
      <c r="C51" s="5"/>
      <c r="D51" s="5"/>
    </row>
    <row r="52" spans="1:4">
      <c r="A52" s="5" t="s">
        <v>59</v>
      </c>
      <c r="B52" s="5">
        <v>490</v>
      </c>
      <c r="C52" s="5">
        <v>490000</v>
      </c>
      <c r="D52" s="5">
        <v>77261</v>
      </c>
    </row>
    <row r="53" spans="1:4">
      <c r="A53" s="5" t="s">
        <v>60</v>
      </c>
      <c r="B53" s="5">
        <v>500</v>
      </c>
      <c r="C53" s="5">
        <v>500000</v>
      </c>
      <c r="D53" s="5">
        <v>78838</v>
      </c>
    </row>
    <row r="54" spans="1:4">
      <c r="A54" s="5" t="s">
        <v>61</v>
      </c>
      <c r="B54" s="5">
        <v>500</v>
      </c>
      <c r="C54" s="5">
        <v>500000</v>
      </c>
      <c r="D54" s="5">
        <v>78838</v>
      </c>
    </row>
    <row r="55" spans="1:4">
      <c r="A55" s="5" t="s">
        <v>62</v>
      </c>
      <c r="B55" s="5"/>
      <c r="C55" s="5"/>
      <c r="D55" s="5"/>
    </row>
    <row r="56" spans="1:4">
      <c r="A56" s="5"/>
      <c r="B56" s="5"/>
      <c r="C56" s="5"/>
      <c r="D56" s="5"/>
    </row>
    <row r="57" spans="1:4">
      <c r="A57" s="25" t="s">
        <v>142</v>
      </c>
      <c r="B57" s="25">
        <v>1000</v>
      </c>
      <c r="C57" s="5"/>
      <c r="D57" s="5"/>
    </row>
    <row r="58" spans="1:4">
      <c r="A58" s="25" t="s">
        <v>143</v>
      </c>
      <c r="B58" s="58">
        <v>0.1855</v>
      </c>
      <c r="C58" s="5"/>
      <c r="D58" s="5"/>
    </row>
    <row r="59" spans="1:4">
      <c r="A59" s="25" t="s">
        <v>144</v>
      </c>
      <c r="B59" s="25">
        <v>0.85</v>
      </c>
      <c r="C59" s="5"/>
      <c r="D59" s="5"/>
    </row>
    <row r="60" spans="1:4">
      <c r="A60" s="25" t="s">
        <v>145</v>
      </c>
      <c r="B60" s="25">
        <v>0.15767500000000001</v>
      </c>
      <c r="C60" s="5"/>
      <c r="D60" s="5"/>
    </row>
    <row r="62" spans="1:4">
      <c r="B62" s="29"/>
      <c r="C62" s="29"/>
      <c r="D62" s="29"/>
    </row>
    <row r="63" spans="1:4">
      <c r="B63" s="29"/>
      <c r="C63" s="29"/>
      <c r="D63" s="29"/>
    </row>
    <row r="64" spans="1:4">
      <c r="B64" s="29"/>
      <c r="C64" s="29"/>
      <c r="D64" s="29"/>
    </row>
    <row r="65" spans="2:4">
      <c r="B65" s="29"/>
      <c r="C65" s="29"/>
      <c r="D65" s="29"/>
    </row>
    <row r="66" spans="2:4">
      <c r="B66" s="29"/>
      <c r="C66" s="29"/>
      <c r="D66" s="29"/>
    </row>
    <row r="67" spans="2:4">
      <c r="B67" s="29"/>
      <c r="C67" s="29"/>
      <c r="D67" s="29"/>
    </row>
    <row r="68" spans="2:4">
      <c r="B68" s="29"/>
      <c r="C68" s="29"/>
      <c r="D68" s="29"/>
    </row>
    <row r="69" spans="2:4">
      <c r="B69" s="29"/>
      <c r="C69" s="29"/>
      <c r="D69" s="29"/>
    </row>
    <row r="70" spans="2:4">
      <c r="B70" s="29"/>
      <c r="C70" s="29"/>
      <c r="D70" s="29"/>
    </row>
    <row r="71" spans="2:4">
      <c r="B71" s="29"/>
      <c r="C71" s="29"/>
      <c r="D71" s="29"/>
    </row>
    <row r="72" spans="2:4">
      <c r="B72" s="29"/>
      <c r="C72" s="29"/>
      <c r="D72" s="29"/>
    </row>
    <row r="73" spans="2:4">
      <c r="B73" s="29"/>
      <c r="C73" s="29"/>
      <c r="D73" s="29"/>
    </row>
    <row r="74" spans="2:4">
      <c r="B74" s="29"/>
      <c r="C74" s="29"/>
      <c r="D74" s="29"/>
    </row>
    <row r="75" spans="2:4">
      <c r="B75" s="29"/>
      <c r="C75" s="29"/>
      <c r="D75" s="29"/>
    </row>
    <row r="76" spans="2:4">
      <c r="B76" s="29"/>
      <c r="C76" s="29"/>
      <c r="D76" s="29"/>
    </row>
    <row r="77" spans="2:4">
      <c r="B77" s="29"/>
      <c r="C77" s="29"/>
      <c r="D77" s="29"/>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546A"/>
  </sheetPr>
  <dimension ref="A1:AZ1000"/>
  <sheetViews>
    <sheetView topLeftCell="AP1" zoomScale="110" zoomScaleNormal="110" workbookViewId="0">
      <selection activeCell="BA21" sqref="AZ21:BA21"/>
    </sheetView>
  </sheetViews>
  <sheetFormatPr baseColWidth="10" defaultColWidth="14.42578125" defaultRowHeight="15" customHeight="1"/>
  <cols>
    <col min="1" max="1" width="33.28515625" customWidth="1"/>
    <col min="2" max="2" width="8.85546875" customWidth="1"/>
    <col min="3" max="4" width="7.28515625" customWidth="1"/>
    <col min="5" max="5" width="7.85546875" customWidth="1"/>
    <col min="6" max="11" width="7.28515625" customWidth="1"/>
    <col min="12" max="12" width="8" customWidth="1"/>
    <col min="13" max="31" width="7.28515625" customWidth="1"/>
    <col min="32" max="32" width="12.7109375" customWidth="1"/>
  </cols>
  <sheetData>
    <row r="1" spans="1:52" s="25" customFormat="1" ht="14.25" customHeight="1">
      <c r="A1" s="41" t="s">
        <v>63</v>
      </c>
      <c r="B1" s="42">
        <v>2020</v>
      </c>
      <c r="C1" s="42">
        <v>2021</v>
      </c>
      <c r="D1" s="42">
        <v>2022</v>
      </c>
      <c r="E1" s="42">
        <v>2023</v>
      </c>
      <c r="F1" s="42">
        <v>2024</v>
      </c>
      <c r="G1" s="42">
        <v>2025</v>
      </c>
      <c r="H1" s="42">
        <v>2026</v>
      </c>
      <c r="I1" s="42">
        <v>2027</v>
      </c>
      <c r="J1" s="42">
        <v>2028</v>
      </c>
      <c r="K1" s="42">
        <v>2029</v>
      </c>
      <c r="L1" s="42">
        <v>2030</v>
      </c>
      <c r="M1" s="42">
        <v>2031</v>
      </c>
      <c r="N1" s="42">
        <v>2032</v>
      </c>
      <c r="O1" s="42">
        <v>2033</v>
      </c>
      <c r="P1" s="42">
        <v>2034</v>
      </c>
      <c r="Q1" s="42">
        <v>2035</v>
      </c>
      <c r="R1" s="42">
        <v>2036</v>
      </c>
      <c r="S1" s="42">
        <v>2037</v>
      </c>
      <c r="T1" s="42">
        <v>2038</v>
      </c>
      <c r="U1" s="42">
        <v>2039</v>
      </c>
      <c r="V1" s="42">
        <v>2040</v>
      </c>
      <c r="W1" s="42">
        <v>2041</v>
      </c>
      <c r="X1" s="42">
        <v>2042</v>
      </c>
      <c r="Y1" s="42">
        <v>2043</v>
      </c>
      <c r="Z1" s="42">
        <v>2044</v>
      </c>
      <c r="AA1" s="42">
        <v>2045</v>
      </c>
      <c r="AB1" s="42">
        <v>2046</v>
      </c>
      <c r="AC1" s="42">
        <v>2047</v>
      </c>
      <c r="AD1" s="42">
        <v>2048</v>
      </c>
      <c r="AE1" s="42">
        <v>2049</v>
      </c>
      <c r="AF1" s="42">
        <v>2050</v>
      </c>
      <c r="AG1" s="43">
        <v>2051</v>
      </c>
      <c r="AH1" s="43">
        <v>2052</v>
      </c>
      <c r="AI1" s="43">
        <v>2053</v>
      </c>
      <c r="AJ1" s="43">
        <v>2054</v>
      </c>
      <c r="AK1" s="43">
        <v>2055</v>
      </c>
      <c r="AL1" s="43">
        <v>2056</v>
      </c>
      <c r="AM1" s="43">
        <v>2057</v>
      </c>
      <c r="AN1" s="43">
        <v>2058</v>
      </c>
      <c r="AO1" s="43">
        <v>2059</v>
      </c>
      <c r="AP1" s="43">
        <v>2060</v>
      </c>
      <c r="AQ1" s="43">
        <v>2061</v>
      </c>
      <c r="AR1" s="43">
        <v>2062</v>
      </c>
      <c r="AS1" s="43">
        <v>2063</v>
      </c>
      <c r="AT1" s="43">
        <v>2064</v>
      </c>
      <c r="AU1" s="43">
        <v>2065</v>
      </c>
      <c r="AV1" s="43">
        <v>2066</v>
      </c>
      <c r="AW1" s="43">
        <v>2067</v>
      </c>
      <c r="AX1" s="43">
        <v>2068</v>
      </c>
      <c r="AY1" s="43">
        <v>2069</v>
      </c>
      <c r="AZ1" s="43">
        <v>2070</v>
      </c>
    </row>
    <row r="2" spans="1:52" ht="14.25" customHeight="1">
      <c r="A2" s="44" t="s">
        <v>49</v>
      </c>
      <c r="B2" s="31">
        <f>Cal!B2</f>
        <v>25228</v>
      </c>
      <c r="C2" s="31">
        <f>B2</f>
        <v>25228</v>
      </c>
      <c r="D2" s="31">
        <f t="shared" ref="D2:K2" si="0">C2</f>
        <v>25228</v>
      </c>
      <c r="E2" s="31">
        <f t="shared" si="0"/>
        <v>25228</v>
      </c>
      <c r="F2" s="31">
        <f t="shared" si="0"/>
        <v>25228</v>
      </c>
      <c r="G2" s="31">
        <f t="shared" si="0"/>
        <v>25228</v>
      </c>
      <c r="H2" s="31">
        <f t="shared" si="0"/>
        <v>25228</v>
      </c>
      <c r="I2" s="31">
        <f t="shared" si="0"/>
        <v>25228</v>
      </c>
      <c r="J2" s="31">
        <f t="shared" si="0"/>
        <v>25228</v>
      </c>
      <c r="K2" s="31">
        <f t="shared" si="0"/>
        <v>25228</v>
      </c>
      <c r="L2" s="31">
        <f>Cal!C2</f>
        <v>25228</v>
      </c>
      <c r="M2" s="31">
        <f>$L2+(($AF2-$L2)/($AF$1-$L$1))*(M$1-$L$1)</f>
        <v>25228</v>
      </c>
      <c r="N2" s="31">
        <f t="shared" ref="N2:AE16" si="1">$L2+(($AF2-$L2)/($AF$1-$L$1))*(N$1-$L$1)</f>
        <v>25228</v>
      </c>
      <c r="O2" s="31">
        <f t="shared" si="1"/>
        <v>25228</v>
      </c>
      <c r="P2" s="31">
        <f t="shared" si="1"/>
        <v>25228</v>
      </c>
      <c r="Q2" s="31">
        <f t="shared" si="1"/>
        <v>25228</v>
      </c>
      <c r="R2" s="31">
        <f t="shared" si="1"/>
        <v>25228</v>
      </c>
      <c r="S2" s="31">
        <f t="shared" si="1"/>
        <v>25228</v>
      </c>
      <c r="T2" s="31">
        <f t="shared" si="1"/>
        <v>25228</v>
      </c>
      <c r="U2" s="31">
        <f t="shared" si="1"/>
        <v>25228</v>
      </c>
      <c r="V2" s="31">
        <f t="shared" si="1"/>
        <v>25228</v>
      </c>
      <c r="W2" s="31">
        <f t="shared" si="1"/>
        <v>25228</v>
      </c>
      <c r="X2" s="31">
        <f t="shared" si="1"/>
        <v>25228</v>
      </c>
      <c r="Y2" s="31">
        <f t="shared" si="1"/>
        <v>25228</v>
      </c>
      <c r="Z2" s="31">
        <f t="shared" si="1"/>
        <v>25228</v>
      </c>
      <c r="AA2" s="31">
        <f t="shared" si="1"/>
        <v>25228</v>
      </c>
      <c r="AB2" s="31">
        <f t="shared" si="1"/>
        <v>25228</v>
      </c>
      <c r="AC2" s="31">
        <f t="shared" si="1"/>
        <v>25228</v>
      </c>
      <c r="AD2" s="31">
        <f t="shared" si="1"/>
        <v>25228</v>
      </c>
      <c r="AE2" s="31">
        <f t="shared" si="1"/>
        <v>25228</v>
      </c>
      <c r="AF2" s="31">
        <f>Cal!D2</f>
        <v>25228</v>
      </c>
      <c r="AG2" s="45">
        <f>_xlfn.FORECAST.LINEAR(AG$1, $AC2:$AE2, $AC$1:$AE$1)</f>
        <v>25228</v>
      </c>
      <c r="AH2" s="45">
        <f t="shared" ref="AH2:AZ6" si="2">_xlfn.FORECAST.LINEAR(AH$1, $AC2:$AE2, $AC$1:$AE$1)</f>
        <v>25228</v>
      </c>
      <c r="AI2" s="45">
        <f t="shared" si="2"/>
        <v>25228</v>
      </c>
      <c r="AJ2" s="45">
        <f t="shared" si="2"/>
        <v>25228</v>
      </c>
      <c r="AK2" s="45">
        <f t="shared" si="2"/>
        <v>25228</v>
      </c>
      <c r="AL2" s="45">
        <f t="shared" si="2"/>
        <v>25228</v>
      </c>
      <c r="AM2" s="45">
        <f t="shared" si="2"/>
        <v>25228</v>
      </c>
      <c r="AN2" s="45">
        <f t="shared" si="2"/>
        <v>25228</v>
      </c>
      <c r="AO2" s="45">
        <f t="shared" si="2"/>
        <v>25228</v>
      </c>
      <c r="AP2" s="45">
        <f t="shared" si="2"/>
        <v>25228</v>
      </c>
      <c r="AQ2" s="45">
        <f t="shared" si="2"/>
        <v>25228</v>
      </c>
      <c r="AR2" s="45">
        <f t="shared" si="2"/>
        <v>25228</v>
      </c>
      <c r="AS2" s="45">
        <f t="shared" si="2"/>
        <v>25228</v>
      </c>
      <c r="AT2" s="45">
        <f t="shared" si="2"/>
        <v>25228</v>
      </c>
      <c r="AU2" s="45">
        <f t="shared" si="2"/>
        <v>25228</v>
      </c>
      <c r="AV2" s="45">
        <f t="shared" si="2"/>
        <v>25228</v>
      </c>
      <c r="AW2" s="45">
        <f t="shared" si="2"/>
        <v>25228</v>
      </c>
      <c r="AX2" s="45">
        <f t="shared" si="2"/>
        <v>25228</v>
      </c>
      <c r="AY2" s="45">
        <f t="shared" si="2"/>
        <v>25228</v>
      </c>
      <c r="AZ2" s="45">
        <f t="shared" si="2"/>
        <v>25228</v>
      </c>
    </row>
    <row r="3" spans="1:52" ht="14.25" customHeight="1">
      <c r="A3" s="44" t="s">
        <v>50</v>
      </c>
      <c r="B3" s="31">
        <f>Cal!B3</f>
        <v>12614</v>
      </c>
      <c r="C3" s="31">
        <f t="shared" ref="C3:K3" si="3">B3</f>
        <v>12614</v>
      </c>
      <c r="D3" s="31">
        <f t="shared" si="3"/>
        <v>12614</v>
      </c>
      <c r="E3" s="31">
        <f t="shared" si="3"/>
        <v>12614</v>
      </c>
      <c r="F3" s="31">
        <f t="shared" si="3"/>
        <v>12614</v>
      </c>
      <c r="G3" s="31">
        <f t="shared" si="3"/>
        <v>12614</v>
      </c>
      <c r="H3" s="31">
        <f t="shared" si="3"/>
        <v>12614</v>
      </c>
      <c r="I3" s="31">
        <f t="shared" si="3"/>
        <v>12614</v>
      </c>
      <c r="J3" s="31">
        <f t="shared" si="3"/>
        <v>12614</v>
      </c>
      <c r="K3" s="31">
        <f t="shared" si="3"/>
        <v>12614</v>
      </c>
      <c r="L3" s="31">
        <f>Cal!C3</f>
        <v>12614</v>
      </c>
      <c r="M3" s="31">
        <f t="shared" ref="M3:AB17" si="4">$L3+(($AF3-$L3)/($AF$1-$L$1))*(M$1-$L$1)</f>
        <v>12614</v>
      </c>
      <c r="N3" s="31">
        <f t="shared" si="4"/>
        <v>12614</v>
      </c>
      <c r="O3" s="31">
        <f t="shared" si="4"/>
        <v>12614</v>
      </c>
      <c r="P3" s="31">
        <f t="shared" si="4"/>
        <v>12614</v>
      </c>
      <c r="Q3" s="31">
        <f t="shared" si="4"/>
        <v>12614</v>
      </c>
      <c r="R3" s="31">
        <f t="shared" si="4"/>
        <v>12614</v>
      </c>
      <c r="S3" s="31">
        <f t="shared" si="4"/>
        <v>12614</v>
      </c>
      <c r="T3" s="31">
        <f t="shared" si="4"/>
        <v>12614</v>
      </c>
      <c r="U3" s="31">
        <f t="shared" si="4"/>
        <v>12614</v>
      </c>
      <c r="V3" s="31">
        <f t="shared" si="4"/>
        <v>12614</v>
      </c>
      <c r="W3" s="31">
        <f t="shared" si="4"/>
        <v>12614</v>
      </c>
      <c r="X3" s="31">
        <f t="shared" si="4"/>
        <v>12614</v>
      </c>
      <c r="Y3" s="31">
        <f t="shared" si="4"/>
        <v>12614</v>
      </c>
      <c r="Z3" s="31">
        <f t="shared" si="4"/>
        <v>12614</v>
      </c>
      <c r="AA3" s="31">
        <f t="shared" si="4"/>
        <v>12614</v>
      </c>
      <c r="AB3" s="31">
        <f t="shared" si="4"/>
        <v>12614</v>
      </c>
      <c r="AC3" s="31">
        <f t="shared" si="1"/>
        <v>12614</v>
      </c>
      <c r="AD3" s="31">
        <f t="shared" si="1"/>
        <v>12614</v>
      </c>
      <c r="AE3" s="31">
        <f t="shared" si="1"/>
        <v>12614</v>
      </c>
      <c r="AF3" s="31">
        <f>Cal!D3</f>
        <v>12614</v>
      </c>
      <c r="AG3" s="45" t="e">
        <f t="shared" ref="AG3:AV6" ca="1" si="5">_xlfn.FORECAST.LINEAR(AG$1, $AC3:$AE3, $AC$1:$AE$1)</f>
        <v>#NAME?</v>
      </c>
      <c r="AH3" s="45" t="e">
        <f t="shared" ca="1" si="5"/>
        <v>#NAME?</v>
      </c>
      <c r="AI3" s="45" t="e">
        <f t="shared" ca="1" si="5"/>
        <v>#NAME?</v>
      </c>
      <c r="AJ3" s="45" t="e">
        <f t="shared" ca="1" si="5"/>
        <v>#NAME?</v>
      </c>
      <c r="AK3" s="45" t="e">
        <f t="shared" ca="1" si="5"/>
        <v>#NAME?</v>
      </c>
      <c r="AL3" s="45" t="e">
        <f t="shared" ca="1" si="5"/>
        <v>#NAME?</v>
      </c>
      <c r="AM3" s="45" t="e">
        <f t="shared" ca="1" si="5"/>
        <v>#NAME?</v>
      </c>
      <c r="AN3" s="45" t="e">
        <f t="shared" ca="1" si="5"/>
        <v>#NAME?</v>
      </c>
      <c r="AO3" s="45" t="e">
        <f t="shared" ca="1" si="5"/>
        <v>#NAME?</v>
      </c>
      <c r="AP3" s="45" t="e">
        <f t="shared" ca="1" si="5"/>
        <v>#NAME?</v>
      </c>
      <c r="AQ3" s="45" t="e">
        <f t="shared" ca="1" si="5"/>
        <v>#NAME?</v>
      </c>
      <c r="AR3" s="45" t="e">
        <f t="shared" ca="1" si="5"/>
        <v>#NAME?</v>
      </c>
      <c r="AS3" s="45" t="e">
        <f t="shared" ca="1" si="5"/>
        <v>#NAME?</v>
      </c>
      <c r="AT3" s="45" t="e">
        <f t="shared" ca="1" si="5"/>
        <v>#NAME?</v>
      </c>
      <c r="AU3" s="45" t="e">
        <f t="shared" ca="1" si="5"/>
        <v>#NAME?</v>
      </c>
      <c r="AV3" s="45" t="e">
        <f t="shared" ca="1" si="5"/>
        <v>#NAME?</v>
      </c>
      <c r="AW3" s="45" t="e">
        <f t="shared" ca="1" si="2"/>
        <v>#NAME?</v>
      </c>
      <c r="AX3" s="45" t="e">
        <f t="shared" ca="1" si="2"/>
        <v>#NAME?</v>
      </c>
      <c r="AY3" s="45" t="e">
        <f t="shared" ca="1" si="2"/>
        <v>#NAME?</v>
      </c>
      <c r="AZ3" s="45" t="e">
        <f t="shared" ca="1" si="2"/>
        <v>#NAME?</v>
      </c>
    </row>
    <row r="4" spans="1:52" ht="14.25" customHeight="1">
      <c r="A4" s="44" t="s">
        <v>37</v>
      </c>
      <c r="B4" s="31">
        <f>Cal!B4</f>
        <v>77261</v>
      </c>
      <c r="C4" s="31">
        <f t="shared" ref="C4:K4" si="6">B4</f>
        <v>77261</v>
      </c>
      <c r="D4" s="31">
        <f t="shared" si="6"/>
        <v>77261</v>
      </c>
      <c r="E4" s="31">
        <f t="shared" si="6"/>
        <v>77261</v>
      </c>
      <c r="F4" s="31">
        <f t="shared" si="6"/>
        <v>77261</v>
      </c>
      <c r="G4" s="31">
        <f t="shared" si="6"/>
        <v>77261</v>
      </c>
      <c r="H4" s="31">
        <f t="shared" si="6"/>
        <v>77261</v>
      </c>
      <c r="I4" s="31">
        <f t="shared" si="6"/>
        <v>77261</v>
      </c>
      <c r="J4" s="31">
        <f t="shared" si="6"/>
        <v>77261</v>
      </c>
      <c r="K4" s="31">
        <f t="shared" si="6"/>
        <v>77261</v>
      </c>
      <c r="L4" s="31">
        <f>Cal!C4</f>
        <v>77261</v>
      </c>
      <c r="M4" s="31">
        <f t="shared" si="4"/>
        <v>77261</v>
      </c>
      <c r="N4" s="31">
        <f t="shared" si="1"/>
        <v>77261</v>
      </c>
      <c r="O4" s="31">
        <f t="shared" si="1"/>
        <v>77261</v>
      </c>
      <c r="P4" s="31">
        <f t="shared" si="1"/>
        <v>77261</v>
      </c>
      <c r="Q4" s="31">
        <f t="shared" si="1"/>
        <v>77261</v>
      </c>
      <c r="R4" s="31">
        <f t="shared" si="1"/>
        <v>77261</v>
      </c>
      <c r="S4" s="31">
        <f t="shared" si="1"/>
        <v>77261</v>
      </c>
      <c r="T4" s="31">
        <f t="shared" si="1"/>
        <v>77261</v>
      </c>
      <c r="U4" s="31">
        <f t="shared" si="1"/>
        <v>77261</v>
      </c>
      <c r="V4" s="31">
        <f t="shared" si="1"/>
        <v>77261</v>
      </c>
      <c r="W4" s="31">
        <f t="shared" si="1"/>
        <v>77261</v>
      </c>
      <c r="X4" s="31">
        <f t="shared" si="1"/>
        <v>77261</v>
      </c>
      <c r="Y4" s="31">
        <f t="shared" si="1"/>
        <v>77261</v>
      </c>
      <c r="Z4" s="31">
        <f t="shared" si="1"/>
        <v>77261</v>
      </c>
      <c r="AA4" s="31">
        <f t="shared" si="1"/>
        <v>77261</v>
      </c>
      <c r="AB4" s="31">
        <f t="shared" si="1"/>
        <v>77261</v>
      </c>
      <c r="AC4" s="31">
        <f t="shared" si="1"/>
        <v>77261</v>
      </c>
      <c r="AD4" s="31">
        <f t="shared" si="1"/>
        <v>77261</v>
      </c>
      <c r="AE4" s="31">
        <f t="shared" si="1"/>
        <v>77261</v>
      </c>
      <c r="AF4" s="31">
        <f>Cal!D4</f>
        <v>77261</v>
      </c>
      <c r="AG4" s="45">
        <f t="shared" si="5"/>
        <v>77261</v>
      </c>
      <c r="AH4" s="45">
        <f t="shared" si="2"/>
        <v>77261</v>
      </c>
      <c r="AI4" s="45">
        <f t="shared" si="2"/>
        <v>77261</v>
      </c>
      <c r="AJ4" s="45">
        <f t="shared" si="2"/>
        <v>77261</v>
      </c>
      <c r="AK4" s="45">
        <f t="shared" si="2"/>
        <v>77261</v>
      </c>
      <c r="AL4" s="45">
        <f t="shared" si="2"/>
        <v>77261</v>
      </c>
      <c r="AM4" s="45">
        <f t="shared" si="2"/>
        <v>77261</v>
      </c>
      <c r="AN4" s="45">
        <f t="shared" si="2"/>
        <v>77261</v>
      </c>
      <c r="AO4" s="45">
        <f t="shared" si="2"/>
        <v>77261</v>
      </c>
      <c r="AP4" s="45">
        <f t="shared" si="2"/>
        <v>77261</v>
      </c>
      <c r="AQ4" s="45">
        <f t="shared" si="2"/>
        <v>77261</v>
      </c>
      <c r="AR4" s="45">
        <f t="shared" si="2"/>
        <v>77261</v>
      </c>
      <c r="AS4" s="45">
        <f t="shared" si="2"/>
        <v>77261</v>
      </c>
      <c r="AT4" s="45">
        <f t="shared" si="2"/>
        <v>77261</v>
      </c>
      <c r="AU4" s="45">
        <f t="shared" si="2"/>
        <v>77261</v>
      </c>
      <c r="AV4" s="45">
        <f t="shared" si="2"/>
        <v>77261</v>
      </c>
      <c r="AW4" s="45">
        <f t="shared" si="2"/>
        <v>77261</v>
      </c>
      <c r="AX4" s="45">
        <f t="shared" si="2"/>
        <v>77261</v>
      </c>
      <c r="AY4" s="45">
        <f t="shared" si="2"/>
        <v>77261</v>
      </c>
      <c r="AZ4" s="45">
        <f t="shared" si="2"/>
        <v>77261</v>
      </c>
    </row>
    <row r="5" spans="1:52" ht="14.25" customHeight="1">
      <c r="A5" s="44" t="s">
        <v>51</v>
      </c>
      <c r="B5" s="31">
        <f>Cal!B5</f>
        <v>14191</v>
      </c>
      <c r="C5" s="31">
        <f t="shared" ref="C5:K5" si="7">B5</f>
        <v>14191</v>
      </c>
      <c r="D5" s="31">
        <f t="shared" si="7"/>
        <v>14191</v>
      </c>
      <c r="E5" s="31">
        <f t="shared" si="7"/>
        <v>14191</v>
      </c>
      <c r="F5" s="31">
        <f t="shared" si="7"/>
        <v>14191</v>
      </c>
      <c r="G5" s="31">
        <f t="shared" si="7"/>
        <v>14191</v>
      </c>
      <c r="H5" s="31">
        <f t="shared" si="7"/>
        <v>14191</v>
      </c>
      <c r="I5" s="31">
        <f t="shared" si="7"/>
        <v>14191</v>
      </c>
      <c r="J5" s="31">
        <f t="shared" si="7"/>
        <v>14191</v>
      </c>
      <c r="K5" s="31">
        <f t="shared" si="7"/>
        <v>14191</v>
      </c>
      <c r="L5" s="31">
        <f>Cal!C5</f>
        <v>14191</v>
      </c>
      <c r="M5" s="31">
        <f t="shared" si="4"/>
        <v>14191</v>
      </c>
      <c r="N5" s="31">
        <f t="shared" si="1"/>
        <v>14191</v>
      </c>
      <c r="O5" s="31">
        <f t="shared" si="1"/>
        <v>14191</v>
      </c>
      <c r="P5" s="31">
        <f t="shared" si="1"/>
        <v>14191</v>
      </c>
      <c r="Q5" s="31">
        <f t="shared" si="1"/>
        <v>14191</v>
      </c>
      <c r="R5" s="31">
        <f t="shared" si="1"/>
        <v>14191</v>
      </c>
      <c r="S5" s="31">
        <f t="shared" si="1"/>
        <v>14191</v>
      </c>
      <c r="T5" s="31">
        <f t="shared" si="1"/>
        <v>14191</v>
      </c>
      <c r="U5" s="31">
        <f t="shared" si="1"/>
        <v>14191</v>
      </c>
      <c r="V5" s="31">
        <f t="shared" si="1"/>
        <v>14191</v>
      </c>
      <c r="W5" s="31">
        <f t="shared" si="1"/>
        <v>14191</v>
      </c>
      <c r="X5" s="31">
        <f t="shared" si="1"/>
        <v>14191</v>
      </c>
      <c r="Y5" s="31">
        <f t="shared" si="1"/>
        <v>14191</v>
      </c>
      <c r="Z5" s="31">
        <f t="shared" si="1"/>
        <v>14191</v>
      </c>
      <c r="AA5" s="31">
        <f t="shared" si="1"/>
        <v>14191</v>
      </c>
      <c r="AB5" s="31">
        <f t="shared" si="1"/>
        <v>14191</v>
      </c>
      <c r="AC5" s="31">
        <f t="shared" si="1"/>
        <v>14191</v>
      </c>
      <c r="AD5" s="31">
        <f t="shared" si="1"/>
        <v>14191</v>
      </c>
      <c r="AE5" s="31">
        <f t="shared" si="1"/>
        <v>14191</v>
      </c>
      <c r="AF5" s="31">
        <f>Cal!D5</f>
        <v>14191</v>
      </c>
      <c r="AG5" s="45">
        <f t="shared" si="5"/>
        <v>14191</v>
      </c>
      <c r="AH5" s="45">
        <f t="shared" si="2"/>
        <v>14191</v>
      </c>
      <c r="AI5" s="45">
        <f t="shared" si="2"/>
        <v>14191</v>
      </c>
      <c r="AJ5" s="45">
        <f t="shared" si="2"/>
        <v>14191</v>
      </c>
      <c r="AK5" s="45">
        <f t="shared" si="2"/>
        <v>14191</v>
      </c>
      <c r="AL5" s="45">
        <f t="shared" si="2"/>
        <v>14191</v>
      </c>
      <c r="AM5" s="45">
        <f t="shared" si="2"/>
        <v>14191</v>
      </c>
      <c r="AN5" s="45">
        <f t="shared" si="2"/>
        <v>14191</v>
      </c>
      <c r="AO5" s="45">
        <f t="shared" si="2"/>
        <v>14191</v>
      </c>
      <c r="AP5" s="45">
        <f t="shared" si="2"/>
        <v>14191</v>
      </c>
      <c r="AQ5" s="45">
        <f t="shared" si="2"/>
        <v>14191</v>
      </c>
      <c r="AR5" s="45">
        <f t="shared" si="2"/>
        <v>14191</v>
      </c>
      <c r="AS5" s="45">
        <f t="shared" si="2"/>
        <v>14191</v>
      </c>
      <c r="AT5" s="45">
        <f t="shared" si="2"/>
        <v>14191</v>
      </c>
      <c r="AU5" s="45">
        <f t="shared" si="2"/>
        <v>14191</v>
      </c>
      <c r="AV5" s="45">
        <f t="shared" si="2"/>
        <v>14191</v>
      </c>
      <c r="AW5" s="45">
        <f t="shared" si="2"/>
        <v>14191</v>
      </c>
      <c r="AX5" s="45">
        <f t="shared" si="2"/>
        <v>14191</v>
      </c>
      <c r="AY5" s="45">
        <f t="shared" si="2"/>
        <v>14191</v>
      </c>
      <c r="AZ5" s="45">
        <f t="shared" si="2"/>
        <v>14191</v>
      </c>
    </row>
    <row r="6" spans="1:52" ht="14.25" customHeight="1">
      <c r="A6" s="44" t="s">
        <v>52</v>
      </c>
      <c r="B6" s="31">
        <f>Cal!B6</f>
        <v>14191</v>
      </c>
      <c r="C6" s="31">
        <f t="shared" ref="C6:K6" si="8">B6</f>
        <v>14191</v>
      </c>
      <c r="D6" s="31">
        <f t="shared" si="8"/>
        <v>14191</v>
      </c>
      <c r="E6" s="31">
        <f t="shared" si="8"/>
        <v>14191</v>
      </c>
      <c r="F6" s="31">
        <f t="shared" si="8"/>
        <v>14191</v>
      </c>
      <c r="G6" s="31">
        <f t="shared" si="8"/>
        <v>14191</v>
      </c>
      <c r="H6" s="31">
        <f t="shared" si="8"/>
        <v>14191</v>
      </c>
      <c r="I6" s="31">
        <f t="shared" si="8"/>
        <v>14191</v>
      </c>
      <c r="J6" s="31">
        <f t="shared" si="8"/>
        <v>14191</v>
      </c>
      <c r="K6" s="31">
        <f t="shared" si="8"/>
        <v>14191</v>
      </c>
      <c r="L6" s="31">
        <f>Cal!C6</f>
        <v>14191</v>
      </c>
      <c r="M6" s="31">
        <f t="shared" si="4"/>
        <v>14191</v>
      </c>
      <c r="N6" s="31">
        <f t="shared" si="1"/>
        <v>14191</v>
      </c>
      <c r="O6" s="31">
        <f t="shared" si="1"/>
        <v>14191</v>
      </c>
      <c r="P6" s="31">
        <f>$L6+(($AF6-$L6)/($AF$1-$L$1))*(P$1-$L$1)</f>
        <v>14191</v>
      </c>
      <c r="Q6" s="31">
        <f t="shared" si="1"/>
        <v>14191</v>
      </c>
      <c r="R6" s="31">
        <f t="shared" si="1"/>
        <v>14191</v>
      </c>
      <c r="S6" s="31">
        <f t="shared" si="1"/>
        <v>14191</v>
      </c>
      <c r="T6" s="31">
        <f t="shared" si="1"/>
        <v>14191</v>
      </c>
      <c r="U6" s="31">
        <f t="shared" si="1"/>
        <v>14191</v>
      </c>
      <c r="V6" s="31">
        <f t="shared" si="1"/>
        <v>14191</v>
      </c>
      <c r="W6" s="31">
        <f t="shared" si="1"/>
        <v>14191</v>
      </c>
      <c r="X6" s="31">
        <f t="shared" si="1"/>
        <v>14191</v>
      </c>
      <c r="Y6" s="31">
        <f t="shared" si="1"/>
        <v>14191</v>
      </c>
      <c r="Z6" s="31">
        <f t="shared" si="1"/>
        <v>14191</v>
      </c>
      <c r="AA6" s="31">
        <f t="shared" si="1"/>
        <v>14191</v>
      </c>
      <c r="AB6" s="31">
        <f t="shared" si="1"/>
        <v>14191</v>
      </c>
      <c r="AC6" s="31">
        <f t="shared" si="1"/>
        <v>14191</v>
      </c>
      <c r="AD6" s="31">
        <f t="shared" si="1"/>
        <v>14191</v>
      </c>
      <c r="AE6" s="31">
        <f t="shared" si="1"/>
        <v>14191</v>
      </c>
      <c r="AF6" s="31">
        <f>Cal!D6</f>
        <v>14191</v>
      </c>
      <c r="AG6" s="45">
        <f t="shared" si="5"/>
        <v>14191</v>
      </c>
      <c r="AH6" s="45">
        <f t="shared" si="2"/>
        <v>14191</v>
      </c>
      <c r="AI6" s="45">
        <f t="shared" si="2"/>
        <v>14191</v>
      </c>
      <c r="AJ6" s="45">
        <f t="shared" si="2"/>
        <v>14191</v>
      </c>
      <c r="AK6" s="45">
        <f t="shared" si="2"/>
        <v>14191</v>
      </c>
      <c r="AL6" s="45">
        <f t="shared" si="2"/>
        <v>14191</v>
      </c>
      <c r="AM6" s="45">
        <f t="shared" si="2"/>
        <v>14191</v>
      </c>
      <c r="AN6" s="45">
        <f t="shared" si="2"/>
        <v>14191</v>
      </c>
      <c r="AO6" s="45">
        <f t="shared" si="2"/>
        <v>14191</v>
      </c>
      <c r="AP6" s="45">
        <f t="shared" si="2"/>
        <v>14191</v>
      </c>
      <c r="AQ6" s="45">
        <f t="shared" si="2"/>
        <v>14191</v>
      </c>
      <c r="AR6" s="45">
        <f t="shared" si="2"/>
        <v>14191</v>
      </c>
      <c r="AS6" s="45">
        <f t="shared" si="2"/>
        <v>14191</v>
      </c>
      <c r="AT6" s="45">
        <f t="shared" si="2"/>
        <v>14191</v>
      </c>
      <c r="AU6" s="45">
        <f t="shared" si="2"/>
        <v>14191</v>
      </c>
      <c r="AV6" s="45">
        <f t="shared" si="2"/>
        <v>14191</v>
      </c>
      <c r="AW6" s="45">
        <f t="shared" si="2"/>
        <v>14191</v>
      </c>
      <c r="AX6" s="45">
        <f t="shared" si="2"/>
        <v>14191</v>
      </c>
      <c r="AY6" s="45">
        <f t="shared" si="2"/>
        <v>14191</v>
      </c>
      <c r="AZ6" s="45">
        <f t="shared" si="2"/>
        <v>14191</v>
      </c>
    </row>
    <row r="7" spans="1:52" ht="14.25" customHeight="1">
      <c r="A7" s="44" t="s">
        <v>53</v>
      </c>
      <c r="B7" s="31">
        <f>Cal!B7</f>
        <v>7884</v>
      </c>
      <c r="C7" s="31">
        <f>B7</f>
        <v>7884</v>
      </c>
      <c r="D7" s="31">
        <f t="shared" ref="D7:AZ7" si="9">C7</f>
        <v>7884</v>
      </c>
      <c r="E7" s="31">
        <f t="shared" si="9"/>
        <v>7884</v>
      </c>
      <c r="F7" s="31">
        <f t="shared" si="9"/>
        <v>7884</v>
      </c>
      <c r="G7" s="31">
        <f t="shared" si="9"/>
        <v>7884</v>
      </c>
      <c r="H7" s="31">
        <f t="shared" si="9"/>
        <v>7884</v>
      </c>
      <c r="I7" s="31">
        <f t="shared" si="9"/>
        <v>7884</v>
      </c>
      <c r="J7" s="31">
        <f t="shared" si="9"/>
        <v>7884</v>
      </c>
      <c r="K7" s="31">
        <f t="shared" si="9"/>
        <v>7884</v>
      </c>
      <c r="L7" s="31">
        <f t="shared" si="9"/>
        <v>7884</v>
      </c>
      <c r="M7" s="31">
        <f t="shared" si="9"/>
        <v>7884</v>
      </c>
      <c r="N7" s="31">
        <f t="shared" si="9"/>
        <v>7884</v>
      </c>
      <c r="O7" s="31">
        <f t="shared" si="9"/>
        <v>7884</v>
      </c>
      <c r="P7" s="31">
        <f t="shared" si="9"/>
        <v>7884</v>
      </c>
      <c r="Q7" s="31">
        <f t="shared" si="9"/>
        <v>7884</v>
      </c>
      <c r="R7" s="31">
        <f t="shared" si="9"/>
        <v>7884</v>
      </c>
      <c r="S7" s="31">
        <f t="shared" si="9"/>
        <v>7884</v>
      </c>
      <c r="T7" s="31">
        <f t="shared" si="9"/>
        <v>7884</v>
      </c>
      <c r="U7" s="31">
        <f t="shared" si="9"/>
        <v>7884</v>
      </c>
      <c r="V7" s="31">
        <f t="shared" si="9"/>
        <v>7884</v>
      </c>
      <c r="W7" s="31">
        <f t="shared" si="9"/>
        <v>7884</v>
      </c>
      <c r="X7" s="31">
        <f t="shared" si="9"/>
        <v>7884</v>
      </c>
      <c r="Y7" s="31">
        <f t="shared" si="9"/>
        <v>7884</v>
      </c>
      <c r="Z7" s="31">
        <f t="shared" si="9"/>
        <v>7884</v>
      </c>
      <c r="AA7" s="31">
        <f t="shared" si="9"/>
        <v>7884</v>
      </c>
      <c r="AB7" s="31">
        <f t="shared" si="9"/>
        <v>7884</v>
      </c>
      <c r="AC7" s="31">
        <f t="shared" si="9"/>
        <v>7884</v>
      </c>
      <c r="AD7" s="31">
        <f t="shared" si="9"/>
        <v>7884</v>
      </c>
      <c r="AE7" s="31">
        <f t="shared" si="9"/>
        <v>7884</v>
      </c>
      <c r="AF7" s="31">
        <f t="shared" si="9"/>
        <v>7884</v>
      </c>
      <c r="AG7" s="31">
        <f t="shared" si="9"/>
        <v>7884</v>
      </c>
      <c r="AH7" s="31">
        <f t="shared" si="9"/>
        <v>7884</v>
      </c>
      <c r="AI7" s="31">
        <f t="shared" si="9"/>
        <v>7884</v>
      </c>
      <c r="AJ7" s="31">
        <f t="shared" si="9"/>
        <v>7884</v>
      </c>
      <c r="AK7" s="31">
        <f t="shared" si="9"/>
        <v>7884</v>
      </c>
      <c r="AL7" s="31">
        <f t="shared" si="9"/>
        <v>7884</v>
      </c>
      <c r="AM7" s="31">
        <f t="shared" si="9"/>
        <v>7884</v>
      </c>
      <c r="AN7" s="31">
        <f t="shared" si="9"/>
        <v>7884</v>
      </c>
      <c r="AO7" s="31">
        <f t="shared" si="9"/>
        <v>7884</v>
      </c>
      <c r="AP7" s="31">
        <f t="shared" si="9"/>
        <v>7884</v>
      </c>
      <c r="AQ7" s="31">
        <f t="shared" si="9"/>
        <v>7884</v>
      </c>
      <c r="AR7" s="31">
        <f t="shared" si="9"/>
        <v>7884</v>
      </c>
      <c r="AS7" s="31">
        <f t="shared" si="9"/>
        <v>7884</v>
      </c>
      <c r="AT7" s="31">
        <f t="shared" si="9"/>
        <v>7884</v>
      </c>
      <c r="AU7" s="31">
        <f t="shared" si="9"/>
        <v>7884</v>
      </c>
      <c r="AV7" s="31">
        <f t="shared" si="9"/>
        <v>7884</v>
      </c>
      <c r="AW7" s="31">
        <f t="shared" si="9"/>
        <v>7884</v>
      </c>
      <c r="AX7" s="31">
        <f t="shared" si="9"/>
        <v>7884</v>
      </c>
      <c r="AY7" s="31">
        <f t="shared" si="9"/>
        <v>7884</v>
      </c>
      <c r="AZ7" s="31">
        <f t="shared" si="9"/>
        <v>7884</v>
      </c>
    </row>
    <row r="8" spans="1:52" ht="14.25" customHeight="1">
      <c r="A8" s="44" t="s">
        <v>64</v>
      </c>
      <c r="B8" s="31">
        <f>'solar thermal'!B16</f>
        <v>96466.346166182542</v>
      </c>
      <c r="C8" s="31">
        <f>'solar thermal'!C16</f>
        <v>94050.966588459632</v>
      </c>
      <c r="D8" s="31">
        <f>'solar thermal'!D16</f>
        <v>91595.057240159411</v>
      </c>
      <c r="E8" s="31">
        <f>'solar thermal'!E16</f>
        <v>89097.589363259627</v>
      </c>
      <c r="F8" s="31">
        <f>'solar thermal'!F16</f>
        <v>86557.499085663279</v>
      </c>
      <c r="G8" s="31">
        <f>'solar thermal'!G16</f>
        <v>83973.685910141328</v>
      </c>
      <c r="H8" s="31">
        <f>'solar thermal'!H16</f>
        <v>81446.085100526412</v>
      </c>
      <c r="I8" s="31">
        <f>'solar thermal'!I16</f>
        <v>78865.861519812563</v>
      </c>
      <c r="J8" s="31">
        <f>'solar thermal'!J16</f>
        <v>76231.612272736354</v>
      </c>
      <c r="K8" s="31">
        <f>'solar thermal'!K16</f>
        <v>73541.884409307153</v>
      </c>
      <c r="L8" s="31">
        <f>'solar thermal'!L16</f>
        <v>70795.172674103931</v>
      </c>
      <c r="M8" s="31">
        <f>'solar thermal'!M16</f>
        <v>71069.091627512098</v>
      </c>
      <c r="N8" s="31">
        <f>'solar thermal'!N16</f>
        <v>71348.027853114007</v>
      </c>
      <c r="O8" s="31">
        <f>'solar thermal'!O16</f>
        <v>71632.120474325522</v>
      </c>
      <c r="P8" s="31">
        <f>'solar thermal'!P16</f>
        <v>71921.51380619999</v>
      </c>
      <c r="Q8" s="31">
        <f>'solar thermal'!Q16</f>
        <v>72216.357599878131</v>
      </c>
      <c r="R8" s="31">
        <f>'solar thermal'!R16</f>
        <v>72516.807300979926</v>
      </c>
      <c r="S8" s="31">
        <f>'solar thermal'!S16</f>
        <v>72823.0243228787</v>
      </c>
      <c r="T8" s="31">
        <f>'solar thermal'!T16</f>
        <v>73135.17633586275</v>
      </c>
      <c r="U8" s="31">
        <f>'solar thermal'!U16</f>
        <v>73453.437573274699</v>
      </c>
      <c r="V8" s="31">
        <f>'solar thermal'!V16</f>
        <v>73777.98915580532</v>
      </c>
      <c r="W8" s="31">
        <f>'solar thermal'!W16</f>
        <v>74109.019435205846</v>
      </c>
      <c r="X8" s="31">
        <f>'solar thermal'!X16</f>
        <v>74446.72435879118</v>
      </c>
      <c r="Y8" s="31">
        <f>'solar thermal'!Y16</f>
        <v>74791.307856218933</v>
      </c>
      <c r="Z8" s="31">
        <f>'solar thermal'!Z16</f>
        <v>75142.982250143221</v>
      </c>
      <c r="AA8" s="31">
        <f>'solar thermal'!AA16</f>
        <v>75501.968692485272</v>
      </c>
      <c r="AB8" s="31">
        <f>'solar thermal'!AB16</f>
        <v>75868.497628201047</v>
      </c>
      <c r="AC8" s="31">
        <f>'solar thermal'!AC16</f>
        <v>76242.809288594304</v>
      </c>
      <c r="AD8" s="31">
        <f>'solar thermal'!AD16</f>
        <v>76625.154216388299</v>
      </c>
      <c r="AE8" s="31">
        <f>'solar thermal'!AE16</f>
        <v>77015.793824971028</v>
      </c>
      <c r="AF8" s="31">
        <f>'solar thermal'!AF16</f>
        <v>77415.00099443915</v>
      </c>
      <c r="AG8" s="31">
        <f>'solar thermal'!AG16</f>
        <v>68465.549519164881</v>
      </c>
      <c r="AH8" s="31">
        <f>'solar thermal'!AH16</f>
        <v>67764.658864622499</v>
      </c>
      <c r="AI8" s="31">
        <f>'solar thermal'!AI16</f>
        <v>67047.873266067487</v>
      </c>
      <c r="AJ8" s="31">
        <f>'solar thermal'!AJ16</f>
        <v>66314.645818821882</v>
      </c>
      <c r="AK8" s="31">
        <f>'solar thermal'!AK16</f>
        <v>65564.404236971444</v>
      </c>
      <c r="AL8" s="31">
        <f>'solar thermal'!AL16</f>
        <v>64796.54936368698</v>
      </c>
      <c r="AM8" s="31">
        <f>'solar thermal'!AM16</f>
        <v>64010.453575384206</v>
      </c>
      <c r="AN8" s="31">
        <f>'solar thermal'!AN16</f>
        <v>63205.459070781064</v>
      </c>
      <c r="AO8" s="31">
        <f>'solar thermal'!AO16</f>
        <v>62380.876035058689</v>
      </c>
      <c r="AP8" s="31">
        <f>'solar thermal'!AP16</f>
        <v>61535.980668349781</v>
      </c>
      <c r="AQ8" s="31">
        <f>'solar thermal'!AQ16</f>
        <v>60670.013066717911</v>
      </c>
      <c r="AR8" s="31">
        <f>'solar thermal'!AR16</f>
        <v>59782.17494258166</v>
      </c>
      <c r="AS8" s="31">
        <f>'solar thermal'!AS16</f>
        <v>58871.627170216219</v>
      </c>
      <c r="AT8" s="31">
        <f>'solar thermal'!AT16</f>
        <v>57937.487140468533</v>
      </c>
      <c r="AU8" s="31">
        <f>'solar thermal'!AU16</f>
        <v>56978.825907150094</v>
      </c>
      <c r="AV8" s="31">
        <f>'solar thermal'!AV16</f>
        <v>55994.665105728112</v>
      </c>
      <c r="AW8" s="31">
        <f>'solar thermal'!AW16</f>
        <v>54983.9736228127</v>
      </c>
      <c r="AX8" s="31">
        <f>'solar thermal'!AX16</f>
        <v>53945.663992623609</v>
      </c>
      <c r="AY8" s="31">
        <f>'solar thermal'!AY16</f>
        <v>52878.588493946205</v>
      </c>
      <c r="AZ8" s="31">
        <f>'solar thermal'!AZ16</f>
        <v>51781.534918144265</v>
      </c>
    </row>
    <row r="9" spans="1:52" ht="14.25" customHeight="1">
      <c r="A9" s="44" t="s">
        <v>54</v>
      </c>
      <c r="B9" s="31">
        <f>Cal!B8</f>
        <v>45696</v>
      </c>
      <c r="C9" s="31">
        <f>B9</f>
        <v>45696</v>
      </c>
      <c r="D9" s="31">
        <f t="shared" ref="D9:K9" si="10">C9</f>
        <v>45696</v>
      </c>
      <c r="E9" s="31">
        <f t="shared" si="10"/>
        <v>45696</v>
      </c>
      <c r="F9" s="31">
        <f t="shared" si="10"/>
        <v>45696</v>
      </c>
      <c r="G9" s="31">
        <f t="shared" si="10"/>
        <v>45696</v>
      </c>
      <c r="H9" s="31">
        <f t="shared" si="10"/>
        <v>45696</v>
      </c>
      <c r="I9" s="31">
        <f t="shared" si="10"/>
        <v>45696</v>
      </c>
      <c r="J9" s="31">
        <f t="shared" si="10"/>
        <v>45696</v>
      </c>
      <c r="K9" s="31">
        <f t="shared" si="10"/>
        <v>45696</v>
      </c>
      <c r="L9" s="31">
        <f>Cal!C8</f>
        <v>45696</v>
      </c>
      <c r="M9" s="31">
        <f t="shared" si="4"/>
        <v>45696</v>
      </c>
      <c r="N9" s="31">
        <f t="shared" si="1"/>
        <v>45696</v>
      </c>
      <c r="O9" s="31">
        <f t="shared" si="1"/>
        <v>45696</v>
      </c>
      <c r="P9" s="31">
        <f t="shared" si="1"/>
        <v>45696</v>
      </c>
      <c r="Q9" s="31">
        <f t="shared" si="1"/>
        <v>45696</v>
      </c>
      <c r="R9" s="31">
        <f t="shared" si="1"/>
        <v>45696</v>
      </c>
      <c r="S9" s="31">
        <f t="shared" si="1"/>
        <v>45696</v>
      </c>
      <c r="T9" s="31">
        <f t="shared" si="1"/>
        <v>45696</v>
      </c>
      <c r="U9" s="31">
        <f t="shared" si="1"/>
        <v>45696</v>
      </c>
      <c r="V9" s="31">
        <f t="shared" si="1"/>
        <v>45696</v>
      </c>
      <c r="W9" s="31">
        <f t="shared" si="1"/>
        <v>45696</v>
      </c>
      <c r="X9" s="31">
        <f t="shared" si="1"/>
        <v>45696</v>
      </c>
      <c r="Y9" s="31">
        <f t="shared" si="1"/>
        <v>45696</v>
      </c>
      <c r="Z9" s="31">
        <f t="shared" si="1"/>
        <v>45696</v>
      </c>
      <c r="AA9" s="31">
        <f t="shared" si="1"/>
        <v>45696</v>
      </c>
      <c r="AB9" s="31">
        <f t="shared" si="1"/>
        <v>45696</v>
      </c>
      <c r="AC9" s="31">
        <f t="shared" si="1"/>
        <v>45696</v>
      </c>
      <c r="AD9" s="31">
        <f t="shared" si="1"/>
        <v>45696</v>
      </c>
      <c r="AE9" s="31">
        <f t="shared" si="1"/>
        <v>45696</v>
      </c>
      <c r="AF9" s="31">
        <f>Cal!D8</f>
        <v>45696</v>
      </c>
      <c r="AG9" s="45">
        <f>_xlfn.FORECAST.LINEAR(AG$1, $AC9:$AE9, $AC$1:$AE$1)</f>
        <v>45696</v>
      </c>
      <c r="AH9" s="45">
        <f t="shared" ref="AH9:AZ17" si="11">_xlfn.FORECAST.LINEAR(AH$1, $AC9:$AE9, $AC$1:$AE$1)</f>
        <v>45696</v>
      </c>
      <c r="AI9" s="45">
        <f t="shared" si="11"/>
        <v>45696</v>
      </c>
      <c r="AJ9" s="45">
        <f t="shared" si="11"/>
        <v>45696</v>
      </c>
      <c r="AK9" s="45">
        <f t="shared" si="11"/>
        <v>45696</v>
      </c>
      <c r="AL9" s="45">
        <f t="shared" si="11"/>
        <v>45696</v>
      </c>
      <c r="AM9" s="45">
        <f t="shared" si="11"/>
        <v>45696</v>
      </c>
      <c r="AN9" s="45">
        <f t="shared" si="11"/>
        <v>45696</v>
      </c>
      <c r="AO9" s="45">
        <f t="shared" si="11"/>
        <v>45696</v>
      </c>
      <c r="AP9" s="45">
        <f t="shared" si="11"/>
        <v>45696</v>
      </c>
      <c r="AQ9" s="45">
        <f t="shared" si="11"/>
        <v>45696</v>
      </c>
      <c r="AR9" s="45">
        <f t="shared" si="11"/>
        <v>45696</v>
      </c>
      <c r="AS9" s="45">
        <f t="shared" si="11"/>
        <v>45696</v>
      </c>
      <c r="AT9" s="45">
        <f t="shared" si="11"/>
        <v>45696</v>
      </c>
      <c r="AU9" s="45">
        <f t="shared" si="11"/>
        <v>45696</v>
      </c>
      <c r="AV9" s="45">
        <f t="shared" si="11"/>
        <v>45696</v>
      </c>
      <c r="AW9" s="45">
        <f t="shared" si="11"/>
        <v>45696</v>
      </c>
      <c r="AX9" s="45">
        <f t="shared" si="11"/>
        <v>45696</v>
      </c>
      <c r="AY9" s="45">
        <f t="shared" si="11"/>
        <v>45696</v>
      </c>
      <c r="AZ9" s="45">
        <f t="shared" si="11"/>
        <v>45696</v>
      </c>
    </row>
    <row r="10" spans="1:52" ht="14.25" customHeight="1">
      <c r="A10" s="44" t="s">
        <v>55</v>
      </c>
      <c r="B10" s="31">
        <f>Cal!B9</f>
        <v>14191</v>
      </c>
      <c r="C10" s="31">
        <f t="shared" ref="C10:K10" si="12">B10</f>
        <v>14191</v>
      </c>
      <c r="D10" s="31">
        <f t="shared" si="12"/>
        <v>14191</v>
      </c>
      <c r="E10" s="31">
        <f t="shared" si="12"/>
        <v>14191</v>
      </c>
      <c r="F10" s="31">
        <f t="shared" si="12"/>
        <v>14191</v>
      </c>
      <c r="G10" s="31">
        <f t="shared" si="12"/>
        <v>14191</v>
      </c>
      <c r="H10" s="31">
        <f t="shared" si="12"/>
        <v>14191</v>
      </c>
      <c r="I10" s="31">
        <f t="shared" si="12"/>
        <v>14191</v>
      </c>
      <c r="J10" s="31">
        <f t="shared" si="12"/>
        <v>14191</v>
      </c>
      <c r="K10" s="31">
        <f t="shared" si="12"/>
        <v>14191</v>
      </c>
      <c r="L10" s="31">
        <f>Cal!C9</f>
        <v>14191</v>
      </c>
      <c r="M10" s="31">
        <f t="shared" si="4"/>
        <v>14191</v>
      </c>
      <c r="N10" s="31">
        <f t="shared" si="1"/>
        <v>14191</v>
      </c>
      <c r="O10" s="31">
        <f t="shared" si="1"/>
        <v>14191</v>
      </c>
      <c r="P10" s="31">
        <f t="shared" si="1"/>
        <v>14191</v>
      </c>
      <c r="Q10" s="31">
        <f t="shared" si="1"/>
        <v>14191</v>
      </c>
      <c r="R10" s="31">
        <f t="shared" si="1"/>
        <v>14191</v>
      </c>
      <c r="S10" s="31">
        <f t="shared" si="1"/>
        <v>14191</v>
      </c>
      <c r="T10" s="31">
        <f t="shared" si="1"/>
        <v>14191</v>
      </c>
      <c r="U10" s="31">
        <f t="shared" si="1"/>
        <v>14191</v>
      </c>
      <c r="V10" s="31">
        <f t="shared" si="1"/>
        <v>14191</v>
      </c>
      <c r="W10" s="31">
        <f t="shared" si="1"/>
        <v>14191</v>
      </c>
      <c r="X10" s="31">
        <f t="shared" si="1"/>
        <v>14191</v>
      </c>
      <c r="Y10" s="31">
        <f t="shared" si="1"/>
        <v>14191</v>
      </c>
      <c r="Z10" s="31">
        <f t="shared" si="1"/>
        <v>14191</v>
      </c>
      <c r="AA10" s="31">
        <f t="shared" si="1"/>
        <v>14191</v>
      </c>
      <c r="AB10" s="31">
        <f t="shared" si="1"/>
        <v>14191</v>
      </c>
      <c r="AC10" s="31">
        <f t="shared" si="1"/>
        <v>14191</v>
      </c>
      <c r="AD10" s="31">
        <f t="shared" si="1"/>
        <v>14191</v>
      </c>
      <c r="AE10" s="31">
        <f t="shared" si="1"/>
        <v>14191</v>
      </c>
      <c r="AF10" s="31">
        <f>Cal!D9</f>
        <v>14191</v>
      </c>
      <c r="AG10" s="45">
        <f t="shared" ref="AG10:AV17" si="13">_xlfn.FORECAST.LINEAR(AG$1, $AC10:$AE10, $AC$1:$AE$1)</f>
        <v>14191</v>
      </c>
      <c r="AH10" s="45">
        <f t="shared" si="13"/>
        <v>14191</v>
      </c>
      <c r="AI10" s="45">
        <f t="shared" si="13"/>
        <v>14191</v>
      </c>
      <c r="AJ10" s="45">
        <f t="shared" si="13"/>
        <v>14191</v>
      </c>
      <c r="AK10" s="45">
        <f t="shared" si="13"/>
        <v>14191</v>
      </c>
      <c r="AL10" s="45">
        <f t="shared" si="13"/>
        <v>14191</v>
      </c>
      <c r="AM10" s="45">
        <f t="shared" si="13"/>
        <v>14191</v>
      </c>
      <c r="AN10" s="45">
        <f t="shared" si="13"/>
        <v>14191</v>
      </c>
      <c r="AO10" s="45">
        <f t="shared" si="13"/>
        <v>14191</v>
      </c>
      <c r="AP10" s="45">
        <f t="shared" si="13"/>
        <v>14191</v>
      </c>
      <c r="AQ10" s="45">
        <f t="shared" si="13"/>
        <v>14191</v>
      </c>
      <c r="AR10" s="45">
        <f t="shared" si="13"/>
        <v>14191</v>
      </c>
      <c r="AS10" s="45">
        <f t="shared" si="13"/>
        <v>14191</v>
      </c>
      <c r="AT10" s="45">
        <f t="shared" si="13"/>
        <v>14191</v>
      </c>
      <c r="AU10" s="45">
        <f t="shared" si="13"/>
        <v>14191</v>
      </c>
      <c r="AV10" s="45">
        <f t="shared" si="13"/>
        <v>14191</v>
      </c>
      <c r="AW10" s="45">
        <f t="shared" si="11"/>
        <v>14191</v>
      </c>
      <c r="AX10" s="45">
        <f t="shared" si="11"/>
        <v>14191</v>
      </c>
      <c r="AY10" s="45">
        <f t="shared" si="11"/>
        <v>14191</v>
      </c>
      <c r="AZ10" s="45">
        <f t="shared" si="11"/>
        <v>14191</v>
      </c>
    </row>
    <row r="11" spans="1:52" ht="14.25" customHeight="1">
      <c r="A11" s="44" t="s">
        <v>56</v>
      </c>
      <c r="B11" s="31">
        <f>Cal!B10</f>
        <v>78838</v>
      </c>
      <c r="C11" s="31">
        <f t="shared" ref="C11:K11" si="14">B11</f>
        <v>78838</v>
      </c>
      <c r="D11" s="31">
        <f t="shared" si="14"/>
        <v>78838</v>
      </c>
      <c r="E11" s="31">
        <f t="shared" si="14"/>
        <v>78838</v>
      </c>
      <c r="F11" s="31">
        <f t="shared" si="14"/>
        <v>78838</v>
      </c>
      <c r="G11" s="31">
        <f t="shared" si="14"/>
        <v>78838</v>
      </c>
      <c r="H11" s="31">
        <f t="shared" si="14"/>
        <v>78838</v>
      </c>
      <c r="I11" s="31">
        <f t="shared" si="14"/>
        <v>78838</v>
      </c>
      <c r="J11" s="31">
        <f t="shared" si="14"/>
        <v>78838</v>
      </c>
      <c r="K11" s="31">
        <f t="shared" si="14"/>
        <v>78838</v>
      </c>
      <c r="L11" s="31">
        <f>Cal!C10</f>
        <v>78838</v>
      </c>
      <c r="M11" s="31">
        <f t="shared" si="4"/>
        <v>78838</v>
      </c>
      <c r="N11" s="31">
        <f t="shared" si="1"/>
        <v>78838</v>
      </c>
      <c r="O11" s="31">
        <f t="shared" si="1"/>
        <v>78838</v>
      </c>
      <c r="P11" s="31">
        <f t="shared" si="1"/>
        <v>78838</v>
      </c>
      <c r="Q11" s="31">
        <f t="shared" si="1"/>
        <v>78838</v>
      </c>
      <c r="R11" s="31">
        <f t="shared" si="1"/>
        <v>78838</v>
      </c>
      <c r="S11" s="31">
        <f t="shared" si="1"/>
        <v>78838</v>
      </c>
      <c r="T11" s="31">
        <f t="shared" si="1"/>
        <v>78838</v>
      </c>
      <c r="U11" s="31">
        <f t="shared" si="1"/>
        <v>78838</v>
      </c>
      <c r="V11" s="31">
        <f t="shared" si="1"/>
        <v>78838</v>
      </c>
      <c r="W11" s="31">
        <f t="shared" si="1"/>
        <v>78838</v>
      </c>
      <c r="X11" s="31">
        <f t="shared" si="1"/>
        <v>78838</v>
      </c>
      <c r="Y11" s="31">
        <f t="shared" si="1"/>
        <v>78838</v>
      </c>
      <c r="Z11" s="31">
        <f t="shared" si="1"/>
        <v>78838</v>
      </c>
      <c r="AA11" s="31">
        <f t="shared" si="1"/>
        <v>78838</v>
      </c>
      <c r="AB11" s="31">
        <f t="shared" si="1"/>
        <v>78838</v>
      </c>
      <c r="AC11" s="31">
        <f t="shared" si="1"/>
        <v>78838</v>
      </c>
      <c r="AD11" s="31">
        <f t="shared" si="1"/>
        <v>78838</v>
      </c>
      <c r="AE11" s="31">
        <f t="shared" si="1"/>
        <v>78838</v>
      </c>
      <c r="AF11" s="31">
        <f>Cal!D10</f>
        <v>78838</v>
      </c>
      <c r="AG11" s="45">
        <f t="shared" si="13"/>
        <v>78838</v>
      </c>
      <c r="AH11" s="45">
        <f t="shared" si="11"/>
        <v>78838</v>
      </c>
      <c r="AI11" s="45">
        <f t="shared" si="11"/>
        <v>78838</v>
      </c>
      <c r="AJ11" s="45">
        <f t="shared" si="11"/>
        <v>78838</v>
      </c>
      <c r="AK11" s="45">
        <f t="shared" si="11"/>
        <v>78838</v>
      </c>
      <c r="AL11" s="45">
        <f t="shared" si="11"/>
        <v>78838</v>
      </c>
      <c r="AM11" s="45">
        <f t="shared" si="11"/>
        <v>78838</v>
      </c>
      <c r="AN11" s="45">
        <f t="shared" si="11"/>
        <v>78838</v>
      </c>
      <c r="AO11" s="45">
        <f t="shared" si="11"/>
        <v>78838</v>
      </c>
      <c r="AP11" s="45">
        <f t="shared" si="11"/>
        <v>78838</v>
      </c>
      <c r="AQ11" s="45">
        <f t="shared" si="11"/>
        <v>78838</v>
      </c>
      <c r="AR11" s="45">
        <f t="shared" si="11"/>
        <v>78838</v>
      </c>
      <c r="AS11" s="45">
        <f t="shared" si="11"/>
        <v>78838</v>
      </c>
      <c r="AT11" s="45">
        <f t="shared" si="11"/>
        <v>78838</v>
      </c>
      <c r="AU11" s="45">
        <f t="shared" si="11"/>
        <v>78838</v>
      </c>
      <c r="AV11" s="45">
        <f t="shared" si="11"/>
        <v>78838</v>
      </c>
      <c r="AW11" s="45">
        <f t="shared" si="11"/>
        <v>78838</v>
      </c>
      <c r="AX11" s="45">
        <f t="shared" si="11"/>
        <v>78838</v>
      </c>
      <c r="AY11" s="45">
        <f t="shared" si="11"/>
        <v>78838</v>
      </c>
      <c r="AZ11" s="45">
        <f t="shared" si="11"/>
        <v>78838</v>
      </c>
    </row>
    <row r="12" spans="1:52" ht="14.25" customHeight="1">
      <c r="A12" s="44" t="s">
        <v>57</v>
      </c>
      <c r="B12" s="31">
        <f>Cal!B11</f>
        <v>12614</v>
      </c>
      <c r="C12" s="31">
        <f t="shared" ref="C12:K12" si="15">B12</f>
        <v>12614</v>
      </c>
      <c r="D12" s="31">
        <f t="shared" si="15"/>
        <v>12614</v>
      </c>
      <c r="E12" s="31">
        <f t="shared" si="15"/>
        <v>12614</v>
      </c>
      <c r="F12" s="31">
        <f t="shared" si="15"/>
        <v>12614</v>
      </c>
      <c r="G12" s="31">
        <f t="shared" si="15"/>
        <v>12614</v>
      </c>
      <c r="H12" s="31">
        <f t="shared" si="15"/>
        <v>12614</v>
      </c>
      <c r="I12" s="31">
        <f t="shared" si="15"/>
        <v>12614</v>
      </c>
      <c r="J12" s="31">
        <f t="shared" si="15"/>
        <v>12614</v>
      </c>
      <c r="K12" s="31">
        <f t="shared" si="15"/>
        <v>12614</v>
      </c>
      <c r="L12" s="31">
        <f>Cal!C11</f>
        <v>12614</v>
      </c>
      <c r="M12" s="31">
        <f t="shared" si="4"/>
        <v>12614</v>
      </c>
      <c r="N12" s="31">
        <f t="shared" si="1"/>
        <v>12614</v>
      </c>
      <c r="O12" s="31">
        <f t="shared" si="1"/>
        <v>12614</v>
      </c>
      <c r="P12" s="31">
        <f t="shared" si="1"/>
        <v>12614</v>
      </c>
      <c r="Q12" s="31">
        <f t="shared" si="1"/>
        <v>12614</v>
      </c>
      <c r="R12" s="31">
        <f t="shared" si="1"/>
        <v>12614</v>
      </c>
      <c r="S12" s="31">
        <f t="shared" si="1"/>
        <v>12614</v>
      </c>
      <c r="T12" s="31">
        <f t="shared" si="1"/>
        <v>12614</v>
      </c>
      <c r="U12" s="31">
        <f t="shared" si="1"/>
        <v>12614</v>
      </c>
      <c r="V12" s="31">
        <f t="shared" si="1"/>
        <v>12614</v>
      </c>
      <c r="W12" s="31">
        <f t="shared" si="1"/>
        <v>12614</v>
      </c>
      <c r="X12" s="31">
        <f t="shared" si="1"/>
        <v>12614</v>
      </c>
      <c r="Y12" s="31">
        <f t="shared" si="1"/>
        <v>12614</v>
      </c>
      <c r="Z12" s="31">
        <f t="shared" si="1"/>
        <v>12614</v>
      </c>
      <c r="AA12" s="31">
        <f t="shared" si="1"/>
        <v>12614</v>
      </c>
      <c r="AB12" s="31">
        <f t="shared" si="1"/>
        <v>12614</v>
      </c>
      <c r="AC12" s="31">
        <f t="shared" si="1"/>
        <v>12614</v>
      </c>
      <c r="AD12" s="31">
        <f t="shared" si="1"/>
        <v>12614</v>
      </c>
      <c r="AE12" s="31">
        <f t="shared" si="1"/>
        <v>12614</v>
      </c>
      <c r="AF12" s="31">
        <f>Cal!D11</f>
        <v>12614</v>
      </c>
      <c r="AG12" s="45">
        <f t="shared" si="13"/>
        <v>12614</v>
      </c>
      <c r="AH12" s="45">
        <f t="shared" si="11"/>
        <v>12614</v>
      </c>
      <c r="AI12" s="45">
        <f t="shared" si="11"/>
        <v>12614</v>
      </c>
      <c r="AJ12" s="45">
        <f t="shared" si="11"/>
        <v>12614</v>
      </c>
      <c r="AK12" s="45">
        <f t="shared" si="11"/>
        <v>12614</v>
      </c>
      <c r="AL12" s="45">
        <f t="shared" si="11"/>
        <v>12614</v>
      </c>
      <c r="AM12" s="45">
        <f t="shared" si="11"/>
        <v>12614</v>
      </c>
      <c r="AN12" s="45">
        <f t="shared" si="11"/>
        <v>12614</v>
      </c>
      <c r="AO12" s="45">
        <f t="shared" si="11"/>
        <v>12614</v>
      </c>
      <c r="AP12" s="45">
        <f t="shared" si="11"/>
        <v>12614</v>
      </c>
      <c r="AQ12" s="45">
        <f t="shared" si="11"/>
        <v>12614</v>
      </c>
      <c r="AR12" s="45">
        <f t="shared" si="11"/>
        <v>12614</v>
      </c>
      <c r="AS12" s="45">
        <f t="shared" si="11"/>
        <v>12614</v>
      </c>
      <c r="AT12" s="45">
        <f t="shared" si="11"/>
        <v>12614</v>
      </c>
      <c r="AU12" s="45">
        <f t="shared" si="11"/>
        <v>12614</v>
      </c>
      <c r="AV12" s="45">
        <f t="shared" si="11"/>
        <v>12614</v>
      </c>
      <c r="AW12" s="45">
        <f t="shared" si="11"/>
        <v>12614</v>
      </c>
      <c r="AX12" s="45">
        <f t="shared" si="11"/>
        <v>12614</v>
      </c>
      <c r="AY12" s="45">
        <f t="shared" si="11"/>
        <v>12614</v>
      </c>
      <c r="AZ12" s="45">
        <f t="shared" si="11"/>
        <v>12614</v>
      </c>
    </row>
    <row r="13" spans="1:52" ht="14.25" customHeight="1">
      <c r="A13" s="44" t="s">
        <v>58</v>
      </c>
      <c r="B13" s="31">
        <f>Cal!B12</f>
        <v>25228</v>
      </c>
      <c r="C13" s="31">
        <f t="shared" ref="C13:K13" si="16">B13</f>
        <v>25228</v>
      </c>
      <c r="D13" s="31">
        <f t="shared" si="16"/>
        <v>25228</v>
      </c>
      <c r="E13" s="31">
        <f t="shared" si="16"/>
        <v>25228</v>
      </c>
      <c r="F13" s="31">
        <f t="shared" si="16"/>
        <v>25228</v>
      </c>
      <c r="G13" s="31">
        <f t="shared" si="16"/>
        <v>25228</v>
      </c>
      <c r="H13" s="31">
        <f t="shared" si="16"/>
        <v>25228</v>
      </c>
      <c r="I13" s="31">
        <f t="shared" si="16"/>
        <v>25228</v>
      </c>
      <c r="J13" s="31">
        <f t="shared" si="16"/>
        <v>25228</v>
      </c>
      <c r="K13" s="31">
        <f t="shared" si="16"/>
        <v>25228</v>
      </c>
      <c r="L13" s="31">
        <f>Cal!C12</f>
        <v>25228</v>
      </c>
      <c r="M13" s="31">
        <f t="shared" si="4"/>
        <v>25228</v>
      </c>
      <c r="N13" s="31">
        <f t="shared" si="1"/>
        <v>25228</v>
      </c>
      <c r="O13" s="31">
        <f t="shared" si="1"/>
        <v>25228</v>
      </c>
      <c r="P13" s="31">
        <f t="shared" si="1"/>
        <v>25228</v>
      </c>
      <c r="Q13" s="31">
        <f t="shared" si="1"/>
        <v>25228</v>
      </c>
      <c r="R13" s="31">
        <f t="shared" si="1"/>
        <v>25228</v>
      </c>
      <c r="S13" s="31">
        <f t="shared" si="1"/>
        <v>25228</v>
      </c>
      <c r="T13" s="31">
        <f t="shared" si="1"/>
        <v>25228</v>
      </c>
      <c r="U13" s="31">
        <f t="shared" si="1"/>
        <v>25228</v>
      </c>
      <c r="V13" s="31">
        <f t="shared" si="1"/>
        <v>25228</v>
      </c>
      <c r="W13" s="31">
        <f t="shared" si="1"/>
        <v>25228</v>
      </c>
      <c r="X13" s="31">
        <f t="shared" si="1"/>
        <v>25228</v>
      </c>
      <c r="Y13" s="31">
        <f t="shared" si="1"/>
        <v>25228</v>
      </c>
      <c r="Z13" s="31">
        <f t="shared" si="1"/>
        <v>25228</v>
      </c>
      <c r="AA13" s="31">
        <f t="shared" si="1"/>
        <v>25228</v>
      </c>
      <c r="AB13" s="31">
        <f t="shared" si="1"/>
        <v>25228</v>
      </c>
      <c r="AC13" s="31">
        <f t="shared" si="1"/>
        <v>25228</v>
      </c>
      <c r="AD13" s="31">
        <f t="shared" si="1"/>
        <v>25228</v>
      </c>
      <c r="AE13" s="31">
        <f t="shared" si="1"/>
        <v>25228</v>
      </c>
      <c r="AF13" s="31">
        <f>Cal!D12</f>
        <v>25228</v>
      </c>
      <c r="AG13" s="45">
        <f t="shared" si="13"/>
        <v>25228</v>
      </c>
      <c r="AH13" s="45">
        <f t="shared" si="11"/>
        <v>25228</v>
      </c>
      <c r="AI13" s="45">
        <f t="shared" si="11"/>
        <v>25228</v>
      </c>
      <c r="AJ13" s="45">
        <f t="shared" si="11"/>
        <v>25228</v>
      </c>
      <c r="AK13" s="45">
        <f t="shared" si="11"/>
        <v>25228</v>
      </c>
      <c r="AL13" s="45">
        <f t="shared" si="11"/>
        <v>25228</v>
      </c>
      <c r="AM13" s="45">
        <f t="shared" si="11"/>
        <v>25228</v>
      </c>
      <c r="AN13" s="45">
        <f t="shared" si="11"/>
        <v>25228</v>
      </c>
      <c r="AO13" s="45">
        <f t="shared" si="11"/>
        <v>25228</v>
      </c>
      <c r="AP13" s="45">
        <f t="shared" si="11"/>
        <v>25228</v>
      </c>
      <c r="AQ13" s="45">
        <f t="shared" si="11"/>
        <v>25228</v>
      </c>
      <c r="AR13" s="45">
        <f t="shared" si="11"/>
        <v>25228</v>
      </c>
      <c r="AS13" s="45">
        <f t="shared" si="11"/>
        <v>25228</v>
      </c>
      <c r="AT13" s="45">
        <f t="shared" si="11"/>
        <v>25228</v>
      </c>
      <c r="AU13" s="45">
        <f t="shared" si="11"/>
        <v>25228</v>
      </c>
      <c r="AV13" s="45">
        <f t="shared" si="11"/>
        <v>25228</v>
      </c>
      <c r="AW13" s="45">
        <f t="shared" si="11"/>
        <v>25228</v>
      </c>
      <c r="AX13" s="45">
        <f t="shared" si="11"/>
        <v>25228</v>
      </c>
      <c r="AY13" s="45">
        <f t="shared" si="11"/>
        <v>25228</v>
      </c>
      <c r="AZ13" s="45">
        <f t="shared" si="11"/>
        <v>25228</v>
      </c>
    </row>
    <row r="14" spans="1:52" ht="14.25" customHeight="1">
      <c r="A14" s="44" t="s">
        <v>59</v>
      </c>
      <c r="B14" s="31">
        <f>Cal!B13</f>
        <v>77261</v>
      </c>
      <c r="C14" s="31">
        <f t="shared" ref="C14:K14" si="17">B14</f>
        <v>77261</v>
      </c>
      <c r="D14" s="31">
        <f t="shared" si="17"/>
        <v>77261</v>
      </c>
      <c r="E14" s="31">
        <f t="shared" si="17"/>
        <v>77261</v>
      </c>
      <c r="F14" s="31">
        <f t="shared" si="17"/>
        <v>77261</v>
      </c>
      <c r="G14" s="31">
        <f t="shared" si="17"/>
        <v>77261</v>
      </c>
      <c r="H14" s="31">
        <f t="shared" si="17"/>
        <v>77261</v>
      </c>
      <c r="I14" s="31">
        <f t="shared" si="17"/>
        <v>77261</v>
      </c>
      <c r="J14" s="31">
        <f t="shared" si="17"/>
        <v>77261</v>
      </c>
      <c r="K14" s="31">
        <f t="shared" si="17"/>
        <v>77261</v>
      </c>
      <c r="L14" s="31">
        <f>Cal!C13</f>
        <v>77261</v>
      </c>
      <c r="M14" s="31">
        <f t="shared" si="4"/>
        <v>77261</v>
      </c>
      <c r="N14" s="31">
        <f t="shared" si="1"/>
        <v>77261</v>
      </c>
      <c r="O14" s="31">
        <f t="shared" si="1"/>
        <v>77261</v>
      </c>
      <c r="P14" s="31">
        <f t="shared" si="1"/>
        <v>77261</v>
      </c>
      <c r="Q14" s="31">
        <f t="shared" si="1"/>
        <v>77261</v>
      </c>
      <c r="R14" s="31">
        <f t="shared" si="1"/>
        <v>77261</v>
      </c>
      <c r="S14" s="31">
        <f t="shared" si="1"/>
        <v>77261</v>
      </c>
      <c r="T14" s="31">
        <f t="shared" si="1"/>
        <v>77261</v>
      </c>
      <c r="U14" s="31">
        <f t="shared" si="1"/>
        <v>77261</v>
      </c>
      <c r="V14" s="31">
        <f t="shared" si="1"/>
        <v>77261</v>
      </c>
      <c r="W14" s="31">
        <f t="shared" si="1"/>
        <v>77261</v>
      </c>
      <c r="X14" s="31">
        <f t="shared" si="1"/>
        <v>77261</v>
      </c>
      <c r="Y14" s="31">
        <f t="shared" si="1"/>
        <v>77261</v>
      </c>
      <c r="Z14" s="31">
        <f t="shared" si="1"/>
        <v>77261</v>
      </c>
      <c r="AA14" s="31">
        <f t="shared" si="1"/>
        <v>77261</v>
      </c>
      <c r="AB14" s="31">
        <f t="shared" si="1"/>
        <v>77261</v>
      </c>
      <c r="AC14" s="31">
        <f t="shared" si="1"/>
        <v>77261</v>
      </c>
      <c r="AD14" s="31">
        <f t="shared" si="1"/>
        <v>77261</v>
      </c>
      <c r="AE14" s="31">
        <f t="shared" si="1"/>
        <v>77261</v>
      </c>
      <c r="AF14" s="31">
        <f>Cal!D13</f>
        <v>77261</v>
      </c>
      <c r="AG14" s="45">
        <f t="shared" si="13"/>
        <v>77261</v>
      </c>
      <c r="AH14" s="45">
        <f t="shared" si="11"/>
        <v>77261</v>
      </c>
      <c r="AI14" s="45">
        <f t="shared" si="11"/>
        <v>77261</v>
      </c>
      <c r="AJ14" s="45">
        <f t="shared" si="11"/>
        <v>77261</v>
      </c>
      <c r="AK14" s="45">
        <f t="shared" si="11"/>
        <v>77261</v>
      </c>
      <c r="AL14" s="45">
        <f t="shared" si="11"/>
        <v>77261</v>
      </c>
      <c r="AM14" s="45">
        <f t="shared" si="11"/>
        <v>77261</v>
      </c>
      <c r="AN14" s="45">
        <f t="shared" si="11"/>
        <v>77261</v>
      </c>
      <c r="AO14" s="45">
        <f t="shared" si="11"/>
        <v>77261</v>
      </c>
      <c r="AP14" s="45">
        <f t="shared" si="11"/>
        <v>77261</v>
      </c>
      <c r="AQ14" s="45">
        <f t="shared" si="11"/>
        <v>77261</v>
      </c>
      <c r="AR14" s="45">
        <f t="shared" si="11"/>
        <v>77261</v>
      </c>
      <c r="AS14" s="45">
        <f t="shared" si="11"/>
        <v>77261</v>
      </c>
      <c r="AT14" s="45">
        <f t="shared" si="11"/>
        <v>77261</v>
      </c>
      <c r="AU14" s="45">
        <f t="shared" si="11"/>
        <v>77261</v>
      </c>
      <c r="AV14" s="45">
        <f t="shared" si="11"/>
        <v>77261</v>
      </c>
      <c r="AW14" s="45">
        <f t="shared" si="11"/>
        <v>77261</v>
      </c>
      <c r="AX14" s="45">
        <f t="shared" si="11"/>
        <v>77261</v>
      </c>
      <c r="AY14" s="45">
        <f t="shared" si="11"/>
        <v>77261</v>
      </c>
      <c r="AZ14" s="45">
        <f t="shared" si="11"/>
        <v>77261</v>
      </c>
    </row>
    <row r="15" spans="1:52" ht="14.25" customHeight="1">
      <c r="A15" s="44" t="s">
        <v>60</v>
      </c>
      <c r="B15" s="31">
        <f>Cal!B14</f>
        <v>78838</v>
      </c>
      <c r="C15" s="31">
        <f t="shared" ref="C15:K15" si="18">B15</f>
        <v>78838</v>
      </c>
      <c r="D15" s="31">
        <f t="shared" si="18"/>
        <v>78838</v>
      </c>
      <c r="E15" s="31">
        <f t="shared" si="18"/>
        <v>78838</v>
      </c>
      <c r="F15" s="31">
        <f t="shared" si="18"/>
        <v>78838</v>
      </c>
      <c r="G15" s="31">
        <f t="shared" si="18"/>
        <v>78838</v>
      </c>
      <c r="H15" s="31">
        <f t="shared" si="18"/>
        <v>78838</v>
      </c>
      <c r="I15" s="31">
        <f t="shared" si="18"/>
        <v>78838</v>
      </c>
      <c r="J15" s="31">
        <f t="shared" si="18"/>
        <v>78838</v>
      </c>
      <c r="K15" s="31">
        <f t="shared" si="18"/>
        <v>78838</v>
      </c>
      <c r="L15" s="31">
        <f>Cal!C14</f>
        <v>78838</v>
      </c>
      <c r="M15" s="31">
        <f t="shared" si="4"/>
        <v>78838</v>
      </c>
      <c r="N15" s="31">
        <f t="shared" si="1"/>
        <v>78838</v>
      </c>
      <c r="O15" s="31">
        <f t="shared" si="1"/>
        <v>78838</v>
      </c>
      <c r="P15" s="31">
        <f t="shared" si="1"/>
        <v>78838</v>
      </c>
      <c r="Q15" s="31">
        <f t="shared" si="1"/>
        <v>78838</v>
      </c>
      <c r="R15" s="31">
        <f t="shared" si="1"/>
        <v>78838</v>
      </c>
      <c r="S15" s="31">
        <f t="shared" si="1"/>
        <v>78838</v>
      </c>
      <c r="T15" s="31">
        <f t="shared" si="1"/>
        <v>78838</v>
      </c>
      <c r="U15" s="31">
        <f t="shared" si="1"/>
        <v>78838</v>
      </c>
      <c r="V15" s="31">
        <f t="shared" si="1"/>
        <v>78838</v>
      </c>
      <c r="W15" s="31">
        <f t="shared" si="1"/>
        <v>78838</v>
      </c>
      <c r="X15" s="31">
        <f t="shared" si="1"/>
        <v>78838</v>
      </c>
      <c r="Y15" s="31">
        <f t="shared" si="1"/>
        <v>78838</v>
      </c>
      <c r="Z15" s="31">
        <f t="shared" si="1"/>
        <v>78838</v>
      </c>
      <c r="AA15" s="31">
        <f t="shared" si="1"/>
        <v>78838</v>
      </c>
      <c r="AB15" s="31">
        <f t="shared" si="1"/>
        <v>78838</v>
      </c>
      <c r="AC15" s="31">
        <f t="shared" si="1"/>
        <v>78838</v>
      </c>
      <c r="AD15" s="31">
        <f t="shared" si="1"/>
        <v>78838</v>
      </c>
      <c r="AE15" s="31">
        <f t="shared" si="1"/>
        <v>78838</v>
      </c>
      <c r="AF15" s="31">
        <f>Cal!D14</f>
        <v>78838</v>
      </c>
      <c r="AG15" s="45">
        <f>_xlfn.FORECAST.LINEAR(AG$1, $AC15:$AE15, $AC$1:$AE$1)</f>
        <v>78838</v>
      </c>
      <c r="AH15" s="45">
        <f t="shared" si="11"/>
        <v>78838</v>
      </c>
      <c r="AI15" s="45">
        <f t="shared" si="11"/>
        <v>78838</v>
      </c>
      <c r="AJ15" s="45">
        <f t="shared" si="11"/>
        <v>78838</v>
      </c>
      <c r="AK15" s="45">
        <f t="shared" si="11"/>
        <v>78838</v>
      </c>
      <c r="AL15" s="45">
        <f t="shared" si="11"/>
        <v>78838</v>
      </c>
      <c r="AM15" s="45">
        <f t="shared" si="11"/>
        <v>78838</v>
      </c>
      <c r="AN15" s="45">
        <f t="shared" si="11"/>
        <v>78838</v>
      </c>
      <c r="AO15" s="45">
        <f t="shared" si="11"/>
        <v>78838</v>
      </c>
      <c r="AP15" s="45">
        <f t="shared" si="11"/>
        <v>78838</v>
      </c>
      <c r="AQ15" s="45">
        <f t="shared" si="11"/>
        <v>78838</v>
      </c>
      <c r="AR15" s="45">
        <f t="shared" si="11"/>
        <v>78838</v>
      </c>
      <c r="AS15" s="45">
        <f t="shared" si="11"/>
        <v>78838</v>
      </c>
      <c r="AT15" s="45">
        <f t="shared" si="11"/>
        <v>78838</v>
      </c>
      <c r="AU15" s="45">
        <f t="shared" si="11"/>
        <v>78838</v>
      </c>
      <c r="AV15" s="45">
        <f t="shared" si="11"/>
        <v>78838</v>
      </c>
      <c r="AW15" s="45">
        <f t="shared" si="11"/>
        <v>78838</v>
      </c>
      <c r="AX15" s="45">
        <f t="shared" si="11"/>
        <v>78838</v>
      </c>
      <c r="AY15" s="45">
        <f t="shared" si="11"/>
        <v>78838</v>
      </c>
      <c r="AZ15" s="45">
        <f t="shared" si="11"/>
        <v>78838</v>
      </c>
    </row>
    <row r="16" spans="1:52" ht="14.25" customHeight="1">
      <c r="A16" s="44" t="s">
        <v>61</v>
      </c>
      <c r="B16" s="31">
        <f>Cal!B15</f>
        <v>78838</v>
      </c>
      <c r="C16" s="31">
        <f t="shared" ref="C16:K16" si="19">B16</f>
        <v>78838</v>
      </c>
      <c r="D16" s="31">
        <f t="shared" si="19"/>
        <v>78838</v>
      </c>
      <c r="E16" s="31">
        <f t="shared" si="19"/>
        <v>78838</v>
      </c>
      <c r="F16" s="31">
        <f t="shared" si="19"/>
        <v>78838</v>
      </c>
      <c r="G16" s="31">
        <f t="shared" si="19"/>
        <v>78838</v>
      </c>
      <c r="H16" s="31">
        <f t="shared" si="19"/>
        <v>78838</v>
      </c>
      <c r="I16" s="31">
        <f t="shared" si="19"/>
        <v>78838</v>
      </c>
      <c r="J16" s="31">
        <f t="shared" si="19"/>
        <v>78838</v>
      </c>
      <c r="K16" s="31">
        <f t="shared" si="19"/>
        <v>78838</v>
      </c>
      <c r="L16" s="31">
        <f>Cal!C15</f>
        <v>78838</v>
      </c>
      <c r="M16" s="31">
        <f t="shared" si="4"/>
        <v>78838</v>
      </c>
      <c r="N16" s="31">
        <f t="shared" si="1"/>
        <v>78838</v>
      </c>
      <c r="O16" s="31">
        <f t="shared" si="1"/>
        <v>78838</v>
      </c>
      <c r="P16" s="31">
        <f t="shared" si="1"/>
        <v>78838</v>
      </c>
      <c r="Q16" s="31">
        <f t="shared" si="1"/>
        <v>78838</v>
      </c>
      <c r="R16" s="31">
        <f t="shared" si="1"/>
        <v>78838</v>
      </c>
      <c r="S16" s="31">
        <f t="shared" si="1"/>
        <v>78838</v>
      </c>
      <c r="T16" s="31">
        <f t="shared" si="1"/>
        <v>78838</v>
      </c>
      <c r="U16" s="31">
        <f t="shared" si="1"/>
        <v>78838</v>
      </c>
      <c r="V16" s="31">
        <f t="shared" si="1"/>
        <v>78838</v>
      </c>
      <c r="W16" s="31">
        <f t="shared" si="1"/>
        <v>78838</v>
      </c>
      <c r="X16" s="31">
        <f t="shared" si="1"/>
        <v>78838</v>
      </c>
      <c r="Y16" s="31">
        <f t="shared" si="1"/>
        <v>78838</v>
      </c>
      <c r="Z16" s="31">
        <f t="shared" si="1"/>
        <v>78838</v>
      </c>
      <c r="AA16" s="31">
        <f t="shared" si="1"/>
        <v>78838</v>
      </c>
      <c r="AB16" s="31">
        <f t="shared" si="1"/>
        <v>78838</v>
      </c>
      <c r="AC16" s="31">
        <f t="shared" si="1"/>
        <v>78838</v>
      </c>
      <c r="AD16" s="31">
        <f t="shared" si="1"/>
        <v>78838</v>
      </c>
      <c r="AE16" s="31">
        <f t="shared" si="1"/>
        <v>78838</v>
      </c>
      <c r="AF16" s="31">
        <f>Cal!D15</f>
        <v>78838</v>
      </c>
      <c r="AG16" s="45">
        <f t="shared" si="13"/>
        <v>78838</v>
      </c>
      <c r="AH16" s="45">
        <f t="shared" si="11"/>
        <v>78838</v>
      </c>
      <c r="AI16" s="45">
        <f t="shared" si="11"/>
        <v>78838</v>
      </c>
      <c r="AJ16" s="45">
        <f t="shared" si="11"/>
        <v>78838</v>
      </c>
      <c r="AK16" s="45">
        <f t="shared" si="11"/>
        <v>78838</v>
      </c>
      <c r="AL16" s="45">
        <f t="shared" si="11"/>
        <v>78838</v>
      </c>
      <c r="AM16" s="45">
        <f t="shared" si="11"/>
        <v>78838</v>
      </c>
      <c r="AN16" s="45">
        <f t="shared" si="11"/>
        <v>78838</v>
      </c>
      <c r="AO16" s="45">
        <f t="shared" si="11"/>
        <v>78838</v>
      </c>
      <c r="AP16" s="45">
        <f t="shared" si="11"/>
        <v>78838</v>
      </c>
      <c r="AQ16" s="45">
        <f t="shared" si="11"/>
        <v>78838</v>
      </c>
      <c r="AR16" s="45">
        <f t="shared" si="11"/>
        <v>78838</v>
      </c>
      <c r="AS16" s="45">
        <f t="shared" si="11"/>
        <v>78838</v>
      </c>
      <c r="AT16" s="45">
        <f t="shared" si="11"/>
        <v>78838</v>
      </c>
      <c r="AU16" s="45">
        <f t="shared" si="11"/>
        <v>78838</v>
      </c>
      <c r="AV16" s="45">
        <f t="shared" si="11"/>
        <v>78838</v>
      </c>
      <c r="AW16" s="45">
        <f t="shared" si="11"/>
        <v>78838</v>
      </c>
      <c r="AX16" s="45">
        <f t="shared" si="11"/>
        <v>78838</v>
      </c>
      <c r="AY16" s="45">
        <f t="shared" si="11"/>
        <v>78838</v>
      </c>
      <c r="AZ16" s="45">
        <f t="shared" si="11"/>
        <v>78838</v>
      </c>
    </row>
    <row r="17" spans="1:52" ht="14.25" customHeight="1">
      <c r="A17" s="44" t="s">
        <v>62</v>
      </c>
      <c r="B17" s="31">
        <f>Cal!B16</f>
        <v>233952</v>
      </c>
      <c r="C17" s="31">
        <f t="shared" ref="C17:K17" si="20">B17</f>
        <v>233952</v>
      </c>
      <c r="D17" s="31">
        <f t="shared" si="20"/>
        <v>233952</v>
      </c>
      <c r="E17" s="31">
        <f t="shared" si="20"/>
        <v>233952</v>
      </c>
      <c r="F17" s="31">
        <f t="shared" si="20"/>
        <v>233952</v>
      </c>
      <c r="G17" s="31">
        <f t="shared" si="20"/>
        <v>233952</v>
      </c>
      <c r="H17" s="31">
        <f t="shared" si="20"/>
        <v>233952</v>
      </c>
      <c r="I17" s="31">
        <f t="shared" si="20"/>
        <v>233952</v>
      </c>
      <c r="J17" s="31">
        <f t="shared" si="20"/>
        <v>233952</v>
      </c>
      <c r="K17" s="31">
        <f t="shared" si="20"/>
        <v>233952</v>
      </c>
      <c r="L17" s="31">
        <f>Cal!C16</f>
        <v>233952</v>
      </c>
      <c r="M17" s="31">
        <f t="shared" si="4"/>
        <v>233952</v>
      </c>
      <c r="N17" s="31">
        <f t="shared" ref="N17:AE17" si="21">$L17+(($AF17-$L17)/($AF$1-$L$1))*(N$1-$L$1)</f>
        <v>233952</v>
      </c>
      <c r="O17" s="31">
        <f t="shared" si="21"/>
        <v>233952</v>
      </c>
      <c r="P17" s="31">
        <f t="shared" si="21"/>
        <v>233952</v>
      </c>
      <c r="Q17" s="31">
        <f t="shared" si="21"/>
        <v>233952</v>
      </c>
      <c r="R17" s="31">
        <f t="shared" si="21"/>
        <v>233952</v>
      </c>
      <c r="S17" s="31">
        <f t="shared" si="21"/>
        <v>233952</v>
      </c>
      <c r="T17" s="31">
        <f t="shared" si="21"/>
        <v>233952</v>
      </c>
      <c r="U17" s="31">
        <f t="shared" si="21"/>
        <v>233952</v>
      </c>
      <c r="V17" s="31">
        <f t="shared" si="21"/>
        <v>233952</v>
      </c>
      <c r="W17" s="31">
        <f t="shared" si="21"/>
        <v>233952</v>
      </c>
      <c r="X17" s="31">
        <f t="shared" si="21"/>
        <v>233952</v>
      </c>
      <c r="Y17" s="31">
        <f t="shared" si="21"/>
        <v>233952</v>
      </c>
      <c r="Z17" s="31">
        <f t="shared" si="21"/>
        <v>233952</v>
      </c>
      <c r="AA17" s="31">
        <f t="shared" si="21"/>
        <v>233952</v>
      </c>
      <c r="AB17" s="31">
        <f t="shared" si="21"/>
        <v>233952</v>
      </c>
      <c r="AC17" s="31">
        <f t="shared" si="21"/>
        <v>233952</v>
      </c>
      <c r="AD17" s="31">
        <f t="shared" si="21"/>
        <v>233952</v>
      </c>
      <c r="AE17" s="31">
        <f t="shared" si="21"/>
        <v>233952</v>
      </c>
      <c r="AF17" s="31">
        <f>Cal!D16</f>
        <v>233952</v>
      </c>
      <c r="AG17" s="45">
        <f t="shared" si="13"/>
        <v>233952</v>
      </c>
      <c r="AH17" s="45">
        <f t="shared" si="11"/>
        <v>233952</v>
      </c>
      <c r="AI17" s="45">
        <f t="shared" si="11"/>
        <v>233952</v>
      </c>
      <c r="AJ17" s="45">
        <f t="shared" si="11"/>
        <v>233952</v>
      </c>
      <c r="AK17" s="45">
        <f t="shared" si="11"/>
        <v>233952</v>
      </c>
      <c r="AL17" s="45">
        <f t="shared" si="11"/>
        <v>233952</v>
      </c>
      <c r="AM17" s="45">
        <f t="shared" si="11"/>
        <v>233952</v>
      </c>
      <c r="AN17" s="45">
        <f t="shared" si="11"/>
        <v>233952</v>
      </c>
      <c r="AO17" s="45">
        <f t="shared" si="11"/>
        <v>233952</v>
      </c>
      <c r="AP17" s="45">
        <f t="shared" si="11"/>
        <v>233952</v>
      </c>
      <c r="AQ17" s="45">
        <f t="shared" si="11"/>
        <v>233952</v>
      </c>
      <c r="AR17" s="45">
        <f t="shared" si="11"/>
        <v>233952</v>
      </c>
      <c r="AS17" s="45">
        <f t="shared" si="11"/>
        <v>233952</v>
      </c>
      <c r="AT17" s="45">
        <f t="shared" si="11"/>
        <v>233952</v>
      </c>
      <c r="AU17" s="45">
        <f t="shared" si="11"/>
        <v>233952</v>
      </c>
      <c r="AV17" s="45">
        <f t="shared" si="11"/>
        <v>233952</v>
      </c>
      <c r="AW17" s="45">
        <f t="shared" si="11"/>
        <v>233952</v>
      </c>
      <c r="AX17" s="45">
        <f t="shared" si="11"/>
        <v>233952</v>
      </c>
      <c r="AY17" s="45">
        <f t="shared" si="11"/>
        <v>233952</v>
      </c>
      <c r="AZ17" s="45">
        <f t="shared" si="11"/>
        <v>233952</v>
      </c>
    </row>
    <row r="18" spans="1:52" ht="14.25" customHeight="1">
      <c r="C18" s="5"/>
      <c r="AF18" s="21"/>
    </row>
    <row r="19" spans="1:52" ht="14.25" customHeight="1">
      <c r="A19" s="1"/>
    </row>
    <row r="20" spans="1:52" ht="14.25" customHeight="1">
      <c r="F20" s="1"/>
      <c r="G20" s="1"/>
      <c r="H20" s="1"/>
      <c r="I20" s="1"/>
      <c r="AG20" s="29"/>
      <c r="AH20" s="29"/>
      <c r="AI20" s="29"/>
      <c r="AJ20" s="29"/>
      <c r="AK20" s="29"/>
      <c r="AL20" s="29"/>
      <c r="AM20" s="29"/>
      <c r="AN20" s="29"/>
      <c r="AO20" s="29"/>
      <c r="AP20" s="29"/>
      <c r="AQ20" s="29"/>
      <c r="AR20" s="29"/>
      <c r="AS20" s="29"/>
      <c r="AT20" s="29"/>
      <c r="AU20" s="29"/>
      <c r="AV20" s="29"/>
      <c r="AW20" s="29"/>
      <c r="AX20" s="29"/>
      <c r="AY20" s="29"/>
      <c r="AZ20" s="29"/>
    </row>
    <row r="21" spans="1:52" ht="14.25" customHeight="1"/>
    <row r="22" spans="1:52" ht="14.25" customHeight="1"/>
    <row r="23" spans="1:52" ht="14.25" customHeight="1"/>
    <row r="24" spans="1:52" ht="14.25" customHeight="1"/>
    <row r="25" spans="1:52" ht="14.25" customHeight="1"/>
    <row r="26" spans="1:52" ht="14.25" customHeight="1"/>
    <row r="27" spans="1:52" ht="14.25" customHeight="1"/>
    <row r="28" spans="1:52" ht="14.25" customHeight="1"/>
    <row r="29" spans="1:52" ht="14.25" customHeight="1"/>
    <row r="30" spans="1:52" ht="14.25" customHeight="1"/>
    <row r="31" spans="1:52" ht="14.25" customHeight="1"/>
    <row r="32" spans="1:5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ignoredErrors>
    <ignoredError sqref="L2:L6 L9:L17 C8:K8"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546A"/>
  </sheetPr>
  <dimension ref="A1:AZ1000"/>
  <sheetViews>
    <sheetView topLeftCell="B1" workbookViewId="0">
      <selection activeCell="C2" sqref="C2"/>
    </sheetView>
  </sheetViews>
  <sheetFormatPr baseColWidth="10" defaultColWidth="14.42578125" defaultRowHeight="15" customHeight="1"/>
  <cols>
    <col min="1" max="1" width="33.28515625" customWidth="1"/>
    <col min="2" max="2" width="9" bestFit="1" customWidth="1"/>
    <col min="3" max="32" width="7.28515625" customWidth="1"/>
  </cols>
  <sheetData>
    <row r="1" spans="1:52" s="25" customFormat="1" ht="14.25" customHeight="1">
      <c r="A1" s="3" t="s">
        <v>65</v>
      </c>
      <c r="B1" s="40">
        <v>2020</v>
      </c>
      <c r="C1" s="40">
        <v>2021</v>
      </c>
      <c r="D1" s="40">
        <v>2022</v>
      </c>
      <c r="E1" s="40">
        <v>2023</v>
      </c>
      <c r="F1" s="40">
        <v>2024</v>
      </c>
      <c r="G1" s="40">
        <v>2025</v>
      </c>
      <c r="H1" s="40">
        <v>2026</v>
      </c>
      <c r="I1" s="40">
        <v>2027</v>
      </c>
      <c r="J1" s="40">
        <v>2028</v>
      </c>
      <c r="K1" s="40">
        <v>2029</v>
      </c>
      <c r="L1" s="40">
        <v>2030</v>
      </c>
      <c r="M1" s="40">
        <v>2031</v>
      </c>
      <c r="N1" s="40">
        <v>2032</v>
      </c>
      <c r="O1" s="40">
        <v>2033</v>
      </c>
      <c r="P1" s="40">
        <v>2034</v>
      </c>
      <c r="Q1" s="40">
        <v>2035</v>
      </c>
      <c r="R1" s="40">
        <v>2036</v>
      </c>
      <c r="S1" s="40">
        <v>2037</v>
      </c>
      <c r="T1" s="40">
        <v>2038</v>
      </c>
      <c r="U1" s="40">
        <v>2039</v>
      </c>
      <c r="V1" s="40">
        <v>2040</v>
      </c>
      <c r="W1" s="40">
        <v>2041</v>
      </c>
      <c r="X1" s="40">
        <v>2042</v>
      </c>
      <c r="Y1" s="40">
        <v>2043</v>
      </c>
      <c r="Z1" s="40">
        <v>2044</v>
      </c>
      <c r="AA1" s="40">
        <v>2045</v>
      </c>
      <c r="AB1" s="40">
        <v>2046</v>
      </c>
      <c r="AC1" s="40">
        <v>2047</v>
      </c>
      <c r="AD1" s="40">
        <v>2048</v>
      </c>
      <c r="AE1" s="40">
        <v>2049</v>
      </c>
      <c r="AF1" s="40">
        <v>2050</v>
      </c>
    </row>
    <row r="2" spans="1:52" ht="14.25" customHeight="1">
      <c r="A2" s="12" t="s">
        <v>49</v>
      </c>
      <c r="B2" s="31">
        <v>0</v>
      </c>
      <c r="C2" s="31">
        <v>0</v>
      </c>
      <c r="D2" s="31">
        <v>0</v>
      </c>
      <c r="E2" s="31">
        <v>0</v>
      </c>
      <c r="F2" s="31">
        <v>0</v>
      </c>
      <c r="G2" s="31">
        <v>0</v>
      </c>
      <c r="H2" s="31">
        <v>0</v>
      </c>
      <c r="I2" s="31">
        <v>0</v>
      </c>
      <c r="J2" s="31">
        <v>0</v>
      </c>
      <c r="K2" s="31">
        <v>0</v>
      </c>
      <c r="L2" s="31">
        <v>0</v>
      </c>
      <c r="M2" s="31">
        <v>0</v>
      </c>
      <c r="N2" s="31">
        <v>0</v>
      </c>
      <c r="O2" s="31">
        <v>0</v>
      </c>
      <c r="P2" s="31">
        <v>0</v>
      </c>
      <c r="Q2" s="31">
        <v>0</v>
      </c>
      <c r="R2" s="31">
        <v>0</v>
      </c>
      <c r="S2" s="31">
        <v>0</v>
      </c>
      <c r="T2" s="31">
        <v>0</v>
      </c>
      <c r="U2" s="31">
        <v>0</v>
      </c>
      <c r="V2" s="31">
        <v>0</v>
      </c>
      <c r="W2" s="31">
        <v>0</v>
      </c>
      <c r="X2" s="31">
        <v>0</v>
      </c>
      <c r="Y2" s="31">
        <v>0</v>
      </c>
      <c r="Z2" s="31">
        <v>0</v>
      </c>
      <c r="AA2" s="31">
        <v>0</v>
      </c>
      <c r="AB2" s="31">
        <v>0</v>
      </c>
      <c r="AC2" s="31">
        <v>0</v>
      </c>
      <c r="AD2" s="31">
        <v>0</v>
      </c>
      <c r="AE2" s="31">
        <v>0</v>
      </c>
      <c r="AF2" s="31">
        <v>0</v>
      </c>
      <c r="AG2" s="31"/>
      <c r="AH2" s="31"/>
      <c r="AI2" s="31"/>
      <c r="AJ2" s="31"/>
      <c r="AK2" s="31"/>
      <c r="AL2" s="31"/>
      <c r="AM2" s="31"/>
      <c r="AN2" s="31"/>
      <c r="AO2" s="31"/>
      <c r="AP2" s="31"/>
      <c r="AQ2" s="31"/>
      <c r="AR2" s="31"/>
      <c r="AS2" s="31"/>
      <c r="AT2" s="31"/>
      <c r="AU2" s="31"/>
      <c r="AV2" s="31"/>
      <c r="AW2" s="31"/>
      <c r="AX2" s="31"/>
      <c r="AY2" s="31"/>
      <c r="AZ2" s="31"/>
    </row>
    <row r="3" spans="1:52" ht="14.25" customHeight="1">
      <c r="A3" s="12" t="s">
        <v>50</v>
      </c>
      <c r="B3" s="31">
        <v>0</v>
      </c>
      <c r="C3" s="31">
        <v>0</v>
      </c>
      <c r="D3" s="31">
        <v>0</v>
      </c>
      <c r="E3" s="31">
        <v>0</v>
      </c>
      <c r="F3" s="31">
        <v>0</v>
      </c>
      <c r="G3" s="31">
        <v>0</v>
      </c>
      <c r="H3" s="31">
        <v>0</v>
      </c>
      <c r="I3" s="31">
        <v>0</v>
      </c>
      <c r="J3" s="31">
        <v>0</v>
      </c>
      <c r="K3" s="31">
        <v>0</v>
      </c>
      <c r="L3" s="31">
        <v>0</v>
      </c>
      <c r="M3" s="31">
        <v>0</v>
      </c>
      <c r="N3" s="31">
        <v>0</v>
      </c>
      <c r="O3" s="31">
        <v>0</v>
      </c>
      <c r="P3" s="31">
        <v>0</v>
      </c>
      <c r="Q3" s="31">
        <v>0</v>
      </c>
      <c r="R3" s="31">
        <v>0</v>
      </c>
      <c r="S3" s="31">
        <v>0</v>
      </c>
      <c r="T3" s="31">
        <v>0</v>
      </c>
      <c r="U3" s="31">
        <v>0</v>
      </c>
      <c r="V3" s="31">
        <v>0</v>
      </c>
      <c r="W3" s="31">
        <v>0</v>
      </c>
      <c r="X3" s="31">
        <v>0</v>
      </c>
      <c r="Y3" s="31">
        <v>0</v>
      </c>
      <c r="Z3" s="31">
        <v>0</v>
      </c>
      <c r="AA3" s="31">
        <v>0</v>
      </c>
      <c r="AB3" s="31">
        <v>0</v>
      </c>
      <c r="AC3" s="31">
        <v>0</v>
      </c>
      <c r="AD3" s="31">
        <v>0</v>
      </c>
      <c r="AE3" s="31">
        <v>0</v>
      </c>
      <c r="AF3" s="31">
        <v>0</v>
      </c>
      <c r="AG3" s="31"/>
      <c r="AH3" s="31"/>
      <c r="AI3" s="31"/>
      <c r="AJ3" s="31"/>
      <c r="AK3" s="31"/>
      <c r="AL3" s="31"/>
      <c r="AM3" s="31"/>
      <c r="AN3" s="31"/>
      <c r="AO3" s="31"/>
      <c r="AP3" s="31"/>
      <c r="AQ3" s="31"/>
      <c r="AR3" s="31"/>
      <c r="AS3" s="31"/>
      <c r="AT3" s="31"/>
      <c r="AU3" s="31"/>
      <c r="AV3" s="31"/>
      <c r="AW3" s="31"/>
      <c r="AX3" s="31"/>
      <c r="AY3" s="31"/>
      <c r="AZ3" s="31"/>
    </row>
    <row r="4" spans="1:52" ht="14.25" customHeight="1">
      <c r="A4" s="12" t="s">
        <v>37</v>
      </c>
      <c r="B4" s="31">
        <v>0</v>
      </c>
      <c r="C4" s="31">
        <v>0</v>
      </c>
      <c r="D4" s="31">
        <v>0</v>
      </c>
      <c r="E4" s="31">
        <v>0</v>
      </c>
      <c r="F4" s="31">
        <v>0</v>
      </c>
      <c r="G4" s="31">
        <v>0</v>
      </c>
      <c r="H4" s="31">
        <v>0</v>
      </c>
      <c r="I4" s="31">
        <v>0</v>
      </c>
      <c r="J4" s="31">
        <v>0</v>
      </c>
      <c r="K4" s="31">
        <v>0</v>
      </c>
      <c r="L4" s="31">
        <v>0</v>
      </c>
      <c r="M4" s="31">
        <v>0</v>
      </c>
      <c r="N4" s="31">
        <v>0</v>
      </c>
      <c r="O4" s="31">
        <v>0</v>
      </c>
      <c r="P4" s="31">
        <v>0</v>
      </c>
      <c r="Q4" s="31">
        <v>0</v>
      </c>
      <c r="R4" s="31">
        <v>0</v>
      </c>
      <c r="S4" s="31">
        <v>0</v>
      </c>
      <c r="T4" s="31">
        <v>0</v>
      </c>
      <c r="U4" s="31">
        <v>0</v>
      </c>
      <c r="V4" s="31">
        <v>0</v>
      </c>
      <c r="W4" s="31">
        <v>0</v>
      </c>
      <c r="X4" s="31">
        <v>0</v>
      </c>
      <c r="Y4" s="31">
        <v>0</v>
      </c>
      <c r="Z4" s="31">
        <v>0</v>
      </c>
      <c r="AA4" s="31">
        <v>0</v>
      </c>
      <c r="AB4" s="31">
        <v>0</v>
      </c>
      <c r="AC4" s="31">
        <v>0</v>
      </c>
      <c r="AD4" s="31">
        <v>0</v>
      </c>
      <c r="AE4" s="31">
        <v>0</v>
      </c>
      <c r="AF4" s="31">
        <v>0</v>
      </c>
      <c r="AG4" s="31"/>
      <c r="AH4" s="31"/>
      <c r="AI4" s="31"/>
      <c r="AJ4" s="31"/>
      <c r="AK4" s="31"/>
      <c r="AL4" s="31"/>
      <c r="AM4" s="31"/>
      <c r="AN4" s="31"/>
      <c r="AO4" s="31"/>
      <c r="AP4" s="31"/>
      <c r="AQ4" s="31"/>
      <c r="AR4" s="31"/>
      <c r="AS4" s="31"/>
      <c r="AT4" s="31"/>
      <c r="AU4" s="31"/>
      <c r="AV4" s="31"/>
      <c r="AW4" s="31"/>
      <c r="AX4" s="31"/>
      <c r="AY4" s="31"/>
      <c r="AZ4" s="31"/>
    </row>
    <row r="5" spans="1:52" ht="14.25" customHeight="1">
      <c r="A5" s="12" t="s">
        <v>51</v>
      </c>
      <c r="B5" s="31">
        <v>0</v>
      </c>
      <c r="C5" s="31">
        <v>0</v>
      </c>
      <c r="D5" s="31">
        <v>0</v>
      </c>
      <c r="E5" s="31">
        <v>0</v>
      </c>
      <c r="F5" s="31">
        <v>0</v>
      </c>
      <c r="G5" s="31">
        <v>0</v>
      </c>
      <c r="H5" s="31">
        <v>0</v>
      </c>
      <c r="I5" s="31">
        <v>0</v>
      </c>
      <c r="J5" s="31">
        <v>0</v>
      </c>
      <c r="K5" s="31">
        <v>0</v>
      </c>
      <c r="L5" s="31">
        <v>0</v>
      </c>
      <c r="M5" s="31">
        <v>0</v>
      </c>
      <c r="N5" s="31">
        <v>0</v>
      </c>
      <c r="O5" s="31">
        <v>0</v>
      </c>
      <c r="P5" s="31">
        <v>0</v>
      </c>
      <c r="Q5" s="31">
        <v>0</v>
      </c>
      <c r="R5" s="31">
        <v>0</v>
      </c>
      <c r="S5" s="31">
        <v>0</v>
      </c>
      <c r="T5" s="31">
        <v>0</v>
      </c>
      <c r="U5" s="31">
        <v>0</v>
      </c>
      <c r="V5" s="31">
        <v>0</v>
      </c>
      <c r="W5" s="31">
        <v>0</v>
      </c>
      <c r="X5" s="31">
        <v>0</v>
      </c>
      <c r="Y5" s="31">
        <v>0</v>
      </c>
      <c r="Z5" s="31">
        <v>0</v>
      </c>
      <c r="AA5" s="31">
        <v>0</v>
      </c>
      <c r="AB5" s="31">
        <v>0</v>
      </c>
      <c r="AC5" s="31">
        <v>0</v>
      </c>
      <c r="AD5" s="31">
        <v>0</v>
      </c>
      <c r="AE5" s="31">
        <v>0</v>
      </c>
      <c r="AF5" s="31">
        <v>0</v>
      </c>
      <c r="AG5" s="31"/>
      <c r="AH5" s="31"/>
      <c r="AI5" s="31"/>
      <c r="AJ5" s="31"/>
      <c r="AK5" s="31"/>
      <c r="AL5" s="31"/>
      <c r="AM5" s="31"/>
      <c r="AN5" s="31"/>
      <c r="AO5" s="31"/>
      <c r="AP5" s="31"/>
      <c r="AQ5" s="31"/>
      <c r="AR5" s="31"/>
      <c r="AS5" s="31"/>
      <c r="AT5" s="31"/>
      <c r="AU5" s="31"/>
      <c r="AV5" s="31"/>
      <c r="AW5" s="31"/>
      <c r="AX5" s="31"/>
      <c r="AY5" s="31"/>
      <c r="AZ5" s="31"/>
    </row>
    <row r="6" spans="1:52" ht="14.25" customHeight="1">
      <c r="A6" s="12" t="s">
        <v>52</v>
      </c>
      <c r="B6" s="31">
        <v>0</v>
      </c>
      <c r="C6" s="31">
        <v>0</v>
      </c>
      <c r="D6" s="31">
        <v>0</v>
      </c>
      <c r="E6" s="31">
        <v>0</v>
      </c>
      <c r="F6" s="31">
        <v>0</v>
      </c>
      <c r="G6" s="31">
        <v>0</v>
      </c>
      <c r="H6" s="31">
        <v>0</v>
      </c>
      <c r="I6" s="31">
        <v>0</v>
      </c>
      <c r="J6" s="31">
        <v>0</v>
      </c>
      <c r="K6" s="31">
        <v>0</v>
      </c>
      <c r="L6" s="31">
        <v>0</v>
      </c>
      <c r="M6" s="31">
        <v>0</v>
      </c>
      <c r="N6" s="31">
        <v>0</v>
      </c>
      <c r="O6" s="31">
        <v>0</v>
      </c>
      <c r="P6" s="31">
        <v>0</v>
      </c>
      <c r="Q6" s="31">
        <v>0</v>
      </c>
      <c r="R6" s="31">
        <v>0</v>
      </c>
      <c r="S6" s="31">
        <v>0</v>
      </c>
      <c r="T6" s="31">
        <v>0</v>
      </c>
      <c r="U6" s="31">
        <v>0</v>
      </c>
      <c r="V6" s="31">
        <v>0</v>
      </c>
      <c r="W6" s="31">
        <v>0</v>
      </c>
      <c r="X6" s="31">
        <v>0</v>
      </c>
      <c r="Y6" s="31">
        <v>0</v>
      </c>
      <c r="Z6" s="31">
        <v>0</v>
      </c>
      <c r="AA6" s="31">
        <v>0</v>
      </c>
      <c r="AB6" s="31">
        <v>0</v>
      </c>
      <c r="AC6" s="31">
        <v>0</v>
      </c>
      <c r="AD6" s="31">
        <v>0</v>
      </c>
      <c r="AE6" s="31">
        <v>0</v>
      </c>
      <c r="AF6" s="31">
        <v>0</v>
      </c>
      <c r="AG6" s="31"/>
      <c r="AH6" s="31"/>
      <c r="AI6" s="31"/>
      <c r="AJ6" s="31"/>
      <c r="AK6" s="31"/>
      <c r="AL6" s="31"/>
      <c r="AM6" s="31"/>
      <c r="AN6" s="31"/>
      <c r="AO6" s="31"/>
      <c r="AP6" s="31"/>
      <c r="AQ6" s="31"/>
      <c r="AR6" s="31"/>
      <c r="AS6" s="31"/>
      <c r="AT6" s="31"/>
      <c r="AU6" s="31"/>
      <c r="AV6" s="31"/>
      <c r="AW6" s="31"/>
      <c r="AX6" s="31"/>
      <c r="AY6" s="31"/>
      <c r="AZ6" s="31"/>
    </row>
    <row r="7" spans="1:52" ht="14.25" customHeight="1">
      <c r="A7" s="12" t="s">
        <v>53</v>
      </c>
      <c r="B7" s="31">
        <v>0</v>
      </c>
      <c r="C7" s="31">
        <v>0</v>
      </c>
      <c r="D7" s="31">
        <v>0</v>
      </c>
      <c r="E7" s="31">
        <v>0</v>
      </c>
      <c r="F7" s="31">
        <v>0</v>
      </c>
      <c r="G7" s="31">
        <v>0</v>
      </c>
      <c r="H7" s="31">
        <v>0</v>
      </c>
      <c r="I7" s="31">
        <v>0</v>
      </c>
      <c r="J7" s="31">
        <v>0</v>
      </c>
      <c r="K7" s="31">
        <v>0</v>
      </c>
      <c r="L7" s="31">
        <v>0</v>
      </c>
      <c r="M7" s="31">
        <v>0</v>
      </c>
      <c r="N7" s="31">
        <v>0</v>
      </c>
      <c r="O7" s="31">
        <v>0</v>
      </c>
      <c r="P7" s="31">
        <v>0</v>
      </c>
      <c r="Q7" s="31">
        <v>0</v>
      </c>
      <c r="R7" s="31">
        <v>0</v>
      </c>
      <c r="S7" s="31">
        <v>0</v>
      </c>
      <c r="T7" s="31">
        <v>0</v>
      </c>
      <c r="U7" s="31">
        <v>0</v>
      </c>
      <c r="V7" s="31">
        <v>0</v>
      </c>
      <c r="W7" s="31">
        <v>0</v>
      </c>
      <c r="X7" s="31">
        <v>0</v>
      </c>
      <c r="Y7" s="31">
        <v>0</v>
      </c>
      <c r="Z7" s="31">
        <v>0</v>
      </c>
      <c r="AA7" s="31">
        <v>0</v>
      </c>
      <c r="AB7" s="31">
        <v>0</v>
      </c>
      <c r="AC7" s="31">
        <v>0</v>
      </c>
      <c r="AD7" s="31">
        <v>0</v>
      </c>
      <c r="AE7" s="31">
        <v>0</v>
      </c>
      <c r="AF7" s="31">
        <v>0</v>
      </c>
      <c r="AG7" s="31"/>
      <c r="AH7" s="31"/>
      <c r="AI7" s="31"/>
      <c r="AJ7" s="31"/>
      <c r="AK7" s="31"/>
      <c r="AL7" s="31"/>
      <c r="AM7" s="31"/>
      <c r="AN7" s="31"/>
      <c r="AO7" s="31"/>
      <c r="AP7" s="31"/>
      <c r="AQ7" s="31"/>
      <c r="AR7" s="31"/>
      <c r="AS7" s="31"/>
      <c r="AT7" s="31"/>
      <c r="AU7" s="31"/>
      <c r="AV7" s="31"/>
      <c r="AW7" s="31"/>
      <c r="AX7" s="31"/>
      <c r="AY7" s="31"/>
      <c r="AZ7" s="31"/>
    </row>
    <row r="8" spans="1:52" ht="14.25" customHeight="1">
      <c r="A8" s="12" t="s">
        <v>64</v>
      </c>
      <c r="B8" s="31">
        <v>0</v>
      </c>
      <c r="C8" s="31">
        <v>0</v>
      </c>
      <c r="D8" s="31">
        <v>0</v>
      </c>
      <c r="E8" s="31">
        <v>0</v>
      </c>
      <c r="F8" s="31">
        <v>0</v>
      </c>
      <c r="G8" s="31">
        <v>0</v>
      </c>
      <c r="H8" s="31">
        <v>0</v>
      </c>
      <c r="I8" s="31">
        <v>0</v>
      </c>
      <c r="J8" s="31">
        <v>0</v>
      </c>
      <c r="K8" s="31">
        <v>0</v>
      </c>
      <c r="L8" s="31">
        <v>0</v>
      </c>
      <c r="M8" s="31">
        <v>0</v>
      </c>
      <c r="N8" s="31">
        <v>0</v>
      </c>
      <c r="O8" s="31">
        <v>0</v>
      </c>
      <c r="P8" s="31">
        <v>0</v>
      </c>
      <c r="Q8" s="31">
        <v>0</v>
      </c>
      <c r="R8" s="31">
        <v>0</v>
      </c>
      <c r="S8" s="31">
        <v>0</v>
      </c>
      <c r="T8" s="31">
        <v>0</v>
      </c>
      <c r="U8" s="31">
        <v>0</v>
      </c>
      <c r="V8" s="31">
        <v>0</v>
      </c>
      <c r="W8" s="31">
        <v>0</v>
      </c>
      <c r="X8" s="31">
        <v>0</v>
      </c>
      <c r="Y8" s="31">
        <v>0</v>
      </c>
      <c r="Z8" s="31">
        <v>0</v>
      </c>
      <c r="AA8" s="31">
        <v>0</v>
      </c>
      <c r="AB8" s="31">
        <v>0</v>
      </c>
      <c r="AC8" s="31">
        <v>0</v>
      </c>
      <c r="AD8" s="31">
        <v>0</v>
      </c>
      <c r="AE8" s="31">
        <v>0</v>
      </c>
      <c r="AF8" s="31">
        <v>0</v>
      </c>
      <c r="AG8" s="31"/>
      <c r="AH8" s="31"/>
      <c r="AI8" s="31"/>
      <c r="AJ8" s="31"/>
      <c r="AK8" s="31"/>
      <c r="AL8" s="31"/>
      <c r="AM8" s="31"/>
      <c r="AN8" s="31"/>
      <c r="AO8" s="31"/>
      <c r="AP8" s="31"/>
      <c r="AQ8" s="31"/>
      <c r="AR8" s="31"/>
      <c r="AS8" s="31"/>
      <c r="AT8" s="31"/>
      <c r="AU8" s="31"/>
      <c r="AV8" s="31"/>
      <c r="AW8" s="31"/>
      <c r="AX8" s="31"/>
      <c r="AY8" s="31"/>
      <c r="AZ8" s="31"/>
    </row>
    <row r="9" spans="1:52" ht="14.25" customHeight="1">
      <c r="A9" s="12" t="s">
        <v>54</v>
      </c>
      <c r="B9" s="31">
        <v>0</v>
      </c>
      <c r="C9" s="31">
        <v>0</v>
      </c>
      <c r="D9" s="31">
        <v>0</v>
      </c>
      <c r="E9" s="31">
        <v>0</v>
      </c>
      <c r="F9" s="31">
        <v>0</v>
      </c>
      <c r="G9" s="31">
        <v>0</v>
      </c>
      <c r="H9" s="31">
        <v>0</v>
      </c>
      <c r="I9" s="31">
        <v>0</v>
      </c>
      <c r="J9" s="31">
        <v>0</v>
      </c>
      <c r="K9" s="31">
        <v>0</v>
      </c>
      <c r="L9" s="31">
        <v>0</v>
      </c>
      <c r="M9" s="31">
        <v>0</v>
      </c>
      <c r="N9" s="31">
        <v>0</v>
      </c>
      <c r="O9" s="31">
        <v>0</v>
      </c>
      <c r="P9" s="31">
        <v>0</v>
      </c>
      <c r="Q9" s="31">
        <v>0</v>
      </c>
      <c r="R9" s="31">
        <v>0</v>
      </c>
      <c r="S9" s="31">
        <v>0</v>
      </c>
      <c r="T9" s="31">
        <v>0</v>
      </c>
      <c r="U9" s="31">
        <v>0</v>
      </c>
      <c r="V9" s="31">
        <v>0</v>
      </c>
      <c r="W9" s="31">
        <v>0</v>
      </c>
      <c r="X9" s="31">
        <v>0</v>
      </c>
      <c r="Y9" s="31">
        <v>0</v>
      </c>
      <c r="Z9" s="31">
        <v>0</v>
      </c>
      <c r="AA9" s="31">
        <v>0</v>
      </c>
      <c r="AB9" s="31">
        <v>0</v>
      </c>
      <c r="AC9" s="31">
        <v>0</v>
      </c>
      <c r="AD9" s="31">
        <v>0</v>
      </c>
      <c r="AE9" s="31">
        <v>0</v>
      </c>
      <c r="AF9" s="31">
        <v>0</v>
      </c>
      <c r="AG9" s="31"/>
      <c r="AH9" s="31"/>
      <c r="AI9" s="31"/>
      <c r="AJ9" s="31"/>
      <c r="AK9" s="31"/>
      <c r="AL9" s="31"/>
      <c r="AM9" s="31"/>
      <c r="AN9" s="31"/>
      <c r="AO9" s="31"/>
      <c r="AP9" s="31"/>
      <c r="AQ9" s="31"/>
      <c r="AR9" s="31"/>
      <c r="AS9" s="31"/>
      <c r="AT9" s="31"/>
      <c r="AU9" s="31"/>
      <c r="AV9" s="31"/>
      <c r="AW9" s="31"/>
      <c r="AX9" s="31"/>
      <c r="AY9" s="31"/>
      <c r="AZ9" s="31"/>
    </row>
    <row r="10" spans="1:52" ht="14.25" customHeight="1">
      <c r="A10" s="12" t="s">
        <v>55</v>
      </c>
      <c r="B10" s="31">
        <v>0</v>
      </c>
      <c r="C10" s="31">
        <v>0</v>
      </c>
      <c r="D10" s="31">
        <v>0</v>
      </c>
      <c r="E10" s="31">
        <v>0</v>
      </c>
      <c r="F10" s="31">
        <v>0</v>
      </c>
      <c r="G10" s="31">
        <v>0</v>
      </c>
      <c r="H10" s="31">
        <v>0</v>
      </c>
      <c r="I10" s="31">
        <v>0</v>
      </c>
      <c r="J10" s="31">
        <v>0</v>
      </c>
      <c r="K10" s="31">
        <v>0</v>
      </c>
      <c r="L10" s="31">
        <v>0</v>
      </c>
      <c r="M10" s="31">
        <v>0</v>
      </c>
      <c r="N10" s="31">
        <v>0</v>
      </c>
      <c r="O10" s="31">
        <v>0</v>
      </c>
      <c r="P10" s="31">
        <v>0</v>
      </c>
      <c r="Q10" s="31">
        <v>0</v>
      </c>
      <c r="R10" s="31">
        <v>0</v>
      </c>
      <c r="S10" s="31">
        <v>0</v>
      </c>
      <c r="T10" s="31">
        <v>0</v>
      </c>
      <c r="U10" s="31">
        <v>0</v>
      </c>
      <c r="V10" s="31">
        <v>0</v>
      </c>
      <c r="W10" s="31">
        <v>0</v>
      </c>
      <c r="X10" s="31">
        <v>0</v>
      </c>
      <c r="Y10" s="31">
        <v>0</v>
      </c>
      <c r="Z10" s="31">
        <v>0</v>
      </c>
      <c r="AA10" s="31">
        <v>0</v>
      </c>
      <c r="AB10" s="31">
        <v>0</v>
      </c>
      <c r="AC10" s="31">
        <v>0</v>
      </c>
      <c r="AD10" s="31">
        <v>0</v>
      </c>
      <c r="AE10" s="31">
        <v>0</v>
      </c>
      <c r="AF10" s="31">
        <v>0</v>
      </c>
      <c r="AG10" s="31"/>
      <c r="AH10" s="31"/>
      <c r="AI10" s="31"/>
      <c r="AJ10" s="31"/>
      <c r="AK10" s="31"/>
      <c r="AL10" s="31"/>
      <c r="AM10" s="31"/>
      <c r="AN10" s="31"/>
      <c r="AO10" s="31"/>
      <c r="AP10" s="31"/>
      <c r="AQ10" s="31"/>
      <c r="AR10" s="31"/>
      <c r="AS10" s="31"/>
      <c r="AT10" s="31"/>
      <c r="AU10" s="31"/>
      <c r="AV10" s="31"/>
      <c r="AW10" s="31"/>
      <c r="AX10" s="31"/>
      <c r="AY10" s="31"/>
      <c r="AZ10" s="31"/>
    </row>
    <row r="11" spans="1:52" ht="14.25" customHeight="1">
      <c r="A11" s="12" t="s">
        <v>56</v>
      </c>
      <c r="B11" s="31">
        <v>0</v>
      </c>
      <c r="C11" s="31">
        <v>0</v>
      </c>
      <c r="D11" s="31">
        <v>0</v>
      </c>
      <c r="E11" s="31">
        <v>0</v>
      </c>
      <c r="F11" s="31">
        <v>0</v>
      </c>
      <c r="G11" s="31">
        <v>0</v>
      </c>
      <c r="H11" s="31">
        <v>0</v>
      </c>
      <c r="I11" s="31">
        <v>0</v>
      </c>
      <c r="J11" s="31">
        <v>0</v>
      </c>
      <c r="K11" s="31">
        <v>0</v>
      </c>
      <c r="L11" s="31">
        <v>0</v>
      </c>
      <c r="M11" s="31">
        <v>0</v>
      </c>
      <c r="N11" s="31">
        <v>0</v>
      </c>
      <c r="O11" s="31">
        <v>0</v>
      </c>
      <c r="P11" s="31">
        <v>0</v>
      </c>
      <c r="Q11" s="31">
        <v>0</v>
      </c>
      <c r="R11" s="31">
        <v>0</v>
      </c>
      <c r="S11" s="31">
        <v>0</v>
      </c>
      <c r="T11" s="31">
        <v>0</v>
      </c>
      <c r="U11" s="31">
        <v>0</v>
      </c>
      <c r="V11" s="31">
        <v>0</v>
      </c>
      <c r="W11" s="31">
        <v>0</v>
      </c>
      <c r="X11" s="31">
        <v>0</v>
      </c>
      <c r="Y11" s="31">
        <v>0</v>
      </c>
      <c r="Z11" s="31">
        <v>0</v>
      </c>
      <c r="AA11" s="31">
        <v>0</v>
      </c>
      <c r="AB11" s="31">
        <v>0</v>
      </c>
      <c r="AC11" s="31">
        <v>0</v>
      </c>
      <c r="AD11" s="31">
        <v>0</v>
      </c>
      <c r="AE11" s="31">
        <v>0</v>
      </c>
      <c r="AF11" s="31">
        <v>0</v>
      </c>
      <c r="AG11" s="31"/>
      <c r="AH11" s="31"/>
      <c r="AI11" s="31"/>
      <c r="AJ11" s="31"/>
      <c r="AK11" s="31"/>
      <c r="AL11" s="31"/>
      <c r="AM11" s="31"/>
      <c r="AN11" s="31"/>
      <c r="AO11" s="31"/>
      <c r="AP11" s="31"/>
      <c r="AQ11" s="31"/>
      <c r="AR11" s="31"/>
      <c r="AS11" s="31"/>
      <c r="AT11" s="31"/>
      <c r="AU11" s="31"/>
      <c r="AV11" s="31"/>
      <c r="AW11" s="31"/>
      <c r="AX11" s="31"/>
      <c r="AY11" s="31"/>
      <c r="AZ11" s="31"/>
    </row>
    <row r="12" spans="1:52" ht="14.25" customHeight="1">
      <c r="A12" s="12" t="s">
        <v>57</v>
      </c>
      <c r="B12" s="31">
        <v>0</v>
      </c>
      <c r="C12" s="31">
        <v>0</v>
      </c>
      <c r="D12" s="31">
        <v>0</v>
      </c>
      <c r="E12" s="31">
        <v>0</v>
      </c>
      <c r="F12" s="31">
        <v>0</v>
      </c>
      <c r="G12" s="31">
        <v>0</v>
      </c>
      <c r="H12" s="31">
        <v>0</v>
      </c>
      <c r="I12" s="31">
        <v>0</v>
      </c>
      <c r="J12" s="31">
        <v>0</v>
      </c>
      <c r="K12" s="31">
        <v>0</v>
      </c>
      <c r="L12" s="31">
        <v>0</v>
      </c>
      <c r="M12" s="31">
        <v>0</v>
      </c>
      <c r="N12" s="31">
        <v>0</v>
      </c>
      <c r="O12" s="31">
        <v>0</v>
      </c>
      <c r="P12" s="31">
        <v>0</v>
      </c>
      <c r="Q12" s="31">
        <v>0</v>
      </c>
      <c r="R12" s="31">
        <v>0</v>
      </c>
      <c r="S12" s="31">
        <v>0</v>
      </c>
      <c r="T12" s="31">
        <v>0</v>
      </c>
      <c r="U12" s="31">
        <v>0</v>
      </c>
      <c r="V12" s="31">
        <v>0</v>
      </c>
      <c r="W12" s="31">
        <v>0</v>
      </c>
      <c r="X12" s="31">
        <v>0</v>
      </c>
      <c r="Y12" s="31">
        <v>0</v>
      </c>
      <c r="Z12" s="31">
        <v>0</v>
      </c>
      <c r="AA12" s="31">
        <v>0</v>
      </c>
      <c r="AB12" s="31">
        <v>0</v>
      </c>
      <c r="AC12" s="31">
        <v>0</v>
      </c>
      <c r="AD12" s="31">
        <v>0</v>
      </c>
      <c r="AE12" s="31">
        <v>0</v>
      </c>
      <c r="AF12" s="31">
        <v>0</v>
      </c>
      <c r="AG12" s="31"/>
      <c r="AH12" s="31"/>
      <c r="AI12" s="31"/>
      <c r="AJ12" s="31"/>
      <c r="AK12" s="31"/>
      <c r="AL12" s="31"/>
      <c r="AM12" s="31"/>
      <c r="AN12" s="31"/>
      <c r="AO12" s="31"/>
      <c r="AP12" s="31"/>
      <c r="AQ12" s="31"/>
      <c r="AR12" s="31"/>
      <c r="AS12" s="31"/>
      <c r="AT12" s="31"/>
      <c r="AU12" s="31"/>
      <c r="AV12" s="31"/>
      <c r="AW12" s="31"/>
      <c r="AX12" s="31"/>
      <c r="AY12" s="31"/>
      <c r="AZ12" s="31"/>
    </row>
    <row r="13" spans="1:52" ht="14.25" customHeight="1">
      <c r="A13" s="12" t="s">
        <v>58</v>
      </c>
      <c r="B13" s="31">
        <v>0</v>
      </c>
      <c r="C13" s="31">
        <v>0</v>
      </c>
      <c r="D13" s="31">
        <v>0</v>
      </c>
      <c r="E13" s="31">
        <v>0</v>
      </c>
      <c r="F13" s="31">
        <v>0</v>
      </c>
      <c r="G13" s="31">
        <v>0</v>
      </c>
      <c r="H13" s="31">
        <v>0</v>
      </c>
      <c r="I13" s="31">
        <v>0</v>
      </c>
      <c r="J13" s="31">
        <v>0</v>
      </c>
      <c r="K13" s="31">
        <v>0</v>
      </c>
      <c r="L13" s="31">
        <v>0</v>
      </c>
      <c r="M13" s="31">
        <v>0</v>
      </c>
      <c r="N13" s="31">
        <v>0</v>
      </c>
      <c r="O13" s="31">
        <v>0</v>
      </c>
      <c r="P13" s="31">
        <v>0</v>
      </c>
      <c r="Q13" s="31">
        <v>0</v>
      </c>
      <c r="R13" s="31">
        <v>0</v>
      </c>
      <c r="S13" s="31">
        <v>0</v>
      </c>
      <c r="T13" s="31">
        <v>0</v>
      </c>
      <c r="U13" s="31">
        <v>0</v>
      </c>
      <c r="V13" s="31">
        <v>0</v>
      </c>
      <c r="W13" s="31">
        <v>0</v>
      </c>
      <c r="X13" s="31">
        <v>0</v>
      </c>
      <c r="Y13" s="31">
        <v>0</v>
      </c>
      <c r="Z13" s="31">
        <v>0</v>
      </c>
      <c r="AA13" s="31">
        <v>0</v>
      </c>
      <c r="AB13" s="31">
        <v>0</v>
      </c>
      <c r="AC13" s="31">
        <v>0</v>
      </c>
      <c r="AD13" s="31">
        <v>0</v>
      </c>
      <c r="AE13" s="31">
        <v>0</v>
      </c>
      <c r="AF13" s="31">
        <v>0</v>
      </c>
      <c r="AG13" s="31"/>
      <c r="AH13" s="31"/>
      <c r="AI13" s="31"/>
      <c r="AJ13" s="31"/>
      <c r="AK13" s="31"/>
      <c r="AL13" s="31"/>
      <c r="AM13" s="31"/>
      <c r="AN13" s="31"/>
      <c r="AO13" s="31"/>
      <c r="AP13" s="31"/>
      <c r="AQ13" s="31"/>
      <c r="AR13" s="31"/>
      <c r="AS13" s="31"/>
      <c r="AT13" s="31"/>
      <c r="AU13" s="31"/>
      <c r="AV13" s="31"/>
      <c r="AW13" s="31"/>
      <c r="AX13" s="31"/>
      <c r="AY13" s="31"/>
      <c r="AZ13" s="31"/>
    </row>
    <row r="14" spans="1:52" ht="14.25" customHeight="1">
      <c r="A14" s="12" t="s">
        <v>59</v>
      </c>
      <c r="B14" s="31">
        <v>0</v>
      </c>
      <c r="C14" s="31">
        <v>0</v>
      </c>
      <c r="D14" s="31">
        <v>0</v>
      </c>
      <c r="E14" s="31">
        <v>0</v>
      </c>
      <c r="F14" s="31">
        <v>0</v>
      </c>
      <c r="G14" s="31">
        <v>0</v>
      </c>
      <c r="H14" s="31">
        <v>0</v>
      </c>
      <c r="I14" s="31">
        <v>0</v>
      </c>
      <c r="J14" s="31">
        <v>0</v>
      </c>
      <c r="K14" s="31">
        <v>0</v>
      </c>
      <c r="L14" s="31">
        <v>0</v>
      </c>
      <c r="M14" s="31">
        <v>0</v>
      </c>
      <c r="N14" s="31">
        <v>0</v>
      </c>
      <c r="O14" s="31">
        <v>0</v>
      </c>
      <c r="P14" s="31">
        <v>0</v>
      </c>
      <c r="Q14" s="31">
        <v>0</v>
      </c>
      <c r="R14" s="31">
        <v>0</v>
      </c>
      <c r="S14" s="31">
        <v>0</v>
      </c>
      <c r="T14" s="31">
        <v>0</v>
      </c>
      <c r="U14" s="31">
        <v>0</v>
      </c>
      <c r="V14" s="31">
        <v>0</v>
      </c>
      <c r="W14" s="31">
        <v>0</v>
      </c>
      <c r="X14" s="31">
        <v>0</v>
      </c>
      <c r="Y14" s="31">
        <v>0</v>
      </c>
      <c r="Z14" s="31">
        <v>0</v>
      </c>
      <c r="AA14" s="31">
        <v>0</v>
      </c>
      <c r="AB14" s="31">
        <v>0</v>
      </c>
      <c r="AC14" s="31">
        <v>0</v>
      </c>
      <c r="AD14" s="31">
        <v>0</v>
      </c>
      <c r="AE14" s="31">
        <v>0</v>
      </c>
      <c r="AF14" s="31">
        <v>0</v>
      </c>
      <c r="AG14" s="31"/>
      <c r="AH14" s="31"/>
      <c r="AI14" s="31"/>
      <c r="AJ14" s="31"/>
      <c r="AK14" s="31"/>
      <c r="AL14" s="31"/>
      <c r="AM14" s="31"/>
      <c r="AN14" s="31"/>
      <c r="AO14" s="31"/>
      <c r="AP14" s="31"/>
      <c r="AQ14" s="31"/>
      <c r="AR14" s="31"/>
      <c r="AS14" s="31"/>
      <c r="AT14" s="31"/>
      <c r="AU14" s="31"/>
      <c r="AV14" s="31"/>
      <c r="AW14" s="31"/>
      <c r="AX14" s="31"/>
      <c r="AY14" s="31"/>
      <c r="AZ14" s="31"/>
    </row>
    <row r="15" spans="1:52" ht="14.25" customHeight="1">
      <c r="A15" s="12" t="s">
        <v>60</v>
      </c>
      <c r="B15" s="31">
        <v>0</v>
      </c>
      <c r="C15" s="31">
        <v>0</v>
      </c>
      <c r="D15" s="31">
        <v>0</v>
      </c>
      <c r="E15" s="31">
        <v>0</v>
      </c>
      <c r="F15" s="31">
        <v>0</v>
      </c>
      <c r="G15" s="31">
        <v>0</v>
      </c>
      <c r="H15" s="31">
        <v>0</v>
      </c>
      <c r="I15" s="31">
        <v>0</v>
      </c>
      <c r="J15" s="31">
        <v>0</v>
      </c>
      <c r="K15" s="31">
        <v>0</v>
      </c>
      <c r="L15" s="31">
        <v>0</v>
      </c>
      <c r="M15" s="31">
        <v>0</v>
      </c>
      <c r="N15" s="31">
        <v>0</v>
      </c>
      <c r="O15" s="31">
        <v>0</v>
      </c>
      <c r="P15" s="31">
        <v>0</v>
      </c>
      <c r="Q15" s="31">
        <v>0</v>
      </c>
      <c r="R15" s="31">
        <v>0</v>
      </c>
      <c r="S15" s="31">
        <v>0</v>
      </c>
      <c r="T15" s="31">
        <v>0</v>
      </c>
      <c r="U15" s="31">
        <v>0</v>
      </c>
      <c r="V15" s="31">
        <v>0</v>
      </c>
      <c r="W15" s="31">
        <v>0</v>
      </c>
      <c r="X15" s="31">
        <v>0</v>
      </c>
      <c r="Y15" s="31">
        <v>0</v>
      </c>
      <c r="Z15" s="31">
        <v>0</v>
      </c>
      <c r="AA15" s="31">
        <v>0</v>
      </c>
      <c r="AB15" s="31">
        <v>0</v>
      </c>
      <c r="AC15" s="31">
        <v>0</v>
      </c>
      <c r="AD15" s="31">
        <v>0</v>
      </c>
      <c r="AE15" s="31">
        <v>0</v>
      </c>
      <c r="AF15" s="31">
        <v>0</v>
      </c>
      <c r="AG15" s="31"/>
      <c r="AH15" s="31"/>
      <c r="AI15" s="31"/>
      <c r="AJ15" s="31"/>
      <c r="AK15" s="31"/>
      <c r="AL15" s="31"/>
      <c r="AM15" s="31"/>
      <c r="AN15" s="31"/>
      <c r="AO15" s="31"/>
      <c r="AP15" s="31"/>
      <c r="AQ15" s="31"/>
      <c r="AR15" s="31"/>
      <c r="AS15" s="31"/>
      <c r="AT15" s="31"/>
      <c r="AU15" s="31"/>
      <c r="AV15" s="31"/>
      <c r="AW15" s="31"/>
      <c r="AX15" s="31"/>
      <c r="AY15" s="31"/>
      <c r="AZ15" s="31"/>
    </row>
    <row r="16" spans="1:52" ht="14.25" customHeight="1">
      <c r="A16" s="12" t="s">
        <v>61</v>
      </c>
      <c r="B16" s="31">
        <v>0</v>
      </c>
      <c r="C16" s="31">
        <v>0</v>
      </c>
      <c r="D16" s="31">
        <v>0</v>
      </c>
      <c r="E16" s="31">
        <v>0</v>
      </c>
      <c r="F16" s="31">
        <v>0</v>
      </c>
      <c r="G16" s="31">
        <v>0</v>
      </c>
      <c r="H16" s="31">
        <v>0</v>
      </c>
      <c r="I16" s="31">
        <v>0</v>
      </c>
      <c r="J16" s="31">
        <v>0</v>
      </c>
      <c r="K16" s="31">
        <v>0</v>
      </c>
      <c r="L16" s="31">
        <v>0</v>
      </c>
      <c r="M16" s="31">
        <v>0</v>
      </c>
      <c r="N16" s="31">
        <v>0</v>
      </c>
      <c r="O16" s="31">
        <v>0</v>
      </c>
      <c r="P16" s="31">
        <v>0</v>
      </c>
      <c r="Q16" s="31">
        <v>0</v>
      </c>
      <c r="R16" s="31">
        <v>0</v>
      </c>
      <c r="S16" s="31">
        <v>0</v>
      </c>
      <c r="T16" s="31">
        <v>0</v>
      </c>
      <c r="U16" s="31">
        <v>0</v>
      </c>
      <c r="V16" s="31">
        <v>0</v>
      </c>
      <c r="W16" s="31">
        <v>0</v>
      </c>
      <c r="X16" s="31">
        <v>0</v>
      </c>
      <c r="Y16" s="31">
        <v>0</v>
      </c>
      <c r="Z16" s="31">
        <v>0</v>
      </c>
      <c r="AA16" s="31">
        <v>0</v>
      </c>
      <c r="AB16" s="31">
        <v>0</v>
      </c>
      <c r="AC16" s="31">
        <v>0</v>
      </c>
      <c r="AD16" s="31">
        <v>0</v>
      </c>
      <c r="AE16" s="31">
        <v>0</v>
      </c>
      <c r="AF16" s="31">
        <v>0</v>
      </c>
      <c r="AG16" s="31"/>
      <c r="AH16" s="31"/>
      <c r="AI16" s="31"/>
      <c r="AJ16" s="31"/>
      <c r="AK16" s="31"/>
      <c r="AL16" s="31"/>
      <c r="AM16" s="31"/>
      <c r="AN16" s="31"/>
      <c r="AO16" s="31"/>
      <c r="AP16" s="31"/>
      <c r="AQ16" s="31"/>
      <c r="AR16" s="31"/>
      <c r="AS16" s="31"/>
      <c r="AT16" s="31"/>
      <c r="AU16" s="31"/>
      <c r="AV16" s="31"/>
      <c r="AW16" s="31"/>
      <c r="AX16" s="31"/>
      <c r="AY16" s="31"/>
      <c r="AZ16" s="31"/>
    </row>
    <row r="17" spans="1:52" ht="14.25" customHeight="1">
      <c r="A17" s="12" t="s">
        <v>62</v>
      </c>
      <c r="B17" s="31">
        <v>0</v>
      </c>
      <c r="C17" s="31">
        <v>0</v>
      </c>
      <c r="D17" s="31">
        <v>0</v>
      </c>
      <c r="E17" s="31">
        <v>0</v>
      </c>
      <c r="F17" s="31">
        <v>0</v>
      </c>
      <c r="G17" s="31">
        <v>0</v>
      </c>
      <c r="H17" s="31">
        <v>0</v>
      </c>
      <c r="I17" s="31">
        <v>0</v>
      </c>
      <c r="J17" s="31">
        <v>0</v>
      </c>
      <c r="K17" s="31">
        <v>0</v>
      </c>
      <c r="L17" s="31">
        <v>0</v>
      </c>
      <c r="M17" s="31">
        <v>0</v>
      </c>
      <c r="N17" s="31">
        <v>0</v>
      </c>
      <c r="O17" s="31">
        <v>0</v>
      </c>
      <c r="P17" s="31">
        <v>0</v>
      </c>
      <c r="Q17" s="31">
        <v>0</v>
      </c>
      <c r="R17" s="31">
        <v>0</v>
      </c>
      <c r="S17" s="31">
        <v>0</v>
      </c>
      <c r="T17" s="31">
        <v>0</v>
      </c>
      <c r="U17" s="31">
        <v>0</v>
      </c>
      <c r="V17" s="31">
        <v>0</v>
      </c>
      <c r="W17" s="31">
        <v>0</v>
      </c>
      <c r="X17" s="31">
        <v>0</v>
      </c>
      <c r="Y17" s="31">
        <v>0</v>
      </c>
      <c r="Z17" s="31">
        <v>0</v>
      </c>
      <c r="AA17" s="31">
        <v>0</v>
      </c>
      <c r="AB17" s="31">
        <v>0</v>
      </c>
      <c r="AC17" s="31">
        <v>0</v>
      </c>
      <c r="AD17" s="31">
        <v>0</v>
      </c>
      <c r="AE17" s="31">
        <v>0</v>
      </c>
      <c r="AF17" s="31">
        <v>0</v>
      </c>
      <c r="AG17" s="31"/>
      <c r="AH17" s="31"/>
      <c r="AI17" s="31"/>
      <c r="AJ17" s="31"/>
      <c r="AK17" s="31"/>
      <c r="AL17" s="31"/>
      <c r="AM17" s="31"/>
      <c r="AN17" s="31"/>
      <c r="AO17" s="31"/>
      <c r="AP17" s="31"/>
      <c r="AQ17" s="31"/>
      <c r="AR17" s="31"/>
      <c r="AS17" s="31"/>
      <c r="AT17" s="31"/>
      <c r="AU17" s="31"/>
      <c r="AV17" s="31"/>
      <c r="AW17" s="31"/>
      <c r="AX17" s="31"/>
      <c r="AY17" s="31"/>
      <c r="AZ17" s="31"/>
    </row>
    <row r="18" spans="1:52" ht="14.25" customHeight="1">
      <c r="B18" s="31"/>
      <c r="C18" s="31"/>
      <c r="D18" s="31"/>
      <c r="E18" s="31"/>
      <c r="F18" s="31"/>
      <c r="G18" s="31"/>
      <c r="H18" s="31"/>
      <c r="I18" s="31"/>
      <c r="J18" s="31"/>
      <c r="K18" s="31"/>
      <c r="L18" s="31"/>
      <c r="M18" s="31"/>
      <c r="N18" s="31"/>
      <c r="O18" s="31"/>
      <c r="P18" s="31"/>
      <c r="Q18" s="31"/>
      <c r="R18" s="31"/>
      <c r="S18" s="31"/>
      <c r="T18" s="31"/>
      <c r="U18" s="31"/>
      <c r="V18" s="31"/>
      <c r="W18" s="31"/>
      <c r="X18" s="31"/>
      <c r="Y18" s="31"/>
      <c r="Z18" s="31"/>
      <c r="AA18" s="31"/>
      <c r="AB18" s="31"/>
      <c r="AC18" s="31"/>
      <c r="AD18" s="31"/>
      <c r="AE18" s="31"/>
      <c r="AF18" s="31"/>
    </row>
    <row r="19" spans="1:52" ht="14.25" customHeight="1">
      <c r="A19" s="1"/>
    </row>
    <row r="20" spans="1:52" ht="14.25" customHeight="1">
      <c r="F20" s="1"/>
      <c r="G20" s="1"/>
      <c r="H20" s="1"/>
      <c r="I20" s="1"/>
    </row>
    <row r="21" spans="1:52" ht="14.25" customHeight="1"/>
    <row r="22" spans="1:52" ht="14.25" customHeight="1"/>
    <row r="23" spans="1:52" ht="14.25" customHeight="1"/>
    <row r="24" spans="1:52" ht="14.25" customHeight="1"/>
    <row r="25" spans="1:52" ht="14.25" customHeight="1"/>
    <row r="26" spans="1:52" ht="14.25" customHeight="1"/>
    <row r="27" spans="1:52" ht="14.25" customHeight="1"/>
    <row r="28" spans="1:52" ht="14.25" customHeight="1"/>
    <row r="29" spans="1:52" ht="14.25" customHeight="1"/>
    <row r="30" spans="1:52" ht="14.25" customHeight="1"/>
    <row r="31" spans="1:52" ht="14.25" customHeight="1"/>
    <row r="32" spans="1:5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546A"/>
  </sheetPr>
  <dimension ref="A1:AZ1000"/>
  <sheetViews>
    <sheetView workbookViewId="0">
      <selection activeCell="R25" sqref="R25"/>
    </sheetView>
  </sheetViews>
  <sheetFormatPr baseColWidth="10" defaultColWidth="14.42578125" defaultRowHeight="15" customHeight="1"/>
  <cols>
    <col min="1" max="1" width="33.28515625" customWidth="1"/>
    <col min="2" max="2" width="9.140625" customWidth="1"/>
    <col min="3" max="3" width="9.28515625" customWidth="1"/>
    <col min="4" max="4" width="8.7109375" customWidth="1"/>
    <col min="5" max="5" width="9.42578125" customWidth="1"/>
    <col min="6" max="6" width="9" customWidth="1"/>
    <col min="7" max="7" width="9.140625" customWidth="1"/>
    <col min="8" max="8" width="9.28515625" customWidth="1"/>
    <col min="9" max="9" width="9" customWidth="1"/>
    <col min="10" max="10" width="9.85546875" customWidth="1"/>
    <col min="11" max="11" width="9.140625" customWidth="1"/>
    <col min="12" max="12" width="9.42578125" customWidth="1"/>
    <col min="13" max="13" width="9.140625" customWidth="1"/>
    <col min="14" max="14" width="10.28515625" customWidth="1"/>
    <col min="15" max="15" width="10.42578125" customWidth="1"/>
    <col min="16" max="17" width="10.140625" customWidth="1"/>
    <col min="18" max="18" width="9.85546875" customWidth="1"/>
    <col min="19" max="19" width="11" customWidth="1"/>
    <col min="20" max="20" width="9.42578125" customWidth="1"/>
    <col min="21" max="21" width="10.28515625" customWidth="1"/>
    <col min="22" max="22" width="10.140625" customWidth="1"/>
    <col min="23" max="23" width="11.28515625" customWidth="1"/>
    <col min="24" max="24" width="11.42578125" customWidth="1"/>
    <col min="25" max="25" width="10.42578125" customWidth="1"/>
    <col min="26" max="27" width="10" customWidth="1"/>
    <col min="28" max="28" width="9.42578125" customWidth="1"/>
    <col min="29" max="29" width="10.28515625" customWidth="1"/>
    <col min="30" max="30" width="10.85546875" customWidth="1"/>
    <col min="31" max="31" width="9.7109375" customWidth="1"/>
    <col min="32" max="32" width="9.140625" customWidth="1"/>
  </cols>
  <sheetData>
    <row r="1" spans="1:52" s="25" customFormat="1" ht="14.25" customHeight="1">
      <c r="A1" s="3" t="s">
        <v>65</v>
      </c>
      <c r="B1" s="40">
        <v>2020</v>
      </c>
      <c r="C1" s="40">
        <v>2021</v>
      </c>
      <c r="D1" s="40">
        <v>2022</v>
      </c>
      <c r="E1" s="40">
        <v>2023</v>
      </c>
      <c r="F1" s="40">
        <v>2024</v>
      </c>
      <c r="G1" s="40">
        <v>2025</v>
      </c>
      <c r="H1" s="40">
        <v>2026</v>
      </c>
      <c r="I1" s="40">
        <v>2027</v>
      </c>
      <c r="J1" s="40">
        <v>2028</v>
      </c>
      <c r="K1" s="40">
        <v>2029</v>
      </c>
      <c r="L1" s="40">
        <v>2030</v>
      </c>
      <c r="M1" s="40">
        <v>2031</v>
      </c>
      <c r="N1" s="40">
        <v>2032</v>
      </c>
      <c r="O1" s="40">
        <v>2033</v>
      </c>
      <c r="P1" s="40">
        <v>2034</v>
      </c>
      <c r="Q1" s="40">
        <v>2035</v>
      </c>
      <c r="R1" s="40">
        <v>2036</v>
      </c>
      <c r="S1" s="40">
        <v>2037</v>
      </c>
      <c r="T1" s="40">
        <v>2038</v>
      </c>
      <c r="U1" s="40">
        <v>2039</v>
      </c>
      <c r="V1" s="40">
        <v>2040</v>
      </c>
      <c r="W1" s="40">
        <v>2041</v>
      </c>
      <c r="X1" s="40">
        <v>2042</v>
      </c>
      <c r="Y1" s="40">
        <v>2043</v>
      </c>
      <c r="Z1" s="40">
        <v>2044</v>
      </c>
      <c r="AA1" s="40">
        <v>2045</v>
      </c>
      <c r="AB1" s="40">
        <v>2046</v>
      </c>
      <c r="AC1" s="40">
        <v>2047</v>
      </c>
      <c r="AD1" s="40">
        <v>2048</v>
      </c>
      <c r="AE1" s="40">
        <v>2049</v>
      </c>
      <c r="AF1" s="40">
        <v>2050</v>
      </c>
    </row>
    <row r="2" spans="1:52" ht="14.25" customHeight="1">
      <c r="A2" s="12" t="s">
        <v>49</v>
      </c>
      <c r="B2" s="30">
        <f>'CCaMC-AFOaMCpUC-pre-ret'!B2</f>
        <v>25228</v>
      </c>
      <c r="C2" s="30">
        <f>'CCaMC-AFOaMCpUC-pre-ret'!C2</f>
        <v>25228</v>
      </c>
      <c r="D2" s="30">
        <f>'CCaMC-AFOaMCpUC-pre-ret'!D2</f>
        <v>25228</v>
      </c>
      <c r="E2" s="30">
        <f>'CCaMC-AFOaMCpUC-pre-ret'!E2</f>
        <v>25228</v>
      </c>
      <c r="F2" s="30">
        <f>'CCaMC-AFOaMCpUC-pre-ret'!F2</f>
        <v>25228</v>
      </c>
      <c r="G2" s="30">
        <f>'CCaMC-AFOaMCpUC-pre-ret'!G2</f>
        <v>25228</v>
      </c>
      <c r="H2" s="30">
        <f>'CCaMC-AFOaMCpUC-pre-ret'!H2</f>
        <v>25228</v>
      </c>
      <c r="I2" s="30">
        <f>'CCaMC-AFOaMCpUC-pre-ret'!I2</f>
        <v>25228</v>
      </c>
      <c r="J2" s="30">
        <f>'CCaMC-AFOaMCpUC-pre-ret'!J2</f>
        <v>25228</v>
      </c>
      <c r="K2" s="30">
        <f>'CCaMC-AFOaMCpUC-pre-ret'!K2</f>
        <v>25228</v>
      </c>
      <c r="L2" s="30">
        <f>'CCaMC-AFOaMCpUC-pre-ret'!L2</f>
        <v>25228</v>
      </c>
      <c r="M2" s="30">
        <f>'CCaMC-AFOaMCpUC-pre-ret'!M2</f>
        <v>25228</v>
      </c>
      <c r="N2" s="30">
        <f>'CCaMC-AFOaMCpUC-pre-ret'!N2</f>
        <v>25228</v>
      </c>
      <c r="O2" s="30">
        <f>'CCaMC-AFOaMCpUC-pre-ret'!O2</f>
        <v>25228</v>
      </c>
      <c r="P2" s="30">
        <f>'CCaMC-AFOaMCpUC-pre-ret'!P2</f>
        <v>25228</v>
      </c>
      <c r="Q2" s="30">
        <f>'CCaMC-AFOaMCpUC-pre-ret'!Q2</f>
        <v>25228</v>
      </c>
      <c r="R2" s="30">
        <f>'CCaMC-AFOaMCpUC-pre-ret'!R2</f>
        <v>25228</v>
      </c>
      <c r="S2" s="30">
        <f>'CCaMC-AFOaMCpUC-pre-ret'!S2</f>
        <v>25228</v>
      </c>
      <c r="T2" s="30">
        <f>'CCaMC-AFOaMCpUC-pre-ret'!T2</f>
        <v>25228</v>
      </c>
      <c r="U2" s="30">
        <f>'CCaMC-AFOaMCpUC-pre-ret'!U2</f>
        <v>25228</v>
      </c>
      <c r="V2" s="30">
        <f>'CCaMC-AFOaMCpUC-pre-ret'!V2</f>
        <v>25228</v>
      </c>
      <c r="W2" s="30">
        <f>'CCaMC-AFOaMCpUC-pre-ret'!W2</f>
        <v>25228</v>
      </c>
      <c r="X2" s="30">
        <f>'CCaMC-AFOaMCpUC-pre-ret'!X2</f>
        <v>25228</v>
      </c>
      <c r="Y2" s="30">
        <f>'CCaMC-AFOaMCpUC-pre-ret'!Y2</f>
        <v>25228</v>
      </c>
      <c r="Z2" s="30">
        <f>'CCaMC-AFOaMCpUC-pre-ret'!Z2</f>
        <v>25228</v>
      </c>
      <c r="AA2" s="30">
        <f>'CCaMC-AFOaMCpUC-pre-ret'!AA2</f>
        <v>25228</v>
      </c>
      <c r="AB2" s="30">
        <f>'CCaMC-AFOaMCpUC-pre-ret'!AB2</f>
        <v>25228</v>
      </c>
      <c r="AC2" s="30">
        <f>'CCaMC-AFOaMCpUC-pre-ret'!AC2</f>
        <v>25228</v>
      </c>
      <c r="AD2" s="30">
        <f>'CCaMC-AFOaMCpUC-pre-ret'!AD2</f>
        <v>25228</v>
      </c>
      <c r="AE2" s="30">
        <f>'CCaMC-AFOaMCpUC-pre-ret'!AE2</f>
        <v>25228</v>
      </c>
      <c r="AF2" s="30">
        <f>'CCaMC-AFOaMCpUC-pre-ret'!AF2</f>
        <v>25228</v>
      </c>
      <c r="AG2" s="30"/>
      <c r="AH2" s="30"/>
      <c r="AI2" s="30"/>
      <c r="AJ2" s="30"/>
      <c r="AK2" s="30"/>
      <c r="AL2" s="30"/>
      <c r="AM2" s="30"/>
      <c r="AN2" s="30"/>
      <c r="AO2" s="30"/>
      <c r="AP2" s="30"/>
      <c r="AQ2" s="30"/>
      <c r="AR2" s="30"/>
      <c r="AS2" s="30"/>
      <c r="AT2" s="30"/>
      <c r="AU2" s="30"/>
      <c r="AV2" s="30"/>
      <c r="AW2" s="30"/>
      <c r="AX2" s="30"/>
      <c r="AY2" s="30"/>
      <c r="AZ2" s="30"/>
    </row>
    <row r="3" spans="1:52" ht="14.25" customHeight="1">
      <c r="A3" s="12" t="s">
        <v>50</v>
      </c>
      <c r="B3" s="30">
        <f>'CCaMC-AFOaMCpUC-pre-ret'!B3</f>
        <v>12614</v>
      </c>
      <c r="C3" s="30">
        <f>'CCaMC-AFOaMCpUC-pre-ret'!C3</f>
        <v>12614</v>
      </c>
      <c r="D3" s="30">
        <f>'CCaMC-AFOaMCpUC-pre-ret'!D3</f>
        <v>12614</v>
      </c>
      <c r="E3" s="30">
        <f>'CCaMC-AFOaMCpUC-pre-ret'!E3</f>
        <v>12614</v>
      </c>
      <c r="F3" s="30">
        <f>'CCaMC-AFOaMCpUC-pre-ret'!F3</f>
        <v>12614</v>
      </c>
      <c r="G3" s="30">
        <f>'CCaMC-AFOaMCpUC-pre-ret'!G3</f>
        <v>12614</v>
      </c>
      <c r="H3" s="30">
        <f>'CCaMC-AFOaMCpUC-pre-ret'!H3</f>
        <v>12614</v>
      </c>
      <c r="I3" s="30">
        <f>'CCaMC-AFOaMCpUC-pre-ret'!I3</f>
        <v>12614</v>
      </c>
      <c r="J3" s="30">
        <f>'CCaMC-AFOaMCpUC-pre-ret'!J3</f>
        <v>12614</v>
      </c>
      <c r="K3" s="30">
        <f>'CCaMC-AFOaMCpUC-pre-ret'!K3</f>
        <v>12614</v>
      </c>
      <c r="L3" s="30">
        <f>'CCaMC-AFOaMCpUC-pre-ret'!L3</f>
        <v>12614</v>
      </c>
      <c r="M3" s="30">
        <f>'CCaMC-AFOaMCpUC-pre-ret'!M3</f>
        <v>12614</v>
      </c>
      <c r="N3" s="30">
        <f>'CCaMC-AFOaMCpUC-pre-ret'!N3</f>
        <v>12614</v>
      </c>
      <c r="O3" s="30">
        <f>'CCaMC-AFOaMCpUC-pre-ret'!O3</f>
        <v>12614</v>
      </c>
      <c r="P3" s="30">
        <f>'CCaMC-AFOaMCpUC-pre-ret'!P3</f>
        <v>12614</v>
      </c>
      <c r="Q3" s="30">
        <f>'CCaMC-AFOaMCpUC-pre-ret'!Q3</f>
        <v>12614</v>
      </c>
      <c r="R3" s="30">
        <f>'CCaMC-AFOaMCpUC-pre-ret'!R3</f>
        <v>12614</v>
      </c>
      <c r="S3" s="30">
        <f>'CCaMC-AFOaMCpUC-pre-ret'!S3</f>
        <v>12614</v>
      </c>
      <c r="T3" s="30">
        <f>'CCaMC-AFOaMCpUC-pre-ret'!T3</f>
        <v>12614</v>
      </c>
      <c r="U3" s="30">
        <f>'CCaMC-AFOaMCpUC-pre-ret'!U3</f>
        <v>12614</v>
      </c>
      <c r="V3" s="30">
        <f>'CCaMC-AFOaMCpUC-pre-ret'!V3</f>
        <v>12614</v>
      </c>
      <c r="W3" s="30">
        <f>'CCaMC-AFOaMCpUC-pre-ret'!W3</f>
        <v>12614</v>
      </c>
      <c r="X3" s="30">
        <f>'CCaMC-AFOaMCpUC-pre-ret'!X3</f>
        <v>12614</v>
      </c>
      <c r="Y3" s="30">
        <f>'CCaMC-AFOaMCpUC-pre-ret'!Y3</f>
        <v>12614</v>
      </c>
      <c r="Z3" s="30">
        <f>'CCaMC-AFOaMCpUC-pre-ret'!Z3</f>
        <v>12614</v>
      </c>
      <c r="AA3" s="30">
        <f>'CCaMC-AFOaMCpUC-pre-ret'!AA3</f>
        <v>12614</v>
      </c>
      <c r="AB3" s="30">
        <f>'CCaMC-AFOaMCpUC-pre-ret'!AB3</f>
        <v>12614</v>
      </c>
      <c r="AC3" s="30">
        <f>'CCaMC-AFOaMCpUC-pre-ret'!AC3</f>
        <v>12614</v>
      </c>
      <c r="AD3" s="30">
        <f>'CCaMC-AFOaMCpUC-pre-ret'!AD3</f>
        <v>12614</v>
      </c>
      <c r="AE3" s="30">
        <f>'CCaMC-AFOaMCpUC-pre-ret'!AE3</f>
        <v>12614</v>
      </c>
      <c r="AF3" s="30">
        <f>'CCaMC-AFOaMCpUC-pre-ret'!AF3</f>
        <v>12614</v>
      </c>
      <c r="AG3" s="30"/>
      <c r="AH3" s="30"/>
      <c r="AI3" s="30"/>
      <c r="AJ3" s="30"/>
      <c r="AK3" s="30"/>
      <c r="AL3" s="30"/>
      <c r="AM3" s="30"/>
      <c r="AN3" s="30"/>
      <c r="AO3" s="30"/>
      <c r="AP3" s="30"/>
      <c r="AQ3" s="30"/>
      <c r="AR3" s="30"/>
      <c r="AS3" s="30"/>
      <c r="AT3" s="30"/>
      <c r="AU3" s="30"/>
      <c r="AV3" s="30"/>
      <c r="AW3" s="30"/>
      <c r="AX3" s="30"/>
      <c r="AY3" s="30"/>
      <c r="AZ3" s="30"/>
    </row>
    <row r="4" spans="1:52" ht="14.25" customHeight="1">
      <c r="A4" s="12" t="s">
        <v>37</v>
      </c>
      <c r="B4" s="30">
        <f>'CCaMC-AFOaMCpUC-pre-ret'!B4</f>
        <v>77261</v>
      </c>
      <c r="C4" s="30">
        <f>'CCaMC-AFOaMCpUC-pre-ret'!C4</f>
        <v>77261</v>
      </c>
      <c r="D4" s="30">
        <f>'CCaMC-AFOaMCpUC-pre-ret'!D4</f>
        <v>77261</v>
      </c>
      <c r="E4" s="30">
        <f>'CCaMC-AFOaMCpUC-pre-ret'!E4</f>
        <v>77261</v>
      </c>
      <c r="F4" s="30">
        <f>'CCaMC-AFOaMCpUC-pre-ret'!F4</f>
        <v>77261</v>
      </c>
      <c r="G4" s="30">
        <f>'CCaMC-AFOaMCpUC-pre-ret'!G4</f>
        <v>77261</v>
      </c>
      <c r="H4" s="30">
        <f>'CCaMC-AFOaMCpUC-pre-ret'!H4</f>
        <v>77261</v>
      </c>
      <c r="I4" s="30">
        <f>'CCaMC-AFOaMCpUC-pre-ret'!I4</f>
        <v>77261</v>
      </c>
      <c r="J4" s="30">
        <f>'CCaMC-AFOaMCpUC-pre-ret'!J4</f>
        <v>77261</v>
      </c>
      <c r="K4" s="30">
        <f>'CCaMC-AFOaMCpUC-pre-ret'!K4</f>
        <v>77261</v>
      </c>
      <c r="L4" s="30">
        <f>'CCaMC-AFOaMCpUC-pre-ret'!L4</f>
        <v>77261</v>
      </c>
      <c r="M4" s="30">
        <f>'CCaMC-AFOaMCpUC-pre-ret'!M4</f>
        <v>77261</v>
      </c>
      <c r="N4" s="30">
        <f>'CCaMC-AFOaMCpUC-pre-ret'!N4</f>
        <v>77261</v>
      </c>
      <c r="O4" s="30">
        <f>'CCaMC-AFOaMCpUC-pre-ret'!O4</f>
        <v>77261</v>
      </c>
      <c r="P4" s="30">
        <f>'CCaMC-AFOaMCpUC-pre-ret'!P4</f>
        <v>77261</v>
      </c>
      <c r="Q4" s="30">
        <f>'CCaMC-AFOaMCpUC-pre-ret'!Q4</f>
        <v>77261</v>
      </c>
      <c r="R4" s="30">
        <f>'CCaMC-AFOaMCpUC-pre-ret'!R4</f>
        <v>77261</v>
      </c>
      <c r="S4" s="30">
        <f>'CCaMC-AFOaMCpUC-pre-ret'!S4</f>
        <v>77261</v>
      </c>
      <c r="T4" s="30">
        <f>'CCaMC-AFOaMCpUC-pre-ret'!T4</f>
        <v>77261</v>
      </c>
      <c r="U4" s="30">
        <f>'CCaMC-AFOaMCpUC-pre-ret'!U4</f>
        <v>77261</v>
      </c>
      <c r="V4" s="30">
        <f>'CCaMC-AFOaMCpUC-pre-ret'!V4</f>
        <v>77261</v>
      </c>
      <c r="W4" s="30">
        <f>'CCaMC-AFOaMCpUC-pre-ret'!W4</f>
        <v>77261</v>
      </c>
      <c r="X4" s="30">
        <f>'CCaMC-AFOaMCpUC-pre-ret'!X4</f>
        <v>77261</v>
      </c>
      <c r="Y4" s="30">
        <f>'CCaMC-AFOaMCpUC-pre-ret'!Y4</f>
        <v>77261</v>
      </c>
      <c r="Z4" s="30">
        <f>'CCaMC-AFOaMCpUC-pre-ret'!Z4</f>
        <v>77261</v>
      </c>
      <c r="AA4" s="30">
        <f>'CCaMC-AFOaMCpUC-pre-ret'!AA4</f>
        <v>77261</v>
      </c>
      <c r="AB4" s="30">
        <f>'CCaMC-AFOaMCpUC-pre-ret'!AB4</f>
        <v>77261</v>
      </c>
      <c r="AC4" s="30">
        <f>'CCaMC-AFOaMCpUC-pre-ret'!AC4</f>
        <v>77261</v>
      </c>
      <c r="AD4" s="30">
        <f>'CCaMC-AFOaMCpUC-pre-ret'!AD4</f>
        <v>77261</v>
      </c>
      <c r="AE4" s="30">
        <f>'CCaMC-AFOaMCpUC-pre-ret'!AE4</f>
        <v>77261</v>
      </c>
      <c r="AF4" s="30">
        <f>'CCaMC-AFOaMCpUC-pre-ret'!AF4</f>
        <v>77261</v>
      </c>
      <c r="AG4" s="30"/>
      <c r="AH4" s="30"/>
      <c r="AI4" s="30"/>
      <c r="AJ4" s="30"/>
      <c r="AK4" s="30"/>
      <c r="AL4" s="30"/>
      <c r="AM4" s="30"/>
      <c r="AN4" s="30"/>
      <c r="AO4" s="30"/>
      <c r="AP4" s="30"/>
      <c r="AQ4" s="30"/>
      <c r="AR4" s="30"/>
      <c r="AS4" s="30"/>
      <c r="AT4" s="30"/>
      <c r="AU4" s="30"/>
      <c r="AV4" s="30"/>
      <c r="AW4" s="30"/>
      <c r="AX4" s="30"/>
      <c r="AY4" s="30"/>
      <c r="AZ4" s="30"/>
    </row>
    <row r="5" spans="1:52" ht="14.25" customHeight="1">
      <c r="A5" s="12" t="s">
        <v>51</v>
      </c>
      <c r="B5" s="30">
        <f>'CCaMC-AFOaMCpUC-pre-ret'!B5</f>
        <v>14191</v>
      </c>
      <c r="C5" s="30">
        <f>'CCaMC-AFOaMCpUC-pre-ret'!C5</f>
        <v>14191</v>
      </c>
      <c r="D5" s="30">
        <f>'CCaMC-AFOaMCpUC-pre-ret'!D5</f>
        <v>14191</v>
      </c>
      <c r="E5" s="30">
        <f>'CCaMC-AFOaMCpUC-pre-ret'!E5</f>
        <v>14191</v>
      </c>
      <c r="F5" s="30">
        <f>'CCaMC-AFOaMCpUC-pre-ret'!F5</f>
        <v>14191</v>
      </c>
      <c r="G5" s="30">
        <f>'CCaMC-AFOaMCpUC-pre-ret'!G5</f>
        <v>14191</v>
      </c>
      <c r="H5" s="30">
        <f>'CCaMC-AFOaMCpUC-pre-ret'!H5</f>
        <v>14191</v>
      </c>
      <c r="I5" s="30">
        <f>'CCaMC-AFOaMCpUC-pre-ret'!I5</f>
        <v>14191</v>
      </c>
      <c r="J5" s="30">
        <f>'CCaMC-AFOaMCpUC-pre-ret'!J5</f>
        <v>14191</v>
      </c>
      <c r="K5" s="30">
        <f>'CCaMC-AFOaMCpUC-pre-ret'!K5</f>
        <v>14191</v>
      </c>
      <c r="L5" s="30">
        <f>'CCaMC-AFOaMCpUC-pre-ret'!L5</f>
        <v>14191</v>
      </c>
      <c r="M5" s="30">
        <f>'CCaMC-AFOaMCpUC-pre-ret'!M5</f>
        <v>14191</v>
      </c>
      <c r="N5" s="30">
        <f>'CCaMC-AFOaMCpUC-pre-ret'!N5</f>
        <v>14191</v>
      </c>
      <c r="O5" s="30">
        <f>'CCaMC-AFOaMCpUC-pre-ret'!O5</f>
        <v>14191</v>
      </c>
      <c r="P5" s="30">
        <f>'CCaMC-AFOaMCpUC-pre-ret'!P5</f>
        <v>14191</v>
      </c>
      <c r="Q5" s="30">
        <f>'CCaMC-AFOaMCpUC-pre-ret'!Q5</f>
        <v>14191</v>
      </c>
      <c r="R5" s="30">
        <f>'CCaMC-AFOaMCpUC-pre-ret'!R5</f>
        <v>14191</v>
      </c>
      <c r="S5" s="30">
        <f>'CCaMC-AFOaMCpUC-pre-ret'!S5</f>
        <v>14191</v>
      </c>
      <c r="T5" s="30">
        <f>'CCaMC-AFOaMCpUC-pre-ret'!T5</f>
        <v>14191</v>
      </c>
      <c r="U5" s="30">
        <f>'CCaMC-AFOaMCpUC-pre-ret'!U5</f>
        <v>14191</v>
      </c>
      <c r="V5" s="30">
        <f>'CCaMC-AFOaMCpUC-pre-ret'!V5</f>
        <v>14191</v>
      </c>
      <c r="W5" s="30">
        <f>'CCaMC-AFOaMCpUC-pre-ret'!W5</f>
        <v>14191</v>
      </c>
      <c r="X5" s="30">
        <f>'CCaMC-AFOaMCpUC-pre-ret'!X5</f>
        <v>14191</v>
      </c>
      <c r="Y5" s="30">
        <f>'CCaMC-AFOaMCpUC-pre-ret'!Y5</f>
        <v>14191</v>
      </c>
      <c r="Z5" s="30">
        <f>'CCaMC-AFOaMCpUC-pre-ret'!Z5</f>
        <v>14191</v>
      </c>
      <c r="AA5" s="30">
        <f>'CCaMC-AFOaMCpUC-pre-ret'!AA5</f>
        <v>14191</v>
      </c>
      <c r="AB5" s="30">
        <f>'CCaMC-AFOaMCpUC-pre-ret'!AB5</f>
        <v>14191</v>
      </c>
      <c r="AC5" s="30">
        <f>'CCaMC-AFOaMCpUC-pre-ret'!AC5</f>
        <v>14191</v>
      </c>
      <c r="AD5" s="30">
        <f>'CCaMC-AFOaMCpUC-pre-ret'!AD5</f>
        <v>14191</v>
      </c>
      <c r="AE5" s="30">
        <f>'CCaMC-AFOaMCpUC-pre-ret'!AE5</f>
        <v>14191</v>
      </c>
      <c r="AF5" s="30">
        <f>'CCaMC-AFOaMCpUC-pre-ret'!AF5</f>
        <v>14191</v>
      </c>
      <c r="AG5" s="30"/>
      <c r="AH5" s="30"/>
      <c r="AI5" s="30"/>
      <c r="AJ5" s="30"/>
      <c r="AK5" s="30"/>
      <c r="AL5" s="30"/>
      <c r="AM5" s="30"/>
      <c r="AN5" s="30"/>
      <c r="AO5" s="30"/>
      <c r="AP5" s="30"/>
      <c r="AQ5" s="30"/>
      <c r="AR5" s="30"/>
      <c r="AS5" s="30"/>
      <c r="AT5" s="30"/>
      <c r="AU5" s="30"/>
      <c r="AV5" s="30"/>
      <c r="AW5" s="30"/>
      <c r="AX5" s="30"/>
      <c r="AY5" s="30"/>
      <c r="AZ5" s="30"/>
    </row>
    <row r="6" spans="1:52" ht="14.25" customHeight="1">
      <c r="A6" s="12" t="s">
        <v>52</v>
      </c>
      <c r="B6" s="30">
        <f>'CCaMC-AFOaMCpUC-pre-ret'!B6</f>
        <v>14191</v>
      </c>
      <c r="C6" s="30">
        <f>'CCaMC-AFOaMCpUC-pre-ret'!C6</f>
        <v>14191</v>
      </c>
      <c r="D6" s="30">
        <f>'CCaMC-AFOaMCpUC-pre-ret'!D6</f>
        <v>14191</v>
      </c>
      <c r="E6" s="30">
        <f>'CCaMC-AFOaMCpUC-pre-ret'!E6</f>
        <v>14191</v>
      </c>
      <c r="F6" s="30">
        <f>'CCaMC-AFOaMCpUC-pre-ret'!F6</f>
        <v>14191</v>
      </c>
      <c r="G6" s="30">
        <f>'CCaMC-AFOaMCpUC-pre-ret'!G6</f>
        <v>14191</v>
      </c>
      <c r="H6" s="30">
        <f>'CCaMC-AFOaMCpUC-pre-ret'!H6</f>
        <v>14191</v>
      </c>
      <c r="I6" s="30">
        <f>'CCaMC-AFOaMCpUC-pre-ret'!I6</f>
        <v>14191</v>
      </c>
      <c r="J6" s="30">
        <f>'CCaMC-AFOaMCpUC-pre-ret'!J6</f>
        <v>14191</v>
      </c>
      <c r="K6" s="30">
        <f>'CCaMC-AFOaMCpUC-pre-ret'!K6</f>
        <v>14191</v>
      </c>
      <c r="L6" s="30">
        <f>'CCaMC-AFOaMCpUC-pre-ret'!L6</f>
        <v>14191</v>
      </c>
      <c r="M6" s="30">
        <f>'CCaMC-AFOaMCpUC-pre-ret'!M6</f>
        <v>14191</v>
      </c>
      <c r="N6" s="30">
        <f>'CCaMC-AFOaMCpUC-pre-ret'!N6</f>
        <v>14191</v>
      </c>
      <c r="O6" s="30">
        <f>'CCaMC-AFOaMCpUC-pre-ret'!O6</f>
        <v>14191</v>
      </c>
      <c r="P6" s="30">
        <f>'CCaMC-AFOaMCpUC-pre-ret'!P6</f>
        <v>14191</v>
      </c>
      <c r="Q6" s="30">
        <f>'CCaMC-AFOaMCpUC-pre-ret'!Q6</f>
        <v>14191</v>
      </c>
      <c r="R6" s="30">
        <f>'CCaMC-AFOaMCpUC-pre-ret'!R6</f>
        <v>14191</v>
      </c>
      <c r="S6" s="30">
        <f>'CCaMC-AFOaMCpUC-pre-ret'!S6</f>
        <v>14191</v>
      </c>
      <c r="T6" s="30">
        <f>'CCaMC-AFOaMCpUC-pre-ret'!T6</f>
        <v>14191</v>
      </c>
      <c r="U6" s="30">
        <f>'CCaMC-AFOaMCpUC-pre-ret'!U6</f>
        <v>14191</v>
      </c>
      <c r="V6" s="30">
        <f>'CCaMC-AFOaMCpUC-pre-ret'!V6</f>
        <v>14191</v>
      </c>
      <c r="W6" s="30">
        <f>'CCaMC-AFOaMCpUC-pre-ret'!W6</f>
        <v>14191</v>
      </c>
      <c r="X6" s="30">
        <f>'CCaMC-AFOaMCpUC-pre-ret'!X6</f>
        <v>14191</v>
      </c>
      <c r="Y6" s="30">
        <f>'CCaMC-AFOaMCpUC-pre-ret'!Y6</f>
        <v>14191</v>
      </c>
      <c r="Z6" s="30">
        <f>'CCaMC-AFOaMCpUC-pre-ret'!Z6</f>
        <v>14191</v>
      </c>
      <c r="AA6" s="30">
        <f>'CCaMC-AFOaMCpUC-pre-ret'!AA6</f>
        <v>14191</v>
      </c>
      <c r="AB6" s="30">
        <f>'CCaMC-AFOaMCpUC-pre-ret'!AB6</f>
        <v>14191</v>
      </c>
      <c r="AC6" s="30">
        <f>'CCaMC-AFOaMCpUC-pre-ret'!AC6</f>
        <v>14191</v>
      </c>
      <c r="AD6" s="30">
        <f>'CCaMC-AFOaMCpUC-pre-ret'!AD6</f>
        <v>14191</v>
      </c>
      <c r="AE6" s="30">
        <f>'CCaMC-AFOaMCpUC-pre-ret'!AE6</f>
        <v>14191</v>
      </c>
      <c r="AF6" s="30">
        <f>'CCaMC-AFOaMCpUC-pre-ret'!AF6</f>
        <v>14191</v>
      </c>
      <c r="AG6" s="30"/>
      <c r="AH6" s="30"/>
      <c r="AI6" s="30"/>
      <c r="AJ6" s="30"/>
      <c r="AK6" s="30"/>
      <c r="AL6" s="30"/>
      <c r="AM6" s="30"/>
      <c r="AN6" s="30"/>
      <c r="AO6" s="30"/>
      <c r="AP6" s="30"/>
      <c r="AQ6" s="30"/>
      <c r="AR6" s="30"/>
      <c r="AS6" s="30"/>
      <c r="AT6" s="30"/>
      <c r="AU6" s="30"/>
      <c r="AV6" s="30"/>
      <c r="AW6" s="30"/>
      <c r="AX6" s="30"/>
      <c r="AY6" s="30"/>
      <c r="AZ6" s="30"/>
    </row>
    <row r="7" spans="1:52" ht="14.25" customHeight="1">
      <c r="A7" s="12" t="s">
        <v>53</v>
      </c>
      <c r="B7" s="30">
        <f>'CCaMC-AFOaMCpUC-pre-ret'!B7</f>
        <v>7884</v>
      </c>
      <c r="C7" s="30">
        <f>'CCaMC-AFOaMCpUC-pre-ret'!C7</f>
        <v>7884</v>
      </c>
      <c r="D7" s="30">
        <f>'CCaMC-AFOaMCpUC-pre-ret'!D7</f>
        <v>7884</v>
      </c>
      <c r="E7" s="30">
        <f>'CCaMC-AFOaMCpUC-pre-ret'!E7</f>
        <v>7884</v>
      </c>
      <c r="F7" s="30">
        <f>'CCaMC-AFOaMCpUC-pre-ret'!F7</f>
        <v>7884</v>
      </c>
      <c r="G7" s="30">
        <f>'CCaMC-AFOaMCpUC-pre-ret'!G7</f>
        <v>7884</v>
      </c>
      <c r="H7" s="30">
        <f>'CCaMC-AFOaMCpUC-pre-ret'!H7</f>
        <v>7884</v>
      </c>
      <c r="I7" s="30">
        <f>'CCaMC-AFOaMCpUC-pre-ret'!I7</f>
        <v>7884</v>
      </c>
      <c r="J7" s="30">
        <f>'CCaMC-AFOaMCpUC-pre-ret'!J7</f>
        <v>7884</v>
      </c>
      <c r="K7" s="30">
        <f>'CCaMC-AFOaMCpUC-pre-ret'!K7</f>
        <v>7884</v>
      </c>
      <c r="L7" s="30">
        <f>'CCaMC-AFOaMCpUC-pre-ret'!L7</f>
        <v>7884</v>
      </c>
      <c r="M7" s="30">
        <f>'CCaMC-AFOaMCpUC-pre-ret'!M7</f>
        <v>7884</v>
      </c>
      <c r="N7" s="30">
        <f>'CCaMC-AFOaMCpUC-pre-ret'!N7</f>
        <v>7884</v>
      </c>
      <c r="O7" s="30">
        <f>'CCaMC-AFOaMCpUC-pre-ret'!O7</f>
        <v>7884</v>
      </c>
      <c r="P7" s="30">
        <f>'CCaMC-AFOaMCpUC-pre-ret'!P7</f>
        <v>7884</v>
      </c>
      <c r="Q7" s="30">
        <f>'CCaMC-AFOaMCpUC-pre-ret'!Q7</f>
        <v>7884</v>
      </c>
      <c r="R7" s="30">
        <f>'CCaMC-AFOaMCpUC-pre-ret'!R7</f>
        <v>7884</v>
      </c>
      <c r="S7" s="30">
        <f>'CCaMC-AFOaMCpUC-pre-ret'!S7</f>
        <v>7884</v>
      </c>
      <c r="T7" s="30">
        <f>'CCaMC-AFOaMCpUC-pre-ret'!T7</f>
        <v>7884</v>
      </c>
      <c r="U7" s="30">
        <f>'CCaMC-AFOaMCpUC-pre-ret'!U7</f>
        <v>7884</v>
      </c>
      <c r="V7" s="30">
        <f>'CCaMC-AFOaMCpUC-pre-ret'!V7</f>
        <v>7884</v>
      </c>
      <c r="W7" s="30">
        <f>'CCaMC-AFOaMCpUC-pre-ret'!W7</f>
        <v>7884</v>
      </c>
      <c r="X7" s="30">
        <f>'CCaMC-AFOaMCpUC-pre-ret'!X7</f>
        <v>7884</v>
      </c>
      <c r="Y7" s="30">
        <f>'CCaMC-AFOaMCpUC-pre-ret'!Y7</f>
        <v>7884</v>
      </c>
      <c r="Z7" s="30">
        <f>'CCaMC-AFOaMCpUC-pre-ret'!Z7</f>
        <v>7884</v>
      </c>
      <c r="AA7" s="30">
        <f>'CCaMC-AFOaMCpUC-pre-ret'!AA7</f>
        <v>7884</v>
      </c>
      <c r="AB7" s="30">
        <f>'CCaMC-AFOaMCpUC-pre-ret'!AB7</f>
        <v>7884</v>
      </c>
      <c r="AC7" s="30">
        <f>'CCaMC-AFOaMCpUC-pre-ret'!AC7</f>
        <v>7884</v>
      </c>
      <c r="AD7" s="30">
        <f>'CCaMC-AFOaMCpUC-pre-ret'!AD7</f>
        <v>7884</v>
      </c>
      <c r="AE7" s="30">
        <f>'CCaMC-AFOaMCpUC-pre-ret'!AE7</f>
        <v>7884</v>
      </c>
      <c r="AF7" s="30">
        <f>'CCaMC-AFOaMCpUC-pre-ret'!AF7</f>
        <v>7884</v>
      </c>
      <c r="AG7" s="30"/>
      <c r="AH7" s="30"/>
      <c r="AI7" s="30"/>
      <c r="AJ7" s="30"/>
      <c r="AK7" s="30"/>
      <c r="AL7" s="30"/>
      <c r="AM7" s="30"/>
      <c r="AN7" s="30"/>
      <c r="AO7" s="30"/>
      <c r="AP7" s="30"/>
      <c r="AQ7" s="30"/>
      <c r="AR7" s="30"/>
      <c r="AS7" s="30"/>
      <c r="AT7" s="30"/>
      <c r="AU7" s="30"/>
      <c r="AV7" s="30"/>
      <c r="AW7" s="30"/>
      <c r="AX7" s="30"/>
      <c r="AY7" s="30"/>
      <c r="AZ7" s="30"/>
    </row>
    <row r="8" spans="1:52" ht="14.25" customHeight="1">
      <c r="A8" s="12" t="s">
        <v>64</v>
      </c>
      <c r="B8" s="30">
        <f>'CCaMC-AFOaMCpUC-pre-ret'!B8</f>
        <v>96466.346166182542</v>
      </c>
      <c r="C8" s="30">
        <f>'CCaMC-AFOaMCpUC-pre-ret'!C8</f>
        <v>94050.966588459632</v>
      </c>
      <c r="D8" s="30">
        <f>'CCaMC-AFOaMCpUC-pre-ret'!D8</f>
        <v>91595.057240159411</v>
      </c>
      <c r="E8" s="30">
        <f>'CCaMC-AFOaMCpUC-pre-ret'!E8</f>
        <v>89097.589363259627</v>
      </c>
      <c r="F8" s="30">
        <f>'CCaMC-AFOaMCpUC-pre-ret'!F8</f>
        <v>86557.499085663279</v>
      </c>
      <c r="G8" s="30">
        <f>'CCaMC-AFOaMCpUC-pre-ret'!G8</f>
        <v>83973.685910141328</v>
      </c>
      <c r="H8" s="30">
        <f>'CCaMC-AFOaMCpUC-pre-ret'!H8</f>
        <v>81446.085100526412</v>
      </c>
      <c r="I8" s="30">
        <f>'CCaMC-AFOaMCpUC-pre-ret'!I8</f>
        <v>78865.861519812563</v>
      </c>
      <c r="J8" s="30">
        <f>'CCaMC-AFOaMCpUC-pre-ret'!J8</f>
        <v>76231.612272736354</v>
      </c>
      <c r="K8" s="30">
        <f>'CCaMC-AFOaMCpUC-pre-ret'!K8</f>
        <v>73541.884409307153</v>
      </c>
      <c r="L8" s="30">
        <f>'CCaMC-AFOaMCpUC-pre-ret'!L8</f>
        <v>70795.172674103931</v>
      </c>
      <c r="M8" s="30">
        <f>'CCaMC-AFOaMCpUC-pre-ret'!M8</f>
        <v>71069.091627512098</v>
      </c>
      <c r="N8" s="30">
        <f>'CCaMC-AFOaMCpUC-pre-ret'!N8</f>
        <v>71348.027853114007</v>
      </c>
      <c r="O8" s="30">
        <f>'CCaMC-AFOaMCpUC-pre-ret'!O8</f>
        <v>71632.120474325522</v>
      </c>
      <c r="P8" s="30">
        <f>'CCaMC-AFOaMCpUC-pre-ret'!P8</f>
        <v>71921.51380619999</v>
      </c>
      <c r="Q8" s="30">
        <f>'CCaMC-AFOaMCpUC-pre-ret'!Q8</f>
        <v>72216.357599878131</v>
      </c>
      <c r="R8" s="30">
        <f>'CCaMC-AFOaMCpUC-pre-ret'!R8</f>
        <v>72516.807300979926</v>
      </c>
      <c r="S8" s="30">
        <f>'CCaMC-AFOaMCpUC-pre-ret'!S8</f>
        <v>72823.0243228787</v>
      </c>
      <c r="T8" s="30">
        <f>'CCaMC-AFOaMCpUC-pre-ret'!T8</f>
        <v>73135.17633586275</v>
      </c>
      <c r="U8" s="30">
        <f>'CCaMC-AFOaMCpUC-pre-ret'!U8</f>
        <v>73453.437573274699</v>
      </c>
      <c r="V8" s="30">
        <f>'CCaMC-AFOaMCpUC-pre-ret'!V8</f>
        <v>73777.98915580532</v>
      </c>
      <c r="W8" s="30">
        <f>'CCaMC-AFOaMCpUC-pre-ret'!W8</f>
        <v>74109.019435205846</v>
      </c>
      <c r="X8" s="30">
        <f>'CCaMC-AFOaMCpUC-pre-ret'!X8</f>
        <v>74446.72435879118</v>
      </c>
      <c r="Y8" s="30">
        <f>'CCaMC-AFOaMCpUC-pre-ret'!Y8</f>
        <v>74791.307856218933</v>
      </c>
      <c r="Z8" s="30">
        <f>'CCaMC-AFOaMCpUC-pre-ret'!Z8</f>
        <v>75142.982250143221</v>
      </c>
      <c r="AA8" s="30">
        <f>'CCaMC-AFOaMCpUC-pre-ret'!AA8</f>
        <v>75501.968692485272</v>
      </c>
      <c r="AB8" s="30">
        <f>'CCaMC-AFOaMCpUC-pre-ret'!AB8</f>
        <v>75868.497628201047</v>
      </c>
      <c r="AC8" s="30">
        <f>'CCaMC-AFOaMCpUC-pre-ret'!AC8</f>
        <v>76242.809288594304</v>
      </c>
      <c r="AD8" s="30">
        <f>'CCaMC-AFOaMCpUC-pre-ret'!AD8</f>
        <v>76625.154216388299</v>
      </c>
      <c r="AE8" s="30">
        <f>'CCaMC-AFOaMCpUC-pre-ret'!AE8</f>
        <v>77015.793824971028</v>
      </c>
      <c r="AF8" s="30">
        <f>'CCaMC-AFOaMCpUC-pre-ret'!AF8</f>
        <v>77415.00099443915</v>
      </c>
      <c r="AG8" s="30"/>
      <c r="AH8" s="30"/>
      <c r="AI8" s="30"/>
      <c r="AJ8" s="30"/>
      <c r="AK8" s="30"/>
      <c r="AL8" s="30"/>
      <c r="AM8" s="30"/>
      <c r="AN8" s="30"/>
      <c r="AO8" s="30"/>
      <c r="AP8" s="30"/>
      <c r="AQ8" s="30"/>
      <c r="AR8" s="30"/>
      <c r="AS8" s="30"/>
      <c r="AT8" s="30"/>
      <c r="AU8" s="30"/>
      <c r="AV8" s="30"/>
      <c r="AW8" s="30"/>
      <c r="AX8" s="30"/>
      <c r="AY8" s="30"/>
      <c r="AZ8" s="30"/>
    </row>
    <row r="9" spans="1:52" ht="14.25" customHeight="1">
      <c r="A9" s="12" t="s">
        <v>54</v>
      </c>
      <c r="B9" s="30">
        <f>'CCaMC-AFOaMCpUC-pre-ret'!B9</f>
        <v>45696</v>
      </c>
      <c r="C9" s="30">
        <f>'CCaMC-AFOaMCpUC-pre-ret'!C9</f>
        <v>45696</v>
      </c>
      <c r="D9" s="30">
        <f>'CCaMC-AFOaMCpUC-pre-ret'!D9</f>
        <v>45696</v>
      </c>
      <c r="E9" s="30">
        <f>'CCaMC-AFOaMCpUC-pre-ret'!E9</f>
        <v>45696</v>
      </c>
      <c r="F9" s="30">
        <f>'CCaMC-AFOaMCpUC-pre-ret'!F9</f>
        <v>45696</v>
      </c>
      <c r="G9" s="30">
        <f>'CCaMC-AFOaMCpUC-pre-ret'!G9</f>
        <v>45696</v>
      </c>
      <c r="H9" s="30">
        <f>'CCaMC-AFOaMCpUC-pre-ret'!H9</f>
        <v>45696</v>
      </c>
      <c r="I9" s="30">
        <f>'CCaMC-AFOaMCpUC-pre-ret'!I9</f>
        <v>45696</v>
      </c>
      <c r="J9" s="30">
        <f>'CCaMC-AFOaMCpUC-pre-ret'!J9</f>
        <v>45696</v>
      </c>
      <c r="K9" s="30">
        <f>'CCaMC-AFOaMCpUC-pre-ret'!K9</f>
        <v>45696</v>
      </c>
      <c r="L9" s="30">
        <f>'CCaMC-AFOaMCpUC-pre-ret'!L9</f>
        <v>45696</v>
      </c>
      <c r="M9" s="30">
        <f>'CCaMC-AFOaMCpUC-pre-ret'!M9</f>
        <v>45696</v>
      </c>
      <c r="N9" s="30">
        <f>'CCaMC-AFOaMCpUC-pre-ret'!N9</f>
        <v>45696</v>
      </c>
      <c r="O9" s="30">
        <f>'CCaMC-AFOaMCpUC-pre-ret'!O9</f>
        <v>45696</v>
      </c>
      <c r="P9" s="30">
        <f>'CCaMC-AFOaMCpUC-pre-ret'!P9</f>
        <v>45696</v>
      </c>
      <c r="Q9" s="30">
        <f>'CCaMC-AFOaMCpUC-pre-ret'!Q9</f>
        <v>45696</v>
      </c>
      <c r="R9" s="30">
        <f>'CCaMC-AFOaMCpUC-pre-ret'!R9</f>
        <v>45696</v>
      </c>
      <c r="S9" s="30">
        <f>'CCaMC-AFOaMCpUC-pre-ret'!S9</f>
        <v>45696</v>
      </c>
      <c r="T9" s="30">
        <f>'CCaMC-AFOaMCpUC-pre-ret'!T9</f>
        <v>45696</v>
      </c>
      <c r="U9" s="30">
        <f>'CCaMC-AFOaMCpUC-pre-ret'!U9</f>
        <v>45696</v>
      </c>
      <c r="V9" s="30">
        <f>'CCaMC-AFOaMCpUC-pre-ret'!V9</f>
        <v>45696</v>
      </c>
      <c r="W9" s="30">
        <f>'CCaMC-AFOaMCpUC-pre-ret'!W9</f>
        <v>45696</v>
      </c>
      <c r="X9" s="30">
        <f>'CCaMC-AFOaMCpUC-pre-ret'!X9</f>
        <v>45696</v>
      </c>
      <c r="Y9" s="30">
        <f>'CCaMC-AFOaMCpUC-pre-ret'!Y9</f>
        <v>45696</v>
      </c>
      <c r="Z9" s="30">
        <f>'CCaMC-AFOaMCpUC-pre-ret'!Z9</f>
        <v>45696</v>
      </c>
      <c r="AA9" s="30">
        <f>'CCaMC-AFOaMCpUC-pre-ret'!AA9</f>
        <v>45696</v>
      </c>
      <c r="AB9" s="30">
        <f>'CCaMC-AFOaMCpUC-pre-ret'!AB9</f>
        <v>45696</v>
      </c>
      <c r="AC9" s="30">
        <f>'CCaMC-AFOaMCpUC-pre-ret'!AC9</f>
        <v>45696</v>
      </c>
      <c r="AD9" s="30">
        <f>'CCaMC-AFOaMCpUC-pre-ret'!AD9</f>
        <v>45696</v>
      </c>
      <c r="AE9" s="30">
        <f>'CCaMC-AFOaMCpUC-pre-ret'!AE9</f>
        <v>45696</v>
      </c>
      <c r="AF9" s="30">
        <f>'CCaMC-AFOaMCpUC-pre-ret'!AF9</f>
        <v>45696</v>
      </c>
      <c r="AG9" s="30"/>
      <c r="AH9" s="30"/>
      <c r="AI9" s="30"/>
      <c r="AJ9" s="30"/>
      <c r="AK9" s="30"/>
      <c r="AL9" s="30"/>
      <c r="AM9" s="30"/>
      <c r="AN9" s="30"/>
      <c r="AO9" s="30"/>
      <c r="AP9" s="30"/>
      <c r="AQ9" s="30"/>
      <c r="AR9" s="30"/>
      <c r="AS9" s="30"/>
      <c r="AT9" s="30"/>
      <c r="AU9" s="30"/>
      <c r="AV9" s="30"/>
      <c r="AW9" s="30"/>
      <c r="AX9" s="30"/>
      <c r="AY9" s="30"/>
      <c r="AZ9" s="30"/>
    </row>
    <row r="10" spans="1:52" ht="14.25" customHeight="1">
      <c r="A10" s="12" t="s">
        <v>55</v>
      </c>
      <c r="B10" s="30">
        <f>'CCaMC-AFOaMCpUC-pre-ret'!B10</f>
        <v>14191</v>
      </c>
      <c r="C10" s="30">
        <f>'CCaMC-AFOaMCpUC-pre-ret'!C10</f>
        <v>14191</v>
      </c>
      <c r="D10" s="30">
        <f>'CCaMC-AFOaMCpUC-pre-ret'!D10</f>
        <v>14191</v>
      </c>
      <c r="E10" s="30">
        <f>'CCaMC-AFOaMCpUC-pre-ret'!E10</f>
        <v>14191</v>
      </c>
      <c r="F10" s="30">
        <f>'CCaMC-AFOaMCpUC-pre-ret'!F10</f>
        <v>14191</v>
      </c>
      <c r="G10" s="30">
        <f>'CCaMC-AFOaMCpUC-pre-ret'!G10</f>
        <v>14191</v>
      </c>
      <c r="H10" s="30">
        <f>'CCaMC-AFOaMCpUC-pre-ret'!H10</f>
        <v>14191</v>
      </c>
      <c r="I10" s="30">
        <f>'CCaMC-AFOaMCpUC-pre-ret'!I10</f>
        <v>14191</v>
      </c>
      <c r="J10" s="30">
        <f>'CCaMC-AFOaMCpUC-pre-ret'!J10</f>
        <v>14191</v>
      </c>
      <c r="K10" s="30">
        <f>'CCaMC-AFOaMCpUC-pre-ret'!K10</f>
        <v>14191</v>
      </c>
      <c r="L10" s="30">
        <f>'CCaMC-AFOaMCpUC-pre-ret'!L10</f>
        <v>14191</v>
      </c>
      <c r="M10" s="30">
        <f>'CCaMC-AFOaMCpUC-pre-ret'!M10</f>
        <v>14191</v>
      </c>
      <c r="N10" s="30">
        <f>'CCaMC-AFOaMCpUC-pre-ret'!N10</f>
        <v>14191</v>
      </c>
      <c r="O10" s="30">
        <f>'CCaMC-AFOaMCpUC-pre-ret'!O10</f>
        <v>14191</v>
      </c>
      <c r="P10" s="30">
        <f>'CCaMC-AFOaMCpUC-pre-ret'!P10</f>
        <v>14191</v>
      </c>
      <c r="Q10" s="30">
        <f>'CCaMC-AFOaMCpUC-pre-ret'!Q10</f>
        <v>14191</v>
      </c>
      <c r="R10" s="30">
        <f>'CCaMC-AFOaMCpUC-pre-ret'!R10</f>
        <v>14191</v>
      </c>
      <c r="S10" s="30">
        <f>'CCaMC-AFOaMCpUC-pre-ret'!S10</f>
        <v>14191</v>
      </c>
      <c r="T10" s="30">
        <f>'CCaMC-AFOaMCpUC-pre-ret'!T10</f>
        <v>14191</v>
      </c>
      <c r="U10" s="30">
        <f>'CCaMC-AFOaMCpUC-pre-ret'!U10</f>
        <v>14191</v>
      </c>
      <c r="V10" s="30">
        <f>'CCaMC-AFOaMCpUC-pre-ret'!V10</f>
        <v>14191</v>
      </c>
      <c r="W10" s="30">
        <f>'CCaMC-AFOaMCpUC-pre-ret'!W10</f>
        <v>14191</v>
      </c>
      <c r="X10" s="30">
        <f>'CCaMC-AFOaMCpUC-pre-ret'!X10</f>
        <v>14191</v>
      </c>
      <c r="Y10" s="30">
        <f>'CCaMC-AFOaMCpUC-pre-ret'!Y10</f>
        <v>14191</v>
      </c>
      <c r="Z10" s="30">
        <f>'CCaMC-AFOaMCpUC-pre-ret'!Z10</f>
        <v>14191</v>
      </c>
      <c r="AA10" s="30">
        <f>'CCaMC-AFOaMCpUC-pre-ret'!AA10</f>
        <v>14191</v>
      </c>
      <c r="AB10" s="30">
        <f>'CCaMC-AFOaMCpUC-pre-ret'!AB10</f>
        <v>14191</v>
      </c>
      <c r="AC10" s="30">
        <f>'CCaMC-AFOaMCpUC-pre-ret'!AC10</f>
        <v>14191</v>
      </c>
      <c r="AD10" s="30">
        <f>'CCaMC-AFOaMCpUC-pre-ret'!AD10</f>
        <v>14191</v>
      </c>
      <c r="AE10" s="30">
        <f>'CCaMC-AFOaMCpUC-pre-ret'!AE10</f>
        <v>14191</v>
      </c>
      <c r="AF10" s="30">
        <f>'CCaMC-AFOaMCpUC-pre-ret'!AF10</f>
        <v>14191</v>
      </c>
      <c r="AG10" s="30"/>
      <c r="AH10" s="30"/>
      <c r="AI10" s="30"/>
      <c r="AJ10" s="30"/>
      <c r="AK10" s="30"/>
      <c r="AL10" s="30"/>
      <c r="AM10" s="30"/>
      <c r="AN10" s="30"/>
      <c r="AO10" s="30"/>
      <c r="AP10" s="30"/>
      <c r="AQ10" s="30"/>
      <c r="AR10" s="30"/>
      <c r="AS10" s="30"/>
      <c r="AT10" s="30"/>
      <c r="AU10" s="30"/>
      <c r="AV10" s="30"/>
      <c r="AW10" s="30"/>
      <c r="AX10" s="30"/>
      <c r="AY10" s="30"/>
      <c r="AZ10" s="30"/>
    </row>
    <row r="11" spans="1:52" ht="14.25" customHeight="1">
      <c r="A11" s="12" t="s">
        <v>56</v>
      </c>
      <c r="B11" s="30">
        <f>'CCaMC-AFOaMCpUC-pre-ret'!B11</f>
        <v>78838</v>
      </c>
      <c r="C11" s="30">
        <f>'CCaMC-AFOaMCpUC-pre-ret'!C11</f>
        <v>78838</v>
      </c>
      <c r="D11" s="30">
        <f>'CCaMC-AFOaMCpUC-pre-ret'!D11</f>
        <v>78838</v>
      </c>
      <c r="E11" s="30">
        <f>'CCaMC-AFOaMCpUC-pre-ret'!E11</f>
        <v>78838</v>
      </c>
      <c r="F11" s="30">
        <f>'CCaMC-AFOaMCpUC-pre-ret'!F11</f>
        <v>78838</v>
      </c>
      <c r="G11" s="30">
        <f>'CCaMC-AFOaMCpUC-pre-ret'!G11</f>
        <v>78838</v>
      </c>
      <c r="H11" s="30">
        <f>'CCaMC-AFOaMCpUC-pre-ret'!H11</f>
        <v>78838</v>
      </c>
      <c r="I11" s="30">
        <f>'CCaMC-AFOaMCpUC-pre-ret'!I11</f>
        <v>78838</v>
      </c>
      <c r="J11" s="30">
        <f>'CCaMC-AFOaMCpUC-pre-ret'!J11</f>
        <v>78838</v>
      </c>
      <c r="K11" s="30">
        <f>'CCaMC-AFOaMCpUC-pre-ret'!K11</f>
        <v>78838</v>
      </c>
      <c r="L11" s="30">
        <f>'CCaMC-AFOaMCpUC-pre-ret'!L11</f>
        <v>78838</v>
      </c>
      <c r="M11" s="30">
        <f>'CCaMC-AFOaMCpUC-pre-ret'!M11</f>
        <v>78838</v>
      </c>
      <c r="N11" s="30">
        <f>'CCaMC-AFOaMCpUC-pre-ret'!N11</f>
        <v>78838</v>
      </c>
      <c r="O11" s="30">
        <f>'CCaMC-AFOaMCpUC-pre-ret'!O11</f>
        <v>78838</v>
      </c>
      <c r="P11" s="30">
        <f>'CCaMC-AFOaMCpUC-pre-ret'!P11</f>
        <v>78838</v>
      </c>
      <c r="Q11" s="30">
        <f>'CCaMC-AFOaMCpUC-pre-ret'!Q11</f>
        <v>78838</v>
      </c>
      <c r="R11" s="30">
        <f>'CCaMC-AFOaMCpUC-pre-ret'!R11</f>
        <v>78838</v>
      </c>
      <c r="S11" s="30">
        <f>'CCaMC-AFOaMCpUC-pre-ret'!S11</f>
        <v>78838</v>
      </c>
      <c r="T11" s="30">
        <f>'CCaMC-AFOaMCpUC-pre-ret'!T11</f>
        <v>78838</v>
      </c>
      <c r="U11" s="30">
        <f>'CCaMC-AFOaMCpUC-pre-ret'!U11</f>
        <v>78838</v>
      </c>
      <c r="V11" s="30">
        <f>'CCaMC-AFOaMCpUC-pre-ret'!V11</f>
        <v>78838</v>
      </c>
      <c r="W11" s="30">
        <f>'CCaMC-AFOaMCpUC-pre-ret'!W11</f>
        <v>78838</v>
      </c>
      <c r="X11" s="30">
        <f>'CCaMC-AFOaMCpUC-pre-ret'!X11</f>
        <v>78838</v>
      </c>
      <c r="Y11" s="30">
        <f>'CCaMC-AFOaMCpUC-pre-ret'!Y11</f>
        <v>78838</v>
      </c>
      <c r="Z11" s="30">
        <f>'CCaMC-AFOaMCpUC-pre-ret'!Z11</f>
        <v>78838</v>
      </c>
      <c r="AA11" s="30">
        <f>'CCaMC-AFOaMCpUC-pre-ret'!AA11</f>
        <v>78838</v>
      </c>
      <c r="AB11" s="30">
        <f>'CCaMC-AFOaMCpUC-pre-ret'!AB11</f>
        <v>78838</v>
      </c>
      <c r="AC11" s="30">
        <f>'CCaMC-AFOaMCpUC-pre-ret'!AC11</f>
        <v>78838</v>
      </c>
      <c r="AD11" s="30">
        <f>'CCaMC-AFOaMCpUC-pre-ret'!AD11</f>
        <v>78838</v>
      </c>
      <c r="AE11" s="30">
        <f>'CCaMC-AFOaMCpUC-pre-ret'!AE11</f>
        <v>78838</v>
      </c>
      <c r="AF11" s="30">
        <f>'CCaMC-AFOaMCpUC-pre-ret'!AF11</f>
        <v>78838</v>
      </c>
      <c r="AG11" s="30"/>
      <c r="AH11" s="30"/>
      <c r="AI11" s="30"/>
      <c r="AJ11" s="30"/>
      <c r="AK11" s="30"/>
      <c r="AL11" s="30"/>
      <c r="AM11" s="30"/>
      <c r="AN11" s="30"/>
      <c r="AO11" s="30"/>
      <c r="AP11" s="30"/>
      <c r="AQ11" s="30"/>
      <c r="AR11" s="30"/>
      <c r="AS11" s="30"/>
      <c r="AT11" s="30"/>
      <c r="AU11" s="30"/>
      <c r="AV11" s="30"/>
      <c r="AW11" s="30"/>
      <c r="AX11" s="30"/>
      <c r="AY11" s="30"/>
      <c r="AZ11" s="30"/>
    </row>
    <row r="12" spans="1:52" ht="14.25" customHeight="1">
      <c r="A12" s="12" t="s">
        <v>57</v>
      </c>
      <c r="B12" s="30">
        <f>'CCaMC-AFOaMCpUC-pre-ret'!B12</f>
        <v>12614</v>
      </c>
      <c r="C12" s="30">
        <f>'CCaMC-AFOaMCpUC-pre-ret'!C12</f>
        <v>12614</v>
      </c>
      <c r="D12" s="30">
        <f>'CCaMC-AFOaMCpUC-pre-ret'!D12</f>
        <v>12614</v>
      </c>
      <c r="E12" s="30">
        <f>'CCaMC-AFOaMCpUC-pre-ret'!E12</f>
        <v>12614</v>
      </c>
      <c r="F12" s="30">
        <f>'CCaMC-AFOaMCpUC-pre-ret'!F12</f>
        <v>12614</v>
      </c>
      <c r="G12" s="30">
        <f>'CCaMC-AFOaMCpUC-pre-ret'!G12</f>
        <v>12614</v>
      </c>
      <c r="H12" s="30">
        <f>'CCaMC-AFOaMCpUC-pre-ret'!H12</f>
        <v>12614</v>
      </c>
      <c r="I12" s="30">
        <f>'CCaMC-AFOaMCpUC-pre-ret'!I12</f>
        <v>12614</v>
      </c>
      <c r="J12" s="30">
        <f>'CCaMC-AFOaMCpUC-pre-ret'!J12</f>
        <v>12614</v>
      </c>
      <c r="K12" s="30">
        <f>'CCaMC-AFOaMCpUC-pre-ret'!K12</f>
        <v>12614</v>
      </c>
      <c r="L12" s="30">
        <f>'CCaMC-AFOaMCpUC-pre-ret'!L12</f>
        <v>12614</v>
      </c>
      <c r="M12" s="30">
        <f>'CCaMC-AFOaMCpUC-pre-ret'!M12</f>
        <v>12614</v>
      </c>
      <c r="N12" s="30">
        <f>'CCaMC-AFOaMCpUC-pre-ret'!N12</f>
        <v>12614</v>
      </c>
      <c r="O12" s="30">
        <f>'CCaMC-AFOaMCpUC-pre-ret'!O12</f>
        <v>12614</v>
      </c>
      <c r="P12" s="30">
        <f>'CCaMC-AFOaMCpUC-pre-ret'!P12</f>
        <v>12614</v>
      </c>
      <c r="Q12" s="30">
        <f>'CCaMC-AFOaMCpUC-pre-ret'!Q12</f>
        <v>12614</v>
      </c>
      <c r="R12" s="30">
        <f>'CCaMC-AFOaMCpUC-pre-ret'!R12</f>
        <v>12614</v>
      </c>
      <c r="S12" s="30">
        <f>'CCaMC-AFOaMCpUC-pre-ret'!S12</f>
        <v>12614</v>
      </c>
      <c r="T12" s="30">
        <f>'CCaMC-AFOaMCpUC-pre-ret'!T12</f>
        <v>12614</v>
      </c>
      <c r="U12" s="30">
        <f>'CCaMC-AFOaMCpUC-pre-ret'!U12</f>
        <v>12614</v>
      </c>
      <c r="V12" s="30">
        <f>'CCaMC-AFOaMCpUC-pre-ret'!V12</f>
        <v>12614</v>
      </c>
      <c r="W12" s="30">
        <f>'CCaMC-AFOaMCpUC-pre-ret'!W12</f>
        <v>12614</v>
      </c>
      <c r="X12" s="30">
        <f>'CCaMC-AFOaMCpUC-pre-ret'!X12</f>
        <v>12614</v>
      </c>
      <c r="Y12" s="30">
        <f>'CCaMC-AFOaMCpUC-pre-ret'!Y12</f>
        <v>12614</v>
      </c>
      <c r="Z12" s="30">
        <f>'CCaMC-AFOaMCpUC-pre-ret'!Z12</f>
        <v>12614</v>
      </c>
      <c r="AA12" s="30">
        <f>'CCaMC-AFOaMCpUC-pre-ret'!AA12</f>
        <v>12614</v>
      </c>
      <c r="AB12" s="30">
        <f>'CCaMC-AFOaMCpUC-pre-ret'!AB12</f>
        <v>12614</v>
      </c>
      <c r="AC12" s="30">
        <f>'CCaMC-AFOaMCpUC-pre-ret'!AC12</f>
        <v>12614</v>
      </c>
      <c r="AD12" s="30">
        <f>'CCaMC-AFOaMCpUC-pre-ret'!AD12</f>
        <v>12614</v>
      </c>
      <c r="AE12" s="30">
        <f>'CCaMC-AFOaMCpUC-pre-ret'!AE12</f>
        <v>12614</v>
      </c>
      <c r="AF12" s="30">
        <f>'CCaMC-AFOaMCpUC-pre-ret'!AF12</f>
        <v>12614</v>
      </c>
      <c r="AG12" s="30"/>
      <c r="AH12" s="30"/>
      <c r="AI12" s="30"/>
      <c r="AJ12" s="30"/>
      <c r="AK12" s="30"/>
      <c r="AL12" s="30"/>
      <c r="AM12" s="30"/>
      <c r="AN12" s="30"/>
      <c r="AO12" s="30"/>
      <c r="AP12" s="30"/>
      <c r="AQ12" s="30"/>
      <c r="AR12" s="30"/>
      <c r="AS12" s="30"/>
      <c r="AT12" s="30"/>
      <c r="AU12" s="30"/>
      <c r="AV12" s="30"/>
      <c r="AW12" s="30"/>
      <c r="AX12" s="30"/>
      <c r="AY12" s="30"/>
      <c r="AZ12" s="30"/>
    </row>
    <row r="13" spans="1:52" ht="14.25" customHeight="1">
      <c r="A13" s="12" t="s">
        <v>58</v>
      </c>
      <c r="B13" s="30">
        <f>'CCaMC-AFOaMCpUC-pre-ret'!B13</f>
        <v>25228</v>
      </c>
      <c r="C13" s="30">
        <f>'CCaMC-AFOaMCpUC-pre-ret'!C13</f>
        <v>25228</v>
      </c>
      <c r="D13" s="30">
        <f>'CCaMC-AFOaMCpUC-pre-ret'!D13</f>
        <v>25228</v>
      </c>
      <c r="E13" s="30">
        <f>'CCaMC-AFOaMCpUC-pre-ret'!E13</f>
        <v>25228</v>
      </c>
      <c r="F13" s="30">
        <f>'CCaMC-AFOaMCpUC-pre-ret'!F13</f>
        <v>25228</v>
      </c>
      <c r="G13" s="30">
        <f>'CCaMC-AFOaMCpUC-pre-ret'!G13</f>
        <v>25228</v>
      </c>
      <c r="H13" s="30">
        <f>'CCaMC-AFOaMCpUC-pre-ret'!H13</f>
        <v>25228</v>
      </c>
      <c r="I13" s="30">
        <f>'CCaMC-AFOaMCpUC-pre-ret'!I13</f>
        <v>25228</v>
      </c>
      <c r="J13" s="30">
        <f>'CCaMC-AFOaMCpUC-pre-ret'!J13</f>
        <v>25228</v>
      </c>
      <c r="K13" s="30">
        <f>'CCaMC-AFOaMCpUC-pre-ret'!K13</f>
        <v>25228</v>
      </c>
      <c r="L13" s="30">
        <f>'CCaMC-AFOaMCpUC-pre-ret'!L13</f>
        <v>25228</v>
      </c>
      <c r="M13" s="30">
        <f>'CCaMC-AFOaMCpUC-pre-ret'!M13</f>
        <v>25228</v>
      </c>
      <c r="N13" s="30">
        <f>'CCaMC-AFOaMCpUC-pre-ret'!N13</f>
        <v>25228</v>
      </c>
      <c r="O13" s="30">
        <f>'CCaMC-AFOaMCpUC-pre-ret'!O13</f>
        <v>25228</v>
      </c>
      <c r="P13" s="30">
        <f>'CCaMC-AFOaMCpUC-pre-ret'!P13</f>
        <v>25228</v>
      </c>
      <c r="Q13" s="30">
        <f>'CCaMC-AFOaMCpUC-pre-ret'!Q13</f>
        <v>25228</v>
      </c>
      <c r="R13" s="30">
        <f>'CCaMC-AFOaMCpUC-pre-ret'!R13</f>
        <v>25228</v>
      </c>
      <c r="S13" s="30">
        <f>'CCaMC-AFOaMCpUC-pre-ret'!S13</f>
        <v>25228</v>
      </c>
      <c r="T13" s="30">
        <f>'CCaMC-AFOaMCpUC-pre-ret'!T13</f>
        <v>25228</v>
      </c>
      <c r="U13" s="30">
        <f>'CCaMC-AFOaMCpUC-pre-ret'!U13</f>
        <v>25228</v>
      </c>
      <c r="V13" s="30">
        <f>'CCaMC-AFOaMCpUC-pre-ret'!V13</f>
        <v>25228</v>
      </c>
      <c r="W13" s="30">
        <f>'CCaMC-AFOaMCpUC-pre-ret'!W13</f>
        <v>25228</v>
      </c>
      <c r="X13" s="30">
        <f>'CCaMC-AFOaMCpUC-pre-ret'!X13</f>
        <v>25228</v>
      </c>
      <c r="Y13" s="30">
        <f>'CCaMC-AFOaMCpUC-pre-ret'!Y13</f>
        <v>25228</v>
      </c>
      <c r="Z13" s="30">
        <f>'CCaMC-AFOaMCpUC-pre-ret'!Z13</f>
        <v>25228</v>
      </c>
      <c r="AA13" s="30">
        <f>'CCaMC-AFOaMCpUC-pre-ret'!AA13</f>
        <v>25228</v>
      </c>
      <c r="AB13" s="30">
        <f>'CCaMC-AFOaMCpUC-pre-ret'!AB13</f>
        <v>25228</v>
      </c>
      <c r="AC13" s="30">
        <f>'CCaMC-AFOaMCpUC-pre-ret'!AC13</f>
        <v>25228</v>
      </c>
      <c r="AD13" s="30">
        <f>'CCaMC-AFOaMCpUC-pre-ret'!AD13</f>
        <v>25228</v>
      </c>
      <c r="AE13" s="30">
        <f>'CCaMC-AFOaMCpUC-pre-ret'!AE13</f>
        <v>25228</v>
      </c>
      <c r="AF13" s="30">
        <f>'CCaMC-AFOaMCpUC-pre-ret'!AF13</f>
        <v>25228</v>
      </c>
      <c r="AG13" s="30"/>
      <c r="AH13" s="30"/>
      <c r="AI13" s="30"/>
      <c r="AJ13" s="30"/>
      <c r="AK13" s="30"/>
      <c r="AL13" s="30"/>
      <c r="AM13" s="30"/>
      <c r="AN13" s="30"/>
      <c r="AO13" s="30"/>
      <c r="AP13" s="30"/>
      <c r="AQ13" s="30"/>
      <c r="AR13" s="30"/>
      <c r="AS13" s="30"/>
      <c r="AT13" s="30"/>
      <c r="AU13" s="30"/>
      <c r="AV13" s="30"/>
      <c r="AW13" s="30"/>
      <c r="AX13" s="30"/>
      <c r="AY13" s="30"/>
      <c r="AZ13" s="30"/>
    </row>
    <row r="14" spans="1:52" ht="14.25" customHeight="1">
      <c r="A14" s="12" t="s">
        <v>59</v>
      </c>
      <c r="B14" s="30">
        <f>'CCaMC-AFOaMCpUC-pre-ret'!B14</f>
        <v>77261</v>
      </c>
      <c r="C14" s="30">
        <f>'CCaMC-AFOaMCpUC-pre-ret'!C14</f>
        <v>77261</v>
      </c>
      <c r="D14" s="30">
        <f>'CCaMC-AFOaMCpUC-pre-ret'!D14</f>
        <v>77261</v>
      </c>
      <c r="E14" s="30">
        <f>'CCaMC-AFOaMCpUC-pre-ret'!E14</f>
        <v>77261</v>
      </c>
      <c r="F14" s="30">
        <f>'CCaMC-AFOaMCpUC-pre-ret'!F14</f>
        <v>77261</v>
      </c>
      <c r="G14" s="30">
        <f>'CCaMC-AFOaMCpUC-pre-ret'!G14</f>
        <v>77261</v>
      </c>
      <c r="H14" s="30">
        <f>'CCaMC-AFOaMCpUC-pre-ret'!H14</f>
        <v>77261</v>
      </c>
      <c r="I14" s="30">
        <f>'CCaMC-AFOaMCpUC-pre-ret'!I14</f>
        <v>77261</v>
      </c>
      <c r="J14" s="30">
        <f>'CCaMC-AFOaMCpUC-pre-ret'!J14</f>
        <v>77261</v>
      </c>
      <c r="K14" s="30">
        <f>'CCaMC-AFOaMCpUC-pre-ret'!K14</f>
        <v>77261</v>
      </c>
      <c r="L14" s="30">
        <f>'CCaMC-AFOaMCpUC-pre-ret'!L14</f>
        <v>77261</v>
      </c>
      <c r="M14" s="30">
        <f>'CCaMC-AFOaMCpUC-pre-ret'!M14</f>
        <v>77261</v>
      </c>
      <c r="N14" s="30">
        <f>'CCaMC-AFOaMCpUC-pre-ret'!N14</f>
        <v>77261</v>
      </c>
      <c r="O14" s="30">
        <f>'CCaMC-AFOaMCpUC-pre-ret'!O14</f>
        <v>77261</v>
      </c>
      <c r="P14" s="30">
        <f>'CCaMC-AFOaMCpUC-pre-ret'!P14</f>
        <v>77261</v>
      </c>
      <c r="Q14" s="30">
        <f>'CCaMC-AFOaMCpUC-pre-ret'!Q14</f>
        <v>77261</v>
      </c>
      <c r="R14" s="30">
        <f>'CCaMC-AFOaMCpUC-pre-ret'!R14</f>
        <v>77261</v>
      </c>
      <c r="S14" s="30">
        <f>'CCaMC-AFOaMCpUC-pre-ret'!S14</f>
        <v>77261</v>
      </c>
      <c r="T14" s="30">
        <f>'CCaMC-AFOaMCpUC-pre-ret'!T14</f>
        <v>77261</v>
      </c>
      <c r="U14" s="30">
        <f>'CCaMC-AFOaMCpUC-pre-ret'!U14</f>
        <v>77261</v>
      </c>
      <c r="V14" s="30">
        <f>'CCaMC-AFOaMCpUC-pre-ret'!V14</f>
        <v>77261</v>
      </c>
      <c r="W14" s="30">
        <f>'CCaMC-AFOaMCpUC-pre-ret'!W14</f>
        <v>77261</v>
      </c>
      <c r="X14" s="30">
        <f>'CCaMC-AFOaMCpUC-pre-ret'!X14</f>
        <v>77261</v>
      </c>
      <c r="Y14" s="30">
        <f>'CCaMC-AFOaMCpUC-pre-ret'!Y14</f>
        <v>77261</v>
      </c>
      <c r="Z14" s="30">
        <f>'CCaMC-AFOaMCpUC-pre-ret'!Z14</f>
        <v>77261</v>
      </c>
      <c r="AA14" s="30">
        <f>'CCaMC-AFOaMCpUC-pre-ret'!AA14</f>
        <v>77261</v>
      </c>
      <c r="AB14" s="30">
        <f>'CCaMC-AFOaMCpUC-pre-ret'!AB14</f>
        <v>77261</v>
      </c>
      <c r="AC14" s="30">
        <f>'CCaMC-AFOaMCpUC-pre-ret'!AC14</f>
        <v>77261</v>
      </c>
      <c r="AD14" s="30">
        <f>'CCaMC-AFOaMCpUC-pre-ret'!AD14</f>
        <v>77261</v>
      </c>
      <c r="AE14" s="30">
        <f>'CCaMC-AFOaMCpUC-pre-ret'!AE14</f>
        <v>77261</v>
      </c>
      <c r="AF14" s="30">
        <f>'CCaMC-AFOaMCpUC-pre-ret'!AF14</f>
        <v>77261</v>
      </c>
      <c r="AG14" s="30"/>
      <c r="AH14" s="30"/>
      <c r="AI14" s="30"/>
      <c r="AJ14" s="30"/>
      <c r="AK14" s="30"/>
      <c r="AL14" s="30"/>
      <c r="AM14" s="30"/>
      <c r="AN14" s="30"/>
      <c r="AO14" s="30"/>
      <c r="AP14" s="30"/>
      <c r="AQ14" s="30"/>
      <c r="AR14" s="30"/>
      <c r="AS14" s="30"/>
      <c r="AT14" s="30"/>
      <c r="AU14" s="30"/>
      <c r="AV14" s="30"/>
      <c r="AW14" s="30"/>
      <c r="AX14" s="30"/>
      <c r="AY14" s="30"/>
      <c r="AZ14" s="30"/>
    </row>
    <row r="15" spans="1:52" ht="14.25" customHeight="1">
      <c r="A15" s="12" t="s">
        <v>60</v>
      </c>
      <c r="B15" s="30">
        <f>'CCaMC-AFOaMCpUC-pre-ret'!B15</f>
        <v>78838</v>
      </c>
      <c r="C15" s="30">
        <f>'CCaMC-AFOaMCpUC-pre-ret'!C15</f>
        <v>78838</v>
      </c>
      <c r="D15" s="30">
        <f>'CCaMC-AFOaMCpUC-pre-ret'!D15</f>
        <v>78838</v>
      </c>
      <c r="E15" s="30">
        <f>'CCaMC-AFOaMCpUC-pre-ret'!E15</f>
        <v>78838</v>
      </c>
      <c r="F15" s="30">
        <f>'CCaMC-AFOaMCpUC-pre-ret'!F15</f>
        <v>78838</v>
      </c>
      <c r="G15" s="30">
        <f>'CCaMC-AFOaMCpUC-pre-ret'!G15</f>
        <v>78838</v>
      </c>
      <c r="H15" s="30">
        <f>'CCaMC-AFOaMCpUC-pre-ret'!H15</f>
        <v>78838</v>
      </c>
      <c r="I15" s="30">
        <f>'CCaMC-AFOaMCpUC-pre-ret'!I15</f>
        <v>78838</v>
      </c>
      <c r="J15" s="30">
        <f>'CCaMC-AFOaMCpUC-pre-ret'!J15</f>
        <v>78838</v>
      </c>
      <c r="K15" s="30">
        <f>'CCaMC-AFOaMCpUC-pre-ret'!K15</f>
        <v>78838</v>
      </c>
      <c r="L15" s="30">
        <f>'CCaMC-AFOaMCpUC-pre-ret'!L15</f>
        <v>78838</v>
      </c>
      <c r="M15" s="30">
        <f>'CCaMC-AFOaMCpUC-pre-ret'!M15</f>
        <v>78838</v>
      </c>
      <c r="N15" s="30">
        <f>'CCaMC-AFOaMCpUC-pre-ret'!N15</f>
        <v>78838</v>
      </c>
      <c r="O15" s="30">
        <f>'CCaMC-AFOaMCpUC-pre-ret'!O15</f>
        <v>78838</v>
      </c>
      <c r="P15" s="30">
        <f>'CCaMC-AFOaMCpUC-pre-ret'!P15</f>
        <v>78838</v>
      </c>
      <c r="Q15" s="30">
        <f>'CCaMC-AFOaMCpUC-pre-ret'!Q15</f>
        <v>78838</v>
      </c>
      <c r="R15" s="30">
        <f>'CCaMC-AFOaMCpUC-pre-ret'!R15</f>
        <v>78838</v>
      </c>
      <c r="S15" s="30">
        <f>'CCaMC-AFOaMCpUC-pre-ret'!S15</f>
        <v>78838</v>
      </c>
      <c r="T15" s="30">
        <f>'CCaMC-AFOaMCpUC-pre-ret'!T15</f>
        <v>78838</v>
      </c>
      <c r="U15" s="30">
        <f>'CCaMC-AFOaMCpUC-pre-ret'!U15</f>
        <v>78838</v>
      </c>
      <c r="V15" s="30">
        <f>'CCaMC-AFOaMCpUC-pre-ret'!V15</f>
        <v>78838</v>
      </c>
      <c r="W15" s="30">
        <f>'CCaMC-AFOaMCpUC-pre-ret'!W15</f>
        <v>78838</v>
      </c>
      <c r="X15" s="30">
        <f>'CCaMC-AFOaMCpUC-pre-ret'!X15</f>
        <v>78838</v>
      </c>
      <c r="Y15" s="30">
        <f>'CCaMC-AFOaMCpUC-pre-ret'!Y15</f>
        <v>78838</v>
      </c>
      <c r="Z15" s="30">
        <f>'CCaMC-AFOaMCpUC-pre-ret'!Z15</f>
        <v>78838</v>
      </c>
      <c r="AA15" s="30">
        <f>'CCaMC-AFOaMCpUC-pre-ret'!AA15</f>
        <v>78838</v>
      </c>
      <c r="AB15" s="30">
        <f>'CCaMC-AFOaMCpUC-pre-ret'!AB15</f>
        <v>78838</v>
      </c>
      <c r="AC15" s="30">
        <f>'CCaMC-AFOaMCpUC-pre-ret'!AC15</f>
        <v>78838</v>
      </c>
      <c r="AD15" s="30">
        <f>'CCaMC-AFOaMCpUC-pre-ret'!AD15</f>
        <v>78838</v>
      </c>
      <c r="AE15" s="30">
        <f>'CCaMC-AFOaMCpUC-pre-ret'!AE15</f>
        <v>78838</v>
      </c>
      <c r="AF15" s="30">
        <f>'CCaMC-AFOaMCpUC-pre-ret'!AF15</f>
        <v>78838</v>
      </c>
      <c r="AG15" s="30"/>
      <c r="AH15" s="30"/>
      <c r="AI15" s="30"/>
      <c r="AJ15" s="30"/>
      <c r="AK15" s="30"/>
      <c r="AL15" s="30"/>
      <c r="AM15" s="30"/>
      <c r="AN15" s="30"/>
      <c r="AO15" s="30"/>
      <c r="AP15" s="30"/>
      <c r="AQ15" s="30"/>
      <c r="AR15" s="30"/>
      <c r="AS15" s="30"/>
      <c r="AT15" s="30"/>
      <c r="AU15" s="30"/>
      <c r="AV15" s="30"/>
      <c r="AW15" s="30"/>
      <c r="AX15" s="30"/>
      <c r="AY15" s="30"/>
      <c r="AZ15" s="30"/>
    </row>
    <row r="16" spans="1:52" ht="14.25" customHeight="1">
      <c r="A16" s="12" t="s">
        <v>61</v>
      </c>
      <c r="B16" s="30">
        <f>'CCaMC-AFOaMCpUC-pre-ret'!B16</f>
        <v>78838</v>
      </c>
      <c r="C16" s="30">
        <f>'CCaMC-AFOaMCpUC-pre-ret'!C16</f>
        <v>78838</v>
      </c>
      <c r="D16" s="30">
        <f>'CCaMC-AFOaMCpUC-pre-ret'!D16</f>
        <v>78838</v>
      </c>
      <c r="E16" s="30">
        <f>'CCaMC-AFOaMCpUC-pre-ret'!E16</f>
        <v>78838</v>
      </c>
      <c r="F16" s="30">
        <f>'CCaMC-AFOaMCpUC-pre-ret'!F16</f>
        <v>78838</v>
      </c>
      <c r="G16" s="30">
        <f>'CCaMC-AFOaMCpUC-pre-ret'!G16</f>
        <v>78838</v>
      </c>
      <c r="H16" s="30">
        <f>'CCaMC-AFOaMCpUC-pre-ret'!H16</f>
        <v>78838</v>
      </c>
      <c r="I16" s="30">
        <f>'CCaMC-AFOaMCpUC-pre-ret'!I16</f>
        <v>78838</v>
      </c>
      <c r="J16" s="30">
        <f>'CCaMC-AFOaMCpUC-pre-ret'!J16</f>
        <v>78838</v>
      </c>
      <c r="K16" s="30">
        <f>'CCaMC-AFOaMCpUC-pre-ret'!K16</f>
        <v>78838</v>
      </c>
      <c r="L16" s="30">
        <f>'CCaMC-AFOaMCpUC-pre-ret'!L16</f>
        <v>78838</v>
      </c>
      <c r="M16" s="30">
        <f>'CCaMC-AFOaMCpUC-pre-ret'!M16</f>
        <v>78838</v>
      </c>
      <c r="N16" s="30">
        <f>'CCaMC-AFOaMCpUC-pre-ret'!N16</f>
        <v>78838</v>
      </c>
      <c r="O16" s="30">
        <f>'CCaMC-AFOaMCpUC-pre-ret'!O16</f>
        <v>78838</v>
      </c>
      <c r="P16" s="30">
        <f>'CCaMC-AFOaMCpUC-pre-ret'!P16</f>
        <v>78838</v>
      </c>
      <c r="Q16" s="30">
        <f>'CCaMC-AFOaMCpUC-pre-ret'!Q16</f>
        <v>78838</v>
      </c>
      <c r="R16" s="30">
        <f>'CCaMC-AFOaMCpUC-pre-ret'!R16</f>
        <v>78838</v>
      </c>
      <c r="S16" s="30">
        <f>'CCaMC-AFOaMCpUC-pre-ret'!S16</f>
        <v>78838</v>
      </c>
      <c r="T16" s="30">
        <f>'CCaMC-AFOaMCpUC-pre-ret'!T16</f>
        <v>78838</v>
      </c>
      <c r="U16" s="30">
        <f>'CCaMC-AFOaMCpUC-pre-ret'!U16</f>
        <v>78838</v>
      </c>
      <c r="V16" s="30">
        <f>'CCaMC-AFOaMCpUC-pre-ret'!V16</f>
        <v>78838</v>
      </c>
      <c r="W16" s="30">
        <f>'CCaMC-AFOaMCpUC-pre-ret'!W16</f>
        <v>78838</v>
      </c>
      <c r="X16" s="30">
        <f>'CCaMC-AFOaMCpUC-pre-ret'!X16</f>
        <v>78838</v>
      </c>
      <c r="Y16" s="30">
        <f>'CCaMC-AFOaMCpUC-pre-ret'!Y16</f>
        <v>78838</v>
      </c>
      <c r="Z16" s="30">
        <f>'CCaMC-AFOaMCpUC-pre-ret'!Z16</f>
        <v>78838</v>
      </c>
      <c r="AA16" s="30">
        <f>'CCaMC-AFOaMCpUC-pre-ret'!AA16</f>
        <v>78838</v>
      </c>
      <c r="AB16" s="30">
        <f>'CCaMC-AFOaMCpUC-pre-ret'!AB16</f>
        <v>78838</v>
      </c>
      <c r="AC16" s="30">
        <f>'CCaMC-AFOaMCpUC-pre-ret'!AC16</f>
        <v>78838</v>
      </c>
      <c r="AD16" s="30">
        <f>'CCaMC-AFOaMCpUC-pre-ret'!AD16</f>
        <v>78838</v>
      </c>
      <c r="AE16" s="30">
        <f>'CCaMC-AFOaMCpUC-pre-ret'!AE16</f>
        <v>78838</v>
      </c>
      <c r="AF16" s="30">
        <f>'CCaMC-AFOaMCpUC-pre-ret'!AF16</f>
        <v>78838</v>
      </c>
      <c r="AG16" s="30"/>
      <c r="AH16" s="30"/>
      <c r="AI16" s="30"/>
      <c r="AJ16" s="30"/>
      <c r="AK16" s="30"/>
      <c r="AL16" s="30"/>
      <c r="AM16" s="30"/>
      <c r="AN16" s="30"/>
      <c r="AO16" s="30"/>
      <c r="AP16" s="30"/>
      <c r="AQ16" s="30"/>
      <c r="AR16" s="30"/>
      <c r="AS16" s="30"/>
      <c r="AT16" s="30"/>
      <c r="AU16" s="30"/>
      <c r="AV16" s="30"/>
      <c r="AW16" s="30"/>
      <c r="AX16" s="30"/>
      <c r="AY16" s="30"/>
      <c r="AZ16" s="30"/>
    </row>
    <row r="17" spans="1:52" ht="14.25" customHeight="1">
      <c r="A17" s="12" t="s">
        <v>62</v>
      </c>
      <c r="B17" s="30">
        <f>'CCaMC-AFOaMCpUC-pre-ret'!B17</f>
        <v>233952</v>
      </c>
      <c r="C17" s="30">
        <f>'CCaMC-AFOaMCpUC-pre-ret'!C17</f>
        <v>233952</v>
      </c>
      <c r="D17" s="30">
        <f>'CCaMC-AFOaMCpUC-pre-ret'!D17</f>
        <v>233952</v>
      </c>
      <c r="E17" s="30">
        <f>'CCaMC-AFOaMCpUC-pre-ret'!E17</f>
        <v>233952</v>
      </c>
      <c r="F17" s="30">
        <f>'CCaMC-AFOaMCpUC-pre-ret'!F17</f>
        <v>233952</v>
      </c>
      <c r="G17" s="30">
        <f>'CCaMC-AFOaMCpUC-pre-ret'!G17</f>
        <v>233952</v>
      </c>
      <c r="H17" s="30">
        <f>'CCaMC-AFOaMCpUC-pre-ret'!H17</f>
        <v>233952</v>
      </c>
      <c r="I17" s="30">
        <f>'CCaMC-AFOaMCpUC-pre-ret'!I17</f>
        <v>233952</v>
      </c>
      <c r="J17" s="30">
        <f>'CCaMC-AFOaMCpUC-pre-ret'!J17</f>
        <v>233952</v>
      </c>
      <c r="K17" s="30">
        <f>'CCaMC-AFOaMCpUC-pre-ret'!K17</f>
        <v>233952</v>
      </c>
      <c r="L17" s="30">
        <f>'CCaMC-AFOaMCpUC-pre-ret'!L17</f>
        <v>233952</v>
      </c>
      <c r="M17" s="30">
        <f>'CCaMC-AFOaMCpUC-pre-ret'!M17</f>
        <v>233952</v>
      </c>
      <c r="N17" s="30">
        <f>'CCaMC-AFOaMCpUC-pre-ret'!N17</f>
        <v>233952</v>
      </c>
      <c r="O17" s="30">
        <f>'CCaMC-AFOaMCpUC-pre-ret'!O17</f>
        <v>233952</v>
      </c>
      <c r="P17" s="30">
        <f>'CCaMC-AFOaMCpUC-pre-ret'!P17</f>
        <v>233952</v>
      </c>
      <c r="Q17" s="30">
        <f>'CCaMC-AFOaMCpUC-pre-ret'!Q17</f>
        <v>233952</v>
      </c>
      <c r="R17" s="30">
        <f>'CCaMC-AFOaMCpUC-pre-ret'!R17</f>
        <v>233952</v>
      </c>
      <c r="S17" s="30">
        <f>'CCaMC-AFOaMCpUC-pre-ret'!S17</f>
        <v>233952</v>
      </c>
      <c r="T17" s="30">
        <f>'CCaMC-AFOaMCpUC-pre-ret'!T17</f>
        <v>233952</v>
      </c>
      <c r="U17" s="30">
        <f>'CCaMC-AFOaMCpUC-pre-ret'!U17</f>
        <v>233952</v>
      </c>
      <c r="V17" s="30">
        <f>'CCaMC-AFOaMCpUC-pre-ret'!V17</f>
        <v>233952</v>
      </c>
      <c r="W17" s="30">
        <f>'CCaMC-AFOaMCpUC-pre-ret'!W17</f>
        <v>233952</v>
      </c>
      <c r="X17" s="30">
        <f>'CCaMC-AFOaMCpUC-pre-ret'!X17</f>
        <v>233952</v>
      </c>
      <c r="Y17" s="30">
        <f>'CCaMC-AFOaMCpUC-pre-ret'!Y17</f>
        <v>233952</v>
      </c>
      <c r="Z17" s="30">
        <f>'CCaMC-AFOaMCpUC-pre-ret'!Z17</f>
        <v>233952</v>
      </c>
      <c r="AA17" s="30">
        <f>'CCaMC-AFOaMCpUC-pre-ret'!AA17</f>
        <v>233952</v>
      </c>
      <c r="AB17" s="30">
        <f>'CCaMC-AFOaMCpUC-pre-ret'!AB17</f>
        <v>233952</v>
      </c>
      <c r="AC17" s="30">
        <f>'CCaMC-AFOaMCpUC-pre-ret'!AC17</f>
        <v>233952</v>
      </c>
      <c r="AD17" s="30">
        <f>'CCaMC-AFOaMCpUC-pre-ret'!AD17</f>
        <v>233952</v>
      </c>
      <c r="AE17" s="30">
        <f>'CCaMC-AFOaMCpUC-pre-ret'!AE17</f>
        <v>233952</v>
      </c>
      <c r="AF17" s="30">
        <f>'CCaMC-AFOaMCpUC-pre-ret'!AF17</f>
        <v>233952</v>
      </c>
      <c r="AG17" s="30"/>
      <c r="AH17" s="30"/>
      <c r="AI17" s="30"/>
      <c r="AJ17" s="30"/>
      <c r="AK17" s="30"/>
      <c r="AL17" s="30"/>
      <c r="AM17" s="30"/>
      <c r="AN17" s="30"/>
      <c r="AO17" s="30"/>
      <c r="AP17" s="30"/>
      <c r="AQ17" s="30"/>
      <c r="AR17" s="30"/>
      <c r="AS17" s="30"/>
      <c r="AT17" s="30"/>
      <c r="AU17" s="30"/>
      <c r="AV17" s="30"/>
      <c r="AW17" s="30"/>
      <c r="AX17" s="30"/>
      <c r="AY17" s="30"/>
      <c r="AZ17" s="30"/>
    </row>
    <row r="18" spans="1:52" ht="14.25" customHeight="1">
      <c r="C18" s="5"/>
    </row>
    <row r="19" spans="1:52" ht="14.25" customHeight="1">
      <c r="A19" s="1"/>
    </row>
    <row r="20" spans="1:52" ht="14.25" customHeight="1">
      <c r="F20" s="1"/>
      <c r="G20" s="1"/>
      <c r="H20" s="1"/>
      <c r="I20" s="1"/>
    </row>
    <row r="21" spans="1:52" ht="14.25" customHeight="1"/>
    <row r="22" spans="1:52" ht="14.25" customHeight="1"/>
    <row r="23" spans="1:52" ht="14.25" customHeight="1"/>
    <row r="24" spans="1:52" ht="14.25" customHeight="1"/>
    <row r="25" spans="1:52" ht="14.25" customHeight="1"/>
    <row r="26" spans="1:52" ht="14.25" customHeight="1"/>
    <row r="27" spans="1:52" ht="14.25" customHeight="1"/>
    <row r="28" spans="1:52" ht="14.25" customHeight="1"/>
    <row r="29" spans="1:52" ht="14.25" customHeight="1"/>
    <row r="30" spans="1:52" ht="14.25" customHeight="1"/>
    <row r="31" spans="1:52" ht="14.25" customHeight="1"/>
    <row r="32" spans="1:5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546A"/>
  </sheetPr>
  <dimension ref="A1:AZ1000"/>
  <sheetViews>
    <sheetView workbookViewId="0">
      <selection activeCell="I21" sqref="I21"/>
    </sheetView>
  </sheetViews>
  <sheetFormatPr baseColWidth="10" defaultColWidth="14.42578125" defaultRowHeight="15" customHeight="1"/>
  <cols>
    <col min="1" max="1" width="36.42578125" customWidth="1"/>
    <col min="2" max="32" width="7.28515625" customWidth="1"/>
  </cols>
  <sheetData>
    <row r="1" spans="1:52" s="25" customFormat="1" ht="14.25" customHeight="1">
      <c r="A1" s="22" t="s">
        <v>66</v>
      </c>
      <c r="B1" s="16">
        <v>2020</v>
      </c>
      <c r="C1" s="40">
        <v>2021</v>
      </c>
      <c r="D1" s="40">
        <v>2022</v>
      </c>
      <c r="E1" s="40">
        <v>2023</v>
      </c>
      <c r="F1" s="40">
        <v>2024</v>
      </c>
      <c r="G1" s="40">
        <v>2025</v>
      </c>
      <c r="H1" s="40">
        <v>2026</v>
      </c>
      <c r="I1" s="40">
        <v>2027</v>
      </c>
      <c r="J1" s="40">
        <v>2028</v>
      </c>
      <c r="K1" s="40">
        <v>2029</v>
      </c>
      <c r="L1" s="40">
        <v>2030</v>
      </c>
      <c r="M1" s="40">
        <v>2031</v>
      </c>
      <c r="N1" s="40">
        <v>2032</v>
      </c>
      <c r="O1" s="40">
        <v>2033</v>
      </c>
      <c r="P1" s="40">
        <v>2034</v>
      </c>
      <c r="Q1" s="40">
        <v>2035</v>
      </c>
      <c r="R1" s="40">
        <v>2036</v>
      </c>
      <c r="S1" s="40">
        <v>2037</v>
      </c>
      <c r="T1" s="40">
        <v>2038</v>
      </c>
      <c r="U1" s="40">
        <v>2039</v>
      </c>
      <c r="V1" s="40">
        <v>2040</v>
      </c>
      <c r="W1" s="40">
        <v>2041</v>
      </c>
      <c r="X1" s="40">
        <v>2042</v>
      </c>
      <c r="Y1" s="40">
        <v>2043</v>
      </c>
      <c r="Z1" s="40">
        <v>2044</v>
      </c>
      <c r="AA1" s="40">
        <v>2045</v>
      </c>
      <c r="AB1" s="40">
        <v>2046</v>
      </c>
      <c r="AC1" s="40">
        <v>2047</v>
      </c>
      <c r="AD1" s="40">
        <v>2048</v>
      </c>
      <c r="AE1" s="40">
        <v>2049</v>
      </c>
      <c r="AF1" s="40">
        <v>2050</v>
      </c>
      <c r="AG1" s="25">
        <v>2051</v>
      </c>
      <c r="AH1" s="25">
        <v>2052</v>
      </c>
      <c r="AI1" s="25">
        <v>2053</v>
      </c>
      <c r="AJ1" s="25">
        <v>2054</v>
      </c>
      <c r="AK1" s="25">
        <v>2055</v>
      </c>
      <c r="AL1" s="25">
        <v>2056</v>
      </c>
      <c r="AM1" s="25">
        <v>2057</v>
      </c>
      <c r="AN1" s="25">
        <v>2058</v>
      </c>
      <c r="AO1" s="25">
        <v>2059</v>
      </c>
      <c r="AP1" s="25">
        <v>2060</v>
      </c>
      <c r="AQ1" s="25">
        <v>2061</v>
      </c>
      <c r="AR1" s="25">
        <v>2062</v>
      </c>
      <c r="AS1" s="25">
        <v>2063</v>
      </c>
      <c r="AT1" s="25">
        <v>2064</v>
      </c>
      <c r="AU1" s="25">
        <v>2065</v>
      </c>
      <c r="AV1" s="25">
        <v>2066</v>
      </c>
      <c r="AW1" s="25">
        <v>2067</v>
      </c>
      <c r="AX1" s="25">
        <v>2068</v>
      </c>
      <c r="AY1" s="25">
        <v>2069</v>
      </c>
      <c r="AZ1" s="25">
        <v>2070</v>
      </c>
    </row>
    <row r="2" spans="1:52" ht="14.25" customHeight="1">
      <c r="A2" s="5" t="s">
        <v>67</v>
      </c>
      <c r="B2" s="60">
        <f>Cal!B21</f>
        <v>0.12</v>
      </c>
      <c r="C2" s="60">
        <f>$B2</f>
        <v>0.12</v>
      </c>
      <c r="D2" s="60">
        <f t="shared" ref="D2:AZ7" si="0">$B2</f>
        <v>0.12</v>
      </c>
      <c r="E2" s="60">
        <f t="shared" si="0"/>
        <v>0.12</v>
      </c>
      <c r="F2" s="60">
        <f t="shared" si="0"/>
        <v>0.12</v>
      </c>
      <c r="G2" s="60">
        <f t="shared" si="0"/>
        <v>0.12</v>
      </c>
      <c r="H2" s="60">
        <f t="shared" si="0"/>
        <v>0.12</v>
      </c>
      <c r="I2" s="60">
        <f t="shared" si="0"/>
        <v>0.12</v>
      </c>
      <c r="J2" s="60">
        <f t="shared" si="0"/>
        <v>0.12</v>
      </c>
      <c r="K2" s="60">
        <f t="shared" si="0"/>
        <v>0.12</v>
      </c>
      <c r="L2" s="60">
        <f t="shared" si="0"/>
        <v>0.12</v>
      </c>
      <c r="M2" s="60">
        <f t="shared" si="0"/>
        <v>0.12</v>
      </c>
      <c r="N2" s="60">
        <f t="shared" si="0"/>
        <v>0.12</v>
      </c>
      <c r="O2" s="60">
        <f t="shared" si="0"/>
        <v>0.12</v>
      </c>
      <c r="P2" s="60">
        <f t="shared" si="0"/>
        <v>0.12</v>
      </c>
      <c r="Q2" s="60">
        <f t="shared" si="0"/>
        <v>0.12</v>
      </c>
      <c r="R2" s="60">
        <f t="shared" si="0"/>
        <v>0.12</v>
      </c>
      <c r="S2" s="60">
        <f t="shared" si="0"/>
        <v>0.12</v>
      </c>
      <c r="T2" s="60">
        <f t="shared" si="0"/>
        <v>0.12</v>
      </c>
      <c r="U2" s="60">
        <f t="shared" si="0"/>
        <v>0.12</v>
      </c>
      <c r="V2" s="60">
        <f t="shared" si="0"/>
        <v>0.12</v>
      </c>
      <c r="W2" s="60">
        <f t="shared" si="0"/>
        <v>0.12</v>
      </c>
      <c r="X2" s="60">
        <f t="shared" si="0"/>
        <v>0.12</v>
      </c>
      <c r="Y2" s="60">
        <f t="shared" si="0"/>
        <v>0.12</v>
      </c>
      <c r="Z2" s="60">
        <f t="shared" si="0"/>
        <v>0.12</v>
      </c>
      <c r="AA2" s="60">
        <f t="shared" si="0"/>
        <v>0.12</v>
      </c>
      <c r="AB2" s="60">
        <f t="shared" si="0"/>
        <v>0.12</v>
      </c>
      <c r="AC2" s="60">
        <f t="shared" si="0"/>
        <v>0.12</v>
      </c>
      <c r="AD2" s="60">
        <f t="shared" si="0"/>
        <v>0.12</v>
      </c>
      <c r="AE2" s="60">
        <f t="shared" si="0"/>
        <v>0.12</v>
      </c>
      <c r="AF2" s="60">
        <f t="shared" si="0"/>
        <v>0.12</v>
      </c>
      <c r="AG2" s="60">
        <f t="shared" si="0"/>
        <v>0.12</v>
      </c>
      <c r="AH2" s="60">
        <f t="shared" si="0"/>
        <v>0.12</v>
      </c>
      <c r="AI2" s="60">
        <f t="shared" si="0"/>
        <v>0.12</v>
      </c>
      <c r="AJ2" s="60">
        <f t="shared" si="0"/>
        <v>0.12</v>
      </c>
      <c r="AK2" s="60">
        <f t="shared" si="0"/>
        <v>0.12</v>
      </c>
      <c r="AL2" s="60">
        <f t="shared" si="0"/>
        <v>0.12</v>
      </c>
      <c r="AM2" s="60">
        <f t="shared" si="0"/>
        <v>0.12</v>
      </c>
      <c r="AN2" s="60">
        <f t="shared" si="0"/>
        <v>0.12</v>
      </c>
      <c r="AO2" s="60">
        <f t="shared" si="0"/>
        <v>0.12</v>
      </c>
      <c r="AP2" s="60">
        <f t="shared" si="0"/>
        <v>0.12</v>
      </c>
      <c r="AQ2" s="60">
        <f t="shared" si="0"/>
        <v>0.12</v>
      </c>
      <c r="AR2" s="60">
        <f t="shared" si="0"/>
        <v>0.12</v>
      </c>
      <c r="AS2" s="60">
        <f t="shared" si="0"/>
        <v>0.12</v>
      </c>
      <c r="AT2" s="60">
        <f t="shared" si="0"/>
        <v>0.12</v>
      </c>
      <c r="AU2" s="60">
        <f t="shared" si="0"/>
        <v>0.12</v>
      </c>
      <c r="AV2" s="60">
        <f t="shared" si="0"/>
        <v>0.12</v>
      </c>
      <c r="AW2" s="60">
        <f t="shared" si="0"/>
        <v>0.12</v>
      </c>
      <c r="AX2" s="60">
        <f t="shared" si="0"/>
        <v>0.12</v>
      </c>
      <c r="AY2" s="60">
        <f t="shared" si="0"/>
        <v>0.12</v>
      </c>
      <c r="AZ2" s="60">
        <f t="shared" si="0"/>
        <v>0.12</v>
      </c>
    </row>
    <row r="3" spans="1:52" ht="14.25" customHeight="1">
      <c r="A3" s="5" t="s">
        <v>50</v>
      </c>
      <c r="B3" s="60">
        <f>Cal!B22</f>
        <v>0.12479999999999999</v>
      </c>
      <c r="C3" s="60">
        <f t="shared" ref="C3:R17" si="1">$B3</f>
        <v>0.12479999999999999</v>
      </c>
      <c r="D3" s="60">
        <f t="shared" si="1"/>
        <v>0.12479999999999999</v>
      </c>
      <c r="E3" s="60">
        <f t="shared" si="1"/>
        <v>0.12479999999999999</v>
      </c>
      <c r="F3" s="60">
        <f t="shared" si="1"/>
        <v>0.12479999999999999</v>
      </c>
      <c r="G3" s="60">
        <f t="shared" si="1"/>
        <v>0.12479999999999999</v>
      </c>
      <c r="H3" s="60">
        <f t="shared" si="1"/>
        <v>0.12479999999999999</v>
      </c>
      <c r="I3" s="60">
        <f t="shared" si="1"/>
        <v>0.12479999999999999</v>
      </c>
      <c r="J3" s="60">
        <f t="shared" si="1"/>
        <v>0.12479999999999999</v>
      </c>
      <c r="K3" s="60">
        <f t="shared" si="1"/>
        <v>0.12479999999999999</v>
      </c>
      <c r="L3" s="60">
        <f t="shared" si="1"/>
        <v>0.12479999999999999</v>
      </c>
      <c r="M3" s="60">
        <f t="shared" si="1"/>
        <v>0.12479999999999999</v>
      </c>
      <c r="N3" s="60">
        <f t="shared" si="1"/>
        <v>0.12479999999999999</v>
      </c>
      <c r="O3" s="60">
        <f t="shared" si="1"/>
        <v>0.12479999999999999</v>
      </c>
      <c r="P3" s="60">
        <f t="shared" si="1"/>
        <v>0.12479999999999999</v>
      </c>
      <c r="Q3" s="60">
        <f t="shared" si="1"/>
        <v>0.12479999999999999</v>
      </c>
      <c r="R3" s="60">
        <f t="shared" si="1"/>
        <v>0.12479999999999999</v>
      </c>
      <c r="S3" s="60">
        <f t="shared" si="0"/>
        <v>0.12479999999999999</v>
      </c>
      <c r="T3" s="60">
        <f t="shared" si="0"/>
        <v>0.12479999999999999</v>
      </c>
      <c r="U3" s="60">
        <f t="shared" si="0"/>
        <v>0.12479999999999999</v>
      </c>
      <c r="V3" s="60">
        <f t="shared" si="0"/>
        <v>0.12479999999999999</v>
      </c>
      <c r="W3" s="60">
        <f t="shared" si="0"/>
        <v>0.12479999999999999</v>
      </c>
      <c r="X3" s="60">
        <f t="shared" si="0"/>
        <v>0.12479999999999999</v>
      </c>
      <c r="Y3" s="60">
        <f t="shared" si="0"/>
        <v>0.12479999999999999</v>
      </c>
      <c r="Z3" s="60">
        <f t="shared" si="0"/>
        <v>0.12479999999999999</v>
      </c>
      <c r="AA3" s="60">
        <f t="shared" si="0"/>
        <v>0.12479999999999999</v>
      </c>
      <c r="AB3" s="60">
        <f t="shared" si="0"/>
        <v>0.12479999999999999</v>
      </c>
      <c r="AC3" s="60">
        <f t="shared" si="0"/>
        <v>0.12479999999999999</v>
      </c>
      <c r="AD3" s="60">
        <f t="shared" si="0"/>
        <v>0.12479999999999999</v>
      </c>
      <c r="AE3" s="60">
        <f t="shared" si="0"/>
        <v>0.12479999999999999</v>
      </c>
      <c r="AF3" s="60">
        <f t="shared" si="0"/>
        <v>0.12479999999999999</v>
      </c>
      <c r="AG3" s="60">
        <f t="shared" si="0"/>
        <v>0.12479999999999999</v>
      </c>
      <c r="AH3" s="60">
        <f t="shared" si="0"/>
        <v>0.12479999999999999</v>
      </c>
      <c r="AI3" s="60">
        <f t="shared" si="0"/>
        <v>0.12479999999999999</v>
      </c>
      <c r="AJ3" s="60">
        <f t="shared" si="0"/>
        <v>0.12479999999999999</v>
      </c>
      <c r="AK3" s="60">
        <f t="shared" si="0"/>
        <v>0.12479999999999999</v>
      </c>
      <c r="AL3" s="60">
        <f t="shared" si="0"/>
        <v>0.12479999999999999</v>
      </c>
      <c r="AM3" s="60">
        <f t="shared" si="0"/>
        <v>0.12479999999999999</v>
      </c>
      <c r="AN3" s="60">
        <f t="shared" si="0"/>
        <v>0.12479999999999999</v>
      </c>
      <c r="AO3" s="60">
        <f t="shared" si="0"/>
        <v>0.12479999999999999</v>
      </c>
      <c r="AP3" s="60">
        <f t="shared" si="0"/>
        <v>0.12479999999999999</v>
      </c>
      <c r="AQ3" s="60">
        <f t="shared" si="0"/>
        <v>0.12479999999999999</v>
      </c>
      <c r="AR3" s="60">
        <f t="shared" si="0"/>
        <v>0.12479999999999999</v>
      </c>
      <c r="AS3" s="60">
        <f t="shared" si="0"/>
        <v>0.12479999999999999</v>
      </c>
      <c r="AT3" s="60">
        <f t="shared" si="0"/>
        <v>0.12479999999999999</v>
      </c>
      <c r="AU3" s="60">
        <f t="shared" si="0"/>
        <v>0.12479999999999999</v>
      </c>
      <c r="AV3" s="60">
        <f t="shared" si="0"/>
        <v>0.12479999999999999</v>
      </c>
      <c r="AW3" s="60">
        <f t="shared" si="0"/>
        <v>0.12479999999999999</v>
      </c>
      <c r="AX3" s="60">
        <f t="shared" si="0"/>
        <v>0.12479999999999999</v>
      </c>
      <c r="AY3" s="60">
        <f t="shared" si="0"/>
        <v>0.12479999999999999</v>
      </c>
      <c r="AZ3" s="60">
        <f t="shared" si="0"/>
        <v>0.12479999999999999</v>
      </c>
    </row>
    <row r="4" spans="1:52" ht="14.25" customHeight="1">
      <c r="A4" s="5" t="s">
        <v>37</v>
      </c>
      <c r="B4" s="60">
        <f>Cal!B23</f>
        <v>1.87</v>
      </c>
      <c r="C4" s="60">
        <f t="shared" si="1"/>
        <v>1.87</v>
      </c>
      <c r="D4" s="60">
        <f t="shared" si="0"/>
        <v>1.87</v>
      </c>
      <c r="E4" s="60">
        <f t="shared" si="0"/>
        <v>1.87</v>
      </c>
      <c r="F4" s="60">
        <f t="shared" si="0"/>
        <v>1.87</v>
      </c>
      <c r="G4" s="60">
        <f t="shared" si="0"/>
        <v>1.87</v>
      </c>
      <c r="H4" s="60">
        <f t="shared" si="0"/>
        <v>1.87</v>
      </c>
      <c r="I4" s="60">
        <f t="shared" si="0"/>
        <v>1.87</v>
      </c>
      <c r="J4" s="60">
        <f t="shared" si="0"/>
        <v>1.87</v>
      </c>
      <c r="K4" s="60">
        <f t="shared" si="0"/>
        <v>1.87</v>
      </c>
      <c r="L4" s="60">
        <f t="shared" si="0"/>
        <v>1.87</v>
      </c>
      <c r="M4" s="60">
        <f t="shared" si="0"/>
        <v>1.87</v>
      </c>
      <c r="N4" s="60">
        <f t="shared" si="0"/>
        <v>1.87</v>
      </c>
      <c r="O4" s="60">
        <f t="shared" si="0"/>
        <v>1.87</v>
      </c>
      <c r="P4" s="60">
        <f t="shared" si="0"/>
        <v>1.87</v>
      </c>
      <c r="Q4" s="60">
        <f t="shared" si="0"/>
        <v>1.87</v>
      </c>
      <c r="R4" s="60">
        <f t="shared" si="0"/>
        <v>1.87</v>
      </c>
      <c r="S4" s="60">
        <f t="shared" si="0"/>
        <v>1.87</v>
      </c>
      <c r="T4" s="60">
        <f t="shared" si="0"/>
        <v>1.87</v>
      </c>
      <c r="U4" s="60">
        <f t="shared" si="0"/>
        <v>1.87</v>
      </c>
      <c r="V4" s="60">
        <f t="shared" si="0"/>
        <v>1.87</v>
      </c>
      <c r="W4" s="60">
        <f t="shared" si="0"/>
        <v>1.87</v>
      </c>
      <c r="X4" s="60">
        <f t="shared" si="0"/>
        <v>1.87</v>
      </c>
      <c r="Y4" s="60">
        <f t="shared" si="0"/>
        <v>1.87</v>
      </c>
      <c r="Z4" s="60">
        <f t="shared" si="0"/>
        <v>1.87</v>
      </c>
      <c r="AA4" s="60">
        <f t="shared" si="0"/>
        <v>1.87</v>
      </c>
      <c r="AB4" s="60">
        <f t="shared" si="0"/>
        <v>1.87</v>
      </c>
      <c r="AC4" s="60">
        <f t="shared" si="0"/>
        <v>1.87</v>
      </c>
      <c r="AD4" s="60">
        <f t="shared" si="0"/>
        <v>1.87</v>
      </c>
      <c r="AE4" s="60">
        <f t="shared" si="0"/>
        <v>1.87</v>
      </c>
      <c r="AF4" s="60">
        <f t="shared" si="0"/>
        <v>1.87</v>
      </c>
      <c r="AG4" s="60">
        <f t="shared" si="0"/>
        <v>1.87</v>
      </c>
      <c r="AH4" s="60">
        <f t="shared" si="0"/>
        <v>1.87</v>
      </c>
      <c r="AI4" s="60">
        <f t="shared" si="0"/>
        <v>1.87</v>
      </c>
      <c r="AJ4" s="60">
        <f t="shared" si="0"/>
        <v>1.87</v>
      </c>
      <c r="AK4" s="60">
        <f t="shared" si="0"/>
        <v>1.87</v>
      </c>
      <c r="AL4" s="60">
        <f t="shared" si="0"/>
        <v>1.87</v>
      </c>
      <c r="AM4" s="60">
        <f t="shared" si="0"/>
        <v>1.87</v>
      </c>
      <c r="AN4" s="60">
        <f t="shared" si="0"/>
        <v>1.87</v>
      </c>
      <c r="AO4" s="60">
        <f t="shared" si="0"/>
        <v>1.87</v>
      </c>
      <c r="AP4" s="60">
        <f t="shared" si="0"/>
        <v>1.87</v>
      </c>
      <c r="AQ4" s="60">
        <f t="shared" si="0"/>
        <v>1.87</v>
      </c>
      <c r="AR4" s="60">
        <f t="shared" si="0"/>
        <v>1.87</v>
      </c>
      <c r="AS4" s="60">
        <f t="shared" si="0"/>
        <v>1.87</v>
      </c>
      <c r="AT4" s="60">
        <f t="shared" si="0"/>
        <v>1.87</v>
      </c>
      <c r="AU4" s="60">
        <f t="shared" si="0"/>
        <v>1.87</v>
      </c>
      <c r="AV4" s="60">
        <f t="shared" si="0"/>
        <v>1.87</v>
      </c>
      <c r="AW4" s="60">
        <f t="shared" si="0"/>
        <v>1.87</v>
      </c>
      <c r="AX4" s="60">
        <f t="shared" si="0"/>
        <v>1.87</v>
      </c>
      <c r="AY4" s="60">
        <f t="shared" si="0"/>
        <v>1.87</v>
      </c>
      <c r="AZ4" s="60">
        <f t="shared" si="0"/>
        <v>1.87</v>
      </c>
    </row>
    <row r="5" spans="1:52" ht="14.25" customHeight="1">
      <c r="A5" s="5" t="s">
        <v>51</v>
      </c>
      <c r="B5" s="60">
        <f>Cal!B24</f>
        <v>0.53</v>
      </c>
      <c r="C5" s="60">
        <f t="shared" si="1"/>
        <v>0.53</v>
      </c>
      <c r="D5" s="60">
        <f t="shared" si="0"/>
        <v>0.53</v>
      </c>
      <c r="E5" s="60">
        <f t="shared" si="0"/>
        <v>0.53</v>
      </c>
      <c r="F5" s="60">
        <f t="shared" si="0"/>
        <v>0.53</v>
      </c>
      <c r="G5" s="60">
        <f t="shared" si="0"/>
        <v>0.53</v>
      </c>
      <c r="H5" s="60">
        <f t="shared" si="0"/>
        <v>0.53</v>
      </c>
      <c r="I5" s="60">
        <f t="shared" si="0"/>
        <v>0.53</v>
      </c>
      <c r="J5" s="60">
        <f t="shared" si="0"/>
        <v>0.53</v>
      </c>
      <c r="K5" s="60">
        <f t="shared" si="0"/>
        <v>0.53</v>
      </c>
      <c r="L5" s="60">
        <f t="shared" si="0"/>
        <v>0.53</v>
      </c>
      <c r="M5" s="60">
        <f t="shared" si="0"/>
        <v>0.53</v>
      </c>
      <c r="N5" s="60">
        <f t="shared" si="0"/>
        <v>0.53</v>
      </c>
      <c r="O5" s="60">
        <f t="shared" si="0"/>
        <v>0.53</v>
      </c>
      <c r="P5" s="60">
        <f t="shared" si="0"/>
        <v>0.53</v>
      </c>
      <c r="Q5" s="60">
        <f t="shared" si="0"/>
        <v>0.53</v>
      </c>
      <c r="R5" s="60">
        <f t="shared" si="0"/>
        <v>0.53</v>
      </c>
      <c r="S5" s="60">
        <f t="shared" si="0"/>
        <v>0.53</v>
      </c>
      <c r="T5" s="60">
        <f t="shared" si="0"/>
        <v>0.53</v>
      </c>
      <c r="U5" s="60">
        <f t="shared" si="0"/>
        <v>0.53</v>
      </c>
      <c r="V5" s="60">
        <f t="shared" si="0"/>
        <v>0.53</v>
      </c>
      <c r="W5" s="60">
        <f t="shared" si="0"/>
        <v>0.53</v>
      </c>
      <c r="X5" s="60">
        <f t="shared" si="0"/>
        <v>0.53</v>
      </c>
      <c r="Y5" s="60">
        <f t="shared" si="0"/>
        <v>0.53</v>
      </c>
      <c r="Z5" s="60">
        <f t="shared" si="0"/>
        <v>0.53</v>
      </c>
      <c r="AA5" s="60">
        <f t="shared" si="0"/>
        <v>0.53</v>
      </c>
      <c r="AB5" s="60">
        <f t="shared" si="0"/>
        <v>0.53</v>
      </c>
      <c r="AC5" s="60">
        <f t="shared" si="0"/>
        <v>0.53</v>
      </c>
      <c r="AD5" s="60">
        <f t="shared" si="0"/>
        <v>0.53</v>
      </c>
      <c r="AE5" s="60">
        <f t="shared" si="0"/>
        <v>0.53</v>
      </c>
      <c r="AF5" s="60">
        <f t="shared" si="0"/>
        <v>0.53</v>
      </c>
      <c r="AG5" s="60">
        <f t="shared" si="0"/>
        <v>0.53</v>
      </c>
      <c r="AH5" s="60">
        <f t="shared" si="0"/>
        <v>0.53</v>
      </c>
      <c r="AI5" s="60">
        <f t="shared" si="0"/>
        <v>0.53</v>
      </c>
      <c r="AJ5" s="60">
        <f t="shared" si="0"/>
        <v>0.53</v>
      </c>
      <c r="AK5" s="60">
        <f t="shared" si="0"/>
        <v>0.53</v>
      </c>
      <c r="AL5" s="60">
        <f t="shared" si="0"/>
        <v>0.53</v>
      </c>
      <c r="AM5" s="60">
        <f t="shared" si="0"/>
        <v>0.53</v>
      </c>
      <c r="AN5" s="60">
        <f t="shared" si="0"/>
        <v>0.53</v>
      </c>
      <c r="AO5" s="60">
        <f t="shared" si="0"/>
        <v>0.53</v>
      </c>
      <c r="AP5" s="60">
        <f t="shared" si="0"/>
        <v>0.53</v>
      </c>
      <c r="AQ5" s="60">
        <f t="shared" si="0"/>
        <v>0.53</v>
      </c>
      <c r="AR5" s="60">
        <f t="shared" si="0"/>
        <v>0.53</v>
      </c>
      <c r="AS5" s="60">
        <f t="shared" si="0"/>
        <v>0.53</v>
      </c>
      <c r="AT5" s="60">
        <f t="shared" si="0"/>
        <v>0.53</v>
      </c>
      <c r="AU5" s="60">
        <f t="shared" si="0"/>
        <v>0.53</v>
      </c>
      <c r="AV5" s="60">
        <f t="shared" si="0"/>
        <v>0.53</v>
      </c>
      <c r="AW5" s="60">
        <f t="shared" si="0"/>
        <v>0.53</v>
      </c>
      <c r="AX5" s="60">
        <f t="shared" si="0"/>
        <v>0.53</v>
      </c>
      <c r="AY5" s="60">
        <f t="shared" si="0"/>
        <v>0.53</v>
      </c>
      <c r="AZ5" s="60">
        <f t="shared" si="0"/>
        <v>0.53</v>
      </c>
    </row>
    <row r="6" spans="1:52" ht="14.25" customHeight="1">
      <c r="A6" s="5" t="s">
        <v>52</v>
      </c>
      <c r="B6" s="60">
        <f>Cal!B25</f>
        <v>0</v>
      </c>
      <c r="C6" s="60">
        <f t="shared" si="1"/>
        <v>0</v>
      </c>
      <c r="D6" s="60">
        <f t="shared" si="0"/>
        <v>0</v>
      </c>
      <c r="E6" s="60">
        <f t="shared" si="0"/>
        <v>0</v>
      </c>
      <c r="F6" s="60">
        <f t="shared" si="0"/>
        <v>0</v>
      </c>
      <c r="G6" s="60">
        <f t="shared" si="0"/>
        <v>0</v>
      </c>
      <c r="H6" s="60">
        <f t="shared" si="0"/>
        <v>0</v>
      </c>
      <c r="I6" s="60">
        <f t="shared" si="0"/>
        <v>0</v>
      </c>
      <c r="J6" s="60">
        <f t="shared" si="0"/>
        <v>0</v>
      </c>
      <c r="K6" s="60">
        <f t="shared" si="0"/>
        <v>0</v>
      </c>
      <c r="L6" s="60">
        <f t="shared" si="0"/>
        <v>0</v>
      </c>
      <c r="M6" s="60">
        <f t="shared" si="0"/>
        <v>0</v>
      </c>
      <c r="N6" s="60">
        <f t="shared" si="0"/>
        <v>0</v>
      </c>
      <c r="O6" s="60">
        <f t="shared" si="0"/>
        <v>0</v>
      </c>
      <c r="P6" s="60">
        <f t="shared" si="0"/>
        <v>0</v>
      </c>
      <c r="Q6" s="60">
        <f t="shared" si="0"/>
        <v>0</v>
      </c>
      <c r="R6" s="60">
        <f t="shared" si="0"/>
        <v>0</v>
      </c>
      <c r="S6" s="60">
        <f t="shared" si="0"/>
        <v>0</v>
      </c>
      <c r="T6" s="60">
        <f t="shared" si="0"/>
        <v>0</v>
      </c>
      <c r="U6" s="60">
        <f t="shared" si="0"/>
        <v>0</v>
      </c>
      <c r="V6" s="60">
        <f t="shared" si="0"/>
        <v>0</v>
      </c>
      <c r="W6" s="60">
        <f t="shared" si="0"/>
        <v>0</v>
      </c>
      <c r="X6" s="60">
        <f t="shared" si="0"/>
        <v>0</v>
      </c>
      <c r="Y6" s="60">
        <f t="shared" si="0"/>
        <v>0</v>
      </c>
      <c r="Z6" s="60">
        <f t="shared" si="0"/>
        <v>0</v>
      </c>
      <c r="AA6" s="60">
        <f t="shared" si="0"/>
        <v>0</v>
      </c>
      <c r="AB6" s="60">
        <f t="shared" si="0"/>
        <v>0</v>
      </c>
      <c r="AC6" s="60">
        <f t="shared" si="0"/>
        <v>0</v>
      </c>
      <c r="AD6" s="60">
        <f t="shared" si="0"/>
        <v>0</v>
      </c>
      <c r="AE6" s="60">
        <f t="shared" si="0"/>
        <v>0</v>
      </c>
      <c r="AF6" s="60">
        <f t="shared" si="0"/>
        <v>0</v>
      </c>
      <c r="AG6" s="60">
        <f t="shared" si="0"/>
        <v>0</v>
      </c>
      <c r="AH6" s="60">
        <f t="shared" si="0"/>
        <v>0</v>
      </c>
      <c r="AI6" s="60">
        <f t="shared" si="0"/>
        <v>0</v>
      </c>
      <c r="AJ6" s="60">
        <f t="shared" si="0"/>
        <v>0</v>
      </c>
      <c r="AK6" s="60">
        <f t="shared" si="0"/>
        <v>0</v>
      </c>
      <c r="AL6" s="60">
        <f t="shared" si="0"/>
        <v>0</v>
      </c>
      <c r="AM6" s="60">
        <f t="shared" si="0"/>
        <v>0</v>
      </c>
      <c r="AN6" s="60">
        <f t="shared" si="0"/>
        <v>0</v>
      </c>
      <c r="AO6" s="60">
        <f t="shared" si="0"/>
        <v>0</v>
      </c>
      <c r="AP6" s="60">
        <f t="shared" si="0"/>
        <v>0</v>
      </c>
      <c r="AQ6" s="60">
        <f t="shared" si="0"/>
        <v>0</v>
      </c>
      <c r="AR6" s="60">
        <f t="shared" si="0"/>
        <v>0</v>
      </c>
      <c r="AS6" s="60">
        <f t="shared" si="0"/>
        <v>0</v>
      </c>
      <c r="AT6" s="60">
        <f t="shared" si="0"/>
        <v>0</v>
      </c>
      <c r="AU6" s="60">
        <f t="shared" si="0"/>
        <v>0</v>
      </c>
      <c r="AV6" s="60">
        <f t="shared" si="0"/>
        <v>0</v>
      </c>
      <c r="AW6" s="60">
        <f t="shared" si="0"/>
        <v>0</v>
      </c>
      <c r="AX6" s="60">
        <f t="shared" si="0"/>
        <v>0</v>
      </c>
      <c r="AY6" s="60">
        <f t="shared" si="0"/>
        <v>0</v>
      </c>
      <c r="AZ6" s="60">
        <f t="shared" si="0"/>
        <v>0</v>
      </c>
    </row>
    <row r="7" spans="1:52" ht="14.25" customHeight="1">
      <c r="A7" s="5" t="s">
        <v>53</v>
      </c>
      <c r="B7" s="60">
        <f>Cal!B26</f>
        <v>0</v>
      </c>
      <c r="C7" s="60">
        <f t="shared" si="1"/>
        <v>0</v>
      </c>
      <c r="D7" s="60">
        <f t="shared" si="0"/>
        <v>0</v>
      </c>
      <c r="E7" s="60">
        <f t="shared" si="0"/>
        <v>0</v>
      </c>
      <c r="F7" s="60">
        <f t="shared" si="0"/>
        <v>0</v>
      </c>
      <c r="G7" s="60">
        <f t="shared" si="0"/>
        <v>0</v>
      </c>
      <c r="H7" s="60">
        <f t="shared" si="0"/>
        <v>0</v>
      </c>
      <c r="I7" s="60">
        <f t="shared" si="0"/>
        <v>0</v>
      </c>
      <c r="J7" s="60">
        <f t="shared" si="0"/>
        <v>0</v>
      </c>
      <c r="K7" s="60">
        <f t="shared" si="0"/>
        <v>0</v>
      </c>
      <c r="L7" s="60">
        <f t="shared" si="0"/>
        <v>0</v>
      </c>
      <c r="M7" s="60">
        <f t="shared" si="0"/>
        <v>0</v>
      </c>
      <c r="N7" s="60">
        <f t="shared" si="0"/>
        <v>0</v>
      </c>
      <c r="O7" s="60">
        <f t="shared" si="0"/>
        <v>0</v>
      </c>
      <c r="P7" s="60">
        <f t="shared" si="0"/>
        <v>0</v>
      </c>
      <c r="Q7" s="60">
        <f t="shared" si="0"/>
        <v>0</v>
      </c>
      <c r="R7" s="60">
        <f t="shared" si="0"/>
        <v>0</v>
      </c>
      <c r="S7" s="60">
        <f t="shared" si="0"/>
        <v>0</v>
      </c>
      <c r="T7" s="60">
        <f t="shared" si="0"/>
        <v>0</v>
      </c>
      <c r="U7" s="60">
        <f t="shared" si="0"/>
        <v>0</v>
      </c>
      <c r="V7" s="60">
        <f t="shared" si="0"/>
        <v>0</v>
      </c>
      <c r="W7" s="60">
        <f t="shared" si="0"/>
        <v>0</v>
      </c>
      <c r="X7" s="60">
        <f t="shared" si="0"/>
        <v>0</v>
      </c>
      <c r="Y7" s="60">
        <f t="shared" si="0"/>
        <v>0</v>
      </c>
      <c r="Z7" s="60">
        <f t="shared" si="0"/>
        <v>0</v>
      </c>
      <c r="AA7" s="60">
        <f t="shared" si="0"/>
        <v>0</v>
      </c>
      <c r="AB7" s="60">
        <f t="shared" si="0"/>
        <v>0</v>
      </c>
      <c r="AC7" s="60">
        <f t="shared" ref="D7:AZ12" si="2">$B7</f>
        <v>0</v>
      </c>
      <c r="AD7" s="60">
        <f t="shared" si="2"/>
        <v>0</v>
      </c>
      <c r="AE7" s="60">
        <f t="shared" si="2"/>
        <v>0</v>
      </c>
      <c r="AF7" s="60">
        <f t="shared" si="2"/>
        <v>0</v>
      </c>
      <c r="AG7" s="60">
        <f t="shared" si="2"/>
        <v>0</v>
      </c>
      <c r="AH7" s="60">
        <f t="shared" si="2"/>
        <v>0</v>
      </c>
      <c r="AI7" s="60">
        <f t="shared" si="2"/>
        <v>0</v>
      </c>
      <c r="AJ7" s="60">
        <f t="shared" si="2"/>
        <v>0</v>
      </c>
      <c r="AK7" s="60">
        <f t="shared" si="2"/>
        <v>0</v>
      </c>
      <c r="AL7" s="60">
        <f t="shared" si="2"/>
        <v>0</v>
      </c>
      <c r="AM7" s="60">
        <f t="shared" si="2"/>
        <v>0</v>
      </c>
      <c r="AN7" s="60">
        <f t="shared" si="2"/>
        <v>0</v>
      </c>
      <c r="AO7" s="60">
        <f t="shared" si="2"/>
        <v>0</v>
      </c>
      <c r="AP7" s="60">
        <f t="shared" si="2"/>
        <v>0</v>
      </c>
      <c r="AQ7" s="60">
        <f t="shared" si="2"/>
        <v>0</v>
      </c>
      <c r="AR7" s="60">
        <f t="shared" si="2"/>
        <v>0</v>
      </c>
      <c r="AS7" s="60">
        <f t="shared" si="2"/>
        <v>0</v>
      </c>
      <c r="AT7" s="60">
        <f t="shared" si="2"/>
        <v>0</v>
      </c>
      <c r="AU7" s="60">
        <f t="shared" si="2"/>
        <v>0</v>
      </c>
      <c r="AV7" s="60">
        <f t="shared" si="2"/>
        <v>0</v>
      </c>
      <c r="AW7" s="60">
        <f t="shared" si="2"/>
        <v>0</v>
      </c>
      <c r="AX7" s="60">
        <f t="shared" si="2"/>
        <v>0</v>
      </c>
      <c r="AY7" s="60">
        <f t="shared" si="2"/>
        <v>0</v>
      </c>
      <c r="AZ7" s="60">
        <f t="shared" si="2"/>
        <v>0</v>
      </c>
    </row>
    <row r="8" spans="1:52" ht="14.25" customHeight="1">
      <c r="A8" s="5" t="s">
        <v>64</v>
      </c>
      <c r="B8" s="60">
        <f>Cal!B27</f>
        <v>0</v>
      </c>
      <c r="C8" s="60">
        <f t="shared" si="1"/>
        <v>0</v>
      </c>
      <c r="D8" s="60">
        <f t="shared" si="2"/>
        <v>0</v>
      </c>
      <c r="E8" s="60">
        <f t="shared" si="2"/>
        <v>0</v>
      </c>
      <c r="F8" s="60">
        <f t="shared" si="2"/>
        <v>0</v>
      </c>
      <c r="G8" s="60">
        <f t="shared" si="2"/>
        <v>0</v>
      </c>
      <c r="H8" s="60">
        <f t="shared" si="2"/>
        <v>0</v>
      </c>
      <c r="I8" s="60">
        <f t="shared" si="2"/>
        <v>0</v>
      </c>
      <c r="J8" s="60">
        <f t="shared" si="2"/>
        <v>0</v>
      </c>
      <c r="K8" s="60">
        <f t="shared" si="2"/>
        <v>0</v>
      </c>
      <c r="L8" s="60">
        <f t="shared" si="2"/>
        <v>0</v>
      </c>
      <c r="M8" s="60">
        <f t="shared" si="2"/>
        <v>0</v>
      </c>
      <c r="N8" s="60">
        <f t="shared" si="2"/>
        <v>0</v>
      </c>
      <c r="O8" s="60">
        <f t="shared" si="2"/>
        <v>0</v>
      </c>
      <c r="P8" s="60">
        <f t="shared" si="2"/>
        <v>0</v>
      </c>
      <c r="Q8" s="60">
        <f t="shared" si="2"/>
        <v>0</v>
      </c>
      <c r="R8" s="60">
        <f t="shared" si="2"/>
        <v>0</v>
      </c>
      <c r="S8" s="60">
        <f t="shared" si="2"/>
        <v>0</v>
      </c>
      <c r="T8" s="60">
        <f t="shared" si="2"/>
        <v>0</v>
      </c>
      <c r="U8" s="60">
        <f t="shared" si="2"/>
        <v>0</v>
      </c>
      <c r="V8" s="60">
        <f t="shared" si="2"/>
        <v>0</v>
      </c>
      <c r="W8" s="60">
        <f t="shared" si="2"/>
        <v>0</v>
      </c>
      <c r="X8" s="60">
        <f t="shared" si="2"/>
        <v>0</v>
      </c>
      <c r="Y8" s="60">
        <f t="shared" si="2"/>
        <v>0</v>
      </c>
      <c r="Z8" s="60">
        <f t="shared" si="2"/>
        <v>0</v>
      </c>
      <c r="AA8" s="60">
        <f t="shared" si="2"/>
        <v>0</v>
      </c>
      <c r="AB8" s="60">
        <f t="shared" si="2"/>
        <v>0</v>
      </c>
      <c r="AC8" s="60">
        <f t="shared" si="2"/>
        <v>0</v>
      </c>
      <c r="AD8" s="60">
        <f t="shared" si="2"/>
        <v>0</v>
      </c>
      <c r="AE8" s="60">
        <f t="shared" si="2"/>
        <v>0</v>
      </c>
      <c r="AF8" s="60">
        <f t="shared" si="2"/>
        <v>0</v>
      </c>
      <c r="AG8" s="60">
        <f t="shared" si="2"/>
        <v>0</v>
      </c>
      <c r="AH8" s="60">
        <f t="shared" si="2"/>
        <v>0</v>
      </c>
      <c r="AI8" s="60">
        <f t="shared" si="2"/>
        <v>0</v>
      </c>
      <c r="AJ8" s="60">
        <f t="shared" si="2"/>
        <v>0</v>
      </c>
      <c r="AK8" s="60">
        <f t="shared" si="2"/>
        <v>0</v>
      </c>
      <c r="AL8" s="60">
        <f t="shared" si="2"/>
        <v>0</v>
      </c>
      <c r="AM8" s="60">
        <f t="shared" si="2"/>
        <v>0</v>
      </c>
      <c r="AN8" s="60">
        <f t="shared" si="2"/>
        <v>0</v>
      </c>
      <c r="AO8" s="60">
        <f t="shared" si="2"/>
        <v>0</v>
      </c>
      <c r="AP8" s="60">
        <f t="shared" si="2"/>
        <v>0</v>
      </c>
      <c r="AQ8" s="60">
        <f t="shared" si="2"/>
        <v>0</v>
      </c>
      <c r="AR8" s="60">
        <f t="shared" si="2"/>
        <v>0</v>
      </c>
      <c r="AS8" s="60">
        <f t="shared" si="2"/>
        <v>0</v>
      </c>
      <c r="AT8" s="60">
        <f t="shared" si="2"/>
        <v>0</v>
      </c>
      <c r="AU8" s="60">
        <f t="shared" si="2"/>
        <v>0</v>
      </c>
      <c r="AV8" s="60">
        <f t="shared" si="2"/>
        <v>0</v>
      </c>
      <c r="AW8" s="60">
        <f t="shared" si="2"/>
        <v>0</v>
      </c>
      <c r="AX8" s="60">
        <f t="shared" si="2"/>
        <v>0</v>
      </c>
      <c r="AY8" s="60">
        <f t="shared" si="2"/>
        <v>0</v>
      </c>
      <c r="AZ8" s="60">
        <f t="shared" si="2"/>
        <v>0</v>
      </c>
    </row>
    <row r="9" spans="1:52" ht="14.25" customHeight="1">
      <c r="A9" s="5" t="s">
        <v>54</v>
      </c>
      <c r="B9" s="60">
        <f>Cal!B28</f>
        <v>2.88</v>
      </c>
      <c r="C9" s="60">
        <f t="shared" si="1"/>
        <v>2.88</v>
      </c>
      <c r="D9" s="60">
        <f t="shared" si="2"/>
        <v>2.88</v>
      </c>
      <c r="E9" s="60">
        <f t="shared" si="2"/>
        <v>2.88</v>
      </c>
      <c r="F9" s="60">
        <f t="shared" si="2"/>
        <v>2.88</v>
      </c>
      <c r="G9" s="60">
        <f t="shared" si="2"/>
        <v>2.88</v>
      </c>
      <c r="H9" s="60">
        <f t="shared" si="2"/>
        <v>2.88</v>
      </c>
      <c r="I9" s="60">
        <f t="shared" si="2"/>
        <v>2.88</v>
      </c>
      <c r="J9" s="60">
        <f t="shared" si="2"/>
        <v>2.88</v>
      </c>
      <c r="K9" s="60">
        <f t="shared" si="2"/>
        <v>2.88</v>
      </c>
      <c r="L9" s="60">
        <f t="shared" si="2"/>
        <v>2.88</v>
      </c>
      <c r="M9" s="60">
        <f t="shared" si="2"/>
        <v>2.88</v>
      </c>
      <c r="N9" s="60">
        <f t="shared" si="2"/>
        <v>2.88</v>
      </c>
      <c r="O9" s="60">
        <f t="shared" si="2"/>
        <v>2.88</v>
      </c>
      <c r="P9" s="60">
        <f t="shared" si="2"/>
        <v>2.88</v>
      </c>
      <c r="Q9" s="60">
        <f t="shared" si="2"/>
        <v>2.88</v>
      </c>
      <c r="R9" s="60">
        <f t="shared" si="2"/>
        <v>2.88</v>
      </c>
      <c r="S9" s="60">
        <f t="shared" si="2"/>
        <v>2.88</v>
      </c>
      <c r="T9" s="60">
        <f t="shared" si="2"/>
        <v>2.88</v>
      </c>
      <c r="U9" s="60">
        <f t="shared" si="2"/>
        <v>2.88</v>
      </c>
      <c r="V9" s="60">
        <f t="shared" si="2"/>
        <v>2.88</v>
      </c>
      <c r="W9" s="60">
        <f t="shared" si="2"/>
        <v>2.88</v>
      </c>
      <c r="X9" s="60">
        <f t="shared" si="2"/>
        <v>2.88</v>
      </c>
      <c r="Y9" s="60">
        <f t="shared" si="2"/>
        <v>2.88</v>
      </c>
      <c r="Z9" s="60">
        <f t="shared" si="2"/>
        <v>2.88</v>
      </c>
      <c r="AA9" s="60">
        <f t="shared" si="2"/>
        <v>2.88</v>
      </c>
      <c r="AB9" s="60">
        <f t="shared" si="2"/>
        <v>2.88</v>
      </c>
      <c r="AC9" s="60">
        <f t="shared" si="2"/>
        <v>2.88</v>
      </c>
      <c r="AD9" s="60">
        <f t="shared" si="2"/>
        <v>2.88</v>
      </c>
      <c r="AE9" s="60">
        <f t="shared" si="2"/>
        <v>2.88</v>
      </c>
      <c r="AF9" s="60">
        <f t="shared" si="2"/>
        <v>2.88</v>
      </c>
      <c r="AG9" s="60">
        <f t="shared" si="2"/>
        <v>2.88</v>
      </c>
      <c r="AH9" s="60">
        <f t="shared" si="2"/>
        <v>2.88</v>
      </c>
      <c r="AI9" s="60">
        <f t="shared" si="2"/>
        <v>2.88</v>
      </c>
      <c r="AJ9" s="60">
        <f t="shared" si="2"/>
        <v>2.88</v>
      </c>
      <c r="AK9" s="60">
        <f t="shared" si="2"/>
        <v>2.88</v>
      </c>
      <c r="AL9" s="60">
        <f t="shared" si="2"/>
        <v>2.88</v>
      </c>
      <c r="AM9" s="60">
        <f t="shared" si="2"/>
        <v>2.88</v>
      </c>
      <c r="AN9" s="60">
        <f t="shared" si="2"/>
        <v>2.88</v>
      </c>
      <c r="AO9" s="60">
        <f t="shared" si="2"/>
        <v>2.88</v>
      </c>
      <c r="AP9" s="60">
        <f t="shared" si="2"/>
        <v>2.88</v>
      </c>
      <c r="AQ9" s="60">
        <f t="shared" si="2"/>
        <v>2.88</v>
      </c>
      <c r="AR9" s="60">
        <f t="shared" si="2"/>
        <v>2.88</v>
      </c>
      <c r="AS9" s="60">
        <f t="shared" si="2"/>
        <v>2.88</v>
      </c>
      <c r="AT9" s="60">
        <f t="shared" si="2"/>
        <v>2.88</v>
      </c>
      <c r="AU9" s="60">
        <f t="shared" si="2"/>
        <v>2.88</v>
      </c>
      <c r="AV9" s="60">
        <f t="shared" si="2"/>
        <v>2.88</v>
      </c>
      <c r="AW9" s="60">
        <f t="shared" si="2"/>
        <v>2.88</v>
      </c>
      <c r="AX9" s="60">
        <f t="shared" si="2"/>
        <v>2.88</v>
      </c>
      <c r="AY9" s="60">
        <f t="shared" si="2"/>
        <v>2.88</v>
      </c>
      <c r="AZ9" s="60">
        <f t="shared" si="2"/>
        <v>2.88</v>
      </c>
    </row>
    <row r="10" spans="1:52" ht="14.25" customHeight="1">
      <c r="A10" s="5" t="s">
        <v>55</v>
      </c>
      <c r="B10" s="60">
        <f>Cal!B29</f>
        <v>0.21</v>
      </c>
      <c r="C10" s="60">
        <f t="shared" si="1"/>
        <v>0.21</v>
      </c>
      <c r="D10" s="60">
        <f t="shared" si="2"/>
        <v>0.21</v>
      </c>
      <c r="E10" s="60">
        <f t="shared" si="2"/>
        <v>0.21</v>
      </c>
      <c r="F10" s="60">
        <f t="shared" si="2"/>
        <v>0.21</v>
      </c>
      <c r="G10" s="60">
        <f t="shared" si="2"/>
        <v>0.21</v>
      </c>
      <c r="H10" s="60">
        <f t="shared" si="2"/>
        <v>0.21</v>
      </c>
      <c r="I10" s="60">
        <f t="shared" si="2"/>
        <v>0.21</v>
      </c>
      <c r="J10" s="60">
        <f t="shared" si="2"/>
        <v>0.21</v>
      </c>
      <c r="K10" s="60">
        <f t="shared" si="2"/>
        <v>0.21</v>
      </c>
      <c r="L10" s="60">
        <f t="shared" si="2"/>
        <v>0.21</v>
      </c>
      <c r="M10" s="60">
        <f t="shared" si="2"/>
        <v>0.21</v>
      </c>
      <c r="N10" s="60">
        <f t="shared" si="2"/>
        <v>0.21</v>
      </c>
      <c r="O10" s="60">
        <f t="shared" si="2"/>
        <v>0.21</v>
      </c>
      <c r="P10" s="60">
        <f t="shared" si="2"/>
        <v>0.21</v>
      </c>
      <c r="Q10" s="60">
        <f t="shared" si="2"/>
        <v>0.21</v>
      </c>
      <c r="R10" s="60">
        <f t="shared" si="2"/>
        <v>0.21</v>
      </c>
      <c r="S10" s="60">
        <f t="shared" si="2"/>
        <v>0.21</v>
      </c>
      <c r="T10" s="60">
        <f t="shared" si="2"/>
        <v>0.21</v>
      </c>
      <c r="U10" s="60">
        <f t="shared" si="2"/>
        <v>0.21</v>
      </c>
      <c r="V10" s="60">
        <f t="shared" si="2"/>
        <v>0.21</v>
      </c>
      <c r="W10" s="60">
        <f t="shared" si="2"/>
        <v>0.21</v>
      </c>
      <c r="X10" s="60">
        <f t="shared" si="2"/>
        <v>0.21</v>
      </c>
      <c r="Y10" s="60">
        <f t="shared" si="2"/>
        <v>0.21</v>
      </c>
      <c r="Z10" s="60">
        <f t="shared" si="2"/>
        <v>0.21</v>
      </c>
      <c r="AA10" s="60">
        <f t="shared" si="2"/>
        <v>0.21</v>
      </c>
      <c r="AB10" s="60">
        <f t="shared" si="2"/>
        <v>0.21</v>
      </c>
      <c r="AC10" s="60">
        <f t="shared" si="2"/>
        <v>0.21</v>
      </c>
      <c r="AD10" s="60">
        <f t="shared" si="2"/>
        <v>0.21</v>
      </c>
      <c r="AE10" s="60">
        <f t="shared" si="2"/>
        <v>0.21</v>
      </c>
      <c r="AF10" s="60">
        <f t="shared" si="2"/>
        <v>0.21</v>
      </c>
      <c r="AG10" s="60">
        <f t="shared" si="2"/>
        <v>0.21</v>
      </c>
      <c r="AH10" s="60">
        <f t="shared" si="2"/>
        <v>0.21</v>
      </c>
      <c r="AI10" s="60">
        <f t="shared" si="2"/>
        <v>0.21</v>
      </c>
      <c r="AJ10" s="60">
        <f t="shared" si="2"/>
        <v>0.21</v>
      </c>
      <c r="AK10" s="60">
        <f t="shared" si="2"/>
        <v>0.21</v>
      </c>
      <c r="AL10" s="60">
        <f t="shared" si="2"/>
        <v>0.21</v>
      </c>
      <c r="AM10" s="60">
        <f t="shared" si="2"/>
        <v>0.21</v>
      </c>
      <c r="AN10" s="60">
        <f t="shared" si="2"/>
        <v>0.21</v>
      </c>
      <c r="AO10" s="60">
        <f t="shared" si="2"/>
        <v>0.21</v>
      </c>
      <c r="AP10" s="60">
        <f t="shared" si="2"/>
        <v>0.21</v>
      </c>
      <c r="AQ10" s="60">
        <f t="shared" si="2"/>
        <v>0.21</v>
      </c>
      <c r="AR10" s="60">
        <f t="shared" si="2"/>
        <v>0.21</v>
      </c>
      <c r="AS10" s="60">
        <f t="shared" si="2"/>
        <v>0.21</v>
      </c>
      <c r="AT10" s="60">
        <f t="shared" si="2"/>
        <v>0.21</v>
      </c>
      <c r="AU10" s="60">
        <f t="shared" si="2"/>
        <v>0.21</v>
      </c>
      <c r="AV10" s="60">
        <f t="shared" si="2"/>
        <v>0.21</v>
      </c>
      <c r="AW10" s="60">
        <f t="shared" si="2"/>
        <v>0.21</v>
      </c>
      <c r="AX10" s="60">
        <f t="shared" si="2"/>
        <v>0.21</v>
      </c>
      <c r="AY10" s="60">
        <f t="shared" si="2"/>
        <v>0.21</v>
      </c>
      <c r="AZ10" s="60">
        <f t="shared" si="2"/>
        <v>0.21</v>
      </c>
    </row>
    <row r="11" spans="1:52" ht="14.25" customHeight="1">
      <c r="A11" s="5" t="s">
        <v>56</v>
      </c>
      <c r="B11" s="60">
        <f>Cal!B30</f>
        <v>6.14</v>
      </c>
      <c r="C11" s="60">
        <f t="shared" si="1"/>
        <v>6.14</v>
      </c>
      <c r="D11" s="60">
        <f t="shared" si="2"/>
        <v>6.14</v>
      </c>
      <c r="E11" s="60">
        <f t="shared" si="2"/>
        <v>6.14</v>
      </c>
      <c r="F11" s="60">
        <f t="shared" si="2"/>
        <v>6.14</v>
      </c>
      <c r="G11" s="60">
        <f t="shared" si="2"/>
        <v>6.14</v>
      </c>
      <c r="H11" s="60">
        <f t="shared" si="2"/>
        <v>6.14</v>
      </c>
      <c r="I11" s="60">
        <f t="shared" si="2"/>
        <v>6.14</v>
      </c>
      <c r="J11" s="60">
        <f t="shared" si="2"/>
        <v>6.14</v>
      </c>
      <c r="K11" s="60">
        <f t="shared" si="2"/>
        <v>6.14</v>
      </c>
      <c r="L11" s="60">
        <f t="shared" si="2"/>
        <v>6.14</v>
      </c>
      <c r="M11" s="60">
        <f t="shared" si="2"/>
        <v>6.14</v>
      </c>
      <c r="N11" s="60">
        <f t="shared" si="2"/>
        <v>6.14</v>
      </c>
      <c r="O11" s="60">
        <f t="shared" si="2"/>
        <v>6.14</v>
      </c>
      <c r="P11" s="60">
        <f t="shared" si="2"/>
        <v>6.14</v>
      </c>
      <c r="Q11" s="60">
        <f t="shared" si="2"/>
        <v>6.14</v>
      </c>
      <c r="R11" s="60">
        <f t="shared" si="2"/>
        <v>6.14</v>
      </c>
      <c r="S11" s="60">
        <f t="shared" si="2"/>
        <v>6.14</v>
      </c>
      <c r="T11" s="60">
        <f t="shared" si="2"/>
        <v>6.14</v>
      </c>
      <c r="U11" s="60">
        <f t="shared" si="2"/>
        <v>6.14</v>
      </c>
      <c r="V11" s="60">
        <f t="shared" si="2"/>
        <v>6.14</v>
      </c>
      <c r="W11" s="60">
        <f t="shared" si="2"/>
        <v>6.14</v>
      </c>
      <c r="X11" s="60">
        <f t="shared" si="2"/>
        <v>6.14</v>
      </c>
      <c r="Y11" s="60">
        <f t="shared" si="2"/>
        <v>6.14</v>
      </c>
      <c r="Z11" s="60">
        <f t="shared" si="2"/>
        <v>6.14</v>
      </c>
      <c r="AA11" s="60">
        <f t="shared" si="2"/>
        <v>6.14</v>
      </c>
      <c r="AB11" s="60">
        <f t="shared" si="2"/>
        <v>6.14</v>
      </c>
      <c r="AC11" s="60">
        <f t="shared" si="2"/>
        <v>6.14</v>
      </c>
      <c r="AD11" s="60">
        <f t="shared" si="2"/>
        <v>6.14</v>
      </c>
      <c r="AE11" s="60">
        <f t="shared" si="2"/>
        <v>6.14</v>
      </c>
      <c r="AF11" s="60">
        <f t="shared" si="2"/>
        <v>6.14</v>
      </c>
      <c r="AG11" s="60">
        <f t="shared" si="2"/>
        <v>6.14</v>
      </c>
      <c r="AH11" s="60">
        <f t="shared" si="2"/>
        <v>6.14</v>
      </c>
      <c r="AI11" s="60">
        <f t="shared" si="2"/>
        <v>6.14</v>
      </c>
      <c r="AJ11" s="60">
        <f t="shared" si="2"/>
        <v>6.14</v>
      </c>
      <c r="AK11" s="60">
        <f t="shared" si="2"/>
        <v>6.14</v>
      </c>
      <c r="AL11" s="60">
        <f t="shared" si="2"/>
        <v>6.14</v>
      </c>
      <c r="AM11" s="60">
        <f t="shared" si="2"/>
        <v>6.14</v>
      </c>
      <c r="AN11" s="60">
        <f t="shared" si="2"/>
        <v>6.14</v>
      </c>
      <c r="AO11" s="60">
        <f t="shared" si="2"/>
        <v>6.14</v>
      </c>
      <c r="AP11" s="60">
        <f t="shared" si="2"/>
        <v>6.14</v>
      </c>
      <c r="AQ11" s="60">
        <f t="shared" si="2"/>
        <v>6.14</v>
      </c>
      <c r="AR11" s="60">
        <f t="shared" si="2"/>
        <v>6.14</v>
      </c>
      <c r="AS11" s="60">
        <f t="shared" si="2"/>
        <v>6.14</v>
      </c>
      <c r="AT11" s="60">
        <f t="shared" si="2"/>
        <v>6.14</v>
      </c>
      <c r="AU11" s="60">
        <f t="shared" si="2"/>
        <v>6.14</v>
      </c>
      <c r="AV11" s="60">
        <f t="shared" si="2"/>
        <v>6.14</v>
      </c>
      <c r="AW11" s="60">
        <f t="shared" si="2"/>
        <v>6.14</v>
      </c>
      <c r="AX11" s="60">
        <f t="shared" si="2"/>
        <v>6.14</v>
      </c>
      <c r="AY11" s="60">
        <f t="shared" si="2"/>
        <v>6.14</v>
      </c>
      <c r="AZ11" s="60">
        <f t="shared" si="2"/>
        <v>6.14</v>
      </c>
    </row>
    <row r="12" spans="1:52" ht="14.25" customHeight="1">
      <c r="A12" s="5" t="s">
        <v>57</v>
      </c>
      <c r="B12" s="60">
        <f>Cal!B31</f>
        <v>0.12479999999999999</v>
      </c>
      <c r="C12" s="60">
        <f t="shared" si="1"/>
        <v>0.12479999999999999</v>
      </c>
      <c r="D12" s="60">
        <f t="shared" si="2"/>
        <v>0.12479999999999999</v>
      </c>
      <c r="E12" s="60">
        <f t="shared" si="2"/>
        <v>0.12479999999999999</v>
      </c>
      <c r="F12" s="60">
        <f t="shared" si="2"/>
        <v>0.12479999999999999</v>
      </c>
      <c r="G12" s="60">
        <f t="shared" si="2"/>
        <v>0.12479999999999999</v>
      </c>
      <c r="H12" s="60">
        <f t="shared" si="2"/>
        <v>0.12479999999999999</v>
      </c>
      <c r="I12" s="60">
        <f t="shared" si="2"/>
        <v>0.12479999999999999</v>
      </c>
      <c r="J12" s="60">
        <f t="shared" si="2"/>
        <v>0.12479999999999999</v>
      </c>
      <c r="K12" s="60">
        <f t="shared" si="2"/>
        <v>0.12479999999999999</v>
      </c>
      <c r="L12" s="60">
        <f t="shared" si="2"/>
        <v>0.12479999999999999</v>
      </c>
      <c r="M12" s="60">
        <f t="shared" si="2"/>
        <v>0.12479999999999999</v>
      </c>
      <c r="N12" s="60">
        <f t="shared" si="2"/>
        <v>0.12479999999999999</v>
      </c>
      <c r="O12" s="60">
        <f t="shared" si="2"/>
        <v>0.12479999999999999</v>
      </c>
      <c r="P12" s="60">
        <f t="shared" si="2"/>
        <v>0.12479999999999999</v>
      </c>
      <c r="Q12" s="60">
        <f t="shared" si="2"/>
        <v>0.12479999999999999</v>
      </c>
      <c r="R12" s="60">
        <f t="shared" si="2"/>
        <v>0.12479999999999999</v>
      </c>
      <c r="S12" s="60">
        <f t="shared" si="2"/>
        <v>0.12479999999999999</v>
      </c>
      <c r="T12" s="60">
        <f t="shared" si="2"/>
        <v>0.12479999999999999</v>
      </c>
      <c r="U12" s="60">
        <f t="shared" si="2"/>
        <v>0.12479999999999999</v>
      </c>
      <c r="V12" s="60">
        <f t="shared" si="2"/>
        <v>0.12479999999999999</v>
      </c>
      <c r="W12" s="60">
        <f t="shared" si="2"/>
        <v>0.12479999999999999</v>
      </c>
      <c r="X12" s="60">
        <f t="shared" si="2"/>
        <v>0.12479999999999999</v>
      </c>
      <c r="Y12" s="60">
        <f t="shared" si="2"/>
        <v>0.12479999999999999</v>
      </c>
      <c r="Z12" s="60">
        <f t="shared" si="2"/>
        <v>0.12479999999999999</v>
      </c>
      <c r="AA12" s="60">
        <f t="shared" si="2"/>
        <v>0.12479999999999999</v>
      </c>
      <c r="AB12" s="60">
        <f t="shared" si="2"/>
        <v>0.12479999999999999</v>
      </c>
      <c r="AC12" s="60">
        <f t="shared" si="2"/>
        <v>0.12479999999999999</v>
      </c>
      <c r="AD12" s="60">
        <f t="shared" si="2"/>
        <v>0.12479999999999999</v>
      </c>
      <c r="AE12" s="60">
        <f t="shared" si="2"/>
        <v>0.12479999999999999</v>
      </c>
      <c r="AF12" s="60">
        <f t="shared" si="2"/>
        <v>0.12479999999999999</v>
      </c>
      <c r="AG12" s="60">
        <f t="shared" si="2"/>
        <v>0.12479999999999999</v>
      </c>
      <c r="AH12" s="60">
        <f t="shared" si="2"/>
        <v>0.12479999999999999</v>
      </c>
      <c r="AI12" s="60">
        <f t="shared" si="2"/>
        <v>0.12479999999999999</v>
      </c>
      <c r="AJ12" s="60">
        <f t="shared" si="2"/>
        <v>0.12479999999999999</v>
      </c>
      <c r="AK12" s="60">
        <f t="shared" si="2"/>
        <v>0.12479999999999999</v>
      </c>
      <c r="AL12" s="60">
        <f t="shared" si="2"/>
        <v>0.12479999999999999</v>
      </c>
      <c r="AM12" s="60">
        <f t="shared" ref="D12:AZ17" si="3">$B12</f>
        <v>0.12479999999999999</v>
      </c>
      <c r="AN12" s="60">
        <f t="shared" si="3"/>
        <v>0.12479999999999999</v>
      </c>
      <c r="AO12" s="60">
        <f t="shared" si="3"/>
        <v>0.12479999999999999</v>
      </c>
      <c r="AP12" s="60">
        <f t="shared" si="3"/>
        <v>0.12479999999999999</v>
      </c>
      <c r="AQ12" s="60">
        <f t="shared" si="3"/>
        <v>0.12479999999999999</v>
      </c>
      <c r="AR12" s="60">
        <f t="shared" si="3"/>
        <v>0.12479999999999999</v>
      </c>
      <c r="AS12" s="60">
        <f t="shared" si="3"/>
        <v>0.12479999999999999</v>
      </c>
      <c r="AT12" s="60">
        <f t="shared" si="3"/>
        <v>0.12479999999999999</v>
      </c>
      <c r="AU12" s="60">
        <f t="shared" si="3"/>
        <v>0.12479999999999999</v>
      </c>
      <c r="AV12" s="60">
        <f t="shared" si="3"/>
        <v>0.12479999999999999</v>
      </c>
      <c r="AW12" s="60">
        <f t="shared" si="3"/>
        <v>0.12479999999999999</v>
      </c>
      <c r="AX12" s="60">
        <f t="shared" si="3"/>
        <v>0.12479999999999999</v>
      </c>
      <c r="AY12" s="60">
        <f t="shared" si="3"/>
        <v>0.12479999999999999</v>
      </c>
      <c r="AZ12" s="60">
        <f t="shared" si="3"/>
        <v>0.12479999999999999</v>
      </c>
    </row>
    <row r="13" spans="1:52" ht="14.25" customHeight="1">
      <c r="A13" s="5" t="s">
        <v>58</v>
      </c>
      <c r="B13" s="60">
        <f>Cal!B32</f>
        <v>0.12</v>
      </c>
      <c r="C13" s="60">
        <f t="shared" si="1"/>
        <v>0.12</v>
      </c>
      <c r="D13" s="60">
        <f t="shared" si="3"/>
        <v>0.12</v>
      </c>
      <c r="E13" s="60">
        <f t="shared" si="3"/>
        <v>0.12</v>
      </c>
      <c r="F13" s="60">
        <f t="shared" si="3"/>
        <v>0.12</v>
      </c>
      <c r="G13" s="60">
        <f t="shared" si="3"/>
        <v>0.12</v>
      </c>
      <c r="H13" s="60">
        <f t="shared" si="3"/>
        <v>0.12</v>
      </c>
      <c r="I13" s="60">
        <f t="shared" si="3"/>
        <v>0.12</v>
      </c>
      <c r="J13" s="60">
        <f t="shared" si="3"/>
        <v>0.12</v>
      </c>
      <c r="K13" s="60">
        <f t="shared" si="3"/>
        <v>0.12</v>
      </c>
      <c r="L13" s="60">
        <f t="shared" si="3"/>
        <v>0.12</v>
      </c>
      <c r="M13" s="60">
        <f t="shared" si="3"/>
        <v>0.12</v>
      </c>
      <c r="N13" s="60">
        <f t="shared" si="3"/>
        <v>0.12</v>
      </c>
      <c r="O13" s="60">
        <f t="shared" si="3"/>
        <v>0.12</v>
      </c>
      <c r="P13" s="60">
        <f t="shared" si="3"/>
        <v>0.12</v>
      </c>
      <c r="Q13" s="60">
        <f t="shared" si="3"/>
        <v>0.12</v>
      </c>
      <c r="R13" s="60">
        <f t="shared" si="3"/>
        <v>0.12</v>
      </c>
      <c r="S13" s="60">
        <f t="shared" si="3"/>
        <v>0.12</v>
      </c>
      <c r="T13" s="60">
        <f t="shared" si="3"/>
        <v>0.12</v>
      </c>
      <c r="U13" s="60">
        <f t="shared" si="3"/>
        <v>0.12</v>
      </c>
      <c r="V13" s="60">
        <f t="shared" si="3"/>
        <v>0.12</v>
      </c>
      <c r="W13" s="60">
        <f t="shared" si="3"/>
        <v>0.12</v>
      </c>
      <c r="X13" s="60">
        <f t="shared" si="3"/>
        <v>0.12</v>
      </c>
      <c r="Y13" s="60">
        <f t="shared" si="3"/>
        <v>0.12</v>
      </c>
      <c r="Z13" s="60">
        <f t="shared" si="3"/>
        <v>0.12</v>
      </c>
      <c r="AA13" s="60">
        <f t="shared" si="3"/>
        <v>0.12</v>
      </c>
      <c r="AB13" s="60">
        <f t="shared" si="3"/>
        <v>0.12</v>
      </c>
      <c r="AC13" s="60">
        <f t="shared" si="3"/>
        <v>0.12</v>
      </c>
      <c r="AD13" s="60">
        <f t="shared" si="3"/>
        <v>0.12</v>
      </c>
      <c r="AE13" s="60">
        <f t="shared" si="3"/>
        <v>0.12</v>
      </c>
      <c r="AF13" s="60">
        <f t="shared" si="3"/>
        <v>0.12</v>
      </c>
      <c r="AG13" s="60">
        <f t="shared" si="3"/>
        <v>0.12</v>
      </c>
      <c r="AH13" s="60">
        <f t="shared" si="3"/>
        <v>0.12</v>
      </c>
      <c r="AI13" s="60">
        <f t="shared" si="3"/>
        <v>0.12</v>
      </c>
      <c r="AJ13" s="60">
        <f t="shared" si="3"/>
        <v>0.12</v>
      </c>
      <c r="AK13" s="60">
        <f t="shared" si="3"/>
        <v>0.12</v>
      </c>
      <c r="AL13" s="60">
        <f t="shared" si="3"/>
        <v>0.12</v>
      </c>
      <c r="AM13" s="60">
        <f t="shared" si="3"/>
        <v>0.12</v>
      </c>
      <c r="AN13" s="60">
        <f t="shared" si="3"/>
        <v>0.12</v>
      </c>
      <c r="AO13" s="60">
        <f t="shared" si="3"/>
        <v>0.12</v>
      </c>
      <c r="AP13" s="60">
        <f t="shared" si="3"/>
        <v>0.12</v>
      </c>
      <c r="AQ13" s="60">
        <f t="shared" si="3"/>
        <v>0.12</v>
      </c>
      <c r="AR13" s="60">
        <f t="shared" si="3"/>
        <v>0.12</v>
      </c>
      <c r="AS13" s="60">
        <f t="shared" si="3"/>
        <v>0.12</v>
      </c>
      <c r="AT13" s="60">
        <f t="shared" si="3"/>
        <v>0.12</v>
      </c>
      <c r="AU13" s="60">
        <f t="shared" si="3"/>
        <v>0.12</v>
      </c>
      <c r="AV13" s="60">
        <f t="shared" si="3"/>
        <v>0.12</v>
      </c>
      <c r="AW13" s="60">
        <f t="shared" si="3"/>
        <v>0.12</v>
      </c>
      <c r="AX13" s="60">
        <f t="shared" si="3"/>
        <v>0.12</v>
      </c>
      <c r="AY13" s="60">
        <f t="shared" si="3"/>
        <v>0.12</v>
      </c>
      <c r="AZ13" s="60">
        <f t="shared" si="3"/>
        <v>0.12</v>
      </c>
    </row>
    <row r="14" spans="1:52" ht="14.25" customHeight="1">
      <c r="A14" s="5" t="s">
        <v>59</v>
      </c>
      <c r="B14" s="60">
        <f>Cal!B33</f>
        <v>4.29</v>
      </c>
      <c r="C14" s="60">
        <f t="shared" si="1"/>
        <v>4.29</v>
      </c>
      <c r="D14" s="60">
        <f t="shared" si="3"/>
        <v>4.29</v>
      </c>
      <c r="E14" s="60">
        <f t="shared" si="3"/>
        <v>4.29</v>
      </c>
      <c r="F14" s="60">
        <f t="shared" si="3"/>
        <v>4.29</v>
      </c>
      <c r="G14" s="60">
        <f t="shared" si="3"/>
        <v>4.29</v>
      </c>
      <c r="H14" s="60">
        <f t="shared" si="3"/>
        <v>4.29</v>
      </c>
      <c r="I14" s="60">
        <f t="shared" si="3"/>
        <v>4.29</v>
      </c>
      <c r="J14" s="60">
        <f t="shared" si="3"/>
        <v>4.29</v>
      </c>
      <c r="K14" s="60">
        <f t="shared" si="3"/>
        <v>4.29</v>
      </c>
      <c r="L14" s="60">
        <f t="shared" si="3"/>
        <v>4.29</v>
      </c>
      <c r="M14" s="60">
        <f t="shared" si="3"/>
        <v>4.29</v>
      </c>
      <c r="N14" s="60">
        <f t="shared" si="3"/>
        <v>4.29</v>
      </c>
      <c r="O14" s="60">
        <f t="shared" si="3"/>
        <v>4.29</v>
      </c>
      <c r="P14" s="60">
        <f t="shared" si="3"/>
        <v>4.29</v>
      </c>
      <c r="Q14" s="60">
        <f t="shared" si="3"/>
        <v>4.29</v>
      </c>
      <c r="R14" s="60">
        <f t="shared" si="3"/>
        <v>4.29</v>
      </c>
      <c r="S14" s="60">
        <f t="shared" si="3"/>
        <v>4.29</v>
      </c>
      <c r="T14" s="60">
        <f t="shared" si="3"/>
        <v>4.29</v>
      </c>
      <c r="U14" s="60">
        <f t="shared" si="3"/>
        <v>4.29</v>
      </c>
      <c r="V14" s="60">
        <f t="shared" si="3"/>
        <v>4.29</v>
      </c>
      <c r="W14" s="60">
        <f t="shared" si="3"/>
        <v>4.29</v>
      </c>
      <c r="X14" s="60">
        <f t="shared" si="3"/>
        <v>4.29</v>
      </c>
      <c r="Y14" s="60">
        <f t="shared" si="3"/>
        <v>4.29</v>
      </c>
      <c r="Z14" s="60">
        <f t="shared" si="3"/>
        <v>4.29</v>
      </c>
      <c r="AA14" s="60">
        <f t="shared" si="3"/>
        <v>4.29</v>
      </c>
      <c r="AB14" s="60">
        <f t="shared" si="3"/>
        <v>4.29</v>
      </c>
      <c r="AC14" s="60">
        <f t="shared" si="3"/>
        <v>4.29</v>
      </c>
      <c r="AD14" s="60">
        <f t="shared" si="3"/>
        <v>4.29</v>
      </c>
      <c r="AE14" s="60">
        <f t="shared" si="3"/>
        <v>4.29</v>
      </c>
      <c r="AF14" s="60">
        <f t="shared" si="3"/>
        <v>4.29</v>
      </c>
      <c r="AG14" s="60">
        <f t="shared" si="3"/>
        <v>4.29</v>
      </c>
      <c r="AH14" s="60">
        <f t="shared" si="3"/>
        <v>4.29</v>
      </c>
      <c r="AI14" s="60">
        <f t="shared" si="3"/>
        <v>4.29</v>
      </c>
      <c r="AJ14" s="60">
        <f t="shared" si="3"/>
        <v>4.29</v>
      </c>
      <c r="AK14" s="60">
        <f t="shared" si="3"/>
        <v>4.29</v>
      </c>
      <c r="AL14" s="60">
        <f t="shared" si="3"/>
        <v>4.29</v>
      </c>
      <c r="AM14" s="60">
        <f t="shared" si="3"/>
        <v>4.29</v>
      </c>
      <c r="AN14" s="60">
        <f t="shared" si="3"/>
        <v>4.29</v>
      </c>
      <c r="AO14" s="60">
        <f t="shared" si="3"/>
        <v>4.29</v>
      </c>
      <c r="AP14" s="60">
        <f t="shared" si="3"/>
        <v>4.29</v>
      </c>
      <c r="AQ14" s="60">
        <f t="shared" si="3"/>
        <v>4.29</v>
      </c>
      <c r="AR14" s="60">
        <f t="shared" si="3"/>
        <v>4.29</v>
      </c>
      <c r="AS14" s="60">
        <f t="shared" si="3"/>
        <v>4.29</v>
      </c>
      <c r="AT14" s="60">
        <f t="shared" si="3"/>
        <v>4.29</v>
      </c>
      <c r="AU14" s="60">
        <f t="shared" si="3"/>
        <v>4.29</v>
      </c>
      <c r="AV14" s="60">
        <f t="shared" si="3"/>
        <v>4.29</v>
      </c>
      <c r="AW14" s="60">
        <f t="shared" si="3"/>
        <v>4.29</v>
      </c>
      <c r="AX14" s="60">
        <f t="shared" si="3"/>
        <v>4.29</v>
      </c>
      <c r="AY14" s="60">
        <f t="shared" si="3"/>
        <v>4.29</v>
      </c>
      <c r="AZ14" s="60">
        <f t="shared" si="3"/>
        <v>4.29</v>
      </c>
    </row>
    <row r="15" spans="1:52" ht="14.25" customHeight="1">
      <c r="A15" s="5" t="s">
        <v>60</v>
      </c>
      <c r="B15" s="60">
        <f>Cal!B34</f>
        <v>6.14</v>
      </c>
      <c r="C15" s="60">
        <f t="shared" si="1"/>
        <v>6.14</v>
      </c>
      <c r="D15" s="60">
        <f t="shared" si="3"/>
        <v>6.14</v>
      </c>
      <c r="E15" s="60">
        <f t="shared" si="3"/>
        <v>6.14</v>
      </c>
      <c r="F15" s="60">
        <f t="shared" si="3"/>
        <v>6.14</v>
      </c>
      <c r="G15" s="60">
        <f t="shared" si="3"/>
        <v>6.14</v>
      </c>
      <c r="H15" s="60">
        <f t="shared" si="3"/>
        <v>6.14</v>
      </c>
      <c r="I15" s="60">
        <f t="shared" si="3"/>
        <v>6.14</v>
      </c>
      <c r="J15" s="60">
        <f t="shared" si="3"/>
        <v>6.14</v>
      </c>
      <c r="K15" s="60">
        <f t="shared" si="3"/>
        <v>6.14</v>
      </c>
      <c r="L15" s="60">
        <f t="shared" si="3"/>
        <v>6.14</v>
      </c>
      <c r="M15" s="60">
        <f t="shared" si="3"/>
        <v>6.14</v>
      </c>
      <c r="N15" s="60">
        <f t="shared" si="3"/>
        <v>6.14</v>
      </c>
      <c r="O15" s="60">
        <f t="shared" si="3"/>
        <v>6.14</v>
      </c>
      <c r="P15" s="60">
        <f t="shared" si="3"/>
        <v>6.14</v>
      </c>
      <c r="Q15" s="60">
        <f t="shared" si="3"/>
        <v>6.14</v>
      </c>
      <c r="R15" s="60">
        <f t="shared" si="3"/>
        <v>6.14</v>
      </c>
      <c r="S15" s="60">
        <f t="shared" si="3"/>
        <v>6.14</v>
      </c>
      <c r="T15" s="60">
        <f t="shared" si="3"/>
        <v>6.14</v>
      </c>
      <c r="U15" s="60">
        <f t="shared" si="3"/>
        <v>6.14</v>
      </c>
      <c r="V15" s="60">
        <f t="shared" si="3"/>
        <v>6.14</v>
      </c>
      <c r="W15" s="60">
        <f t="shared" si="3"/>
        <v>6.14</v>
      </c>
      <c r="X15" s="60">
        <f t="shared" si="3"/>
        <v>6.14</v>
      </c>
      <c r="Y15" s="60">
        <f t="shared" si="3"/>
        <v>6.14</v>
      </c>
      <c r="Z15" s="60">
        <f t="shared" si="3"/>
        <v>6.14</v>
      </c>
      <c r="AA15" s="60">
        <f t="shared" si="3"/>
        <v>6.14</v>
      </c>
      <c r="AB15" s="60">
        <f t="shared" si="3"/>
        <v>6.14</v>
      </c>
      <c r="AC15" s="60">
        <f t="shared" si="3"/>
        <v>6.14</v>
      </c>
      <c r="AD15" s="60">
        <f t="shared" si="3"/>
        <v>6.14</v>
      </c>
      <c r="AE15" s="60">
        <f t="shared" si="3"/>
        <v>6.14</v>
      </c>
      <c r="AF15" s="60">
        <f t="shared" si="3"/>
        <v>6.14</v>
      </c>
      <c r="AG15" s="60">
        <f t="shared" si="3"/>
        <v>6.14</v>
      </c>
      <c r="AH15" s="60">
        <f t="shared" si="3"/>
        <v>6.14</v>
      </c>
      <c r="AI15" s="60">
        <f t="shared" si="3"/>
        <v>6.14</v>
      </c>
      <c r="AJ15" s="60">
        <f t="shared" si="3"/>
        <v>6.14</v>
      </c>
      <c r="AK15" s="60">
        <f t="shared" si="3"/>
        <v>6.14</v>
      </c>
      <c r="AL15" s="60">
        <f t="shared" si="3"/>
        <v>6.14</v>
      </c>
      <c r="AM15" s="60">
        <f t="shared" si="3"/>
        <v>6.14</v>
      </c>
      <c r="AN15" s="60">
        <f t="shared" si="3"/>
        <v>6.14</v>
      </c>
      <c r="AO15" s="60">
        <f t="shared" si="3"/>
        <v>6.14</v>
      </c>
      <c r="AP15" s="60">
        <f t="shared" si="3"/>
        <v>6.14</v>
      </c>
      <c r="AQ15" s="60">
        <f t="shared" si="3"/>
        <v>6.14</v>
      </c>
      <c r="AR15" s="60">
        <f t="shared" si="3"/>
        <v>6.14</v>
      </c>
      <c r="AS15" s="60">
        <f t="shared" si="3"/>
        <v>6.14</v>
      </c>
      <c r="AT15" s="60">
        <f t="shared" si="3"/>
        <v>6.14</v>
      </c>
      <c r="AU15" s="60">
        <f t="shared" si="3"/>
        <v>6.14</v>
      </c>
      <c r="AV15" s="60">
        <f t="shared" si="3"/>
        <v>6.14</v>
      </c>
      <c r="AW15" s="60">
        <f t="shared" si="3"/>
        <v>6.14</v>
      </c>
      <c r="AX15" s="60">
        <f t="shared" si="3"/>
        <v>6.14</v>
      </c>
      <c r="AY15" s="60">
        <f t="shared" si="3"/>
        <v>6.14</v>
      </c>
      <c r="AZ15" s="60">
        <f t="shared" si="3"/>
        <v>6.14</v>
      </c>
    </row>
    <row r="16" spans="1:52" ht="14.25" customHeight="1">
      <c r="A16" s="5" t="s">
        <v>61</v>
      </c>
      <c r="B16" s="60">
        <f>Cal!B35</f>
        <v>6.14</v>
      </c>
      <c r="C16" s="60">
        <f t="shared" si="1"/>
        <v>6.14</v>
      </c>
      <c r="D16" s="60">
        <f t="shared" si="3"/>
        <v>6.14</v>
      </c>
      <c r="E16" s="60">
        <f t="shared" si="3"/>
        <v>6.14</v>
      </c>
      <c r="F16" s="60">
        <f t="shared" si="3"/>
        <v>6.14</v>
      </c>
      <c r="G16" s="60">
        <f t="shared" si="3"/>
        <v>6.14</v>
      </c>
      <c r="H16" s="60">
        <f t="shared" si="3"/>
        <v>6.14</v>
      </c>
      <c r="I16" s="60">
        <f t="shared" si="3"/>
        <v>6.14</v>
      </c>
      <c r="J16" s="60">
        <f t="shared" si="3"/>
        <v>6.14</v>
      </c>
      <c r="K16" s="60">
        <f t="shared" si="3"/>
        <v>6.14</v>
      </c>
      <c r="L16" s="60">
        <f t="shared" si="3"/>
        <v>6.14</v>
      </c>
      <c r="M16" s="60">
        <f t="shared" si="3"/>
        <v>6.14</v>
      </c>
      <c r="N16" s="60">
        <f t="shared" si="3"/>
        <v>6.14</v>
      </c>
      <c r="O16" s="60">
        <f t="shared" si="3"/>
        <v>6.14</v>
      </c>
      <c r="P16" s="60">
        <f t="shared" si="3"/>
        <v>6.14</v>
      </c>
      <c r="Q16" s="60">
        <f t="shared" si="3"/>
        <v>6.14</v>
      </c>
      <c r="R16" s="60">
        <f t="shared" si="3"/>
        <v>6.14</v>
      </c>
      <c r="S16" s="60">
        <f t="shared" si="3"/>
        <v>6.14</v>
      </c>
      <c r="T16" s="60">
        <f t="shared" si="3"/>
        <v>6.14</v>
      </c>
      <c r="U16" s="60">
        <f t="shared" si="3"/>
        <v>6.14</v>
      </c>
      <c r="V16" s="60">
        <f t="shared" si="3"/>
        <v>6.14</v>
      </c>
      <c r="W16" s="60">
        <f t="shared" si="3"/>
        <v>6.14</v>
      </c>
      <c r="X16" s="60">
        <f t="shared" si="3"/>
        <v>6.14</v>
      </c>
      <c r="Y16" s="60">
        <f t="shared" si="3"/>
        <v>6.14</v>
      </c>
      <c r="Z16" s="60">
        <f t="shared" si="3"/>
        <v>6.14</v>
      </c>
      <c r="AA16" s="60">
        <f t="shared" si="3"/>
        <v>6.14</v>
      </c>
      <c r="AB16" s="60">
        <f t="shared" si="3"/>
        <v>6.14</v>
      </c>
      <c r="AC16" s="60">
        <f t="shared" si="3"/>
        <v>6.14</v>
      </c>
      <c r="AD16" s="60">
        <f t="shared" si="3"/>
        <v>6.14</v>
      </c>
      <c r="AE16" s="60">
        <f t="shared" si="3"/>
        <v>6.14</v>
      </c>
      <c r="AF16" s="60">
        <f t="shared" si="3"/>
        <v>6.14</v>
      </c>
      <c r="AG16" s="60">
        <f t="shared" si="3"/>
        <v>6.14</v>
      </c>
      <c r="AH16" s="60">
        <f t="shared" si="3"/>
        <v>6.14</v>
      </c>
      <c r="AI16" s="60">
        <f t="shared" si="3"/>
        <v>6.14</v>
      </c>
      <c r="AJ16" s="60">
        <f t="shared" si="3"/>
        <v>6.14</v>
      </c>
      <c r="AK16" s="60">
        <f t="shared" si="3"/>
        <v>6.14</v>
      </c>
      <c r="AL16" s="60">
        <f t="shared" si="3"/>
        <v>6.14</v>
      </c>
      <c r="AM16" s="60">
        <f t="shared" si="3"/>
        <v>6.14</v>
      </c>
      <c r="AN16" s="60">
        <f t="shared" si="3"/>
        <v>6.14</v>
      </c>
      <c r="AO16" s="60">
        <f t="shared" si="3"/>
        <v>6.14</v>
      </c>
      <c r="AP16" s="60">
        <f t="shared" si="3"/>
        <v>6.14</v>
      </c>
      <c r="AQ16" s="60">
        <f t="shared" si="3"/>
        <v>6.14</v>
      </c>
      <c r="AR16" s="60">
        <f t="shared" si="3"/>
        <v>6.14</v>
      </c>
      <c r="AS16" s="60">
        <f t="shared" si="3"/>
        <v>6.14</v>
      </c>
      <c r="AT16" s="60">
        <f t="shared" si="3"/>
        <v>6.14</v>
      </c>
      <c r="AU16" s="60">
        <f t="shared" si="3"/>
        <v>6.14</v>
      </c>
      <c r="AV16" s="60">
        <f t="shared" si="3"/>
        <v>6.14</v>
      </c>
      <c r="AW16" s="60">
        <f t="shared" si="3"/>
        <v>6.14</v>
      </c>
      <c r="AX16" s="60">
        <f t="shared" si="3"/>
        <v>6.14</v>
      </c>
      <c r="AY16" s="60">
        <f t="shared" si="3"/>
        <v>6.14</v>
      </c>
      <c r="AZ16" s="60">
        <f t="shared" si="3"/>
        <v>6.14</v>
      </c>
    </row>
    <row r="17" spans="1:52" ht="14.25" customHeight="1">
      <c r="A17" s="5" t="s">
        <v>62</v>
      </c>
      <c r="B17" s="60">
        <f>Cal!B36</f>
        <v>23.14</v>
      </c>
      <c r="C17" s="60">
        <f t="shared" si="1"/>
        <v>23.14</v>
      </c>
      <c r="D17" s="60">
        <f t="shared" si="3"/>
        <v>23.14</v>
      </c>
      <c r="E17" s="60">
        <f t="shared" si="3"/>
        <v>23.14</v>
      </c>
      <c r="F17" s="60">
        <f t="shared" si="3"/>
        <v>23.14</v>
      </c>
      <c r="G17" s="60">
        <f t="shared" si="3"/>
        <v>23.14</v>
      </c>
      <c r="H17" s="60">
        <f t="shared" si="3"/>
        <v>23.14</v>
      </c>
      <c r="I17" s="60">
        <f t="shared" si="3"/>
        <v>23.14</v>
      </c>
      <c r="J17" s="60">
        <f t="shared" si="3"/>
        <v>23.14</v>
      </c>
      <c r="K17" s="60">
        <f t="shared" si="3"/>
        <v>23.14</v>
      </c>
      <c r="L17" s="60">
        <f t="shared" si="3"/>
        <v>23.14</v>
      </c>
      <c r="M17" s="60">
        <f t="shared" si="3"/>
        <v>23.14</v>
      </c>
      <c r="N17" s="60">
        <f t="shared" si="3"/>
        <v>23.14</v>
      </c>
      <c r="O17" s="60">
        <f t="shared" si="3"/>
        <v>23.14</v>
      </c>
      <c r="P17" s="60">
        <f t="shared" si="3"/>
        <v>23.14</v>
      </c>
      <c r="Q17" s="60">
        <f t="shared" si="3"/>
        <v>23.14</v>
      </c>
      <c r="R17" s="60">
        <f t="shared" si="3"/>
        <v>23.14</v>
      </c>
      <c r="S17" s="60">
        <f t="shared" si="3"/>
        <v>23.14</v>
      </c>
      <c r="T17" s="60">
        <f t="shared" si="3"/>
        <v>23.14</v>
      </c>
      <c r="U17" s="60">
        <f t="shared" si="3"/>
        <v>23.14</v>
      </c>
      <c r="V17" s="60">
        <f t="shared" si="3"/>
        <v>23.14</v>
      </c>
      <c r="W17" s="60">
        <f t="shared" si="3"/>
        <v>23.14</v>
      </c>
      <c r="X17" s="60">
        <f t="shared" si="3"/>
        <v>23.14</v>
      </c>
      <c r="Y17" s="60">
        <f t="shared" si="3"/>
        <v>23.14</v>
      </c>
      <c r="Z17" s="60">
        <f t="shared" si="3"/>
        <v>23.14</v>
      </c>
      <c r="AA17" s="60">
        <f t="shared" si="3"/>
        <v>23.14</v>
      </c>
      <c r="AB17" s="60">
        <f t="shared" si="3"/>
        <v>23.14</v>
      </c>
      <c r="AC17" s="60">
        <f t="shared" si="3"/>
        <v>23.14</v>
      </c>
      <c r="AD17" s="60">
        <f t="shared" si="3"/>
        <v>23.14</v>
      </c>
      <c r="AE17" s="60">
        <f t="shared" si="3"/>
        <v>23.14</v>
      </c>
      <c r="AF17" s="60">
        <f t="shared" si="3"/>
        <v>23.14</v>
      </c>
      <c r="AG17" s="60">
        <f t="shared" si="3"/>
        <v>23.14</v>
      </c>
      <c r="AH17" s="60">
        <f t="shared" si="3"/>
        <v>23.14</v>
      </c>
      <c r="AI17" s="60">
        <f t="shared" si="3"/>
        <v>23.14</v>
      </c>
      <c r="AJ17" s="60">
        <f t="shared" si="3"/>
        <v>23.14</v>
      </c>
      <c r="AK17" s="60">
        <f t="shared" si="3"/>
        <v>23.14</v>
      </c>
      <c r="AL17" s="60">
        <f t="shared" si="3"/>
        <v>23.14</v>
      </c>
      <c r="AM17" s="60">
        <f t="shared" si="3"/>
        <v>23.14</v>
      </c>
      <c r="AN17" s="60">
        <f t="shared" si="3"/>
        <v>23.14</v>
      </c>
      <c r="AO17" s="60">
        <f t="shared" si="3"/>
        <v>23.14</v>
      </c>
      <c r="AP17" s="60">
        <f t="shared" si="3"/>
        <v>23.14</v>
      </c>
      <c r="AQ17" s="60">
        <f t="shared" si="3"/>
        <v>23.14</v>
      </c>
      <c r="AR17" s="60">
        <f t="shared" si="3"/>
        <v>23.14</v>
      </c>
      <c r="AS17" s="60">
        <f t="shared" si="3"/>
        <v>23.14</v>
      </c>
      <c r="AT17" s="60">
        <f t="shared" si="3"/>
        <v>23.14</v>
      </c>
      <c r="AU17" s="60">
        <f t="shared" si="3"/>
        <v>23.14</v>
      </c>
      <c r="AV17" s="60">
        <f t="shared" si="3"/>
        <v>23.14</v>
      </c>
      <c r="AW17" s="60">
        <f t="shared" ref="AW17:AZ17" si="4">$B17</f>
        <v>23.14</v>
      </c>
      <c r="AX17" s="60">
        <f t="shared" si="4"/>
        <v>23.14</v>
      </c>
      <c r="AY17" s="60">
        <f t="shared" si="4"/>
        <v>23.14</v>
      </c>
      <c r="AZ17" s="60">
        <f t="shared" si="4"/>
        <v>23.14</v>
      </c>
    </row>
    <row r="18" spans="1:52" ht="14.25" customHeight="1">
      <c r="C18" s="5"/>
      <c r="AF18" s="23"/>
      <c r="AG18" s="45"/>
      <c r="AH18" s="45"/>
      <c r="AI18" s="45"/>
      <c r="AJ18" s="45"/>
      <c r="AK18" s="45"/>
      <c r="AL18" s="45"/>
      <c r="AM18" s="45"/>
      <c r="AN18" s="45"/>
      <c r="AO18" s="45"/>
      <c r="AP18" s="45"/>
      <c r="AQ18" s="45"/>
      <c r="AR18" s="45"/>
      <c r="AS18" s="45"/>
      <c r="AT18" s="45"/>
      <c r="AU18" s="45"/>
      <c r="AV18" s="45"/>
      <c r="AW18" s="45"/>
      <c r="AX18" s="45"/>
      <c r="AY18" s="45"/>
      <c r="AZ18" s="45"/>
    </row>
    <row r="19" spans="1:52" ht="14.25" customHeight="1">
      <c r="A19" s="1"/>
    </row>
    <row r="20" spans="1:52" ht="14.25" customHeight="1">
      <c r="F20" s="1"/>
      <c r="G20" s="1"/>
      <c r="H20" s="1"/>
      <c r="I20" s="1"/>
    </row>
    <row r="21" spans="1:52" ht="14.25" customHeight="1"/>
    <row r="22" spans="1:52" ht="14.25" customHeight="1"/>
    <row r="23" spans="1:52" ht="14.25" customHeight="1"/>
    <row r="24" spans="1:52" ht="14.25" customHeight="1"/>
    <row r="25" spans="1:52" ht="14.25" customHeight="1"/>
    <row r="26" spans="1:52" ht="14.25" customHeight="1"/>
    <row r="27" spans="1:52" ht="14.25" customHeight="1"/>
    <row r="28" spans="1:52" ht="14.25" customHeight="1"/>
    <row r="29" spans="1:52" ht="14.25" customHeight="1"/>
    <row r="30" spans="1:52" ht="14.25" customHeight="1"/>
    <row r="31" spans="1:52" ht="14.25" customHeight="1"/>
    <row r="32" spans="1:5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546A"/>
  </sheetPr>
  <dimension ref="A1:AZ1000"/>
  <sheetViews>
    <sheetView workbookViewId="0">
      <selection activeCell="F20" sqref="F20"/>
    </sheetView>
  </sheetViews>
  <sheetFormatPr baseColWidth="10" defaultColWidth="14.42578125" defaultRowHeight="15" customHeight="1"/>
  <cols>
    <col min="1" max="1" width="36.42578125" customWidth="1"/>
    <col min="2" max="32" width="7.28515625" customWidth="1"/>
  </cols>
  <sheetData>
    <row r="1" spans="1:52" s="25" customFormat="1" ht="14.25" customHeight="1">
      <c r="A1" s="22" t="s">
        <v>66</v>
      </c>
      <c r="B1" s="16">
        <v>2020</v>
      </c>
      <c r="C1" s="40">
        <v>2021</v>
      </c>
      <c r="D1" s="40">
        <v>2022</v>
      </c>
      <c r="E1" s="40">
        <v>2023</v>
      </c>
      <c r="F1" s="40">
        <v>2024</v>
      </c>
      <c r="G1" s="40">
        <v>2025</v>
      </c>
      <c r="H1" s="40">
        <v>2026</v>
      </c>
      <c r="I1" s="40">
        <v>2027</v>
      </c>
      <c r="J1" s="40">
        <v>2028</v>
      </c>
      <c r="K1" s="40">
        <v>2029</v>
      </c>
      <c r="L1" s="40">
        <v>2030</v>
      </c>
      <c r="M1" s="40">
        <v>2031</v>
      </c>
      <c r="N1" s="40">
        <v>2032</v>
      </c>
      <c r="O1" s="40">
        <v>2033</v>
      </c>
      <c r="P1" s="40">
        <v>2034</v>
      </c>
      <c r="Q1" s="40">
        <v>2035</v>
      </c>
      <c r="R1" s="40">
        <v>2036</v>
      </c>
      <c r="S1" s="40">
        <v>2037</v>
      </c>
      <c r="T1" s="40">
        <v>2038</v>
      </c>
      <c r="U1" s="40">
        <v>2039</v>
      </c>
      <c r="V1" s="40">
        <v>2040</v>
      </c>
      <c r="W1" s="40">
        <v>2041</v>
      </c>
      <c r="X1" s="40">
        <v>2042</v>
      </c>
      <c r="Y1" s="40">
        <v>2043</v>
      </c>
      <c r="Z1" s="40">
        <v>2044</v>
      </c>
      <c r="AA1" s="40">
        <v>2045</v>
      </c>
      <c r="AB1" s="40">
        <v>2046</v>
      </c>
      <c r="AC1" s="40">
        <v>2047</v>
      </c>
      <c r="AD1" s="40">
        <v>2048</v>
      </c>
      <c r="AE1" s="40">
        <v>2049</v>
      </c>
      <c r="AF1" s="40">
        <v>2050</v>
      </c>
    </row>
    <row r="2" spans="1:52" ht="14.25" customHeight="1">
      <c r="A2" s="5" t="s">
        <v>67</v>
      </c>
      <c r="B2" s="60">
        <v>0</v>
      </c>
      <c r="C2" s="60">
        <f t="shared" ref="C2:AF2" si="0">$B$2</f>
        <v>0</v>
      </c>
      <c r="D2" s="60">
        <f t="shared" si="0"/>
        <v>0</v>
      </c>
      <c r="E2" s="60">
        <f t="shared" si="0"/>
        <v>0</v>
      </c>
      <c r="F2" s="60">
        <f t="shared" si="0"/>
        <v>0</v>
      </c>
      <c r="G2" s="60">
        <f t="shared" si="0"/>
        <v>0</v>
      </c>
      <c r="H2" s="60">
        <f t="shared" si="0"/>
        <v>0</v>
      </c>
      <c r="I2" s="60">
        <f t="shared" si="0"/>
        <v>0</v>
      </c>
      <c r="J2" s="60">
        <f t="shared" si="0"/>
        <v>0</v>
      </c>
      <c r="K2" s="60">
        <f t="shared" si="0"/>
        <v>0</v>
      </c>
      <c r="L2" s="60">
        <f t="shared" si="0"/>
        <v>0</v>
      </c>
      <c r="M2" s="60">
        <f t="shared" si="0"/>
        <v>0</v>
      </c>
      <c r="N2" s="60">
        <f t="shared" si="0"/>
        <v>0</v>
      </c>
      <c r="O2" s="60">
        <f t="shared" si="0"/>
        <v>0</v>
      </c>
      <c r="P2" s="60">
        <f t="shared" si="0"/>
        <v>0</v>
      </c>
      <c r="Q2" s="60">
        <f t="shared" si="0"/>
        <v>0</v>
      </c>
      <c r="R2" s="60">
        <f t="shared" si="0"/>
        <v>0</v>
      </c>
      <c r="S2" s="60">
        <f t="shared" si="0"/>
        <v>0</v>
      </c>
      <c r="T2" s="60">
        <f t="shared" si="0"/>
        <v>0</v>
      </c>
      <c r="U2" s="60">
        <f t="shared" si="0"/>
        <v>0</v>
      </c>
      <c r="V2" s="60">
        <f t="shared" si="0"/>
        <v>0</v>
      </c>
      <c r="W2" s="60">
        <f t="shared" si="0"/>
        <v>0</v>
      </c>
      <c r="X2" s="60">
        <f t="shared" si="0"/>
        <v>0</v>
      </c>
      <c r="Y2" s="60">
        <f t="shared" si="0"/>
        <v>0</v>
      </c>
      <c r="Z2" s="60">
        <f t="shared" si="0"/>
        <v>0</v>
      </c>
      <c r="AA2" s="60">
        <f t="shared" si="0"/>
        <v>0</v>
      </c>
      <c r="AB2" s="60">
        <f t="shared" si="0"/>
        <v>0</v>
      </c>
      <c r="AC2" s="60">
        <f t="shared" si="0"/>
        <v>0</v>
      </c>
      <c r="AD2" s="60">
        <f t="shared" si="0"/>
        <v>0</v>
      </c>
      <c r="AE2" s="60">
        <f t="shared" si="0"/>
        <v>0</v>
      </c>
      <c r="AF2" s="60">
        <f t="shared" si="0"/>
        <v>0</v>
      </c>
      <c r="AG2" s="31"/>
      <c r="AH2" s="31"/>
      <c r="AI2" s="31"/>
      <c r="AJ2" s="31"/>
      <c r="AK2" s="31"/>
      <c r="AL2" s="31"/>
      <c r="AM2" s="31"/>
      <c r="AN2" s="31"/>
      <c r="AO2" s="31"/>
      <c r="AP2" s="31"/>
      <c r="AQ2" s="31"/>
      <c r="AR2" s="31"/>
      <c r="AS2" s="31"/>
      <c r="AT2" s="31"/>
      <c r="AU2" s="31"/>
      <c r="AV2" s="31"/>
      <c r="AW2" s="31"/>
      <c r="AX2" s="31"/>
      <c r="AY2" s="31"/>
      <c r="AZ2" s="31"/>
    </row>
    <row r="3" spans="1:52" ht="14.25" customHeight="1">
      <c r="A3" s="5" t="s">
        <v>50</v>
      </c>
      <c r="B3" s="60">
        <v>0</v>
      </c>
      <c r="C3" s="60">
        <f t="shared" ref="C3:AF3" si="1">$B$3</f>
        <v>0</v>
      </c>
      <c r="D3" s="60">
        <f t="shared" si="1"/>
        <v>0</v>
      </c>
      <c r="E3" s="60">
        <f t="shared" si="1"/>
        <v>0</v>
      </c>
      <c r="F3" s="60">
        <f t="shared" si="1"/>
        <v>0</v>
      </c>
      <c r="G3" s="60">
        <f t="shared" si="1"/>
        <v>0</v>
      </c>
      <c r="H3" s="60">
        <f t="shared" si="1"/>
        <v>0</v>
      </c>
      <c r="I3" s="60">
        <f t="shared" si="1"/>
        <v>0</v>
      </c>
      <c r="J3" s="60">
        <f t="shared" si="1"/>
        <v>0</v>
      </c>
      <c r="K3" s="60">
        <f t="shared" si="1"/>
        <v>0</v>
      </c>
      <c r="L3" s="60">
        <f t="shared" si="1"/>
        <v>0</v>
      </c>
      <c r="M3" s="60">
        <f t="shared" si="1"/>
        <v>0</v>
      </c>
      <c r="N3" s="60">
        <f t="shared" si="1"/>
        <v>0</v>
      </c>
      <c r="O3" s="60">
        <f t="shared" si="1"/>
        <v>0</v>
      </c>
      <c r="P3" s="60">
        <f t="shared" si="1"/>
        <v>0</v>
      </c>
      <c r="Q3" s="60">
        <f t="shared" si="1"/>
        <v>0</v>
      </c>
      <c r="R3" s="60">
        <f t="shared" si="1"/>
        <v>0</v>
      </c>
      <c r="S3" s="60">
        <f t="shared" si="1"/>
        <v>0</v>
      </c>
      <c r="T3" s="60">
        <f t="shared" si="1"/>
        <v>0</v>
      </c>
      <c r="U3" s="60">
        <f t="shared" si="1"/>
        <v>0</v>
      </c>
      <c r="V3" s="60">
        <f t="shared" si="1"/>
        <v>0</v>
      </c>
      <c r="W3" s="60">
        <f t="shared" si="1"/>
        <v>0</v>
      </c>
      <c r="X3" s="60">
        <f t="shared" si="1"/>
        <v>0</v>
      </c>
      <c r="Y3" s="60">
        <f t="shared" si="1"/>
        <v>0</v>
      </c>
      <c r="Z3" s="60">
        <f t="shared" si="1"/>
        <v>0</v>
      </c>
      <c r="AA3" s="60">
        <f t="shared" si="1"/>
        <v>0</v>
      </c>
      <c r="AB3" s="60">
        <f t="shared" si="1"/>
        <v>0</v>
      </c>
      <c r="AC3" s="60">
        <f t="shared" si="1"/>
        <v>0</v>
      </c>
      <c r="AD3" s="60">
        <f t="shared" si="1"/>
        <v>0</v>
      </c>
      <c r="AE3" s="60">
        <f t="shared" si="1"/>
        <v>0</v>
      </c>
      <c r="AF3" s="60">
        <f t="shared" si="1"/>
        <v>0</v>
      </c>
      <c r="AG3" s="31"/>
      <c r="AH3" s="31"/>
      <c r="AI3" s="31"/>
      <c r="AJ3" s="31"/>
      <c r="AK3" s="31"/>
      <c r="AL3" s="31"/>
      <c r="AM3" s="31"/>
      <c r="AN3" s="31"/>
      <c r="AO3" s="31"/>
      <c r="AP3" s="31"/>
      <c r="AQ3" s="31"/>
      <c r="AR3" s="31"/>
      <c r="AS3" s="31"/>
      <c r="AT3" s="31"/>
      <c r="AU3" s="31"/>
      <c r="AV3" s="31"/>
      <c r="AW3" s="31"/>
      <c r="AX3" s="31"/>
      <c r="AY3" s="31"/>
      <c r="AZ3" s="31"/>
    </row>
    <row r="4" spans="1:52" ht="14.25" customHeight="1">
      <c r="A4" s="5" t="s">
        <v>37</v>
      </c>
      <c r="B4" s="60">
        <v>0</v>
      </c>
      <c r="C4" s="60">
        <f t="shared" ref="C4:AF4" si="2">$B$4</f>
        <v>0</v>
      </c>
      <c r="D4" s="60">
        <f t="shared" si="2"/>
        <v>0</v>
      </c>
      <c r="E4" s="60">
        <f t="shared" si="2"/>
        <v>0</v>
      </c>
      <c r="F4" s="60">
        <f t="shared" si="2"/>
        <v>0</v>
      </c>
      <c r="G4" s="60">
        <f t="shared" si="2"/>
        <v>0</v>
      </c>
      <c r="H4" s="60">
        <f t="shared" si="2"/>
        <v>0</v>
      </c>
      <c r="I4" s="60">
        <f t="shared" si="2"/>
        <v>0</v>
      </c>
      <c r="J4" s="60">
        <f t="shared" si="2"/>
        <v>0</v>
      </c>
      <c r="K4" s="60">
        <f t="shared" si="2"/>
        <v>0</v>
      </c>
      <c r="L4" s="60">
        <f t="shared" si="2"/>
        <v>0</v>
      </c>
      <c r="M4" s="60">
        <f t="shared" si="2"/>
        <v>0</v>
      </c>
      <c r="N4" s="60">
        <f t="shared" si="2"/>
        <v>0</v>
      </c>
      <c r="O4" s="60">
        <f t="shared" si="2"/>
        <v>0</v>
      </c>
      <c r="P4" s="60">
        <f t="shared" si="2"/>
        <v>0</v>
      </c>
      <c r="Q4" s="60">
        <f t="shared" si="2"/>
        <v>0</v>
      </c>
      <c r="R4" s="60">
        <f t="shared" si="2"/>
        <v>0</v>
      </c>
      <c r="S4" s="60">
        <f t="shared" si="2"/>
        <v>0</v>
      </c>
      <c r="T4" s="60">
        <f t="shared" si="2"/>
        <v>0</v>
      </c>
      <c r="U4" s="60">
        <f t="shared" si="2"/>
        <v>0</v>
      </c>
      <c r="V4" s="60">
        <f t="shared" si="2"/>
        <v>0</v>
      </c>
      <c r="W4" s="60">
        <f t="shared" si="2"/>
        <v>0</v>
      </c>
      <c r="X4" s="60">
        <f t="shared" si="2"/>
        <v>0</v>
      </c>
      <c r="Y4" s="60">
        <f t="shared" si="2"/>
        <v>0</v>
      </c>
      <c r="Z4" s="60">
        <f t="shared" si="2"/>
        <v>0</v>
      </c>
      <c r="AA4" s="60">
        <f t="shared" si="2"/>
        <v>0</v>
      </c>
      <c r="AB4" s="60">
        <f t="shared" si="2"/>
        <v>0</v>
      </c>
      <c r="AC4" s="60">
        <f t="shared" si="2"/>
        <v>0</v>
      </c>
      <c r="AD4" s="60">
        <f t="shared" si="2"/>
        <v>0</v>
      </c>
      <c r="AE4" s="60">
        <f t="shared" si="2"/>
        <v>0</v>
      </c>
      <c r="AF4" s="60">
        <f t="shared" si="2"/>
        <v>0</v>
      </c>
      <c r="AG4" s="31"/>
      <c r="AH4" s="31"/>
      <c r="AI4" s="31"/>
      <c r="AJ4" s="31"/>
      <c r="AK4" s="31"/>
      <c r="AL4" s="31"/>
      <c r="AM4" s="31"/>
      <c r="AN4" s="31"/>
      <c r="AO4" s="31"/>
      <c r="AP4" s="31"/>
      <c r="AQ4" s="31"/>
      <c r="AR4" s="31"/>
      <c r="AS4" s="31"/>
      <c r="AT4" s="31"/>
      <c r="AU4" s="31"/>
      <c r="AV4" s="31"/>
      <c r="AW4" s="31"/>
      <c r="AX4" s="31"/>
      <c r="AY4" s="31"/>
      <c r="AZ4" s="31"/>
    </row>
    <row r="5" spans="1:52" ht="14.25" customHeight="1">
      <c r="A5" s="5" t="s">
        <v>51</v>
      </c>
      <c r="B5" s="60">
        <v>0</v>
      </c>
      <c r="C5" s="60">
        <f t="shared" ref="C5:AF5" si="3">$B$5</f>
        <v>0</v>
      </c>
      <c r="D5" s="60">
        <f t="shared" si="3"/>
        <v>0</v>
      </c>
      <c r="E5" s="60">
        <f t="shared" si="3"/>
        <v>0</v>
      </c>
      <c r="F5" s="60">
        <f t="shared" si="3"/>
        <v>0</v>
      </c>
      <c r="G5" s="60">
        <f t="shared" si="3"/>
        <v>0</v>
      </c>
      <c r="H5" s="60">
        <f t="shared" si="3"/>
        <v>0</v>
      </c>
      <c r="I5" s="60">
        <f t="shared" si="3"/>
        <v>0</v>
      </c>
      <c r="J5" s="60">
        <f t="shared" si="3"/>
        <v>0</v>
      </c>
      <c r="K5" s="60">
        <f t="shared" si="3"/>
        <v>0</v>
      </c>
      <c r="L5" s="60">
        <f t="shared" si="3"/>
        <v>0</v>
      </c>
      <c r="M5" s="60">
        <f t="shared" si="3"/>
        <v>0</v>
      </c>
      <c r="N5" s="60">
        <f t="shared" si="3"/>
        <v>0</v>
      </c>
      <c r="O5" s="60">
        <f t="shared" si="3"/>
        <v>0</v>
      </c>
      <c r="P5" s="60">
        <f t="shared" si="3"/>
        <v>0</v>
      </c>
      <c r="Q5" s="60">
        <f t="shared" si="3"/>
        <v>0</v>
      </c>
      <c r="R5" s="60">
        <f t="shared" si="3"/>
        <v>0</v>
      </c>
      <c r="S5" s="60">
        <f t="shared" si="3"/>
        <v>0</v>
      </c>
      <c r="T5" s="60">
        <f t="shared" si="3"/>
        <v>0</v>
      </c>
      <c r="U5" s="60">
        <f t="shared" si="3"/>
        <v>0</v>
      </c>
      <c r="V5" s="60">
        <f t="shared" si="3"/>
        <v>0</v>
      </c>
      <c r="W5" s="60">
        <f t="shared" si="3"/>
        <v>0</v>
      </c>
      <c r="X5" s="60">
        <f t="shared" si="3"/>
        <v>0</v>
      </c>
      <c r="Y5" s="60">
        <f t="shared" si="3"/>
        <v>0</v>
      </c>
      <c r="Z5" s="60">
        <f t="shared" si="3"/>
        <v>0</v>
      </c>
      <c r="AA5" s="60">
        <f t="shared" si="3"/>
        <v>0</v>
      </c>
      <c r="AB5" s="60">
        <f t="shared" si="3"/>
        <v>0</v>
      </c>
      <c r="AC5" s="60">
        <f t="shared" si="3"/>
        <v>0</v>
      </c>
      <c r="AD5" s="60">
        <f t="shared" si="3"/>
        <v>0</v>
      </c>
      <c r="AE5" s="60">
        <f t="shared" si="3"/>
        <v>0</v>
      </c>
      <c r="AF5" s="60">
        <f t="shared" si="3"/>
        <v>0</v>
      </c>
      <c r="AG5" s="31"/>
      <c r="AH5" s="31"/>
      <c r="AI5" s="31"/>
      <c r="AJ5" s="31"/>
      <c r="AK5" s="31"/>
      <c r="AL5" s="31"/>
      <c r="AM5" s="31"/>
      <c r="AN5" s="31"/>
      <c r="AO5" s="31"/>
      <c r="AP5" s="31"/>
      <c r="AQ5" s="31"/>
      <c r="AR5" s="31"/>
      <c r="AS5" s="31"/>
      <c r="AT5" s="31"/>
      <c r="AU5" s="31"/>
      <c r="AV5" s="31"/>
      <c r="AW5" s="31"/>
      <c r="AX5" s="31"/>
      <c r="AY5" s="31"/>
      <c r="AZ5" s="31"/>
    </row>
    <row r="6" spans="1:52" ht="14.25" customHeight="1">
      <c r="A6" s="5" t="s">
        <v>52</v>
      </c>
      <c r="B6" s="60">
        <v>0</v>
      </c>
      <c r="C6" s="60">
        <f t="shared" ref="C6:AF6" si="4">$B$6</f>
        <v>0</v>
      </c>
      <c r="D6" s="60">
        <f t="shared" si="4"/>
        <v>0</v>
      </c>
      <c r="E6" s="60">
        <f t="shared" si="4"/>
        <v>0</v>
      </c>
      <c r="F6" s="60">
        <f t="shared" si="4"/>
        <v>0</v>
      </c>
      <c r="G6" s="60">
        <f t="shared" si="4"/>
        <v>0</v>
      </c>
      <c r="H6" s="60">
        <f t="shared" si="4"/>
        <v>0</v>
      </c>
      <c r="I6" s="60">
        <f t="shared" si="4"/>
        <v>0</v>
      </c>
      <c r="J6" s="60">
        <f t="shared" si="4"/>
        <v>0</v>
      </c>
      <c r="K6" s="60">
        <f t="shared" si="4"/>
        <v>0</v>
      </c>
      <c r="L6" s="60">
        <f t="shared" si="4"/>
        <v>0</v>
      </c>
      <c r="M6" s="60">
        <f t="shared" si="4"/>
        <v>0</v>
      </c>
      <c r="N6" s="60">
        <f t="shared" si="4"/>
        <v>0</v>
      </c>
      <c r="O6" s="60">
        <f t="shared" si="4"/>
        <v>0</v>
      </c>
      <c r="P6" s="60">
        <f t="shared" si="4"/>
        <v>0</v>
      </c>
      <c r="Q6" s="60">
        <f t="shared" si="4"/>
        <v>0</v>
      </c>
      <c r="R6" s="60">
        <f t="shared" si="4"/>
        <v>0</v>
      </c>
      <c r="S6" s="60">
        <f t="shared" si="4"/>
        <v>0</v>
      </c>
      <c r="T6" s="60">
        <f t="shared" si="4"/>
        <v>0</v>
      </c>
      <c r="U6" s="60">
        <f t="shared" si="4"/>
        <v>0</v>
      </c>
      <c r="V6" s="60">
        <f t="shared" si="4"/>
        <v>0</v>
      </c>
      <c r="W6" s="60">
        <f t="shared" si="4"/>
        <v>0</v>
      </c>
      <c r="X6" s="60">
        <f t="shared" si="4"/>
        <v>0</v>
      </c>
      <c r="Y6" s="60">
        <f t="shared" si="4"/>
        <v>0</v>
      </c>
      <c r="Z6" s="60">
        <f t="shared" si="4"/>
        <v>0</v>
      </c>
      <c r="AA6" s="60">
        <f t="shared" si="4"/>
        <v>0</v>
      </c>
      <c r="AB6" s="60">
        <f t="shared" si="4"/>
        <v>0</v>
      </c>
      <c r="AC6" s="60">
        <f t="shared" si="4"/>
        <v>0</v>
      </c>
      <c r="AD6" s="60">
        <f t="shared" si="4"/>
        <v>0</v>
      </c>
      <c r="AE6" s="60">
        <f t="shared" si="4"/>
        <v>0</v>
      </c>
      <c r="AF6" s="60">
        <f t="shared" si="4"/>
        <v>0</v>
      </c>
      <c r="AG6" s="31"/>
      <c r="AH6" s="31"/>
      <c r="AI6" s="31"/>
      <c r="AJ6" s="31"/>
      <c r="AK6" s="31"/>
      <c r="AL6" s="31"/>
      <c r="AM6" s="31"/>
      <c r="AN6" s="31"/>
      <c r="AO6" s="31"/>
      <c r="AP6" s="31"/>
      <c r="AQ6" s="31"/>
      <c r="AR6" s="31"/>
      <c r="AS6" s="31"/>
      <c r="AT6" s="31"/>
      <c r="AU6" s="31"/>
      <c r="AV6" s="31"/>
      <c r="AW6" s="31"/>
      <c r="AX6" s="31"/>
      <c r="AY6" s="31"/>
      <c r="AZ6" s="31"/>
    </row>
    <row r="7" spans="1:52" ht="14.25" customHeight="1">
      <c r="A7" s="5" t="s">
        <v>53</v>
      </c>
      <c r="B7" s="60">
        <v>0</v>
      </c>
      <c r="C7" s="60">
        <f t="shared" ref="C7:AF7" si="5">$B$7</f>
        <v>0</v>
      </c>
      <c r="D7" s="60">
        <f t="shared" si="5"/>
        <v>0</v>
      </c>
      <c r="E7" s="60">
        <f t="shared" si="5"/>
        <v>0</v>
      </c>
      <c r="F7" s="60">
        <f t="shared" si="5"/>
        <v>0</v>
      </c>
      <c r="G7" s="60">
        <f t="shared" si="5"/>
        <v>0</v>
      </c>
      <c r="H7" s="60">
        <f t="shared" si="5"/>
        <v>0</v>
      </c>
      <c r="I7" s="60">
        <f t="shared" si="5"/>
        <v>0</v>
      </c>
      <c r="J7" s="60">
        <f t="shared" si="5"/>
        <v>0</v>
      </c>
      <c r="K7" s="60">
        <f t="shared" si="5"/>
        <v>0</v>
      </c>
      <c r="L7" s="60">
        <f t="shared" si="5"/>
        <v>0</v>
      </c>
      <c r="M7" s="60">
        <f t="shared" si="5"/>
        <v>0</v>
      </c>
      <c r="N7" s="60">
        <f t="shared" si="5"/>
        <v>0</v>
      </c>
      <c r="O7" s="60">
        <f t="shared" si="5"/>
        <v>0</v>
      </c>
      <c r="P7" s="60">
        <f t="shared" si="5"/>
        <v>0</v>
      </c>
      <c r="Q7" s="60">
        <f t="shared" si="5"/>
        <v>0</v>
      </c>
      <c r="R7" s="60">
        <f t="shared" si="5"/>
        <v>0</v>
      </c>
      <c r="S7" s="60">
        <f t="shared" si="5"/>
        <v>0</v>
      </c>
      <c r="T7" s="60">
        <f t="shared" si="5"/>
        <v>0</v>
      </c>
      <c r="U7" s="60">
        <f t="shared" si="5"/>
        <v>0</v>
      </c>
      <c r="V7" s="60">
        <f t="shared" si="5"/>
        <v>0</v>
      </c>
      <c r="W7" s="60">
        <f t="shared" si="5"/>
        <v>0</v>
      </c>
      <c r="X7" s="60">
        <f t="shared" si="5"/>
        <v>0</v>
      </c>
      <c r="Y7" s="60">
        <f t="shared" si="5"/>
        <v>0</v>
      </c>
      <c r="Z7" s="60">
        <f t="shared" si="5"/>
        <v>0</v>
      </c>
      <c r="AA7" s="60">
        <f t="shared" si="5"/>
        <v>0</v>
      </c>
      <c r="AB7" s="60">
        <f t="shared" si="5"/>
        <v>0</v>
      </c>
      <c r="AC7" s="60">
        <f t="shared" si="5"/>
        <v>0</v>
      </c>
      <c r="AD7" s="60">
        <f t="shared" si="5"/>
        <v>0</v>
      </c>
      <c r="AE7" s="60">
        <f t="shared" si="5"/>
        <v>0</v>
      </c>
      <c r="AF7" s="60">
        <f t="shared" si="5"/>
        <v>0</v>
      </c>
      <c r="AG7" s="31"/>
      <c r="AH7" s="31"/>
      <c r="AI7" s="31"/>
      <c r="AJ7" s="31"/>
      <c r="AK7" s="31"/>
      <c r="AL7" s="31"/>
      <c r="AM7" s="31"/>
      <c r="AN7" s="31"/>
      <c r="AO7" s="31"/>
      <c r="AP7" s="31"/>
      <c r="AQ7" s="31"/>
      <c r="AR7" s="31"/>
      <c r="AS7" s="31"/>
      <c r="AT7" s="31"/>
      <c r="AU7" s="31"/>
      <c r="AV7" s="31"/>
      <c r="AW7" s="31"/>
      <c r="AX7" s="31"/>
      <c r="AY7" s="31"/>
      <c r="AZ7" s="31"/>
    </row>
    <row r="8" spans="1:52" ht="14.25" customHeight="1">
      <c r="A8" s="5" t="s">
        <v>64</v>
      </c>
      <c r="B8" s="60">
        <v>0</v>
      </c>
      <c r="C8" s="60">
        <f t="shared" ref="C8:AF8" si="6">$B$8</f>
        <v>0</v>
      </c>
      <c r="D8" s="60">
        <f t="shared" si="6"/>
        <v>0</v>
      </c>
      <c r="E8" s="60">
        <f t="shared" si="6"/>
        <v>0</v>
      </c>
      <c r="F8" s="60">
        <f t="shared" si="6"/>
        <v>0</v>
      </c>
      <c r="G8" s="60">
        <f t="shared" si="6"/>
        <v>0</v>
      </c>
      <c r="H8" s="60">
        <f t="shared" si="6"/>
        <v>0</v>
      </c>
      <c r="I8" s="60">
        <f t="shared" si="6"/>
        <v>0</v>
      </c>
      <c r="J8" s="60">
        <f t="shared" si="6"/>
        <v>0</v>
      </c>
      <c r="K8" s="60">
        <f t="shared" si="6"/>
        <v>0</v>
      </c>
      <c r="L8" s="60">
        <f t="shared" si="6"/>
        <v>0</v>
      </c>
      <c r="M8" s="60">
        <f t="shared" si="6"/>
        <v>0</v>
      </c>
      <c r="N8" s="60">
        <f t="shared" si="6"/>
        <v>0</v>
      </c>
      <c r="O8" s="60">
        <f t="shared" si="6"/>
        <v>0</v>
      </c>
      <c r="P8" s="60">
        <f t="shared" si="6"/>
        <v>0</v>
      </c>
      <c r="Q8" s="60">
        <f t="shared" si="6"/>
        <v>0</v>
      </c>
      <c r="R8" s="60">
        <f t="shared" si="6"/>
        <v>0</v>
      </c>
      <c r="S8" s="60">
        <f t="shared" si="6"/>
        <v>0</v>
      </c>
      <c r="T8" s="60">
        <f t="shared" si="6"/>
        <v>0</v>
      </c>
      <c r="U8" s="60">
        <f t="shared" si="6"/>
        <v>0</v>
      </c>
      <c r="V8" s="60">
        <f t="shared" si="6"/>
        <v>0</v>
      </c>
      <c r="W8" s="60">
        <f t="shared" si="6"/>
        <v>0</v>
      </c>
      <c r="X8" s="60">
        <f t="shared" si="6"/>
        <v>0</v>
      </c>
      <c r="Y8" s="60">
        <f t="shared" si="6"/>
        <v>0</v>
      </c>
      <c r="Z8" s="60">
        <f t="shared" si="6"/>
        <v>0</v>
      </c>
      <c r="AA8" s="60">
        <f t="shared" si="6"/>
        <v>0</v>
      </c>
      <c r="AB8" s="60">
        <f t="shared" si="6"/>
        <v>0</v>
      </c>
      <c r="AC8" s="60">
        <f t="shared" si="6"/>
        <v>0</v>
      </c>
      <c r="AD8" s="60">
        <f t="shared" si="6"/>
        <v>0</v>
      </c>
      <c r="AE8" s="60">
        <f t="shared" si="6"/>
        <v>0</v>
      </c>
      <c r="AF8" s="60">
        <f t="shared" si="6"/>
        <v>0</v>
      </c>
      <c r="AG8" s="31"/>
      <c r="AH8" s="31"/>
      <c r="AI8" s="31"/>
      <c r="AJ8" s="31"/>
      <c r="AK8" s="31"/>
      <c r="AL8" s="31"/>
      <c r="AM8" s="31"/>
      <c r="AN8" s="31"/>
      <c r="AO8" s="31"/>
      <c r="AP8" s="31"/>
      <c r="AQ8" s="31"/>
      <c r="AR8" s="31"/>
      <c r="AS8" s="31"/>
      <c r="AT8" s="31"/>
      <c r="AU8" s="31"/>
      <c r="AV8" s="31"/>
      <c r="AW8" s="31"/>
      <c r="AX8" s="31"/>
      <c r="AY8" s="31"/>
      <c r="AZ8" s="31"/>
    </row>
    <row r="9" spans="1:52" ht="14.25" customHeight="1">
      <c r="A9" s="5" t="s">
        <v>54</v>
      </c>
      <c r="B9" s="60">
        <v>0</v>
      </c>
      <c r="C9" s="60">
        <f t="shared" ref="C9:AF9" si="7">$B$9</f>
        <v>0</v>
      </c>
      <c r="D9" s="60">
        <f t="shared" si="7"/>
        <v>0</v>
      </c>
      <c r="E9" s="60">
        <f t="shared" si="7"/>
        <v>0</v>
      </c>
      <c r="F9" s="60">
        <f t="shared" si="7"/>
        <v>0</v>
      </c>
      <c r="G9" s="60">
        <f t="shared" si="7"/>
        <v>0</v>
      </c>
      <c r="H9" s="60">
        <f t="shared" si="7"/>
        <v>0</v>
      </c>
      <c r="I9" s="60">
        <f t="shared" si="7"/>
        <v>0</v>
      </c>
      <c r="J9" s="60">
        <f t="shared" si="7"/>
        <v>0</v>
      </c>
      <c r="K9" s="60">
        <f t="shared" si="7"/>
        <v>0</v>
      </c>
      <c r="L9" s="60">
        <f t="shared" si="7"/>
        <v>0</v>
      </c>
      <c r="M9" s="60">
        <f t="shared" si="7"/>
        <v>0</v>
      </c>
      <c r="N9" s="60">
        <f t="shared" si="7"/>
        <v>0</v>
      </c>
      <c r="O9" s="60">
        <f t="shared" si="7"/>
        <v>0</v>
      </c>
      <c r="P9" s="60">
        <f t="shared" si="7"/>
        <v>0</v>
      </c>
      <c r="Q9" s="60">
        <f t="shared" si="7"/>
        <v>0</v>
      </c>
      <c r="R9" s="60">
        <f t="shared" si="7"/>
        <v>0</v>
      </c>
      <c r="S9" s="60">
        <f t="shared" si="7"/>
        <v>0</v>
      </c>
      <c r="T9" s="60">
        <f t="shared" si="7"/>
        <v>0</v>
      </c>
      <c r="U9" s="60">
        <f t="shared" si="7"/>
        <v>0</v>
      </c>
      <c r="V9" s="60">
        <f t="shared" si="7"/>
        <v>0</v>
      </c>
      <c r="W9" s="60">
        <f t="shared" si="7"/>
        <v>0</v>
      </c>
      <c r="X9" s="60">
        <f t="shared" si="7"/>
        <v>0</v>
      </c>
      <c r="Y9" s="60">
        <f t="shared" si="7"/>
        <v>0</v>
      </c>
      <c r="Z9" s="60">
        <f t="shared" si="7"/>
        <v>0</v>
      </c>
      <c r="AA9" s="60">
        <f t="shared" si="7"/>
        <v>0</v>
      </c>
      <c r="AB9" s="60">
        <f t="shared" si="7"/>
        <v>0</v>
      </c>
      <c r="AC9" s="60">
        <f t="shared" si="7"/>
        <v>0</v>
      </c>
      <c r="AD9" s="60">
        <f t="shared" si="7"/>
        <v>0</v>
      </c>
      <c r="AE9" s="60">
        <f t="shared" si="7"/>
        <v>0</v>
      </c>
      <c r="AF9" s="60">
        <f t="shared" si="7"/>
        <v>0</v>
      </c>
      <c r="AG9" s="31"/>
      <c r="AH9" s="31"/>
      <c r="AI9" s="31"/>
      <c r="AJ9" s="31"/>
      <c r="AK9" s="31"/>
      <c r="AL9" s="31"/>
      <c r="AM9" s="31"/>
      <c r="AN9" s="31"/>
      <c r="AO9" s="31"/>
      <c r="AP9" s="31"/>
      <c r="AQ9" s="31"/>
      <c r="AR9" s="31"/>
      <c r="AS9" s="31"/>
      <c r="AT9" s="31"/>
      <c r="AU9" s="31"/>
      <c r="AV9" s="31"/>
      <c r="AW9" s="31"/>
      <c r="AX9" s="31"/>
      <c r="AY9" s="31"/>
      <c r="AZ9" s="31"/>
    </row>
    <row r="10" spans="1:52" ht="14.25" customHeight="1">
      <c r="A10" s="5" t="s">
        <v>55</v>
      </c>
      <c r="B10" s="60">
        <v>0</v>
      </c>
      <c r="C10" s="60">
        <f t="shared" ref="C10:AF10" si="8">$B10</f>
        <v>0</v>
      </c>
      <c r="D10" s="60">
        <f t="shared" si="8"/>
        <v>0</v>
      </c>
      <c r="E10" s="60">
        <f t="shared" si="8"/>
        <v>0</v>
      </c>
      <c r="F10" s="60">
        <f t="shared" si="8"/>
        <v>0</v>
      </c>
      <c r="G10" s="60">
        <f t="shared" si="8"/>
        <v>0</v>
      </c>
      <c r="H10" s="60">
        <f t="shared" si="8"/>
        <v>0</v>
      </c>
      <c r="I10" s="60">
        <f t="shared" si="8"/>
        <v>0</v>
      </c>
      <c r="J10" s="60">
        <f t="shared" si="8"/>
        <v>0</v>
      </c>
      <c r="K10" s="60">
        <f t="shared" si="8"/>
        <v>0</v>
      </c>
      <c r="L10" s="60">
        <f t="shared" si="8"/>
        <v>0</v>
      </c>
      <c r="M10" s="60">
        <f t="shared" si="8"/>
        <v>0</v>
      </c>
      <c r="N10" s="60">
        <f t="shared" si="8"/>
        <v>0</v>
      </c>
      <c r="O10" s="60">
        <f t="shared" si="8"/>
        <v>0</v>
      </c>
      <c r="P10" s="60">
        <f t="shared" si="8"/>
        <v>0</v>
      </c>
      <c r="Q10" s="60">
        <f t="shared" si="8"/>
        <v>0</v>
      </c>
      <c r="R10" s="60">
        <f t="shared" si="8"/>
        <v>0</v>
      </c>
      <c r="S10" s="60">
        <f t="shared" si="8"/>
        <v>0</v>
      </c>
      <c r="T10" s="60">
        <f t="shared" si="8"/>
        <v>0</v>
      </c>
      <c r="U10" s="60">
        <f t="shared" si="8"/>
        <v>0</v>
      </c>
      <c r="V10" s="60">
        <f t="shared" si="8"/>
        <v>0</v>
      </c>
      <c r="W10" s="60">
        <f t="shared" si="8"/>
        <v>0</v>
      </c>
      <c r="X10" s="60">
        <f t="shared" si="8"/>
        <v>0</v>
      </c>
      <c r="Y10" s="60">
        <f t="shared" si="8"/>
        <v>0</v>
      </c>
      <c r="Z10" s="60">
        <f t="shared" si="8"/>
        <v>0</v>
      </c>
      <c r="AA10" s="60">
        <f t="shared" si="8"/>
        <v>0</v>
      </c>
      <c r="AB10" s="60">
        <f t="shared" si="8"/>
        <v>0</v>
      </c>
      <c r="AC10" s="60">
        <f t="shared" si="8"/>
        <v>0</v>
      </c>
      <c r="AD10" s="60">
        <f t="shared" si="8"/>
        <v>0</v>
      </c>
      <c r="AE10" s="60">
        <f t="shared" si="8"/>
        <v>0</v>
      </c>
      <c r="AF10" s="60">
        <f t="shared" si="8"/>
        <v>0</v>
      </c>
      <c r="AG10" s="31"/>
      <c r="AH10" s="31"/>
      <c r="AI10" s="31"/>
      <c r="AJ10" s="31"/>
      <c r="AK10" s="31"/>
      <c r="AL10" s="31"/>
      <c r="AM10" s="31"/>
      <c r="AN10" s="31"/>
      <c r="AO10" s="31"/>
      <c r="AP10" s="31"/>
      <c r="AQ10" s="31"/>
      <c r="AR10" s="31"/>
      <c r="AS10" s="31"/>
      <c r="AT10" s="31"/>
      <c r="AU10" s="31"/>
      <c r="AV10" s="31"/>
      <c r="AW10" s="31"/>
      <c r="AX10" s="31"/>
      <c r="AY10" s="31"/>
      <c r="AZ10" s="31"/>
    </row>
    <row r="11" spans="1:52" ht="14.25" customHeight="1">
      <c r="A11" s="5" t="s">
        <v>56</v>
      </c>
      <c r="B11" s="60">
        <v>0</v>
      </c>
      <c r="C11" s="60">
        <f t="shared" ref="C11:AF11" si="9">$B11</f>
        <v>0</v>
      </c>
      <c r="D11" s="60">
        <f t="shared" si="9"/>
        <v>0</v>
      </c>
      <c r="E11" s="60">
        <f t="shared" si="9"/>
        <v>0</v>
      </c>
      <c r="F11" s="60">
        <f t="shared" si="9"/>
        <v>0</v>
      </c>
      <c r="G11" s="60">
        <f t="shared" si="9"/>
        <v>0</v>
      </c>
      <c r="H11" s="60">
        <f t="shared" si="9"/>
        <v>0</v>
      </c>
      <c r="I11" s="60">
        <f t="shared" si="9"/>
        <v>0</v>
      </c>
      <c r="J11" s="60">
        <f t="shared" si="9"/>
        <v>0</v>
      </c>
      <c r="K11" s="60">
        <f t="shared" si="9"/>
        <v>0</v>
      </c>
      <c r="L11" s="60">
        <f t="shared" si="9"/>
        <v>0</v>
      </c>
      <c r="M11" s="60">
        <f t="shared" si="9"/>
        <v>0</v>
      </c>
      <c r="N11" s="60">
        <f t="shared" si="9"/>
        <v>0</v>
      </c>
      <c r="O11" s="60">
        <f t="shared" si="9"/>
        <v>0</v>
      </c>
      <c r="P11" s="60">
        <f t="shared" si="9"/>
        <v>0</v>
      </c>
      <c r="Q11" s="60">
        <f t="shared" si="9"/>
        <v>0</v>
      </c>
      <c r="R11" s="60">
        <f t="shared" si="9"/>
        <v>0</v>
      </c>
      <c r="S11" s="60">
        <f t="shared" si="9"/>
        <v>0</v>
      </c>
      <c r="T11" s="60">
        <f t="shared" si="9"/>
        <v>0</v>
      </c>
      <c r="U11" s="60">
        <f t="shared" si="9"/>
        <v>0</v>
      </c>
      <c r="V11" s="60">
        <f t="shared" si="9"/>
        <v>0</v>
      </c>
      <c r="W11" s="60">
        <f t="shared" si="9"/>
        <v>0</v>
      </c>
      <c r="X11" s="60">
        <f t="shared" si="9"/>
        <v>0</v>
      </c>
      <c r="Y11" s="60">
        <f t="shared" si="9"/>
        <v>0</v>
      </c>
      <c r="Z11" s="60">
        <f t="shared" si="9"/>
        <v>0</v>
      </c>
      <c r="AA11" s="60">
        <f t="shared" si="9"/>
        <v>0</v>
      </c>
      <c r="AB11" s="60">
        <f t="shared" si="9"/>
        <v>0</v>
      </c>
      <c r="AC11" s="60">
        <f t="shared" si="9"/>
        <v>0</v>
      </c>
      <c r="AD11" s="60">
        <f t="shared" si="9"/>
        <v>0</v>
      </c>
      <c r="AE11" s="60">
        <f t="shared" si="9"/>
        <v>0</v>
      </c>
      <c r="AF11" s="60">
        <f t="shared" si="9"/>
        <v>0</v>
      </c>
      <c r="AG11" s="31"/>
      <c r="AH11" s="31"/>
      <c r="AI11" s="31"/>
      <c r="AJ11" s="31"/>
      <c r="AK11" s="31"/>
      <c r="AL11" s="31"/>
      <c r="AM11" s="31"/>
      <c r="AN11" s="31"/>
      <c r="AO11" s="31"/>
      <c r="AP11" s="31"/>
      <c r="AQ11" s="31"/>
      <c r="AR11" s="31"/>
      <c r="AS11" s="31"/>
      <c r="AT11" s="31"/>
      <c r="AU11" s="31"/>
      <c r="AV11" s="31"/>
      <c r="AW11" s="31"/>
      <c r="AX11" s="31"/>
      <c r="AY11" s="31"/>
      <c r="AZ11" s="31"/>
    </row>
    <row r="12" spans="1:52" ht="14.25" customHeight="1">
      <c r="A12" s="5" t="s">
        <v>57</v>
      </c>
      <c r="B12" s="60">
        <v>0</v>
      </c>
      <c r="C12" s="60">
        <f t="shared" ref="C12:AF12" si="10">$B12</f>
        <v>0</v>
      </c>
      <c r="D12" s="60">
        <f t="shared" si="10"/>
        <v>0</v>
      </c>
      <c r="E12" s="60">
        <f t="shared" si="10"/>
        <v>0</v>
      </c>
      <c r="F12" s="60">
        <f t="shared" si="10"/>
        <v>0</v>
      </c>
      <c r="G12" s="60">
        <f t="shared" si="10"/>
        <v>0</v>
      </c>
      <c r="H12" s="60">
        <f t="shared" si="10"/>
        <v>0</v>
      </c>
      <c r="I12" s="60">
        <f t="shared" si="10"/>
        <v>0</v>
      </c>
      <c r="J12" s="60">
        <f t="shared" si="10"/>
        <v>0</v>
      </c>
      <c r="K12" s="60">
        <f t="shared" si="10"/>
        <v>0</v>
      </c>
      <c r="L12" s="60">
        <f t="shared" si="10"/>
        <v>0</v>
      </c>
      <c r="M12" s="60">
        <f t="shared" si="10"/>
        <v>0</v>
      </c>
      <c r="N12" s="60">
        <f t="shared" si="10"/>
        <v>0</v>
      </c>
      <c r="O12" s="60">
        <f t="shared" si="10"/>
        <v>0</v>
      </c>
      <c r="P12" s="60">
        <f t="shared" si="10"/>
        <v>0</v>
      </c>
      <c r="Q12" s="60">
        <f t="shared" si="10"/>
        <v>0</v>
      </c>
      <c r="R12" s="60">
        <f t="shared" si="10"/>
        <v>0</v>
      </c>
      <c r="S12" s="60">
        <f t="shared" si="10"/>
        <v>0</v>
      </c>
      <c r="T12" s="60">
        <f t="shared" si="10"/>
        <v>0</v>
      </c>
      <c r="U12" s="60">
        <f t="shared" si="10"/>
        <v>0</v>
      </c>
      <c r="V12" s="60">
        <f t="shared" si="10"/>
        <v>0</v>
      </c>
      <c r="W12" s="60">
        <f t="shared" si="10"/>
        <v>0</v>
      </c>
      <c r="X12" s="60">
        <f t="shared" si="10"/>
        <v>0</v>
      </c>
      <c r="Y12" s="60">
        <f t="shared" si="10"/>
        <v>0</v>
      </c>
      <c r="Z12" s="60">
        <f t="shared" si="10"/>
        <v>0</v>
      </c>
      <c r="AA12" s="60">
        <f t="shared" si="10"/>
        <v>0</v>
      </c>
      <c r="AB12" s="60">
        <f t="shared" si="10"/>
        <v>0</v>
      </c>
      <c r="AC12" s="60">
        <f t="shared" si="10"/>
        <v>0</v>
      </c>
      <c r="AD12" s="60">
        <f t="shared" si="10"/>
        <v>0</v>
      </c>
      <c r="AE12" s="60">
        <f t="shared" si="10"/>
        <v>0</v>
      </c>
      <c r="AF12" s="60">
        <f t="shared" si="10"/>
        <v>0</v>
      </c>
      <c r="AG12" s="31"/>
      <c r="AH12" s="31"/>
      <c r="AI12" s="31"/>
      <c r="AJ12" s="31"/>
      <c r="AK12" s="31"/>
      <c r="AL12" s="31"/>
      <c r="AM12" s="31"/>
      <c r="AN12" s="31"/>
      <c r="AO12" s="31"/>
      <c r="AP12" s="31"/>
      <c r="AQ12" s="31"/>
      <c r="AR12" s="31"/>
      <c r="AS12" s="31"/>
      <c r="AT12" s="31"/>
      <c r="AU12" s="31"/>
      <c r="AV12" s="31"/>
      <c r="AW12" s="31"/>
      <c r="AX12" s="31"/>
      <c r="AY12" s="31"/>
      <c r="AZ12" s="31"/>
    </row>
    <row r="13" spans="1:52" ht="14.25" customHeight="1">
      <c r="A13" s="5" t="s">
        <v>58</v>
      </c>
      <c r="B13" s="60">
        <v>0</v>
      </c>
      <c r="C13" s="60">
        <f t="shared" ref="C13:AF13" si="11">$B13</f>
        <v>0</v>
      </c>
      <c r="D13" s="60">
        <f t="shared" si="11"/>
        <v>0</v>
      </c>
      <c r="E13" s="60">
        <f t="shared" si="11"/>
        <v>0</v>
      </c>
      <c r="F13" s="60">
        <f t="shared" si="11"/>
        <v>0</v>
      </c>
      <c r="G13" s="60">
        <f t="shared" si="11"/>
        <v>0</v>
      </c>
      <c r="H13" s="60">
        <f t="shared" si="11"/>
        <v>0</v>
      </c>
      <c r="I13" s="60">
        <f t="shared" si="11"/>
        <v>0</v>
      </c>
      <c r="J13" s="60">
        <f t="shared" si="11"/>
        <v>0</v>
      </c>
      <c r="K13" s="60">
        <f t="shared" si="11"/>
        <v>0</v>
      </c>
      <c r="L13" s="60">
        <f t="shared" si="11"/>
        <v>0</v>
      </c>
      <c r="M13" s="60">
        <f t="shared" si="11"/>
        <v>0</v>
      </c>
      <c r="N13" s="60">
        <f t="shared" si="11"/>
        <v>0</v>
      </c>
      <c r="O13" s="60">
        <f t="shared" si="11"/>
        <v>0</v>
      </c>
      <c r="P13" s="60">
        <f t="shared" si="11"/>
        <v>0</v>
      </c>
      <c r="Q13" s="60">
        <f t="shared" si="11"/>
        <v>0</v>
      </c>
      <c r="R13" s="60">
        <f t="shared" si="11"/>
        <v>0</v>
      </c>
      <c r="S13" s="60">
        <f t="shared" si="11"/>
        <v>0</v>
      </c>
      <c r="T13" s="60">
        <f t="shared" si="11"/>
        <v>0</v>
      </c>
      <c r="U13" s="60">
        <f t="shared" si="11"/>
        <v>0</v>
      </c>
      <c r="V13" s="60">
        <f t="shared" si="11"/>
        <v>0</v>
      </c>
      <c r="W13" s="60">
        <f t="shared" si="11"/>
        <v>0</v>
      </c>
      <c r="X13" s="60">
        <f t="shared" si="11"/>
        <v>0</v>
      </c>
      <c r="Y13" s="60">
        <f t="shared" si="11"/>
        <v>0</v>
      </c>
      <c r="Z13" s="60">
        <f t="shared" si="11"/>
        <v>0</v>
      </c>
      <c r="AA13" s="60">
        <f t="shared" si="11"/>
        <v>0</v>
      </c>
      <c r="AB13" s="60">
        <f t="shared" si="11"/>
        <v>0</v>
      </c>
      <c r="AC13" s="60">
        <f t="shared" si="11"/>
        <v>0</v>
      </c>
      <c r="AD13" s="60">
        <f t="shared" si="11"/>
        <v>0</v>
      </c>
      <c r="AE13" s="60">
        <f t="shared" si="11"/>
        <v>0</v>
      </c>
      <c r="AF13" s="60">
        <f t="shared" si="11"/>
        <v>0</v>
      </c>
      <c r="AG13" s="31"/>
      <c r="AH13" s="31"/>
      <c r="AI13" s="31"/>
      <c r="AJ13" s="31"/>
      <c r="AK13" s="31"/>
      <c r="AL13" s="31"/>
      <c r="AM13" s="31"/>
      <c r="AN13" s="31"/>
      <c r="AO13" s="31"/>
      <c r="AP13" s="31"/>
      <c r="AQ13" s="31"/>
      <c r="AR13" s="31"/>
      <c r="AS13" s="31"/>
      <c r="AT13" s="31"/>
      <c r="AU13" s="31"/>
      <c r="AV13" s="31"/>
      <c r="AW13" s="31"/>
      <c r="AX13" s="31"/>
      <c r="AY13" s="31"/>
      <c r="AZ13" s="31"/>
    </row>
    <row r="14" spans="1:52" ht="14.25" customHeight="1">
      <c r="A14" s="5" t="s">
        <v>59</v>
      </c>
      <c r="B14" s="60">
        <v>0</v>
      </c>
      <c r="C14" s="60">
        <f t="shared" ref="C14:AF14" si="12">$B14</f>
        <v>0</v>
      </c>
      <c r="D14" s="60">
        <f t="shared" si="12"/>
        <v>0</v>
      </c>
      <c r="E14" s="60">
        <f t="shared" si="12"/>
        <v>0</v>
      </c>
      <c r="F14" s="60">
        <f t="shared" si="12"/>
        <v>0</v>
      </c>
      <c r="G14" s="60">
        <f t="shared" si="12"/>
        <v>0</v>
      </c>
      <c r="H14" s="60">
        <f t="shared" si="12"/>
        <v>0</v>
      </c>
      <c r="I14" s="60">
        <f t="shared" si="12"/>
        <v>0</v>
      </c>
      <c r="J14" s="60">
        <f t="shared" si="12"/>
        <v>0</v>
      </c>
      <c r="K14" s="60">
        <f t="shared" si="12"/>
        <v>0</v>
      </c>
      <c r="L14" s="60">
        <f t="shared" si="12"/>
        <v>0</v>
      </c>
      <c r="M14" s="60">
        <f t="shared" si="12"/>
        <v>0</v>
      </c>
      <c r="N14" s="60">
        <f t="shared" si="12"/>
        <v>0</v>
      </c>
      <c r="O14" s="60">
        <f t="shared" si="12"/>
        <v>0</v>
      </c>
      <c r="P14" s="60">
        <f t="shared" si="12"/>
        <v>0</v>
      </c>
      <c r="Q14" s="60">
        <f t="shared" si="12"/>
        <v>0</v>
      </c>
      <c r="R14" s="60">
        <f t="shared" si="12"/>
        <v>0</v>
      </c>
      <c r="S14" s="60">
        <f t="shared" si="12"/>
        <v>0</v>
      </c>
      <c r="T14" s="60">
        <f t="shared" si="12"/>
        <v>0</v>
      </c>
      <c r="U14" s="60">
        <f t="shared" si="12"/>
        <v>0</v>
      </c>
      <c r="V14" s="60">
        <f t="shared" si="12"/>
        <v>0</v>
      </c>
      <c r="W14" s="60">
        <f t="shared" si="12"/>
        <v>0</v>
      </c>
      <c r="X14" s="60">
        <f t="shared" si="12"/>
        <v>0</v>
      </c>
      <c r="Y14" s="60">
        <f t="shared" si="12"/>
        <v>0</v>
      </c>
      <c r="Z14" s="60">
        <f t="shared" si="12"/>
        <v>0</v>
      </c>
      <c r="AA14" s="60">
        <f t="shared" si="12"/>
        <v>0</v>
      </c>
      <c r="AB14" s="60">
        <f t="shared" si="12"/>
        <v>0</v>
      </c>
      <c r="AC14" s="60">
        <f t="shared" si="12"/>
        <v>0</v>
      </c>
      <c r="AD14" s="60">
        <f t="shared" si="12"/>
        <v>0</v>
      </c>
      <c r="AE14" s="60">
        <f t="shared" si="12"/>
        <v>0</v>
      </c>
      <c r="AF14" s="60">
        <f t="shared" si="12"/>
        <v>0</v>
      </c>
      <c r="AG14" s="31"/>
      <c r="AH14" s="31"/>
      <c r="AI14" s="31"/>
      <c r="AJ14" s="31"/>
      <c r="AK14" s="31"/>
      <c r="AL14" s="31"/>
      <c r="AM14" s="31"/>
      <c r="AN14" s="31"/>
      <c r="AO14" s="31"/>
      <c r="AP14" s="31"/>
      <c r="AQ14" s="31"/>
      <c r="AR14" s="31"/>
      <c r="AS14" s="31"/>
      <c r="AT14" s="31"/>
      <c r="AU14" s="31"/>
      <c r="AV14" s="31"/>
      <c r="AW14" s="31"/>
      <c r="AX14" s="31"/>
      <c r="AY14" s="31"/>
      <c r="AZ14" s="31"/>
    </row>
    <row r="15" spans="1:52" ht="14.25" customHeight="1">
      <c r="A15" s="5" t="s">
        <v>60</v>
      </c>
      <c r="B15" s="60">
        <v>0</v>
      </c>
      <c r="C15" s="60">
        <f t="shared" ref="C15:AF15" si="13">$B15</f>
        <v>0</v>
      </c>
      <c r="D15" s="60">
        <f t="shared" si="13"/>
        <v>0</v>
      </c>
      <c r="E15" s="60">
        <f t="shared" si="13"/>
        <v>0</v>
      </c>
      <c r="F15" s="60">
        <f t="shared" si="13"/>
        <v>0</v>
      </c>
      <c r="G15" s="60">
        <f t="shared" si="13"/>
        <v>0</v>
      </c>
      <c r="H15" s="60">
        <f t="shared" si="13"/>
        <v>0</v>
      </c>
      <c r="I15" s="60">
        <f t="shared" si="13"/>
        <v>0</v>
      </c>
      <c r="J15" s="60">
        <f t="shared" si="13"/>
        <v>0</v>
      </c>
      <c r="K15" s="60">
        <f t="shared" si="13"/>
        <v>0</v>
      </c>
      <c r="L15" s="60">
        <f t="shared" si="13"/>
        <v>0</v>
      </c>
      <c r="M15" s="60">
        <f t="shared" si="13"/>
        <v>0</v>
      </c>
      <c r="N15" s="60">
        <f t="shared" si="13"/>
        <v>0</v>
      </c>
      <c r="O15" s="60">
        <f t="shared" si="13"/>
        <v>0</v>
      </c>
      <c r="P15" s="60">
        <f t="shared" si="13"/>
        <v>0</v>
      </c>
      <c r="Q15" s="60">
        <f t="shared" si="13"/>
        <v>0</v>
      </c>
      <c r="R15" s="60">
        <f t="shared" si="13"/>
        <v>0</v>
      </c>
      <c r="S15" s="60">
        <f t="shared" si="13"/>
        <v>0</v>
      </c>
      <c r="T15" s="60">
        <f t="shared" si="13"/>
        <v>0</v>
      </c>
      <c r="U15" s="60">
        <f t="shared" si="13"/>
        <v>0</v>
      </c>
      <c r="V15" s="60">
        <f t="shared" si="13"/>
        <v>0</v>
      </c>
      <c r="W15" s="60">
        <f t="shared" si="13"/>
        <v>0</v>
      </c>
      <c r="X15" s="60">
        <f t="shared" si="13"/>
        <v>0</v>
      </c>
      <c r="Y15" s="60">
        <f t="shared" si="13"/>
        <v>0</v>
      </c>
      <c r="Z15" s="60">
        <f t="shared" si="13"/>
        <v>0</v>
      </c>
      <c r="AA15" s="60">
        <f t="shared" si="13"/>
        <v>0</v>
      </c>
      <c r="AB15" s="60">
        <f t="shared" si="13"/>
        <v>0</v>
      </c>
      <c r="AC15" s="60">
        <f t="shared" si="13"/>
        <v>0</v>
      </c>
      <c r="AD15" s="60">
        <f t="shared" si="13"/>
        <v>0</v>
      </c>
      <c r="AE15" s="60">
        <f t="shared" si="13"/>
        <v>0</v>
      </c>
      <c r="AF15" s="60">
        <f t="shared" si="13"/>
        <v>0</v>
      </c>
      <c r="AG15" s="31"/>
      <c r="AH15" s="31"/>
      <c r="AI15" s="31"/>
      <c r="AJ15" s="31"/>
      <c r="AK15" s="31"/>
      <c r="AL15" s="31"/>
      <c r="AM15" s="31"/>
      <c r="AN15" s="31"/>
      <c r="AO15" s="31"/>
      <c r="AP15" s="31"/>
      <c r="AQ15" s="31"/>
      <c r="AR15" s="31"/>
      <c r="AS15" s="31"/>
      <c r="AT15" s="31"/>
      <c r="AU15" s="31"/>
      <c r="AV15" s="31"/>
      <c r="AW15" s="31"/>
      <c r="AX15" s="31"/>
      <c r="AY15" s="31"/>
      <c r="AZ15" s="31"/>
    </row>
    <row r="16" spans="1:52" ht="14.25" customHeight="1">
      <c r="A16" s="5" t="s">
        <v>61</v>
      </c>
      <c r="B16" s="60">
        <v>0</v>
      </c>
      <c r="C16" s="60">
        <f t="shared" ref="C16:AF16" si="14">$B16</f>
        <v>0</v>
      </c>
      <c r="D16" s="60">
        <f t="shared" si="14"/>
        <v>0</v>
      </c>
      <c r="E16" s="60">
        <f t="shared" si="14"/>
        <v>0</v>
      </c>
      <c r="F16" s="60">
        <f t="shared" si="14"/>
        <v>0</v>
      </c>
      <c r="G16" s="60">
        <f t="shared" si="14"/>
        <v>0</v>
      </c>
      <c r="H16" s="60">
        <f t="shared" si="14"/>
        <v>0</v>
      </c>
      <c r="I16" s="60">
        <f t="shared" si="14"/>
        <v>0</v>
      </c>
      <c r="J16" s="60">
        <f t="shared" si="14"/>
        <v>0</v>
      </c>
      <c r="K16" s="60">
        <f t="shared" si="14"/>
        <v>0</v>
      </c>
      <c r="L16" s="60">
        <f t="shared" si="14"/>
        <v>0</v>
      </c>
      <c r="M16" s="60">
        <f t="shared" si="14"/>
        <v>0</v>
      </c>
      <c r="N16" s="60">
        <f t="shared" si="14"/>
        <v>0</v>
      </c>
      <c r="O16" s="60">
        <f t="shared" si="14"/>
        <v>0</v>
      </c>
      <c r="P16" s="60">
        <f t="shared" si="14"/>
        <v>0</v>
      </c>
      <c r="Q16" s="60">
        <f t="shared" si="14"/>
        <v>0</v>
      </c>
      <c r="R16" s="60">
        <f t="shared" si="14"/>
        <v>0</v>
      </c>
      <c r="S16" s="60">
        <f t="shared" si="14"/>
        <v>0</v>
      </c>
      <c r="T16" s="60">
        <f t="shared" si="14"/>
        <v>0</v>
      </c>
      <c r="U16" s="60">
        <f t="shared" si="14"/>
        <v>0</v>
      </c>
      <c r="V16" s="60">
        <f t="shared" si="14"/>
        <v>0</v>
      </c>
      <c r="W16" s="60">
        <f t="shared" si="14"/>
        <v>0</v>
      </c>
      <c r="X16" s="60">
        <f t="shared" si="14"/>
        <v>0</v>
      </c>
      <c r="Y16" s="60">
        <f t="shared" si="14"/>
        <v>0</v>
      </c>
      <c r="Z16" s="60">
        <f t="shared" si="14"/>
        <v>0</v>
      </c>
      <c r="AA16" s="60">
        <f t="shared" si="14"/>
        <v>0</v>
      </c>
      <c r="AB16" s="60">
        <f t="shared" si="14"/>
        <v>0</v>
      </c>
      <c r="AC16" s="60">
        <f t="shared" si="14"/>
        <v>0</v>
      </c>
      <c r="AD16" s="60">
        <f t="shared" si="14"/>
        <v>0</v>
      </c>
      <c r="AE16" s="60">
        <f t="shared" si="14"/>
        <v>0</v>
      </c>
      <c r="AF16" s="60">
        <f t="shared" si="14"/>
        <v>0</v>
      </c>
      <c r="AG16" s="31"/>
      <c r="AH16" s="31"/>
      <c r="AI16" s="31"/>
      <c r="AJ16" s="31"/>
      <c r="AK16" s="31"/>
      <c r="AL16" s="31"/>
      <c r="AM16" s="31"/>
      <c r="AN16" s="31"/>
      <c r="AO16" s="31"/>
      <c r="AP16" s="31"/>
      <c r="AQ16" s="31"/>
      <c r="AR16" s="31"/>
      <c r="AS16" s="31"/>
      <c r="AT16" s="31"/>
      <c r="AU16" s="31"/>
      <c r="AV16" s="31"/>
      <c r="AW16" s="31"/>
      <c r="AX16" s="31"/>
      <c r="AY16" s="31"/>
      <c r="AZ16" s="31"/>
    </row>
    <row r="17" spans="1:52" ht="14.25" customHeight="1">
      <c r="A17" s="5" t="s">
        <v>62</v>
      </c>
      <c r="B17" s="60">
        <v>0</v>
      </c>
      <c r="C17" s="60">
        <f t="shared" ref="C17:AF17" si="15">$B17</f>
        <v>0</v>
      </c>
      <c r="D17" s="60">
        <f t="shared" si="15"/>
        <v>0</v>
      </c>
      <c r="E17" s="60">
        <f t="shared" si="15"/>
        <v>0</v>
      </c>
      <c r="F17" s="60">
        <f t="shared" si="15"/>
        <v>0</v>
      </c>
      <c r="G17" s="60">
        <f t="shared" si="15"/>
        <v>0</v>
      </c>
      <c r="H17" s="60">
        <f t="shared" si="15"/>
        <v>0</v>
      </c>
      <c r="I17" s="60">
        <f t="shared" si="15"/>
        <v>0</v>
      </c>
      <c r="J17" s="60">
        <f t="shared" si="15"/>
        <v>0</v>
      </c>
      <c r="K17" s="60">
        <f t="shared" si="15"/>
        <v>0</v>
      </c>
      <c r="L17" s="60">
        <f t="shared" si="15"/>
        <v>0</v>
      </c>
      <c r="M17" s="60">
        <f t="shared" si="15"/>
        <v>0</v>
      </c>
      <c r="N17" s="60">
        <f t="shared" si="15"/>
        <v>0</v>
      </c>
      <c r="O17" s="60">
        <f t="shared" si="15"/>
        <v>0</v>
      </c>
      <c r="P17" s="60">
        <f t="shared" si="15"/>
        <v>0</v>
      </c>
      <c r="Q17" s="60">
        <f t="shared" si="15"/>
        <v>0</v>
      </c>
      <c r="R17" s="60">
        <f t="shared" si="15"/>
        <v>0</v>
      </c>
      <c r="S17" s="60">
        <f t="shared" si="15"/>
        <v>0</v>
      </c>
      <c r="T17" s="60">
        <f t="shared" si="15"/>
        <v>0</v>
      </c>
      <c r="U17" s="60">
        <f t="shared" si="15"/>
        <v>0</v>
      </c>
      <c r="V17" s="60">
        <f t="shared" si="15"/>
        <v>0</v>
      </c>
      <c r="W17" s="60">
        <f t="shared" si="15"/>
        <v>0</v>
      </c>
      <c r="X17" s="60">
        <f t="shared" si="15"/>
        <v>0</v>
      </c>
      <c r="Y17" s="60">
        <f t="shared" si="15"/>
        <v>0</v>
      </c>
      <c r="Z17" s="60">
        <f t="shared" si="15"/>
        <v>0</v>
      </c>
      <c r="AA17" s="60">
        <f t="shared" si="15"/>
        <v>0</v>
      </c>
      <c r="AB17" s="60">
        <f t="shared" si="15"/>
        <v>0</v>
      </c>
      <c r="AC17" s="60">
        <f t="shared" si="15"/>
        <v>0</v>
      </c>
      <c r="AD17" s="60">
        <f t="shared" si="15"/>
        <v>0</v>
      </c>
      <c r="AE17" s="60">
        <f t="shared" si="15"/>
        <v>0</v>
      </c>
      <c r="AF17" s="60">
        <f t="shared" si="15"/>
        <v>0</v>
      </c>
      <c r="AG17" s="31"/>
      <c r="AH17" s="31"/>
      <c r="AI17" s="31"/>
      <c r="AJ17" s="31"/>
      <c r="AK17" s="31"/>
      <c r="AL17" s="31"/>
      <c r="AM17" s="31"/>
      <c r="AN17" s="31"/>
      <c r="AO17" s="31"/>
      <c r="AP17" s="31"/>
      <c r="AQ17" s="31"/>
      <c r="AR17" s="31"/>
      <c r="AS17" s="31"/>
      <c r="AT17" s="31"/>
      <c r="AU17" s="31"/>
      <c r="AV17" s="31"/>
      <c r="AW17" s="31"/>
      <c r="AX17" s="31"/>
      <c r="AY17" s="31"/>
      <c r="AZ17" s="31"/>
    </row>
    <row r="18" spans="1:52" ht="14.25" customHeight="1">
      <c r="C18" s="5"/>
    </row>
    <row r="19" spans="1:52" ht="14.25" customHeight="1">
      <c r="A19" s="1"/>
    </row>
    <row r="20" spans="1:52" ht="14.25" customHeight="1">
      <c r="F20" s="1"/>
      <c r="G20" s="1"/>
      <c r="H20" s="1"/>
      <c r="I20" s="1"/>
    </row>
    <row r="21" spans="1:52" ht="14.25" customHeight="1"/>
    <row r="22" spans="1:52" ht="14.25" customHeight="1"/>
    <row r="23" spans="1:52" ht="14.25" customHeight="1"/>
    <row r="24" spans="1:52" ht="14.25" customHeight="1"/>
    <row r="25" spans="1:52" ht="14.25" customHeight="1"/>
    <row r="26" spans="1:52" ht="14.25" customHeight="1"/>
    <row r="27" spans="1:52" ht="14.25" customHeight="1"/>
    <row r="28" spans="1:52" ht="14.25" customHeight="1"/>
    <row r="29" spans="1:52" ht="14.25" customHeight="1"/>
    <row r="30" spans="1:52" ht="14.25" customHeight="1"/>
    <row r="31" spans="1:52" ht="14.25" customHeight="1"/>
    <row r="32" spans="1:5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546A"/>
  </sheetPr>
  <dimension ref="A1:AZ1000"/>
  <sheetViews>
    <sheetView workbookViewId="0">
      <selection activeCell="B2" sqref="B2:AF17"/>
    </sheetView>
  </sheetViews>
  <sheetFormatPr baseColWidth="10" defaultColWidth="14.42578125" defaultRowHeight="15" customHeight="1"/>
  <cols>
    <col min="1" max="1" width="36.42578125" customWidth="1"/>
    <col min="2" max="32" width="7.28515625" customWidth="1"/>
  </cols>
  <sheetData>
    <row r="1" spans="1:52" s="25" customFormat="1" ht="14.25" customHeight="1">
      <c r="A1" s="22" t="s">
        <v>68</v>
      </c>
      <c r="B1" s="16">
        <v>2020</v>
      </c>
      <c r="C1" s="40">
        <v>2021</v>
      </c>
      <c r="D1" s="40">
        <v>2022</v>
      </c>
      <c r="E1" s="40">
        <v>2023</v>
      </c>
      <c r="F1" s="40">
        <v>2024</v>
      </c>
      <c r="G1" s="40">
        <v>2025</v>
      </c>
      <c r="H1" s="40">
        <v>2026</v>
      </c>
      <c r="I1" s="40">
        <v>2027</v>
      </c>
      <c r="J1" s="40">
        <v>2028</v>
      </c>
      <c r="K1" s="40">
        <v>2029</v>
      </c>
      <c r="L1" s="40">
        <v>2030</v>
      </c>
      <c r="M1" s="40">
        <v>2031</v>
      </c>
      <c r="N1" s="40">
        <v>2032</v>
      </c>
      <c r="O1" s="40">
        <v>2033</v>
      </c>
      <c r="P1" s="40">
        <v>2034</v>
      </c>
      <c r="Q1" s="40">
        <v>2035</v>
      </c>
      <c r="R1" s="40">
        <v>2036</v>
      </c>
      <c r="S1" s="40">
        <v>2037</v>
      </c>
      <c r="T1" s="40">
        <v>2038</v>
      </c>
      <c r="U1" s="40">
        <v>2039</v>
      </c>
      <c r="V1" s="40">
        <v>2040</v>
      </c>
      <c r="W1" s="40">
        <v>2041</v>
      </c>
      <c r="X1" s="40">
        <v>2042</v>
      </c>
      <c r="Y1" s="40">
        <v>2043</v>
      </c>
      <c r="Z1" s="40">
        <v>2044</v>
      </c>
      <c r="AA1" s="40">
        <v>2045</v>
      </c>
      <c r="AB1" s="40">
        <v>2046</v>
      </c>
      <c r="AC1" s="40">
        <v>2047</v>
      </c>
      <c r="AD1" s="40">
        <v>2048</v>
      </c>
      <c r="AE1" s="40">
        <v>2049</v>
      </c>
      <c r="AF1" s="40">
        <v>2050</v>
      </c>
    </row>
    <row r="2" spans="1:52" ht="14.25" customHeight="1">
      <c r="A2" s="5" t="s">
        <v>67</v>
      </c>
      <c r="B2" s="61">
        <f>'CCaMC-VOaMCpUC-pre-ret'!B2</f>
        <v>0.12</v>
      </c>
      <c r="C2" s="61">
        <f>'CCaMC-VOaMCpUC-pre-ret'!C2</f>
        <v>0.12</v>
      </c>
      <c r="D2" s="61">
        <f>'CCaMC-VOaMCpUC-pre-ret'!D2</f>
        <v>0.12</v>
      </c>
      <c r="E2" s="61">
        <f>'CCaMC-VOaMCpUC-pre-ret'!E2</f>
        <v>0.12</v>
      </c>
      <c r="F2" s="61">
        <f>'CCaMC-VOaMCpUC-pre-ret'!F2</f>
        <v>0.12</v>
      </c>
      <c r="G2" s="61">
        <f>'CCaMC-VOaMCpUC-pre-ret'!G2</f>
        <v>0.12</v>
      </c>
      <c r="H2" s="61">
        <f>'CCaMC-VOaMCpUC-pre-ret'!H2</f>
        <v>0.12</v>
      </c>
      <c r="I2" s="61">
        <f>'CCaMC-VOaMCpUC-pre-ret'!I2</f>
        <v>0.12</v>
      </c>
      <c r="J2" s="61">
        <f>'CCaMC-VOaMCpUC-pre-ret'!J2</f>
        <v>0.12</v>
      </c>
      <c r="K2" s="61">
        <f>'CCaMC-VOaMCpUC-pre-ret'!K2</f>
        <v>0.12</v>
      </c>
      <c r="L2" s="61">
        <f>'CCaMC-VOaMCpUC-pre-ret'!L2</f>
        <v>0.12</v>
      </c>
      <c r="M2" s="61">
        <f>'CCaMC-VOaMCpUC-pre-ret'!M2</f>
        <v>0.12</v>
      </c>
      <c r="N2" s="61">
        <f>'CCaMC-VOaMCpUC-pre-ret'!N2</f>
        <v>0.12</v>
      </c>
      <c r="O2" s="61">
        <f>'CCaMC-VOaMCpUC-pre-ret'!O2</f>
        <v>0.12</v>
      </c>
      <c r="P2" s="61">
        <f>'CCaMC-VOaMCpUC-pre-ret'!P2</f>
        <v>0.12</v>
      </c>
      <c r="Q2" s="61">
        <f>'CCaMC-VOaMCpUC-pre-ret'!Q2</f>
        <v>0.12</v>
      </c>
      <c r="R2" s="61">
        <f>'CCaMC-VOaMCpUC-pre-ret'!R2</f>
        <v>0.12</v>
      </c>
      <c r="S2" s="61">
        <f>'CCaMC-VOaMCpUC-pre-ret'!S2</f>
        <v>0.12</v>
      </c>
      <c r="T2" s="61">
        <f>'CCaMC-VOaMCpUC-pre-ret'!T2</f>
        <v>0.12</v>
      </c>
      <c r="U2" s="61">
        <f>'CCaMC-VOaMCpUC-pre-ret'!U2</f>
        <v>0.12</v>
      </c>
      <c r="V2" s="61">
        <f>'CCaMC-VOaMCpUC-pre-ret'!V2</f>
        <v>0.12</v>
      </c>
      <c r="W2" s="61">
        <f>'CCaMC-VOaMCpUC-pre-ret'!W2</f>
        <v>0.12</v>
      </c>
      <c r="X2" s="61">
        <f>'CCaMC-VOaMCpUC-pre-ret'!X2</f>
        <v>0.12</v>
      </c>
      <c r="Y2" s="61">
        <f>'CCaMC-VOaMCpUC-pre-ret'!Y2</f>
        <v>0.12</v>
      </c>
      <c r="Z2" s="61">
        <f>'CCaMC-VOaMCpUC-pre-ret'!Z2</f>
        <v>0.12</v>
      </c>
      <c r="AA2" s="61">
        <f>'CCaMC-VOaMCpUC-pre-ret'!AA2</f>
        <v>0.12</v>
      </c>
      <c r="AB2" s="61">
        <f>'CCaMC-VOaMCpUC-pre-ret'!AB2</f>
        <v>0.12</v>
      </c>
      <c r="AC2" s="61">
        <f>'CCaMC-VOaMCpUC-pre-ret'!AC2</f>
        <v>0.12</v>
      </c>
      <c r="AD2" s="61">
        <f>'CCaMC-VOaMCpUC-pre-ret'!AD2</f>
        <v>0.12</v>
      </c>
      <c r="AE2" s="61">
        <f>'CCaMC-VOaMCpUC-pre-ret'!AE2</f>
        <v>0.12</v>
      </c>
      <c r="AF2" s="61">
        <f>'CCaMC-VOaMCpUC-pre-ret'!AF2</f>
        <v>0.12</v>
      </c>
      <c r="AG2" s="32"/>
      <c r="AH2" s="32"/>
      <c r="AI2" s="32"/>
      <c r="AJ2" s="32"/>
      <c r="AK2" s="32"/>
      <c r="AL2" s="32"/>
      <c r="AM2" s="32"/>
      <c r="AN2" s="32"/>
      <c r="AO2" s="32"/>
      <c r="AP2" s="32"/>
      <c r="AQ2" s="32"/>
      <c r="AR2" s="32"/>
      <c r="AS2" s="32"/>
      <c r="AT2" s="32"/>
      <c r="AU2" s="32"/>
      <c r="AV2" s="32"/>
      <c r="AW2" s="32"/>
      <c r="AX2" s="32"/>
      <c r="AY2" s="32"/>
      <c r="AZ2" s="32"/>
    </row>
    <row r="3" spans="1:52" ht="14.25" customHeight="1">
      <c r="A3" s="5" t="s">
        <v>50</v>
      </c>
      <c r="B3" s="61">
        <f>'CCaMC-VOaMCpUC-pre-ret'!B3</f>
        <v>0.12479999999999999</v>
      </c>
      <c r="C3" s="61">
        <f>'CCaMC-VOaMCpUC-pre-ret'!C3</f>
        <v>0.12479999999999999</v>
      </c>
      <c r="D3" s="61">
        <f>'CCaMC-VOaMCpUC-pre-ret'!D3</f>
        <v>0.12479999999999999</v>
      </c>
      <c r="E3" s="61">
        <f>'CCaMC-VOaMCpUC-pre-ret'!E3</f>
        <v>0.12479999999999999</v>
      </c>
      <c r="F3" s="61">
        <f>'CCaMC-VOaMCpUC-pre-ret'!F3</f>
        <v>0.12479999999999999</v>
      </c>
      <c r="G3" s="61">
        <f>'CCaMC-VOaMCpUC-pre-ret'!G3</f>
        <v>0.12479999999999999</v>
      </c>
      <c r="H3" s="61">
        <f>'CCaMC-VOaMCpUC-pre-ret'!H3</f>
        <v>0.12479999999999999</v>
      </c>
      <c r="I3" s="61">
        <f>'CCaMC-VOaMCpUC-pre-ret'!I3</f>
        <v>0.12479999999999999</v>
      </c>
      <c r="J3" s="61">
        <f>'CCaMC-VOaMCpUC-pre-ret'!J3</f>
        <v>0.12479999999999999</v>
      </c>
      <c r="K3" s="61">
        <f>'CCaMC-VOaMCpUC-pre-ret'!K3</f>
        <v>0.12479999999999999</v>
      </c>
      <c r="L3" s="61">
        <f>'CCaMC-VOaMCpUC-pre-ret'!L3</f>
        <v>0.12479999999999999</v>
      </c>
      <c r="M3" s="61">
        <f>'CCaMC-VOaMCpUC-pre-ret'!M3</f>
        <v>0.12479999999999999</v>
      </c>
      <c r="N3" s="61">
        <f>'CCaMC-VOaMCpUC-pre-ret'!N3</f>
        <v>0.12479999999999999</v>
      </c>
      <c r="O3" s="61">
        <f>'CCaMC-VOaMCpUC-pre-ret'!O3</f>
        <v>0.12479999999999999</v>
      </c>
      <c r="P3" s="61">
        <f>'CCaMC-VOaMCpUC-pre-ret'!P3</f>
        <v>0.12479999999999999</v>
      </c>
      <c r="Q3" s="61">
        <f>'CCaMC-VOaMCpUC-pre-ret'!Q3</f>
        <v>0.12479999999999999</v>
      </c>
      <c r="R3" s="61">
        <f>'CCaMC-VOaMCpUC-pre-ret'!R3</f>
        <v>0.12479999999999999</v>
      </c>
      <c r="S3" s="61">
        <f>'CCaMC-VOaMCpUC-pre-ret'!S3</f>
        <v>0.12479999999999999</v>
      </c>
      <c r="T3" s="61">
        <f>'CCaMC-VOaMCpUC-pre-ret'!T3</f>
        <v>0.12479999999999999</v>
      </c>
      <c r="U3" s="61">
        <f>'CCaMC-VOaMCpUC-pre-ret'!U3</f>
        <v>0.12479999999999999</v>
      </c>
      <c r="V3" s="61">
        <f>'CCaMC-VOaMCpUC-pre-ret'!V3</f>
        <v>0.12479999999999999</v>
      </c>
      <c r="W3" s="61">
        <f>'CCaMC-VOaMCpUC-pre-ret'!W3</f>
        <v>0.12479999999999999</v>
      </c>
      <c r="X3" s="61">
        <f>'CCaMC-VOaMCpUC-pre-ret'!X3</f>
        <v>0.12479999999999999</v>
      </c>
      <c r="Y3" s="61">
        <f>'CCaMC-VOaMCpUC-pre-ret'!Y3</f>
        <v>0.12479999999999999</v>
      </c>
      <c r="Z3" s="61">
        <f>'CCaMC-VOaMCpUC-pre-ret'!Z3</f>
        <v>0.12479999999999999</v>
      </c>
      <c r="AA3" s="61">
        <f>'CCaMC-VOaMCpUC-pre-ret'!AA3</f>
        <v>0.12479999999999999</v>
      </c>
      <c r="AB3" s="61">
        <f>'CCaMC-VOaMCpUC-pre-ret'!AB3</f>
        <v>0.12479999999999999</v>
      </c>
      <c r="AC3" s="61">
        <f>'CCaMC-VOaMCpUC-pre-ret'!AC3</f>
        <v>0.12479999999999999</v>
      </c>
      <c r="AD3" s="61">
        <f>'CCaMC-VOaMCpUC-pre-ret'!AD3</f>
        <v>0.12479999999999999</v>
      </c>
      <c r="AE3" s="61">
        <f>'CCaMC-VOaMCpUC-pre-ret'!AE3</f>
        <v>0.12479999999999999</v>
      </c>
      <c r="AF3" s="61">
        <f>'CCaMC-VOaMCpUC-pre-ret'!AF3</f>
        <v>0.12479999999999999</v>
      </c>
      <c r="AG3" s="32"/>
      <c r="AH3" s="32"/>
      <c r="AI3" s="32"/>
      <c r="AJ3" s="32"/>
      <c r="AK3" s="32"/>
      <c r="AL3" s="32"/>
      <c r="AM3" s="32"/>
      <c r="AN3" s="32"/>
      <c r="AO3" s="32"/>
      <c r="AP3" s="32"/>
      <c r="AQ3" s="32"/>
      <c r="AR3" s="32"/>
      <c r="AS3" s="32"/>
      <c r="AT3" s="32"/>
      <c r="AU3" s="32"/>
      <c r="AV3" s="32"/>
      <c r="AW3" s="32"/>
      <c r="AX3" s="32"/>
      <c r="AY3" s="32"/>
      <c r="AZ3" s="32"/>
    </row>
    <row r="4" spans="1:52" ht="14.25" customHeight="1">
      <c r="A4" s="5" t="s">
        <v>37</v>
      </c>
      <c r="B4" s="61">
        <f>'CCaMC-VOaMCpUC-pre-ret'!B4</f>
        <v>1.87</v>
      </c>
      <c r="C4" s="61">
        <f>'CCaMC-VOaMCpUC-pre-ret'!C4</f>
        <v>1.87</v>
      </c>
      <c r="D4" s="61">
        <f>'CCaMC-VOaMCpUC-pre-ret'!D4</f>
        <v>1.87</v>
      </c>
      <c r="E4" s="61">
        <f>'CCaMC-VOaMCpUC-pre-ret'!E4</f>
        <v>1.87</v>
      </c>
      <c r="F4" s="61">
        <f>'CCaMC-VOaMCpUC-pre-ret'!F4</f>
        <v>1.87</v>
      </c>
      <c r="G4" s="61">
        <f>'CCaMC-VOaMCpUC-pre-ret'!G4</f>
        <v>1.87</v>
      </c>
      <c r="H4" s="61">
        <f>'CCaMC-VOaMCpUC-pre-ret'!H4</f>
        <v>1.87</v>
      </c>
      <c r="I4" s="61">
        <f>'CCaMC-VOaMCpUC-pre-ret'!I4</f>
        <v>1.87</v>
      </c>
      <c r="J4" s="61">
        <f>'CCaMC-VOaMCpUC-pre-ret'!J4</f>
        <v>1.87</v>
      </c>
      <c r="K4" s="61">
        <f>'CCaMC-VOaMCpUC-pre-ret'!K4</f>
        <v>1.87</v>
      </c>
      <c r="L4" s="61">
        <f>'CCaMC-VOaMCpUC-pre-ret'!L4</f>
        <v>1.87</v>
      </c>
      <c r="M4" s="61">
        <f>'CCaMC-VOaMCpUC-pre-ret'!M4</f>
        <v>1.87</v>
      </c>
      <c r="N4" s="61">
        <f>'CCaMC-VOaMCpUC-pre-ret'!N4</f>
        <v>1.87</v>
      </c>
      <c r="O4" s="61">
        <f>'CCaMC-VOaMCpUC-pre-ret'!O4</f>
        <v>1.87</v>
      </c>
      <c r="P4" s="61">
        <f>'CCaMC-VOaMCpUC-pre-ret'!P4</f>
        <v>1.87</v>
      </c>
      <c r="Q4" s="61">
        <f>'CCaMC-VOaMCpUC-pre-ret'!Q4</f>
        <v>1.87</v>
      </c>
      <c r="R4" s="61">
        <f>'CCaMC-VOaMCpUC-pre-ret'!R4</f>
        <v>1.87</v>
      </c>
      <c r="S4" s="61">
        <f>'CCaMC-VOaMCpUC-pre-ret'!S4</f>
        <v>1.87</v>
      </c>
      <c r="T4" s="61">
        <f>'CCaMC-VOaMCpUC-pre-ret'!T4</f>
        <v>1.87</v>
      </c>
      <c r="U4" s="61">
        <f>'CCaMC-VOaMCpUC-pre-ret'!U4</f>
        <v>1.87</v>
      </c>
      <c r="V4" s="61">
        <f>'CCaMC-VOaMCpUC-pre-ret'!V4</f>
        <v>1.87</v>
      </c>
      <c r="W4" s="61">
        <f>'CCaMC-VOaMCpUC-pre-ret'!W4</f>
        <v>1.87</v>
      </c>
      <c r="X4" s="61">
        <f>'CCaMC-VOaMCpUC-pre-ret'!X4</f>
        <v>1.87</v>
      </c>
      <c r="Y4" s="61">
        <f>'CCaMC-VOaMCpUC-pre-ret'!Y4</f>
        <v>1.87</v>
      </c>
      <c r="Z4" s="61">
        <f>'CCaMC-VOaMCpUC-pre-ret'!Z4</f>
        <v>1.87</v>
      </c>
      <c r="AA4" s="61">
        <f>'CCaMC-VOaMCpUC-pre-ret'!AA4</f>
        <v>1.87</v>
      </c>
      <c r="AB4" s="61">
        <f>'CCaMC-VOaMCpUC-pre-ret'!AB4</f>
        <v>1.87</v>
      </c>
      <c r="AC4" s="61">
        <f>'CCaMC-VOaMCpUC-pre-ret'!AC4</f>
        <v>1.87</v>
      </c>
      <c r="AD4" s="61">
        <f>'CCaMC-VOaMCpUC-pre-ret'!AD4</f>
        <v>1.87</v>
      </c>
      <c r="AE4" s="61">
        <f>'CCaMC-VOaMCpUC-pre-ret'!AE4</f>
        <v>1.87</v>
      </c>
      <c r="AF4" s="61">
        <f>'CCaMC-VOaMCpUC-pre-ret'!AF4</f>
        <v>1.87</v>
      </c>
      <c r="AG4" s="32"/>
      <c r="AH4" s="32"/>
      <c r="AI4" s="32"/>
      <c r="AJ4" s="32"/>
      <c r="AK4" s="32"/>
      <c r="AL4" s="32"/>
      <c r="AM4" s="32"/>
      <c r="AN4" s="32"/>
      <c r="AO4" s="32"/>
      <c r="AP4" s="32"/>
      <c r="AQ4" s="32"/>
      <c r="AR4" s="32"/>
      <c r="AS4" s="32"/>
      <c r="AT4" s="32"/>
      <c r="AU4" s="32"/>
      <c r="AV4" s="32"/>
      <c r="AW4" s="32"/>
      <c r="AX4" s="32"/>
      <c r="AY4" s="32"/>
      <c r="AZ4" s="32"/>
    </row>
    <row r="5" spans="1:52" ht="14.25" customHeight="1">
      <c r="A5" s="5" t="s">
        <v>51</v>
      </c>
      <c r="B5" s="61">
        <f>'CCaMC-VOaMCpUC-pre-ret'!B5</f>
        <v>0.53</v>
      </c>
      <c r="C5" s="61">
        <f>'CCaMC-VOaMCpUC-pre-ret'!C5</f>
        <v>0.53</v>
      </c>
      <c r="D5" s="61">
        <f>'CCaMC-VOaMCpUC-pre-ret'!D5</f>
        <v>0.53</v>
      </c>
      <c r="E5" s="61">
        <f>'CCaMC-VOaMCpUC-pre-ret'!E5</f>
        <v>0.53</v>
      </c>
      <c r="F5" s="61">
        <f>'CCaMC-VOaMCpUC-pre-ret'!F5</f>
        <v>0.53</v>
      </c>
      <c r="G5" s="61">
        <f>'CCaMC-VOaMCpUC-pre-ret'!G5</f>
        <v>0.53</v>
      </c>
      <c r="H5" s="61">
        <f>'CCaMC-VOaMCpUC-pre-ret'!H5</f>
        <v>0.53</v>
      </c>
      <c r="I5" s="61">
        <f>'CCaMC-VOaMCpUC-pre-ret'!I5</f>
        <v>0.53</v>
      </c>
      <c r="J5" s="61">
        <f>'CCaMC-VOaMCpUC-pre-ret'!J5</f>
        <v>0.53</v>
      </c>
      <c r="K5" s="61">
        <f>'CCaMC-VOaMCpUC-pre-ret'!K5</f>
        <v>0.53</v>
      </c>
      <c r="L5" s="61">
        <f>'CCaMC-VOaMCpUC-pre-ret'!L5</f>
        <v>0.53</v>
      </c>
      <c r="M5" s="61">
        <f>'CCaMC-VOaMCpUC-pre-ret'!M5</f>
        <v>0.53</v>
      </c>
      <c r="N5" s="61">
        <f>'CCaMC-VOaMCpUC-pre-ret'!N5</f>
        <v>0.53</v>
      </c>
      <c r="O5" s="61">
        <f>'CCaMC-VOaMCpUC-pre-ret'!O5</f>
        <v>0.53</v>
      </c>
      <c r="P5" s="61">
        <f>'CCaMC-VOaMCpUC-pre-ret'!P5</f>
        <v>0.53</v>
      </c>
      <c r="Q5" s="61">
        <f>'CCaMC-VOaMCpUC-pre-ret'!Q5</f>
        <v>0.53</v>
      </c>
      <c r="R5" s="61">
        <f>'CCaMC-VOaMCpUC-pre-ret'!R5</f>
        <v>0.53</v>
      </c>
      <c r="S5" s="61">
        <f>'CCaMC-VOaMCpUC-pre-ret'!S5</f>
        <v>0.53</v>
      </c>
      <c r="T5" s="61">
        <f>'CCaMC-VOaMCpUC-pre-ret'!T5</f>
        <v>0.53</v>
      </c>
      <c r="U5" s="61">
        <f>'CCaMC-VOaMCpUC-pre-ret'!U5</f>
        <v>0.53</v>
      </c>
      <c r="V5" s="61">
        <f>'CCaMC-VOaMCpUC-pre-ret'!V5</f>
        <v>0.53</v>
      </c>
      <c r="W5" s="61">
        <f>'CCaMC-VOaMCpUC-pre-ret'!W5</f>
        <v>0.53</v>
      </c>
      <c r="X5" s="61">
        <f>'CCaMC-VOaMCpUC-pre-ret'!X5</f>
        <v>0.53</v>
      </c>
      <c r="Y5" s="61">
        <f>'CCaMC-VOaMCpUC-pre-ret'!Y5</f>
        <v>0.53</v>
      </c>
      <c r="Z5" s="61">
        <f>'CCaMC-VOaMCpUC-pre-ret'!Z5</f>
        <v>0.53</v>
      </c>
      <c r="AA5" s="61">
        <f>'CCaMC-VOaMCpUC-pre-ret'!AA5</f>
        <v>0.53</v>
      </c>
      <c r="AB5" s="61">
        <f>'CCaMC-VOaMCpUC-pre-ret'!AB5</f>
        <v>0.53</v>
      </c>
      <c r="AC5" s="61">
        <f>'CCaMC-VOaMCpUC-pre-ret'!AC5</f>
        <v>0.53</v>
      </c>
      <c r="AD5" s="61">
        <f>'CCaMC-VOaMCpUC-pre-ret'!AD5</f>
        <v>0.53</v>
      </c>
      <c r="AE5" s="61">
        <f>'CCaMC-VOaMCpUC-pre-ret'!AE5</f>
        <v>0.53</v>
      </c>
      <c r="AF5" s="61">
        <f>'CCaMC-VOaMCpUC-pre-ret'!AF5</f>
        <v>0.53</v>
      </c>
      <c r="AG5" s="32"/>
      <c r="AH5" s="32"/>
      <c r="AI5" s="32"/>
      <c r="AJ5" s="32"/>
      <c r="AK5" s="32"/>
      <c r="AL5" s="32"/>
      <c r="AM5" s="32"/>
      <c r="AN5" s="32"/>
      <c r="AO5" s="32"/>
      <c r="AP5" s="32"/>
      <c r="AQ5" s="32"/>
      <c r="AR5" s="32"/>
      <c r="AS5" s="32"/>
      <c r="AT5" s="32"/>
      <c r="AU5" s="32"/>
      <c r="AV5" s="32"/>
      <c r="AW5" s="32"/>
      <c r="AX5" s="32"/>
      <c r="AY5" s="32"/>
      <c r="AZ5" s="32"/>
    </row>
    <row r="6" spans="1:52" ht="14.25" customHeight="1">
      <c r="A6" s="5" t="s">
        <v>52</v>
      </c>
      <c r="B6" s="61">
        <f>'CCaMC-VOaMCpUC-pre-ret'!B6</f>
        <v>0</v>
      </c>
      <c r="C6" s="61">
        <f>'CCaMC-VOaMCpUC-pre-ret'!C6</f>
        <v>0</v>
      </c>
      <c r="D6" s="61">
        <f>'CCaMC-VOaMCpUC-pre-ret'!D6</f>
        <v>0</v>
      </c>
      <c r="E6" s="61">
        <f>'CCaMC-VOaMCpUC-pre-ret'!E6</f>
        <v>0</v>
      </c>
      <c r="F6" s="61">
        <f>'CCaMC-VOaMCpUC-pre-ret'!F6</f>
        <v>0</v>
      </c>
      <c r="G6" s="61">
        <f>'CCaMC-VOaMCpUC-pre-ret'!G6</f>
        <v>0</v>
      </c>
      <c r="H6" s="61">
        <f>'CCaMC-VOaMCpUC-pre-ret'!H6</f>
        <v>0</v>
      </c>
      <c r="I6" s="61">
        <f>'CCaMC-VOaMCpUC-pre-ret'!I6</f>
        <v>0</v>
      </c>
      <c r="J6" s="61">
        <f>'CCaMC-VOaMCpUC-pre-ret'!J6</f>
        <v>0</v>
      </c>
      <c r="K6" s="61">
        <f>'CCaMC-VOaMCpUC-pre-ret'!K6</f>
        <v>0</v>
      </c>
      <c r="L6" s="61">
        <f>'CCaMC-VOaMCpUC-pre-ret'!L6</f>
        <v>0</v>
      </c>
      <c r="M6" s="61">
        <f>'CCaMC-VOaMCpUC-pre-ret'!M6</f>
        <v>0</v>
      </c>
      <c r="N6" s="61">
        <f>'CCaMC-VOaMCpUC-pre-ret'!N6</f>
        <v>0</v>
      </c>
      <c r="O6" s="61">
        <f>'CCaMC-VOaMCpUC-pre-ret'!O6</f>
        <v>0</v>
      </c>
      <c r="P6" s="61">
        <f>'CCaMC-VOaMCpUC-pre-ret'!P6</f>
        <v>0</v>
      </c>
      <c r="Q6" s="61">
        <f>'CCaMC-VOaMCpUC-pre-ret'!Q6</f>
        <v>0</v>
      </c>
      <c r="R6" s="61">
        <f>'CCaMC-VOaMCpUC-pre-ret'!R6</f>
        <v>0</v>
      </c>
      <c r="S6" s="61">
        <f>'CCaMC-VOaMCpUC-pre-ret'!S6</f>
        <v>0</v>
      </c>
      <c r="T6" s="61">
        <f>'CCaMC-VOaMCpUC-pre-ret'!T6</f>
        <v>0</v>
      </c>
      <c r="U6" s="61">
        <f>'CCaMC-VOaMCpUC-pre-ret'!U6</f>
        <v>0</v>
      </c>
      <c r="V6" s="61">
        <f>'CCaMC-VOaMCpUC-pre-ret'!V6</f>
        <v>0</v>
      </c>
      <c r="W6" s="61">
        <f>'CCaMC-VOaMCpUC-pre-ret'!W6</f>
        <v>0</v>
      </c>
      <c r="X6" s="61">
        <f>'CCaMC-VOaMCpUC-pre-ret'!X6</f>
        <v>0</v>
      </c>
      <c r="Y6" s="61">
        <f>'CCaMC-VOaMCpUC-pre-ret'!Y6</f>
        <v>0</v>
      </c>
      <c r="Z6" s="61">
        <f>'CCaMC-VOaMCpUC-pre-ret'!Z6</f>
        <v>0</v>
      </c>
      <c r="AA6" s="61">
        <f>'CCaMC-VOaMCpUC-pre-ret'!AA6</f>
        <v>0</v>
      </c>
      <c r="AB6" s="61">
        <f>'CCaMC-VOaMCpUC-pre-ret'!AB6</f>
        <v>0</v>
      </c>
      <c r="AC6" s="61">
        <f>'CCaMC-VOaMCpUC-pre-ret'!AC6</f>
        <v>0</v>
      </c>
      <c r="AD6" s="61">
        <f>'CCaMC-VOaMCpUC-pre-ret'!AD6</f>
        <v>0</v>
      </c>
      <c r="AE6" s="61">
        <f>'CCaMC-VOaMCpUC-pre-ret'!AE6</f>
        <v>0</v>
      </c>
      <c r="AF6" s="61">
        <f>'CCaMC-VOaMCpUC-pre-ret'!AF6</f>
        <v>0</v>
      </c>
      <c r="AG6" s="32"/>
      <c r="AH6" s="32"/>
      <c r="AI6" s="32"/>
      <c r="AJ6" s="32"/>
      <c r="AK6" s="32"/>
      <c r="AL6" s="32"/>
      <c r="AM6" s="32"/>
      <c r="AN6" s="32"/>
      <c r="AO6" s="32"/>
      <c r="AP6" s="32"/>
      <c r="AQ6" s="32"/>
      <c r="AR6" s="32"/>
      <c r="AS6" s="32"/>
      <c r="AT6" s="32"/>
      <c r="AU6" s="32"/>
      <c r="AV6" s="32"/>
      <c r="AW6" s="32"/>
      <c r="AX6" s="32"/>
      <c r="AY6" s="32"/>
      <c r="AZ6" s="32"/>
    </row>
    <row r="7" spans="1:52" ht="14.25" customHeight="1">
      <c r="A7" s="5" t="s">
        <v>53</v>
      </c>
      <c r="B7" s="61">
        <f>'CCaMC-VOaMCpUC-pre-ret'!B7</f>
        <v>0</v>
      </c>
      <c r="C7" s="61">
        <f>'CCaMC-VOaMCpUC-pre-ret'!C7</f>
        <v>0</v>
      </c>
      <c r="D7" s="61">
        <f>'CCaMC-VOaMCpUC-pre-ret'!D7</f>
        <v>0</v>
      </c>
      <c r="E7" s="61">
        <f>'CCaMC-VOaMCpUC-pre-ret'!E7</f>
        <v>0</v>
      </c>
      <c r="F7" s="61">
        <f>'CCaMC-VOaMCpUC-pre-ret'!F7</f>
        <v>0</v>
      </c>
      <c r="G7" s="61">
        <f>'CCaMC-VOaMCpUC-pre-ret'!G7</f>
        <v>0</v>
      </c>
      <c r="H7" s="61">
        <f>'CCaMC-VOaMCpUC-pre-ret'!H7</f>
        <v>0</v>
      </c>
      <c r="I7" s="61">
        <f>'CCaMC-VOaMCpUC-pre-ret'!I7</f>
        <v>0</v>
      </c>
      <c r="J7" s="61">
        <f>'CCaMC-VOaMCpUC-pre-ret'!J7</f>
        <v>0</v>
      </c>
      <c r="K7" s="61">
        <f>'CCaMC-VOaMCpUC-pre-ret'!K7</f>
        <v>0</v>
      </c>
      <c r="L7" s="61">
        <f>'CCaMC-VOaMCpUC-pre-ret'!L7</f>
        <v>0</v>
      </c>
      <c r="M7" s="61">
        <f>'CCaMC-VOaMCpUC-pre-ret'!M7</f>
        <v>0</v>
      </c>
      <c r="N7" s="61">
        <f>'CCaMC-VOaMCpUC-pre-ret'!N7</f>
        <v>0</v>
      </c>
      <c r="O7" s="61">
        <f>'CCaMC-VOaMCpUC-pre-ret'!O7</f>
        <v>0</v>
      </c>
      <c r="P7" s="61">
        <f>'CCaMC-VOaMCpUC-pre-ret'!P7</f>
        <v>0</v>
      </c>
      <c r="Q7" s="61">
        <f>'CCaMC-VOaMCpUC-pre-ret'!Q7</f>
        <v>0</v>
      </c>
      <c r="R7" s="61">
        <f>'CCaMC-VOaMCpUC-pre-ret'!R7</f>
        <v>0</v>
      </c>
      <c r="S7" s="61">
        <f>'CCaMC-VOaMCpUC-pre-ret'!S7</f>
        <v>0</v>
      </c>
      <c r="T7" s="61">
        <f>'CCaMC-VOaMCpUC-pre-ret'!T7</f>
        <v>0</v>
      </c>
      <c r="U7" s="61">
        <f>'CCaMC-VOaMCpUC-pre-ret'!U7</f>
        <v>0</v>
      </c>
      <c r="V7" s="61">
        <f>'CCaMC-VOaMCpUC-pre-ret'!V7</f>
        <v>0</v>
      </c>
      <c r="W7" s="61">
        <f>'CCaMC-VOaMCpUC-pre-ret'!W7</f>
        <v>0</v>
      </c>
      <c r="X7" s="61">
        <f>'CCaMC-VOaMCpUC-pre-ret'!X7</f>
        <v>0</v>
      </c>
      <c r="Y7" s="61">
        <f>'CCaMC-VOaMCpUC-pre-ret'!Y7</f>
        <v>0</v>
      </c>
      <c r="Z7" s="61">
        <f>'CCaMC-VOaMCpUC-pre-ret'!Z7</f>
        <v>0</v>
      </c>
      <c r="AA7" s="61">
        <f>'CCaMC-VOaMCpUC-pre-ret'!AA7</f>
        <v>0</v>
      </c>
      <c r="AB7" s="61">
        <f>'CCaMC-VOaMCpUC-pre-ret'!AB7</f>
        <v>0</v>
      </c>
      <c r="AC7" s="61">
        <f>'CCaMC-VOaMCpUC-pre-ret'!AC7</f>
        <v>0</v>
      </c>
      <c r="AD7" s="61">
        <f>'CCaMC-VOaMCpUC-pre-ret'!AD7</f>
        <v>0</v>
      </c>
      <c r="AE7" s="61">
        <f>'CCaMC-VOaMCpUC-pre-ret'!AE7</f>
        <v>0</v>
      </c>
      <c r="AF7" s="61">
        <f>'CCaMC-VOaMCpUC-pre-ret'!AF7</f>
        <v>0</v>
      </c>
      <c r="AG7" s="32"/>
      <c r="AH7" s="32"/>
      <c r="AI7" s="32"/>
      <c r="AJ7" s="32"/>
      <c r="AK7" s="32"/>
      <c r="AL7" s="32"/>
      <c r="AM7" s="32"/>
      <c r="AN7" s="32"/>
      <c r="AO7" s="32"/>
      <c r="AP7" s="32"/>
      <c r="AQ7" s="32"/>
      <c r="AR7" s="32"/>
      <c r="AS7" s="32"/>
      <c r="AT7" s="32"/>
      <c r="AU7" s="32"/>
      <c r="AV7" s="32"/>
      <c r="AW7" s="32"/>
      <c r="AX7" s="32"/>
      <c r="AY7" s="32"/>
      <c r="AZ7" s="32"/>
    </row>
    <row r="8" spans="1:52" ht="14.25" customHeight="1">
      <c r="A8" s="5" t="s">
        <v>64</v>
      </c>
      <c r="B8" s="61">
        <f>'CCaMC-VOaMCpUC-pre-ret'!B8</f>
        <v>0</v>
      </c>
      <c r="C8" s="61">
        <f>'CCaMC-VOaMCpUC-pre-ret'!C8</f>
        <v>0</v>
      </c>
      <c r="D8" s="61">
        <f>'CCaMC-VOaMCpUC-pre-ret'!D8</f>
        <v>0</v>
      </c>
      <c r="E8" s="61">
        <f>'CCaMC-VOaMCpUC-pre-ret'!E8</f>
        <v>0</v>
      </c>
      <c r="F8" s="61">
        <f>'CCaMC-VOaMCpUC-pre-ret'!F8</f>
        <v>0</v>
      </c>
      <c r="G8" s="61">
        <f>'CCaMC-VOaMCpUC-pre-ret'!G8</f>
        <v>0</v>
      </c>
      <c r="H8" s="61">
        <f>'CCaMC-VOaMCpUC-pre-ret'!H8</f>
        <v>0</v>
      </c>
      <c r="I8" s="61">
        <f>'CCaMC-VOaMCpUC-pre-ret'!I8</f>
        <v>0</v>
      </c>
      <c r="J8" s="61">
        <f>'CCaMC-VOaMCpUC-pre-ret'!J8</f>
        <v>0</v>
      </c>
      <c r="K8" s="61">
        <f>'CCaMC-VOaMCpUC-pre-ret'!K8</f>
        <v>0</v>
      </c>
      <c r="L8" s="61">
        <f>'CCaMC-VOaMCpUC-pre-ret'!L8</f>
        <v>0</v>
      </c>
      <c r="M8" s="61">
        <f>'CCaMC-VOaMCpUC-pre-ret'!M8</f>
        <v>0</v>
      </c>
      <c r="N8" s="61">
        <f>'CCaMC-VOaMCpUC-pre-ret'!N8</f>
        <v>0</v>
      </c>
      <c r="O8" s="61">
        <f>'CCaMC-VOaMCpUC-pre-ret'!O8</f>
        <v>0</v>
      </c>
      <c r="P8" s="61">
        <f>'CCaMC-VOaMCpUC-pre-ret'!P8</f>
        <v>0</v>
      </c>
      <c r="Q8" s="61">
        <f>'CCaMC-VOaMCpUC-pre-ret'!Q8</f>
        <v>0</v>
      </c>
      <c r="R8" s="61">
        <f>'CCaMC-VOaMCpUC-pre-ret'!R8</f>
        <v>0</v>
      </c>
      <c r="S8" s="61">
        <f>'CCaMC-VOaMCpUC-pre-ret'!S8</f>
        <v>0</v>
      </c>
      <c r="T8" s="61">
        <f>'CCaMC-VOaMCpUC-pre-ret'!T8</f>
        <v>0</v>
      </c>
      <c r="U8" s="61">
        <f>'CCaMC-VOaMCpUC-pre-ret'!U8</f>
        <v>0</v>
      </c>
      <c r="V8" s="61">
        <f>'CCaMC-VOaMCpUC-pre-ret'!V8</f>
        <v>0</v>
      </c>
      <c r="W8" s="61">
        <f>'CCaMC-VOaMCpUC-pre-ret'!W8</f>
        <v>0</v>
      </c>
      <c r="X8" s="61">
        <f>'CCaMC-VOaMCpUC-pre-ret'!X8</f>
        <v>0</v>
      </c>
      <c r="Y8" s="61">
        <f>'CCaMC-VOaMCpUC-pre-ret'!Y8</f>
        <v>0</v>
      </c>
      <c r="Z8" s="61">
        <f>'CCaMC-VOaMCpUC-pre-ret'!Z8</f>
        <v>0</v>
      </c>
      <c r="AA8" s="61">
        <f>'CCaMC-VOaMCpUC-pre-ret'!AA8</f>
        <v>0</v>
      </c>
      <c r="AB8" s="61">
        <f>'CCaMC-VOaMCpUC-pre-ret'!AB8</f>
        <v>0</v>
      </c>
      <c r="AC8" s="61">
        <f>'CCaMC-VOaMCpUC-pre-ret'!AC8</f>
        <v>0</v>
      </c>
      <c r="AD8" s="61">
        <f>'CCaMC-VOaMCpUC-pre-ret'!AD8</f>
        <v>0</v>
      </c>
      <c r="AE8" s="61">
        <f>'CCaMC-VOaMCpUC-pre-ret'!AE8</f>
        <v>0</v>
      </c>
      <c r="AF8" s="61">
        <f>'CCaMC-VOaMCpUC-pre-ret'!AF8</f>
        <v>0</v>
      </c>
      <c r="AG8" s="32"/>
      <c r="AH8" s="32"/>
      <c r="AI8" s="32"/>
      <c r="AJ8" s="32"/>
      <c r="AK8" s="32"/>
      <c r="AL8" s="32"/>
      <c r="AM8" s="32"/>
      <c r="AN8" s="32"/>
      <c r="AO8" s="32"/>
      <c r="AP8" s="32"/>
      <c r="AQ8" s="32"/>
      <c r="AR8" s="32"/>
      <c r="AS8" s="32"/>
      <c r="AT8" s="32"/>
      <c r="AU8" s="32"/>
      <c r="AV8" s="32"/>
      <c r="AW8" s="32"/>
      <c r="AX8" s="32"/>
      <c r="AY8" s="32"/>
      <c r="AZ8" s="32"/>
    </row>
    <row r="9" spans="1:52" ht="14.25" customHeight="1">
      <c r="A9" s="5" t="s">
        <v>54</v>
      </c>
      <c r="B9" s="61">
        <f>'CCaMC-VOaMCpUC-pre-ret'!B9</f>
        <v>2.88</v>
      </c>
      <c r="C9" s="61">
        <f>'CCaMC-VOaMCpUC-pre-ret'!C9</f>
        <v>2.88</v>
      </c>
      <c r="D9" s="61">
        <f>'CCaMC-VOaMCpUC-pre-ret'!D9</f>
        <v>2.88</v>
      </c>
      <c r="E9" s="61">
        <f>'CCaMC-VOaMCpUC-pre-ret'!E9</f>
        <v>2.88</v>
      </c>
      <c r="F9" s="61">
        <f>'CCaMC-VOaMCpUC-pre-ret'!F9</f>
        <v>2.88</v>
      </c>
      <c r="G9" s="61">
        <f>'CCaMC-VOaMCpUC-pre-ret'!G9</f>
        <v>2.88</v>
      </c>
      <c r="H9" s="61">
        <f>'CCaMC-VOaMCpUC-pre-ret'!H9</f>
        <v>2.88</v>
      </c>
      <c r="I9" s="61">
        <f>'CCaMC-VOaMCpUC-pre-ret'!I9</f>
        <v>2.88</v>
      </c>
      <c r="J9" s="61">
        <f>'CCaMC-VOaMCpUC-pre-ret'!J9</f>
        <v>2.88</v>
      </c>
      <c r="K9" s="61">
        <f>'CCaMC-VOaMCpUC-pre-ret'!K9</f>
        <v>2.88</v>
      </c>
      <c r="L9" s="61">
        <f>'CCaMC-VOaMCpUC-pre-ret'!L9</f>
        <v>2.88</v>
      </c>
      <c r="M9" s="61">
        <f>'CCaMC-VOaMCpUC-pre-ret'!M9</f>
        <v>2.88</v>
      </c>
      <c r="N9" s="61">
        <f>'CCaMC-VOaMCpUC-pre-ret'!N9</f>
        <v>2.88</v>
      </c>
      <c r="O9" s="61">
        <f>'CCaMC-VOaMCpUC-pre-ret'!O9</f>
        <v>2.88</v>
      </c>
      <c r="P9" s="61">
        <f>'CCaMC-VOaMCpUC-pre-ret'!P9</f>
        <v>2.88</v>
      </c>
      <c r="Q9" s="61">
        <f>'CCaMC-VOaMCpUC-pre-ret'!Q9</f>
        <v>2.88</v>
      </c>
      <c r="R9" s="61">
        <f>'CCaMC-VOaMCpUC-pre-ret'!R9</f>
        <v>2.88</v>
      </c>
      <c r="S9" s="61">
        <f>'CCaMC-VOaMCpUC-pre-ret'!S9</f>
        <v>2.88</v>
      </c>
      <c r="T9" s="61">
        <f>'CCaMC-VOaMCpUC-pre-ret'!T9</f>
        <v>2.88</v>
      </c>
      <c r="U9" s="61">
        <f>'CCaMC-VOaMCpUC-pre-ret'!U9</f>
        <v>2.88</v>
      </c>
      <c r="V9" s="61">
        <f>'CCaMC-VOaMCpUC-pre-ret'!V9</f>
        <v>2.88</v>
      </c>
      <c r="W9" s="61">
        <f>'CCaMC-VOaMCpUC-pre-ret'!W9</f>
        <v>2.88</v>
      </c>
      <c r="X9" s="61">
        <f>'CCaMC-VOaMCpUC-pre-ret'!X9</f>
        <v>2.88</v>
      </c>
      <c r="Y9" s="61">
        <f>'CCaMC-VOaMCpUC-pre-ret'!Y9</f>
        <v>2.88</v>
      </c>
      <c r="Z9" s="61">
        <f>'CCaMC-VOaMCpUC-pre-ret'!Z9</f>
        <v>2.88</v>
      </c>
      <c r="AA9" s="61">
        <f>'CCaMC-VOaMCpUC-pre-ret'!AA9</f>
        <v>2.88</v>
      </c>
      <c r="AB9" s="61">
        <f>'CCaMC-VOaMCpUC-pre-ret'!AB9</f>
        <v>2.88</v>
      </c>
      <c r="AC9" s="61">
        <f>'CCaMC-VOaMCpUC-pre-ret'!AC9</f>
        <v>2.88</v>
      </c>
      <c r="AD9" s="61">
        <f>'CCaMC-VOaMCpUC-pre-ret'!AD9</f>
        <v>2.88</v>
      </c>
      <c r="AE9" s="61">
        <f>'CCaMC-VOaMCpUC-pre-ret'!AE9</f>
        <v>2.88</v>
      </c>
      <c r="AF9" s="61">
        <f>'CCaMC-VOaMCpUC-pre-ret'!AF9</f>
        <v>2.88</v>
      </c>
      <c r="AG9" s="32"/>
      <c r="AH9" s="32"/>
      <c r="AI9" s="32"/>
      <c r="AJ9" s="32"/>
      <c r="AK9" s="32"/>
      <c r="AL9" s="32"/>
      <c r="AM9" s="32"/>
      <c r="AN9" s="32"/>
      <c r="AO9" s="32"/>
      <c r="AP9" s="32"/>
      <c r="AQ9" s="32"/>
      <c r="AR9" s="32"/>
      <c r="AS9" s="32"/>
      <c r="AT9" s="32"/>
      <c r="AU9" s="32"/>
      <c r="AV9" s="32"/>
      <c r="AW9" s="32"/>
      <c r="AX9" s="32"/>
      <c r="AY9" s="32"/>
      <c r="AZ9" s="32"/>
    </row>
    <row r="10" spans="1:52" ht="14.25" customHeight="1">
      <c r="A10" s="5" t="s">
        <v>55</v>
      </c>
      <c r="B10" s="61">
        <f>'CCaMC-VOaMCpUC-pre-ret'!B10</f>
        <v>0.21</v>
      </c>
      <c r="C10" s="61">
        <f>'CCaMC-VOaMCpUC-pre-ret'!C10</f>
        <v>0.21</v>
      </c>
      <c r="D10" s="61">
        <f>'CCaMC-VOaMCpUC-pre-ret'!D10</f>
        <v>0.21</v>
      </c>
      <c r="E10" s="61">
        <f>'CCaMC-VOaMCpUC-pre-ret'!E10</f>
        <v>0.21</v>
      </c>
      <c r="F10" s="61">
        <f>'CCaMC-VOaMCpUC-pre-ret'!F10</f>
        <v>0.21</v>
      </c>
      <c r="G10" s="61">
        <f>'CCaMC-VOaMCpUC-pre-ret'!G10</f>
        <v>0.21</v>
      </c>
      <c r="H10" s="61">
        <f>'CCaMC-VOaMCpUC-pre-ret'!H10</f>
        <v>0.21</v>
      </c>
      <c r="I10" s="61">
        <f>'CCaMC-VOaMCpUC-pre-ret'!I10</f>
        <v>0.21</v>
      </c>
      <c r="J10" s="61">
        <f>'CCaMC-VOaMCpUC-pre-ret'!J10</f>
        <v>0.21</v>
      </c>
      <c r="K10" s="61">
        <f>'CCaMC-VOaMCpUC-pre-ret'!K10</f>
        <v>0.21</v>
      </c>
      <c r="L10" s="61">
        <f>'CCaMC-VOaMCpUC-pre-ret'!L10</f>
        <v>0.21</v>
      </c>
      <c r="M10" s="61">
        <f>'CCaMC-VOaMCpUC-pre-ret'!M10</f>
        <v>0.21</v>
      </c>
      <c r="N10" s="61">
        <f>'CCaMC-VOaMCpUC-pre-ret'!N10</f>
        <v>0.21</v>
      </c>
      <c r="O10" s="61">
        <f>'CCaMC-VOaMCpUC-pre-ret'!O10</f>
        <v>0.21</v>
      </c>
      <c r="P10" s="61">
        <f>'CCaMC-VOaMCpUC-pre-ret'!P10</f>
        <v>0.21</v>
      </c>
      <c r="Q10" s="61">
        <f>'CCaMC-VOaMCpUC-pre-ret'!Q10</f>
        <v>0.21</v>
      </c>
      <c r="R10" s="61">
        <f>'CCaMC-VOaMCpUC-pre-ret'!R10</f>
        <v>0.21</v>
      </c>
      <c r="S10" s="61">
        <f>'CCaMC-VOaMCpUC-pre-ret'!S10</f>
        <v>0.21</v>
      </c>
      <c r="T10" s="61">
        <f>'CCaMC-VOaMCpUC-pre-ret'!T10</f>
        <v>0.21</v>
      </c>
      <c r="U10" s="61">
        <f>'CCaMC-VOaMCpUC-pre-ret'!U10</f>
        <v>0.21</v>
      </c>
      <c r="V10" s="61">
        <f>'CCaMC-VOaMCpUC-pre-ret'!V10</f>
        <v>0.21</v>
      </c>
      <c r="W10" s="61">
        <f>'CCaMC-VOaMCpUC-pre-ret'!W10</f>
        <v>0.21</v>
      </c>
      <c r="X10" s="61">
        <f>'CCaMC-VOaMCpUC-pre-ret'!X10</f>
        <v>0.21</v>
      </c>
      <c r="Y10" s="61">
        <f>'CCaMC-VOaMCpUC-pre-ret'!Y10</f>
        <v>0.21</v>
      </c>
      <c r="Z10" s="61">
        <f>'CCaMC-VOaMCpUC-pre-ret'!Z10</f>
        <v>0.21</v>
      </c>
      <c r="AA10" s="61">
        <f>'CCaMC-VOaMCpUC-pre-ret'!AA10</f>
        <v>0.21</v>
      </c>
      <c r="AB10" s="61">
        <f>'CCaMC-VOaMCpUC-pre-ret'!AB10</f>
        <v>0.21</v>
      </c>
      <c r="AC10" s="61">
        <f>'CCaMC-VOaMCpUC-pre-ret'!AC10</f>
        <v>0.21</v>
      </c>
      <c r="AD10" s="61">
        <f>'CCaMC-VOaMCpUC-pre-ret'!AD10</f>
        <v>0.21</v>
      </c>
      <c r="AE10" s="61">
        <f>'CCaMC-VOaMCpUC-pre-ret'!AE10</f>
        <v>0.21</v>
      </c>
      <c r="AF10" s="61">
        <f>'CCaMC-VOaMCpUC-pre-ret'!AF10</f>
        <v>0.21</v>
      </c>
      <c r="AG10" s="32"/>
      <c r="AH10" s="32"/>
      <c r="AI10" s="32"/>
      <c r="AJ10" s="32"/>
      <c r="AK10" s="32"/>
      <c r="AL10" s="32"/>
      <c r="AM10" s="32"/>
      <c r="AN10" s="32"/>
      <c r="AO10" s="32"/>
      <c r="AP10" s="32"/>
      <c r="AQ10" s="32"/>
      <c r="AR10" s="32"/>
      <c r="AS10" s="32"/>
      <c r="AT10" s="32"/>
      <c r="AU10" s="32"/>
      <c r="AV10" s="32"/>
      <c r="AW10" s="32"/>
      <c r="AX10" s="32"/>
      <c r="AY10" s="32"/>
      <c r="AZ10" s="32"/>
    </row>
    <row r="11" spans="1:52" ht="14.25" customHeight="1">
      <c r="A11" s="5" t="s">
        <v>56</v>
      </c>
      <c r="B11" s="61">
        <f>'CCaMC-VOaMCpUC-pre-ret'!B11</f>
        <v>6.14</v>
      </c>
      <c r="C11" s="61">
        <f>'CCaMC-VOaMCpUC-pre-ret'!C11</f>
        <v>6.14</v>
      </c>
      <c r="D11" s="61">
        <f>'CCaMC-VOaMCpUC-pre-ret'!D11</f>
        <v>6.14</v>
      </c>
      <c r="E11" s="61">
        <f>'CCaMC-VOaMCpUC-pre-ret'!E11</f>
        <v>6.14</v>
      </c>
      <c r="F11" s="61">
        <f>'CCaMC-VOaMCpUC-pre-ret'!F11</f>
        <v>6.14</v>
      </c>
      <c r="G11" s="61">
        <f>'CCaMC-VOaMCpUC-pre-ret'!G11</f>
        <v>6.14</v>
      </c>
      <c r="H11" s="61">
        <f>'CCaMC-VOaMCpUC-pre-ret'!H11</f>
        <v>6.14</v>
      </c>
      <c r="I11" s="61">
        <f>'CCaMC-VOaMCpUC-pre-ret'!I11</f>
        <v>6.14</v>
      </c>
      <c r="J11" s="61">
        <f>'CCaMC-VOaMCpUC-pre-ret'!J11</f>
        <v>6.14</v>
      </c>
      <c r="K11" s="61">
        <f>'CCaMC-VOaMCpUC-pre-ret'!K11</f>
        <v>6.14</v>
      </c>
      <c r="L11" s="61">
        <f>'CCaMC-VOaMCpUC-pre-ret'!L11</f>
        <v>6.14</v>
      </c>
      <c r="M11" s="61">
        <f>'CCaMC-VOaMCpUC-pre-ret'!M11</f>
        <v>6.14</v>
      </c>
      <c r="N11" s="61">
        <f>'CCaMC-VOaMCpUC-pre-ret'!N11</f>
        <v>6.14</v>
      </c>
      <c r="O11" s="61">
        <f>'CCaMC-VOaMCpUC-pre-ret'!O11</f>
        <v>6.14</v>
      </c>
      <c r="P11" s="61">
        <f>'CCaMC-VOaMCpUC-pre-ret'!P11</f>
        <v>6.14</v>
      </c>
      <c r="Q11" s="61">
        <f>'CCaMC-VOaMCpUC-pre-ret'!Q11</f>
        <v>6.14</v>
      </c>
      <c r="R11" s="61">
        <f>'CCaMC-VOaMCpUC-pre-ret'!R11</f>
        <v>6.14</v>
      </c>
      <c r="S11" s="61">
        <f>'CCaMC-VOaMCpUC-pre-ret'!S11</f>
        <v>6.14</v>
      </c>
      <c r="T11" s="61">
        <f>'CCaMC-VOaMCpUC-pre-ret'!T11</f>
        <v>6.14</v>
      </c>
      <c r="U11" s="61">
        <f>'CCaMC-VOaMCpUC-pre-ret'!U11</f>
        <v>6.14</v>
      </c>
      <c r="V11" s="61">
        <f>'CCaMC-VOaMCpUC-pre-ret'!V11</f>
        <v>6.14</v>
      </c>
      <c r="W11" s="61">
        <f>'CCaMC-VOaMCpUC-pre-ret'!W11</f>
        <v>6.14</v>
      </c>
      <c r="X11" s="61">
        <f>'CCaMC-VOaMCpUC-pre-ret'!X11</f>
        <v>6.14</v>
      </c>
      <c r="Y11" s="61">
        <f>'CCaMC-VOaMCpUC-pre-ret'!Y11</f>
        <v>6.14</v>
      </c>
      <c r="Z11" s="61">
        <f>'CCaMC-VOaMCpUC-pre-ret'!Z11</f>
        <v>6.14</v>
      </c>
      <c r="AA11" s="61">
        <f>'CCaMC-VOaMCpUC-pre-ret'!AA11</f>
        <v>6.14</v>
      </c>
      <c r="AB11" s="61">
        <f>'CCaMC-VOaMCpUC-pre-ret'!AB11</f>
        <v>6.14</v>
      </c>
      <c r="AC11" s="61">
        <f>'CCaMC-VOaMCpUC-pre-ret'!AC11</f>
        <v>6.14</v>
      </c>
      <c r="AD11" s="61">
        <f>'CCaMC-VOaMCpUC-pre-ret'!AD11</f>
        <v>6.14</v>
      </c>
      <c r="AE11" s="61">
        <f>'CCaMC-VOaMCpUC-pre-ret'!AE11</f>
        <v>6.14</v>
      </c>
      <c r="AF11" s="61">
        <f>'CCaMC-VOaMCpUC-pre-ret'!AF11</f>
        <v>6.14</v>
      </c>
      <c r="AG11" s="32"/>
      <c r="AH11" s="32"/>
      <c r="AI11" s="32"/>
      <c r="AJ11" s="32"/>
      <c r="AK11" s="32"/>
      <c r="AL11" s="32"/>
      <c r="AM11" s="32"/>
      <c r="AN11" s="32"/>
      <c r="AO11" s="32"/>
      <c r="AP11" s="32"/>
      <c r="AQ11" s="32"/>
      <c r="AR11" s="32"/>
      <c r="AS11" s="32"/>
      <c r="AT11" s="32"/>
      <c r="AU11" s="32"/>
      <c r="AV11" s="32"/>
      <c r="AW11" s="32"/>
      <c r="AX11" s="32"/>
      <c r="AY11" s="32"/>
      <c r="AZ11" s="32"/>
    </row>
    <row r="12" spans="1:52" ht="14.25" customHeight="1">
      <c r="A12" s="5" t="s">
        <v>57</v>
      </c>
      <c r="B12" s="61">
        <f>'CCaMC-VOaMCpUC-pre-ret'!B12</f>
        <v>0.12479999999999999</v>
      </c>
      <c r="C12" s="61">
        <f>'CCaMC-VOaMCpUC-pre-ret'!C12</f>
        <v>0.12479999999999999</v>
      </c>
      <c r="D12" s="61">
        <f>'CCaMC-VOaMCpUC-pre-ret'!D12</f>
        <v>0.12479999999999999</v>
      </c>
      <c r="E12" s="61">
        <f>'CCaMC-VOaMCpUC-pre-ret'!E12</f>
        <v>0.12479999999999999</v>
      </c>
      <c r="F12" s="61">
        <f>'CCaMC-VOaMCpUC-pre-ret'!F12</f>
        <v>0.12479999999999999</v>
      </c>
      <c r="G12" s="61">
        <f>'CCaMC-VOaMCpUC-pre-ret'!G12</f>
        <v>0.12479999999999999</v>
      </c>
      <c r="H12" s="61">
        <f>'CCaMC-VOaMCpUC-pre-ret'!H12</f>
        <v>0.12479999999999999</v>
      </c>
      <c r="I12" s="61">
        <f>'CCaMC-VOaMCpUC-pre-ret'!I12</f>
        <v>0.12479999999999999</v>
      </c>
      <c r="J12" s="61">
        <f>'CCaMC-VOaMCpUC-pre-ret'!J12</f>
        <v>0.12479999999999999</v>
      </c>
      <c r="K12" s="61">
        <f>'CCaMC-VOaMCpUC-pre-ret'!K12</f>
        <v>0.12479999999999999</v>
      </c>
      <c r="L12" s="61">
        <f>'CCaMC-VOaMCpUC-pre-ret'!L12</f>
        <v>0.12479999999999999</v>
      </c>
      <c r="M12" s="61">
        <f>'CCaMC-VOaMCpUC-pre-ret'!M12</f>
        <v>0.12479999999999999</v>
      </c>
      <c r="N12" s="61">
        <f>'CCaMC-VOaMCpUC-pre-ret'!N12</f>
        <v>0.12479999999999999</v>
      </c>
      <c r="O12" s="61">
        <f>'CCaMC-VOaMCpUC-pre-ret'!O12</f>
        <v>0.12479999999999999</v>
      </c>
      <c r="P12" s="61">
        <f>'CCaMC-VOaMCpUC-pre-ret'!P12</f>
        <v>0.12479999999999999</v>
      </c>
      <c r="Q12" s="61">
        <f>'CCaMC-VOaMCpUC-pre-ret'!Q12</f>
        <v>0.12479999999999999</v>
      </c>
      <c r="R12" s="61">
        <f>'CCaMC-VOaMCpUC-pre-ret'!R12</f>
        <v>0.12479999999999999</v>
      </c>
      <c r="S12" s="61">
        <f>'CCaMC-VOaMCpUC-pre-ret'!S12</f>
        <v>0.12479999999999999</v>
      </c>
      <c r="T12" s="61">
        <f>'CCaMC-VOaMCpUC-pre-ret'!T12</f>
        <v>0.12479999999999999</v>
      </c>
      <c r="U12" s="61">
        <f>'CCaMC-VOaMCpUC-pre-ret'!U12</f>
        <v>0.12479999999999999</v>
      </c>
      <c r="V12" s="61">
        <f>'CCaMC-VOaMCpUC-pre-ret'!V12</f>
        <v>0.12479999999999999</v>
      </c>
      <c r="W12" s="61">
        <f>'CCaMC-VOaMCpUC-pre-ret'!W12</f>
        <v>0.12479999999999999</v>
      </c>
      <c r="X12" s="61">
        <f>'CCaMC-VOaMCpUC-pre-ret'!X12</f>
        <v>0.12479999999999999</v>
      </c>
      <c r="Y12" s="61">
        <f>'CCaMC-VOaMCpUC-pre-ret'!Y12</f>
        <v>0.12479999999999999</v>
      </c>
      <c r="Z12" s="61">
        <f>'CCaMC-VOaMCpUC-pre-ret'!Z12</f>
        <v>0.12479999999999999</v>
      </c>
      <c r="AA12" s="61">
        <f>'CCaMC-VOaMCpUC-pre-ret'!AA12</f>
        <v>0.12479999999999999</v>
      </c>
      <c r="AB12" s="61">
        <f>'CCaMC-VOaMCpUC-pre-ret'!AB12</f>
        <v>0.12479999999999999</v>
      </c>
      <c r="AC12" s="61">
        <f>'CCaMC-VOaMCpUC-pre-ret'!AC12</f>
        <v>0.12479999999999999</v>
      </c>
      <c r="AD12" s="61">
        <f>'CCaMC-VOaMCpUC-pre-ret'!AD12</f>
        <v>0.12479999999999999</v>
      </c>
      <c r="AE12" s="61">
        <f>'CCaMC-VOaMCpUC-pre-ret'!AE12</f>
        <v>0.12479999999999999</v>
      </c>
      <c r="AF12" s="61">
        <f>'CCaMC-VOaMCpUC-pre-ret'!AF12</f>
        <v>0.12479999999999999</v>
      </c>
      <c r="AG12" s="32"/>
      <c r="AH12" s="32"/>
      <c r="AI12" s="32"/>
      <c r="AJ12" s="32"/>
      <c r="AK12" s="32"/>
      <c r="AL12" s="32"/>
      <c r="AM12" s="32"/>
      <c r="AN12" s="32"/>
      <c r="AO12" s="32"/>
      <c r="AP12" s="32"/>
      <c r="AQ12" s="32"/>
      <c r="AR12" s="32"/>
      <c r="AS12" s="32"/>
      <c r="AT12" s="32"/>
      <c r="AU12" s="32"/>
      <c r="AV12" s="32"/>
      <c r="AW12" s="32"/>
      <c r="AX12" s="32"/>
      <c r="AY12" s="32"/>
      <c r="AZ12" s="32"/>
    </row>
    <row r="13" spans="1:52" ht="14.25" customHeight="1">
      <c r="A13" s="5" t="s">
        <v>58</v>
      </c>
      <c r="B13" s="61">
        <f>'CCaMC-VOaMCpUC-pre-ret'!B13</f>
        <v>0.12</v>
      </c>
      <c r="C13" s="61">
        <f>'CCaMC-VOaMCpUC-pre-ret'!C13</f>
        <v>0.12</v>
      </c>
      <c r="D13" s="61">
        <f>'CCaMC-VOaMCpUC-pre-ret'!D13</f>
        <v>0.12</v>
      </c>
      <c r="E13" s="61">
        <f>'CCaMC-VOaMCpUC-pre-ret'!E13</f>
        <v>0.12</v>
      </c>
      <c r="F13" s="61">
        <f>'CCaMC-VOaMCpUC-pre-ret'!F13</f>
        <v>0.12</v>
      </c>
      <c r="G13" s="61">
        <f>'CCaMC-VOaMCpUC-pre-ret'!G13</f>
        <v>0.12</v>
      </c>
      <c r="H13" s="61">
        <f>'CCaMC-VOaMCpUC-pre-ret'!H13</f>
        <v>0.12</v>
      </c>
      <c r="I13" s="61">
        <f>'CCaMC-VOaMCpUC-pre-ret'!I13</f>
        <v>0.12</v>
      </c>
      <c r="J13" s="61">
        <f>'CCaMC-VOaMCpUC-pre-ret'!J13</f>
        <v>0.12</v>
      </c>
      <c r="K13" s="61">
        <f>'CCaMC-VOaMCpUC-pre-ret'!K13</f>
        <v>0.12</v>
      </c>
      <c r="L13" s="61">
        <f>'CCaMC-VOaMCpUC-pre-ret'!L13</f>
        <v>0.12</v>
      </c>
      <c r="M13" s="61">
        <f>'CCaMC-VOaMCpUC-pre-ret'!M13</f>
        <v>0.12</v>
      </c>
      <c r="N13" s="61">
        <f>'CCaMC-VOaMCpUC-pre-ret'!N13</f>
        <v>0.12</v>
      </c>
      <c r="O13" s="61">
        <f>'CCaMC-VOaMCpUC-pre-ret'!O13</f>
        <v>0.12</v>
      </c>
      <c r="P13" s="61">
        <f>'CCaMC-VOaMCpUC-pre-ret'!P13</f>
        <v>0.12</v>
      </c>
      <c r="Q13" s="61">
        <f>'CCaMC-VOaMCpUC-pre-ret'!Q13</f>
        <v>0.12</v>
      </c>
      <c r="R13" s="61">
        <f>'CCaMC-VOaMCpUC-pre-ret'!R13</f>
        <v>0.12</v>
      </c>
      <c r="S13" s="61">
        <f>'CCaMC-VOaMCpUC-pre-ret'!S13</f>
        <v>0.12</v>
      </c>
      <c r="T13" s="61">
        <f>'CCaMC-VOaMCpUC-pre-ret'!T13</f>
        <v>0.12</v>
      </c>
      <c r="U13" s="61">
        <f>'CCaMC-VOaMCpUC-pre-ret'!U13</f>
        <v>0.12</v>
      </c>
      <c r="V13" s="61">
        <f>'CCaMC-VOaMCpUC-pre-ret'!V13</f>
        <v>0.12</v>
      </c>
      <c r="W13" s="61">
        <f>'CCaMC-VOaMCpUC-pre-ret'!W13</f>
        <v>0.12</v>
      </c>
      <c r="X13" s="61">
        <f>'CCaMC-VOaMCpUC-pre-ret'!X13</f>
        <v>0.12</v>
      </c>
      <c r="Y13" s="61">
        <f>'CCaMC-VOaMCpUC-pre-ret'!Y13</f>
        <v>0.12</v>
      </c>
      <c r="Z13" s="61">
        <f>'CCaMC-VOaMCpUC-pre-ret'!Z13</f>
        <v>0.12</v>
      </c>
      <c r="AA13" s="61">
        <f>'CCaMC-VOaMCpUC-pre-ret'!AA13</f>
        <v>0.12</v>
      </c>
      <c r="AB13" s="61">
        <f>'CCaMC-VOaMCpUC-pre-ret'!AB13</f>
        <v>0.12</v>
      </c>
      <c r="AC13" s="61">
        <f>'CCaMC-VOaMCpUC-pre-ret'!AC13</f>
        <v>0.12</v>
      </c>
      <c r="AD13" s="61">
        <f>'CCaMC-VOaMCpUC-pre-ret'!AD13</f>
        <v>0.12</v>
      </c>
      <c r="AE13" s="61">
        <f>'CCaMC-VOaMCpUC-pre-ret'!AE13</f>
        <v>0.12</v>
      </c>
      <c r="AF13" s="61">
        <f>'CCaMC-VOaMCpUC-pre-ret'!AF13</f>
        <v>0.12</v>
      </c>
      <c r="AG13" s="32"/>
      <c r="AH13" s="32"/>
      <c r="AI13" s="32"/>
      <c r="AJ13" s="32"/>
      <c r="AK13" s="32"/>
      <c r="AL13" s="32"/>
      <c r="AM13" s="32"/>
      <c r="AN13" s="32"/>
      <c r="AO13" s="32"/>
      <c r="AP13" s="32"/>
      <c r="AQ13" s="32"/>
      <c r="AR13" s="32"/>
      <c r="AS13" s="32"/>
      <c r="AT13" s="32"/>
      <c r="AU13" s="32"/>
      <c r="AV13" s="32"/>
      <c r="AW13" s="32"/>
      <c r="AX13" s="32"/>
      <c r="AY13" s="32"/>
      <c r="AZ13" s="32"/>
    </row>
    <row r="14" spans="1:52" ht="14.25" customHeight="1">
      <c r="A14" s="5" t="s">
        <v>59</v>
      </c>
      <c r="B14" s="61">
        <f>'CCaMC-VOaMCpUC-pre-ret'!B14</f>
        <v>4.29</v>
      </c>
      <c r="C14" s="61">
        <f>'CCaMC-VOaMCpUC-pre-ret'!C14</f>
        <v>4.29</v>
      </c>
      <c r="D14" s="61">
        <f>'CCaMC-VOaMCpUC-pre-ret'!D14</f>
        <v>4.29</v>
      </c>
      <c r="E14" s="61">
        <f>'CCaMC-VOaMCpUC-pre-ret'!E14</f>
        <v>4.29</v>
      </c>
      <c r="F14" s="61">
        <f>'CCaMC-VOaMCpUC-pre-ret'!F14</f>
        <v>4.29</v>
      </c>
      <c r="G14" s="61">
        <f>'CCaMC-VOaMCpUC-pre-ret'!G14</f>
        <v>4.29</v>
      </c>
      <c r="H14" s="61">
        <f>'CCaMC-VOaMCpUC-pre-ret'!H14</f>
        <v>4.29</v>
      </c>
      <c r="I14" s="61">
        <f>'CCaMC-VOaMCpUC-pre-ret'!I14</f>
        <v>4.29</v>
      </c>
      <c r="J14" s="61">
        <f>'CCaMC-VOaMCpUC-pre-ret'!J14</f>
        <v>4.29</v>
      </c>
      <c r="K14" s="61">
        <f>'CCaMC-VOaMCpUC-pre-ret'!K14</f>
        <v>4.29</v>
      </c>
      <c r="L14" s="61">
        <f>'CCaMC-VOaMCpUC-pre-ret'!L14</f>
        <v>4.29</v>
      </c>
      <c r="M14" s="61">
        <f>'CCaMC-VOaMCpUC-pre-ret'!M14</f>
        <v>4.29</v>
      </c>
      <c r="N14" s="61">
        <f>'CCaMC-VOaMCpUC-pre-ret'!N14</f>
        <v>4.29</v>
      </c>
      <c r="O14" s="61">
        <f>'CCaMC-VOaMCpUC-pre-ret'!O14</f>
        <v>4.29</v>
      </c>
      <c r="P14" s="61">
        <f>'CCaMC-VOaMCpUC-pre-ret'!P14</f>
        <v>4.29</v>
      </c>
      <c r="Q14" s="61">
        <f>'CCaMC-VOaMCpUC-pre-ret'!Q14</f>
        <v>4.29</v>
      </c>
      <c r="R14" s="61">
        <f>'CCaMC-VOaMCpUC-pre-ret'!R14</f>
        <v>4.29</v>
      </c>
      <c r="S14" s="61">
        <f>'CCaMC-VOaMCpUC-pre-ret'!S14</f>
        <v>4.29</v>
      </c>
      <c r="T14" s="61">
        <f>'CCaMC-VOaMCpUC-pre-ret'!T14</f>
        <v>4.29</v>
      </c>
      <c r="U14" s="61">
        <f>'CCaMC-VOaMCpUC-pre-ret'!U14</f>
        <v>4.29</v>
      </c>
      <c r="V14" s="61">
        <f>'CCaMC-VOaMCpUC-pre-ret'!V14</f>
        <v>4.29</v>
      </c>
      <c r="W14" s="61">
        <f>'CCaMC-VOaMCpUC-pre-ret'!W14</f>
        <v>4.29</v>
      </c>
      <c r="X14" s="61">
        <f>'CCaMC-VOaMCpUC-pre-ret'!X14</f>
        <v>4.29</v>
      </c>
      <c r="Y14" s="61">
        <f>'CCaMC-VOaMCpUC-pre-ret'!Y14</f>
        <v>4.29</v>
      </c>
      <c r="Z14" s="61">
        <f>'CCaMC-VOaMCpUC-pre-ret'!Z14</f>
        <v>4.29</v>
      </c>
      <c r="AA14" s="61">
        <f>'CCaMC-VOaMCpUC-pre-ret'!AA14</f>
        <v>4.29</v>
      </c>
      <c r="AB14" s="61">
        <f>'CCaMC-VOaMCpUC-pre-ret'!AB14</f>
        <v>4.29</v>
      </c>
      <c r="AC14" s="61">
        <f>'CCaMC-VOaMCpUC-pre-ret'!AC14</f>
        <v>4.29</v>
      </c>
      <c r="AD14" s="61">
        <f>'CCaMC-VOaMCpUC-pre-ret'!AD14</f>
        <v>4.29</v>
      </c>
      <c r="AE14" s="61">
        <f>'CCaMC-VOaMCpUC-pre-ret'!AE14</f>
        <v>4.29</v>
      </c>
      <c r="AF14" s="61">
        <f>'CCaMC-VOaMCpUC-pre-ret'!AF14</f>
        <v>4.29</v>
      </c>
      <c r="AG14" s="32"/>
      <c r="AH14" s="32"/>
      <c r="AI14" s="32"/>
      <c r="AJ14" s="32"/>
      <c r="AK14" s="32"/>
      <c r="AL14" s="32"/>
      <c r="AM14" s="32"/>
      <c r="AN14" s="32"/>
      <c r="AO14" s="32"/>
      <c r="AP14" s="32"/>
      <c r="AQ14" s="32"/>
      <c r="AR14" s="32"/>
      <c r="AS14" s="32"/>
      <c r="AT14" s="32"/>
      <c r="AU14" s="32"/>
      <c r="AV14" s="32"/>
      <c r="AW14" s="32"/>
      <c r="AX14" s="32"/>
      <c r="AY14" s="32"/>
      <c r="AZ14" s="32"/>
    </row>
    <row r="15" spans="1:52" ht="14.25" customHeight="1">
      <c r="A15" s="5" t="s">
        <v>60</v>
      </c>
      <c r="B15" s="61">
        <f>'CCaMC-VOaMCpUC-pre-ret'!B15</f>
        <v>6.14</v>
      </c>
      <c r="C15" s="61">
        <f>'CCaMC-VOaMCpUC-pre-ret'!C15</f>
        <v>6.14</v>
      </c>
      <c r="D15" s="61">
        <f>'CCaMC-VOaMCpUC-pre-ret'!D15</f>
        <v>6.14</v>
      </c>
      <c r="E15" s="61">
        <f>'CCaMC-VOaMCpUC-pre-ret'!E15</f>
        <v>6.14</v>
      </c>
      <c r="F15" s="61">
        <f>'CCaMC-VOaMCpUC-pre-ret'!F15</f>
        <v>6.14</v>
      </c>
      <c r="G15" s="61">
        <f>'CCaMC-VOaMCpUC-pre-ret'!G15</f>
        <v>6.14</v>
      </c>
      <c r="H15" s="61">
        <f>'CCaMC-VOaMCpUC-pre-ret'!H15</f>
        <v>6.14</v>
      </c>
      <c r="I15" s="61">
        <f>'CCaMC-VOaMCpUC-pre-ret'!I15</f>
        <v>6.14</v>
      </c>
      <c r="J15" s="61">
        <f>'CCaMC-VOaMCpUC-pre-ret'!J15</f>
        <v>6.14</v>
      </c>
      <c r="K15" s="61">
        <f>'CCaMC-VOaMCpUC-pre-ret'!K15</f>
        <v>6.14</v>
      </c>
      <c r="L15" s="61">
        <f>'CCaMC-VOaMCpUC-pre-ret'!L15</f>
        <v>6.14</v>
      </c>
      <c r="M15" s="61">
        <f>'CCaMC-VOaMCpUC-pre-ret'!M15</f>
        <v>6.14</v>
      </c>
      <c r="N15" s="61">
        <f>'CCaMC-VOaMCpUC-pre-ret'!N15</f>
        <v>6.14</v>
      </c>
      <c r="O15" s="61">
        <f>'CCaMC-VOaMCpUC-pre-ret'!O15</f>
        <v>6.14</v>
      </c>
      <c r="P15" s="61">
        <f>'CCaMC-VOaMCpUC-pre-ret'!P15</f>
        <v>6.14</v>
      </c>
      <c r="Q15" s="61">
        <f>'CCaMC-VOaMCpUC-pre-ret'!Q15</f>
        <v>6.14</v>
      </c>
      <c r="R15" s="61">
        <f>'CCaMC-VOaMCpUC-pre-ret'!R15</f>
        <v>6.14</v>
      </c>
      <c r="S15" s="61">
        <f>'CCaMC-VOaMCpUC-pre-ret'!S15</f>
        <v>6.14</v>
      </c>
      <c r="T15" s="61">
        <f>'CCaMC-VOaMCpUC-pre-ret'!T15</f>
        <v>6.14</v>
      </c>
      <c r="U15" s="61">
        <f>'CCaMC-VOaMCpUC-pre-ret'!U15</f>
        <v>6.14</v>
      </c>
      <c r="V15" s="61">
        <f>'CCaMC-VOaMCpUC-pre-ret'!V15</f>
        <v>6.14</v>
      </c>
      <c r="W15" s="61">
        <f>'CCaMC-VOaMCpUC-pre-ret'!W15</f>
        <v>6.14</v>
      </c>
      <c r="X15" s="61">
        <f>'CCaMC-VOaMCpUC-pre-ret'!X15</f>
        <v>6.14</v>
      </c>
      <c r="Y15" s="61">
        <f>'CCaMC-VOaMCpUC-pre-ret'!Y15</f>
        <v>6.14</v>
      </c>
      <c r="Z15" s="61">
        <f>'CCaMC-VOaMCpUC-pre-ret'!Z15</f>
        <v>6.14</v>
      </c>
      <c r="AA15" s="61">
        <f>'CCaMC-VOaMCpUC-pre-ret'!AA15</f>
        <v>6.14</v>
      </c>
      <c r="AB15" s="61">
        <f>'CCaMC-VOaMCpUC-pre-ret'!AB15</f>
        <v>6.14</v>
      </c>
      <c r="AC15" s="61">
        <f>'CCaMC-VOaMCpUC-pre-ret'!AC15</f>
        <v>6.14</v>
      </c>
      <c r="AD15" s="61">
        <f>'CCaMC-VOaMCpUC-pre-ret'!AD15</f>
        <v>6.14</v>
      </c>
      <c r="AE15" s="61">
        <f>'CCaMC-VOaMCpUC-pre-ret'!AE15</f>
        <v>6.14</v>
      </c>
      <c r="AF15" s="61">
        <f>'CCaMC-VOaMCpUC-pre-ret'!AF15</f>
        <v>6.14</v>
      </c>
      <c r="AG15" s="32"/>
      <c r="AH15" s="32"/>
      <c r="AI15" s="32"/>
      <c r="AJ15" s="32"/>
      <c r="AK15" s="32"/>
      <c r="AL15" s="32"/>
      <c r="AM15" s="32"/>
      <c r="AN15" s="32"/>
      <c r="AO15" s="32"/>
      <c r="AP15" s="32"/>
      <c r="AQ15" s="32"/>
      <c r="AR15" s="32"/>
      <c r="AS15" s="32"/>
      <c r="AT15" s="32"/>
      <c r="AU15" s="32"/>
      <c r="AV15" s="32"/>
      <c r="AW15" s="32"/>
      <c r="AX15" s="32"/>
      <c r="AY15" s="32"/>
      <c r="AZ15" s="32"/>
    </row>
    <row r="16" spans="1:52" ht="14.25" customHeight="1">
      <c r="A16" s="5" t="s">
        <v>61</v>
      </c>
      <c r="B16" s="61">
        <f>'CCaMC-VOaMCpUC-pre-ret'!B16</f>
        <v>6.14</v>
      </c>
      <c r="C16" s="61">
        <f>'CCaMC-VOaMCpUC-pre-ret'!C16</f>
        <v>6.14</v>
      </c>
      <c r="D16" s="61">
        <f>'CCaMC-VOaMCpUC-pre-ret'!D16</f>
        <v>6.14</v>
      </c>
      <c r="E16" s="61">
        <f>'CCaMC-VOaMCpUC-pre-ret'!E16</f>
        <v>6.14</v>
      </c>
      <c r="F16" s="61">
        <f>'CCaMC-VOaMCpUC-pre-ret'!F16</f>
        <v>6.14</v>
      </c>
      <c r="G16" s="61">
        <f>'CCaMC-VOaMCpUC-pre-ret'!G16</f>
        <v>6.14</v>
      </c>
      <c r="H16" s="61">
        <f>'CCaMC-VOaMCpUC-pre-ret'!H16</f>
        <v>6.14</v>
      </c>
      <c r="I16" s="61">
        <f>'CCaMC-VOaMCpUC-pre-ret'!I16</f>
        <v>6.14</v>
      </c>
      <c r="J16" s="61">
        <f>'CCaMC-VOaMCpUC-pre-ret'!J16</f>
        <v>6.14</v>
      </c>
      <c r="K16" s="61">
        <f>'CCaMC-VOaMCpUC-pre-ret'!K16</f>
        <v>6.14</v>
      </c>
      <c r="L16" s="61">
        <f>'CCaMC-VOaMCpUC-pre-ret'!L16</f>
        <v>6.14</v>
      </c>
      <c r="M16" s="61">
        <f>'CCaMC-VOaMCpUC-pre-ret'!M16</f>
        <v>6.14</v>
      </c>
      <c r="N16" s="61">
        <f>'CCaMC-VOaMCpUC-pre-ret'!N16</f>
        <v>6.14</v>
      </c>
      <c r="O16" s="61">
        <f>'CCaMC-VOaMCpUC-pre-ret'!O16</f>
        <v>6.14</v>
      </c>
      <c r="P16" s="61">
        <f>'CCaMC-VOaMCpUC-pre-ret'!P16</f>
        <v>6.14</v>
      </c>
      <c r="Q16" s="61">
        <f>'CCaMC-VOaMCpUC-pre-ret'!Q16</f>
        <v>6.14</v>
      </c>
      <c r="R16" s="61">
        <f>'CCaMC-VOaMCpUC-pre-ret'!R16</f>
        <v>6.14</v>
      </c>
      <c r="S16" s="61">
        <f>'CCaMC-VOaMCpUC-pre-ret'!S16</f>
        <v>6.14</v>
      </c>
      <c r="T16" s="61">
        <f>'CCaMC-VOaMCpUC-pre-ret'!T16</f>
        <v>6.14</v>
      </c>
      <c r="U16" s="61">
        <f>'CCaMC-VOaMCpUC-pre-ret'!U16</f>
        <v>6.14</v>
      </c>
      <c r="V16" s="61">
        <f>'CCaMC-VOaMCpUC-pre-ret'!V16</f>
        <v>6.14</v>
      </c>
      <c r="W16" s="61">
        <f>'CCaMC-VOaMCpUC-pre-ret'!W16</f>
        <v>6.14</v>
      </c>
      <c r="X16" s="61">
        <f>'CCaMC-VOaMCpUC-pre-ret'!X16</f>
        <v>6.14</v>
      </c>
      <c r="Y16" s="61">
        <f>'CCaMC-VOaMCpUC-pre-ret'!Y16</f>
        <v>6.14</v>
      </c>
      <c r="Z16" s="61">
        <f>'CCaMC-VOaMCpUC-pre-ret'!Z16</f>
        <v>6.14</v>
      </c>
      <c r="AA16" s="61">
        <f>'CCaMC-VOaMCpUC-pre-ret'!AA16</f>
        <v>6.14</v>
      </c>
      <c r="AB16" s="61">
        <f>'CCaMC-VOaMCpUC-pre-ret'!AB16</f>
        <v>6.14</v>
      </c>
      <c r="AC16" s="61">
        <f>'CCaMC-VOaMCpUC-pre-ret'!AC16</f>
        <v>6.14</v>
      </c>
      <c r="AD16" s="61">
        <f>'CCaMC-VOaMCpUC-pre-ret'!AD16</f>
        <v>6.14</v>
      </c>
      <c r="AE16" s="61">
        <f>'CCaMC-VOaMCpUC-pre-ret'!AE16</f>
        <v>6.14</v>
      </c>
      <c r="AF16" s="61">
        <f>'CCaMC-VOaMCpUC-pre-ret'!AF16</f>
        <v>6.14</v>
      </c>
      <c r="AG16" s="32"/>
      <c r="AH16" s="32"/>
      <c r="AI16" s="32"/>
      <c r="AJ16" s="32"/>
      <c r="AK16" s="32"/>
      <c r="AL16" s="32"/>
      <c r="AM16" s="32"/>
      <c r="AN16" s="32"/>
      <c r="AO16" s="32"/>
      <c r="AP16" s="32"/>
      <c r="AQ16" s="32"/>
      <c r="AR16" s="32"/>
      <c r="AS16" s="32"/>
      <c r="AT16" s="32"/>
      <c r="AU16" s="32"/>
      <c r="AV16" s="32"/>
      <c r="AW16" s="32"/>
      <c r="AX16" s="32"/>
      <c r="AY16" s="32"/>
      <c r="AZ16" s="32"/>
    </row>
    <row r="17" spans="1:52" ht="14.25" customHeight="1">
      <c r="A17" s="5" t="s">
        <v>62</v>
      </c>
      <c r="B17" s="61">
        <f>'CCaMC-VOaMCpUC-pre-ret'!B17</f>
        <v>23.14</v>
      </c>
      <c r="C17" s="61">
        <f>'CCaMC-VOaMCpUC-pre-ret'!C17</f>
        <v>23.14</v>
      </c>
      <c r="D17" s="61">
        <f>'CCaMC-VOaMCpUC-pre-ret'!D17</f>
        <v>23.14</v>
      </c>
      <c r="E17" s="61">
        <f>'CCaMC-VOaMCpUC-pre-ret'!E17</f>
        <v>23.14</v>
      </c>
      <c r="F17" s="61">
        <f>'CCaMC-VOaMCpUC-pre-ret'!F17</f>
        <v>23.14</v>
      </c>
      <c r="G17" s="61">
        <f>'CCaMC-VOaMCpUC-pre-ret'!G17</f>
        <v>23.14</v>
      </c>
      <c r="H17" s="61">
        <f>'CCaMC-VOaMCpUC-pre-ret'!H17</f>
        <v>23.14</v>
      </c>
      <c r="I17" s="61">
        <f>'CCaMC-VOaMCpUC-pre-ret'!I17</f>
        <v>23.14</v>
      </c>
      <c r="J17" s="61">
        <f>'CCaMC-VOaMCpUC-pre-ret'!J17</f>
        <v>23.14</v>
      </c>
      <c r="K17" s="61">
        <f>'CCaMC-VOaMCpUC-pre-ret'!K17</f>
        <v>23.14</v>
      </c>
      <c r="L17" s="61">
        <f>'CCaMC-VOaMCpUC-pre-ret'!L17</f>
        <v>23.14</v>
      </c>
      <c r="M17" s="61">
        <f>'CCaMC-VOaMCpUC-pre-ret'!M17</f>
        <v>23.14</v>
      </c>
      <c r="N17" s="61">
        <f>'CCaMC-VOaMCpUC-pre-ret'!N17</f>
        <v>23.14</v>
      </c>
      <c r="O17" s="61">
        <f>'CCaMC-VOaMCpUC-pre-ret'!O17</f>
        <v>23.14</v>
      </c>
      <c r="P17" s="61">
        <f>'CCaMC-VOaMCpUC-pre-ret'!P17</f>
        <v>23.14</v>
      </c>
      <c r="Q17" s="61">
        <f>'CCaMC-VOaMCpUC-pre-ret'!Q17</f>
        <v>23.14</v>
      </c>
      <c r="R17" s="61">
        <f>'CCaMC-VOaMCpUC-pre-ret'!R17</f>
        <v>23.14</v>
      </c>
      <c r="S17" s="61">
        <f>'CCaMC-VOaMCpUC-pre-ret'!S17</f>
        <v>23.14</v>
      </c>
      <c r="T17" s="61">
        <f>'CCaMC-VOaMCpUC-pre-ret'!T17</f>
        <v>23.14</v>
      </c>
      <c r="U17" s="61">
        <f>'CCaMC-VOaMCpUC-pre-ret'!U17</f>
        <v>23.14</v>
      </c>
      <c r="V17" s="61">
        <f>'CCaMC-VOaMCpUC-pre-ret'!V17</f>
        <v>23.14</v>
      </c>
      <c r="W17" s="61">
        <f>'CCaMC-VOaMCpUC-pre-ret'!W17</f>
        <v>23.14</v>
      </c>
      <c r="X17" s="61">
        <f>'CCaMC-VOaMCpUC-pre-ret'!X17</f>
        <v>23.14</v>
      </c>
      <c r="Y17" s="61">
        <f>'CCaMC-VOaMCpUC-pre-ret'!Y17</f>
        <v>23.14</v>
      </c>
      <c r="Z17" s="61">
        <f>'CCaMC-VOaMCpUC-pre-ret'!Z17</f>
        <v>23.14</v>
      </c>
      <c r="AA17" s="61">
        <f>'CCaMC-VOaMCpUC-pre-ret'!AA17</f>
        <v>23.14</v>
      </c>
      <c r="AB17" s="61">
        <f>'CCaMC-VOaMCpUC-pre-ret'!AB17</f>
        <v>23.14</v>
      </c>
      <c r="AC17" s="61">
        <f>'CCaMC-VOaMCpUC-pre-ret'!AC17</f>
        <v>23.14</v>
      </c>
      <c r="AD17" s="61">
        <f>'CCaMC-VOaMCpUC-pre-ret'!AD17</f>
        <v>23.14</v>
      </c>
      <c r="AE17" s="61">
        <f>'CCaMC-VOaMCpUC-pre-ret'!AE17</f>
        <v>23.14</v>
      </c>
      <c r="AF17" s="61">
        <f>'CCaMC-VOaMCpUC-pre-ret'!AF17</f>
        <v>23.14</v>
      </c>
      <c r="AG17" s="32"/>
      <c r="AH17" s="32"/>
      <c r="AI17" s="32"/>
      <c r="AJ17" s="32"/>
      <c r="AK17" s="32"/>
      <c r="AL17" s="32"/>
      <c r="AM17" s="32"/>
      <c r="AN17" s="32"/>
      <c r="AO17" s="32"/>
      <c r="AP17" s="32"/>
      <c r="AQ17" s="32"/>
      <c r="AR17" s="32"/>
      <c r="AS17" s="32"/>
      <c r="AT17" s="32"/>
      <c r="AU17" s="32"/>
      <c r="AV17" s="32"/>
      <c r="AW17" s="32"/>
      <c r="AX17" s="32"/>
      <c r="AY17" s="32"/>
      <c r="AZ17" s="32"/>
    </row>
    <row r="18" spans="1:52" ht="14.25" customHeight="1">
      <c r="C18" s="5"/>
    </row>
    <row r="19" spans="1:52" ht="14.25" customHeight="1">
      <c r="A19" s="1"/>
    </row>
    <row r="20" spans="1:52" ht="14.25" customHeight="1">
      <c r="F20" s="1"/>
      <c r="G20" s="1"/>
      <c r="H20" s="1"/>
      <c r="I20" s="1"/>
    </row>
    <row r="21" spans="1:52" ht="14.25" customHeight="1"/>
    <row r="22" spans="1:52" ht="14.25" customHeight="1"/>
    <row r="23" spans="1:52" ht="14.25" customHeight="1"/>
    <row r="24" spans="1:52" ht="14.25" customHeight="1"/>
    <row r="25" spans="1:52" ht="14.25" customHeight="1"/>
    <row r="26" spans="1:52" ht="14.25" customHeight="1"/>
    <row r="27" spans="1:52" ht="14.25" customHeight="1"/>
    <row r="28" spans="1:52" ht="14.25" customHeight="1"/>
    <row r="29" spans="1:52" ht="14.25" customHeight="1"/>
    <row r="30" spans="1:52" ht="14.25" customHeight="1"/>
    <row r="31" spans="1:52" ht="14.25" customHeight="1"/>
    <row r="32" spans="1:5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546A"/>
  </sheetPr>
  <dimension ref="A1:BA1000"/>
  <sheetViews>
    <sheetView workbookViewId="0">
      <selection activeCell="B2" sqref="B2"/>
    </sheetView>
  </sheetViews>
  <sheetFormatPr baseColWidth="10" defaultColWidth="14.42578125" defaultRowHeight="15" customHeight="1"/>
  <cols>
    <col min="1" max="1" width="28.140625" customWidth="1"/>
    <col min="2" max="2" width="10.28515625" customWidth="1"/>
    <col min="3" max="33" width="9.140625" customWidth="1"/>
  </cols>
  <sheetData>
    <row r="1" spans="1:53" ht="14.25" customHeight="1">
      <c r="A1" s="24" t="s">
        <v>69</v>
      </c>
      <c r="B1" s="1">
        <v>2019</v>
      </c>
      <c r="C1" s="1">
        <v>2020</v>
      </c>
      <c r="D1" s="1">
        <v>2021</v>
      </c>
      <c r="E1" s="1">
        <v>2022</v>
      </c>
      <c r="F1" s="1">
        <v>2023</v>
      </c>
      <c r="G1" s="1">
        <v>2024</v>
      </c>
      <c r="H1" s="1">
        <v>2025</v>
      </c>
      <c r="I1" s="1">
        <v>2026</v>
      </c>
      <c r="J1" s="1">
        <v>2027</v>
      </c>
      <c r="K1" s="1">
        <v>2028</v>
      </c>
      <c r="L1" s="1">
        <v>2029</v>
      </c>
      <c r="M1" s="1">
        <v>2030</v>
      </c>
      <c r="N1" s="1">
        <v>2031</v>
      </c>
      <c r="O1" s="1">
        <v>2032</v>
      </c>
      <c r="P1" s="1">
        <v>2033</v>
      </c>
      <c r="Q1" s="1">
        <v>2034</v>
      </c>
      <c r="R1" s="1">
        <v>2035</v>
      </c>
      <c r="S1" s="1">
        <v>2036</v>
      </c>
      <c r="T1" s="1">
        <v>2037</v>
      </c>
      <c r="U1" s="1">
        <v>2038</v>
      </c>
      <c r="V1" s="1">
        <v>2039</v>
      </c>
      <c r="W1" s="1">
        <v>2040</v>
      </c>
      <c r="X1" s="1">
        <v>2041</v>
      </c>
      <c r="Y1" s="1">
        <v>2042</v>
      </c>
      <c r="Z1" s="1">
        <v>2043</v>
      </c>
      <c r="AA1" s="1">
        <v>2044</v>
      </c>
      <c r="AB1" s="1">
        <v>2045</v>
      </c>
      <c r="AC1" s="1">
        <v>2046</v>
      </c>
      <c r="AD1" s="1">
        <v>2047</v>
      </c>
      <c r="AE1" s="1">
        <v>2048</v>
      </c>
      <c r="AF1" s="1">
        <v>2049</v>
      </c>
      <c r="AG1" s="1">
        <v>2050</v>
      </c>
      <c r="AH1" s="25"/>
      <c r="AI1" s="25"/>
      <c r="AJ1" s="25"/>
      <c r="AK1" s="25"/>
      <c r="AL1" s="25"/>
      <c r="AM1" s="25"/>
      <c r="AN1" s="25"/>
      <c r="AO1" s="25"/>
      <c r="AP1" s="25"/>
      <c r="AQ1" s="25"/>
      <c r="AR1" s="25"/>
      <c r="AS1" s="25"/>
      <c r="AT1" s="25"/>
      <c r="AU1" s="25"/>
      <c r="AV1" s="25"/>
      <c r="AW1" s="25"/>
      <c r="AX1" s="25"/>
      <c r="AY1" s="25"/>
      <c r="AZ1" s="25"/>
      <c r="BA1" s="25"/>
    </row>
    <row r="2" spans="1:53" ht="14.25" customHeight="1">
      <c r="A2" s="1" t="s">
        <v>70</v>
      </c>
      <c r="B2" s="30">
        <f t="array" ref="B2">TREND('capital processing'!$B$3:$D$3,'capital processing'!$B$2:$D$2,'CCaMC-BCCpUC'!B1)</f>
        <v>1646071.4285714282</v>
      </c>
      <c r="C2" s="30">
        <f t="array" ref="C2">TREND('capital processing'!$B$3:$D$3,'capital processing'!$B$2:$D$2,'CCaMC-BCCpUC'!C1)</f>
        <v>1642857.1428571427</v>
      </c>
      <c r="D2" s="30">
        <f t="array" ref="D2">TREND('capital processing'!$B$3:$D$3,'capital processing'!$B$2:$D$2,'CCaMC-BCCpUC'!D1)</f>
        <v>1639642.8571428573</v>
      </c>
      <c r="E2" s="30">
        <f t="array" ref="E2">TREND('capital processing'!$B$3:$D$3,'capital processing'!$B$2:$D$2,'CCaMC-BCCpUC'!E1)</f>
        <v>1636428.5714285709</v>
      </c>
      <c r="F2" s="30">
        <f t="array" ref="F2">TREND('capital processing'!$B$3:$D$3,'capital processing'!$B$2:$D$2,'CCaMC-BCCpUC'!F1)</f>
        <v>1633214.2857142854</v>
      </c>
      <c r="G2" s="30">
        <f t="array" ref="G2">TREND('capital processing'!$B$3:$D$3,'capital processing'!$B$2:$D$2,'CCaMC-BCCpUC'!G1)</f>
        <v>1630000</v>
      </c>
      <c r="H2" s="30">
        <f t="array" ref="H2">TREND('capital processing'!$B$3:$D$3,'capital processing'!$B$2:$D$2,'CCaMC-BCCpUC'!H1)</f>
        <v>1626785.7142857146</v>
      </c>
      <c r="I2" s="30">
        <f t="array" ref="I2">TREND('capital processing'!$B$3:$D$3,'capital processing'!$B$2:$D$2,'CCaMC-BCCpUC'!I1)</f>
        <v>1623571.4285714282</v>
      </c>
      <c r="J2" s="30">
        <f t="array" ref="J2">TREND('capital processing'!$B$3:$D$3,'capital processing'!$B$2:$D$2,'CCaMC-BCCpUC'!J1)</f>
        <v>1620357.1428571427</v>
      </c>
      <c r="K2" s="30">
        <f t="array" ref="K2">TREND('capital processing'!$B$3:$D$3,'capital processing'!$B$2:$D$2,'CCaMC-BCCpUC'!K1)</f>
        <v>1617142.8571428573</v>
      </c>
      <c r="L2" s="30">
        <f t="array" ref="L2">TREND('capital processing'!$B$3:$D$3,'capital processing'!$B$2:$D$2,'CCaMC-BCCpUC'!L1)</f>
        <v>1613928.5714285709</v>
      </c>
      <c r="M2" s="30">
        <f t="array" ref="M2">TREND('capital processing'!$B$3:$D$3,'capital processing'!$B$2:$D$2,'CCaMC-BCCpUC'!M1)</f>
        <v>1610714.2857142854</v>
      </c>
      <c r="N2" s="30">
        <f t="array" ref="N2">TREND('capital processing'!$B$3:$D$3,'capital processing'!$B$2:$D$2,'CCaMC-BCCpUC'!N1)</f>
        <v>1607500</v>
      </c>
      <c r="O2" s="30">
        <f t="array" ref="O2">TREND('capital processing'!$B$3:$D$3,'capital processing'!$B$2:$D$2,'CCaMC-BCCpUC'!O1)</f>
        <v>1604285.7142857146</v>
      </c>
      <c r="P2" s="30">
        <f t="array" ref="P2">TREND('capital processing'!$B$3:$D$3,'capital processing'!$B$2:$D$2,'CCaMC-BCCpUC'!P1)</f>
        <v>1601071.4285714282</v>
      </c>
      <c r="Q2" s="30">
        <f t="array" ref="Q2">TREND('capital processing'!$B$3:$D$3,'capital processing'!$B$2:$D$2,'CCaMC-BCCpUC'!Q1)</f>
        <v>1597857.1428571427</v>
      </c>
      <c r="R2" s="30">
        <f t="array" ref="R2">TREND('capital processing'!$B$3:$D$3,'capital processing'!$B$2:$D$2,'CCaMC-BCCpUC'!R1)</f>
        <v>1594642.8571428573</v>
      </c>
      <c r="S2" s="30">
        <f t="array" ref="S2">TREND('capital processing'!$B$3:$D$3,'capital processing'!$B$2:$D$2,'CCaMC-BCCpUC'!S1)</f>
        <v>1591428.5714285709</v>
      </c>
      <c r="T2" s="30">
        <f t="array" ref="T2">TREND('capital processing'!$B$3:$D$3,'capital processing'!$B$2:$D$2,'CCaMC-BCCpUC'!T1)</f>
        <v>1588214.2857142854</v>
      </c>
      <c r="U2" s="30">
        <f t="array" ref="U2">TREND('capital processing'!$B$3:$D$3,'capital processing'!$B$2:$D$2,'CCaMC-BCCpUC'!U1)</f>
        <v>1585000</v>
      </c>
      <c r="V2" s="30">
        <f t="array" ref="V2">TREND('capital processing'!$B$3:$D$3,'capital processing'!$B$2:$D$2,'CCaMC-BCCpUC'!V1)</f>
        <v>1581785.7142857146</v>
      </c>
      <c r="W2" s="30">
        <f t="array" ref="W2">TREND('capital processing'!$B$3:$D$3,'capital processing'!$B$2:$D$2,'CCaMC-BCCpUC'!W1)</f>
        <v>1578571.4285714282</v>
      </c>
      <c r="X2" s="30">
        <f t="array" ref="X2">TREND('capital processing'!$B$3:$D$3,'capital processing'!$B$2:$D$2,'CCaMC-BCCpUC'!X1)</f>
        <v>1575357.1428571427</v>
      </c>
      <c r="Y2" s="30">
        <f t="array" ref="Y2">TREND('capital processing'!$B$3:$D$3,'capital processing'!$B$2:$D$2,'CCaMC-BCCpUC'!Y1)</f>
        <v>1572142.8571428573</v>
      </c>
      <c r="Z2" s="30">
        <f t="array" ref="Z2">TREND('capital processing'!$B$3:$D$3,'capital processing'!$B$2:$D$2,'CCaMC-BCCpUC'!Z1)</f>
        <v>1568928.5714285709</v>
      </c>
      <c r="AA2" s="30">
        <f t="array" ref="AA2">TREND('capital processing'!$B$3:$D$3,'capital processing'!$B$2:$D$2,'CCaMC-BCCpUC'!AA1)</f>
        <v>1565714.2857142854</v>
      </c>
      <c r="AB2" s="30">
        <f t="array" ref="AB2">TREND('capital processing'!$B$3:$D$3,'capital processing'!$B$2:$D$2,'CCaMC-BCCpUC'!AB1)</f>
        <v>1562500</v>
      </c>
      <c r="AC2" s="30">
        <f t="array" ref="AC2">TREND('capital processing'!$B$3:$D$3,'capital processing'!$B$2:$D$2,'CCaMC-BCCpUC'!AC1)</f>
        <v>1559285.7142857146</v>
      </c>
      <c r="AD2" s="30">
        <f t="array" ref="AD2">TREND('capital processing'!$B$3:$D$3,'capital processing'!$B$2:$D$2,'CCaMC-BCCpUC'!AD1)</f>
        <v>1556071.4285714282</v>
      </c>
      <c r="AE2" s="30">
        <f t="array" ref="AE2">TREND('capital processing'!$B$3:$D$3,'capital processing'!$B$2:$D$2,'CCaMC-BCCpUC'!AE1)</f>
        <v>1552857.1428571427</v>
      </c>
      <c r="AF2" s="30">
        <f t="array" ref="AF2">TREND('capital processing'!$B$3:$D$3,'capital processing'!$B$2:$D$2,'CCaMC-BCCpUC'!AF1)</f>
        <v>1549642.8571428573</v>
      </c>
      <c r="AG2" s="30">
        <f t="array" ref="AG2">TREND('capital processing'!$B$3:$D$3,'capital processing'!$B$2:$D$2,'CCaMC-BCCpUC'!AG1)</f>
        <v>1546428.5714285709</v>
      </c>
      <c r="AH2" s="30"/>
      <c r="AI2" s="30"/>
      <c r="AJ2" s="30"/>
      <c r="AK2" s="30"/>
      <c r="AL2" s="30"/>
      <c r="AM2" s="30"/>
      <c r="AN2" s="30"/>
      <c r="AO2" s="30"/>
      <c r="AP2" s="30"/>
      <c r="AQ2" s="30"/>
      <c r="AR2" s="30"/>
      <c r="AS2" s="30"/>
      <c r="AT2" s="30"/>
      <c r="AU2" s="30"/>
      <c r="AV2" s="30"/>
      <c r="AW2" s="30"/>
      <c r="AX2" s="30"/>
      <c r="AY2" s="30"/>
      <c r="AZ2" s="30"/>
      <c r="BA2" s="30"/>
    </row>
    <row r="3" spans="1:53" ht="14.25" customHeight="1">
      <c r="A3" s="1" t="s">
        <v>71</v>
      </c>
      <c r="B3" s="30">
        <f t="array" ref="B3">TREND('capital processing'!$B$4:$D$4,'capital processing'!$B$2:$D$2,'CCaMC-BCCpUC'!B1)</f>
        <v>768642.85714285728</v>
      </c>
      <c r="C3" s="30">
        <f t="array" ref="C3">TREND('capital processing'!$B$4:$D$4,'capital processing'!$B$2:$D$2,'CCaMC-BCCpUC'!C1)</f>
        <v>765714.28571428545</v>
      </c>
      <c r="D3" s="30">
        <f t="array" ref="D3">TREND('capital processing'!$B$4:$D$4,'capital processing'!$B$2:$D$2,'CCaMC-BCCpUC'!D1)</f>
        <v>762785.71428571362</v>
      </c>
      <c r="E3" s="30">
        <f t="array" ref="E3">TREND('capital processing'!$B$4:$D$4,'capital processing'!$B$2:$D$2,'CCaMC-BCCpUC'!E1)</f>
        <v>759857.14285714272</v>
      </c>
      <c r="F3" s="30">
        <f t="array" ref="F3">TREND('capital processing'!$B$4:$D$4,'capital processing'!$B$2:$D$2,'CCaMC-BCCpUC'!F1)</f>
        <v>756928.5714285709</v>
      </c>
      <c r="G3" s="30">
        <f t="array" ref="G3">TREND('capital processing'!$B$4:$D$4,'capital processing'!$B$2:$D$2,'CCaMC-BCCpUC'!G1)</f>
        <v>754000</v>
      </c>
      <c r="H3" s="30">
        <f t="array" ref="H3">TREND('capital processing'!$B$4:$D$4,'capital processing'!$B$2:$D$2,'CCaMC-BCCpUC'!H1)</f>
        <v>751071.42857142817</v>
      </c>
      <c r="I3" s="30">
        <f t="array" ref="I3">TREND('capital processing'!$B$4:$D$4,'capital processing'!$B$2:$D$2,'CCaMC-BCCpUC'!I1)</f>
        <v>748142.85714285728</v>
      </c>
      <c r="J3" s="30">
        <f t="array" ref="J3">TREND('capital processing'!$B$4:$D$4,'capital processing'!$B$2:$D$2,'CCaMC-BCCpUC'!J1)</f>
        <v>745214.28571428545</v>
      </c>
      <c r="K3" s="30">
        <f t="array" ref="K3">TREND('capital processing'!$B$4:$D$4,'capital processing'!$B$2:$D$2,'CCaMC-BCCpUC'!K1)</f>
        <v>742285.71428571362</v>
      </c>
      <c r="L3" s="30">
        <f t="array" ref="L3">TREND('capital processing'!$B$4:$D$4,'capital processing'!$B$2:$D$2,'CCaMC-BCCpUC'!L1)</f>
        <v>739357.14285714272</v>
      </c>
      <c r="M3" s="30">
        <f t="array" ref="M3">TREND('capital processing'!$B$4:$D$4,'capital processing'!$B$2:$D$2,'CCaMC-BCCpUC'!M1)</f>
        <v>736428.5714285709</v>
      </c>
      <c r="N3" s="30">
        <f t="array" ref="N3">TREND('capital processing'!$B$4:$D$4,'capital processing'!$B$2:$D$2,'CCaMC-BCCpUC'!N1)</f>
        <v>733500</v>
      </c>
      <c r="O3" s="30">
        <f t="array" ref="O3">TREND('capital processing'!$B$4:$D$4,'capital processing'!$B$2:$D$2,'CCaMC-BCCpUC'!O1)</f>
        <v>730571.42857142817</v>
      </c>
      <c r="P3" s="30">
        <f t="array" ref="P3">TREND('capital processing'!$B$4:$D$4,'capital processing'!$B$2:$D$2,'CCaMC-BCCpUC'!P1)</f>
        <v>727642.85714285728</v>
      </c>
      <c r="Q3" s="30">
        <f t="array" ref="Q3">TREND('capital processing'!$B$4:$D$4,'capital processing'!$B$2:$D$2,'CCaMC-BCCpUC'!Q1)</f>
        <v>724714.28571428545</v>
      </c>
      <c r="R3" s="30">
        <f t="array" ref="R3">TREND('capital processing'!$B$4:$D$4,'capital processing'!$B$2:$D$2,'CCaMC-BCCpUC'!R1)</f>
        <v>721785.71428571362</v>
      </c>
      <c r="S3" s="30">
        <f t="array" ref="S3">TREND('capital processing'!$B$4:$D$4,'capital processing'!$B$2:$D$2,'CCaMC-BCCpUC'!S1)</f>
        <v>718857.14285714272</v>
      </c>
      <c r="T3" s="30">
        <f t="array" ref="T3">TREND('capital processing'!$B$4:$D$4,'capital processing'!$B$2:$D$2,'CCaMC-BCCpUC'!T1)</f>
        <v>715928.5714285709</v>
      </c>
      <c r="U3" s="30">
        <f t="array" ref="U3">TREND('capital processing'!$B$4:$D$4,'capital processing'!$B$2:$D$2,'CCaMC-BCCpUC'!U1)</f>
        <v>713000</v>
      </c>
      <c r="V3" s="30">
        <f t="array" ref="V3">TREND('capital processing'!$B$4:$D$4,'capital processing'!$B$2:$D$2,'CCaMC-BCCpUC'!V1)</f>
        <v>710071.42857142817</v>
      </c>
      <c r="W3" s="30">
        <f t="array" ref="W3">TREND('capital processing'!$B$4:$D$4,'capital processing'!$B$2:$D$2,'CCaMC-BCCpUC'!W1)</f>
        <v>707142.85714285728</v>
      </c>
      <c r="X3" s="30">
        <f t="array" ref="X3">TREND('capital processing'!$B$4:$D$4,'capital processing'!$B$2:$D$2,'CCaMC-BCCpUC'!X1)</f>
        <v>704214.28571428545</v>
      </c>
      <c r="Y3" s="30">
        <f t="array" ref="Y3">TREND('capital processing'!$B$4:$D$4,'capital processing'!$B$2:$D$2,'CCaMC-BCCpUC'!Y1)</f>
        <v>701285.71428571362</v>
      </c>
      <c r="Z3" s="30">
        <f t="array" ref="Z3">TREND('capital processing'!$B$4:$D$4,'capital processing'!$B$2:$D$2,'CCaMC-BCCpUC'!Z1)</f>
        <v>698357.14285714272</v>
      </c>
      <c r="AA3" s="30">
        <f t="array" ref="AA3">TREND('capital processing'!$B$4:$D$4,'capital processing'!$B$2:$D$2,'CCaMC-BCCpUC'!AA1)</f>
        <v>695428.5714285709</v>
      </c>
      <c r="AB3" s="30">
        <f t="array" ref="AB3">TREND('capital processing'!$B$4:$D$4,'capital processing'!$B$2:$D$2,'CCaMC-BCCpUC'!AB1)</f>
        <v>692500</v>
      </c>
      <c r="AC3" s="30">
        <f t="array" ref="AC3">TREND('capital processing'!$B$4:$D$4,'capital processing'!$B$2:$D$2,'CCaMC-BCCpUC'!AC1)</f>
        <v>689571.42857142817</v>
      </c>
      <c r="AD3" s="30">
        <f t="array" ref="AD3">TREND('capital processing'!$B$4:$D$4,'capital processing'!$B$2:$D$2,'CCaMC-BCCpUC'!AD1)</f>
        <v>686642.85714285728</v>
      </c>
      <c r="AE3" s="30">
        <f t="array" ref="AE3">TREND('capital processing'!$B$4:$D$4,'capital processing'!$B$2:$D$2,'CCaMC-BCCpUC'!AE1)</f>
        <v>683714.28571428545</v>
      </c>
      <c r="AF3" s="30">
        <f t="array" ref="AF3">TREND('capital processing'!$B$4:$D$4,'capital processing'!$B$2:$D$2,'CCaMC-BCCpUC'!AF1)</f>
        <v>680785.71428571362</v>
      </c>
      <c r="AG3" s="30">
        <f t="array" ref="AG3">TREND('capital processing'!$B$4:$D$4,'capital processing'!$B$2:$D$2,'CCaMC-BCCpUC'!AG1)</f>
        <v>677857.14285714272</v>
      </c>
      <c r="AH3" s="30"/>
      <c r="AI3" s="30"/>
      <c r="AJ3" s="30"/>
      <c r="AK3" s="30"/>
      <c r="AL3" s="30"/>
      <c r="AM3" s="30"/>
      <c r="AN3" s="30"/>
      <c r="AO3" s="30"/>
      <c r="AP3" s="30"/>
      <c r="AQ3" s="30"/>
      <c r="AR3" s="30"/>
      <c r="AS3" s="30"/>
      <c r="AT3" s="30"/>
      <c r="AU3" s="30"/>
      <c r="AV3" s="30"/>
      <c r="AW3" s="30"/>
      <c r="AX3" s="30"/>
      <c r="AY3" s="30"/>
      <c r="AZ3" s="30"/>
      <c r="BA3" s="30"/>
    </row>
    <row r="4" spans="1:53" ht="14.25" customHeight="1">
      <c r="A4" s="1" t="s">
        <v>72</v>
      </c>
      <c r="B4" s="30">
        <f>nuclear!D3*About!$A$37*1000</f>
        <v>6863012.2114484962</v>
      </c>
      <c r="C4" s="30">
        <f>nuclear!E3*About!$A$37*1000</f>
        <v>6827795.5614971612</v>
      </c>
      <c r="D4" s="30">
        <f>nuclear!F3*About!$A$37*1000</f>
        <v>6792578.9115458252</v>
      </c>
      <c r="E4" s="30">
        <f>nuclear!G3*About!$A$37*1000</f>
        <v>6757362.2615944901</v>
      </c>
      <c r="F4" s="30">
        <f>nuclear!H3*About!$A$37*1000</f>
        <v>6722145.6116431542</v>
      </c>
      <c r="G4" s="30">
        <f>nuclear!I3*About!$A$37*1000</f>
        <v>6686928.9616918191</v>
      </c>
      <c r="H4" s="30">
        <f>nuclear!J3*About!$A$37*1000</f>
        <v>6651712.3117404832</v>
      </c>
      <c r="I4" s="30">
        <f>nuclear!K3*About!$A$37*1000</f>
        <v>6616495.6617891472</v>
      </c>
      <c r="J4" s="30">
        <f>nuclear!L3*About!$A$37*1000</f>
        <v>6577208.6014157711</v>
      </c>
      <c r="K4" s="30">
        <f>nuclear!M3*About!$A$37*1000</f>
        <v>6541082.6908243643</v>
      </c>
      <c r="L4" s="30">
        <f>nuclear!N3*About!$A$37*1000</f>
        <v>6503187.7951237755</v>
      </c>
      <c r="M4" s="30">
        <f>nuclear!O3*About!$A$37*1000</f>
        <v>6458687.8090891363</v>
      </c>
      <c r="N4" s="30">
        <f>nuclear!P3*About!$A$37*1000</f>
        <v>6415868.2022483945</v>
      </c>
      <c r="O4" s="30">
        <f>nuclear!Q3*About!$A$37*1000</f>
        <v>6370900.036800365</v>
      </c>
      <c r="P4" s="30">
        <f>nuclear!R3*About!$A$37*1000</f>
        <v>6324977.570632196</v>
      </c>
      <c r="Q4" s="30">
        <f>nuclear!S3*About!$A$37*1000</f>
        <v>6285864.0518318256</v>
      </c>
      <c r="R4" s="30">
        <f>nuclear!T3*About!$A$37*1000</f>
        <v>6244912.1421683049</v>
      </c>
      <c r="S4" s="30">
        <f>nuclear!U3*About!$A$37*1000</f>
        <v>6195285.8759703189</v>
      </c>
      <c r="T4" s="30">
        <f>nuclear!V3*About!$A$37*1000</f>
        <v>6154722.5351403737</v>
      </c>
      <c r="U4" s="30">
        <f>nuclear!W3*About!$A$37*1000</f>
        <v>6111812.8851547856</v>
      </c>
      <c r="V4" s="30">
        <f>nuclear!X3*About!$A$37*1000</f>
        <v>6064156.732157344</v>
      </c>
      <c r="W4" s="30">
        <f>nuclear!Y3*About!$A$37*1000</f>
        <v>6015371.7796864947</v>
      </c>
      <c r="X4" s="30">
        <f>nuclear!Z3*About!$A$37*1000</f>
        <v>5977119.2783373129</v>
      </c>
      <c r="Y4" s="30">
        <f>nuclear!AA3*About!$A$37*1000</f>
        <v>5930634.2094110195</v>
      </c>
      <c r="Z4" s="30">
        <f>nuclear!AB3*About!$A$37*1000</f>
        <v>5888232.9114179285</v>
      </c>
      <c r="AA4" s="30">
        <f>nuclear!AC3*About!$A$37*1000</f>
        <v>5845546.0543070929</v>
      </c>
      <c r="AB4" s="30">
        <f>nuclear!AD3*About!$A$37*1000</f>
        <v>5806120.3920507738</v>
      </c>
      <c r="AC4" s="30">
        <f>nuclear!AE3*About!$A$37*1000</f>
        <v>5756115.9039158681</v>
      </c>
      <c r="AD4" s="30">
        <f>nuclear!AF3*About!$A$37*1000</f>
        <v>5713737.8045915291</v>
      </c>
      <c r="AE4" s="30">
        <f>nuclear!AG3*About!$A$37*1000</f>
        <v>5671113.6739888703</v>
      </c>
      <c r="AF4" s="30">
        <f>nuclear!AH3*About!$A$37*1000</f>
        <v>5628363.7396938829</v>
      </c>
      <c r="AG4" s="30">
        <f>nuclear!AI3*About!$A$37*1000</f>
        <v>5537365.0403791452</v>
      </c>
      <c r="AH4" s="30"/>
      <c r="AI4" s="30"/>
      <c r="AJ4" s="30"/>
      <c r="AK4" s="30"/>
      <c r="AL4" s="30"/>
      <c r="AM4" s="30"/>
      <c r="AN4" s="30"/>
      <c r="AO4" s="30"/>
      <c r="AP4" s="30"/>
      <c r="AQ4" s="30"/>
      <c r="AR4" s="30"/>
      <c r="AS4" s="30"/>
      <c r="AT4" s="30"/>
      <c r="AU4" s="30"/>
      <c r="AV4" s="30"/>
      <c r="AW4" s="30"/>
      <c r="AX4" s="30"/>
      <c r="AY4" s="30"/>
      <c r="AZ4" s="30"/>
      <c r="BA4" s="30"/>
    </row>
    <row r="5" spans="1:53" ht="14.25" customHeight="1">
      <c r="A5" s="1" t="s">
        <v>73</v>
      </c>
      <c r="B5" s="30">
        <f t="array" ref="B5">TREND('capital processing'!$B$5:$D$5,'capital processing'!$B$2:$D$2,'CCaMC-BCCpUC'!B1)</f>
        <v>2086214.2857142854</v>
      </c>
      <c r="C5" s="30">
        <f t="array" ref="C5">TREND('capital processing'!$B$5:$D$5,'capital processing'!$B$2:$D$2,'CCaMC-BCCpUC'!C1)</f>
        <v>2078571.4285714291</v>
      </c>
      <c r="D5" s="30">
        <f t="array" ref="D5">TREND('capital processing'!$B$5:$D$5,'capital processing'!$B$2:$D$2,'CCaMC-BCCpUC'!D1)</f>
        <v>2070928.5714285728</v>
      </c>
      <c r="E5" s="30">
        <f t="array" ref="E5">TREND('capital processing'!$B$5:$D$5,'capital processing'!$B$2:$D$2,'CCaMC-BCCpUC'!E1)</f>
        <v>2063285.7142857146</v>
      </c>
      <c r="F5" s="30">
        <f t="array" ref="F5">TREND('capital processing'!$B$5:$D$5,'capital processing'!$B$2:$D$2,'CCaMC-BCCpUC'!F1)</f>
        <v>2055642.8571428582</v>
      </c>
      <c r="G5" s="30">
        <f t="array" ref="G5">TREND('capital processing'!$B$5:$D$5,'capital processing'!$B$2:$D$2,'CCaMC-BCCpUC'!G1)</f>
        <v>2048000</v>
      </c>
      <c r="H5" s="30">
        <f t="array" ref="H5">TREND('capital processing'!$B$5:$D$5,'capital processing'!$B$2:$D$2,'CCaMC-BCCpUC'!H1)</f>
        <v>2040357.1428571437</v>
      </c>
      <c r="I5" s="30">
        <f t="array" ref="I5">TREND('capital processing'!$B$5:$D$5,'capital processing'!$B$2:$D$2,'CCaMC-BCCpUC'!I1)</f>
        <v>2032714.2857142854</v>
      </c>
      <c r="J5" s="30">
        <f t="array" ref="J5">TREND('capital processing'!$B$5:$D$5,'capital processing'!$B$2:$D$2,'CCaMC-BCCpUC'!J1)</f>
        <v>2025071.4285714291</v>
      </c>
      <c r="K5" s="30">
        <f t="array" ref="K5">TREND('capital processing'!$B$5:$D$5,'capital processing'!$B$2:$D$2,'CCaMC-BCCpUC'!K1)</f>
        <v>2017428.5714285728</v>
      </c>
      <c r="L5" s="30">
        <f t="array" ref="L5">TREND('capital processing'!$B$5:$D$5,'capital processing'!$B$2:$D$2,'CCaMC-BCCpUC'!L1)</f>
        <v>2009785.7142857146</v>
      </c>
      <c r="M5" s="30">
        <f t="array" ref="M5">TREND('capital processing'!$B$5:$D$5,'capital processing'!$B$2:$D$2,'CCaMC-BCCpUC'!M1)</f>
        <v>2002142.8571428582</v>
      </c>
      <c r="N5" s="30">
        <f t="array" ref="N5">TREND('capital processing'!$B$5:$D$5,'capital processing'!$B$2:$D$2,'CCaMC-BCCpUC'!N1)</f>
        <v>1994500</v>
      </c>
      <c r="O5" s="30">
        <f t="array" ref="O5">TREND('capital processing'!$B$5:$D$5,'capital processing'!$B$2:$D$2,'CCaMC-BCCpUC'!O1)</f>
        <v>1986857.1428571437</v>
      </c>
      <c r="P5" s="30">
        <f t="array" ref="P5">TREND('capital processing'!$B$5:$D$5,'capital processing'!$B$2:$D$2,'CCaMC-BCCpUC'!P1)</f>
        <v>1979214.2857142854</v>
      </c>
      <c r="Q5" s="30">
        <f t="array" ref="Q5">TREND('capital processing'!$B$5:$D$5,'capital processing'!$B$2:$D$2,'CCaMC-BCCpUC'!Q1)</f>
        <v>1971571.4285714291</v>
      </c>
      <c r="R5" s="30">
        <f t="array" ref="R5">TREND('capital processing'!$B$5:$D$5,'capital processing'!$B$2:$D$2,'CCaMC-BCCpUC'!R1)</f>
        <v>1963928.5714285728</v>
      </c>
      <c r="S5" s="30">
        <f t="array" ref="S5">TREND('capital processing'!$B$5:$D$5,'capital processing'!$B$2:$D$2,'CCaMC-BCCpUC'!S1)</f>
        <v>1956285.7142857146</v>
      </c>
      <c r="T5" s="30">
        <f t="array" ref="T5">TREND('capital processing'!$B$5:$D$5,'capital processing'!$B$2:$D$2,'CCaMC-BCCpUC'!T1)</f>
        <v>1948642.8571428582</v>
      </c>
      <c r="U5" s="30">
        <f t="array" ref="U5">TREND('capital processing'!$B$5:$D$5,'capital processing'!$B$2:$D$2,'CCaMC-BCCpUC'!U1)</f>
        <v>1941000</v>
      </c>
      <c r="V5" s="30">
        <f t="array" ref="V5">TREND('capital processing'!$B$5:$D$5,'capital processing'!$B$2:$D$2,'CCaMC-BCCpUC'!V1)</f>
        <v>1933357.1428571437</v>
      </c>
      <c r="W5" s="30">
        <f t="array" ref="W5">TREND('capital processing'!$B$5:$D$5,'capital processing'!$B$2:$D$2,'CCaMC-BCCpUC'!W1)</f>
        <v>1925714.2857142854</v>
      </c>
      <c r="X5" s="30">
        <f t="array" ref="X5">TREND('capital processing'!$B$5:$D$5,'capital processing'!$B$2:$D$2,'CCaMC-BCCpUC'!X1)</f>
        <v>1918071.4285714291</v>
      </c>
      <c r="Y5" s="30">
        <f t="array" ref="Y5">TREND('capital processing'!$B$5:$D$5,'capital processing'!$B$2:$D$2,'CCaMC-BCCpUC'!Y1)</f>
        <v>1910428.5714285728</v>
      </c>
      <c r="Z5" s="30">
        <f t="array" ref="Z5">TREND('capital processing'!$B$5:$D$5,'capital processing'!$B$2:$D$2,'CCaMC-BCCpUC'!Z1)</f>
        <v>1902785.7142857146</v>
      </c>
      <c r="AA5" s="30">
        <f t="array" ref="AA5">TREND('capital processing'!$B$5:$D$5,'capital processing'!$B$2:$D$2,'CCaMC-BCCpUC'!AA1)</f>
        <v>1895142.8571428582</v>
      </c>
      <c r="AB5" s="30">
        <f t="array" ref="AB5">TREND('capital processing'!$B$5:$D$5,'capital processing'!$B$2:$D$2,'CCaMC-BCCpUC'!AB1)</f>
        <v>1887500</v>
      </c>
      <c r="AC5" s="30">
        <f t="array" ref="AC5">TREND('capital processing'!$B$5:$D$5,'capital processing'!$B$2:$D$2,'CCaMC-BCCpUC'!AC1)</f>
        <v>1879857.1428571437</v>
      </c>
      <c r="AD5" s="30">
        <f t="array" ref="AD5">TREND('capital processing'!$B$5:$D$5,'capital processing'!$B$2:$D$2,'CCaMC-BCCpUC'!AD1)</f>
        <v>1872214.2857142854</v>
      </c>
      <c r="AE5" s="30">
        <f t="array" ref="AE5">TREND('capital processing'!$B$5:$D$5,'capital processing'!$B$2:$D$2,'CCaMC-BCCpUC'!AE1)</f>
        <v>1864571.4285714291</v>
      </c>
      <c r="AF5" s="30">
        <f t="array" ref="AF5">TREND('capital processing'!$B$5:$D$5,'capital processing'!$B$2:$D$2,'CCaMC-BCCpUC'!AF1)</f>
        <v>1856928.5714285728</v>
      </c>
      <c r="AG5" s="30">
        <f t="array" ref="AG5">TREND('capital processing'!$B$5:$D$5,'capital processing'!$B$2:$D$2,'CCaMC-BCCpUC'!AG1)</f>
        <v>1849285.7142857146</v>
      </c>
      <c r="AH5" s="30"/>
      <c r="AI5" s="30"/>
      <c r="AJ5" s="30"/>
      <c r="AK5" s="30"/>
      <c r="AL5" s="30"/>
      <c r="AM5" s="30"/>
      <c r="AN5" s="30"/>
      <c r="AO5" s="30"/>
      <c r="AP5" s="30"/>
      <c r="AQ5" s="30"/>
      <c r="AR5" s="30"/>
      <c r="AS5" s="30"/>
      <c r="AT5" s="30"/>
      <c r="AU5" s="30"/>
      <c r="AV5" s="30"/>
      <c r="AW5" s="30"/>
      <c r="AX5" s="30"/>
      <c r="AY5" s="30"/>
      <c r="AZ5" s="30"/>
      <c r="BA5" s="30"/>
    </row>
    <row r="6" spans="1:53" ht="14.25" customHeight="1">
      <c r="A6" s="1" t="s">
        <v>74</v>
      </c>
      <c r="B6" s="30">
        <f t="array" ref="B6">TREND('capital processing'!$B$6:$D$6,'capital processing'!$B$2:$D$2,'CCaMC-BCCpUC'!B1)</f>
        <v>1479142.8571428582</v>
      </c>
      <c r="C6" s="30">
        <f t="array" ref="C6">TREND('capital processing'!$B$6:$D$6,'capital processing'!$B$2:$D$2,'CCaMC-BCCpUC'!C1)</f>
        <v>1465714.2857142873</v>
      </c>
      <c r="D6" s="30">
        <f t="array" ref="D6">TREND('capital processing'!$B$6:$D$6,'capital processing'!$B$2:$D$2,'CCaMC-BCCpUC'!D1)</f>
        <v>1452285.7142857164</v>
      </c>
      <c r="E6" s="30">
        <f t="array" ref="E6">TREND('capital processing'!$B$6:$D$6,'capital processing'!$B$2:$D$2,'CCaMC-BCCpUC'!E1)</f>
        <v>1438857.1428571455</v>
      </c>
      <c r="F6" s="30">
        <f t="array" ref="F6">TREND('capital processing'!$B$6:$D$6,'capital processing'!$B$2:$D$2,'CCaMC-BCCpUC'!F1)</f>
        <v>1425428.5714285746</v>
      </c>
      <c r="G6" s="30">
        <f t="array" ref="G6">TREND('capital processing'!$B$6:$D$6,'capital processing'!$B$2:$D$2,'CCaMC-BCCpUC'!G1)</f>
        <v>1412000</v>
      </c>
      <c r="H6" s="30">
        <f t="array" ref="H6">TREND('capital processing'!$B$6:$D$6,'capital processing'!$B$2:$D$2,'CCaMC-BCCpUC'!H1)</f>
        <v>1398571.4285714291</v>
      </c>
      <c r="I6" s="30">
        <f t="array" ref="I6">TREND('capital processing'!$B$6:$D$6,'capital processing'!$B$2:$D$2,'CCaMC-BCCpUC'!I1)</f>
        <v>1385142.8571428582</v>
      </c>
      <c r="J6" s="30">
        <f t="array" ref="J6">TREND('capital processing'!$B$6:$D$6,'capital processing'!$B$2:$D$2,'CCaMC-BCCpUC'!J1)</f>
        <v>1371714.2857142873</v>
      </c>
      <c r="K6" s="30">
        <f t="array" ref="K6">TREND('capital processing'!$B$6:$D$6,'capital processing'!$B$2:$D$2,'CCaMC-BCCpUC'!K1)</f>
        <v>1358285.7142857164</v>
      </c>
      <c r="L6" s="30">
        <f t="array" ref="L6">TREND('capital processing'!$B$6:$D$6,'capital processing'!$B$2:$D$2,'CCaMC-BCCpUC'!L1)</f>
        <v>1344857.1428571455</v>
      </c>
      <c r="M6" s="30">
        <f t="array" ref="M6">TREND('capital processing'!$B$6:$D$6,'capital processing'!$B$2:$D$2,'CCaMC-BCCpUC'!M1)</f>
        <v>1331428.5714285746</v>
      </c>
      <c r="N6" s="30">
        <f t="array" ref="N6">TREND('capital processing'!$B$6:$D$6,'capital processing'!$B$2:$D$2,'CCaMC-BCCpUC'!N1)</f>
        <v>1318000</v>
      </c>
      <c r="O6" s="30">
        <f t="array" ref="O6">TREND('capital processing'!$B$6:$D$6,'capital processing'!$B$2:$D$2,'CCaMC-BCCpUC'!O1)</f>
        <v>1304571.4285714291</v>
      </c>
      <c r="P6" s="30">
        <f t="array" ref="P6">TREND('capital processing'!$B$6:$D$6,'capital processing'!$B$2:$D$2,'CCaMC-BCCpUC'!P1)</f>
        <v>1291142.8571428582</v>
      </c>
      <c r="Q6" s="30">
        <f t="array" ref="Q6">TREND('capital processing'!$B$6:$D$6,'capital processing'!$B$2:$D$2,'CCaMC-BCCpUC'!Q1)</f>
        <v>1277714.2857142873</v>
      </c>
      <c r="R6" s="30">
        <f t="array" ref="R6">TREND('capital processing'!$B$6:$D$6,'capital processing'!$B$2:$D$2,'CCaMC-BCCpUC'!R1)</f>
        <v>1264285.7142857164</v>
      </c>
      <c r="S6" s="30">
        <f t="array" ref="S6">TREND('capital processing'!$B$6:$D$6,'capital processing'!$B$2:$D$2,'CCaMC-BCCpUC'!S1)</f>
        <v>1250857.1428571455</v>
      </c>
      <c r="T6" s="30">
        <f t="array" ref="T6">TREND('capital processing'!$B$6:$D$6,'capital processing'!$B$2:$D$2,'CCaMC-BCCpUC'!T1)</f>
        <v>1237428.5714285746</v>
      </c>
      <c r="U6" s="30">
        <f t="array" ref="U6">TREND('capital processing'!$B$6:$D$6,'capital processing'!$B$2:$D$2,'CCaMC-BCCpUC'!U1)</f>
        <v>1224000</v>
      </c>
      <c r="V6" s="30">
        <f t="array" ref="V6">TREND('capital processing'!$B$6:$D$6,'capital processing'!$B$2:$D$2,'CCaMC-BCCpUC'!V1)</f>
        <v>1210571.4285714291</v>
      </c>
      <c r="W6" s="30">
        <f t="array" ref="W6">TREND('capital processing'!$B$6:$D$6,'capital processing'!$B$2:$D$2,'CCaMC-BCCpUC'!W1)</f>
        <v>1197142.8571428582</v>
      </c>
      <c r="X6" s="30">
        <f t="array" ref="X6">TREND('capital processing'!$B$6:$D$6,'capital processing'!$B$2:$D$2,'CCaMC-BCCpUC'!X1)</f>
        <v>1183714.2857142873</v>
      </c>
      <c r="Y6" s="30">
        <f t="array" ref="Y6">TREND('capital processing'!$B$6:$D$6,'capital processing'!$B$2:$D$2,'CCaMC-BCCpUC'!Y1)</f>
        <v>1170285.7142857164</v>
      </c>
      <c r="Z6" s="30">
        <f t="array" ref="Z6">TREND('capital processing'!$B$6:$D$6,'capital processing'!$B$2:$D$2,'CCaMC-BCCpUC'!Z1)</f>
        <v>1156857.1428571455</v>
      </c>
      <c r="AA6" s="30">
        <f t="array" ref="AA6">TREND('capital processing'!$B$6:$D$6,'capital processing'!$B$2:$D$2,'CCaMC-BCCpUC'!AA1)</f>
        <v>1143428.5714285746</v>
      </c>
      <c r="AB6" s="30">
        <f t="array" ref="AB6">TREND('capital processing'!$B$6:$D$6,'capital processing'!$B$2:$D$2,'CCaMC-BCCpUC'!AB1)</f>
        <v>1130000</v>
      </c>
      <c r="AC6" s="30">
        <f t="array" ref="AC6">TREND('capital processing'!$B$6:$D$6,'capital processing'!$B$2:$D$2,'CCaMC-BCCpUC'!AC1)</f>
        <v>1116571.4285714291</v>
      </c>
      <c r="AD6" s="30">
        <f t="array" ref="AD6">TREND('capital processing'!$B$6:$D$6,'capital processing'!$B$2:$D$2,'CCaMC-BCCpUC'!AD1)</f>
        <v>1103142.8571428582</v>
      </c>
      <c r="AE6" s="30">
        <f t="array" ref="AE6">TREND('capital processing'!$B$6:$D$6,'capital processing'!$B$2:$D$2,'CCaMC-BCCpUC'!AE1)</f>
        <v>1089714.2857142873</v>
      </c>
      <c r="AF6" s="30">
        <f t="array" ref="AF6">TREND('capital processing'!$B$6:$D$6,'capital processing'!$B$2:$D$2,'CCaMC-BCCpUC'!AF1)</f>
        <v>1076285.7142857164</v>
      </c>
      <c r="AG6" s="30">
        <f t="array" ref="AG6">TREND('capital processing'!$B$6:$D$6,'capital processing'!$B$2:$D$2,'CCaMC-BCCpUC'!AG1)</f>
        <v>1062857.1428571455</v>
      </c>
      <c r="AH6" s="30"/>
      <c r="AI6" s="30"/>
      <c r="AJ6" s="30"/>
      <c r="AK6" s="30"/>
      <c r="AL6" s="30"/>
      <c r="AM6" s="30"/>
      <c r="AN6" s="30"/>
      <c r="AO6" s="30"/>
      <c r="AP6" s="30"/>
      <c r="AQ6" s="30"/>
      <c r="AR6" s="30"/>
      <c r="AS6" s="30"/>
      <c r="AT6" s="30"/>
      <c r="AU6" s="30"/>
      <c r="AV6" s="30"/>
      <c r="AW6" s="30"/>
      <c r="AX6" s="30"/>
      <c r="AY6" s="30"/>
      <c r="AZ6" s="30"/>
      <c r="BA6" s="30"/>
    </row>
    <row r="7" spans="1:53" ht="14.25" customHeight="1">
      <c r="A7" s="1" t="s">
        <v>22</v>
      </c>
      <c r="B7" s="30">
        <f t="array" ref="B7">TREND('capital processing'!$B$7:$D$7,'capital processing'!$B$2:$D$2,'CCaMC-BCCpUC'!B1)</f>
        <v>757642.85714285821</v>
      </c>
      <c r="C7" s="30">
        <f t="array" ref="C7">TREND('capital processing'!$B$7:$D$7,'capital processing'!$B$2:$D$2,'CCaMC-BCCpUC'!C1)</f>
        <v>745714.28571428731</v>
      </c>
      <c r="D7" s="30">
        <f t="array" ref="D7">TREND('capital processing'!$B$7:$D$7,'capital processing'!$B$2:$D$2,'CCaMC-BCCpUC'!D1)</f>
        <v>733785.71428571641</v>
      </c>
      <c r="E7" s="30">
        <f t="array" ref="E7">TREND('capital processing'!$B$7:$D$7,'capital processing'!$B$2:$D$2,'CCaMC-BCCpUC'!E1)</f>
        <v>721857.14285714552</v>
      </c>
      <c r="F7" s="30">
        <f t="array" ref="F7">TREND('capital processing'!$B$7:$D$7,'capital processing'!$B$2:$D$2,'CCaMC-BCCpUC'!F1)</f>
        <v>709928.57142857462</v>
      </c>
      <c r="G7" s="30">
        <f t="array" ref="G7">TREND('capital processing'!$B$7:$D$7,'capital processing'!$B$2:$D$2,'CCaMC-BCCpUC'!G1)</f>
        <v>698000</v>
      </c>
      <c r="H7" s="30">
        <f t="array" ref="H7">TREND('capital processing'!$B$7:$D$7,'capital processing'!$B$2:$D$2,'CCaMC-BCCpUC'!H1)</f>
        <v>686071.4285714291</v>
      </c>
      <c r="I7" s="30">
        <f t="array" ref="I7">TREND('capital processing'!$B$7:$D$7,'capital processing'!$B$2:$D$2,'CCaMC-BCCpUC'!I1)</f>
        <v>674142.85714285821</v>
      </c>
      <c r="J7" s="30">
        <f t="array" ref="J7">TREND('capital processing'!$B$7:$D$7,'capital processing'!$B$2:$D$2,'CCaMC-BCCpUC'!J1)</f>
        <v>662214.28571428731</v>
      </c>
      <c r="K7" s="30">
        <f t="array" ref="K7">TREND('capital processing'!$B$7:$D$7,'capital processing'!$B$2:$D$2,'CCaMC-BCCpUC'!K1)</f>
        <v>650285.71428571641</v>
      </c>
      <c r="L7" s="30">
        <f t="array" ref="L7">TREND('capital processing'!$B$7:$D$7,'capital processing'!$B$2:$D$2,'CCaMC-BCCpUC'!L1)</f>
        <v>638357.14285714552</v>
      </c>
      <c r="M7" s="30">
        <f t="array" ref="M7">TREND('capital processing'!$B$7:$D$7,'capital processing'!$B$2:$D$2,'CCaMC-BCCpUC'!M1)</f>
        <v>626428.57142857462</v>
      </c>
      <c r="N7" s="30">
        <f t="array" ref="N7">TREND('capital processing'!$B$7:$D$7,'capital processing'!$B$2:$D$2,'CCaMC-BCCpUC'!N1)</f>
        <v>614500</v>
      </c>
      <c r="O7" s="30">
        <f t="array" ref="O7">TREND('capital processing'!$B$7:$D$7,'capital processing'!$B$2:$D$2,'CCaMC-BCCpUC'!O1)</f>
        <v>602571.4285714291</v>
      </c>
      <c r="P7" s="30">
        <f t="array" ref="P7">TREND('capital processing'!$B$7:$D$7,'capital processing'!$B$2:$D$2,'CCaMC-BCCpUC'!P1)</f>
        <v>590642.85714285821</v>
      </c>
      <c r="Q7" s="30">
        <f t="array" ref="Q7">TREND('capital processing'!$B$7:$D$7,'capital processing'!$B$2:$D$2,'CCaMC-BCCpUC'!Q1)</f>
        <v>578714.28571428731</v>
      </c>
      <c r="R7" s="30">
        <f t="array" ref="R7">TREND('capital processing'!$B$7:$D$7,'capital processing'!$B$2:$D$2,'CCaMC-BCCpUC'!R1)</f>
        <v>566785.71428571641</v>
      </c>
      <c r="S7" s="30">
        <f t="array" ref="S7">TREND('capital processing'!$B$7:$D$7,'capital processing'!$B$2:$D$2,'CCaMC-BCCpUC'!S1)</f>
        <v>554857.14285714552</v>
      </c>
      <c r="T7" s="30">
        <f t="array" ref="T7">TREND('capital processing'!$B$7:$D$7,'capital processing'!$B$2:$D$2,'CCaMC-BCCpUC'!T1)</f>
        <v>542928.57142857462</v>
      </c>
      <c r="U7" s="30">
        <f t="array" ref="U7">TREND('capital processing'!$B$7:$D$7,'capital processing'!$B$2:$D$2,'CCaMC-BCCpUC'!U1)</f>
        <v>531000</v>
      </c>
      <c r="V7" s="30">
        <f t="array" ref="V7">TREND('capital processing'!$B$7:$D$7,'capital processing'!$B$2:$D$2,'CCaMC-BCCpUC'!V1)</f>
        <v>519071.4285714291</v>
      </c>
      <c r="W7" s="30">
        <f t="array" ref="W7">TREND('capital processing'!$B$7:$D$7,'capital processing'!$B$2:$D$2,'CCaMC-BCCpUC'!W1)</f>
        <v>507142.85714285821</v>
      </c>
      <c r="X7" s="30">
        <f t="array" ref="X7">TREND('capital processing'!$B$7:$D$7,'capital processing'!$B$2:$D$2,'CCaMC-BCCpUC'!X1)</f>
        <v>495214.28571428731</v>
      </c>
      <c r="Y7" s="30">
        <f t="array" ref="Y7">TREND('capital processing'!$B$7:$D$7,'capital processing'!$B$2:$D$2,'CCaMC-BCCpUC'!Y1)</f>
        <v>483285.71428571641</v>
      </c>
      <c r="Z7" s="30">
        <f t="array" ref="Z7">TREND('capital processing'!$B$7:$D$7,'capital processing'!$B$2:$D$2,'CCaMC-BCCpUC'!Z1)</f>
        <v>471357.14285714552</v>
      </c>
      <c r="AA7" s="30">
        <f t="array" ref="AA7">TREND('capital processing'!$B$7:$D$7,'capital processing'!$B$2:$D$2,'CCaMC-BCCpUC'!AA1)</f>
        <v>459428.57142857462</v>
      </c>
      <c r="AB7" s="30">
        <f t="array" ref="AB7">TREND('capital processing'!$B$7:$D$7,'capital processing'!$B$2:$D$2,'CCaMC-BCCpUC'!AB1)</f>
        <v>447500</v>
      </c>
      <c r="AC7" s="30">
        <f t="array" ref="AC7">TREND('capital processing'!$B$7:$D$7,'capital processing'!$B$2:$D$2,'CCaMC-BCCpUC'!AC1)</f>
        <v>435571.4285714291</v>
      </c>
      <c r="AD7" s="30">
        <f t="array" ref="AD7">TREND('capital processing'!$B$7:$D$7,'capital processing'!$B$2:$D$2,'CCaMC-BCCpUC'!AD1)</f>
        <v>423642.85714285821</v>
      </c>
      <c r="AE7" s="30">
        <f t="array" ref="AE7">TREND('capital processing'!$B$7:$D$7,'capital processing'!$B$2:$D$2,'CCaMC-BCCpUC'!AE1)</f>
        <v>411714.28571428731</v>
      </c>
      <c r="AF7" s="30">
        <f t="array" ref="AF7">TREND('capital processing'!$B$7:$D$7,'capital processing'!$B$2:$D$2,'CCaMC-BCCpUC'!AF1)</f>
        <v>399785.71428571641</v>
      </c>
      <c r="AG7" s="30">
        <f t="array" ref="AG7">TREND('capital processing'!$B$7:$D$7,'capital processing'!$B$2:$D$2,'CCaMC-BCCpUC'!AG1)</f>
        <v>387857.14285714552</v>
      </c>
      <c r="AH7" s="30"/>
      <c r="AI7" s="30"/>
      <c r="AJ7" s="30"/>
      <c r="AK7" s="30"/>
      <c r="AL7" s="30"/>
      <c r="AM7" s="30"/>
      <c r="AN7" s="30"/>
      <c r="AO7" s="30"/>
      <c r="AP7" s="30"/>
      <c r="AQ7" s="30"/>
      <c r="AR7" s="30"/>
      <c r="AS7" s="30"/>
      <c r="AT7" s="30"/>
      <c r="AU7" s="30"/>
      <c r="AV7" s="30"/>
      <c r="AW7" s="30"/>
      <c r="AX7" s="30"/>
      <c r="AY7" s="30"/>
      <c r="AZ7" s="30"/>
      <c r="BA7" s="30"/>
    </row>
    <row r="8" spans="1:53" ht="14.25" customHeight="1">
      <c r="A8" s="1" t="s">
        <v>75</v>
      </c>
      <c r="B8" s="30">
        <f>'solar thermal'!B11*About!$A$38</f>
        <v>4606807.4483846799</v>
      </c>
      <c r="C8" s="30">
        <f>'solar thermal'!C11*About!$A$38</f>
        <v>4568794.4718256928</v>
      </c>
      <c r="D8" s="30">
        <f>'solar thermal'!D11*About!$A$38</f>
        <v>4530781.4952667179</v>
      </c>
      <c r="E8" s="30">
        <f>'solar thermal'!E11*About!$A$38</f>
        <v>4492768.5187077438</v>
      </c>
      <c r="F8" s="30">
        <f>'solar thermal'!F11*About!$A$38</f>
        <v>4454755.5421487698</v>
      </c>
      <c r="G8" s="30">
        <f>'solar thermal'!G11*About!$A$38</f>
        <v>4416742.5655897819</v>
      </c>
      <c r="H8" s="30">
        <f>'solar thermal'!H11*About!$A$38</f>
        <v>4378729.5890308078</v>
      </c>
      <c r="I8" s="30">
        <f>'solar thermal'!I11*About!$A$38</f>
        <v>4340716.6124718338</v>
      </c>
      <c r="J8" s="30">
        <f>'solar thermal'!J11*About!$A$38</f>
        <v>4302703.6359128458</v>
      </c>
      <c r="K8" s="30">
        <f>'solar thermal'!K11*About!$A$38</f>
        <v>4264690.6593538718</v>
      </c>
      <c r="L8" s="30">
        <f>'solar thermal'!L11*About!$A$38</f>
        <v>4226677.6827948978</v>
      </c>
      <c r="M8" s="30">
        <f>'solar thermal'!M11*About!$A$38</f>
        <v>4188664.7062359103</v>
      </c>
      <c r="N8" s="30">
        <f>'solar thermal'!N11*About!$A$38</f>
        <v>4150651.7296769358</v>
      </c>
      <c r="O8" s="30">
        <f>'solar thermal'!O11*About!$A$38</f>
        <v>4112638.7531179618</v>
      </c>
      <c r="P8" s="30">
        <f>'solar thermal'!P11*About!$A$38</f>
        <v>4074625.7765589873</v>
      </c>
      <c r="Q8" s="30">
        <f>'solar thermal'!Q11*About!$A$38</f>
        <v>4036612.8000000003</v>
      </c>
      <c r="R8" s="30">
        <f>'solar thermal'!R11*About!$A$38</f>
        <v>3998599.8234410258</v>
      </c>
      <c r="S8" s="30">
        <f>'solar thermal'!S11*About!$A$38</f>
        <v>3960586.8468820518</v>
      </c>
      <c r="T8" s="30">
        <f>'solar thermal'!T11*About!$A$38</f>
        <v>3922573.8703230643</v>
      </c>
      <c r="U8" s="30">
        <f>'solar thermal'!U11*About!$A$38</f>
        <v>3884560.8937640898</v>
      </c>
      <c r="V8" s="30">
        <f>'solar thermal'!V11*About!$A$38</f>
        <v>3846547.9172051158</v>
      </c>
      <c r="W8" s="30">
        <f>'solar thermal'!W11*About!$A$38</f>
        <v>3808534.9406461283</v>
      </c>
      <c r="X8" s="30">
        <f>'solar thermal'!X11*About!$A$38</f>
        <v>3770521.9640871538</v>
      </c>
      <c r="Y8" s="30">
        <f>'solar thermal'!Y11*About!$A$38</f>
        <v>3732508.9875281798</v>
      </c>
      <c r="Z8" s="30">
        <f>'solar thermal'!Z11*About!$A$38</f>
        <v>3694496.0109692053</v>
      </c>
      <c r="AA8" s="30">
        <f>'solar thermal'!AA11*About!$A$38</f>
        <v>3656483.0344102178</v>
      </c>
      <c r="AB8" s="30">
        <f>'solar thermal'!AB11*About!$A$38</f>
        <v>3618470.0578512438</v>
      </c>
      <c r="AC8" s="30">
        <f>'solar thermal'!AC11*About!$A$38</f>
        <v>3580457.0812922693</v>
      </c>
      <c r="AD8" s="30">
        <f>'solar thermal'!AD11*About!$A$38</f>
        <v>3542444.1047332818</v>
      </c>
      <c r="AE8" s="30">
        <f>'solar thermal'!AE11*About!$A$38</f>
        <v>3504431.1281743078</v>
      </c>
      <c r="AF8" s="30">
        <f>'solar thermal'!AF11*About!$A$38</f>
        <v>3466418.1516153333</v>
      </c>
      <c r="AG8" s="30">
        <f>'solar thermal'!AG11*About!$A$38</f>
        <v>3428405.1750563458</v>
      </c>
      <c r="AH8" s="30"/>
      <c r="AI8" s="30"/>
      <c r="AJ8" s="30"/>
      <c r="AK8" s="30"/>
      <c r="AL8" s="30"/>
      <c r="AM8" s="30"/>
      <c r="AN8" s="30"/>
      <c r="AO8" s="30"/>
      <c r="AP8" s="30"/>
      <c r="AQ8" s="30"/>
      <c r="AR8" s="30"/>
      <c r="AS8" s="30"/>
      <c r="AT8" s="30"/>
      <c r="AU8" s="30"/>
      <c r="AV8" s="30"/>
      <c r="AW8" s="30"/>
      <c r="AX8" s="30"/>
      <c r="AY8" s="30"/>
      <c r="AZ8" s="30"/>
      <c r="BA8" s="30"/>
    </row>
    <row r="9" spans="1:53" ht="14.25" customHeight="1">
      <c r="A9" s="1" t="s">
        <v>23</v>
      </c>
      <c r="B9" s="30">
        <f t="array" ref="B9">TREND('capital processing'!$B$8:$D$8,'capital processing'!$B$2:$D$2,'CCaMC-BCCpUC'!B1)</f>
        <v>1993000</v>
      </c>
      <c r="C9" s="30">
        <f t="array" ref="C9">TREND('capital processing'!$B$8:$D$8,'capital processing'!$B$2:$D$2,'CCaMC-BCCpUC'!C1)</f>
        <v>1980000</v>
      </c>
      <c r="D9" s="30">
        <f t="array" ref="D9">TREND('capital processing'!$B$8:$D$8,'capital processing'!$B$2:$D$2,'CCaMC-BCCpUC'!D1)</f>
        <v>1967000</v>
      </c>
      <c r="E9" s="30">
        <f t="array" ref="E9">TREND('capital processing'!$B$8:$D$8,'capital processing'!$B$2:$D$2,'CCaMC-BCCpUC'!E1)</f>
        <v>1954000</v>
      </c>
      <c r="F9" s="30">
        <f t="array" ref="F9">TREND('capital processing'!$B$8:$D$8,'capital processing'!$B$2:$D$2,'CCaMC-BCCpUC'!F1)</f>
        <v>1941000</v>
      </c>
      <c r="G9" s="30">
        <f t="array" ref="G9">TREND('capital processing'!$B$8:$D$8,'capital processing'!$B$2:$D$2,'CCaMC-BCCpUC'!G1)</f>
        <v>1928000</v>
      </c>
      <c r="H9" s="30">
        <f t="array" ref="H9">TREND('capital processing'!$B$8:$D$8,'capital processing'!$B$2:$D$2,'CCaMC-BCCpUC'!H1)</f>
        <v>1915000</v>
      </c>
      <c r="I9" s="30">
        <f t="array" ref="I9">TREND('capital processing'!$B$8:$D$8,'capital processing'!$B$2:$D$2,'CCaMC-BCCpUC'!I1)</f>
        <v>1902000</v>
      </c>
      <c r="J9" s="30">
        <f t="array" ref="J9">TREND('capital processing'!$B$8:$D$8,'capital processing'!$B$2:$D$2,'CCaMC-BCCpUC'!J1)</f>
        <v>1889000</v>
      </c>
      <c r="K9" s="30">
        <f t="array" ref="K9">TREND('capital processing'!$B$8:$D$8,'capital processing'!$B$2:$D$2,'CCaMC-BCCpUC'!K1)</f>
        <v>1876000</v>
      </c>
      <c r="L9" s="30">
        <f t="array" ref="L9">TREND('capital processing'!$B$8:$D$8,'capital processing'!$B$2:$D$2,'CCaMC-BCCpUC'!L1)</f>
        <v>1863000</v>
      </c>
      <c r="M9" s="30">
        <f t="array" ref="M9">TREND('capital processing'!$B$8:$D$8,'capital processing'!$B$2:$D$2,'CCaMC-BCCpUC'!M1)</f>
        <v>1850000</v>
      </c>
      <c r="N9" s="30">
        <f t="array" ref="N9">TREND('capital processing'!$B$8:$D$8,'capital processing'!$B$2:$D$2,'CCaMC-BCCpUC'!N1)</f>
        <v>1837000</v>
      </c>
      <c r="O9" s="30">
        <f t="array" ref="O9">TREND('capital processing'!$B$8:$D$8,'capital processing'!$B$2:$D$2,'CCaMC-BCCpUC'!O1)</f>
        <v>1824000</v>
      </c>
      <c r="P9" s="30">
        <f t="array" ref="P9">TREND('capital processing'!$B$8:$D$8,'capital processing'!$B$2:$D$2,'CCaMC-BCCpUC'!P1)</f>
        <v>1811000</v>
      </c>
      <c r="Q9" s="30">
        <f t="array" ref="Q9">TREND('capital processing'!$B$8:$D$8,'capital processing'!$B$2:$D$2,'CCaMC-BCCpUC'!Q1)</f>
        <v>1798000</v>
      </c>
      <c r="R9" s="30">
        <f t="array" ref="R9">TREND('capital processing'!$B$8:$D$8,'capital processing'!$B$2:$D$2,'CCaMC-BCCpUC'!R1)</f>
        <v>1785000</v>
      </c>
      <c r="S9" s="30">
        <f t="array" ref="S9">TREND('capital processing'!$B$8:$D$8,'capital processing'!$B$2:$D$2,'CCaMC-BCCpUC'!S1)</f>
        <v>1772000</v>
      </c>
      <c r="T9" s="30">
        <f t="array" ref="T9">TREND('capital processing'!$B$8:$D$8,'capital processing'!$B$2:$D$2,'CCaMC-BCCpUC'!T1)</f>
        <v>1759000</v>
      </c>
      <c r="U9" s="30">
        <f t="array" ref="U9">TREND('capital processing'!$B$8:$D$8,'capital processing'!$B$2:$D$2,'CCaMC-BCCpUC'!U1)</f>
        <v>1746000</v>
      </c>
      <c r="V9" s="30">
        <f t="array" ref="V9">TREND('capital processing'!$B$8:$D$8,'capital processing'!$B$2:$D$2,'CCaMC-BCCpUC'!V1)</f>
        <v>1733000</v>
      </c>
      <c r="W9" s="30">
        <f t="array" ref="W9">TREND('capital processing'!$B$8:$D$8,'capital processing'!$B$2:$D$2,'CCaMC-BCCpUC'!W1)</f>
        <v>1720000</v>
      </c>
      <c r="X9" s="30">
        <f t="array" ref="X9">TREND('capital processing'!$B$8:$D$8,'capital processing'!$B$2:$D$2,'CCaMC-BCCpUC'!X1)</f>
        <v>1707000</v>
      </c>
      <c r="Y9" s="30">
        <f t="array" ref="Y9">TREND('capital processing'!$B$8:$D$8,'capital processing'!$B$2:$D$2,'CCaMC-BCCpUC'!Y1)</f>
        <v>1694000</v>
      </c>
      <c r="Z9" s="30">
        <f t="array" ref="Z9">TREND('capital processing'!$B$8:$D$8,'capital processing'!$B$2:$D$2,'CCaMC-BCCpUC'!Z1)</f>
        <v>1681000</v>
      </c>
      <c r="AA9" s="30">
        <f t="array" ref="AA9">TREND('capital processing'!$B$8:$D$8,'capital processing'!$B$2:$D$2,'CCaMC-BCCpUC'!AA1)</f>
        <v>1668000</v>
      </c>
      <c r="AB9" s="30">
        <f t="array" ref="AB9">TREND('capital processing'!$B$8:$D$8,'capital processing'!$B$2:$D$2,'CCaMC-BCCpUC'!AB1)</f>
        <v>1655000</v>
      </c>
      <c r="AC9" s="30">
        <f t="array" ref="AC9">TREND('capital processing'!$B$8:$D$8,'capital processing'!$B$2:$D$2,'CCaMC-BCCpUC'!AC1)</f>
        <v>1642000</v>
      </c>
      <c r="AD9" s="30">
        <f t="array" ref="AD9">TREND('capital processing'!$B$8:$D$8,'capital processing'!$B$2:$D$2,'CCaMC-BCCpUC'!AD1)</f>
        <v>1629000</v>
      </c>
      <c r="AE9" s="30">
        <f t="array" ref="AE9">TREND('capital processing'!$B$8:$D$8,'capital processing'!$B$2:$D$2,'CCaMC-BCCpUC'!AE1)</f>
        <v>1616000</v>
      </c>
      <c r="AF9" s="30">
        <f t="array" ref="AF9">TREND('capital processing'!$B$8:$D$8,'capital processing'!$B$2:$D$2,'CCaMC-BCCpUC'!AF1)</f>
        <v>1603000</v>
      </c>
      <c r="AG9" s="30">
        <f t="array" ref="AG9">TREND('capital processing'!$B$8:$D$8,'capital processing'!$B$2:$D$2,'CCaMC-BCCpUC'!AG1)</f>
        <v>1590000</v>
      </c>
      <c r="AH9" s="30"/>
      <c r="AI9" s="30"/>
      <c r="AJ9" s="30"/>
      <c r="AK9" s="30"/>
      <c r="AL9" s="30"/>
      <c r="AM9" s="30"/>
      <c r="AN9" s="30"/>
      <c r="AO9" s="30"/>
      <c r="AP9" s="30"/>
      <c r="AQ9" s="30"/>
      <c r="AR9" s="30"/>
      <c r="AS9" s="30"/>
      <c r="AT9" s="30"/>
      <c r="AU9" s="30"/>
      <c r="AV9" s="30"/>
      <c r="AW9" s="30"/>
      <c r="AX9" s="30"/>
      <c r="AY9" s="30"/>
      <c r="AZ9" s="30"/>
      <c r="BA9" s="30"/>
    </row>
    <row r="10" spans="1:53" ht="14.25" customHeight="1">
      <c r="A10" s="1" t="s">
        <v>21</v>
      </c>
      <c r="B10" s="30">
        <f t="array" ref="B10">TREND('capital processing'!$B$9:$D$9,'capital processing'!$B$2:$D$2,'CCaMC-BCCpUC'!B1)</f>
        <v>3963142.8571428508</v>
      </c>
      <c r="C10" s="30">
        <f t="array" ref="C10">TREND('capital processing'!$B$9:$D$9,'capital processing'!$B$2:$D$2,'CCaMC-BCCpUC'!C1)</f>
        <v>3925714.2857142836</v>
      </c>
      <c r="D10" s="30">
        <f t="array" ref="D10">TREND('capital processing'!$B$9:$D$9,'capital processing'!$B$2:$D$2,'CCaMC-BCCpUC'!D1)</f>
        <v>3888285.7142857164</v>
      </c>
      <c r="E10" s="30">
        <f t="array" ref="E10">TREND('capital processing'!$B$9:$D$9,'capital processing'!$B$2:$D$2,'CCaMC-BCCpUC'!E1)</f>
        <v>3850857.1428571343</v>
      </c>
      <c r="F10" s="30">
        <f t="array" ref="F10">TREND('capital processing'!$B$9:$D$9,'capital processing'!$B$2:$D$2,'CCaMC-BCCpUC'!F1)</f>
        <v>3813428.5714285672</v>
      </c>
      <c r="G10" s="30">
        <f t="array" ref="G10">TREND('capital processing'!$B$9:$D$9,'capital processing'!$B$2:$D$2,'CCaMC-BCCpUC'!G1)</f>
        <v>3776000</v>
      </c>
      <c r="H10" s="30">
        <f t="array" ref="H10">TREND('capital processing'!$B$9:$D$9,'capital processing'!$B$2:$D$2,'CCaMC-BCCpUC'!H1)</f>
        <v>3738571.4285714328</v>
      </c>
      <c r="I10" s="30">
        <f t="array" ref="I10">TREND('capital processing'!$B$9:$D$9,'capital processing'!$B$2:$D$2,'CCaMC-BCCpUC'!I1)</f>
        <v>3701142.8571428508</v>
      </c>
      <c r="J10" s="30">
        <f t="array" ref="J10">TREND('capital processing'!$B$9:$D$9,'capital processing'!$B$2:$D$2,'CCaMC-BCCpUC'!J1)</f>
        <v>3663714.2857142836</v>
      </c>
      <c r="K10" s="30">
        <f t="array" ref="K10">TREND('capital processing'!$B$9:$D$9,'capital processing'!$B$2:$D$2,'CCaMC-BCCpUC'!K1)</f>
        <v>3626285.7142857164</v>
      </c>
      <c r="L10" s="30">
        <f t="array" ref="L10">TREND('capital processing'!$B$9:$D$9,'capital processing'!$B$2:$D$2,'CCaMC-BCCpUC'!L1)</f>
        <v>3588857.1428571343</v>
      </c>
      <c r="M10" s="30">
        <f t="array" ref="M10">TREND('capital processing'!$B$9:$D$9,'capital processing'!$B$2:$D$2,'CCaMC-BCCpUC'!M1)</f>
        <v>3551428.5714285672</v>
      </c>
      <c r="N10" s="30">
        <f t="array" ref="N10">TREND('capital processing'!$B$9:$D$9,'capital processing'!$B$2:$D$2,'CCaMC-BCCpUC'!N1)</f>
        <v>3514000</v>
      </c>
      <c r="O10" s="30">
        <f t="array" ref="O10">TREND('capital processing'!$B$9:$D$9,'capital processing'!$B$2:$D$2,'CCaMC-BCCpUC'!O1)</f>
        <v>3476571.4285714328</v>
      </c>
      <c r="P10" s="30">
        <f t="array" ref="P10">TREND('capital processing'!$B$9:$D$9,'capital processing'!$B$2:$D$2,'CCaMC-BCCpUC'!P1)</f>
        <v>3439142.8571428508</v>
      </c>
      <c r="Q10" s="30">
        <f t="array" ref="Q10">TREND('capital processing'!$B$9:$D$9,'capital processing'!$B$2:$D$2,'CCaMC-BCCpUC'!Q1)</f>
        <v>3401714.2857142836</v>
      </c>
      <c r="R10" s="30">
        <f t="array" ref="R10">TREND('capital processing'!$B$9:$D$9,'capital processing'!$B$2:$D$2,'CCaMC-BCCpUC'!R1)</f>
        <v>3364285.7142857164</v>
      </c>
      <c r="S10" s="30">
        <f t="array" ref="S10">TREND('capital processing'!$B$9:$D$9,'capital processing'!$B$2:$D$2,'CCaMC-BCCpUC'!S1)</f>
        <v>3326857.1428571343</v>
      </c>
      <c r="T10" s="30">
        <f t="array" ref="T10">TREND('capital processing'!$B$9:$D$9,'capital processing'!$B$2:$D$2,'CCaMC-BCCpUC'!T1)</f>
        <v>3289428.5714285672</v>
      </c>
      <c r="U10" s="30">
        <f t="array" ref="U10">TREND('capital processing'!$B$9:$D$9,'capital processing'!$B$2:$D$2,'CCaMC-BCCpUC'!U1)</f>
        <v>3252000</v>
      </c>
      <c r="V10" s="30">
        <f t="array" ref="V10">TREND('capital processing'!$B$9:$D$9,'capital processing'!$B$2:$D$2,'CCaMC-BCCpUC'!V1)</f>
        <v>3214571.4285714328</v>
      </c>
      <c r="W10" s="30">
        <f t="array" ref="W10">TREND('capital processing'!$B$9:$D$9,'capital processing'!$B$2:$D$2,'CCaMC-BCCpUC'!W1)</f>
        <v>3177142.8571428508</v>
      </c>
      <c r="X10" s="30">
        <f t="array" ref="X10">TREND('capital processing'!$B$9:$D$9,'capital processing'!$B$2:$D$2,'CCaMC-BCCpUC'!X1)</f>
        <v>3139714.2857142836</v>
      </c>
      <c r="Y10" s="30">
        <f t="array" ref="Y10">TREND('capital processing'!$B$9:$D$9,'capital processing'!$B$2:$D$2,'CCaMC-BCCpUC'!Y1)</f>
        <v>3102285.7142857164</v>
      </c>
      <c r="Z10" s="30">
        <f t="array" ref="Z10">TREND('capital processing'!$B$9:$D$9,'capital processing'!$B$2:$D$2,'CCaMC-BCCpUC'!Z1)</f>
        <v>3064857.1428571343</v>
      </c>
      <c r="AA10" s="30">
        <f t="array" ref="AA10">TREND('capital processing'!$B$9:$D$9,'capital processing'!$B$2:$D$2,'CCaMC-BCCpUC'!AA1)</f>
        <v>3027428.5714285672</v>
      </c>
      <c r="AB10" s="30">
        <f t="array" ref="AB10">TREND('capital processing'!$B$9:$D$9,'capital processing'!$B$2:$D$2,'CCaMC-BCCpUC'!AB1)</f>
        <v>2990000</v>
      </c>
      <c r="AC10" s="30">
        <f t="array" ref="AC10">TREND('capital processing'!$B$9:$D$9,'capital processing'!$B$2:$D$2,'CCaMC-BCCpUC'!AC1)</f>
        <v>2952571.4285714328</v>
      </c>
      <c r="AD10" s="30">
        <f t="array" ref="AD10">TREND('capital processing'!$B$9:$D$9,'capital processing'!$B$2:$D$2,'CCaMC-BCCpUC'!AD1)</f>
        <v>2915142.8571428508</v>
      </c>
      <c r="AE10" s="30">
        <f t="array" ref="AE10">TREND('capital processing'!$B$9:$D$9,'capital processing'!$B$2:$D$2,'CCaMC-BCCpUC'!AE1)</f>
        <v>2877714.2857142836</v>
      </c>
      <c r="AF10" s="30">
        <f t="array" ref="AF10">TREND('capital processing'!$B$9:$D$9,'capital processing'!$B$2:$D$2,'CCaMC-BCCpUC'!AF1)</f>
        <v>2840285.7142857164</v>
      </c>
      <c r="AG10" s="30">
        <f t="array" ref="AG10">TREND('capital processing'!$B$9:$D$9,'capital processing'!$B$2:$D$2,'CCaMC-BCCpUC'!AG1)</f>
        <v>2802857.1428571343</v>
      </c>
      <c r="AH10" s="30"/>
      <c r="AI10" s="30"/>
      <c r="AJ10" s="30"/>
      <c r="AK10" s="30"/>
      <c r="AL10" s="30"/>
      <c r="AM10" s="30"/>
      <c r="AN10" s="30"/>
      <c r="AO10" s="30"/>
      <c r="AP10" s="30"/>
      <c r="AQ10" s="30"/>
      <c r="AR10" s="30"/>
      <c r="AS10" s="30"/>
      <c r="AT10" s="30"/>
      <c r="AU10" s="30"/>
      <c r="AV10" s="30"/>
      <c r="AW10" s="30"/>
      <c r="AX10" s="30"/>
      <c r="AY10" s="30"/>
      <c r="AZ10" s="30"/>
      <c r="BA10" s="30"/>
    </row>
    <row r="11" spans="1:53" ht="14.25" customHeight="1">
      <c r="A11" s="1" t="s">
        <v>76</v>
      </c>
      <c r="B11" s="30">
        <f t="array" ref="B11">TREND('capital processing'!$B$10:$D$10,'capital processing'!$B$2:$D$2,'CCaMC-BCCpUC'!B1)</f>
        <v>803571.42857142864</v>
      </c>
      <c r="C11" s="30">
        <f t="array" ref="C11">TREND('capital processing'!$B$10:$D$10,'capital processing'!$B$2:$D$2,'CCaMC-BCCpUC'!C1)</f>
        <v>802857.14285714296</v>
      </c>
      <c r="D11" s="30">
        <f t="array" ref="D11">TREND('capital processing'!$B$10:$D$10,'capital processing'!$B$2:$D$2,'CCaMC-BCCpUC'!D1)</f>
        <v>802142.85714285728</v>
      </c>
      <c r="E11" s="30">
        <f t="array" ref="E11">TREND('capital processing'!$B$10:$D$10,'capital processing'!$B$2:$D$2,'CCaMC-BCCpUC'!E1)</f>
        <v>801428.57142857159</v>
      </c>
      <c r="F11" s="30">
        <f t="array" ref="F11">TREND('capital processing'!$B$10:$D$10,'capital processing'!$B$2:$D$2,'CCaMC-BCCpUC'!F1)</f>
        <v>800714.28571428591</v>
      </c>
      <c r="G11" s="30">
        <f t="array" ref="G11">TREND('capital processing'!$B$10:$D$10,'capital processing'!$B$2:$D$2,'CCaMC-BCCpUC'!G1)</f>
        <v>800000</v>
      </c>
      <c r="H11" s="30">
        <f t="array" ref="H11">TREND('capital processing'!$B$10:$D$10,'capital processing'!$B$2:$D$2,'CCaMC-BCCpUC'!H1)</f>
        <v>799285.71428571432</v>
      </c>
      <c r="I11" s="30">
        <f t="array" ref="I11">TREND('capital processing'!$B$10:$D$10,'capital processing'!$B$2:$D$2,'CCaMC-BCCpUC'!I1)</f>
        <v>798571.42857142864</v>
      </c>
      <c r="J11" s="30">
        <f t="array" ref="J11">TREND('capital processing'!$B$10:$D$10,'capital processing'!$B$2:$D$2,'CCaMC-BCCpUC'!J1)</f>
        <v>797857.14285714296</v>
      </c>
      <c r="K11" s="30">
        <f t="array" ref="K11">TREND('capital processing'!$B$10:$D$10,'capital processing'!$B$2:$D$2,'CCaMC-BCCpUC'!K1)</f>
        <v>797142.85714285728</v>
      </c>
      <c r="L11" s="30">
        <f t="array" ref="L11">TREND('capital processing'!$B$10:$D$10,'capital processing'!$B$2:$D$2,'CCaMC-BCCpUC'!L1)</f>
        <v>796428.57142857159</v>
      </c>
      <c r="M11" s="30">
        <f t="array" ref="M11">TREND('capital processing'!$B$10:$D$10,'capital processing'!$B$2:$D$2,'CCaMC-BCCpUC'!M1)</f>
        <v>795714.28571428591</v>
      </c>
      <c r="N11" s="30">
        <f t="array" ref="N11">TREND('capital processing'!$B$10:$D$10,'capital processing'!$B$2:$D$2,'CCaMC-BCCpUC'!N1)</f>
        <v>795000</v>
      </c>
      <c r="O11" s="30">
        <f t="array" ref="O11">TREND('capital processing'!$B$10:$D$10,'capital processing'!$B$2:$D$2,'CCaMC-BCCpUC'!O1)</f>
        <v>794285.71428571432</v>
      </c>
      <c r="P11" s="30">
        <f t="array" ref="P11">TREND('capital processing'!$B$10:$D$10,'capital processing'!$B$2:$D$2,'CCaMC-BCCpUC'!P1)</f>
        <v>793571.42857142864</v>
      </c>
      <c r="Q11" s="30">
        <f t="array" ref="Q11">TREND('capital processing'!$B$10:$D$10,'capital processing'!$B$2:$D$2,'CCaMC-BCCpUC'!Q1)</f>
        <v>792857.14285714296</v>
      </c>
      <c r="R11" s="30">
        <f t="array" ref="R11">TREND('capital processing'!$B$10:$D$10,'capital processing'!$B$2:$D$2,'CCaMC-BCCpUC'!R1)</f>
        <v>792142.85714285728</v>
      </c>
      <c r="S11" s="30">
        <f t="array" ref="S11">TREND('capital processing'!$B$10:$D$10,'capital processing'!$B$2:$D$2,'CCaMC-BCCpUC'!S1)</f>
        <v>791428.57142857159</v>
      </c>
      <c r="T11" s="30">
        <f t="array" ref="T11">TREND('capital processing'!$B$10:$D$10,'capital processing'!$B$2:$D$2,'CCaMC-BCCpUC'!T1)</f>
        <v>790714.28571428591</v>
      </c>
      <c r="U11" s="30">
        <f t="array" ref="U11">TREND('capital processing'!$B$10:$D$10,'capital processing'!$B$2:$D$2,'CCaMC-BCCpUC'!U1)</f>
        <v>790000</v>
      </c>
      <c r="V11" s="30">
        <f t="array" ref="V11">TREND('capital processing'!$B$10:$D$10,'capital processing'!$B$2:$D$2,'CCaMC-BCCpUC'!V1)</f>
        <v>789285.71428571432</v>
      </c>
      <c r="W11" s="30">
        <f t="array" ref="W11">TREND('capital processing'!$B$10:$D$10,'capital processing'!$B$2:$D$2,'CCaMC-BCCpUC'!W1)</f>
        <v>788571.42857142864</v>
      </c>
      <c r="X11" s="30">
        <f t="array" ref="X11">TREND('capital processing'!$B$10:$D$10,'capital processing'!$B$2:$D$2,'CCaMC-BCCpUC'!X1)</f>
        <v>787857.14285714296</v>
      </c>
      <c r="Y11" s="30">
        <f t="array" ref="Y11">TREND('capital processing'!$B$10:$D$10,'capital processing'!$B$2:$D$2,'CCaMC-BCCpUC'!Y1)</f>
        <v>787142.85714285728</v>
      </c>
      <c r="Z11" s="30">
        <f t="array" ref="Z11">TREND('capital processing'!$B$10:$D$10,'capital processing'!$B$2:$D$2,'CCaMC-BCCpUC'!Z1)</f>
        <v>786428.57142857159</v>
      </c>
      <c r="AA11" s="30">
        <f t="array" ref="AA11">TREND('capital processing'!$B$10:$D$10,'capital processing'!$B$2:$D$2,'CCaMC-BCCpUC'!AA1)</f>
        <v>785714.28571428591</v>
      </c>
      <c r="AB11" s="30">
        <f t="array" ref="AB11">TREND('capital processing'!$B$10:$D$10,'capital processing'!$B$2:$D$2,'CCaMC-BCCpUC'!AB1)</f>
        <v>785000</v>
      </c>
      <c r="AC11" s="30">
        <f t="array" ref="AC11">TREND('capital processing'!$B$10:$D$10,'capital processing'!$B$2:$D$2,'CCaMC-BCCpUC'!AC1)</f>
        <v>784285.71428571432</v>
      </c>
      <c r="AD11" s="30">
        <f t="array" ref="AD11">TREND('capital processing'!$B$10:$D$10,'capital processing'!$B$2:$D$2,'CCaMC-BCCpUC'!AD1)</f>
        <v>783571.42857142864</v>
      </c>
      <c r="AE11" s="30">
        <f t="array" ref="AE11">TREND('capital processing'!$B$10:$D$10,'capital processing'!$B$2:$D$2,'CCaMC-BCCpUC'!AE1)</f>
        <v>782857.14285714296</v>
      </c>
      <c r="AF11" s="30">
        <f t="array" ref="AF11">TREND('capital processing'!$B$10:$D$10,'capital processing'!$B$2:$D$2,'CCaMC-BCCpUC'!AF1)</f>
        <v>782142.85714285728</v>
      </c>
      <c r="AG11" s="30">
        <f t="array" ref="AG11">TREND('capital processing'!$B$10:$D$10,'capital processing'!$B$2:$D$2,'CCaMC-BCCpUC'!AG1)</f>
        <v>781428.57142857159</v>
      </c>
      <c r="AH11" s="30"/>
      <c r="AI11" s="30"/>
      <c r="AJ11" s="30"/>
      <c r="AK11" s="30"/>
      <c r="AL11" s="30"/>
      <c r="AM11" s="30"/>
      <c r="AN11" s="30"/>
      <c r="AO11" s="30"/>
      <c r="AP11" s="30"/>
      <c r="AQ11" s="30"/>
      <c r="AR11" s="30"/>
      <c r="AS11" s="30"/>
      <c r="AT11" s="30"/>
      <c r="AU11" s="30"/>
      <c r="AV11" s="30"/>
      <c r="AW11" s="30"/>
      <c r="AX11" s="30"/>
      <c r="AY11" s="30"/>
      <c r="AZ11" s="30"/>
      <c r="BA11" s="30"/>
    </row>
    <row r="12" spans="1:53" ht="14.25" customHeight="1">
      <c r="A12" s="1" t="s">
        <v>77</v>
      </c>
      <c r="B12" s="30">
        <f t="array" ref="B12">TREND('capital processing'!$B$11:$D$11,'capital processing'!$B$2:$D$2,'CCaMC-BCCpUC'!B1)</f>
        <v>691214.28571428545</v>
      </c>
      <c r="C12" s="30">
        <f t="array" ref="C12">TREND('capital processing'!$B$11:$D$11,'capital processing'!$B$2:$D$2,'CCaMC-BCCpUC'!C1)</f>
        <v>688571.42857142817</v>
      </c>
      <c r="D12" s="30">
        <f t="array" ref="D12">TREND('capital processing'!$B$11:$D$11,'capital processing'!$B$2:$D$2,'CCaMC-BCCpUC'!D1)</f>
        <v>685928.5714285709</v>
      </c>
      <c r="E12" s="30">
        <f t="array" ref="E12">TREND('capital processing'!$B$11:$D$11,'capital processing'!$B$2:$D$2,'CCaMC-BCCpUC'!E1)</f>
        <v>683285.71428571362</v>
      </c>
      <c r="F12" s="30">
        <f t="array" ref="F12">TREND('capital processing'!$B$11:$D$11,'capital processing'!$B$2:$D$2,'CCaMC-BCCpUC'!F1)</f>
        <v>680642.85714285634</v>
      </c>
      <c r="G12" s="30">
        <f t="array" ref="G12">TREND('capital processing'!$B$11:$D$11,'capital processing'!$B$2:$D$2,'CCaMC-BCCpUC'!G1)</f>
        <v>678000</v>
      </c>
      <c r="H12" s="30">
        <f t="array" ref="H12">TREND('capital processing'!$B$11:$D$11,'capital processing'!$B$2:$D$2,'CCaMC-BCCpUC'!H1)</f>
        <v>675357.14285714272</v>
      </c>
      <c r="I12" s="30">
        <f t="array" ref="I12">TREND('capital processing'!$B$11:$D$11,'capital processing'!$B$2:$D$2,'CCaMC-BCCpUC'!I1)</f>
        <v>672714.28571428545</v>
      </c>
      <c r="J12" s="30">
        <f t="array" ref="J12">TREND('capital processing'!$B$11:$D$11,'capital processing'!$B$2:$D$2,'CCaMC-BCCpUC'!J1)</f>
        <v>670071.42857142817</v>
      </c>
      <c r="K12" s="30">
        <f t="array" ref="K12">TREND('capital processing'!$B$11:$D$11,'capital processing'!$B$2:$D$2,'CCaMC-BCCpUC'!K1)</f>
        <v>667428.5714285709</v>
      </c>
      <c r="L12" s="30">
        <f t="array" ref="L12">TREND('capital processing'!$B$11:$D$11,'capital processing'!$B$2:$D$2,'CCaMC-BCCpUC'!L1)</f>
        <v>664785.71428571362</v>
      </c>
      <c r="M12" s="30">
        <f t="array" ref="M12">TREND('capital processing'!$B$11:$D$11,'capital processing'!$B$2:$D$2,'CCaMC-BCCpUC'!M1)</f>
        <v>662142.85714285634</v>
      </c>
      <c r="N12" s="30">
        <f t="array" ref="N12">TREND('capital processing'!$B$11:$D$11,'capital processing'!$B$2:$D$2,'CCaMC-BCCpUC'!N1)</f>
        <v>659500</v>
      </c>
      <c r="O12" s="30">
        <f t="array" ref="O12">TREND('capital processing'!$B$11:$D$11,'capital processing'!$B$2:$D$2,'CCaMC-BCCpUC'!O1)</f>
        <v>656857.14285714272</v>
      </c>
      <c r="P12" s="30">
        <f t="array" ref="P12">TREND('capital processing'!$B$11:$D$11,'capital processing'!$B$2:$D$2,'CCaMC-BCCpUC'!P1)</f>
        <v>654214.28571428545</v>
      </c>
      <c r="Q12" s="30">
        <f t="array" ref="Q12">TREND('capital processing'!$B$11:$D$11,'capital processing'!$B$2:$D$2,'CCaMC-BCCpUC'!Q1)</f>
        <v>651571.42857142817</v>
      </c>
      <c r="R12" s="30">
        <f t="array" ref="R12">TREND('capital processing'!$B$11:$D$11,'capital processing'!$B$2:$D$2,'CCaMC-BCCpUC'!R1)</f>
        <v>648928.5714285709</v>
      </c>
      <c r="S12" s="30">
        <f t="array" ref="S12">TREND('capital processing'!$B$11:$D$11,'capital processing'!$B$2:$D$2,'CCaMC-BCCpUC'!S1)</f>
        <v>646285.71428571362</v>
      </c>
      <c r="T12" s="30">
        <f t="array" ref="T12">TREND('capital processing'!$B$11:$D$11,'capital processing'!$B$2:$D$2,'CCaMC-BCCpUC'!T1)</f>
        <v>643642.85714285634</v>
      </c>
      <c r="U12" s="30">
        <f t="array" ref="U12">TREND('capital processing'!$B$11:$D$11,'capital processing'!$B$2:$D$2,'CCaMC-BCCpUC'!U1)</f>
        <v>641000</v>
      </c>
      <c r="V12" s="30">
        <f t="array" ref="V12">TREND('capital processing'!$B$11:$D$11,'capital processing'!$B$2:$D$2,'CCaMC-BCCpUC'!V1)</f>
        <v>638357.14285714272</v>
      </c>
      <c r="W12" s="30">
        <f t="array" ref="W12">TREND('capital processing'!$B$11:$D$11,'capital processing'!$B$2:$D$2,'CCaMC-BCCpUC'!W1)</f>
        <v>635714.28571428545</v>
      </c>
      <c r="X12" s="30">
        <f t="array" ref="X12">TREND('capital processing'!$B$11:$D$11,'capital processing'!$B$2:$D$2,'CCaMC-BCCpUC'!X1)</f>
        <v>633071.42857142817</v>
      </c>
      <c r="Y12" s="30">
        <f t="array" ref="Y12">TREND('capital processing'!$B$11:$D$11,'capital processing'!$B$2:$D$2,'CCaMC-BCCpUC'!Y1)</f>
        <v>630428.5714285709</v>
      </c>
      <c r="Z12" s="30">
        <f t="array" ref="Z12">TREND('capital processing'!$B$11:$D$11,'capital processing'!$B$2:$D$2,'CCaMC-BCCpUC'!Z1)</f>
        <v>627785.71428571362</v>
      </c>
      <c r="AA12" s="30">
        <f t="array" ref="AA12">TREND('capital processing'!$B$11:$D$11,'capital processing'!$B$2:$D$2,'CCaMC-BCCpUC'!AA1)</f>
        <v>625142.85714285634</v>
      </c>
      <c r="AB12" s="30">
        <f t="array" ref="AB12">TREND('capital processing'!$B$11:$D$11,'capital processing'!$B$2:$D$2,'CCaMC-BCCpUC'!AB1)</f>
        <v>622500</v>
      </c>
      <c r="AC12" s="30">
        <f t="array" ref="AC12">TREND('capital processing'!$B$11:$D$11,'capital processing'!$B$2:$D$2,'CCaMC-BCCpUC'!AC1)</f>
        <v>619857.14285714272</v>
      </c>
      <c r="AD12" s="30">
        <f t="array" ref="AD12">TREND('capital processing'!$B$11:$D$11,'capital processing'!$B$2:$D$2,'CCaMC-BCCpUC'!AD1)</f>
        <v>617214.28571428545</v>
      </c>
      <c r="AE12" s="30">
        <f t="array" ref="AE12">TREND('capital processing'!$B$11:$D$11,'capital processing'!$B$2:$D$2,'CCaMC-BCCpUC'!AE1)</f>
        <v>614571.42857142817</v>
      </c>
      <c r="AF12" s="30">
        <f t="array" ref="AF12">TREND('capital processing'!$B$11:$D$11,'capital processing'!$B$2:$D$2,'CCaMC-BCCpUC'!AF1)</f>
        <v>611928.5714285709</v>
      </c>
      <c r="AG12" s="30">
        <f t="array" ref="AG12">TREND('capital processing'!$B$11:$D$11,'capital processing'!$B$2:$D$2,'CCaMC-BCCpUC'!AG1)</f>
        <v>609285.71428571362</v>
      </c>
      <c r="AH12" s="30"/>
      <c r="AI12" s="30"/>
      <c r="AJ12" s="30"/>
      <c r="AK12" s="30"/>
      <c r="AL12" s="30"/>
      <c r="AM12" s="30"/>
      <c r="AN12" s="30"/>
      <c r="AO12" s="30"/>
      <c r="AP12" s="30"/>
      <c r="AQ12" s="30"/>
      <c r="AR12" s="30"/>
      <c r="AS12" s="30"/>
      <c r="AT12" s="30"/>
      <c r="AU12" s="30"/>
      <c r="AV12" s="30"/>
      <c r="AW12" s="30"/>
      <c r="AX12" s="30"/>
      <c r="AY12" s="30"/>
      <c r="AZ12" s="30"/>
      <c r="BA12" s="30"/>
    </row>
    <row r="13" spans="1:53" ht="14.25" customHeight="1">
      <c r="A13" s="1" t="s">
        <v>78</v>
      </c>
      <c r="B13" s="30">
        <f t="array" ref="B13">TREND('capital processing'!$B$12:$D$12,'capital processing'!$B$2:$D$2,'CCaMC-BCCpUC'!B1)</f>
        <v>1646071.4285714282</v>
      </c>
      <c r="C13" s="30">
        <f t="array" ref="C13">TREND('capital processing'!$B$12:$D$12,'capital processing'!$B$2:$D$2,'CCaMC-BCCpUC'!C1)</f>
        <v>1642857.1428571427</v>
      </c>
      <c r="D13" s="30">
        <f t="array" ref="D13">TREND('capital processing'!$B$12:$D$12,'capital processing'!$B$2:$D$2,'CCaMC-BCCpUC'!D1)</f>
        <v>1639642.8571428573</v>
      </c>
      <c r="E13" s="30">
        <f t="array" ref="E13">TREND('capital processing'!$B$12:$D$12,'capital processing'!$B$2:$D$2,'CCaMC-BCCpUC'!E1)</f>
        <v>1636428.5714285709</v>
      </c>
      <c r="F13" s="30">
        <f t="array" ref="F13">TREND('capital processing'!$B$12:$D$12,'capital processing'!$B$2:$D$2,'CCaMC-BCCpUC'!F1)</f>
        <v>1633214.2857142854</v>
      </c>
      <c r="G13" s="30">
        <f t="array" ref="G13">TREND('capital processing'!$B$12:$D$12,'capital processing'!$B$2:$D$2,'CCaMC-BCCpUC'!G1)</f>
        <v>1630000</v>
      </c>
      <c r="H13" s="30">
        <f t="array" ref="H13">TREND('capital processing'!$B$12:$D$12,'capital processing'!$B$2:$D$2,'CCaMC-BCCpUC'!H1)</f>
        <v>1626785.7142857146</v>
      </c>
      <c r="I13" s="30">
        <f t="array" ref="I13">TREND('capital processing'!$B$12:$D$12,'capital processing'!$B$2:$D$2,'CCaMC-BCCpUC'!I1)</f>
        <v>1623571.4285714282</v>
      </c>
      <c r="J13" s="30">
        <f t="array" ref="J13">TREND('capital processing'!$B$12:$D$12,'capital processing'!$B$2:$D$2,'CCaMC-BCCpUC'!J1)</f>
        <v>1620357.1428571427</v>
      </c>
      <c r="K13" s="30">
        <f t="array" ref="K13">TREND('capital processing'!$B$12:$D$12,'capital processing'!$B$2:$D$2,'CCaMC-BCCpUC'!K1)</f>
        <v>1617142.8571428573</v>
      </c>
      <c r="L13" s="30">
        <f t="array" ref="L13">TREND('capital processing'!$B$12:$D$12,'capital processing'!$B$2:$D$2,'CCaMC-BCCpUC'!L1)</f>
        <v>1613928.5714285709</v>
      </c>
      <c r="M13" s="30">
        <f t="array" ref="M13">TREND('capital processing'!$B$12:$D$12,'capital processing'!$B$2:$D$2,'CCaMC-BCCpUC'!M1)</f>
        <v>1610714.2857142854</v>
      </c>
      <c r="N13" s="30">
        <f t="array" ref="N13">TREND('capital processing'!$B$12:$D$12,'capital processing'!$B$2:$D$2,'CCaMC-BCCpUC'!N1)</f>
        <v>1607500</v>
      </c>
      <c r="O13" s="30">
        <f t="array" ref="O13">TREND('capital processing'!$B$12:$D$12,'capital processing'!$B$2:$D$2,'CCaMC-BCCpUC'!O1)</f>
        <v>1604285.7142857146</v>
      </c>
      <c r="P13" s="30">
        <f t="array" ref="P13">TREND('capital processing'!$B$12:$D$12,'capital processing'!$B$2:$D$2,'CCaMC-BCCpUC'!P1)</f>
        <v>1601071.4285714282</v>
      </c>
      <c r="Q13" s="30">
        <f t="array" ref="Q13">TREND('capital processing'!$B$12:$D$12,'capital processing'!$B$2:$D$2,'CCaMC-BCCpUC'!Q1)</f>
        <v>1597857.1428571427</v>
      </c>
      <c r="R13" s="30">
        <f t="array" ref="R13">TREND('capital processing'!$B$12:$D$12,'capital processing'!$B$2:$D$2,'CCaMC-BCCpUC'!R1)</f>
        <v>1594642.8571428573</v>
      </c>
      <c r="S13" s="30">
        <f t="array" ref="S13">TREND('capital processing'!$B$12:$D$12,'capital processing'!$B$2:$D$2,'CCaMC-BCCpUC'!S1)</f>
        <v>1591428.5714285709</v>
      </c>
      <c r="T13" s="30">
        <f t="array" ref="T13">TREND('capital processing'!$B$12:$D$12,'capital processing'!$B$2:$D$2,'CCaMC-BCCpUC'!T1)</f>
        <v>1588214.2857142854</v>
      </c>
      <c r="U13" s="30">
        <f t="array" ref="U13">TREND('capital processing'!$B$12:$D$12,'capital processing'!$B$2:$D$2,'CCaMC-BCCpUC'!U1)</f>
        <v>1585000</v>
      </c>
      <c r="V13" s="30">
        <f t="array" ref="V13">TREND('capital processing'!$B$12:$D$12,'capital processing'!$B$2:$D$2,'CCaMC-BCCpUC'!V1)</f>
        <v>1581785.7142857146</v>
      </c>
      <c r="W13" s="30">
        <f t="array" ref="W13">TREND('capital processing'!$B$12:$D$12,'capital processing'!$B$2:$D$2,'CCaMC-BCCpUC'!W1)</f>
        <v>1578571.4285714282</v>
      </c>
      <c r="X13" s="30">
        <f t="array" ref="X13">TREND('capital processing'!$B$12:$D$12,'capital processing'!$B$2:$D$2,'CCaMC-BCCpUC'!X1)</f>
        <v>1575357.1428571427</v>
      </c>
      <c r="Y13" s="30">
        <f t="array" ref="Y13">TREND('capital processing'!$B$12:$D$12,'capital processing'!$B$2:$D$2,'CCaMC-BCCpUC'!Y1)</f>
        <v>1572142.8571428573</v>
      </c>
      <c r="Z13" s="30">
        <f t="array" ref="Z13">TREND('capital processing'!$B$12:$D$12,'capital processing'!$B$2:$D$2,'CCaMC-BCCpUC'!Z1)</f>
        <v>1568928.5714285709</v>
      </c>
      <c r="AA13" s="30">
        <f t="array" ref="AA13">TREND('capital processing'!$B$12:$D$12,'capital processing'!$B$2:$D$2,'CCaMC-BCCpUC'!AA1)</f>
        <v>1565714.2857142854</v>
      </c>
      <c r="AB13" s="30">
        <f t="array" ref="AB13">TREND('capital processing'!$B$12:$D$12,'capital processing'!$B$2:$D$2,'CCaMC-BCCpUC'!AB1)</f>
        <v>1562500</v>
      </c>
      <c r="AC13" s="30">
        <f t="array" ref="AC13">TREND('capital processing'!$B$12:$D$12,'capital processing'!$B$2:$D$2,'CCaMC-BCCpUC'!AC1)</f>
        <v>1559285.7142857146</v>
      </c>
      <c r="AD13" s="30">
        <f t="array" ref="AD13">TREND('capital processing'!$B$12:$D$12,'capital processing'!$B$2:$D$2,'CCaMC-BCCpUC'!AD1)</f>
        <v>1556071.4285714282</v>
      </c>
      <c r="AE13" s="30">
        <f t="array" ref="AE13">TREND('capital processing'!$B$12:$D$12,'capital processing'!$B$2:$D$2,'CCaMC-BCCpUC'!AE1)</f>
        <v>1552857.1428571427</v>
      </c>
      <c r="AF13" s="30">
        <f t="array" ref="AF13">TREND('capital processing'!$B$12:$D$12,'capital processing'!$B$2:$D$2,'CCaMC-BCCpUC'!AF1)</f>
        <v>1549642.8571428573</v>
      </c>
      <c r="AG13" s="30">
        <f t="array" ref="AG13">TREND('capital processing'!$B$12:$D$12,'capital processing'!$B$2:$D$2,'CCaMC-BCCpUC'!AG1)</f>
        <v>1546428.5714285709</v>
      </c>
      <c r="AH13" s="30"/>
      <c r="AI13" s="30"/>
      <c r="AJ13" s="30"/>
      <c r="AK13" s="30"/>
      <c r="AL13" s="30"/>
      <c r="AM13" s="30"/>
      <c r="AN13" s="30"/>
      <c r="AO13" s="30"/>
      <c r="AP13" s="30"/>
      <c r="AQ13" s="30"/>
      <c r="AR13" s="30"/>
      <c r="AS13" s="30"/>
      <c r="AT13" s="30"/>
      <c r="AU13" s="30"/>
      <c r="AV13" s="30"/>
      <c r="AW13" s="30"/>
      <c r="AX13" s="30"/>
      <c r="AY13" s="30"/>
      <c r="AZ13" s="30"/>
      <c r="BA13" s="30"/>
    </row>
    <row r="14" spans="1:53" ht="14.25" customHeight="1">
      <c r="A14" s="1" t="s">
        <v>79</v>
      </c>
      <c r="B14" s="30">
        <f t="array" ref="B14">TREND('capital processing'!$B$13:$D$13,'capital processing'!$B$2:$D$2,'CCaMC-BCCpUC'!B1)</f>
        <v>3448428.5714285746</v>
      </c>
      <c r="C14" s="30">
        <f t="array" ref="C14">TREND('capital processing'!$B$13:$D$13,'capital processing'!$B$2:$D$2,'CCaMC-BCCpUC'!C1)</f>
        <v>3417142.8571428582</v>
      </c>
      <c r="D14" s="30">
        <f t="array" ref="D14">TREND('capital processing'!$B$13:$D$13,'capital processing'!$B$2:$D$2,'CCaMC-BCCpUC'!D1)</f>
        <v>3385857.1428571418</v>
      </c>
      <c r="E14" s="30">
        <f t="array" ref="E14">TREND('capital processing'!$B$13:$D$13,'capital processing'!$B$2:$D$2,'CCaMC-BCCpUC'!E1)</f>
        <v>3354571.4285714328</v>
      </c>
      <c r="F14" s="30">
        <f t="array" ref="F14">TREND('capital processing'!$B$13:$D$13,'capital processing'!$B$2:$D$2,'CCaMC-BCCpUC'!F1)</f>
        <v>3323285.7142857164</v>
      </c>
      <c r="G14" s="30">
        <f t="array" ref="G14">TREND('capital processing'!$B$13:$D$13,'capital processing'!$B$2:$D$2,'CCaMC-BCCpUC'!G1)</f>
        <v>3292000</v>
      </c>
      <c r="H14" s="30">
        <f t="array" ref="H14">TREND('capital processing'!$B$13:$D$13,'capital processing'!$B$2:$D$2,'CCaMC-BCCpUC'!H1)</f>
        <v>3260714.2857142836</v>
      </c>
      <c r="I14" s="30">
        <f t="array" ref="I14">TREND('capital processing'!$B$13:$D$13,'capital processing'!$B$2:$D$2,'CCaMC-BCCpUC'!I1)</f>
        <v>3229428.5714285746</v>
      </c>
      <c r="J14" s="30">
        <f t="array" ref="J14">TREND('capital processing'!$B$13:$D$13,'capital processing'!$B$2:$D$2,'CCaMC-BCCpUC'!J1)</f>
        <v>3198142.8571428582</v>
      </c>
      <c r="K14" s="30">
        <f t="array" ref="K14">TREND('capital processing'!$B$13:$D$13,'capital processing'!$B$2:$D$2,'CCaMC-BCCpUC'!K1)</f>
        <v>3166857.1428571418</v>
      </c>
      <c r="L14" s="30">
        <f t="array" ref="L14">TREND('capital processing'!$B$13:$D$13,'capital processing'!$B$2:$D$2,'CCaMC-BCCpUC'!L1)</f>
        <v>3135571.4285714328</v>
      </c>
      <c r="M14" s="30">
        <f t="array" ref="M14">TREND('capital processing'!$B$13:$D$13,'capital processing'!$B$2:$D$2,'CCaMC-BCCpUC'!M1)</f>
        <v>3104285.7142857164</v>
      </c>
      <c r="N14" s="30">
        <f t="array" ref="N14">TREND('capital processing'!$B$13:$D$13,'capital processing'!$B$2:$D$2,'CCaMC-BCCpUC'!N1)</f>
        <v>3073000</v>
      </c>
      <c r="O14" s="30">
        <f t="array" ref="O14">TREND('capital processing'!$B$13:$D$13,'capital processing'!$B$2:$D$2,'CCaMC-BCCpUC'!O1)</f>
        <v>3041714.2857142836</v>
      </c>
      <c r="P14" s="30">
        <f t="array" ref="P14">TREND('capital processing'!$B$13:$D$13,'capital processing'!$B$2:$D$2,'CCaMC-BCCpUC'!P1)</f>
        <v>3010428.5714285746</v>
      </c>
      <c r="Q14" s="30">
        <f t="array" ref="Q14">TREND('capital processing'!$B$13:$D$13,'capital processing'!$B$2:$D$2,'CCaMC-BCCpUC'!Q1)</f>
        <v>2979142.8571428582</v>
      </c>
      <c r="R14" s="30">
        <f t="array" ref="R14">TREND('capital processing'!$B$13:$D$13,'capital processing'!$B$2:$D$2,'CCaMC-BCCpUC'!R1)</f>
        <v>2947857.1428571418</v>
      </c>
      <c r="S14" s="30">
        <f t="array" ref="S14">TREND('capital processing'!$B$13:$D$13,'capital processing'!$B$2:$D$2,'CCaMC-BCCpUC'!S1)</f>
        <v>2916571.4285714328</v>
      </c>
      <c r="T14" s="30">
        <f t="array" ref="T14">TREND('capital processing'!$B$13:$D$13,'capital processing'!$B$2:$D$2,'CCaMC-BCCpUC'!T1)</f>
        <v>2885285.7142857164</v>
      </c>
      <c r="U14" s="30">
        <f t="array" ref="U14">TREND('capital processing'!$B$13:$D$13,'capital processing'!$B$2:$D$2,'CCaMC-BCCpUC'!U1)</f>
        <v>2854000</v>
      </c>
      <c r="V14" s="30">
        <f t="array" ref="V14">TREND('capital processing'!$B$13:$D$13,'capital processing'!$B$2:$D$2,'CCaMC-BCCpUC'!V1)</f>
        <v>2822714.2857142836</v>
      </c>
      <c r="W14" s="30">
        <f t="array" ref="W14">TREND('capital processing'!$B$13:$D$13,'capital processing'!$B$2:$D$2,'CCaMC-BCCpUC'!W1)</f>
        <v>2791428.5714285746</v>
      </c>
      <c r="X14" s="30">
        <f t="array" ref="X14">TREND('capital processing'!$B$13:$D$13,'capital processing'!$B$2:$D$2,'CCaMC-BCCpUC'!X1)</f>
        <v>2760142.8571428582</v>
      </c>
      <c r="Y14" s="30">
        <f t="array" ref="Y14">TREND('capital processing'!$B$13:$D$13,'capital processing'!$B$2:$D$2,'CCaMC-BCCpUC'!Y1)</f>
        <v>2728857.1428571418</v>
      </c>
      <c r="Z14" s="30">
        <f t="array" ref="Z14">TREND('capital processing'!$B$13:$D$13,'capital processing'!$B$2:$D$2,'CCaMC-BCCpUC'!Z1)</f>
        <v>2697571.4285714328</v>
      </c>
      <c r="AA14" s="30">
        <f t="array" ref="AA14">TREND('capital processing'!$B$13:$D$13,'capital processing'!$B$2:$D$2,'CCaMC-BCCpUC'!AA1)</f>
        <v>2666285.7142857164</v>
      </c>
      <c r="AB14" s="30">
        <f t="array" ref="AB14">TREND('capital processing'!$B$13:$D$13,'capital processing'!$B$2:$D$2,'CCaMC-BCCpUC'!AB1)</f>
        <v>2635000</v>
      </c>
      <c r="AC14" s="30">
        <f t="array" ref="AC14">TREND('capital processing'!$B$13:$D$13,'capital processing'!$B$2:$D$2,'CCaMC-BCCpUC'!AC1)</f>
        <v>2603714.2857142836</v>
      </c>
      <c r="AD14" s="30">
        <f t="array" ref="AD14">TREND('capital processing'!$B$13:$D$13,'capital processing'!$B$2:$D$2,'CCaMC-BCCpUC'!AD1)</f>
        <v>2572428.5714285746</v>
      </c>
      <c r="AE14" s="30">
        <f t="array" ref="AE14">TREND('capital processing'!$B$13:$D$13,'capital processing'!$B$2:$D$2,'CCaMC-BCCpUC'!AE1)</f>
        <v>2541142.8571428582</v>
      </c>
      <c r="AF14" s="30">
        <f t="array" ref="AF14">TREND('capital processing'!$B$13:$D$13,'capital processing'!$B$2:$D$2,'CCaMC-BCCpUC'!AF1)</f>
        <v>2509857.1428571418</v>
      </c>
      <c r="AG14" s="30">
        <f t="array" ref="AG14">TREND('capital processing'!$B$13:$D$13,'capital processing'!$B$2:$D$2,'CCaMC-BCCpUC'!AG1)</f>
        <v>2478571.4285714328</v>
      </c>
      <c r="AH14" s="30"/>
      <c r="AI14" s="30"/>
      <c r="AJ14" s="30"/>
      <c r="AK14" s="30"/>
      <c r="AL14" s="30"/>
      <c r="AM14" s="30"/>
      <c r="AN14" s="30"/>
      <c r="AO14" s="30"/>
      <c r="AP14" s="30"/>
      <c r="AQ14" s="30"/>
      <c r="AR14" s="30"/>
      <c r="AS14" s="30"/>
      <c r="AT14" s="30"/>
      <c r="AU14" s="30"/>
      <c r="AV14" s="30"/>
      <c r="AW14" s="30"/>
      <c r="AX14" s="30"/>
      <c r="AY14" s="30"/>
      <c r="AZ14" s="30"/>
      <c r="BA14" s="30"/>
    </row>
    <row r="15" spans="1:53" ht="14.25" customHeight="1">
      <c r="A15" s="14" t="s">
        <v>80</v>
      </c>
      <c r="B15" s="30">
        <f t="array" ref="B15">TREND('capital processing'!$B$14:$D$14,'capital processing'!$B$2:$D$2,'CCaMC-BCCpUC'!B1)</f>
        <v>803571.42857142864</v>
      </c>
      <c r="C15" s="30">
        <f t="array" ref="C15">TREND('capital processing'!$B$14:$D$14,'capital processing'!$B$2:$D$2,'CCaMC-BCCpUC'!C1)</f>
        <v>802857.14285714296</v>
      </c>
      <c r="D15" s="30">
        <f t="array" ref="D15">TREND('capital processing'!$B$14:$D$14,'capital processing'!$B$2:$D$2,'CCaMC-BCCpUC'!D1)</f>
        <v>802142.85714285728</v>
      </c>
      <c r="E15" s="30">
        <f t="array" ref="E15">TREND('capital processing'!$B$14:$D$14,'capital processing'!$B$2:$D$2,'CCaMC-BCCpUC'!E1)</f>
        <v>801428.57142857159</v>
      </c>
      <c r="F15" s="30">
        <f t="array" ref="F15">TREND('capital processing'!$B$14:$D$14,'capital processing'!$B$2:$D$2,'CCaMC-BCCpUC'!F1)</f>
        <v>800714.28571428591</v>
      </c>
      <c r="G15" s="30">
        <f t="array" ref="G15">TREND('capital processing'!$B$14:$D$14,'capital processing'!$B$2:$D$2,'CCaMC-BCCpUC'!G1)</f>
        <v>800000</v>
      </c>
      <c r="H15" s="30">
        <f t="array" ref="H15">TREND('capital processing'!$B$14:$D$14,'capital processing'!$B$2:$D$2,'CCaMC-BCCpUC'!H1)</f>
        <v>799285.71428571432</v>
      </c>
      <c r="I15" s="30">
        <f t="array" ref="I15">TREND('capital processing'!$B$14:$D$14,'capital processing'!$B$2:$D$2,'CCaMC-BCCpUC'!I1)</f>
        <v>798571.42857142864</v>
      </c>
      <c r="J15" s="30">
        <f t="array" ref="J15">TREND('capital processing'!$B$14:$D$14,'capital processing'!$B$2:$D$2,'CCaMC-BCCpUC'!J1)</f>
        <v>797857.14285714296</v>
      </c>
      <c r="K15" s="30">
        <f t="array" ref="K15">TREND('capital processing'!$B$14:$D$14,'capital processing'!$B$2:$D$2,'CCaMC-BCCpUC'!K1)</f>
        <v>797142.85714285728</v>
      </c>
      <c r="L15" s="30">
        <f t="array" ref="L15">TREND('capital processing'!$B$14:$D$14,'capital processing'!$B$2:$D$2,'CCaMC-BCCpUC'!L1)</f>
        <v>796428.57142857159</v>
      </c>
      <c r="M15" s="30">
        <f t="array" ref="M15">TREND('capital processing'!$B$14:$D$14,'capital processing'!$B$2:$D$2,'CCaMC-BCCpUC'!M1)</f>
        <v>795714.28571428591</v>
      </c>
      <c r="N15" s="30">
        <f t="array" ref="N15">TREND('capital processing'!$B$14:$D$14,'capital processing'!$B$2:$D$2,'CCaMC-BCCpUC'!N1)</f>
        <v>795000</v>
      </c>
      <c r="O15" s="30">
        <f t="array" ref="O15">TREND('capital processing'!$B$14:$D$14,'capital processing'!$B$2:$D$2,'CCaMC-BCCpUC'!O1)</f>
        <v>794285.71428571432</v>
      </c>
      <c r="P15" s="30">
        <f t="array" ref="P15">TREND('capital processing'!$B$14:$D$14,'capital processing'!$B$2:$D$2,'CCaMC-BCCpUC'!P1)</f>
        <v>793571.42857142864</v>
      </c>
      <c r="Q15" s="30">
        <f t="array" ref="Q15">TREND('capital processing'!$B$14:$D$14,'capital processing'!$B$2:$D$2,'CCaMC-BCCpUC'!Q1)</f>
        <v>792857.14285714296</v>
      </c>
      <c r="R15" s="30">
        <f t="array" ref="R15">TREND('capital processing'!$B$14:$D$14,'capital processing'!$B$2:$D$2,'CCaMC-BCCpUC'!R1)</f>
        <v>792142.85714285728</v>
      </c>
      <c r="S15" s="30">
        <f t="array" ref="S15">TREND('capital processing'!$B$14:$D$14,'capital processing'!$B$2:$D$2,'CCaMC-BCCpUC'!S1)</f>
        <v>791428.57142857159</v>
      </c>
      <c r="T15" s="30">
        <f t="array" ref="T15">TREND('capital processing'!$B$14:$D$14,'capital processing'!$B$2:$D$2,'CCaMC-BCCpUC'!T1)</f>
        <v>790714.28571428591</v>
      </c>
      <c r="U15" s="30">
        <f t="array" ref="U15">TREND('capital processing'!$B$14:$D$14,'capital processing'!$B$2:$D$2,'CCaMC-BCCpUC'!U1)</f>
        <v>790000</v>
      </c>
      <c r="V15" s="30">
        <f t="array" ref="V15">TREND('capital processing'!$B$14:$D$14,'capital processing'!$B$2:$D$2,'CCaMC-BCCpUC'!V1)</f>
        <v>789285.71428571432</v>
      </c>
      <c r="W15" s="30">
        <f t="array" ref="W15">TREND('capital processing'!$B$14:$D$14,'capital processing'!$B$2:$D$2,'CCaMC-BCCpUC'!W1)</f>
        <v>788571.42857142864</v>
      </c>
      <c r="X15" s="30">
        <f t="array" ref="X15">TREND('capital processing'!$B$14:$D$14,'capital processing'!$B$2:$D$2,'CCaMC-BCCpUC'!X1)</f>
        <v>787857.14285714296</v>
      </c>
      <c r="Y15" s="30">
        <f t="array" ref="Y15">TREND('capital processing'!$B$14:$D$14,'capital processing'!$B$2:$D$2,'CCaMC-BCCpUC'!Y1)</f>
        <v>787142.85714285728</v>
      </c>
      <c r="Z15" s="30">
        <f t="array" ref="Z15">TREND('capital processing'!$B$14:$D$14,'capital processing'!$B$2:$D$2,'CCaMC-BCCpUC'!Z1)</f>
        <v>786428.57142857159</v>
      </c>
      <c r="AA15" s="30">
        <f t="array" ref="AA15">TREND('capital processing'!$B$14:$D$14,'capital processing'!$B$2:$D$2,'CCaMC-BCCpUC'!AA1)</f>
        <v>785714.28571428591</v>
      </c>
      <c r="AB15" s="30">
        <f t="array" ref="AB15">TREND('capital processing'!$B$14:$D$14,'capital processing'!$B$2:$D$2,'CCaMC-BCCpUC'!AB1)</f>
        <v>785000</v>
      </c>
      <c r="AC15" s="30">
        <f t="array" ref="AC15">TREND('capital processing'!$B$14:$D$14,'capital processing'!$B$2:$D$2,'CCaMC-BCCpUC'!AC1)</f>
        <v>784285.71428571432</v>
      </c>
      <c r="AD15" s="30">
        <f t="array" ref="AD15">TREND('capital processing'!$B$14:$D$14,'capital processing'!$B$2:$D$2,'CCaMC-BCCpUC'!AD1)</f>
        <v>783571.42857142864</v>
      </c>
      <c r="AE15" s="30">
        <f t="array" ref="AE15">TREND('capital processing'!$B$14:$D$14,'capital processing'!$B$2:$D$2,'CCaMC-BCCpUC'!AE1)</f>
        <v>782857.14285714296</v>
      </c>
      <c r="AF15" s="30">
        <f t="array" ref="AF15">TREND('capital processing'!$B$14:$D$14,'capital processing'!$B$2:$D$2,'CCaMC-BCCpUC'!AF1)</f>
        <v>782142.85714285728</v>
      </c>
      <c r="AG15" s="30">
        <f t="array" ref="AG15">TREND('capital processing'!$B$14:$D$14,'capital processing'!$B$2:$D$2,'CCaMC-BCCpUC'!AG1)</f>
        <v>781428.57142857159</v>
      </c>
      <c r="AH15" s="30"/>
      <c r="AI15" s="30"/>
      <c r="AJ15" s="30"/>
      <c r="AK15" s="30"/>
      <c r="AL15" s="30"/>
      <c r="AM15" s="30"/>
      <c r="AN15" s="30"/>
      <c r="AO15" s="30"/>
      <c r="AP15" s="30"/>
      <c r="AQ15" s="30"/>
      <c r="AR15" s="30"/>
      <c r="AS15" s="30"/>
      <c r="AT15" s="30"/>
      <c r="AU15" s="30"/>
      <c r="AV15" s="30"/>
      <c r="AW15" s="30"/>
      <c r="AX15" s="30"/>
      <c r="AY15" s="30"/>
      <c r="AZ15" s="30"/>
      <c r="BA15" s="30"/>
    </row>
    <row r="16" spans="1:53" ht="14.25" customHeight="1">
      <c r="A16" s="14" t="s">
        <v>81</v>
      </c>
      <c r="B16" s="30">
        <f t="shared" ref="B16:AG16" si="0">B15</f>
        <v>803571.42857142864</v>
      </c>
      <c r="C16" s="30">
        <f t="shared" si="0"/>
        <v>802857.14285714296</v>
      </c>
      <c r="D16" s="30">
        <f t="shared" si="0"/>
        <v>802142.85714285728</v>
      </c>
      <c r="E16" s="30">
        <f t="shared" si="0"/>
        <v>801428.57142857159</v>
      </c>
      <c r="F16" s="30">
        <f t="shared" si="0"/>
        <v>800714.28571428591</v>
      </c>
      <c r="G16" s="30">
        <f t="shared" si="0"/>
        <v>800000</v>
      </c>
      <c r="H16" s="30">
        <f t="shared" si="0"/>
        <v>799285.71428571432</v>
      </c>
      <c r="I16" s="30">
        <f t="shared" si="0"/>
        <v>798571.42857142864</v>
      </c>
      <c r="J16" s="30">
        <f t="shared" si="0"/>
        <v>797857.14285714296</v>
      </c>
      <c r="K16" s="30">
        <f t="shared" si="0"/>
        <v>797142.85714285728</v>
      </c>
      <c r="L16" s="30">
        <f t="shared" si="0"/>
        <v>796428.57142857159</v>
      </c>
      <c r="M16" s="30">
        <f t="shared" si="0"/>
        <v>795714.28571428591</v>
      </c>
      <c r="N16" s="30">
        <f t="shared" si="0"/>
        <v>795000</v>
      </c>
      <c r="O16" s="30">
        <f t="shared" si="0"/>
        <v>794285.71428571432</v>
      </c>
      <c r="P16" s="30">
        <f t="shared" si="0"/>
        <v>793571.42857142864</v>
      </c>
      <c r="Q16" s="30">
        <f t="shared" si="0"/>
        <v>792857.14285714296</v>
      </c>
      <c r="R16" s="30">
        <f t="shared" si="0"/>
        <v>792142.85714285728</v>
      </c>
      <c r="S16" s="30">
        <f t="shared" si="0"/>
        <v>791428.57142857159</v>
      </c>
      <c r="T16" s="30">
        <f t="shared" si="0"/>
        <v>790714.28571428591</v>
      </c>
      <c r="U16" s="30">
        <f t="shared" si="0"/>
        <v>790000</v>
      </c>
      <c r="V16" s="30">
        <f t="shared" si="0"/>
        <v>789285.71428571432</v>
      </c>
      <c r="W16" s="30">
        <f t="shared" si="0"/>
        <v>788571.42857142864</v>
      </c>
      <c r="X16" s="30">
        <f t="shared" si="0"/>
        <v>787857.14285714296</v>
      </c>
      <c r="Y16" s="30">
        <f t="shared" si="0"/>
        <v>787142.85714285728</v>
      </c>
      <c r="Z16" s="30">
        <f t="shared" si="0"/>
        <v>786428.57142857159</v>
      </c>
      <c r="AA16" s="30">
        <f t="shared" si="0"/>
        <v>785714.28571428591</v>
      </c>
      <c r="AB16" s="30">
        <f t="shared" si="0"/>
        <v>785000</v>
      </c>
      <c r="AC16" s="30">
        <f t="shared" si="0"/>
        <v>784285.71428571432</v>
      </c>
      <c r="AD16" s="30">
        <f t="shared" si="0"/>
        <v>783571.42857142864</v>
      </c>
      <c r="AE16" s="30">
        <f t="shared" si="0"/>
        <v>782857.14285714296</v>
      </c>
      <c r="AF16" s="30">
        <f t="shared" si="0"/>
        <v>782142.85714285728</v>
      </c>
      <c r="AG16" s="30">
        <f t="shared" si="0"/>
        <v>781428.57142857159</v>
      </c>
      <c r="AH16" s="30"/>
      <c r="AI16" s="30"/>
      <c r="AJ16" s="30"/>
      <c r="AK16" s="30"/>
      <c r="AL16" s="30"/>
      <c r="AM16" s="30"/>
      <c r="AN16" s="30"/>
      <c r="AO16" s="30"/>
      <c r="AP16" s="30"/>
      <c r="AQ16" s="30"/>
      <c r="AR16" s="30"/>
      <c r="AS16" s="30"/>
      <c r="AT16" s="30"/>
      <c r="AU16" s="30"/>
      <c r="AV16" s="30"/>
      <c r="AW16" s="30"/>
      <c r="AX16" s="30"/>
      <c r="AY16" s="30"/>
      <c r="AZ16" s="30"/>
      <c r="BA16" s="30"/>
    </row>
    <row r="17" spans="1:53" ht="14.25" customHeight="1">
      <c r="A17" s="14" t="s">
        <v>82</v>
      </c>
      <c r="B17" s="30">
        <f t="array" ref="B17">TREND('capital processing'!$B$16:$D$16,'capital processing'!$B$2:$D$2,'CCaMC-BCCpUC'!B$1)</f>
        <v>691214.28571428545</v>
      </c>
      <c r="C17" s="30">
        <f t="array" ref="C17">TREND('capital processing'!$B$16:$D$16,'capital processing'!$B$2:$D$2,'CCaMC-BCCpUC'!C$1)</f>
        <v>688571.42857142817</v>
      </c>
      <c r="D17" s="30">
        <f t="array" ref="D17">TREND('capital processing'!$B$16:$D$16,'capital processing'!$B$2:$D$2,'CCaMC-BCCpUC'!D$1)</f>
        <v>685928.5714285709</v>
      </c>
      <c r="E17" s="30">
        <f t="array" ref="E17">TREND('capital processing'!$B$16:$D$16,'capital processing'!$B$2:$D$2,'CCaMC-BCCpUC'!E$1)</f>
        <v>683285.71428571362</v>
      </c>
      <c r="F17" s="30">
        <f t="array" ref="F17">TREND('capital processing'!$B$16:$D$16,'capital processing'!$B$2:$D$2,'CCaMC-BCCpUC'!F$1)</f>
        <v>680642.85714285634</v>
      </c>
      <c r="G17" s="30">
        <f t="array" ref="G17">TREND('capital processing'!$B$16:$D$16,'capital processing'!$B$2:$D$2,'CCaMC-BCCpUC'!G$1)</f>
        <v>678000</v>
      </c>
      <c r="H17" s="30">
        <f t="array" ref="H17">TREND('capital processing'!$B$16:$D$16,'capital processing'!$B$2:$D$2,'CCaMC-BCCpUC'!H$1)</f>
        <v>675357.14285714272</v>
      </c>
      <c r="I17" s="30">
        <f t="array" ref="I17">TREND('capital processing'!$B$16:$D$16,'capital processing'!$B$2:$D$2,'CCaMC-BCCpUC'!I$1)</f>
        <v>672714.28571428545</v>
      </c>
      <c r="J17" s="30">
        <f t="array" ref="J17">TREND('capital processing'!$B$16:$D$16,'capital processing'!$B$2:$D$2,'CCaMC-BCCpUC'!J$1)</f>
        <v>670071.42857142817</v>
      </c>
      <c r="K17" s="30">
        <f t="array" ref="K17">TREND('capital processing'!$B$16:$D$16,'capital processing'!$B$2:$D$2,'CCaMC-BCCpUC'!K$1)</f>
        <v>667428.5714285709</v>
      </c>
      <c r="L17" s="30">
        <f t="array" ref="L17">TREND('capital processing'!$B$16:$D$16,'capital processing'!$B$2:$D$2,'CCaMC-BCCpUC'!L$1)</f>
        <v>664785.71428571362</v>
      </c>
      <c r="M17" s="30">
        <f t="array" ref="M17">TREND('capital processing'!$B$16:$D$16,'capital processing'!$B$2:$D$2,'CCaMC-BCCpUC'!M$1)</f>
        <v>662142.85714285634</v>
      </c>
      <c r="N17" s="30">
        <f t="array" ref="N17">TREND('capital processing'!$B$16:$D$16,'capital processing'!$B$2:$D$2,'CCaMC-BCCpUC'!N$1)</f>
        <v>659500</v>
      </c>
      <c r="O17" s="30">
        <f t="array" ref="O17">TREND('capital processing'!$B$16:$D$16,'capital processing'!$B$2:$D$2,'CCaMC-BCCpUC'!O$1)</f>
        <v>656857.14285714272</v>
      </c>
      <c r="P17" s="30">
        <f t="array" ref="P17">TREND('capital processing'!$B$16:$D$16,'capital processing'!$B$2:$D$2,'CCaMC-BCCpUC'!P$1)</f>
        <v>654214.28571428545</v>
      </c>
      <c r="Q17" s="30">
        <f t="array" ref="Q17">TREND('capital processing'!$B$16:$D$16,'capital processing'!$B$2:$D$2,'CCaMC-BCCpUC'!Q$1)</f>
        <v>651571.42857142817</v>
      </c>
      <c r="R17" s="30">
        <f t="array" ref="R17">TREND('capital processing'!$B$16:$D$16,'capital processing'!$B$2:$D$2,'CCaMC-BCCpUC'!R$1)</f>
        <v>648928.5714285709</v>
      </c>
      <c r="S17" s="30">
        <f t="array" ref="S17">TREND('capital processing'!$B$16:$D$16,'capital processing'!$B$2:$D$2,'CCaMC-BCCpUC'!S$1)</f>
        <v>646285.71428571362</v>
      </c>
      <c r="T17" s="30">
        <f t="array" ref="T17">TREND('capital processing'!$B$16:$D$16,'capital processing'!$B$2:$D$2,'CCaMC-BCCpUC'!T$1)</f>
        <v>643642.85714285634</v>
      </c>
      <c r="U17" s="30">
        <f t="array" ref="U17">TREND('capital processing'!$B$16:$D$16,'capital processing'!$B$2:$D$2,'CCaMC-BCCpUC'!U$1)</f>
        <v>641000</v>
      </c>
      <c r="V17" s="30">
        <f t="array" ref="V17">TREND('capital processing'!$B$16:$D$16,'capital processing'!$B$2:$D$2,'CCaMC-BCCpUC'!V$1)</f>
        <v>638357.14285714272</v>
      </c>
      <c r="W17" s="30">
        <f t="array" ref="W17">TREND('capital processing'!$B$16:$D$16,'capital processing'!$B$2:$D$2,'CCaMC-BCCpUC'!W$1)</f>
        <v>635714.28571428545</v>
      </c>
      <c r="X17" s="30">
        <f t="array" ref="X17">TREND('capital processing'!$B$16:$D$16,'capital processing'!$B$2:$D$2,'CCaMC-BCCpUC'!X$1)</f>
        <v>633071.42857142817</v>
      </c>
      <c r="Y17" s="30">
        <f t="array" ref="Y17">TREND('capital processing'!$B$16:$D$16,'capital processing'!$B$2:$D$2,'CCaMC-BCCpUC'!Y$1)</f>
        <v>630428.5714285709</v>
      </c>
      <c r="Z17" s="30">
        <f t="array" ref="Z17">TREND('capital processing'!$B$16:$D$16,'capital processing'!$B$2:$D$2,'CCaMC-BCCpUC'!Z$1)</f>
        <v>627785.71428571362</v>
      </c>
      <c r="AA17" s="30">
        <f t="array" ref="AA17">TREND('capital processing'!$B$16:$D$16,'capital processing'!$B$2:$D$2,'CCaMC-BCCpUC'!AA$1)</f>
        <v>625142.85714285634</v>
      </c>
      <c r="AB17" s="30">
        <f t="array" ref="AB17">TREND('capital processing'!$B$16:$D$16,'capital processing'!$B$2:$D$2,'CCaMC-BCCpUC'!AB$1)</f>
        <v>622500</v>
      </c>
      <c r="AC17" s="30">
        <f t="array" ref="AC17">TREND('capital processing'!$B$16:$D$16,'capital processing'!$B$2:$D$2,'CCaMC-BCCpUC'!AC$1)</f>
        <v>619857.14285714272</v>
      </c>
      <c r="AD17" s="30">
        <f t="array" ref="AD17">TREND('capital processing'!$B$16:$D$16,'capital processing'!$B$2:$D$2,'CCaMC-BCCpUC'!AD$1)</f>
        <v>617214.28571428545</v>
      </c>
      <c r="AE17" s="30">
        <f t="array" ref="AE17">TREND('capital processing'!$B$16:$D$16,'capital processing'!$B$2:$D$2,'CCaMC-BCCpUC'!AE$1)</f>
        <v>614571.42857142817</v>
      </c>
      <c r="AF17" s="30">
        <f t="array" ref="AF17">TREND('capital processing'!$B$16:$D$16,'capital processing'!$B$2:$D$2,'CCaMC-BCCpUC'!AF$1)</f>
        <v>611928.5714285709</v>
      </c>
      <c r="AG17" s="30">
        <f t="array" ref="AG17">TREND('capital processing'!$B$16:$D$16,'capital processing'!$B$2:$D$2,'CCaMC-BCCpUC'!AG$1)</f>
        <v>609285.71428571362</v>
      </c>
      <c r="AH17" s="30"/>
      <c r="AI17" s="30"/>
      <c r="AJ17" s="30"/>
      <c r="AK17" s="30"/>
      <c r="AL17" s="30"/>
      <c r="AM17" s="30"/>
      <c r="AN17" s="30"/>
      <c r="AO17" s="30"/>
      <c r="AP17" s="30"/>
      <c r="AQ17" s="30"/>
      <c r="AR17" s="30"/>
      <c r="AS17" s="30"/>
      <c r="AT17" s="30"/>
      <c r="AU17" s="30"/>
      <c r="AV17" s="30"/>
      <c r="AW17" s="30"/>
      <c r="AX17" s="30"/>
      <c r="AY17" s="30"/>
      <c r="AZ17" s="30"/>
      <c r="BA17" s="30"/>
    </row>
    <row r="18" spans="1:53" ht="14.25" customHeight="1"/>
    <row r="19" spans="1:53" ht="14.25" customHeight="1">
      <c r="A19" s="14"/>
    </row>
    <row r="20" spans="1:53" ht="14.25" customHeight="1"/>
    <row r="21" spans="1:53" ht="14.25" customHeight="1">
      <c r="D21" s="11"/>
    </row>
    <row r="22" spans="1:53" ht="14.25" customHeight="1">
      <c r="D22" s="11"/>
    </row>
    <row r="23" spans="1:53" ht="14.25" customHeight="1">
      <c r="D23" s="11"/>
    </row>
    <row r="24" spans="1:53" ht="14.25" customHeight="1">
      <c r="D24" s="11"/>
    </row>
    <row r="25" spans="1:53" ht="14.25" customHeight="1">
      <c r="D25" s="11"/>
    </row>
    <row r="26" spans="1:53" ht="14.25" customHeight="1">
      <c r="D26" s="11"/>
    </row>
    <row r="27" spans="1:53" ht="14.25" customHeight="1">
      <c r="D27" s="11"/>
    </row>
    <row r="28" spans="1:53" ht="14.25" customHeight="1">
      <c r="D28" s="11"/>
    </row>
    <row r="29" spans="1:53" ht="14.25" customHeight="1">
      <c r="D29" s="11"/>
    </row>
    <row r="30" spans="1:53" ht="14.25" customHeight="1">
      <c r="D30" s="11"/>
    </row>
    <row r="31" spans="1:53" ht="14.25" customHeight="1">
      <c r="D31" s="11"/>
    </row>
    <row r="32" spans="1:53" ht="14.25" customHeight="1">
      <c r="D32" s="11"/>
    </row>
    <row r="33" spans="4:4" ht="14.25" customHeight="1">
      <c r="D33" s="11"/>
    </row>
    <row r="34" spans="4:4" ht="14.25" customHeight="1">
      <c r="D34" s="11"/>
    </row>
    <row r="35" spans="4:4" ht="14.25" customHeight="1">
      <c r="D35" s="11"/>
    </row>
    <row r="36" spans="4:4" ht="14.25" customHeight="1">
      <c r="D36" s="11"/>
    </row>
    <row r="37" spans="4:4" ht="14.25" customHeight="1"/>
    <row r="38" spans="4:4" ht="14.25" customHeight="1"/>
    <row r="39" spans="4:4" ht="14.25" customHeight="1"/>
    <row r="40" spans="4:4" ht="14.25" customHeight="1"/>
    <row r="41" spans="4:4" ht="14.25" customHeight="1"/>
    <row r="42" spans="4:4" ht="14.25" customHeight="1"/>
    <row r="43" spans="4:4" ht="14.25" customHeight="1"/>
    <row r="44" spans="4:4" ht="14.25" customHeight="1"/>
    <row r="45" spans="4:4" ht="14.25" customHeight="1"/>
    <row r="46" spans="4:4" ht="14.25" customHeight="1"/>
    <row r="47" spans="4:4" ht="14.25" customHeight="1"/>
    <row r="48" spans="4: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546A"/>
  </sheetPr>
  <dimension ref="A1:AG1000"/>
  <sheetViews>
    <sheetView topLeftCell="N1" workbookViewId="0">
      <selection activeCell="AC20" sqref="AC20"/>
    </sheetView>
  </sheetViews>
  <sheetFormatPr baseColWidth="10" defaultColWidth="14.42578125" defaultRowHeight="15" customHeight="1"/>
  <cols>
    <col min="1" max="1" width="35.42578125" customWidth="1"/>
    <col min="2" max="33" width="9.140625" customWidth="1"/>
  </cols>
  <sheetData>
    <row r="1" spans="1:33" ht="14.25" customHeight="1">
      <c r="A1" s="24" t="s">
        <v>69</v>
      </c>
      <c r="B1" s="1">
        <v>2019</v>
      </c>
      <c r="C1" s="1">
        <v>2020</v>
      </c>
      <c r="D1" s="1">
        <v>2021</v>
      </c>
      <c r="E1" s="1">
        <v>2022</v>
      </c>
      <c r="F1" s="1">
        <v>2023</v>
      </c>
      <c r="G1" s="1">
        <v>2024</v>
      </c>
      <c r="H1" s="1">
        <v>2025</v>
      </c>
      <c r="I1" s="1">
        <v>2026</v>
      </c>
      <c r="J1" s="1">
        <v>2027</v>
      </c>
      <c r="K1" s="1">
        <v>2028</v>
      </c>
      <c r="L1" s="1">
        <v>2029</v>
      </c>
      <c r="M1" s="1">
        <v>2030</v>
      </c>
      <c r="N1" s="1">
        <v>2031</v>
      </c>
      <c r="O1" s="1">
        <v>2032</v>
      </c>
      <c r="P1" s="1">
        <v>2033</v>
      </c>
      <c r="Q1" s="1">
        <v>2034</v>
      </c>
      <c r="R1" s="1">
        <v>2035</v>
      </c>
      <c r="S1" s="1">
        <v>2036</v>
      </c>
      <c r="T1" s="1">
        <v>2037</v>
      </c>
      <c r="U1" s="1">
        <v>2038</v>
      </c>
      <c r="V1" s="1">
        <v>2039</v>
      </c>
      <c r="W1" s="1">
        <v>2040</v>
      </c>
      <c r="X1" s="1">
        <v>2041</v>
      </c>
      <c r="Y1" s="1">
        <v>2042</v>
      </c>
      <c r="Z1" s="1">
        <v>2043</v>
      </c>
      <c r="AA1" s="1">
        <v>2044</v>
      </c>
      <c r="AB1" s="1">
        <v>2045</v>
      </c>
      <c r="AC1" s="1">
        <v>2046</v>
      </c>
      <c r="AD1" s="1">
        <v>2047</v>
      </c>
      <c r="AE1" s="1">
        <v>2048</v>
      </c>
      <c r="AF1" s="1">
        <v>2049</v>
      </c>
      <c r="AG1" s="1">
        <v>2050</v>
      </c>
    </row>
    <row r="2" spans="1:33" ht="14.25" customHeight="1">
      <c r="A2" s="10" t="s">
        <v>83</v>
      </c>
      <c r="B2" s="33">
        <v>0</v>
      </c>
      <c r="C2" s="33">
        <v>0</v>
      </c>
      <c r="D2" s="33">
        <v>0</v>
      </c>
      <c r="E2" s="33">
        <v>0</v>
      </c>
      <c r="F2" s="33">
        <v>0</v>
      </c>
      <c r="G2" s="33">
        <v>0</v>
      </c>
      <c r="H2" s="33">
        <v>0</v>
      </c>
      <c r="I2" s="33">
        <v>0</v>
      </c>
      <c r="J2" s="33">
        <v>0</v>
      </c>
      <c r="K2" s="33">
        <v>0</v>
      </c>
      <c r="L2" s="33">
        <v>0</v>
      </c>
      <c r="M2" s="33">
        <v>0</v>
      </c>
      <c r="N2" s="33">
        <v>0</v>
      </c>
      <c r="O2" s="33">
        <v>0</v>
      </c>
      <c r="P2" s="33">
        <v>0</v>
      </c>
      <c r="Q2" s="33">
        <v>0</v>
      </c>
      <c r="R2" s="33">
        <v>0</v>
      </c>
      <c r="S2" s="33">
        <v>0</v>
      </c>
      <c r="T2" s="33">
        <v>0</v>
      </c>
      <c r="U2" s="33">
        <v>0</v>
      </c>
      <c r="V2" s="33">
        <v>0</v>
      </c>
      <c r="W2" s="33">
        <v>0</v>
      </c>
      <c r="X2" s="33">
        <v>0</v>
      </c>
      <c r="Y2" s="33">
        <v>0</v>
      </c>
      <c r="Z2" s="33">
        <v>0</v>
      </c>
      <c r="AA2" s="33">
        <v>0</v>
      </c>
      <c r="AB2" s="33">
        <v>0</v>
      </c>
      <c r="AC2" s="33">
        <v>0</v>
      </c>
      <c r="AD2" s="33">
        <v>0</v>
      </c>
      <c r="AE2" s="33">
        <v>0</v>
      </c>
      <c r="AF2" s="33">
        <v>0</v>
      </c>
      <c r="AG2" s="33">
        <v>0</v>
      </c>
    </row>
    <row r="3" spans="1:33" ht="14.25" customHeight="1">
      <c r="A3" s="10" t="s">
        <v>84</v>
      </c>
      <c r="B3" s="33">
        <v>0</v>
      </c>
      <c r="C3" s="33">
        <v>0</v>
      </c>
      <c r="D3" s="33">
        <v>0</v>
      </c>
      <c r="E3" s="33">
        <v>0</v>
      </c>
      <c r="F3" s="33">
        <v>0</v>
      </c>
      <c r="G3" s="33">
        <v>0</v>
      </c>
      <c r="H3" s="33">
        <v>0</v>
      </c>
      <c r="I3" s="33">
        <v>0</v>
      </c>
      <c r="J3" s="33">
        <v>0</v>
      </c>
      <c r="K3" s="33">
        <v>0</v>
      </c>
      <c r="L3" s="33">
        <v>0</v>
      </c>
      <c r="M3" s="33">
        <v>0</v>
      </c>
      <c r="N3" s="33">
        <v>0</v>
      </c>
      <c r="O3" s="33">
        <v>0</v>
      </c>
      <c r="P3" s="33">
        <v>0</v>
      </c>
      <c r="Q3" s="33">
        <v>0</v>
      </c>
      <c r="R3" s="33">
        <v>0</v>
      </c>
      <c r="S3" s="33">
        <v>0</v>
      </c>
      <c r="T3" s="33">
        <v>0</v>
      </c>
      <c r="U3" s="33">
        <v>0</v>
      </c>
      <c r="V3" s="33">
        <v>0</v>
      </c>
      <c r="W3" s="33">
        <v>0</v>
      </c>
      <c r="X3" s="33">
        <v>0</v>
      </c>
      <c r="Y3" s="33">
        <v>0</v>
      </c>
      <c r="Z3" s="33">
        <v>0</v>
      </c>
      <c r="AA3" s="33">
        <v>0</v>
      </c>
      <c r="AB3" s="33">
        <v>0</v>
      </c>
      <c r="AC3" s="33">
        <v>0</v>
      </c>
      <c r="AD3" s="33">
        <v>0</v>
      </c>
      <c r="AE3" s="33">
        <v>0</v>
      </c>
      <c r="AF3" s="33">
        <v>0</v>
      </c>
      <c r="AG3" s="33">
        <v>0</v>
      </c>
    </row>
    <row r="4" spans="1:33" ht="14.25" customHeight="1">
      <c r="A4" s="10" t="s">
        <v>85</v>
      </c>
      <c r="B4" s="33">
        <v>0</v>
      </c>
      <c r="C4" s="33">
        <v>0</v>
      </c>
      <c r="D4" s="33">
        <v>0</v>
      </c>
      <c r="E4" s="33">
        <v>0</v>
      </c>
      <c r="F4" s="33">
        <v>0</v>
      </c>
      <c r="G4" s="33">
        <v>0</v>
      </c>
      <c r="H4" s="33">
        <v>0</v>
      </c>
      <c r="I4" s="33">
        <v>0</v>
      </c>
      <c r="J4" s="33">
        <v>0</v>
      </c>
      <c r="K4" s="33">
        <v>0</v>
      </c>
      <c r="L4" s="33">
        <v>0</v>
      </c>
      <c r="M4" s="33">
        <v>0</v>
      </c>
      <c r="N4" s="33">
        <v>0</v>
      </c>
      <c r="O4" s="33">
        <v>0</v>
      </c>
      <c r="P4" s="33">
        <v>0</v>
      </c>
      <c r="Q4" s="33">
        <v>0</v>
      </c>
      <c r="R4" s="33">
        <v>0</v>
      </c>
      <c r="S4" s="33">
        <v>0</v>
      </c>
      <c r="T4" s="33">
        <v>0</v>
      </c>
      <c r="U4" s="33">
        <v>0</v>
      </c>
      <c r="V4" s="33">
        <v>0</v>
      </c>
      <c r="W4" s="33">
        <v>0</v>
      </c>
      <c r="X4" s="33">
        <v>0</v>
      </c>
      <c r="Y4" s="33">
        <v>0</v>
      </c>
      <c r="Z4" s="33">
        <v>0</v>
      </c>
      <c r="AA4" s="33">
        <v>0</v>
      </c>
      <c r="AB4" s="33">
        <v>0</v>
      </c>
      <c r="AC4" s="33">
        <v>0</v>
      </c>
      <c r="AD4" s="33">
        <v>0</v>
      </c>
      <c r="AE4" s="33">
        <v>0</v>
      </c>
      <c r="AF4" s="33">
        <v>0</v>
      </c>
      <c r="AG4" s="33">
        <v>0</v>
      </c>
    </row>
    <row r="5" spans="1:33" ht="14.25" customHeight="1">
      <c r="A5" s="10" t="s">
        <v>86</v>
      </c>
      <c r="B5" s="33">
        <v>0</v>
      </c>
      <c r="C5" s="33">
        <v>0</v>
      </c>
      <c r="D5" s="33">
        <v>0</v>
      </c>
      <c r="E5" s="33">
        <v>0</v>
      </c>
      <c r="F5" s="33">
        <v>0</v>
      </c>
      <c r="G5" s="33">
        <v>0</v>
      </c>
      <c r="H5" s="33">
        <v>0</v>
      </c>
      <c r="I5" s="33">
        <v>0</v>
      </c>
      <c r="J5" s="33">
        <v>0</v>
      </c>
      <c r="K5" s="33">
        <v>0</v>
      </c>
      <c r="L5" s="33">
        <v>0</v>
      </c>
      <c r="M5" s="33">
        <v>0</v>
      </c>
      <c r="N5" s="33">
        <v>0</v>
      </c>
      <c r="O5" s="33">
        <v>0</v>
      </c>
      <c r="P5" s="33">
        <v>0</v>
      </c>
      <c r="Q5" s="33">
        <v>0</v>
      </c>
      <c r="R5" s="33">
        <v>0</v>
      </c>
      <c r="S5" s="33">
        <v>0</v>
      </c>
      <c r="T5" s="33">
        <v>0</v>
      </c>
      <c r="U5" s="33">
        <v>0</v>
      </c>
      <c r="V5" s="33">
        <v>0</v>
      </c>
      <c r="W5" s="33">
        <v>0</v>
      </c>
      <c r="X5" s="33">
        <v>0</v>
      </c>
      <c r="Y5" s="33">
        <v>0</v>
      </c>
      <c r="Z5" s="33">
        <v>0</v>
      </c>
      <c r="AA5" s="33">
        <v>0</v>
      </c>
      <c r="AB5" s="33">
        <v>0</v>
      </c>
      <c r="AC5" s="33">
        <v>0</v>
      </c>
      <c r="AD5" s="33">
        <v>0</v>
      </c>
      <c r="AE5" s="33">
        <v>0</v>
      </c>
      <c r="AF5" s="33">
        <v>0</v>
      </c>
      <c r="AG5" s="33">
        <v>0</v>
      </c>
    </row>
    <row r="6" spans="1:33" ht="14.25" customHeight="1">
      <c r="A6" s="10" t="s">
        <v>87</v>
      </c>
      <c r="B6" s="33">
        <v>0</v>
      </c>
      <c r="C6" s="33">
        <v>0</v>
      </c>
      <c r="D6" s="33">
        <v>0</v>
      </c>
      <c r="E6" s="33">
        <v>0</v>
      </c>
      <c r="F6" s="33">
        <v>0</v>
      </c>
      <c r="G6" s="33">
        <v>0</v>
      </c>
      <c r="H6" s="33">
        <v>0</v>
      </c>
      <c r="I6" s="33">
        <v>0</v>
      </c>
      <c r="J6" s="33">
        <v>0</v>
      </c>
      <c r="K6" s="33">
        <v>0</v>
      </c>
      <c r="L6" s="33">
        <v>0</v>
      </c>
      <c r="M6" s="33">
        <v>0</v>
      </c>
      <c r="N6" s="33">
        <v>0</v>
      </c>
      <c r="O6" s="33">
        <v>0</v>
      </c>
      <c r="P6" s="33">
        <v>0</v>
      </c>
      <c r="Q6" s="33">
        <v>0</v>
      </c>
      <c r="R6" s="33">
        <v>0</v>
      </c>
      <c r="S6" s="33">
        <v>0</v>
      </c>
      <c r="T6" s="33">
        <v>0</v>
      </c>
      <c r="U6" s="33">
        <v>0</v>
      </c>
      <c r="V6" s="33">
        <v>0</v>
      </c>
      <c r="W6" s="33">
        <v>0</v>
      </c>
      <c r="X6" s="33">
        <v>0</v>
      </c>
      <c r="Y6" s="33">
        <v>0</v>
      </c>
      <c r="Z6" s="33">
        <v>0</v>
      </c>
      <c r="AA6" s="33">
        <v>0</v>
      </c>
      <c r="AB6" s="33">
        <v>0</v>
      </c>
      <c r="AC6" s="33">
        <v>0</v>
      </c>
      <c r="AD6" s="33">
        <v>0</v>
      </c>
      <c r="AE6" s="33">
        <v>0</v>
      </c>
      <c r="AF6" s="33">
        <v>0</v>
      </c>
      <c r="AG6" s="33">
        <v>0</v>
      </c>
    </row>
    <row r="7" spans="1:33" ht="14.25" customHeight="1">
      <c r="A7" s="10" t="s">
        <v>88</v>
      </c>
      <c r="B7" s="33">
        <v>0</v>
      </c>
      <c r="C7" s="33">
        <v>0</v>
      </c>
      <c r="D7" s="33">
        <v>0</v>
      </c>
      <c r="E7" s="33">
        <v>0</v>
      </c>
      <c r="F7" s="33">
        <v>0</v>
      </c>
      <c r="G7" s="33">
        <v>0</v>
      </c>
      <c r="H7" s="33">
        <v>0</v>
      </c>
      <c r="I7" s="33">
        <v>0</v>
      </c>
      <c r="J7" s="33">
        <v>0</v>
      </c>
      <c r="K7" s="33">
        <v>0</v>
      </c>
      <c r="L7" s="33">
        <v>0</v>
      </c>
      <c r="M7" s="33">
        <v>0</v>
      </c>
      <c r="N7" s="33">
        <v>0</v>
      </c>
      <c r="O7" s="33">
        <v>0</v>
      </c>
      <c r="P7" s="33">
        <v>0</v>
      </c>
      <c r="Q7" s="33">
        <v>0</v>
      </c>
      <c r="R7" s="33">
        <v>0</v>
      </c>
      <c r="S7" s="33">
        <v>0</v>
      </c>
      <c r="T7" s="33">
        <v>0</v>
      </c>
      <c r="U7" s="33">
        <v>0</v>
      </c>
      <c r="V7" s="33">
        <v>0</v>
      </c>
      <c r="W7" s="33">
        <v>0</v>
      </c>
      <c r="X7" s="33">
        <v>0</v>
      </c>
      <c r="Y7" s="33">
        <v>0</v>
      </c>
      <c r="Z7" s="33">
        <v>0</v>
      </c>
      <c r="AA7" s="33">
        <v>0</v>
      </c>
      <c r="AB7" s="33">
        <v>0</v>
      </c>
      <c r="AC7" s="33">
        <v>0</v>
      </c>
      <c r="AD7" s="33">
        <v>0</v>
      </c>
      <c r="AE7" s="33">
        <v>0</v>
      </c>
      <c r="AF7" s="33">
        <v>0</v>
      </c>
      <c r="AG7" s="33">
        <v>0</v>
      </c>
    </row>
    <row r="8" spans="1:33" ht="14.25" customHeight="1">
      <c r="A8" s="10" t="s">
        <v>89</v>
      </c>
      <c r="B8" s="33">
        <v>0</v>
      </c>
      <c r="C8" s="33">
        <v>0</v>
      </c>
      <c r="D8" s="33">
        <v>0</v>
      </c>
      <c r="E8" s="33">
        <v>0</v>
      </c>
      <c r="F8" s="33">
        <v>0</v>
      </c>
      <c r="G8" s="33">
        <v>0</v>
      </c>
      <c r="H8" s="33">
        <v>0</v>
      </c>
      <c r="I8" s="33">
        <v>0</v>
      </c>
      <c r="J8" s="33">
        <v>0</v>
      </c>
      <c r="K8" s="33">
        <v>0</v>
      </c>
      <c r="L8" s="33">
        <v>0</v>
      </c>
      <c r="M8" s="33">
        <v>0</v>
      </c>
      <c r="N8" s="33">
        <v>0</v>
      </c>
      <c r="O8" s="33">
        <v>0</v>
      </c>
      <c r="P8" s="33">
        <v>0</v>
      </c>
      <c r="Q8" s="33">
        <v>0</v>
      </c>
      <c r="R8" s="33">
        <v>0</v>
      </c>
      <c r="S8" s="33">
        <v>0</v>
      </c>
      <c r="T8" s="33">
        <v>0</v>
      </c>
      <c r="U8" s="33">
        <v>0</v>
      </c>
      <c r="V8" s="33">
        <v>0</v>
      </c>
      <c r="W8" s="33">
        <v>0</v>
      </c>
      <c r="X8" s="33">
        <v>0</v>
      </c>
      <c r="Y8" s="33">
        <v>0</v>
      </c>
      <c r="Z8" s="33">
        <v>0</v>
      </c>
      <c r="AA8" s="33">
        <v>0</v>
      </c>
      <c r="AB8" s="33">
        <v>0</v>
      </c>
      <c r="AC8" s="33">
        <v>0</v>
      </c>
      <c r="AD8" s="33">
        <v>0</v>
      </c>
      <c r="AE8" s="33">
        <v>0</v>
      </c>
      <c r="AF8" s="33">
        <v>0</v>
      </c>
      <c r="AG8" s="33">
        <v>0</v>
      </c>
    </row>
    <row r="9" spans="1:33" ht="14.25" customHeight="1">
      <c r="A9" s="10" t="s">
        <v>90</v>
      </c>
      <c r="B9" s="33">
        <v>0</v>
      </c>
      <c r="C9" s="33">
        <v>0</v>
      </c>
      <c r="D9" s="33">
        <v>0</v>
      </c>
      <c r="E9" s="33">
        <v>0</v>
      </c>
      <c r="F9" s="33">
        <v>0</v>
      </c>
      <c r="G9" s="33">
        <v>0</v>
      </c>
      <c r="H9" s="33">
        <v>0</v>
      </c>
      <c r="I9" s="33">
        <v>0</v>
      </c>
      <c r="J9" s="33">
        <v>0</v>
      </c>
      <c r="K9" s="33">
        <v>0</v>
      </c>
      <c r="L9" s="33">
        <v>0</v>
      </c>
      <c r="M9" s="33">
        <v>0</v>
      </c>
      <c r="N9" s="33">
        <v>0</v>
      </c>
      <c r="O9" s="33">
        <v>0</v>
      </c>
      <c r="P9" s="33">
        <v>0</v>
      </c>
      <c r="Q9" s="33">
        <v>0</v>
      </c>
      <c r="R9" s="33">
        <v>0</v>
      </c>
      <c r="S9" s="33">
        <v>0</v>
      </c>
      <c r="T9" s="33">
        <v>0</v>
      </c>
      <c r="U9" s="33">
        <v>0</v>
      </c>
      <c r="V9" s="33">
        <v>0</v>
      </c>
      <c r="W9" s="33">
        <v>0</v>
      </c>
      <c r="X9" s="33">
        <v>0</v>
      </c>
      <c r="Y9" s="33">
        <v>0</v>
      </c>
      <c r="Z9" s="33">
        <v>0</v>
      </c>
      <c r="AA9" s="33">
        <v>0</v>
      </c>
      <c r="AB9" s="33">
        <v>0</v>
      </c>
      <c r="AC9" s="33">
        <v>0</v>
      </c>
      <c r="AD9" s="33">
        <v>0</v>
      </c>
      <c r="AE9" s="33">
        <v>0</v>
      </c>
      <c r="AF9" s="33">
        <v>0</v>
      </c>
      <c r="AG9" s="33">
        <v>0</v>
      </c>
    </row>
    <row r="10" spans="1:33" ht="14.25" customHeight="1">
      <c r="A10" s="10" t="s">
        <v>91</v>
      </c>
      <c r="B10" s="33">
        <v>0</v>
      </c>
      <c r="C10" s="33">
        <v>0</v>
      </c>
      <c r="D10" s="33">
        <v>0</v>
      </c>
      <c r="E10" s="33">
        <v>0</v>
      </c>
      <c r="F10" s="33">
        <v>0</v>
      </c>
      <c r="G10" s="33">
        <v>0</v>
      </c>
      <c r="H10" s="33">
        <v>0</v>
      </c>
      <c r="I10" s="33">
        <v>0</v>
      </c>
      <c r="J10" s="33">
        <v>0</v>
      </c>
      <c r="K10" s="33">
        <v>0</v>
      </c>
      <c r="L10" s="33">
        <v>0</v>
      </c>
      <c r="M10" s="33">
        <v>0</v>
      </c>
      <c r="N10" s="33">
        <v>0</v>
      </c>
      <c r="O10" s="33">
        <v>0</v>
      </c>
      <c r="P10" s="33">
        <v>0</v>
      </c>
      <c r="Q10" s="33">
        <v>0</v>
      </c>
      <c r="R10" s="33">
        <v>0</v>
      </c>
      <c r="S10" s="33">
        <v>0</v>
      </c>
      <c r="T10" s="33">
        <v>0</v>
      </c>
      <c r="U10" s="33">
        <v>0</v>
      </c>
      <c r="V10" s="33">
        <v>0</v>
      </c>
      <c r="W10" s="33">
        <v>0</v>
      </c>
      <c r="X10" s="33">
        <v>0</v>
      </c>
      <c r="Y10" s="33">
        <v>0</v>
      </c>
      <c r="Z10" s="33">
        <v>0</v>
      </c>
      <c r="AA10" s="33">
        <v>0</v>
      </c>
      <c r="AB10" s="33">
        <v>0</v>
      </c>
      <c r="AC10" s="33">
        <v>0</v>
      </c>
      <c r="AD10" s="33">
        <v>0</v>
      </c>
      <c r="AE10" s="33">
        <v>0</v>
      </c>
      <c r="AF10" s="33">
        <v>0</v>
      </c>
      <c r="AG10" s="33">
        <v>0</v>
      </c>
    </row>
    <row r="11" spans="1:33" ht="14.25" customHeight="1">
      <c r="A11" s="10" t="s">
        <v>92</v>
      </c>
      <c r="B11" s="33">
        <v>0</v>
      </c>
      <c r="C11" s="33">
        <v>0</v>
      </c>
      <c r="D11" s="33">
        <v>0</v>
      </c>
      <c r="E11" s="33">
        <v>0</v>
      </c>
      <c r="F11" s="33">
        <v>0</v>
      </c>
      <c r="G11" s="33">
        <v>0</v>
      </c>
      <c r="H11" s="33">
        <v>0</v>
      </c>
      <c r="I11" s="33">
        <v>0</v>
      </c>
      <c r="J11" s="33">
        <v>0</v>
      </c>
      <c r="K11" s="33">
        <v>0</v>
      </c>
      <c r="L11" s="33">
        <v>0</v>
      </c>
      <c r="M11" s="33">
        <v>0</v>
      </c>
      <c r="N11" s="33">
        <v>0</v>
      </c>
      <c r="O11" s="33">
        <v>0</v>
      </c>
      <c r="P11" s="33">
        <v>0</v>
      </c>
      <c r="Q11" s="33">
        <v>0</v>
      </c>
      <c r="R11" s="33">
        <v>0</v>
      </c>
      <c r="S11" s="33">
        <v>0</v>
      </c>
      <c r="T11" s="33">
        <v>0</v>
      </c>
      <c r="U11" s="33">
        <v>0</v>
      </c>
      <c r="V11" s="33">
        <v>0</v>
      </c>
      <c r="W11" s="33">
        <v>0</v>
      </c>
      <c r="X11" s="33">
        <v>0</v>
      </c>
      <c r="Y11" s="33">
        <v>0</v>
      </c>
      <c r="Z11" s="33">
        <v>0</v>
      </c>
      <c r="AA11" s="33">
        <v>0</v>
      </c>
      <c r="AB11" s="33">
        <v>0</v>
      </c>
      <c r="AC11" s="33">
        <v>0</v>
      </c>
      <c r="AD11" s="33">
        <v>0</v>
      </c>
      <c r="AE11" s="33">
        <v>0</v>
      </c>
      <c r="AF11" s="33">
        <v>0</v>
      </c>
      <c r="AG11" s="33">
        <v>0</v>
      </c>
    </row>
    <row r="12" spans="1:33" ht="14.25" customHeight="1">
      <c r="A12" s="10" t="s">
        <v>93</v>
      </c>
      <c r="B12" s="33">
        <v>0</v>
      </c>
      <c r="C12" s="33">
        <v>0</v>
      </c>
      <c r="D12" s="33">
        <v>0</v>
      </c>
      <c r="E12" s="33">
        <v>0</v>
      </c>
      <c r="F12" s="33">
        <v>0</v>
      </c>
      <c r="G12" s="33">
        <v>0</v>
      </c>
      <c r="H12" s="33">
        <v>0</v>
      </c>
      <c r="I12" s="33">
        <v>0</v>
      </c>
      <c r="J12" s="33">
        <v>0</v>
      </c>
      <c r="K12" s="33">
        <v>0</v>
      </c>
      <c r="L12" s="33">
        <v>0</v>
      </c>
      <c r="M12" s="33">
        <v>0</v>
      </c>
      <c r="N12" s="33">
        <v>0</v>
      </c>
      <c r="O12" s="33">
        <v>0</v>
      </c>
      <c r="P12" s="33">
        <v>0</v>
      </c>
      <c r="Q12" s="33">
        <v>0</v>
      </c>
      <c r="R12" s="33">
        <v>0</v>
      </c>
      <c r="S12" s="33">
        <v>0</v>
      </c>
      <c r="T12" s="33">
        <v>0</v>
      </c>
      <c r="U12" s="33">
        <v>0</v>
      </c>
      <c r="V12" s="33">
        <v>0</v>
      </c>
      <c r="W12" s="33">
        <v>0</v>
      </c>
      <c r="X12" s="33">
        <v>0</v>
      </c>
      <c r="Y12" s="33">
        <v>0</v>
      </c>
      <c r="Z12" s="33">
        <v>0</v>
      </c>
      <c r="AA12" s="33">
        <v>0</v>
      </c>
      <c r="AB12" s="33">
        <v>0</v>
      </c>
      <c r="AC12" s="33">
        <v>0</v>
      </c>
      <c r="AD12" s="33">
        <v>0</v>
      </c>
      <c r="AE12" s="33">
        <v>0</v>
      </c>
      <c r="AF12" s="33">
        <v>0</v>
      </c>
      <c r="AG12" s="33">
        <v>0</v>
      </c>
    </row>
    <row r="13" spans="1:33" ht="14.25" customHeight="1">
      <c r="A13" s="10" t="s">
        <v>94</v>
      </c>
      <c r="B13" s="33">
        <v>0</v>
      </c>
      <c r="C13" s="33">
        <v>0</v>
      </c>
      <c r="D13" s="33">
        <v>0</v>
      </c>
      <c r="E13" s="33">
        <v>0</v>
      </c>
      <c r="F13" s="33">
        <v>0</v>
      </c>
      <c r="G13" s="33">
        <v>0</v>
      </c>
      <c r="H13" s="33">
        <v>0</v>
      </c>
      <c r="I13" s="33">
        <v>0</v>
      </c>
      <c r="J13" s="33">
        <v>0</v>
      </c>
      <c r="K13" s="33">
        <v>0</v>
      </c>
      <c r="L13" s="33">
        <v>0</v>
      </c>
      <c r="M13" s="33">
        <v>0</v>
      </c>
      <c r="N13" s="33">
        <v>0</v>
      </c>
      <c r="O13" s="33">
        <v>0</v>
      </c>
      <c r="P13" s="33">
        <v>0</v>
      </c>
      <c r="Q13" s="33">
        <v>0</v>
      </c>
      <c r="R13" s="33">
        <v>0</v>
      </c>
      <c r="S13" s="33">
        <v>0</v>
      </c>
      <c r="T13" s="33">
        <v>0</v>
      </c>
      <c r="U13" s="33">
        <v>0</v>
      </c>
      <c r="V13" s="33">
        <v>0</v>
      </c>
      <c r="W13" s="33">
        <v>0</v>
      </c>
      <c r="X13" s="33">
        <v>0</v>
      </c>
      <c r="Y13" s="33">
        <v>0</v>
      </c>
      <c r="Z13" s="33">
        <v>0</v>
      </c>
      <c r="AA13" s="33">
        <v>0</v>
      </c>
      <c r="AB13" s="33">
        <v>0</v>
      </c>
      <c r="AC13" s="33">
        <v>0</v>
      </c>
      <c r="AD13" s="33">
        <v>0</v>
      </c>
      <c r="AE13" s="33">
        <v>0</v>
      </c>
      <c r="AF13" s="33">
        <v>0</v>
      </c>
      <c r="AG13" s="33">
        <v>0</v>
      </c>
    </row>
    <row r="14" spans="1:33" ht="14.25" customHeight="1">
      <c r="A14" s="10" t="s">
        <v>95</v>
      </c>
      <c r="B14" s="33">
        <v>0</v>
      </c>
      <c r="C14" s="33">
        <v>0</v>
      </c>
      <c r="D14" s="33">
        <v>0</v>
      </c>
      <c r="E14" s="33">
        <v>0</v>
      </c>
      <c r="F14" s="33">
        <v>0</v>
      </c>
      <c r="G14" s="33">
        <v>0</v>
      </c>
      <c r="H14" s="33">
        <v>0</v>
      </c>
      <c r="I14" s="33">
        <v>0</v>
      </c>
      <c r="J14" s="33">
        <v>0</v>
      </c>
      <c r="K14" s="33">
        <v>0</v>
      </c>
      <c r="L14" s="33">
        <v>0</v>
      </c>
      <c r="M14" s="33">
        <v>0</v>
      </c>
      <c r="N14" s="33">
        <v>0</v>
      </c>
      <c r="O14" s="33">
        <v>0</v>
      </c>
      <c r="P14" s="33">
        <v>0</v>
      </c>
      <c r="Q14" s="33">
        <v>0</v>
      </c>
      <c r="R14" s="33">
        <v>0</v>
      </c>
      <c r="S14" s="33">
        <v>0</v>
      </c>
      <c r="T14" s="33">
        <v>0</v>
      </c>
      <c r="U14" s="33">
        <v>0</v>
      </c>
      <c r="V14" s="33">
        <v>0</v>
      </c>
      <c r="W14" s="33">
        <v>0</v>
      </c>
      <c r="X14" s="33">
        <v>0</v>
      </c>
      <c r="Y14" s="33">
        <v>0</v>
      </c>
      <c r="Z14" s="33">
        <v>0</v>
      </c>
      <c r="AA14" s="33">
        <v>0</v>
      </c>
      <c r="AB14" s="33">
        <v>0</v>
      </c>
      <c r="AC14" s="33">
        <v>0</v>
      </c>
      <c r="AD14" s="33">
        <v>0</v>
      </c>
      <c r="AE14" s="33">
        <v>0</v>
      </c>
      <c r="AF14" s="33">
        <v>0</v>
      </c>
      <c r="AG14" s="33">
        <v>0</v>
      </c>
    </row>
    <row r="15" spans="1:33" ht="14.25" customHeight="1">
      <c r="A15" s="10" t="s">
        <v>96</v>
      </c>
      <c r="B15" s="33">
        <v>0</v>
      </c>
      <c r="C15" s="33">
        <v>0</v>
      </c>
      <c r="D15" s="33">
        <v>0</v>
      </c>
      <c r="E15" s="33">
        <v>0</v>
      </c>
      <c r="F15" s="33">
        <v>0</v>
      </c>
      <c r="G15" s="33">
        <v>0</v>
      </c>
      <c r="H15" s="33">
        <v>0</v>
      </c>
      <c r="I15" s="33">
        <v>0</v>
      </c>
      <c r="J15" s="33">
        <v>0</v>
      </c>
      <c r="K15" s="33">
        <v>0</v>
      </c>
      <c r="L15" s="33">
        <v>0</v>
      </c>
      <c r="M15" s="33">
        <v>0</v>
      </c>
      <c r="N15" s="33">
        <v>0</v>
      </c>
      <c r="O15" s="33">
        <v>0</v>
      </c>
      <c r="P15" s="33">
        <v>0</v>
      </c>
      <c r="Q15" s="33">
        <v>0</v>
      </c>
      <c r="R15" s="33">
        <v>0</v>
      </c>
      <c r="S15" s="33">
        <v>0</v>
      </c>
      <c r="T15" s="33">
        <v>0</v>
      </c>
      <c r="U15" s="33">
        <v>0</v>
      </c>
      <c r="V15" s="33">
        <v>0</v>
      </c>
      <c r="W15" s="33">
        <v>0</v>
      </c>
      <c r="X15" s="33">
        <v>0</v>
      </c>
      <c r="Y15" s="33">
        <v>0</v>
      </c>
      <c r="Z15" s="33">
        <v>0</v>
      </c>
      <c r="AA15" s="33">
        <v>0</v>
      </c>
      <c r="AB15" s="33">
        <v>0</v>
      </c>
      <c r="AC15" s="33">
        <v>0</v>
      </c>
      <c r="AD15" s="33">
        <v>0</v>
      </c>
      <c r="AE15" s="33">
        <v>0</v>
      </c>
      <c r="AF15" s="33">
        <v>0</v>
      </c>
      <c r="AG15" s="33">
        <v>0</v>
      </c>
    </row>
    <row r="16" spans="1:33" ht="14.25" customHeight="1">
      <c r="A16" s="10" t="s">
        <v>97</v>
      </c>
      <c r="B16" s="33">
        <v>0</v>
      </c>
      <c r="C16" s="33">
        <v>0</v>
      </c>
      <c r="D16" s="33">
        <v>0</v>
      </c>
      <c r="E16" s="33">
        <v>0</v>
      </c>
      <c r="F16" s="33">
        <v>0</v>
      </c>
      <c r="G16" s="33">
        <v>0</v>
      </c>
      <c r="H16" s="33">
        <v>0</v>
      </c>
      <c r="I16" s="33">
        <v>0</v>
      </c>
      <c r="J16" s="33">
        <v>0</v>
      </c>
      <c r="K16" s="33">
        <v>0</v>
      </c>
      <c r="L16" s="33">
        <v>0</v>
      </c>
      <c r="M16" s="33">
        <v>0</v>
      </c>
      <c r="N16" s="33">
        <v>0</v>
      </c>
      <c r="O16" s="33">
        <v>0</v>
      </c>
      <c r="P16" s="33">
        <v>0</v>
      </c>
      <c r="Q16" s="33">
        <v>0</v>
      </c>
      <c r="R16" s="33">
        <v>0</v>
      </c>
      <c r="S16" s="33">
        <v>0</v>
      </c>
      <c r="T16" s="33">
        <v>0</v>
      </c>
      <c r="U16" s="33">
        <v>0</v>
      </c>
      <c r="V16" s="33">
        <v>0</v>
      </c>
      <c r="W16" s="33">
        <v>0</v>
      </c>
      <c r="X16" s="33">
        <v>0</v>
      </c>
      <c r="Y16" s="33">
        <v>0</v>
      </c>
      <c r="Z16" s="33">
        <v>0</v>
      </c>
      <c r="AA16" s="33">
        <v>0</v>
      </c>
      <c r="AB16" s="33">
        <v>0</v>
      </c>
      <c r="AC16" s="33">
        <v>0</v>
      </c>
      <c r="AD16" s="33">
        <v>0</v>
      </c>
      <c r="AE16" s="33">
        <v>0</v>
      </c>
      <c r="AF16" s="33">
        <v>0</v>
      </c>
      <c r="AG16" s="33">
        <v>0</v>
      </c>
    </row>
    <row r="17" spans="1:33" ht="14.25" customHeight="1">
      <c r="A17" s="10" t="s">
        <v>98</v>
      </c>
      <c r="B17" s="33">
        <v>0</v>
      </c>
      <c r="C17" s="33">
        <v>0</v>
      </c>
      <c r="D17" s="33">
        <v>0</v>
      </c>
      <c r="E17" s="33">
        <v>0</v>
      </c>
      <c r="F17" s="33">
        <v>0</v>
      </c>
      <c r="G17" s="33">
        <v>0</v>
      </c>
      <c r="H17" s="33">
        <v>0</v>
      </c>
      <c r="I17" s="33">
        <v>0</v>
      </c>
      <c r="J17" s="33">
        <v>0</v>
      </c>
      <c r="K17" s="33">
        <v>0</v>
      </c>
      <c r="L17" s="33">
        <v>0</v>
      </c>
      <c r="M17" s="33">
        <v>0</v>
      </c>
      <c r="N17" s="33">
        <v>0</v>
      </c>
      <c r="O17" s="33">
        <v>0</v>
      </c>
      <c r="P17" s="33">
        <v>0</v>
      </c>
      <c r="Q17" s="33">
        <v>0</v>
      </c>
      <c r="R17" s="33">
        <v>0</v>
      </c>
      <c r="S17" s="33">
        <v>0</v>
      </c>
      <c r="T17" s="33">
        <v>0</v>
      </c>
      <c r="U17" s="33">
        <v>0</v>
      </c>
      <c r="V17" s="33">
        <v>0</v>
      </c>
      <c r="W17" s="33">
        <v>0</v>
      </c>
      <c r="X17" s="33">
        <v>0</v>
      </c>
      <c r="Y17" s="33">
        <v>0</v>
      </c>
      <c r="Z17" s="33">
        <v>0</v>
      </c>
      <c r="AA17" s="33">
        <v>0</v>
      </c>
      <c r="AB17" s="33">
        <v>0</v>
      </c>
      <c r="AC17" s="33">
        <v>0</v>
      </c>
      <c r="AD17" s="33">
        <v>0</v>
      </c>
      <c r="AE17" s="33">
        <v>0</v>
      </c>
      <c r="AF17" s="33">
        <v>0</v>
      </c>
      <c r="AG17" s="33">
        <v>0</v>
      </c>
    </row>
    <row r="18" spans="1:33" ht="14.25" customHeight="1"/>
    <row r="19" spans="1:33" ht="14.25" customHeight="1"/>
    <row r="20" spans="1:33" ht="14.25" customHeight="1"/>
    <row r="21" spans="1:33" ht="14.25" customHeight="1"/>
    <row r="22" spans="1:33" ht="14.25" customHeight="1"/>
    <row r="23" spans="1:33" ht="14.25" customHeight="1"/>
    <row r="24" spans="1:33" ht="14.25" customHeight="1"/>
    <row r="25" spans="1:33" ht="14.25" customHeight="1"/>
    <row r="26" spans="1:33" ht="14.25" customHeight="1"/>
    <row r="27" spans="1:33" ht="14.25" customHeight="1"/>
    <row r="28" spans="1:33" ht="14.25" customHeight="1"/>
    <row r="29" spans="1:33" ht="14.25" customHeight="1"/>
    <row r="30" spans="1:33" ht="14.25" customHeight="1"/>
    <row r="31" spans="1:33" ht="14.25" customHeight="1"/>
    <row r="32" spans="1:3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13</vt:i4>
      </vt:variant>
    </vt:vector>
  </HeadingPairs>
  <TitlesOfParts>
    <vt:vector size="13" baseType="lpstr">
      <vt:lpstr>About</vt:lpstr>
      <vt:lpstr>solar thermal</vt:lpstr>
      <vt:lpstr>nuclear</vt:lpstr>
      <vt:lpstr>capital processing</vt:lpstr>
      <vt:lpstr>Cal</vt:lpstr>
      <vt:lpstr>CCaMC-AFOaMCpUC-pre-ret</vt:lpstr>
      <vt:lpstr>CCaMC-AFOaMCpUC-pre-nonret</vt:lpstr>
      <vt:lpstr>CCaMC-AFOaMCpUC-new</vt:lpstr>
      <vt:lpstr>CCaMC-VOaMCpUC-pre-ret</vt:lpstr>
      <vt:lpstr>CCaMC-VOaMCpUC-pre-nonret</vt:lpstr>
      <vt:lpstr>CCaMC-VOaMCpUC-new</vt:lpstr>
      <vt:lpstr>CCaMC-BCCpUC</vt:lpstr>
      <vt:lpstr>CCaMC-BSCpUC</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Zefania Sutrisno</dc:creator>
  <cp:lastModifiedBy>Saidou Sy</cp:lastModifiedBy>
  <dcterms:created xsi:type="dcterms:W3CDTF">2015-06-05T18:17:20Z</dcterms:created>
  <dcterms:modified xsi:type="dcterms:W3CDTF">2025-12-12T12:02:27Z</dcterms:modified>
</cp:coreProperties>
</file>