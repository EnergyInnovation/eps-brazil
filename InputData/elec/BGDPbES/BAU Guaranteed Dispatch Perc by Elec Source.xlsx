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BGDPbES/"/>
    </mc:Choice>
  </mc:AlternateContent>
  <xr:revisionPtr revIDLastSave="0" documentId="13_ncr:1_{194B89FA-2EB9-1B47-AE6F-6D7C7C6E6D1A}" xr6:coauthVersionLast="47" xr6:coauthVersionMax="47" xr10:uidLastSave="{00000000-0000-0000-0000-000000000000}"/>
  <bookViews>
    <workbookView xWindow="0" yWindow="780" windowWidth="34200" windowHeight="21360" activeTab="5" xr2:uid="{00000000-000D-0000-FFFF-FFFF00000000}"/>
  </bookViews>
  <sheets>
    <sheet name="About" sheetId="1" r:id="rId1"/>
    <sheet name="STEO 7d" sheetId="3" r:id="rId2"/>
    <sheet name="Capacity" sheetId="4" r:id="rId3"/>
    <sheet name="Capacity Factors" sheetId="5" r:id="rId4"/>
    <sheet name="2020 Calculations" sheetId="6" r:id="rId5"/>
    <sheet name="BGDPb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J17" i="2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B3" i="6"/>
  <c r="B2" i="6"/>
  <c r="C2" i="6"/>
  <c r="C3" i="6" s="1"/>
  <c r="T17" i="3" l="1"/>
  <c r="U17" i="3"/>
  <c r="T19" i="3"/>
  <c r="U19" i="3"/>
  <c r="S17" i="3"/>
  <c r="S19" i="3"/>
  <c r="S20" i="3"/>
  <c r="P8" i="3"/>
  <c r="T8" i="3" s="1"/>
  <c r="Q8" i="3"/>
  <c r="U8" i="3" s="1"/>
  <c r="P9" i="3"/>
  <c r="T9" i="3" s="1"/>
  <c r="Q9" i="3"/>
  <c r="U9" i="3" s="1"/>
  <c r="P10" i="3"/>
  <c r="T10" i="3" s="1"/>
  <c r="Q10" i="3"/>
  <c r="U10" i="3" s="1"/>
  <c r="P11" i="3"/>
  <c r="Q11" i="3"/>
  <c r="P12" i="3"/>
  <c r="T12" i="3" s="1"/>
  <c r="Q12" i="3"/>
  <c r="U12" i="3" s="1"/>
  <c r="P13" i="3"/>
  <c r="T13" i="3" s="1"/>
  <c r="Q13" i="3"/>
  <c r="U13" i="3" s="1"/>
  <c r="P14" i="3"/>
  <c r="T14" i="3" s="1"/>
  <c r="Q14" i="3"/>
  <c r="U14" i="3" s="1"/>
  <c r="P15" i="3"/>
  <c r="T15" i="3" s="1"/>
  <c r="Q15" i="3"/>
  <c r="U15" i="3" s="1"/>
  <c r="P16" i="3"/>
  <c r="T16" i="3" s="1"/>
  <c r="Q16" i="3"/>
  <c r="U16" i="3" s="1"/>
  <c r="P18" i="3"/>
  <c r="T18" i="3" s="1"/>
  <c r="Q18" i="3"/>
  <c r="U18" i="3" s="1"/>
  <c r="P20" i="3"/>
  <c r="T20" i="3" s="1"/>
  <c r="Q20" i="3"/>
  <c r="U20" i="3" s="1"/>
  <c r="P21" i="3"/>
  <c r="T21" i="3" s="1"/>
  <c r="Q21" i="3"/>
  <c r="U21" i="3" s="1"/>
  <c r="O20" i="3"/>
  <c r="O21" i="3"/>
  <c r="S21" i="3" s="1"/>
  <c r="O18" i="3"/>
  <c r="S18" i="3" s="1"/>
  <c r="O16" i="3"/>
  <c r="S16" i="3" s="1"/>
  <c r="O15" i="3"/>
  <c r="S15" i="3" s="1"/>
  <c r="O14" i="3"/>
  <c r="S14" i="3" s="1"/>
  <c r="O13" i="3"/>
  <c r="S13" i="3" s="1"/>
  <c r="O12" i="3"/>
  <c r="S12" i="3" s="1"/>
  <c r="O11" i="3"/>
  <c r="O10" i="3"/>
  <c r="S10" i="3" s="1"/>
  <c r="O9" i="3"/>
  <c r="S9" i="3" s="1"/>
  <c r="O8" i="3"/>
  <c r="S8" i="3" s="1"/>
</calcChain>
</file>

<file path=xl/sharedStrings.xml><?xml version="1.0" encoding="utf-8"?>
<sst xmlns="http://schemas.openxmlformats.org/spreadsheetml/2006/main" count="564" uniqueCount="351">
  <si>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</si>
  <si>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</si>
  <si>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</si>
  <si>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</si>
  <si>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</si>
  <si>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</si>
  <si>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</si>
  <si>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</si>
  <si>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</si>
  <si>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</si>
  <si>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natural gas nonpeaker</t>
  </si>
  <si>
    <t>BGDPbES BAU Guaranteed Dispatch Percentage by Electricity Source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</si>
  <si>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</si>
  <si>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</si>
  <si>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</si>
  <si>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</si>
  <si>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</si>
  <si>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</si>
  <si>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</si>
  <si>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</si>
  <si>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</si>
  <si>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</si>
  <si>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</si>
  <si>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</si>
  <si>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</si>
  <si>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</si>
  <si>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7d. U.S. Regional Electricity Generation, Electric Power Sector</t>
  </si>
  <si>
    <t>https://www.eia.gov/outlooks/steo/data/browser/#/?v=22&amp;f=A&amp;s=0&amp;maptype=0&amp;ctype=linechart</t>
  </si>
  <si>
    <t>Wed Jun 01 2022 10:35:45 GMT-0700 (Pacific Daylight Time)</t>
  </si>
  <si>
    <t>Source: U.S. Energy Information Administration</t>
  </si>
  <si>
    <t>remove</t>
  </si>
  <si>
    <t>map</t>
  </si>
  <si>
    <t>linechart</t>
  </si>
  <si>
    <t>units</t>
  </si>
  <si>
    <t>source key</t>
  </si>
  <si>
    <t>United States</t>
  </si>
  <si>
    <t>Natural gas</t>
  </si>
  <si>
    <t>Electric power sector generation by natural gas: U.S. total</t>
  </si>
  <si>
    <t>billion kilowatthours</t>
  </si>
  <si>
    <t>NGEPGEN_US</t>
  </si>
  <si>
    <t>Coal</t>
  </si>
  <si>
    <t>Electric power sector generation by coal: U.S. total</t>
  </si>
  <si>
    <t>CLEPGEN_US</t>
  </si>
  <si>
    <t>Nuclear</t>
  </si>
  <si>
    <t>Electric power sector generation by nuclear: U.S. total</t>
  </si>
  <si>
    <t>NUEPGEN_US</t>
  </si>
  <si>
    <t>Renewable energy sources</t>
  </si>
  <si>
    <t>Electric power sector generation by renewables: U.S. total</t>
  </si>
  <si>
    <t>RTEPGEN_US</t>
  </si>
  <si>
    <t>Conventional hydropower</t>
  </si>
  <si>
    <t>Electric power sector generation by conventional hydropower: U.S. total</t>
  </si>
  <si>
    <t>HVEPGEN_US</t>
  </si>
  <si>
    <t>Wind</t>
  </si>
  <si>
    <t>Electric power sector generation by wind: U.S. total</t>
  </si>
  <si>
    <t>WNEPGEN_US</t>
  </si>
  <si>
    <t xml:space="preserve">Solar </t>
  </si>
  <si>
    <t>Electric power sector generation by solar: U.S. total</t>
  </si>
  <si>
    <t>SOEPGEN_US</t>
  </si>
  <si>
    <t>Biomass</t>
  </si>
  <si>
    <t>Electric power sector generation by biomass: U.S. total</t>
  </si>
  <si>
    <t>BMEPGEN_US</t>
  </si>
  <si>
    <t>Geothermal</t>
  </si>
  <si>
    <t>Electric power sector generation by geothermal: U.S. total</t>
  </si>
  <si>
    <t>GEEPGEN_US</t>
  </si>
  <si>
    <t>Pumped storage hydropower</t>
  </si>
  <si>
    <t>Electric power sector generation by pumped storage hydropower: U.S. total</t>
  </si>
  <si>
    <t>HPEPGEN_US</t>
  </si>
  <si>
    <t xml:space="preserve">Petroleum </t>
  </si>
  <si>
    <t>Electric power sector generation by petroleum: U.S. total</t>
  </si>
  <si>
    <t>PAEPGEN_US</t>
  </si>
  <si>
    <t>Other gases</t>
  </si>
  <si>
    <t>Electric power sector generation by other gases: U.S. total</t>
  </si>
  <si>
    <t>OGEPGEN_US</t>
  </si>
  <si>
    <t>Other nonrenewable fuels</t>
  </si>
  <si>
    <t>Electric power sector generation by other nonrenewable fuels: U.S. total</t>
  </si>
  <si>
    <t>OBEPGEN_US</t>
  </si>
  <si>
    <t>Total net generation</t>
  </si>
  <si>
    <t>Total Electric Power Sector Net Generation: U.S. Total</t>
  </si>
  <si>
    <t>TOEPGEN_US</t>
  </si>
  <si>
    <t>New England (ISO-NE)</t>
  </si>
  <si>
    <t>Electric power sector generation by natural gas: New England (ISO-NE)</t>
  </si>
  <si>
    <t>NGEPGEN_NE</t>
  </si>
  <si>
    <t>Electric power sector generation by coal: New England (ISO-NE)</t>
  </si>
  <si>
    <t>CLEPGEN_NE</t>
  </si>
  <si>
    <t>Electric power sector generation by nuclear: New England (ISO-NE)</t>
  </si>
  <si>
    <t>NUEPGEN_NE</t>
  </si>
  <si>
    <t>Electric power sector generation by conventional hydropower: New England (ISO-NE)</t>
  </si>
  <si>
    <t>HVEPGEN_NE</t>
  </si>
  <si>
    <t xml:space="preserve">Nonhydro renewables </t>
  </si>
  <si>
    <t>Electric power sector generation by non-hydropower renewables</t>
  </si>
  <si>
    <t>RNEPGEN_NE</t>
  </si>
  <si>
    <t xml:space="preserve">Other energy sources </t>
  </si>
  <si>
    <t>Electric power sector generation by other energy sources: New England (ISO-NE)</t>
  </si>
  <si>
    <t>XXEPGEN_NE</t>
  </si>
  <si>
    <t>Total generation</t>
  </si>
  <si>
    <t>Total electric power sector net generation: New England (ISO-NE)</t>
  </si>
  <si>
    <t>TOEPGEN_NE</t>
  </si>
  <si>
    <t xml:space="preserve">Net energy for load </t>
  </si>
  <si>
    <t>Net energy for load: New England (ISO-NE)</t>
  </si>
  <si>
    <t>ELLOAD_NE</t>
  </si>
  <si>
    <t>New York (NYISO)</t>
  </si>
  <si>
    <t>Electric power sector generation by natural gas: New York (NYISO)</t>
  </si>
  <si>
    <t>NGEPGEN_NY</t>
  </si>
  <si>
    <t>Electric power sector generation by coal: New York (NYISO)</t>
  </si>
  <si>
    <t>CLEPGEN_NY</t>
  </si>
  <si>
    <t>Electric power sector generation by nuclear: New York (NYISO)</t>
  </si>
  <si>
    <t>NUEPGEN_NY</t>
  </si>
  <si>
    <t>Electric power sector generation by conventional hydropower: New York (NYISO)</t>
  </si>
  <si>
    <t>HVEPGEN_NY</t>
  </si>
  <si>
    <t>RNEPGEN_NY</t>
  </si>
  <si>
    <t>Electric power sector generation by other energy sources: New York (NYISO)</t>
  </si>
  <si>
    <t>XXEPGEN_NY</t>
  </si>
  <si>
    <t>Total electric power sector net generation: New York (NYISO)</t>
  </si>
  <si>
    <t>TOEPGEN_NY</t>
  </si>
  <si>
    <t>Net energy for load: New York (NYISO)</t>
  </si>
  <si>
    <t>ELLOAD_NY</t>
  </si>
  <si>
    <t>Mid-Atlantic (PJM)</t>
  </si>
  <si>
    <t>Electric power sector generation by natural gas: Mid-Atlantic (PJM)</t>
  </si>
  <si>
    <t>NGEPGEN_PJ</t>
  </si>
  <si>
    <t>Electric power sector generation by coal: Mid-Atlantic (PJM)</t>
  </si>
  <si>
    <t>CLEPGEN_PJ</t>
  </si>
  <si>
    <t>Electric power sector generation by nuclear: Mid-Atlantic (PJM)</t>
  </si>
  <si>
    <t>NUEPGEN_PJ</t>
  </si>
  <si>
    <t>Electric power sector generation by conventional hydropower: Mid-Atlantic (PJM)</t>
  </si>
  <si>
    <t>HVEPGEN_PJ</t>
  </si>
  <si>
    <t>RNEPGEN_PJ</t>
  </si>
  <si>
    <t>Electric power sector generation by other energy sources: Mid-Atlantic (PJM)</t>
  </si>
  <si>
    <t>XXEPGEN_PJ</t>
  </si>
  <si>
    <t>Total electric power sector net generation: Mid-Atlantic (PJM)</t>
  </si>
  <si>
    <t>TOEPGEN_PJ</t>
  </si>
  <si>
    <t>Net energy for load: Mid-Atlantic (PJM)</t>
  </si>
  <si>
    <t>ELLOAD_PJ</t>
  </si>
  <si>
    <t>Southeast (SERC)</t>
  </si>
  <si>
    <t>Electric power sector generation by natural gas: Southeast (SERC)</t>
  </si>
  <si>
    <t>NGEPGEN_SE</t>
  </si>
  <si>
    <t>Electric power sector generation by coal: Southeast (SERC)</t>
  </si>
  <si>
    <t>CLEPGEN_SE</t>
  </si>
  <si>
    <t>Electric power sector generation by nuclear: Southeast (SERC)</t>
  </si>
  <si>
    <t>NUEPGEN_SE</t>
  </si>
  <si>
    <t>Electric power sector generation by conventional hydropower: Southeast (SERC)</t>
  </si>
  <si>
    <t>HVEPGEN_SE</t>
  </si>
  <si>
    <t>RNEPGEN_SE</t>
  </si>
  <si>
    <t>Electric power sector generation by other energy sources: Southeast (SERC)</t>
  </si>
  <si>
    <t>XXEPGEN_SE</t>
  </si>
  <si>
    <t>Total electric power sector net generation: Southeast (SERC)</t>
  </si>
  <si>
    <t>TOEPGEN_SE</t>
  </si>
  <si>
    <t>Net energy for load: Southeast (SERC)</t>
  </si>
  <si>
    <t>ELLOAD_SE</t>
  </si>
  <si>
    <t>Florida (FRCC)</t>
  </si>
  <si>
    <t>Electric power sector generation by natural gas: Florida (FRCC)</t>
  </si>
  <si>
    <t>NGEPGEN_FL</t>
  </si>
  <si>
    <t>Electric power sector generation by coal: Florida (FRCC)</t>
  </si>
  <si>
    <t>CLEPGEN_FL</t>
  </si>
  <si>
    <t>Electric power sector generation by nuclear: Florida (FRCC)</t>
  </si>
  <si>
    <t>NUEPGEN_FL</t>
  </si>
  <si>
    <t>Electric power sector generation by conventional hydropower: Florida (FRCC)</t>
  </si>
  <si>
    <t>HVEPGEN_FL</t>
  </si>
  <si>
    <t>RNEPGEN_FL</t>
  </si>
  <si>
    <t>Electric power sector generation by other energy sources: Florida (FRCC)</t>
  </si>
  <si>
    <t>XXEPGEN_FL</t>
  </si>
  <si>
    <t>Total electric power sector net generation: Florida (FRCC)</t>
  </si>
  <si>
    <t>TOEPGEN_FL</t>
  </si>
  <si>
    <t>Net energy for load: Florida (FRCC)</t>
  </si>
  <si>
    <t>ELLOAD_FL</t>
  </si>
  <si>
    <t>Midcontinent ISO (MISO)</t>
  </si>
  <si>
    <t>Electric power sector generation by natural gas: Midcontinent ISO (MISO)</t>
  </si>
  <si>
    <t>NGEPGEN_MW</t>
  </si>
  <si>
    <t>Electric power sector generation by coal: Midcontinent ISO (MISO)</t>
  </si>
  <si>
    <t>CLEPGEN_MW</t>
  </si>
  <si>
    <t>Electric power sector generation by nuclear: Midcontinent ISO (MISO)</t>
  </si>
  <si>
    <t>NUEPGEN_MW</t>
  </si>
  <si>
    <t>Electric power sector generation by conventional hydropower: Midcontinent ISO (MISO)</t>
  </si>
  <si>
    <t>HVEPGEN_MW</t>
  </si>
  <si>
    <t>RNEPGEN_MW</t>
  </si>
  <si>
    <t>Electric power sector generation by other energy sources: Midcontinent ISO (MISO)</t>
  </si>
  <si>
    <t>XXEPGEN_MW</t>
  </si>
  <si>
    <t>Total electric power sector net generation: Midcontinent ISO (MISO)</t>
  </si>
  <si>
    <t>TOEPGEN_MW</t>
  </si>
  <si>
    <t>Net energy for load: Midcontinent ISO (MISO)</t>
  </si>
  <si>
    <t>ELLOAD_MW</t>
  </si>
  <si>
    <t>Southwest Power Pool (SPP)</t>
  </si>
  <si>
    <t>Electric power sector generation by natural gas: Southwest Power Pool (SPP)</t>
  </si>
  <si>
    <t>NGEPGEN_SP</t>
  </si>
  <si>
    <t>Electric power sector generation by coal: Southwest Power Pool (SPP)</t>
  </si>
  <si>
    <t>CLEPGEN_SP</t>
  </si>
  <si>
    <t>Electric power sector generation by nuclear: Southwest Power Pool (SPP)</t>
  </si>
  <si>
    <t>NUEPGEN_SP</t>
  </si>
  <si>
    <t>Electric power sector generation by conventional hydropower: Southwest Power Pool (SPP)</t>
  </si>
  <si>
    <t>HVEPGEN_SP</t>
  </si>
  <si>
    <t>RNEPGEN_SP</t>
  </si>
  <si>
    <t>Electric power sector generation by other energy sources: Southwest Power Pool (SPP)</t>
  </si>
  <si>
    <t>XXEPGEN_SP</t>
  </si>
  <si>
    <t>Total electric power sector net generation: Southwest Power Pool (SPP)</t>
  </si>
  <si>
    <t>TOEPGEN_SP</t>
  </si>
  <si>
    <t>Net energy for load: Southwest Power Pool (SPP)</t>
  </si>
  <si>
    <t>ELLOAD_SP</t>
  </si>
  <si>
    <t>Texas (ERCOT)</t>
  </si>
  <si>
    <t>Electric power sector generation by natural gas: Texas (ERCOT)</t>
  </si>
  <si>
    <t>NGEPGEN_TX</t>
  </si>
  <si>
    <t>Electric power sector generation by coal: Texas (ERCOT)</t>
  </si>
  <si>
    <t>CLEPGEN_TX</t>
  </si>
  <si>
    <t>Electric power sector generation by nuclear: Texas (ERCOT)</t>
  </si>
  <si>
    <t>NUEPGEN_TX</t>
  </si>
  <si>
    <t>Electric power sector generation by conventional hydropower: Texas (ERCOT)</t>
  </si>
  <si>
    <t>HVEPGEN_TX</t>
  </si>
  <si>
    <t>RNEPGEN_TX</t>
  </si>
  <si>
    <t>Electric power sector generation by other energy sources: Texas (ERCOT)</t>
  </si>
  <si>
    <t>XXEPGEN_TX</t>
  </si>
  <si>
    <t>Total electric power sector net generation: Texas (ERCOT)</t>
  </si>
  <si>
    <t>TOEPGEN_TX</t>
  </si>
  <si>
    <t>Net energy for load: Texas (ERCOT)</t>
  </si>
  <si>
    <t>ELLOAD_TX</t>
  </si>
  <si>
    <t>Northwest and Rockies</t>
  </si>
  <si>
    <t>Electric power sector generation by natural gas: Northwest and Rockies</t>
  </si>
  <si>
    <t>NGEPGEN_NW</t>
  </si>
  <si>
    <t>Electric power sector generation by coal: Northwest and Rockies</t>
  </si>
  <si>
    <t>CLEPGEN_NW</t>
  </si>
  <si>
    <t>Electric power sector generation by nuclear: Northwest and Rockies</t>
  </si>
  <si>
    <t>NUEPGEN_NW</t>
  </si>
  <si>
    <t>Electric power sector generation by conventional hydropower: Northwest and Rockies</t>
  </si>
  <si>
    <t>HVEPGEN_NW</t>
  </si>
  <si>
    <t>RNEPGEN_NW</t>
  </si>
  <si>
    <t>Electric power sector generation by other energy sources: Northwest and Rockies</t>
  </si>
  <si>
    <t>XXEPGEN_NW</t>
  </si>
  <si>
    <t>Total electric power sector net generation: Northwest and Rockies</t>
  </si>
  <si>
    <t>TOEPGEN_NW</t>
  </si>
  <si>
    <t>Net energy for load: Northwest and Rockies</t>
  </si>
  <si>
    <t>ELLOAD_NW</t>
  </si>
  <si>
    <t>Southwest</t>
  </si>
  <si>
    <t>Electric power sector generation by natural gas: Southwest</t>
  </si>
  <si>
    <t>NGEPGEN_SW</t>
  </si>
  <si>
    <t>Electric power sector generation by coal: Southwest</t>
  </si>
  <si>
    <t>CLEPGEN_SW</t>
  </si>
  <si>
    <t>Electric power sector generation by nuclear: Southwest</t>
  </si>
  <si>
    <t>NUEPGEN_SW</t>
  </si>
  <si>
    <t>Electric power sector generation by conventional hydropower: Southwest</t>
  </si>
  <si>
    <t>HVEPGEN_SW</t>
  </si>
  <si>
    <t>RNEPGEN_SW</t>
  </si>
  <si>
    <t>Electric power sector generation by other energy sources: Southwest</t>
  </si>
  <si>
    <t>XXEPGEN_SW</t>
  </si>
  <si>
    <t>Total electric power sector net generation: Southwest</t>
  </si>
  <si>
    <t>TOEPGEN_SW</t>
  </si>
  <si>
    <t>Net energy for load: Southwest</t>
  </si>
  <si>
    <t>ELLOAD_SW</t>
  </si>
  <si>
    <t>California</t>
  </si>
  <si>
    <t>Electric power sector generation by natural gas: California</t>
  </si>
  <si>
    <t>NGEPGEN_CA</t>
  </si>
  <si>
    <t>Electric power sector generation by coal: California</t>
  </si>
  <si>
    <t>CLEPGEN_CA</t>
  </si>
  <si>
    <t>Electric power sector generation by nuclear: California</t>
  </si>
  <si>
    <t>NUEPGEN_CA</t>
  </si>
  <si>
    <t>Electric power sector generation by conventional hydropower: California</t>
  </si>
  <si>
    <t>HVEPGEN_CA</t>
  </si>
  <si>
    <t>RNEPGEN_CA</t>
  </si>
  <si>
    <t>Electric power sector generation by other energy sources: California</t>
  </si>
  <si>
    <t>XXEPGEN_CA</t>
  </si>
  <si>
    <t>Total electric power sector net generation: California</t>
  </si>
  <si>
    <t>TOEPGEN_CA</t>
  </si>
  <si>
    <t>Net energy for load: California</t>
  </si>
  <si>
    <t>ELLOAD_CA</t>
  </si>
  <si>
    <t>Time (Time)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</si>
  <si>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</si>
  <si>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</si>
  <si>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</si>
  <si>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</si>
  <si>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</si>
  <si>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</si>
  <si>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</si>
  <si>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</si>
  <si>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</si>
  <si>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</si>
  <si>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</si>
  <si>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</si>
  <si>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</si>
  <si>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</si>
  <si>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</si>
  <si>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</si>
  <si>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Bid Capacity Factor x Hours per Year[hard coal es,preexisting retiring] : MostRecentRun</t>
  </si>
  <si>
    <t>Bid Capacity Factor x Hours per Year[hard coal es,preexisting nonretiring] : MostRecentRun</t>
  </si>
  <si>
    <t>Bid Capacity Factor x Hours per Year[hard coal es,newly built] : MostRecentRun</t>
  </si>
  <si>
    <t>Bid Capacity Factor x Hours per Year[natural gas nonpeaker es,preexisting retiring] : MostRecentRun</t>
  </si>
  <si>
    <t>Bid Capacity Factor x Hours per Year[natural gas nonpeaker es,preexisting nonretiring] : MostRecentRun</t>
  </si>
  <si>
    <t>Bid Capacity Factor x Hours per Year[natural gas nonpeaker es,newly built] : MostRecentRun</t>
  </si>
  <si>
    <t>Bid Capacity Factor x Hours per Year[nuclear es,preexisting retiring] : MostRecentRun</t>
  </si>
  <si>
    <t>Bid Capacity Factor x Hours per Year[nuclear es,preexisting nonretiring] : MostRecentRun</t>
  </si>
  <si>
    <t>Bid Capacity Factor x Hours per Year[nuclear es,newly built] : MostRecentRun</t>
  </si>
  <si>
    <t>Bid Capacity Factor x Hours per Year[hydro es,preexisting retiring] : MostRecentRun</t>
  </si>
  <si>
    <t>Bid Capacity Factor x Hours per Year[hydro es,preexisting nonretiring] : MostRecentRun</t>
  </si>
  <si>
    <t>Bid Capacity Factor x Hours per Year[hydro es,newly built] : MostRecentRun</t>
  </si>
  <si>
    <t>Bid Capacity Factor x Hours per Year[onshore wind es,preexisting retiring] : MostRecentRun</t>
  </si>
  <si>
    <t>Bid Capacity Factor x Hours per Year[onshore wind es,preexisting nonretiring] : MostRecentRun</t>
  </si>
  <si>
    <t>Bid Capacity Factor x Hours per Year[onshore wind es,newly built] : MostRecentRun</t>
  </si>
  <si>
    <t>Bid Capacity Factor x Hours per Year[solar PV es,preexisting retiring] : MostRecentRun</t>
  </si>
  <si>
    <t>Bid Capacity Factor x Hours per Year[solar PV es,preexisting nonretiring] : MostRecentRun</t>
  </si>
  <si>
    <t>Bid Capacity Factor x Hours per Year[solar PV es,newly built] : MostRecentRun</t>
  </si>
  <si>
    <t>Bid Capacity Factor x Hours per Year[solar thermal es,preexisting retiring] : MostRecentRun</t>
  </si>
  <si>
    <t>Bid Capacity Factor x Hours per Year[solar thermal es,preexisting nonretiring] : MostRecentRun</t>
  </si>
  <si>
    <t>Bid Capacity Factor x Hours per Year[solar thermal es,newly built] : MostRecentRun</t>
  </si>
  <si>
    <t>Bid Capacity Factor x Hours per Year[biomass es,preexisting retiring] : MostRecentRun</t>
  </si>
  <si>
    <t>Bid Capacity Factor x Hours per Year[biomass es,preexisting nonretiring] : MostRecentRun</t>
  </si>
  <si>
    <t>Bid Capacity Factor x Hours per Year[biomass es,newly built] : MostRecentRun</t>
  </si>
  <si>
    <t>Bid Capacity Factor x Hours per Year[geothermal es,preexisting retiring] : MostRecentRun</t>
  </si>
  <si>
    <t>Bid Capacity Factor x Hours per Year[geothermal es,preexisting nonretiring] : MostRecentRun</t>
  </si>
  <si>
    <t>Bid Capacity Factor x Hours per Year[geothermal es,newly built] : MostRecentRun</t>
  </si>
  <si>
    <t>Bid Capacity Factor x Hours per Year[petroleum es,preexisting retiring] : MostRecentRun</t>
  </si>
  <si>
    <t>Bid Capacity Factor x Hours per Year[petroleum es,preexisting nonretiring] : MostRecentRun</t>
  </si>
  <si>
    <t>Bid Capacity Factor x Hours per Year[petroleum es,newly built] : MostRecentRun</t>
  </si>
  <si>
    <t>Bid Capacity Factor x Hours per Year[natural gas peaker es,preexisting retiring] : MostRecentRun</t>
  </si>
  <si>
    <t>Bid Capacity Factor x Hours per Year[natural gas peaker es,preexisting nonretiring] : MostRecentRun</t>
  </si>
  <si>
    <t>Bid Capacity Factor x Hours per Year[natural gas peaker es,newly built] : MostRecentRun</t>
  </si>
  <si>
    <t>Bid Capacity Factor x Hours per Year[lignite es,preexisting retiring] : MostRecentRun</t>
  </si>
  <si>
    <t>Bid Capacity Factor x Hours per Year[lignite es,preexisting nonretiring] : MostRecentRun</t>
  </si>
  <si>
    <t>Bid Capacity Factor x Hours per Year[lignite es,newly built] : MostRecentRun</t>
  </si>
  <si>
    <t>Bid Capacity Factor x Hours per Year[offshore wind es,preexisting retiring] : MostRecentRun</t>
  </si>
  <si>
    <t>Bid Capacity Factor x Hours per Year[offshore wind es,preexisting nonretiring] : MostRecentRun</t>
  </si>
  <si>
    <t>Bid Capacity Factor x Hours per Year[offshore wind es,newly built] : MostRecentRun</t>
  </si>
  <si>
    <t>Bid Capacity Factor x Hours per Year[crude oil es,preexisting retiring] : MostRecentRun</t>
  </si>
  <si>
    <t>Bid Capacity Factor x Hours per Year[crude oil es,preexisting nonretiring] : MostRecentRun</t>
  </si>
  <si>
    <t>Bid Capacity Factor x Hours per Year[crude oil es,newly built] : MostRecentRun</t>
  </si>
  <si>
    <t>Bid Capacity Factor x Hours per Year[heavy or residual fuel oil es,preexisting retiring] : MostRecentRun</t>
  </si>
  <si>
    <t>Bid Capacity Factor x Hours per Year[heavy or residual fuel oil es,preexisting nonretiring] : MostRecentRun</t>
  </si>
  <si>
    <t>Bid Capacity Factor x Hours per Year[heavy or residual fuel oil es,newly built] : MostRecentRun</t>
  </si>
  <si>
    <t>Bid Capacity Factor x Hours per Year[municipal solid waste es,preexisting retiring] : MostRecentRun</t>
  </si>
  <si>
    <t>Bid Capacity Factor x Hours per Year[municipal solid waste es,preexisting nonretiring] : MostRecentRun</t>
  </si>
  <si>
    <t>Bid Capacity Factor x Hours per Year[municipal solid waste es,newly built] : MostRecentRun</t>
  </si>
  <si>
    <t>coal</t>
  </si>
  <si>
    <t>Source:</t>
  </si>
  <si>
    <t>EIA</t>
  </si>
  <si>
    <t>Short Term Energy Outlook</t>
  </si>
  <si>
    <t>https://www.eia.gov/outlooks/steo/</t>
  </si>
  <si>
    <t>Table 7d</t>
  </si>
  <si>
    <t>Output Electricity Generation by Type[hard coal es] : MostRecentRun</t>
  </si>
  <si>
    <t>Output Electricity Generation by Type[natural gas nonpeaker es] : MostRecentRun</t>
  </si>
  <si>
    <t>Output Electricity Generation by Type[nuclear es] : MostRecentRun</t>
  </si>
  <si>
    <t>Output Electricity Generation by Type[hydro es] : MostRecentRun</t>
  </si>
  <si>
    <t>Output Electricity Generation by Type[onshore wind es] : MostRecentRun</t>
  </si>
  <si>
    <t>Output Electricity Generation by Type[solar PV es] : MostRecentRun</t>
  </si>
  <si>
    <t>Output Electricity Generation by Type[solar thermal es] : MostRecentRun</t>
  </si>
  <si>
    <t>Output Electricity Generation by Type[biomass es] : MostRecentRun</t>
  </si>
  <si>
    <t>Output Electricity Generation by Type[geothermal es] : MostRecentRun</t>
  </si>
  <si>
    <t>Output Electricity Generation by Type[petroleum es] : MostRecentRun</t>
  </si>
  <si>
    <t>Output Electricity Generation by Type[natural gas peaker es] : MostRecentRun</t>
  </si>
  <si>
    <t>Output Electricity Generation by Type[lignite es] : MostRecentRun</t>
  </si>
  <si>
    <t>Output Electricity Generation by Type[offshore wind es] : MostRecentRun</t>
  </si>
  <si>
    <t>Output Electricity Generation by Type[crude oil es] : MostRecentRun</t>
  </si>
  <si>
    <t>Output Electricity Generation by Type[heavy or residual fuel oil es] : MostRecentRun</t>
  </si>
  <si>
    <t>Output Electricity Generation by Type[municipal solid waste es] : MostRecentRun</t>
  </si>
  <si>
    <t>For the US, we use EIA's STEO to align historical 2020 generation.</t>
  </si>
  <si>
    <t>EPS</t>
  </si>
  <si>
    <t>Difference</t>
  </si>
  <si>
    <t>Calibration multiplier (used to ensure 2020 output in the model aligns with STEO)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</si>
</sst>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2" x14ac:dyDescent="0.2">
      <c r="A1" s="1" t="s">
        <v>11</v>
      </c>
    </row>
    <row r="3" spans="1:2" x14ac:dyDescent="0.2">
      <c r="A3" s="1" t="s">
        <v>326</v>
      </c>
      <c r="B3" t="s">
        <v>327</v>
      </c>
    </row>
    <row r="4" spans="1:2" x14ac:dyDescent="0.2">
      <c r="B4" s="4">
        <v>2022</v>
      </c>
    </row>
    <row r="5" spans="1:2" x14ac:dyDescent="0.2">
      <c r="B5" t="s">
        <v>328</v>
      </c>
    </row>
    <row r="6" spans="1:2" x14ac:dyDescent="0.2">
      <c r="B6" t="s">
        <v>329</v>
      </c>
    </row>
    <row r="7" spans="1:2" x14ac:dyDescent="0.2">
      <c r="B7" t="s">
        <v>330</v>
      </c>
    </row>
    <row r="9" spans="1:2" x14ac:dyDescent="0.2">
      <c r="A9" s="1" t="s">
        <v>0</v>
      </c>
    </row>
    <row r="10" spans="1:2" x14ac:dyDescent="0.2">
      <c r="A10" t="s">
        <v>6</v>
      </c>
    </row>
    <row r="11" spans="1:2" x14ac:dyDescent="0.2">
      <c r="A11" t="s">
        <v>12</v>
      </c>
    </row>
    <row r="12" spans="1:2" x14ac:dyDescent="0.2">
      <c r="A12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9" spans="1:1" x14ac:dyDescent="0.2">
      <c r="A19" t="s">
        <v>347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77FF-8AA7-4A99-AA5C-83E52BC9397F}">
  <dimension ref="A1:BB120"/>
  <sheetViews>
    <sheetView workbookViewId="0">
      <selection activeCell="A9" sqref="A9:XFD9"/>
    </sheetView>
  </sheetViews>
  <sheetFormatPr baseColWidth="10" defaultColWidth="8.83203125" defaultRowHeight="15" x14ac:dyDescent="0.2"/>
  <cols>
    <col min="1" max="1" width="42.6640625" customWidth="1"/>
    <col min="23" max="23" width="51.33203125" customWidth="1"/>
  </cols>
  <sheetData>
    <row r="1" spans="1:54" x14ac:dyDescent="0.2">
      <c r="A1" t="s">
        <v>26</v>
      </c>
    </row>
    <row r="2" spans="1:54" x14ac:dyDescent="0.2">
      <c r="A2" t="s">
        <v>27</v>
      </c>
    </row>
    <row r="3" spans="1:54" x14ac:dyDescent="0.2">
      <c r="A3" t="s">
        <v>28</v>
      </c>
    </row>
    <row r="4" spans="1:54" x14ac:dyDescent="0.2">
      <c r="A4" t="s">
        <v>29</v>
      </c>
      <c r="O4" s="1" t="s">
        <v>348</v>
      </c>
      <c r="S4" s="1" t="s">
        <v>349</v>
      </c>
    </row>
    <row r="5" spans="1:54" x14ac:dyDescent="0.2">
      <c r="A5" t="s">
        <v>30</v>
      </c>
      <c r="C5" t="s">
        <v>31</v>
      </c>
      <c r="D5" t="s">
        <v>32</v>
      </c>
      <c r="E5" t="s">
        <v>33</v>
      </c>
      <c r="F5" t="s">
        <v>34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  <c r="O5">
        <v>2020</v>
      </c>
      <c r="P5">
        <v>2021</v>
      </c>
      <c r="Q5">
        <v>2022</v>
      </c>
      <c r="S5">
        <v>2020</v>
      </c>
      <c r="T5">
        <v>2021</v>
      </c>
      <c r="U5">
        <v>2022</v>
      </c>
    </row>
    <row r="6" spans="1:54" x14ac:dyDescent="0.2">
      <c r="A6" t="s">
        <v>26</v>
      </c>
      <c r="B6" t="s">
        <v>26</v>
      </c>
      <c r="C6">
        <v>0</v>
      </c>
      <c r="D6">
        <v>0</v>
      </c>
    </row>
    <row r="7" spans="1:54" x14ac:dyDescent="0.2">
      <c r="A7" t="s">
        <v>35</v>
      </c>
      <c r="B7" t="s">
        <v>35</v>
      </c>
      <c r="C7">
        <v>0</v>
      </c>
      <c r="D7">
        <v>0</v>
      </c>
    </row>
    <row r="8" spans="1:54" x14ac:dyDescent="0.2">
      <c r="A8" t="s">
        <v>36</v>
      </c>
      <c r="B8" t="s">
        <v>37</v>
      </c>
      <c r="C8">
        <v>1</v>
      </c>
      <c r="D8">
        <v>1</v>
      </c>
      <c r="E8" t="s">
        <v>38</v>
      </c>
      <c r="F8" t="s">
        <v>39</v>
      </c>
      <c r="G8">
        <v>1196.75</v>
      </c>
      <c r="H8">
        <v>1365.82</v>
      </c>
      <c r="I8">
        <v>1477.14</v>
      </c>
      <c r="J8">
        <v>1519.68</v>
      </c>
      <c r="K8">
        <v>1473.64</v>
      </c>
      <c r="L8">
        <v>1487.04</v>
      </c>
      <c r="M8">
        <v>1460.88</v>
      </c>
      <c r="O8">
        <f>SUM(X10,X19)</f>
        <v>1579.181</v>
      </c>
      <c r="P8">
        <f t="shared" ref="P8:Q8" si="0">SUM(Y10,Y19)</f>
        <v>1440.0340000000001</v>
      </c>
      <c r="Q8">
        <f t="shared" si="0"/>
        <v>1541.2669999999998</v>
      </c>
      <c r="S8">
        <f>O8-J8</f>
        <v>59.500999999999976</v>
      </c>
      <c r="T8">
        <f t="shared" ref="T8:U21" si="1">P8-K8</f>
        <v>-33.605999999999995</v>
      </c>
      <c r="U8">
        <f t="shared" si="1"/>
        <v>54.226999999999862</v>
      </c>
      <c r="W8" t="s">
        <v>260</v>
      </c>
      <c r="X8">
        <v>2020</v>
      </c>
      <c r="Y8">
        <v>2021</v>
      </c>
      <c r="Z8">
        <v>2022</v>
      </c>
      <c r="AA8">
        <v>2023</v>
      </c>
      <c r="AB8">
        <v>2024</v>
      </c>
      <c r="AC8">
        <v>2025</v>
      </c>
      <c r="AD8">
        <v>2026</v>
      </c>
      <c r="AE8">
        <v>2027</v>
      </c>
      <c r="AF8">
        <v>2028</v>
      </c>
      <c r="AG8">
        <v>2029</v>
      </c>
      <c r="AH8">
        <v>2030</v>
      </c>
      <c r="AI8">
        <v>2031</v>
      </c>
      <c r="AJ8">
        <v>2032</v>
      </c>
      <c r="AK8">
        <v>2033</v>
      </c>
      <c r="AL8">
        <v>2034</v>
      </c>
      <c r="AM8">
        <v>2035</v>
      </c>
      <c r="AN8">
        <v>2036</v>
      </c>
      <c r="AO8">
        <v>2037</v>
      </c>
      <c r="AP8">
        <v>2038</v>
      </c>
      <c r="AQ8">
        <v>2039</v>
      </c>
      <c r="AR8">
        <v>2040</v>
      </c>
      <c r="AS8">
        <v>2041</v>
      </c>
      <c r="AT8">
        <v>2042</v>
      </c>
      <c r="AU8">
        <v>2043</v>
      </c>
      <c r="AV8">
        <v>2044</v>
      </c>
      <c r="AW8">
        <v>2045</v>
      </c>
      <c r="AX8">
        <v>2046</v>
      </c>
      <c r="AY8">
        <v>2047</v>
      </c>
      <c r="AZ8">
        <v>2048</v>
      </c>
      <c r="BA8">
        <v>2049</v>
      </c>
      <c r="BB8">
        <v>2050</v>
      </c>
    </row>
    <row r="9" spans="1:54" x14ac:dyDescent="0.2">
      <c r="A9" t="s">
        <v>40</v>
      </c>
      <c r="B9" t="s">
        <v>41</v>
      </c>
      <c r="C9">
        <v>1</v>
      </c>
      <c r="D9">
        <v>1</v>
      </c>
      <c r="E9" t="s">
        <v>38</v>
      </c>
      <c r="F9" t="s">
        <v>42</v>
      </c>
      <c r="G9">
        <v>1197.8399999999999</v>
      </c>
      <c r="H9">
        <v>1142.17</v>
      </c>
      <c r="I9">
        <v>958.73</v>
      </c>
      <c r="J9">
        <v>767.7</v>
      </c>
      <c r="K9">
        <v>892.8</v>
      </c>
      <c r="L9">
        <v>862.66</v>
      </c>
      <c r="M9">
        <v>822.93</v>
      </c>
      <c r="O9">
        <f>SUM(X9,X20)</f>
        <v>803.27210000000002</v>
      </c>
      <c r="P9">
        <f t="shared" ref="P9:Q9" si="2">SUM(Y9,Y20)</f>
        <v>946.13890000000004</v>
      </c>
      <c r="Q9">
        <f t="shared" si="2"/>
        <v>804.96040000000005</v>
      </c>
      <c r="S9">
        <f>O9-J9</f>
        <v>35.572099999999978</v>
      </c>
      <c r="T9">
        <f t="shared" si="1"/>
        <v>53.338900000000081</v>
      </c>
      <c r="U9">
        <f t="shared" si="1"/>
        <v>-57.699599999999919</v>
      </c>
      <c r="W9" t="s">
        <v>331</v>
      </c>
      <c r="X9">
        <v>761.54100000000005</v>
      </c>
      <c r="Y9">
        <v>895.44500000000005</v>
      </c>
      <c r="Z9">
        <v>759.822</v>
      </c>
      <c r="AA9">
        <v>726.36900000000003</v>
      </c>
      <c r="AB9">
        <v>700.01300000000003</v>
      </c>
      <c r="AC9">
        <v>623.98400000000004</v>
      </c>
      <c r="AD9">
        <v>597.62199999999996</v>
      </c>
      <c r="AE9">
        <v>573.23</v>
      </c>
      <c r="AF9">
        <v>530.28499999999997</v>
      </c>
      <c r="AG9">
        <v>485.60899999999998</v>
      </c>
      <c r="AH9">
        <v>459.86500000000001</v>
      </c>
      <c r="AI9">
        <v>460.017</v>
      </c>
      <c r="AJ9">
        <v>452.399</v>
      </c>
      <c r="AK9">
        <v>452.02499999999998</v>
      </c>
      <c r="AL9">
        <v>432.67099999999999</v>
      </c>
      <c r="AM9">
        <v>426.53899999999999</v>
      </c>
      <c r="AN9">
        <v>424.09199999999998</v>
      </c>
      <c r="AO9">
        <v>423.25</v>
      </c>
      <c r="AP9">
        <v>419.57499999999999</v>
      </c>
      <c r="AQ9">
        <v>419.61500000000001</v>
      </c>
      <c r="AR9">
        <v>414.00099999999998</v>
      </c>
      <c r="AS9">
        <v>414.04199999999997</v>
      </c>
      <c r="AT9">
        <v>414.05700000000002</v>
      </c>
      <c r="AU9">
        <v>414.25799999999998</v>
      </c>
      <c r="AV9">
        <v>413.65</v>
      </c>
      <c r="AW9">
        <v>404.43599999999998</v>
      </c>
      <c r="AX9">
        <v>404.46899999999999</v>
      </c>
      <c r="AY9">
        <v>404.45600000000002</v>
      </c>
      <c r="AZ9">
        <v>405.02800000000002</v>
      </c>
      <c r="BA9">
        <v>404.59300000000002</v>
      </c>
      <c r="BB9">
        <v>404.52</v>
      </c>
    </row>
    <row r="10" spans="1:54" x14ac:dyDescent="0.2">
      <c r="A10" t="s">
        <v>43</v>
      </c>
      <c r="B10" t="s">
        <v>44</v>
      </c>
      <c r="C10">
        <v>1</v>
      </c>
      <c r="D10">
        <v>1</v>
      </c>
      <c r="E10" t="s">
        <v>38</v>
      </c>
      <c r="F10" t="s">
        <v>45</v>
      </c>
      <c r="G10">
        <v>804.95</v>
      </c>
      <c r="H10">
        <v>807.08</v>
      </c>
      <c r="I10">
        <v>809.41</v>
      </c>
      <c r="J10">
        <v>789.88</v>
      </c>
      <c r="K10">
        <v>778.15</v>
      </c>
      <c r="L10">
        <v>778.23</v>
      </c>
      <c r="M10">
        <v>788.98</v>
      </c>
      <c r="O10">
        <f>X11</f>
        <v>782.05700000000002</v>
      </c>
      <c r="P10">
        <f t="shared" ref="P10:Q10" si="3">Y11</f>
        <v>782.05700000000002</v>
      </c>
      <c r="Q10">
        <f t="shared" si="3"/>
        <v>786.10400000000004</v>
      </c>
      <c r="S10">
        <f t="shared" ref="S10:S21" si="4">O10-J10</f>
        <v>-7.8229999999999791</v>
      </c>
      <c r="T10">
        <f t="shared" si="1"/>
        <v>3.9070000000000391</v>
      </c>
      <c r="U10">
        <f t="shared" si="1"/>
        <v>7.8740000000000236</v>
      </c>
      <c r="W10" t="s">
        <v>332</v>
      </c>
      <c r="X10">
        <v>1433.8</v>
      </c>
      <c r="Y10">
        <v>1292.67</v>
      </c>
      <c r="Z10">
        <v>1392.87</v>
      </c>
      <c r="AA10">
        <v>1464.17</v>
      </c>
      <c r="AB10">
        <v>1499.58</v>
      </c>
      <c r="AC10">
        <v>1536.93</v>
      </c>
      <c r="AD10">
        <v>1536.01</v>
      </c>
      <c r="AE10">
        <v>1534.94</v>
      </c>
      <c r="AF10">
        <v>1542.8</v>
      </c>
      <c r="AG10">
        <v>1555.07</v>
      </c>
      <c r="AH10">
        <v>1573.68</v>
      </c>
      <c r="AI10">
        <v>1575.66</v>
      </c>
      <c r="AJ10">
        <v>1574.8</v>
      </c>
      <c r="AK10">
        <v>1578.46</v>
      </c>
      <c r="AL10">
        <v>1579.96</v>
      </c>
      <c r="AM10">
        <v>1578.17</v>
      </c>
      <c r="AN10">
        <v>1579.82</v>
      </c>
      <c r="AO10">
        <v>1579.21</v>
      </c>
      <c r="AP10">
        <v>1580.54</v>
      </c>
      <c r="AQ10">
        <v>1581.69</v>
      </c>
      <c r="AR10">
        <v>1582.35</v>
      </c>
      <c r="AS10">
        <v>1582.84</v>
      </c>
      <c r="AT10">
        <v>1584.44</v>
      </c>
      <c r="AU10">
        <v>1584.33</v>
      </c>
      <c r="AV10">
        <v>1587.56</v>
      </c>
      <c r="AW10">
        <v>1586.59</v>
      </c>
      <c r="AX10">
        <v>1588.85</v>
      </c>
      <c r="AY10">
        <v>1589.18</v>
      </c>
      <c r="AZ10">
        <v>1590.93</v>
      </c>
      <c r="BA10">
        <v>1587.84</v>
      </c>
      <c r="BB10">
        <v>1588.52</v>
      </c>
    </row>
    <row r="11" spans="1:54" x14ac:dyDescent="0.2">
      <c r="A11" t="s">
        <v>46</v>
      </c>
      <c r="B11" t="s">
        <v>47</v>
      </c>
      <c r="C11">
        <v>1</v>
      </c>
      <c r="D11">
        <v>1</v>
      </c>
      <c r="E11" t="s">
        <v>38</v>
      </c>
      <c r="F11" t="s">
        <v>48</v>
      </c>
      <c r="G11">
        <v>653.16</v>
      </c>
      <c r="H11">
        <v>673.74</v>
      </c>
      <c r="I11">
        <v>696.66</v>
      </c>
      <c r="J11">
        <v>752</v>
      </c>
      <c r="K11">
        <v>795.16</v>
      </c>
      <c r="L11">
        <v>890.44</v>
      </c>
      <c r="M11">
        <v>949.38</v>
      </c>
      <c r="O11">
        <f>SUM(X13:X17,X21)</f>
        <v>485.25182799999999</v>
      </c>
      <c r="P11">
        <f t="shared" ref="P11:Q11" si="5">SUM(Y13:Y17,Y21)</f>
        <v>603.21673199999998</v>
      </c>
      <c r="Q11">
        <f t="shared" si="5"/>
        <v>679.05446999999992</v>
      </c>
      <c r="W11" t="s">
        <v>333</v>
      </c>
      <c r="X11">
        <v>782.05700000000002</v>
      </c>
      <c r="Y11">
        <v>782.05700000000002</v>
      </c>
      <c r="Z11">
        <v>786.10400000000004</v>
      </c>
      <c r="AA11">
        <v>794.19899999999996</v>
      </c>
      <c r="AB11">
        <v>794.19899999999996</v>
      </c>
      <c r="AC11">
        <v>782.05700000000002</v>
      </c>
      <c r="AD11">
        <v>773.96299999999997</v>
      </c>
      <c r="AE11">
        <v>757.77499999999998</v>
      </c>
      <c r="AF11">
        <v>717.303</v>
      </c>
      <c r="AG11">
        <v>709.20899999999995</v>
      </c>
      <c r="AH11">
        <v>701.11500000000001</v>
      </c>
      <c r="AI11">
        <v>701.11500000000001</v>
      </c>
      <c r="AJ11">
        <v>701.11500000000001</v>
      </c>
      <c r="AK11">
        <v>660.64400000000001</v>
      </c>
      <c r="AL11">
        <v>660.64400000000001</v>
      </c>
      <c r="AM11">
        <v>660.64400000000001</v>
      </c>
      <c r="AN11">
        <v>660.64400000000001</v>
      </c>
      <c r="AO11">
        <v>652.54999999999995</v>
      </c>
      <c r="AP11">
        <v>652.54999999999995</v>
      </c>
      <c r="AQ11">
        <v>652.54999999999995</v>
      </c>
      <c r="AR11">
        <v>652.54999999999995</v>
      </c>
      <c r="AS11">
        <v>652.54999999999995</v>
      </c>
      <c r="AT11">
        <v>652.54999999999995</v>
      </c>
      <c r="AU11">
        <v>652.54999999999995</v>
      </c>
      <c r="AV11">
        <v>652.54999999999995</v>
      </c>
      <c r="AW11">
        <v>652.54999999999995</v>
      </c>
      <c r="AX11">
        <v>652.54999999999995</v>
      </c>
      <c r="AY11">
        <v>652.54999999999995</v>
      </c>
      <c r="AZ11">
        <v>644.45500000000004</v>
      </c>
      <c r="BA11">
        <v>644.45500000000004</v>
      </c>
      <c r="BB11">
        <v>644.45500000000004</v>
      </c>
    </row>
    <row r="12" spans="1:54" x14ac:dyDescent="0.2">
      <c r="A12" t="s">
        <v>49</v>
      </c>
      <c r="B12" t="s">
        <v>50</v>
      </c>
      <c r="C12">
        <v>1</v>
      </c>
      <c r="D12">
        <v>1</v>
      </c>
      <c r="E12" t="s">
        <v>38</v>
      </c>
      <c r="F12" t="s">
        <v>51</v>
      </c>
      <c r="G12">
        <v>298.70999999999998</v>
      </c>
      <c r="H12">
        <v>291.14999999999998</v>
      </c>
      <c r="I12">
        <v>286.64999999999998</v>
      </c>
      <c r="J12">
        <v>284.06</v>
      </c>
      <c r="K12">
        <v>259.02</v>
      </c>
      <c r="L12">
        <v>270.75</v>
      </c>
      <c r="M12">
        <v>273.45999999999998</v>
      </c>
      <c r="O12">
        <f>X12</f>
        <v>283.95699999999999</v>
      </c>
      <c r="P12">
        <f t="shared" ref="P12:Q12" si="6">Y12</f>
        <v>284.34399999999999</v>
      </c>
      <c r="Q12">
        <f t="shared" si="6"/>
        <v>284.411</v>
      </c>
      <c r="S12">
        <f t="shared" si="4"/>
        <v>-0.10300000000000864</v>
      </c>
      <c r="T12">
        <f t="shared" si="1"/>
        <v>25.324000000000012</v>
      </c>
      <c r="U12">
        <f t="shared" si="1"/>
        <v>13.661000000000001</v>
      </c>
      <c r="W12" t="s">
        <v>334</v>
      </c>
      <c r="X12">
        <v>283.95699999999999</v>
      </c>
      <c r="Y12">
        <v>284.34399999999999</v>
      </c>
      <c r="Z12">
        <v>284.411</v>
      </c>
      <c r="AA12">
        <v>284.63900000000001</v>
      </c>
      <c r="AB12">
        <v>285.00700000000001</v>
      </c>
      <c r="AC12">
        <v>284.78899999999999</v>
      </c>
      <c r="AD12">
        <v>284.61200000000002</v>
      </c>
      <c r="AE12">
        <v>284.42700000000002</v>
      </c>
      <c r="AF12">
        <v>283.40300000000002</v>
      </c>
      <c r="AG12">
        <v>282.904</v>
      </c>
      <c r="AH12">
        <v>282.83999999999997</v>
      </c>
      <c r="AI12">
        <v>282.80099999999999</v>
      </c>
      <c r="AJ12">
        <v>282.80099999999999</v>
      </c>
      <c r="AK12">
        <v>282.64699999999999</v>
      </c>
      <c r="AL12">
        <v>282.512</v>
      </c>
      <c r="AM12">
        <v>282.512</v>
      </c>
      <c r="AN12">
        <v>282.512</v>
      </c>
      <c r="AO12">
        <v>282.512</v>
      </c>
      <c r="AP12">
        <v>282.512</v>
      </c>
      <c r="AQ12">
        <v>282.512</v>
      </c>
      <c r="AR12">
        <v>282.512</v>
      </c>
      <c r="AS12">
        <v>282.512</v>
      </c>
      <c r="AT12">
        <v>282.512</v>
      </c>
      <c r="AU12">
        <v>282.512</v>
      </c>
      <c r="AV12">
        <v>282.18400000000003</v>
      </c>
      <c r="AW12">
        <v>282.00599999999997</v>
      </c>
      <c r="AX12">
        <v>281.99900000000002</v>
      </c>
      <c r="AY12">
        <v>281.988</v>
      </c>
      <c r="AZ12">
        <v>281.988</v>
      </c>
      <c r="BA12">
        <v>281.93400000000003</v>
      </c>
      <c r="BB12">
        <v>281.92700000000002</v>
      </c>
    </row>
    <row r="13" spans="1:54" x14ac:dyDescent="0.2">
      <c r="A13" t="s">
        <v>52</v>
      </c>
      <c r="B13" t="s">
        <v>53</v>
      </c>
      <c r="C13">
        <v>1</v>
      </c>
      <c r="D13">
        <v>1</v>
      </c>
      <c r="E13" t="s">
        <v>38</v>
      </c>
      <c r="F13" t="s">
        <v>54</v>
      </c>
      <c r="G13">
        <v>254.07</v>
      </c>
      <c r="H13">
        <v>272.39999999999998</v>
      </c>
      <c r="I13">
        <v>295.60000000000002</v>
      </c>
      <c r="J13">
        <v>337.15</v>
      </c>
      <c r="K13">
        <v>378.63</v>
      </c>
      <c r="L13">
        <v>431.47</v>
      </c>
      <c r="M13">
        <v>450.02</v>
      </c>
      <c r="O13">
        <f>SUM(X13,X21)</f>
        <v>366.44498799999997</v>
      </c>
      <c r="P13">
        <f t="shared" ref="P13:Q13" si="7">SUM(Y13,Y21)</f>
        <v>418.88861200000002</v>
      </c>
      <c r="Q13">
        <f t="shared" si="7"/>
        <v>445.45905000000005</v>
      </c>
      <c r="S13">
        <f t="shared" si="4"/>
        <v>29.294987999999989</v>
      </c>
      <c r="T13">
        <f t="shared" si="1"/>
        <v>40.258612000000028</v>
      </c>
      <c r="U13">
        <f t="shared" si="1"/>
        <v>13.98905000000002</v>
      </c>
      <c r="W13" t="s">
        <v>335</v>
      </c>
      <c r="X13">
        <v>366.32</v>
      </c>
      <c r="Y13">
        <v>418.72</v>
      </c>
      <c r="Z13">
        <v>445.29</v>
      </c>
      <c r="AA13">
        <v>460.69</v>
      </c>
      <c r="AB13">
        <v>473.49299999999999</v>
      </c>
      <c r="AC13">
        <v>528.23</v>
      </c>
      <c r="AD13">
        <v>571.28300000000002</v>
      </c>
      <c r="AE13">
        <v>608.92399999999998</v>
      </c>
      <c r="AF13">
        <v>668.38</v>
      </c>
      <c r="AG13">
        <v>713.10299999999995</v>
      </c>
      <c r="AH13">
        <v>744.47400000000005</v>
      </c>
      <c r="AI13">
        <v>767.05499999999995</v>
      </c>
      <c r="AJ13">
        <v>794.41300000000001</v>
      </c>
      <c r="AK13">
        <v>836.55100000000004</v>
      </c>
      <c r="AL13">
        <v>869.00599999999997</v>
      </c>
      <c r="AM13">
        <v>899.85599999999999</v>
      </c>
      <c r="AN13">
        <v>926.55100000000004</v>
      </c>
      <c r="AO13">
        <v>958.79499999999996</v>
      </c>
      <c r="AP13">
        <v>987.27099999999996</v>
      </c>
      <c r="AQ13">
        <v>1012.7</v>
      </c>
      <c r="AR13">
        <v>1037.42</v>
      </c>
      <c r="AS13">
        <v>1063.73</v>
      </c>
      <c r="AT13">
        <v>1089.6300000000001</v>
      </c>
      <c r="AU13">
        <v>1115.76</v>
      </c>
      <c r="AV13">
        <v>1139.32</v>
      </c>
      <c r="AW13">
        <v>1170.1099999999999</v>
      </c>
      <c r="AX13">
        <v>1195.6300000000001</v>
      </c>
      <c r="AY13">
        <v>1221.5899999999999</v>
      </c>
      <c r="AZ13">
        <v>1247.01</v>
      </c>
      <c r="BA13">
        <v>1275.2</v>
      </c>
      <c r="BB13">
        <v>1304.52</v>
      </c>
    </row>
    <row r="14" spans="1:54" x14ac:dyDescent="0.2">
      <c r="A14" t="s">
        <v>55</v>
      </c>
      <c r="B14" t="s">
        <v>56</v>
      </c>
      <c r="C14">
        <v>1</v>
      </c>
      <c r="D14">
        <v>1</v>
      </c>
      <c r="E14" t="s">
        <v>38</v>
      </c>
      <c r="F14" t="s">
        <v>57</v>
      </c>
      <c r="G14">
        <v>52.72</v>
      </c>
      <c r="H14">
        <v>63.25</v>
      </c>
      <c r="I14">
        <v>71.260000000000005</v>
      </c>
      <c r="J14">
        <v>88.51</v>
      </c>
      <c r="K14">
        <v>113.87</v>
      </c>
      <c r="L14">
        <v>146.02000000000001</v>
      </c>
      <c r="M14">
        <v>184.09</v>
      </c>
      <c r="O14">
        <f>SUM(X14:X15)</f>
        <v>99.617820000000009</v>
      </c>
      <c r="P14">
        <f t="shared" ref="P14:Q14" si="8">SUM(Y14:Y15)</f>
        <v>134.01141999999999</v>
      </c>
      <c r="Q14">
        <f t="shared" si="8"/>
        <v>180.09241999999998</v>
      </c>
      <c r="S14">
        <f t="shared" si="4"/>
        <v>11.107820000000004</v>
      </c>
      <c r="T14">
        <f t="shared" si="1"/>
        <v>20.141419999999982</v>
      </c>
      <c r="U14">
        <f t="shared" si="1"/>
        <v>34.072419999999966</v>
      </c>
      <c r="W14" t="s">
        <v>336</v>
      </c>
      <c r="X14">
        <v>96.445400000000006</v>
      </c>
      <c r="Y14">
        <v>130.839</v>
      </c>
      <c r="Z14">
        <v>176.92</v>
      </c>
      <c r="AA14">
        <v>213.84899999999999</v>
      </c>
      <c r="AB14">
        <v>227.583</v>
      </c>
      <c r="AC14">
        <v>273.32799999999997</v>
      </c>
      <c r="AD14">
        <v>303.31</v>
      </c>
      <c r="AE14">
        <v>334.89400000000001</v>
      </c>
      <c r="AF14">
        <v>387.673</v>
      </c>
      <c r="AG14">
        <v>430.22500000000002</v>
      </c>
      <c r="AH14">
        <v>464.25299999999999</v>
      </c>
      <c r="AI14">
        <v>488.63499999999999</v>
      </c>
      <c r="AJ14">
        <v>520.48599999999999</v>
      </c>
      <c r="AK14">
        <v>568.64700000000005</v>
      </c>
      <c r="AL14">
        <v>605.66800000000001</v>
      </c>
      <c r="AM14">
        <v>641.38499999999999</v>
      </c>
      <c r="AN14">
        <v>674.428</v>
      </c>
      <c r="AO14">
        <v>712.88699999999994</v>
      </c>
      <c r="AP14">
        <v>746.84699999999998</v>
      </c>
      <c r="AQ14">
        <v>777.40599999999995</v>
      </c>
      <c r="AR14">
        <v>809.62800000000004</v>
      </c>
      <c r="AS14">
        <v>841.94899999999996</v>
      </c>
      <c r="AT14">
        <v>873.77300000000002</v>
      </c>
      <c r="AU14">
        <v>906.12800000000004</v>
      </c>
      <c r="AV14">
        <v>937.81899999999996</v>
      </c>
      <c r="AW14">
        <v>976.51800000000003</v>
      </c>
      <c r="AX14">
        <v>1008.19</v>
      </c>
      <c r="AY14">
        <v>1040.55</v>
      </c>
      <c r="AZ14">
        <v>1075.26</v>
      </c>
      <c r="BA14">
        <v>1110.8599999999999</v>
      </c>
      <c r="BB14">
        <v>1147.81</v>
      </c>
    </row>
    <row r="15" spans="1:54" x14ac:dyDescent="0.2">
      <c r="A15" t="s">
        <v>58</v>
      </c>
      <c r="B15" t="s">
        <v>59</v>
      </c>
      <c r="C15">
        <v>1</v>
      </c>
      <c r="D15">
        <v>1</v>
      </c>
      <c r="E15" t="s">
        <v>38</v>
      </c>
      <c r="F15" t="s">
        <v>60</v>
      </c>
      <c r="G15">
        <v>31.73</v>
      </c>
      <c r="H15">
        <v>31.01</v>
      </c>
      <c r="I15">
        <v>28.11</v>
      </c>
      <c r="J15">
        <v>26.84</v>
      </c>
      <c r="K15">
        <v>27.91</v>
      </c>
      <c r="L15">
        <v>26.25</v>
      </c>
      <c r="M15">
        <v>26.13</v>
      </c>
      <c r="O15">
        <f>X16</f>
        <v>3.9332199999999999</v>
      </c>
      <c r="P15">
        <f t="shared" ref="P15:Q16" si="9">Y16</f>
        <v>34.801299999999998</v>
      </c>
      <c r="Q15">
        <f t="shared" si="9"/>
        <v>37.727899999999998</v>
      </c>
      <c r="S15">
        <f t="shared" si="4"/>
        <v>-22.906780000000001</v>
      </c>
      <c r="T15">
        <f t="shared" si="1"/>
        <v>6.8912999999999975</v>
      </c>
      <c r="U15">
        <f t="shared" si="1"/>
        <v>11.477899999999998</v>
      </c>
      <c r="W15" t="s">
        <v>337</v>
      </c>
      <c r="X15">
        <v>3.1724199999999998</v>
      </c>
      <c r="Y15">
        <v>3.1724199999999998</v>
      </c>
      <c r="Z15">
        <v>3.1724199999999998</v>
      </c>
      <c r="AA15">
        <v>3.1724199999999998</v>
      </c>
      <c r="AB15">
        <v>3.1724199999999998</v>
      </c>
      <c r="AC15">
        <v>4.7466900000000001</v>
      </c>
      <c r="AD15">
        <v>4.7466900000000001</v>
      </c>
      <c r="AE15">
        <v>4.7466900000000001</v>
      </c>
      <c r="AF15">
        <v>5.53383</v>
      </c>
      <c r="AG15">
        <v>5.53383</v>
      </c>
      <c r="AH15">
        <v>5.53383</v>
      </c>
      <c r="AI15">
        <v>5.53383</v>
      </c>
      <c r="AJ15">
        <v>5.53383</v>
      </c>
      <c r="AK15">
        <v>5.53383</v>
      </c>
      <c r="AL15">
        <v>5.53383</v>
      </c>
      <c r="AM15">
        <v>5.53383</v>
      </c>
      <c r="AN15">
        <v>5.53383</v>
      </c>
      <c r="AO15">
        <v>5.53383</v>
      </c>
      <c r="AP15">
        <v>5.53383</v>
      </c>
      <c r="AQ15">
        <v>5.53383</v>
      </c>
      <c r="AR15">
        <v>5.53383</v>
      </c>
      <c r="AS15">
        <v>5.53383</v>
      </c>
      <c r="AT15">
        <v>5.53383</v>
      </c>
      <c r="AU15">
        <v>5.53383</v>
      </c>
      <c r="AV15">
        <v>5.53383</v>
      </c>
      <c r="AW15">
        <v>5.53383</v>
      </c>
      <c r="AX15">
        <v>5.53383</v>
      </c>
      <c r="AY15">
        <v>5.53383</v>
      </c>
      <c r="AZ15">
        <v>5.53383</v>
      </c>
      <c r="BA15">
        <v>5.53383</v>
      </c>
      <c r="BB15">
        <v>5.53383</v>
      </c>
    </row>
    <row r="16" spans="1:54" x14ac:dyDescent="0.2">
      <c r="A16" t="s">
        <v>61</v>
      </c>
      <c r="B16" t="s">
        <v>62</v>
      </c>
      <c r="C16">
        <v>1</v>
      </c>
      <c r="D16">
        <v>1</v>
      </c>
      <c r="E16" t="s">
        <v>38</v>
      </c>
      <c r="F16" t="s">
        <v>63</v>
      </c>
      <c r="G16">
        <v>15.93</v>
      </c>
      <c r="H16">
        <v>15.93</v>
      </c>
      <c r="I16">
        <v>15.03</v>
      </c>
      <c r="J16">
        <v>15.44</v>
      </c>
      <c r="K16">
        <v>15.74</v>
      </c>
      <c r="L16">
        <v>15.94</v>
      </c>
      <c r="M16">
        <v>15.69</v>
      </c>
      <c r="O16">
        <f>X17</f>
        <v>15.255800000000001</v>
      </c>
      <c r="P16">
        <f t="shared" si="9"/>
        <v>15.5154</v>
      </c>
      <c r="Q16">
        <f t="shared" si="9"/>
        <v>15.7751</v>
      </c>
      <c r="S16">
        <f t="shared" si="4"/>
        <v>-0.18419999999999881</v>
      </c>
      <c r="T16">
        <f t="shared" si="1"/>
        <v>-0.22460000000000058</v>
      </c>
      <c r="U16">
        <f t="shared" si="1"/>
        <v>-0.16489999999999938</v>
      </c>
      <c r="W16" t="s">
        <v>338</v>
      </c>
      <c r="X16">
        <v>3.9332199999999999</v>
      </c>
      <c r="Y16">
        <v>34.801299999999998</v>
      </c>
      <c r="Z16">
        <v>37.727899999999998</v>
      </c>
      <c r="AA16">
        <v>37.8643</v>
      </c>
      <c r="AB16">
        <v>37.787199999999999</v>
      </c>
      <c r="AC16">
        <v>37.749699999999997</v>
      </c>
      <c r="AD16">
        <v>37.184199999999997</v>
      </c>
      <c r="AE16">
        <v>35.752400000000002</v>
      </c>
      <c r="AF16">
        <v>33.077300000000001</v>
      </c>
      <c r="AG16">
        <v>28.914300000000001</v>
      </c>
      <c r="AH16">
        <v>23.435199999999998</v>
      </c>
      <c r="AI16">
        <v>24.424800000000001</v>
      </c>
      <c r="AJ16">
        <v>24.7866</v>
      </c>
      <c r="AK16">
        <v>25.845800000000001</v>
      </c>
      <c r="AL16">
        <v>25.2667</v>
      </c>
      <c r="AM16">
        <v>24.620899999999999</v>
      </c>
      <c r="AN16">
        <v>24.469899999999999</v>
      </c>
      <c r="AO16">
        <v>24.469200000000001</v>
      </c>
      <c r="AP16">
        <v>24.774100000000001</v>
      </c>
      <c r="AQ16">
        <v>24.709299999999999</v>
      </c>
      <c r="AR16">
        <v>25.323599999999999</v>
      </c>
      <c r="AS16">
        <v>25.200500000000002</v>
      </c>
      <c r="AT16">
        <v>24.7941</v>
      </c>
      <c r="AU16">
        <v>24.581299999999999</v>
      </c>
      <c r="AV16">
        <v>23.645399999999999</v>
      </c>
      <c r="AW16">
        <v>23.322299999999998</v>
      </c>
      <c r="AX16">
        <v>23.237300000000001</v>
      </c>
      <c r="AY16">
        <v>22.995899999999999</v>
      </c>
      <c r="AZ16">
        <v>23.307200000000002</v>
      </c>
      <c r="BA16">
        <v>22.852</v>
      </c>
      <c r="BB16">
        <v>22.668299999999999</v>
      </c>
    </row>
    <row r="17" spans="1:54" x14ac:dyDescent="0.2">
      <c r="A17" t="s">
        <v>64</v>
      </c>
      <c r="B17" t="s">
        <v>65</v>
      </c>
      <c r="C17">
        <v>1</v>
      </c>
      <c r="D17">
        <v>1</v>
      </c>
      <c r="E17" t="s">
        <v>38</v>
      </c>
      <c r="F17" t="s">
        <v>66</v>
      </c>
      <c r="G17">
        <v>-6.49</v>
      </c>
      <c r="H17">
        <v>-5.9</v>
      </c>
      <c r="I17">
        <v>-5.26</v>
      </c>
      <c r="J17">
        <v>-5.32</v>
      </c>
      <c r="K17">
        <v>-5.1100000000000003</v>
      </c>
      <c r="L17">
        <v>-4.97</v>
      </c>
      <c r="M17">
        <v>-4.8499999999999996</v>
      </c>
      <c r="S17">
        <f t="shared" si="4"/>
        <v>5.32</v>
      </c>
      <c r="T17">
        <f t="shared" si="1"/>
        <v>5.1100000000000003</v>
      </c>
      <c r="U17">
        <f t="shared" si="1"/>
        <v>4.97</v>
      </c>
      <c r="W17" t="s">
        <v>339</v>
      </c>
      <c r="X17">
        <v>15.255800000000001</v>
      </c>
      <c r="Y17">
        <v>15.5154</v>
      </c>
      <c r="Z17">
        <v>15.7751</v>
      </c>
      <c r="AA17">
        <v>15.7751</v>
      </c>
      <c r="AB17">
        <v>15.7751</v>
      </c>
      <c r="AC17">
        <v>16.553999999999998</v>
      </c>
      <c r="AD17">
        <v>17.159800000000001</v>
      </c>
      <c r="AE17">
        <v>17.679099999999998</v>
      </c>
      <c r="AF17">
        <v>18.458100000000002</v>
      </c>
      <c r="AG17">
        <v>18.977399999999999</v>
      </c>
      <c r="AH17">
        <v>19.236999999999998</v>
      </c>
      <c r="AI17">
        <v>19.4101</v>
      </c>
      <c r="AJ17">
        <v>19.669799999999999</v>
      </c>
      <c r="AK17">
        <v>20.015999999999998</v>
      </c>
      <c r="AL17">
        <v>20.275600000000001</v>
      </c>
      <c r="AM17">
        <v>20.5352</v>
      </c>
      <c r="AN17">
        <v>20.708300000000001</v>
      </c>
      <c r="AO17">
        <v>20.968</v>
      </c>
      <c r="AP17">
        <v>21.141100000000002</v>
      </c>
      <c r="AQ17">
        <v>21.3142</v>
      </c>
      <c r="AR17">
        <v>21.487300000000001</v>
      </c>
      <c r="AS17">
        <v>21.660399999999999</v>
      </c>
      <c r="AT17">
        <v>21.833500000000001</v>
      </c>
      <c r="AU17">
        <v>22.006599999999999</v>
      </c>
      <c r="AV17">
        <v>22.0931</v>
      </c>
      <c r="AW17">
        <v>22.266200000000001</v>
      </c>
      <c r="AX17">
        <v>22.352799999999998</v>
      </c>
      <c r="AY17">
        <v>22.439299999999999</v>
      </c>
      <c r="AZ17">
        <v>22.5259</v>
      </c>
      <c r="BA17">
        <v>22.612400000000001</v>
      </c>
      <c r="BB17">
        <v>22.699000000000002</v>
      </c>
    </row>
    <row r="18" spans="1:54" x14ac:dyDescent="0.2">
      <c r="A18" t="s">
        <v>67</v>
      </c>
      <c r="B18" t="s">
        <v>68</v>
      </c>
      <c r="C18">
        <v>1</v>
      </c>
      <c r="D18">
        <v>1</v>
      </c>
      <c r="E18" t="s">
        <v>38</v>
      </c>
      <c r="F18" t="s">
        <v>69</v>
      </c>
      <c r="G18">
        <v>20.04</v>
      </c>
      <c r="H18">
        <v>23.93</v>
      </c>
      <c r="I18">
        <v>17.22</v>
      </c>
      <c r="J18">
        <v>16.329999999999998</v>
      </c>
      <c r="K18">
        <v>17.8</v>
      </c>
      <c r="L18">
        <v>18.18</v>
      </c>
      <c r="M18">
        <v>16.89</v>
      </c>
      <c r="O18">
        <f>X18</f>
        <v>12.596299999999999</v>
      </c>
      <c r="P18">
        <f t="shared" ref="P18:Q18" si="10">Y18</f>
        <v>12.283300000000001</v>
      </c>
      <c r="Q18">
        <f t="shared" si="10"/>
        <v>12.2845</v>
      </c>
      <c r="S18">
        <f t="shared" si="4"/>
        <v>-3.7336999999999989</v>
      </c>
      <c r="T18">
        <f t="shared" si="1"/>
        <v>-5.5167000000000002</v>
      </c>
      <c r="U18">
        <f t="shared" si="1"/>
        <v>-5.8955000000000002</v>
      </c>
      <c r="W18" t="s">
        <v>340</v>
      </c>
      <c r="X18">
        <v>12.596299999999999</v>
      </c>
      <c r="Y18">
        <v>12.283300000000001</v>
      </c>
      <c r="Z18">
        <v>12.2845</v>
      </c>
      <c r="AA18">
        <v>12.2813</v>
      </c>
      <c r="AB18">
        <v>12.277200000000001</v>
      </c>
      <c r="AC18">
        <v>12.271800000000001</v>
      </c>
      <c r="AD18">
        <v>12.2989</v>
      </c>
      <c r="AE18">
        <v>12.3444</v>
      </c>
      <c r="AF18">
        <v>12.3887</v>
      </c>
      <c r="AG18">
        <v>12.431900000000001</v>
      </c>
      <c r="AH18">
        <v>12.4628</v>
      </c>
      <c r="AI18">
        <v>12.4877</v>
      </c>
      <c r="AJ18">
        <v>12.5113</v>
      </c>
      <c r="AK18">
        <v>12.5252</v>
      </c>
      <c r="AL18">
        <v>12.546799999999999</v>
      </c>
      <c r="AM18">
        <v>12.567399999999999</v>
      </c>
      <c r="AN18">
        <v>12.586600000000001</v>
      </c>
      <c r="AO18">
        <v>12.603</v>
      </c>
      <c r="AP18">
        <v>12.619400000000001</v>
      </c>
      <c r="AQ18">
        <v>12.633800000000001</v>
      </c>
      <c r="AR18">
        <v>12.6485</v>
      </c>
      <c r="AS18">
        <v>12.661099999999999</v>
      </c>
      <c r="AT18">
        <v>12.6736</v>
      </c>
      <c r="AU18">
        <v>12.684900000000001</v>
      </c>
      <c r="AV18">
        <v>12.697900000000001</v>
      </c>
      <c r="AW18">
        <v>12.7103</v>
      </c>
      <c r="AX18">
        <v>12.7212</v>
      </c>
      <c r="AY18">
        <v>12.7326</v>
      </c>
      <c r="AZ18">
        <v>12.742699999999999</v>
      </c>
      <c r="BA18">
        <v>12.7538</v>
      </c>
      <c r="BB18">
        <v>12.764900000000001</v>
      </c>
    </row>
    <row r="19" spans="1:54" x14ac:dyDescent="0.2">
      <c r="A19" t="s">
        <v>70</v>
      </c>
      <c r="B19" t="s">
        <v>71</v>
      </c>
      <c r="C19">
        <v>1</v>
      </c>
      <c r="D19">
        <v>1</v>
      </c>
      <c r="E19" t="s">
        <v>38</v>
      </c>
      <c r="F19" t="s">
        <v>72</v>
      </c>
      <c r="G19">
        <v>4.13</v>
      </c>
      <c r="H19">
        <v>4.09</v>
      </c>
      <c r="I19">
        <v>4.04</v>
      </c>
      <c r="J19">
        <v>3.17</v>
      </c>
      <c r="K19">
        <v>3.17</v>
      </c>
      <c r="L19">
        <v>3.31</v>
      </c>
      <c r="M19">
        <v>3.22</v>
      </c>
      <c r="S19">
        <f t="shared" si="4"/>
        <v>-3.17</v>
      </c>
      <c r="T19">
        <f t="shared" si="1"/>
        <v>-3.17</v>
      </c>
      <c r="U19">
        <f t="shared" si="1"/>
        <v>-3.31</v>
      </c>
      <c r="W19" t="s">
        <v>341</v>
      </c>
      <c r="X19">
        <v>145.381</v>
      </c>
      <c r="Y19">
        <v>147.364</v>
      </c>
      <c r="Z19">
        <v>148.39699999999999</v>
      </c>
      <c r="AA19">
        <v>150.11099999999999</v>
      </c>
      <c r="AB19">
        <v>150.904</v>
      </c>
      <c r="AC19">
        <v>150.89099999999999</v>
      </c>
      <c r="AD19">
        <v>157.23699999999999</v>
      </c>
      <c r="AE19">
        <v>167.62899999999999</v>
      </c>
      <c r="AF19">
        <v>178.76900000000001</v>
      </c>
      <c r="AG19">
        <v>191.74600000000001</v>
      </c>
      <c r="AH19">
        <v>201.892</v>
      </c>
      <c r="AI19">
        <v>210.899</v>
      </c>
      <c r="AJ19">
        <v>219.90700000000001</v>
      </c>
      <c r="AK19">
        <v>225.71100000000001</v>
      </c>
      <c r="AL19">
        <v>234.69399999999999</v>
      </c>
      <c r="AM19">
        <v>243.93</v>
      </c>
      <c r="AN19">
        <v>252.80099999999999</v>
      </c>
      <c r="AO19">
        <v>261.577</v>
      </c>
      <c r="AP19">
        <v>270.55399999999997</v>
      </c>
      <c r="AQ19">
        <v>278.82799999999997</v>
      </c>
      <c r="AR19">
        <v>287.67200000000003</v>
      </c>
      <c r="AS19">
        <v>295.459</v>
      </c>
      <c r="AT19">
        <v>303.733</v>
      </c>
      <c r="AU19">
        <v>311.99400000000003</v>
      </c>
      <c r="AV19">
        <v>321.60000000000002</v>
      </c>
      <c r="AW19">
        <v>331.34</v>
      </c>
      <c r="AX19">
        <v>340.68299999999999</v>
      </c>
      <c r="AY19">
        <v>350.476</v>
      </c>
      <c r="AZ19">
        <v>359.697</v>
      </c>
      <c r="BA19">
        <v>370.17700000000002</v>
      </c>
      <c r="BB19">
        <v>381.23099999999999</v>
      </c>
    </row>
    <row r="20" spans="1:54" x14ac:dyDescent="0.2">
      <c r="A20" t="s">
        <v>73</v>
      </c>
      <c r="B20" t="s">
        <v>74</v>
      </c>
      <c r="C20">
        <v>1</v>
      </c>
      <c r="D20">
        <v>1</v>
      </c>
      <c r="E20" t="s">
        <v>38</v>
      </c>
      <c r="F20" t="s">
        <v>75</v>
      </c>
      <c r="G20">
        <v>6.99</v>
      </c>
      <c r="H20">
        <v>7.24</v>
      </c>
      <c r="I20">
        <v>7.69</v>
      </c>
      <c r="J20">
        <v>7.59</v>
      </c>
      <c r="K20">
        <v>7.18</v>
      </c>
      <c r="L20">
        <v>6.95</v>
      </c>
      <c r="M20">
        <v>6.73</v>
      </c>
      <c r="O20">
        <f>X24</f>
        <v>13.8758</v>
      </c>
      <c r="P20">
        <f t="shared" ref="P20:Q20" si="11">Y24</f>
        <v>13.8758</v>
      </c>
      <c r="Q20">
        <f t="shared" si="11"/>
        <v>13.8758</v>
      </c>
      <c r="S20">
        <f t="shared" si="4"/>
        <v>6.2858000000000001</v>
      </c>
      <c r="T20">
        <f t="shared" si="1"/>
        <v>6.6958000000000002</v>
      </c>
      <c r="U20">
        <f t="shared" si="1"/>
        <v>6.9257999999999997</v>
      </c>
      <c r="W20" t="s">
        <v>342</v>
      </c>
      <c r="X20">
        <v>41.731099999999998</v>
      </c>
      <c r="Y20">
        <v>50.693899999999999</v>
      </c>
      <c r="Z20">
        <v>45.138399999999997</v>
      </c>
      <c r="AA20">
        <v>45.113999999999997</v>
      </c>
      <c r="AB20">
        <v>44.234400000000001</v>
      </c>
      <c r="AC20">
        <v>43.505099999999999</v>
      </c>
      <c r="AD20">
        <v>42.593200000000003</v>
      </c>
      <c r="AE20">
        <v>40.847900000000003</v>
      </c>
      <c r="AF20">
        <v>38.600900000000003</v>
      </c>
      <c r="AG20">
        <v>35.323599999999999</v>
      </c>
      <c r="AH20">
        <v>31.584599999999998</v>
      </c>
      <c r="AI20">
        <v>32.316600000000001</v>
      </c>
      <c r="AJ20">
        <v>32.840800000000002</v>
      </c>
      <c r="AK20">
        <v>33.621099999999998</v>
      </c>
      <c r="AL20">
        <v>33.438800000000001</v>
      </c>
      <c r="AM20">
        <v>33.341799999999999</v>
      </c>
      <c r="AN20">
        <v>33.6265</v>
      </c>
      <c r="AO20">
        <v>33.739100000000001</v>
      </c>
      <c r="AP20">
        <v>33.947400000000002</v>
      </c>
      <c r="AQ20">
        <v>33.970500000000001</v>
      </c>
      <c r="AR20">
        <v>34.274900000000002</v>
      </c>
      <c r="AS20">
        <v>34.295699999999997</v>
      </c>
      <c r="AT20">
        <v>34.2864</v>
      </c>
      <c r="AU20">
        <v>34.411200000000001</v>
      </c>
      <c r="AV20">
        <v>33.941200000000002</v>
      </c>
      <c r="AW20">
        <v>33.806899999999999</v>
      </c>
      <c r="AX20">
        <v>33.850299999999997</v>
      </c>
      <c r="AY20">
        <v>33.826999999999998</v>
      </c>
      <c r="AZ20">
        <v>34.224800000000002</v>
      </c>
      <c r="BA20">
        <v>33.896599999999999</v>
      </c>
      <c r="BB20">
        <v>33.837800000000001</v>
      </c>
    </row>
    <row r="21" spans="1:54" x14ac:dyDescent="0.2">
      <c r="A21" t="s">
        <v>76</v>
      </c>
      <c r="B21" t="s">
        <v>77</v>
      </c>
      <c r="C21">
        <v>1</v>
      </c>
      <c r="D21">
        <v>1</v>
      </c>
      <c r="E21" t="s">
        <v>38</v>
      </c>
      <c r="F21" t="s">
        <v>78</v>
      </c>
      <c r="G21">
        <v>3877.37</v>
      </c>
      <c r="H21">
        <v>4018.17</v>
      </c>
      <c r="I21">
        <v>3965.63</v>
      </c>
      <c r="J21">
        <v>3851.03</v>
      </c>
      <c r="K21">
        <v>3962.79</v>
      </c>
      <c r="L21">
        <v>4041.84</v>
      </c>
      <c r="M21">
        <v>4044.16</v>
      </c>
      <c r="O21">
        <f>SUM(X9:X24)</f>
        <v>3960.1910279999997</v>
      </c>
      <c r="P21">
        <f t="shared" ref="P21:Q21" si="12">SUM(Y9:Y24)</f>
        <v>4081.9497320000009</v>
      </c>
      <c r="Q21">
        <f t="shared" si="12"/>
        <v>4121.9571700000006</v>
      </c>
      <c r="S21">
        <f t="shared" si="4"/>
        <v>109.16102799999953</v>
      </c>
      <c r="T21">
        <f t="shared" si="1"/>
        <v>119.15973200000099</v>
      </c>
      <c r="U21">
        <f t="shared" si="1"/>
        <v>80.117170000000442</v>
      </c>
      <c r="W21" t="s">
        <v>343</v>
      </c>
      <c r="X21">
        <v>0.124988</v>
      </c>
      <c r="Y21">
        <v>0.16861200000000001</v>
      </c>
      <c r="Z21">
        <v>0.16905000000000001</v>
      </c>
      <c r="AA21">
        <v>0.169488</v>
      </c>
      <c r="AB21">
        <v>8.8709699999999998</v>
      </c>
      <c r="AC21">
        <v>11.2661</v>
      </c>
      <c r="AD21">
        <v>13.839700000000001</v>
      </c>
      <c r="AE21">
        <v>21.648299999999999</v>
      </c>
      <c r="AF21">
        <v>24.893899999999999</v>
      </c>
      <c r="AG21">
        <v>26.225100000000001</v>
      </c>
      <c r="AH21">
        <v>27.1266</v>
      </c>
      <c r="AI21">
        <v>27.718900000000001</v>
      </c>
      <c r="AJ21">
        <v>28.530999999999999</v>
      </c>
      <c r="AK21">
        <v>29.751999999999999</v>
      </c>
      <c r="AL21">
        <v>30.686699999999998</v>
      </c>
      <c r="AM21">
        <v>31.610800000000001</v>
      </c>
      <c r="AN21">
        <v>32.433900000000001</v>
      </c>
      <c r="AO21">
        <v>33.440300000000001</v>
      </c>
      <c r="AP21">
        <v>34.294600000000003</v>
      </c>
      <c r="AQ21">
        <v>35.119</v>
      </c>
      <c r="AR21">
        <v>35.932000000000002</v>
      </c>
      <c r="AS21">
        <v>36.814</v>
      </c>
      <c r="AT21">
        <v>37.633800000000001</v>
      </c>
      <c r="AU21">
        <v>38.549599999999998</v>
      </c>
      <c r="AV21">
        <v>39.376300000000001</v>
      </c>
      <c r="AW21">
        <v>40.377000000000002</v>
      </c>
      <c r="AX21">
        <v>41.307299999999998</v>
      </c>
      <c r="AY21">
        <v>42.168399999999998</v>
      </c>
      <c r="AZ21">
        <v>43.106299999999997</v>
      </c>
      <c r="BA21">
        <v>44.149900000000002</v>
      </c>
      <c r="BB21">
        <v>45.145099999999999</v>
      </c>
    </row>
    <row r="22" spans="1:54" x14ac:dyDescent="0.2">
      <c r="A22" t="s">
        <v>79</v>
      </c>
      <c r="B22" t="s">
        <v>79</v>
      </c>
      <c r="C22">
        <v>0</v>
      </c>
      <c r="D22">
        <v>0</v>
      </c>
      <c r="W22" t="s">
        <v>344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2">
      <c r="A23" t="s">
        <v>36</v>
      </c>
      <c r="B23" t="s">
        <v>80</v>
      </c>
      <c r="C23">
        <v>1</v>
      </c>
      <c r="D23">
        <v>1</v>
      </c>
      <c r="E23" t="s">
        <v>38</v>
      </c>
      <c r="F23" t="s">
        <v>81</v>
      </c>
      <c r="G23">
        <v>48.8</v>
      </c>
      <c r="H23">
        <v>49.02</v>
      </c>
      <c r="I23">
        <v>46.65</v>
      </c>
      <c r="J23">
        <v>49.1</v>
      </c>
      <c r="K23">
        <v>51.48</v>
      </c>
      <c r="L23">
        <v>55.33</v>
      </c>
      <c r="M23">
        <v>55.27</v>
      </c>
      <c r="W23" t="s">
        <v>345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2">
      <c r="A24" t="s">
        <v>40</v>
      </c>
      <c r="B24" t="s">
        <v>82</v>
      </c>
      <c r="C24">
        <v>1</v>
      </c>
      <c r="D24">
        <v>1</v>
      </c>
      <c r="E24" t="s">
        <v>38</v>
      </c>
      <c r="F24" t="s">
        <v>83</v>
      </c>
      <c r="G24">
        <v>1.68</v>
      </c>
      <c r="H24">
        <v>1.05</v>
      </c>
      <c r="I24">
        <v>0.46</v>
      </c>
      <c r="J24">
        <v>0.16</v>
      </c>
      <c r="K24">
        <v>0.57999999999999996</v>
      </c>
      <c r="L24">
        <v>0.84</v>
      </c>
      <c r="M24">
        <v>0.84</v>
      </c>
      <c r="W24" t="s">
        <v>346</v>
      </c>
      <c r="X24">
        <v>13.8758</v>
      </c>
      <c r="Y24">
        <v>13.8758</v>
      </c>
      <c r="Z24">
        <v>13.8758</v>
      </c>
      <c r="AA24">
        <v>13.8758</v>
      </c>
      <c r="AB24">
        <v>13.8758</v>
      </c>
      <c r="AC24">
        <v>14.254300000000001</v>
      </c>
      <c r="AD24">
        <v>14.6327</v>
      </c>
      <c r="AE24">
        <v>14.885</v>
      </c>
      <c r="AF24">
        <v>15.1373</v>
      </c>
      <c r="AG24">
        <v>15.3896</v>
      </c>
      <c r="AH24">
        <v>15.515700000000001</v>
      </c>
      <c r="AI24">
        <v>15.6419</v>
      </c>
      <c r="AJ24">
        <v>15.768000000000001</v>
      </c>
      <c r="AK24">
        <v>15.8941</v>
      </c>
      <c r="AL24">
        <v>16.020299999999999</v>
      </c>
      <c r="AM24">
        <v>16.1464</v>
      </c>
      <c r="AN24">
        <v>16.272600000000001</v>
      </c>
      <c r="AO24">
        <v>16.398700000000002</v>
      </c>
      <c r="AP24">
        <v>16.524899999999999</v>
      </c>
      <c r="AQ24">
        <v>16.524899999999999</v>
      </c>
      <c r="AR24">
        <v>16.524899999999999</v>
      </c>
      <c r="AS24">
        <v>16.524899999999999</v>
      </c>
      <c r="AT24">
        <v>16.524899999999999</v>
      </c>
      <c r="AU24">
        <v>16.524899999999999</v>
      </c>
      <c r="AV24">
        <v>16.524899999999999</v>
      </c>
      <c r="AW24">
        <v>16.524899999999999</v>
      </c>
      <c r="AX24">
        <v>16.524899999999999</v>
      </c>
      <c r="AY24">
        <v>16.524899999999999</v>
      </c>
      <c r="AZ24">
        <v>16.524899999999999</v>
      </c>
      <c r="BA24">
        <v>16.524899999999999</v>
      </c>
      <c r="BB24">
        <v>16.524899999999999</v>
      </c>
    </row>
    <row r="25" spans="1:54" x14ac:dyDescent="0.2">
      <c r="A25" t="s">
        <v>43</v>
      </c>
      <c r="B25" t="s">
        <v>84</v>
      </c>
      <c r="C25">
        <v>1</v>
      </c>
      <c r="D25">
        <v>1</v>
      </c>
      <c r="E25" t="s">
        <v>38</v>
      </c>
      <c r="F25" t="s">
        <v>85</v>
      </c>
      <c r="G25">
        <v>31.54</v>
      </c>
      <c r="H25">
        <v>31.38</v>
      </c>
      <c r="I25">
        <v>29.82</v>
      </c>
      <c r="J25">
        <v>25.58</v>
      </c>
      <c r="K25">
        <v>27.07</v>
      </c>
      <c r="L25">
        <v>27.85</v>
      </c>
      <c r="M25">
        <v>26.24</v>
      </c>
    </row>
    <row r="26" spans="1:54" x14ac:dyDescent="0.2">
      <c r="A26" t="s">
        <v>49</v>
      </c>
      <c r="B26" t="s">
        <v>86</v>
      </c>
      <c r="C26">
        <v>1</v>
      </c>
      <c r="D26">
        <v>1</v>
      </c>
      <c r="E26" t="s">
        <v>38</v>
      </c>
      <c r="F26" t="s">
        <v>87</v>
      </c>
      <c r="G26">
        <v>7.09</v>
      </c>
      <c r="H26">
        <v>7.47</v>
      </c>
      <c r="I26">
        <v>7.6</v>
      </c>
      <c r="J26">
        <v>6.61</v>
      </c>
      <c r="K26">
        <v>6.28</v>
      </c>
      <c r="L26">
        <v>6.87</v>
      </c>
      <c r="M26">
        <v>7.18</v>
      </c>
    </row>
    <row r="27" spans="1:54" x14ac:dyDescent="0.2">
      <c r="A27" t="s">
        <v>88</v>
      </c>
      <c r="B27" t="s">
        <v>89</v>
      </c>
      <c r="C27">
        <v>1</v>
      </c>
      <c r="D27">
        <v>1</v>
      </c>
      <c r="E27" t="s">
        <v>38</v>
      </c>
      <c r="F27" t="s">
        <v>90</v>
      </c>
      <c r="G27">
        <v>10.130000000000001</v>
      </c>
      <c r="H27">
        <v>10.119999999999999</v>
      </c>
      <c r="I27">
        <v>9.77</v>
      </c>
      <c r="J27">
        <v>10.15</v>
      </c>
      <c r="K27">
        <v>11.25</v>
      </c>
      <c r="L27">
        <v>11.86</v>
      </c>
      <c r="M27">
        <v>12.12</v>
      </c>
    </row>
    <row r="28" spans="1:54" x14ac:dyDescent="0.2">
      <c r="A28" t="s">
        <v>91</v>
      </c>
      <c r="B28" t="s">
        <v>92</v>
      </c>
      <c r="C28">
        <v>1</v>
      </c>
      <c r="D28">
        <v>1</v>
      </c>
      <c r="E28" t="s">
        <v>38</v>
      </c>
      <c r="F28" t="s">
        <v>93</v>
      </c>
      <c r="G28">
        <v>1.85</v>
      </c>
      <c r="H28">
        <v>2.2599999999999998</v>
      </c>
      <c r="I28">
        <v>1.41</v>
      </c>
      <c r="J28">
        <v>1.43</v>
      </c>
      <c r="K28">
        <v>1.5</v>
      </c>
      <c r="L28">
        <v>2.54</v>
      </c>
      <c r="M28">
        <v>1.75</v>
      </c>
    </row>
    <row r="29" spans="1:54" x14ac:dyDescent="0.2">
      <c r="A29" t="s">
        <v>94</v>
      </c>
      <c r="B29" t="s">
        <v>95</v>
      </c>
      <c r="C29">
        <v>1</v>
      </c>
      <c r="D29">
        <v>1</v>
      </c>
      <c r="E29" t="s">
        <v>38</v>
      </c>
      <c r="F29" t="s">
        <v>96</v>
      </c>
      <c r="G29">
        <v>101.09</v>
      </c>
      <c r="H29">
        <v>101.29</v>
      </c>
      <c r="I29">
        <v>95.71</v>
      </c>
      <c r="J29">
        <v>93.02</v>
      </c>
      <c r="K29">
        <v>98.16</v>
      </c>
      <c r="L29">
        <v>105.3</v>
      </c>
      <c r="M29">
        <v>103.4</v>
      </c>
    </row>
    <row r="30" spans="1:54" x14ac:dyDescent="0.2">
      <c r="A30" t="s">
        <v>97</v>
      </c>
      <c r="B30" t="s">
        <v>98</v>
      </c>
      <c r="C30">
        <v>1</v>
      </c>
      <c r="D30">
        <v>1</v>
      </c>
      <c r="E30" t="s">
        <v>38</v>
      </c>
      <c r="F30" t="s">
        <v>99</v>
      </c>
      <c r="G30">
        <v>117.19</v>
      </c>
      <c r="H30">
        <v>119.52</v>
      </c>
      <c r="I30">
        <v>115.3</v>
      </c>
      <c r="J30">
        <v>113.08</v>
      </c>
      <c r="K30">
        <v>116.36</v>
      </c>
      <c r="L30">
        <v>118.31</v>
      </c>
      <c r="M30">
        <v>119.9</v>
      </c>
    </row>
    <row r="31" spans="1:54" x14ac:dyDescent="0.2">
      <c r="A31" t="s">
        <v>100</v>
      </c>
      <c r="B31" t="s">
        <v>100</v>
      </c>
      <c r="C31">
        <v>0</v>
      </c>
      <c r="D31">
        <v>0</v>
      </c>
    </row>
    <row r="32" spans="1:54" x14ac:dyDescent="0.2">
      <c r="A32" t="s">
        <v>36</v>
      </c>
      <c r="B32" t="s">
        <v>101</v>
      </c>
      <c r="C32">
        <v>1</v>
      </c>
      <c r="D32">
        <v>1</v>
      </c>
      <c r="E32" t="s">
        <v>38</v>
      </c>
      <c r="F32" t="s">
        <v>102</v>
      </c>
      <c r="G32">
        <v>51.74</v>
      </c>
      <c r="H32">
        <v>55.55</v>
      </c>
      <c r="I32">
        <v>52.36</v>
      </c>
      <c r="J32">
        <v>57.13</v>
      </c>
      <c r="K32">
        <v>61.87</v>
      </c>
      <c r="L32">
        <v>58.19</v>
      </c>
      <c r="M32">
        <v>58.31</v>
      </c>
    </row>
    <row r="33" spans="1:13" x14ac:dyDescent="0.2">
      <c r="A33" t="s">
        <v>40</v>
      </c>
      <c r="B33" t="s">
        <v>103</v>
      </c>
      <c r="C33">
        <v>1</v>
      </c>
      <c r="D33">
        <v>1</v>
      </c>
      <c r="E33" t="s">
        <v>38</v>
      </c>
      <c r="F33" t="s">
        <v>104</v>
      </c>
      <c r="G33">
        <v>0.56000000000000005</v>
      </c>
      <c r="H33">
        <v>0.68</v>
      </c>
      <c r="I33">
        <v>0.42</v>
      </c>
      <c r="J33">
        <v>0.14000000000000001</v>
      </c>
      <c r="K33">
        <v>0</v>
      </c>
      <c r="L33">
        <v>0</v>
      </c>
      <c r="M33">
        <v>0</v>
      </c>
    </row>
    <row r="34" spans="1:13" x14ac:dyDescent="0.2">
      <c r="A34" t="s">
        <v>43</v>
      </c>
      <c r="B34" t="s">
        <v>105</v>
      </c>
      <c r="C34">
        <v>1</v>
      </c>
      <c r="D34">
        <v>1</v>
      </c>
      <c r="E34" t="s">
        <v>38</v>
      </c>
      <c r="F34" t="s">
        <v>106</v>
      </c>
      <c r="G34">
        <v>42.17</v>
      </c>
      <c r="H34">
        <v>42.92</v>
      </c>
      <c r="I34">
        <v>44.87</v>
      </c>
      <c r="J34">
        <v>38.43</v>
      </c>
      <c r="K34">
        <v>31.14</v>
      </c>
      <c r="L34">
        <v>26.68</v>
      </c>
      <c r="M34">
        <v>27.1</v>
      </c>
    </row>
    <row r="35" spans="1:13" x14ac:dyDescent="0.2">
      <c r="A35" t="s">
        <v>49</v>
      </c>
      <c r="B35" t="s">
        <v>107</v>
      </c>
      <c r="C35">
        <v>1</v>
      </c>
      <c r="D35">
        <v>1</v>
      </c>
      <c r="E35" t="s">
        <v>38</v>
      </c>
      <c r="F35" t="s">
        <v>108</v>
      </c>
      <c r="G35">
        <v>30.06</v>
      </c>
      <c r="H35">
        <v>29.56</v>
      </c>
      <c r="I35">
        <v>30.55</v>
      </c>
      <c r="J35">
        <v>29.48</v>
      </c>
      <c r="K35">
        <v>27.9</v>
      </c>
      <c r="L35">
        <v>28.3</v>
      </c>
      <c r="M35">
        <v>29.67</v>
      </c>
    </row>
    <row r="36" spans="1:13" x14ac:dyDescent="0.2">
      <c r="A36" t="s">
        <v>88</v>
      </c>
      <c r="B36" t="s">
        <v>89</v>
      </c>
      <c r="C36">
        <v>1</v>
      </c>
      <c r="D36">
        <v>1</v>
      </c>
      <c r="E36" t="s">
        <v>38</v>
      </c>
      <c r="F36" t="s">
        <v>109</v>
      </c>
      <c r="G36">
        <v>6.15</v>
      </c>
      <c r="H36">
        <v>6.03</v>
      </c>
      <c r="I36">
        <v>6.52</v>
      </c>
      <c r="J36">
        <v>6.93</v>
      </c>
      <c r="K36">
        <v>7.13</v>
      </c>
      <c r="L36">
        <v>8.07</v>
      </c>
      <c r="M36">
        <v>10.27</v>
      </c>
    </row>
    <row r="37" spans="1:13" x14ac:dyDescent="0.2">
      <c r="A37" t="s">
        <v>91</v>
      </c>
      <c r="B37" t="s">
        <v>110</v>
      </c>
      <c r="C37">
        <v>1</v>
      </c>
      <c r="D37">
        <v>1</v>
      </c>
      <c r="E37" t="s">
        <v>38</v>
      </c>
      <c r="F37" t="s">
        <v>111</v>
      </c>
      <c r="G37">
        <v>0.84</v>
      </c>
      <c r="H37">
        <v>1.87</v>
      </c>
      <c r="I37">
        <v>0.9</v>
      </c>
      <c r="J37">
        <v>0.75</v>
      </c>
      <c r="K37">
        <v>1.27</v>
      </c>
      <c r="L37">
        <v>1.84</v>
      </c>
      <c r="M37">
        <v>1.19</v>
      </c>
    </row>
    <row r="38" spans="1:13" x14ac:dyDescent="0.2">
      <c r="A38" t="s">
        <v>94</v>
      </c>
      <c r="B38" t="s">
        <v>112</v>
      </c>
      <c r="C38">
        <v>1</v>
      </c>
      <c r="D38">
        <v>1</v>
      </c>
      <c r="E38" t="s">
        <v>38</v>
      </c>
      <c r="F38" t="s">
        <v>113</v>
      </c>
      <c r="G38">
        <v>131.53</v>
      </c>
      <c r="H38">
        <v>136.61000000000001</v>
      </c>
      <c r="I38">
        <v>135.62</v>
      </c>
      <c r="J38">
        <v>132.87</v>
      </c>
      <c r="K38">
        <v>129.31</v>
      </c>
      <c r="L38">
        <v>123.08</v>
      </c>
      <c r="M38">
        <v>126.54</v>
      </c>
    </row>
    <row r="39" spans="1:13" x14ac:dyDescent="0.2">
      <c r="A39" t="s">
        <v>97</v>
      </c>
      <c r="B39" t="s">
        <v>114</v>
      </c>
      <c r="C39">
        <v>1</v>
      </c>
      <c r="D39">
        <v>1</v>
      </c>
      <c r="E39" t="s">
        <v>38</v>
      </c>
      <c r="F39" t="s">
        <v>115</v>
      </c>
      <c r="G39">
        <v>151.22</v>
      </c>
      <c r="H39">
        <v>156</v>
      </c>
      <c r="I39">
        <v>150.68</v>
      </c>
      <c r="J39">
        <v>145.31</v>
      </c>
      <c r="K39">
        <v>149.03</v>
      </c>
      <c r="L39">
        <v>149.69</v>
      </c>
      <c r="M39">
        <v>149.18</v>
      </c>
    </row>
    <row r="40" spans="1:13" x14ac:dyDescent="0.2">
      <c r="A40" t="s">
        <v>116</v>
      </c>
      <c r="B40" t="s">
        <v>116</v>
      </c>
      <c r="C40">
        <v>0</v>
      </c>
      <c r="D40">
        <v>0</v>
      </c>
    </row>
    <row r="41" spans="1:13" x14ac:dyDescent="0.2">
      <c r="A41" t="s">
        <v>36</v>
      </c>
      <c r="B41" t="s">
        <v>117</v>
      </c>
      <c r="C41">
        <v>1</v>
      </c>
      <c r="D41">
        <v>1</v>
      </c>
      <c r="E41" t="s">
        <v>38</v>
      </c>
      <c r="F41" t="s">
        <v>118</v>
      </c>
      <c r="G41">
        <v>208.22</v>
      </c>
      <c r="H41">
        <v>252.31</v>
      </c>
      <c r="I41">
        <v>297.04000000000002</v>
      </c>
      <c r="J41">
        <v>317.22000000000003</v>
      </c>
      <c r="K41">
        <v>310.89</v>
      </c>
      <c r="L41">
        <v>314.04000000000002</v>
      </c>
      <c r="M41">
        <v>333</v>
      </c>
    </row>
    <row r="42" spans="1:13" x14ac:dyDescent="0.2">
      <c r="A42" t="s">
        <v>40</v>
      </c>
      <c r="B42" t="s">
        <v>119</v>
      </c>
      <c r="C42">
        <v>1</v>
      </c>
      <c r="D42">
        <v>1</v>
      </c>
      <c r="E42" t="s">
        <v>38</v>
      </c>
      <c r="F42" t="s">
        <v>120</v>
      </c>
      <c r="G42">
        <v>244.69</v>
      </c>
      <c r="H42">
        <v>226.51</v>
      </c>
      <c r="I42">
        <v>183.29</v>
      </c>
      <c r="J42">
        <v>147.94999999999999</v>
      </c>
      <c r="K42">
        <v>175.36</v>
      </c>
      <c r="L42">
        <v>160.29</v>
      </c>
      <c r="M42">
        <v>148.47999999999999</v>
      </c>
    </row>
    <row r="43" spans="1:13" x14ac:dyDescent="0.2">
      <c r="A43" t="s">
        <v>43</v>
      </c>
      <c r="B43" t="s">
        <v>121</v>
      </c>
      <c r="C43">
        <v>1</v>
      </c>
      <c r="D43">
        <v>1</v>
      </c>
      <c r="E43" t="s">
        <v>38</v>
      </c>
      <c r="F43" t="s">
        <v>122</v>
      </c>
      <c r="G43">
        <v>287.02</v>
      </c>
      <c r="H43">
        <v>285.38</v>
      </c>
      <c r="I43">
        <v>277.92</v>
      </c>
      <c r="J43">
        <v>275.75</v>
      </c>
      <c r="K43">
        <v>271.69</v>
      </c>
      <c r="L43">
        <v>274.18</v>
      </c>
      <c r="M43">
        <v>276.52</v>
      </c>
    </row>
    <row r="44" spans="1:13" x14ac:dyDescent="0.2">
      <c r="A44" t="s">
        <v>49</v>
      </c>
      <c r="B44" t="s">
        <v>123</v>
      </c>
      <c r="C44">
        <v>1</v>
      </c>
      <c r="D44">
        <v>1</v>
      </c>
      <c r="E44" t="s">
        <v>38</v>
      </c>
      <c r="F44" t="s">
        <v>124</v>
      </c>
      <c r="G44">
        <v>8.35</v>
      </c>
      <c r="H44">
        <v>11.87</v>
      </c>
      <c r="I44">
        <v>10.23</v>
      </c>
      <c r="J44">
        <v>9.3699999999999992</v>
      </c>
      <c r="K44">
        <v>9.27</v>
      </c>
      <c r="L44">
        <v>9.02</v>
      </c>
      <c r="M44">
        <v>9.07</v>
      </c>
    </row>
    <row r="45" spans="1:13" x14ac:dyDescent="0.2">
      <c r="A45" t="s">
        <v>88</v>
      </c>
      <c r="B45" t="s">
        <v>89</v>
      </c>
      <c r="C45">
        <v>1</v>
      </c>
      <c r="D45">
        <v>1</v>
      </c>
      <c r="E45" t="s">
        <v>38</v>
      </c>
      <c r="F45" t="s">
        <v>125</v>
      </c>
      <c r="G45">
        <v>30.22</v>
      </c>
      <c r="H45">
        <v>31.83</v>
      </c>
      <c r="I45">
        <v>34.68</v>
      </c>
      <c r="J45">
        <v>37.770000000000003</v>
      </c>
      <c r="K45">
        <v>42.42</v>
      </c>
      <c r="L45">
        <v>48.07</v>
      </c>
      <c r="M45">
        <v>53.43</v>
      </c>
    </row>
    <row r="46" spans="1:13" x14ac:dyDescent="0.2">
      <c r="A46" t="s">
        <v>91</v>
      </c>
      <c r="B46" t="s">
        <v>126</v>
      </c>
      <c r="C46">
        <v>1</v>
      </c>
      <c r="D46">
        <v>1</v>
      </c>
      <c r="E46" t="s">
        <v>38</v>
      </c>
      <c r="F46" t="s">
        <v>127</v>
      </c>
      <c r="G46">
        <v>2.3199999999999998</v>
      </c>
      <c r="H46">
        <v>4</v>
      </c>
      <c r="I46">
        <v>2.29</v>
      </c>
      <c r="J46">
        <v>2.44</v>
      </c>
      <c r="K46">
        <v>2.4700000000000002</v>
      </c>
      <c r="L46">
        <v>1.9</v>
      </c>
      <c r="M46">
        <v>1.86</v>
      </c>
    </row>
    <row r="47" spans="1:13" x14ac:dyDescent="0.2">
      <c r="A47" t="s">
        <v>94</v>
      </c>
      <c r="B47" t="s">
        <v>128</v>
      </c>
      <c r="C47">
        <v>1</v>
      </c>
      <c r="D47">
        <v>1</v>
      </c>
      <c r="E47" t="s">
        <v>38</v>
      </c>
      <c r="F47" t="s">
        <v>129</v>
      </c>
      <c r="G47">
        <v>780.82</v>
      </c>
      <c r="H47">
        <v>811.9</v>
      </c>
      <c r="I47">
        <v>805.45</v>
      </c>
      <c r="J47">
        <v>790.49</v>
      </c>
      <c r="K47">
        <v>812.11</v>
      </c>
      <c r="L47">
        <v>807.49</v>
      </c>
      <c r="M47">
        <v>822.36</v>
      </c>
    </row>
    <row r="48" spans="1:13" x14ac:dyDescent="0.2">
      <c r="A48" t="s">
        <v>97</v>
      </c>
      <c r="B48" t="s">
        <v>130</v>
      </c>
      <c r="C48">
        <v>1</v>
      </c>
      <c r="D48">
        <v>1</v>
      </c>
      <c r="E48" t="s">
        <v>38</v>
      </c>
      <c r="F48" t="s">
        <v>131</v>
      </c>
      <c r="G48">
        <v>748.22</v>
      </c>
      <c r="H48">
        <v>780.59</v>
      </c>
      <c r="I48">
        <v>761.46</v>
      </c>
      <c r="J48">
        <v>732.68</v>
      </c>
      <c r="K48">
        <v>770.24</v>
      </c>
      <c r="L48">
        <v>776.77</v>
      </c>
      <c r="M48">
        <v>781.21</v>
      </c>
    </row>
    <row r="49" spans="1:13" x14ac:dyDescent="0.2">
      <c r="A49" t="s">
        <v>132</v>
      </c>
      <c r="B49" t="s">
        <v>132</v>
      </c>
      <c r="C49">
        <v>0</v>
      </c>
      <c r="D49">
        <v>0</v>
      </c>
    </row>
    <row r="50" spans="1:13" x14ac:dyDescent="0.2">
      <c r="A50" t="s">
        <v>36</v>
      </c>
      <c r="B50" t="s">
        <v>133</v>
      </c>
      <c r="C50">
        <v>1</v>
      </c>
      <c r="D50">
        <v>1</v>
      </c>
      <c r="E50" t="s">
        <v>38</v>
      </c>
      <c r="F50" t="s">
        <v>134</v>
      </c>
      <c r="G50">
        <v>220.8</v>
      </c>
      <c r="H50">
        <v>244.6</v>
      </c>
      <c r="I50">
        <v>252.35</v>
      </c>
      <c r="J50">
        <v>254.45</v>
      </c>
      <c r="K50">
        <v>252.3</v>
      </c>
      <c r="L50">
        <v>277.73</v>
      </c>
      <c r="M50">
        <v>272.36</v>
      </c>
    </row>
    <row r="51" spans="1:13" x14ac:dyDescent="0.2">
      <c r="A51" t="s">
        <v>40</v>
      </c>
      <c r="B51" t="s">
        <v>135</v>
      </c>
      <c r="C51">
        <v>1</v>
      </c>
      <c r="D51">
        <v>1</v>
      </c>
      <c r="E51" t="s">
        <v>38</v>
      </c>
      <c r="F51" t="s">
        <v>136</v>
      </c>
      <c r="G51">
        <v>190.91</v>
      </c>
      <c r="H51">
        <v>185.5</v>
      </c>
      <c r="I51">
        <v>159.83000000000001</v>
      </c>
      <c r="J51">
        <v>118.28</v>
      </c>
      <c r="K51">
        <v>137.65</v>
      </c>
      <c r="L51">
        <v>143.31</v>
      </c>
      <c r="M51">
        <v>144.88</v>
      </c>
    </row>
    <row r="52" spans="1:13" x14ac:dyDescent="0.2">
      <c r="A52" t="s">
        <v>43</v>
      </c>
      <c r="B52" t="s">
        <v>137</v>
      </c>
      <c r="C52">
        <v>1</v>
      </c>
      <c r="D52">
        <v>1</v>
      </c>
      <c r="E52" t="s">
        <v>38</v>
      </c>
      <c r="F52" t="s">
        <v>138</v>
      </c>
      <c r="G52">
        <v>204.9</v>
      </c>
      <c r="H52">
        <v>204.8</v>
      </c>
      <c r="I52">
        <v>210.99</v>
      </c>
      <c r="J52">
        <v>210.14</v>
      </c>
      <c r="K52">
        <v>212.21</v>
      </c>
      <c r="L52">
        <v>211.37</v>
      </c>
      <c r="M52">
        <v>223.85</v>
      </c>
    </row>
    <row r="53" spans="1:13" x14ac:dyDescent="0.2">
      <c r="A53" t="s">
        <v>49</v>
      </c>
      <c r="B53" t="s">
        <v>139</v>
      </c>
      <c r="C53">
        <v>1</v>
      </c>
      <c r="D53">
        <v>1</v>
      </c>
      <c r="E53" t="s">
        <v>38</v>
      </c>
      <c r="F53" t="s">
        <v>140</v>
      </c>
      <c r="G53">
        <v>28.77</v>
      </c>
      <c r="H53">
        <v>37.18</v>
      </c>
      <c r="I53">
        <v>37</v>
      </c>
      <c r="J53">
        <v>46.12</v>
      </c>
      <c r="K53">
        <v>43.91</v>
      </c>
      <c r="L53">
        <v>35.22</v>
      </c>
      <c r="M53">
        <v>35.06</v>
      </c>
    </row>
    <row r="54" spans="1:13" x14ac:dyDescent="0.2">
      <c r="A54" t="s">
        <v>88</v>
      </c>
      <c r="B54" t="s">
        <v>89</v>
      </c>
      <c r="C54">
        <v>1</v>
      </c>
      <c r="D54">
        <v>1</v>
      </c>
      <c r="E54" t="s">
        <v>38</v>
      </c>
      <c r="F54" t="s">
        <v>141</v>
      </c>
      <c r="G54">
        <v>10.09</v>
      </c>
      <c r="H54">
        <v>11.47</v>
      </c>
      <c r="I54">
        <v>13.4</v>
      </c>
      <c r="J54">
        <v>16.66</v>
      </c>
      <c r="K54">
        <v>19.11</v>
      </c>
      <c r="L54">
        <v>22.76</v>
      </c>
      <c r="M54">
        <v>26.22</v>
      </c>
    </row>
    <row r="55" spans="1:13" x14ac:dyDescent="0.2">
      <c r="A55" t="s">
        <v>91</v>
      </c>
      <c r="B55" t="s">
        <v>142</v>
      </c>
      <c r="C55">
        <v>1</v>
      </c>
      <c r="D55">
        <v>1</v>
      </c>
      <c r="E55" t="s">
        <v>38</v>
      </c>
      <c r="F55" t="s">
        <v>143</v>
      </c>
      <c r="G55">
        <v>-2.0499999999999998</v>
      </c>
      <c r="H55">
        <v>-0.13</v>
      </c>
      <c r="I55">
        <v>-1.28</v>
      </c>
      <c r="J55">
        <v>-1.1299999999999999</v>
      </c>
      <c r="K55">
        <v>-0.93</v>
      </c>
      <c r="L55">
        <v>-0.72</v>
      </c>
      <c r="M55">
        <v>-0.78</v>
      </c>
    </row>
    <row r="56" spans="1:13" x14ac:dyDescent="0.2">
      <c r="A56" t="s">
        <v>94</v>
      </c>
      <c r="B56" t="s">
        <v>144</v>
      </c>
      <c r="C56">
        <v>1</v>
      </c>
      <c r="D56">
        <v>1</v>
      </c>
      <c r="E56" t="s">
        <v>38</v>
      </c>
      <c r="F56" t="s">
        <v>145</v>
      </c>
      <c r="G56">
        <v>653.41</v>
      </c>
      <c r="H56">
        <v>683.43</v>
      </c>
      <c r="I56">
        <v>672.3</v>
      </c>
      <c r="J56">
        <v>644.53</v>
      </c>
      <c r="K56">
        <v>664.25</v>
      </c>
      <c r="L56">
        <v>689.68</v>
      </c>
      <c r="M56">
        <v>701.59</v>
      </c>
    </row>
    <row r="57" spans="1:13" x14ac:dyDescent="0.2">
      <c r="A57" t="s">
        <v>97</v>
      </c>
      <c r="B57" t="s">
        <v>146</v>
      </c>
      <c r="C57">
        <v>1</v>
      </c>
      <c r="D57">
        <v>1</v>
      </c>
      <c r="E57" t="s">
        <v>38</v>
      </c>
      <c r="F57" t="s">
        <v>147</v>
      </c>
      <c r="G57">
        <v>650.67999999999995</v>
      </c>
      <c r="H57">
        <v>681.54</v>
      </c>
      <c r="I57">
        <v>677.92</v>
      </c>
      <c r="J57">
        <v>634.73</v>
      </c>
      <c r="K57">
        <v>654.41999999999996</v>
      </c>
      <c r="L57">
        <v>670.87</v>
      </c>
      <c r="M57">
        <v>684.99</v>
      </c>
    </row>
    <row r="58" spans="1:13" x14ac:dyDescent="0.2">
      <c r="A58" t="s">
        <v>148</v>
      </c>
      <c r="B58" t="s">
        <v>148</v>
      </c>
      <c r="C58">
        <v>0</v>
      </c>
      <c r="D58">
        <v>0</v>
      </c>
    </row>
    <row r="59" spans="1:13" x14ac:dyDescent="0.2">
      <c r="A59" t="s">
        <v>36</v>
      </c>
      <c r="B59" t="s">
        <v>149</v>
      </c>
      <c r="C59">
        <v>1</v>
      </c>
      <c r="D59">
        <v>1</v>
      </c>
      <c r="E59" t="s">
        <v>38</v>
      </c>
      <c r="F59" t="s">
        <v>150</v>
      </c>
      <c r="G59">
        <v>154.38</v>
      </c>
      <c r="H59">
        <v>164.84</v>
      </c>
      <c r="I59">
        <v>174.9</v>
      </c>
      <c r="J59">
        <v>180.79</v>
      </c>
      <c r="K59">
        <v>171.8</v>
      </c>
      <c r="L59">
        <v>168.58</v>
      </c>
      <c r="M59">
        <v>162.52000000000001</v>
      </c>
    </row>
    <row r="60" spans="1:13" x14ac:dyDescent="0.2">
      <c r="A60" t="s">
        <v>40</v>
      </c>
      <c r="B60" t="s">
        <v>151</v>
      </c>
      <c r="C60">
        <v>1</v>
      </c>
      <c r="D60">
        <v>1</v>
      </c>
      <c r="E60" t="s">
        <v>38</v>
      </c>
      <c r="F60" t="s">
        <v>152</v>
      </c>
      <c r="G60">
        <v>34.4</v>
      </c>
      <c r="H60">
        <v>27.05</v>
      </c>
      <c r="I60">
        <v>18.63</v>
      </c>
      <c r="J60">
        <v>15.85</v>
      </c>
      <c r="K60">
        <v>18.34</v>
      </c>
      <c r="L60">
        <v>14.75</v>
      </c>
      <c r="M60">
        <v>14.42</v>
      </c>
    </row>
    <row r="61" spans="1:13" x14ac:dyDescent="0.2">
      <c r="A61" t="s">
        <v>43</v>
      </c>
      <c r="B61" t="s">
        <v>153</v>
      </c>
      <c r="C61">
        <v>1</v>
      </c>
      <c r="D61">
        <v>1</v>
      </c>
      <c r="E61" t="s">
        <v>38</v>
      </c>
      <c r="F61" t="s">
        <v>154</v>
      </c>
      <c r="G61">
        <v>29.15</v>
      </c>
      <c r="H61">
        <v>29.31</v>
      </c>
      <c r="I61">
        <v>29.11</v>
      </c>
      <c r="J61">
        <v>29.42</v>
      </c>
      <c r="K61">
        <v>28.06</v>
      </c>
      <c r="L61">
        <v>30.07</v>
      </c>
      <c r="M61">
        <v>29.14</v>
      </c>
    </row>
    <row r="62" spans="1:13" x14ac:dyDescent="0.2">
      <c r="A62" t="s">
        <v>49</v>
      </c>
      <c r="B62" t="s">
        <v>155</v>
      </c>
      <c r="C62">
        <v>1</v>
      </c>
      <c r="D62">
        <v>1</v>
      </c>
      <c r="E62" t="s">
        <v>38</v>
      </c>
      <c r="F62" t="s">
        <v>156</v>
      </c>
      <c r="G62">
        <v>0.22</v>
      </c>
      <c r="H62">
        <v>0.23</v>
      </c>
      <c r="I62">
        <v>0.21</v>
      </c>
      <c r="J62">
        <v>0.23</v>
      </c>
      <c r="K62">
        <v>0.22</v>
      </c>
      <c r="L62">
        <v>0.18</v>
      </c>
      <c r="M62">
        <v>0.18</v>
      </c>
    </row>
    <row r="63" spans="1:13" x14ac:dyDescent="0.2">
      <c r="A63" t="s">
        <v>88</v>
      </c>
      <c r="B63" t="s">
        <v>89</v>
      </c>
      <c r="C63">
        <v>1</v>
      </c>
      <c r="D63">
        <v>1</v>
      </c>
      <c r="E63" t="s">
        <v>38</v>
      </c>
      <c r="F63" t="s">
        <v>157</v>
      </c>
      <c r="G63">
        <v>3.72</v>
      </c>
      <c r="H63">
        <v>5.2</v>
      </c>
      <c r="I63">
        <v>6.13</v>
      </c>
      <c r="J63">
        <v>8.2799999999999994</v>
      </c>
      <c r="K63">
        <v>11</v>
      </c>
      <c r="L63">
        <v>12.76</v>
      </c>
      <c r="M63">
        <v>15.69</v>
      </c>
    </row>
    <row r="64" spans="1:13" x14ac:dyDescent="0.2">
      <c r="A64" t="s">
        <v>91</v>
      </c>
      <c r="B64" t="s">
        <v>158</v>
      </c>
      <c r="C64">
        <v>1</v>
      </c>
      <c r="D64">
        <v>1</v>
      </c>
      <c r="E64" t="s">
        <v>38</v>
      </c>
      <c r="F64" t="s">
        <v>159</v>
      </c>
      <c r="G64">
        <v>2.88</v>
      </c>
      <c r="H64">
        <v>3.55</v>
      </c>
      <c r="I64">
        <v>3.14</v>
      </c>
      <c r="J64">
        <v>3.26</v>
      </c>
      <c r="K64">
        <v>2.79</v>
      </c>
      <c r="L64">
        <v>2.89</v>
      </c>
      <c r="M64">
        <v>2.91</v>
      </c>
    </row>
    <row r="65" spans="1:13" x14ac:dyDescent="0.2">
      <c r="A65" t="s">
        <v>94</v>
      </c>
      <c r="B65" t="s">
        <v>160</v>
      </c>
      <c r="C65">
        <v>1</v>
      </c>
      <c r="D65">
        <v>1</v>
      </c>
      <c r="E65" t="s">
        <v>38</v>
      </c>
      <c r="F65" t="s">
        <v>161</v>
      </c>
      <c r="G65">
        <v>224.75</v>
      </c>
      <c r="H65">
        <v>230.18</v>
      </c>
      <c r="I65">
        <v>232.12</v>
      </c>
      <c r="J65">
        <v>237.84</v>
      </c>
      <c r="K65">
        <v>232.2</v>
      </c>
      <c r="L65">
        <v>229.24</v>
      </c>
      <c r="M65">
        <v>224.86</v>
      </c>
    </row>
    <row r="66" spans="1:13" x14ac:dyDescent="0.2">
      <c r="A66" t="s">
        <v>97</v>
      </c>
      <c r="B66" t="s">
        <v>162</v>
      </c>
      <c r="C66">
        <v>1</v>
      </c>
      <c r="D66">
        <v>1</v>
      </c>
      <c r="E66" t="s">
        <v>38</v>
      </c>
      <c r="F66" t="s">
        <v>163</v>
      </c>
      <c r="G66">
        <v>230.55</v>
      </c>
      <c r="H66">
        <v>233.34</v>
      </c>
      <c r="I66">
        <v>226.54</v>
      </c>
      <c r="J66">
        <v>244.05</v>
      </c>
      <c r="K66">
        <v>244.11</v>
      </c>
      <c r="L66">
        <v>236.77</v>
      </c>
      <c r="M66">
        <v>231.36</v>
      </c>
    </row>
    <row r="67" spans="1:13" x14ac:dyDescent="0.2">
      <c r="A67" t="s">
        <v>164</v>
      </c>
      <c r="B67" t="s">
        <v>164</v>
      </c>
      <c r="C67">
        <v>0</v>
      </c>
      <c r="D67">
        <v>0</v>
      </c>
    </row>
    <row r="68" spans="1:13" x14ac:dyDescent="0.2">
      <c r="A68" t="s">
        <v>36</v>
      </c>
      <c r="B68" t="s">
        <v>165</v>
      </c>
      <c r="C68">
        <v>1</v>
      </c>
      <c r="D68">
        <v>1</v>
      </c>
      <c r="E68" t="s">
        <v>38</v>
      </c>
      <c r="F68" t="s">
        <v>166</v>
      </c>
      <c r="G68">
        <v>133.56</v>
      </c>
      <c r="H68">
        <v>157.37</v>
      </c>
      <c r="I68">
        <v>176.93</v>
      </c>
      <c r="J68">
        <v>182.87</v>
      </c>
      <c r="K68">
        <v>169.7</v>
      </c>
      <c r="L68">
        <v>178.65</v>
      </c>
      <c r="M68">
        <v>181.09</v>
      </c>
    </row>
    <row r="69" spans="1:13" x14ac:dyDescent="0.2">
      <c r="A69" t="s">
        <v>40</v>
      </c>
      <c r="B69" t="s">
        <v>167</v>
      </c>
      <c r="C69">
        <v>1</v>
      </c>
      <c r="D69">
        <v>1</v>
      </c>
      <c r="E69" t="s">
        <v>38</v>
      </c>
      <c r="F69" t="s">
        <v>168</v>
      </c>
      <c r="G69">
        <v>326.52999999999997</v>
      </c>
      <c r="H69">
        <v>337.75</v>
      </c>
      <c r="I69">
        <v>275.88</v>
      </c>
      <c r="J69">
        <v>218.37</v>
      </c>
      <c r="K69">
        <v>267.75</v>
      </c>
      <c r="L69">
        <v>263.69</v>
      </c>
      <c r="M69">
        <v>245.47</v>
      </c>
    </row>
    <row r="70" spans="1:13" x14ac:dyDescent="0.2">
      <c r="A70" t="s">
        <v>43</v>
      </c>
      <c r="B70" t="s">
        <v>169</v>
      </c>
      <c r="C70">
        <v>1</v>
      </c>
      <c r="D70">
        <v>1</v>
      </c>
      <c r="E70" t="s">
        <v>38</v>
      </c>
      <c r="F70" t="s">
        <v>170</v>
      </c>
      <c r="G70">
        <v>95.67</v>
      </c>
      <c r="H70">
        <v>98.29</v>
      </c>
      <c r="I70">
        <v>102.26</v>
      </c>
      <c r="J70">
        <v>95.11</v>
      </c>
      <c r="K70">
        <v>95.69</v>
      </c>
      <c r="L70">
        <v>91.87</v>
      </c>
      <c r="M70">
        <v>89.67</v>
      </c>
    </row>
    <row r="71" spans="1:13" x14ac:dyDescent="0.2">
      <c r="A71" t="s">
        <v>49</v>
      </c>
      <c r="B71" t="s">
        <v>171</v>
      </c>
      <c r="C71">
        <v>1</v>
      </c>
      <c r="D71">
        <v>1</v>
      </c>
      <c r="E71" t="s">
        <v>38</v>
      </c>
      <c r="F71" t="s">
        <v>172</v>
      </c>
      <c r="G71">
        <v>10.18</v>
      </c>
      <c r="H71">
        <v>9.18</v>
      </c>
      <c r="I71">
        <v>10.92</v>
      </c>
      <c r="J71">
        <v>11.14</v>
      </c>
      <c r="K71">
        <v>10.67</v>
      </c>
      <c r="L71">
        <v>10.72</v>
      </c>
      <c r="M71">
        <v>10.130000000000001</v>
      </c>
    </row>
    <row r="72" spans="1:13" x14ac:dyDescent="0.2">
      <c r="A72" t="s">
        <v>88</v>
      </c>
      <c r="B72" t="s">
        <v>89</v>
      </c>
      <c r="C72">
        <v>1</v>
      </c>
      <c r="D72">
        <v>1</v>
      </c>
      <c r="E72" t="s">
        <v>38</v>
      </c>
      <c r="F72" t="s">
        <v>173</v>
      </c>
      <c r="G72">
        <v>60.07</v>
      </c>
      <c r="H72">
        <v>58.42</v>
      </c>
      <c r="I72">
        <v>64.45</v>
      </c>
      <c r="J72">
        <v>79.19</v>
      </c>
      <c r="K72">
        <v>93.1</v>
      </c>
      <c r="L72">
        <v>105.96</v>
      </c>
      <c r="M72">
        <v>111.85</v>
      </c>
    </row>
    <row r="73" spans="1:13" x14ac:dyDescent="0.2">
      <c r="A73" t="s">
        <v>91</v>
      </c>
      <c r="B73" t="s">
        <v>174</v>
      </c>
      <c r="C73">
        <v>1</v>
      </c>
      <c r="D73">
        <v>1</v>
      </c>
      <c r="E73" t="s">
        <v>38</v>
      </c>
      <c r="F73" t="s">
        <v>175</v>
      </c>
      <c r="G73">
        <v>7.65</v>
      </c>
      <c r="H73">
        <v>7.16</v>
      </c>
      <c r="I73">
        <v>6.07</v>
      </c>
      <c r="J73">
        <v>5.28</v>
      </c>
      <c r="K73">
        <v>6.4</v>
      </c>
      <c r="L73">
        <v>5.61</v>
      </c>
      <c r="M73">
        <v>5.62</v>
      </c>
    </row>
    <row r="74" spans="1:13" x14ac:dyDescent="0.2">
      <c r="A74" t="s">
        <v>94</v>
      </c>
      <c r="B74" t="s">
        <v>176</v>
      </c>
      <c r="C74">
        <v>1</v>
      </c>
      <c r="D74">
        <v>1</v>
      </c>
      <c r="E74" t="s">
        <v>38</v>
      </c>
      <c r="F74" t="s">
        <v>177</v>
      </c>
      <c r="G74">
        <v>633.65</v>
      </c>
      <c r="H74">
        <v>668.17</v>
      </c>
      <c r="I74">
        <v>636.52</v>
      </c>
      <c r="J74">
        <v>591.96</v>
      </c>
      <c r="K74">
        <v>643.32000000000005</v>
      </c>
      <c r="L74">
        <v>656.5</v>
      </c>
      <c r="M74">
        <v>643.83000000000004</v>
      </c>
    </row>
    <row r="75" spans="1:13" x14ac:dyDescent="0.2">
      <c r="A75" t="s">
        <v>97</v>
      </c>
      <c r="B75" t="s">
        <v>178</v>
      </c>
      <c r="C75">
        <v>1</v>
      </c>
      <c r="D75">
        <v>1</v>
      </c>
      <c r="E75" t="s">
        <v>38</v>
      </c>
      <c r="F75" t="s">
        <v>179</v>
      </c>
      <c r="G75">
        <v>630.46</v>
      </c>
      <c r="H75">
        <v>661.86</v>
      </c>
      <c r="I75">
        <v>645.85</v>
      </c>
      <c r="J75">
        <v>617.28</v>
      </c>
      <c r="K75">
        <v>647.26</v>
      </c>
      <c r="L75">
        <v>667.09</v>
      </c>
      <c r="M75">
        <v>669.87</v>
      </c>
    </row>
    <row r="76" spans="1:13" x14ac:dyDescent="0.2">
      <c r="A76" t="s">
        <v>180</v>
      </c>
      <c r="B76" t="s">
        <v>180</v>
      </c>
      <c r="C76">
        <v>0</v>
      </c>
      <c r="D76">
        <v>0</v>
      </c>
    </row>
    <row r="77" spans="1:13" x14ac:dyDescent="0.2">
      <c r="A77" t="s">
        <v>36</v>
      </c>
      <c r="B77" t="s">
        <v>181</v>
      </c>
      <c r="C77">
        <v>1</v>
      </c>
      <c r="D77">
        <v>1</v>
      </c>
      <c r="E77" t="s">
        <v>38</v>
      </c>
      <c r="F77" t="s">
        <v>182</v>
      </c>
      <c r="G77">
        <v>48.09</v>
      </c>
      <c r="H77">
        <v>63.61</v>
      </c>
      <c r="I77">
        <v>69.430000000000007</v>
      </c>
      <c r="J77">
        <v>68.900000000000006</v>
      </c>
      <c r="K77">
        <v>56.32</v>
      </c>
      <c r="L77">
        <v>57.42</v>
      </c>
      <c r="M77">
        <v>55.63</v>
      </c>
    </row>
    <row r="78" spans="1:13" x14ac:dyDescent="0.2">
      <c r="A78" t="s">
        <v>40</v>
      </c>
      <c r="B78" t="s">
        <v>183</v>
      </c>
      <c r="C78">
        <v>1</v>
      </c>
      <c r="D78">
        <v>1</v>
      </c>
      <c r="E78" t="s">
        <v>38</v>
      </c>
      <c r="F78" t="s">
        <v>184</v>
      </c>
      <c r="G78">
        <v>116.28</v>
      </c>
      <c r="H78">
        <v>104.35</v>
      </c>
      <c r="I78">
        <v>83.93</v>
      </c>
      <c r="J78">
        <v>70.8</v>
      </c>
      <c r="K78">
        <v>92.02</v>
      </c>
      <c r="L78">
        <v>86.18</v>
      </c>
      <c r="M78">
        <v>84.57</v>
      </c>
    </row>
    <row r="79" spans="1:13" x14ac:dyDescent="0.2">
      <c r="A79" t="s">
        <v>43</v>
      </c>
      <c r="B79" t="s">
        <v>185</v>
      </c>
      <c r="C79">
        <v>1</v>
      </c>
      <c r="D79">
        <v>1</v>
      </c>
      <c r="E79" t="s">
        <v>38</v>
      </c>
      <c r="F79" t="s">
        <v>186</v>
      </c>
      <c r="G79">
        <v>17.559999999999999</v>
      </c>
      <c r="H79">
        <v>14.8</v>
      </c>
      <c r="I79">
        <v>16.2</v>
      </c>
      <c r="J79">
        <v>16.77</v>
      </c>
      <c r="K79">
        <v>15.46</v>
      </c>
      <c r="L79">
        <v>15.22</v>
      </c>
      <c r="M79">
        <v>17.350000000000001</v>
      </c>
    </row>
    <row r="80" spans="1:13" x14ac:dyDescent="0.2">
      <c r="A80" t="s">
        <v>49</v>
      </c>
      <c r="B80" t="s">
        <v>187</v>
      </c>
      <c r="C80">
        <v>1</v>
      </c>
      <c r="D80">
        <v>1</v>
      </c>
      <c r="E80" t="s">
        <v>38</v>
      </c>
      <c r="F80" t="s">
        <v>188</v>
      </c>
      <c r="G80">
        <v>14.14</v>
      </c>
      <c r="H80">
        <v>15.52</v>
      </c>
      <c r="I80">
        <v>20.54</v>
      </c>
      <c r="J80">
        <v>16.84</v>
      </c>
      <c r="K80">
        <v>15.55</v>
      </c>
      <c r="L80">
        <v>16.05</v>
      </c>
      <c r="M80">
        <v>16.34</v>
      </c>
    </row>
    <row r="81" spans="1:13" x14ac:dyDescent="0.2">
      <c r="A81" t="s">
        <v>88</v>
      </c>
      <c r="B81" t="s">
        <v>89</v>
      </c>
      <c r="C81">
        <v>1</v>
      </c>
      <c r="D81">
        <v>1</v>
      </c>
      <c r="E81" t="s">
        <v>38</v>
      </c>
      <c r="F81" t="s">
        <v>189</v>
      </c>
      <c r="G81">
        <v>60.42</v>
      </c>
      <c r="H81">
        <v>70.19</v>
      </c>
      <c r="I81">
        <v>77.22</v>
      </c>
      <c r="J81">
        <v>84.67</v>
      </c>
      <c r="K81">
        <v>93.63</v>
      </c>
      <c r="L81">
        <v>108.62</v>
      </c>
      <c r="M81">
        <v>114.53</v>
      </c>
    </row>
    <row r="82" spans="1:13" x14ac:dyDescent="0.2">
      <c r="A82" t="s">
        <v>91</v>
      </c>
      <c r="B82" t="s">
        <v>190</v>
      </c>
      <c r="C82">
        <v>1</v>
      </c>
      <c r="D82">
        <v>1</v>
      </c>
      <c r="E82" t="s">
        <v>38</v>
      </c>
      <c r="F82" t="s">
        <v>191</v>
      </c>
      <c r="G82">
        <v>0.81</v>
      </c>
      <c r="H82">
        <v>1.19</v>
      </c>
      <c r="I82">
        <v>1.29</v>
      </c>
      <c r="J82">
        <v>0.92</v>
      </c>
      <c r="K82">
        <v>0.67</v>
      </c>
      <c r="L82">
        <v>0.62</v>
      </c>
      <c r="M82">
        <v>0.64</v>
      </c>
    </row>
    <row r="83" spans="1:13" x14ac:dyDescent="0.2">
      <c r="A83" t="s">
        <v>94</v>
      </c>
      <c r="B83" t="s">
        <v>192</v>
      </c>
      <c r="C83">
        <v>1</v>
      </c>
      <c r="D83">
        <v>1</v>
      </c>
      <c r="E83" t="s">
        <v>38</v>
      </c>
      <c r="F83" t="s">
        <v>193</v>
      </c>
      <c r="G83">
        <v>257.3</v>
      </c>
      <c r="H83">
        <v>269.67</v>
      </c>
      <c r="I83">
        <v>268.62</v>
      </c>
      <c r="J83">
        <v>258.89999999999998</v>
      </c>
      <c r="K83">
        <v>273.64</v>
      </c>
      <c r="L83">
        <v>284.11</v>
      </c>
      <c r="M83">
        <v>289.05</v>
      </c>
    </row>
    <row r="84" spans="1:13" x14ac:dyDescent="0.2">
      <c r="A84" t="s">
        <v>97</v>
      </c>
      <c r="B84" t="s">
        <v>194</v>
      </c>
      <c r="C84">
        <v>1</v>
      </c>
      <c r="D84">
        <v>1</v>
      </c>
      <c r="E84" t="s">
        <v>38</v>
      </c>
      <c r="F84" t="s">
        <v>195</v>
      </c>
      <c r="G84">
        <v>254.33</v>
      </c>
      <c r="H84">
        <v>268.39</v>
      </c>
      <c r="I84">
        <v>268.57</v>
      </c>
      <c r="J84">
        <v>262.49</v>
      </c>
      <c r="K84">
        <v>271.55</v>
      </c>
      <c r="L84">
        <v>275.89999999999998</v>
      </c>
      <c r="M84">
        <v>275.11</v>
      </c>
    </row>
    <row r="85" spans="1:13" x14ac:dyDescent="0.2">
      <c r="A85" t="s">
        <v>196</v>
      </c>
      <c r="B85" t="s">
        <v>196</v>
      </c>
      <c r="C85">
        <v>0</v>
      </c>
      <c r="D85">
        <v>0</v>
      </c>
    </row>
    <row r="86" spans="1:13" x14ac:dyDescent="0.2">
      <c r="A86" t="s">
        <v>36</v>
      </c>
      <c r="B86" t="s">
        <v>197</v>
      </c>
      <c r="C86">
        <v>1</v>
      </c>
      <c r="D86">
        <v>1</v>
      </c>
      <c r="E86" t="s">
        <v>38</v>
      </c>
      <c r="F86" t="s">
        <v>198</v>
      </c>
      <c r="G86">
        <v>141.66</v>
      </c>
      <c r="H86">
        <v>166.77</v>
      </c>
      <c r="I86">
        <v>181.74</v>
      </c>
      <c r="J86">
        <v>174.09</v>
      </c>
      <c r="K86">
        <v>164.18</v>
      </c>
      <c r="L86">
        <v>153.96</v>
      </c>
      <c r="M86">
        <v>132.21</v>
      </c>
    </row>
    <row r="87" spans="1:13" x14ac:dyDescent="0.2">
      <c r="A87" t="s">
        <v>40</v>
      </c>
      <c r="B87" t="s">
        <v>199</v>
      </c>
      <c r="C87">
        <v>1</v>
      </c>
      <c r="D87">
        <v>1</v>
      </c>
      <c r="E87" t="s">
        <v>38</v>
      </c>
      <c r="F87" t="s">
        <v>200</v>
      </c>
      <c r="G87">
        <v>113.38</v>
      </c>
      <c r="H87">
        <v>87.39</v>
      </c>
      <c r="I87">
        <v>72.83</v>
      </c>
      <c r="J87">
        <v>64.78</v>
      </c>
      <c r="K87">
        <v>74.510000000000005</v>
      </c>
      <c r="L87">
        <v>75.989999999999995</v>
      </c>
      <c r="M87">
        <v>74.959999999999994</v>
      </c>
    </row>
    <row r="88" spans="1:13" x14ac:dyDescent="0.2">
      <c r="A88" t="s">
        <v>43</v>
      </c>
      <c r="B88" t="s">
        <v>201</v>
      </c>
      <c r="C88">
        <v>1</v>
      </c>
      <c r="D88">
        <v>1</v>
      </c>
      <c r="E88" t="s">
        <v>38</v>
      </c>
      <c r="F88" t="s">
        <v>202</v>
      </c>
      <c r="G88">
        <v>38.58</v>
      </c>
      <c r="H88">
        <v>41.19</v>
      </c>
      <c r="I88">
        <v>41.3</v>
      </c>
      <c r="J88">
        <v>41.44</v>
      </c>
      <c r="K88">
        <v>40.21</v>
      </c>
      <c r="L88">
        <v>42.44</v>
      </c>
      <c r="M88">
        <v>40.83</v>
      </c>
    </row>
    <row r="89" spans="1:13" x14ac:dyDescent="0.2">
      <c r="A89" t="s">
        <v>49</v>
      </c>
      <c r="B89" t="s">
        <v>203</v>
      </c>
      <c r="C89">
        <v>1</v>
      </c>
      <c r="D89">
        <v>1</v>
      </c>
      <c r="E89" t="s">
        <v>38</v>
      </c>
      <c r="F89" t="s">
        <v>204</v>
      </c>
      <c r="G89">
        <v>0.84</v>
      </c>
      <c r="H89">
        <v>0.81</v>
      </c>
      <c r="I89">
        <v>0.85</v>
      </c>
      <c r="J89">
        <v>0.62</v>
      </c>
      <c r="K89">
        <v>0.61</v>
      </c>
      <c r="L89">
        <v>0.65</v>
      </c>
      <c r="M89">
        <v>0.62</v>
      </c>
    </row>
    <row r="90" spans="1:13" x14ac:dyDescent="0.2">
      <c r="A90" t="s">
        <v>88</v>
      </c>
      <c r="B90" t="s">
        <v>89</v>
      </c>
      <c r="C90">
        <v>1</v>
      </c>
      <c r="D90">
        <v>1</v>
      </c>
      <c r="E90" t="s">
        <v>38</v>
      </c>
      <c r="F90" t="s">
        <v>205</v>
      </c>
      <c r="G90">
        <v>63.79</v>
      </c>
      <c r="H90">
        <v>71.12</v>
      </c>
      <c r="I90">
        <v>78.89</v>
      </c>
      <c r="J90">
        <v>90.71</v>
      </c>
      <c r="K90">
        <v>106.25</v>
      </c>
      <c r="L90">
        <v>133.38</v>
      </c>
      <c r="M90">
        <v>149.37</v>
      </c>
    </row>
    <row r="91" spans="1:13" x14ac:dyDescent="0.2">
      <c r="A91" t="s">
        <v>91</v>
      </c>
      <c r="B91" t="s">
        <v>206</v>
      </c>
      <c r="C91">
        <v>1</v>
      </c>
      <c r="D91">
        <v>1</v>
      </c>
      <c r="E91" t="s">
        <v>38</v>
      </c>
      <c r="F91" t="s">
        <v>207</v>
      </c>
      <c r="G91">
        <v>1.41</v>
      </c>
      <c r="H91">
        <v>1.33</v>
      </c>
      <c r="I91">
        <v>1.63</v>
      </c>
      <c r="J91">
        <v>1.53</v>
      </c>
      <c r="K91">
        <v>1.37</v>
      </c>
      <c r="L91">
        <v>1.4</v>
      </c>
      <c r="M91">
        <v>1.35</v>
      </c>
    </row>
    <row r="92" spans="1:13" x14ac:dyDescent="0.2">
      <c r="A92" t="s">
        <v>94</v>
      </c>
      <c r="B92" t="s">
        <v>208</v>
      </c>
      <c r="C92">
        <v>1</v>
      </c>
      <c r="D92">
        <v>1</v>
      </c>
      <c r="E92" t="s">
        <v>38</v>
      </c>
      <c r="F92" t="s">
        <v>209</v>
      </c>
      <c r="G92">
        <v>359.66</v>
      </c>
      <c r="H92">
        <v>368.6</v>
      </c>
      <c r="I92">
        <v>377.24</v>
      </c>
      <c r="J92">
        <v>373.17</v>
      </c>
      <c r="K92">
        <v>387.13</v>
      </c>
      <c r="L92">
        <v>407.82</v>
      </c>
      <c r="M92">
        <v>399.34</v>
      </c>
    </row>
    <row r="93" spans="1:13" x14ac:dyDescent="0.2">
      <c r="A93" t="s">
        <v>97</v>
      </c>
      <c r="B93" t="s">
        <v>210</v>
      </c>
      <c r="C93">
        <v>1</v>
      </c>
      <c r="D93">
        <v>1</v>
      </c>
      <c r="E93" t="s">
        <v>38</v>
      </c>
      <c r="F93" t="s">
        <v>211</v>
      </c>
      <c r="G93">
        <v>359.66</v>
      </c>
      <c r="H93">
        <v>368.6</v>
      </c>
      <c r="I93">
        <v>377.24</v>
      </c>
      <c r="J93">
        <v>373.17</v>
      </c>
      <c r="K93">
        <v>387.13</v>
      </c>
      <c r="L93">
        <v>407.82</v>
      </c>
      <c r="M93">
        <v>399.34</v>
      </c>
    </row>
    <row r="94" spans="1:13" x14ac:dyDescent="0.2">
      <c r="A94" t="s">
        <v>212</v>
      </c>
      <c r="B94" t="s">
        <v>212</v>
      </c>
      <c r="C94">
        <v>0</v>
      </c>
      <c r="D94">
        <v>0</v>
      </c>
    </row>
    <row r="95" spans="1:13" x14ac:dyDescent="0.2">
      <c r="A95" t="s">
        <v>36</v>
      </c>
      <c r="B95" t="s">
        <v>213</v>
      </c>
      <c r="C95">
        <v>1</v>
      </c>
      <c r="D95">
        <v>1</v>
      </c>
      <c r="E95" t="s">
        <v>38</v>
      </c>
      <c r="F95" t="s">
        <v>214</v>
      </c>
      <c r="G95">
        <v>72.86</v>
      </c>
      <c r="H95">
        <v>83.17</v>
      </c>
      <c r="I95">
        <v>92.85</v>
      </c>
      <c r="J95">
        <v>91.37</v>
      </c>
      <c r="K95">
        <v>90.24</v>
      </c>
      <c r="L95">
        <v>95.42</v>
      </c>
      <c r="M95">
        <v>88.52</v>
      </c>
    </row>
    <row r="96" spans="1:13" x14ac:dyDescent="0.2">
      <c r="A96" t="s">
        <v>40</v>
      </c>
      <c r="B96" t="s">
        <v>215</v>
      </c>
      <c r="C96">
        <v>1</v>
      </c>
      <c r="D96">
        <v>1</v>
      </c>
      <c r="E96" t="s">
        <v>38</v>
      </c>
      <c r="F96" t="s">
        <v>216</v>
      </c>
      <c r="G96">
        <v>110.47</v>
      </c>
      <c r="H96">
        <v>116.25</v>
      </c>
      <c r="I96">
        <v>114.9</v>
      </c>
      <c r="J96">
        <v>94.54</v>
      </c>
      <c r="K96">
        <v>90.46</v>
      </c>
      <c r="L96">
        <v>85.35</v>
      </c>
      <c r="M96">
        <v>79.459999999999994</v>
      </c>
    </row>
    <row r="97" spans="1:13" x14ac:dyDescent="0.2">
      <c r="A97" t="s">
        <v>43</v>
      </c>
      <c r="B97" t="s">
        <v>217</v>
      </c>
      <c r="C97">
        <v>1</v>
      </c>
      <c r="D97">
        <v>1</v>
      </c>
      <c r="E97" t="s">
        <v>38</v>
      </c>
      <c r="F97" t="s">
        <v>218</v>
      </c>
      <c r="G97">
        <v>8.1300000000000008</v>
      </c>
      <c r="H97">
        <v>9.7100000000000009</v>
      </c>
      <c r="I97">
        <v>8.8699999999999992</v>
      </c>
      <c r="J97">
        <v>9.43</v>
      </c>
      <c r="K97">
        <v>8.51</v>
      </c>
      <c r="L97">
        <v>9.74</v>
      </c>
      <c r="M97">
        <v>8.35</v>
      </c>
    </row>
    <row r="98" spans="1:13" x14ac:dyDescent="0.2">
      <c r="A98" t="s">
        <v>49</v>
      </c>
      <c r="B98" t="s">
        <v>219</v>
      </c>
      <c r="C98">
        <v>1</v>
      </c>
      <c r="D98">
        <v>1</v>
      </c>
      <c r="E98" t="s">
        <v>38</v>
      </c>
      <c r="F98" t="s">
        <v>220</v>
      </c>
      <c r="G98">
        <v>147.06</v>
      </c>
      <c r="H98">
        <v>142.91999999999999</v>
      </c>
      <c r="I98">
        <v>120.83</v>
      </c>
      <c r="J98">
        <v>132.6</v>
      </c>
      <c r="K98">
        <v>120.97</v>
      </c>
      <c r="L98">
        <v>138.29</v>
      </c>
      <c r="M98">
        <v>132.16999999999999</v>
      </c>
    </row>
    <row r="99" spans="1:13" x14ac:dyDescent="0.2">
      <c r="A99" t="s">
        <v>88</v>
      </c>
      <c r="B99" t="s">
        <v>89</v>
      </c>
      <c r="C99">
        <v>1</v>
      </c>
      <c r="D99">
        <v>1</v>
      </c>
      <c r="E99" t="s">
        <v>38</v>
      </c>
      <c r="F99" t="s">
        <v>221</v>
      </c>
      <c r="G99">
        <v>43.72</v>
      </c>
      <c r="H99">
        <v>46.45</v>
      </c>
      <c r="I99">
        <v>46.06</v>
      </c>
      <c r="J99">
        <v>56.85</v>
      </c>
      <c r="K99">
        <v>65.52</v>
      </c>
      <c r="L99">
        <v>70.59</v>
      </c>
      <c r="M99">
        <v>75.56</v>
      </c>
    </row>
    <row r="100" spans="1:13" x14ac:dyDescent="0.2">
      <c r="A100" t="s">
        <v>91</v>
      </c>
      <c r="B100" t="s">
        <v>222</v>
      </c>
      <c r="C100">
        <v>1</v>
      </c>
      <c r="D100">
        <v>1</v>
      </c>
      <c r="E100" t="s">
        <v>38</v>
      </c>
      <c r="F100" t="s">
        <v>223</v>
      </c>
      <c r="G100">
        <v>0.8</v>
      </c>
      <c r="H100">
        <v>0.51</v>
      </c>
      <c r="I100">
        <v>0.13</v>
      </c>
      <c r="J100">
        <v>-0.02</v>
      </c>
      <c r="K100">
        <v>0.73</v>
      </c>
      <c r="L100">
        <v>0.65</v>
      </c>
      <c r="M100">
        <v>0.6</v>
      </c>
    </row>
    <row r="101" spans="1:13" x14ac:dyDescent="0.2">
      <c r="A101" t="s">
        <v>94</v>
      </c>
      <c r="B101" t="s">
        <v>224</v>
      </c>
      <c r="C101">
        <v>1</v>
      </c>
      <c r="D101">
        <v>1</v>
      </c>
      <c r="E101" t="s">
        <v>38</v>
      </c>
      <c r="F101" t="s">
        <v>225</v>
      </c>
      <c r="G101">
        <v>383.05</v>
      </c>
      <c r="H101">
        <v>399.01</v>
      </c>
      <c r="I101">
        <v>383.64</v>
      </c>
      <c r="J101">
        <v>384.78</v>
      </c>
      <c r="K101">
        <v>376.44</v>
      </c>
      <c r="L101">
        <v>400.03</v>
      </c>
      <c r="M101">
        <v>384.66</v>
      </c>
    </row>
    <row r="102" spans="1:13" x14ac:dyDescent="0.2">
      <c r="A102" t="s">
        <v>97</v>
      </c>
      <c r="B102" t="s">
        <v>226</v>
      </c>
      <c r="C102">
        <v>1</v>
      </c>
      <c r="D102">
        <v>1</v>
      </c>
      <c r="E102" t="s">
        <v>38</v>
      </c>
      <c r="F102" t="s">
        <v>227</v>
      </c>
      <c r="G102">
        <v>352.21</v>
      </c>
      <c r="H102">
        <v>368.73</v>
      </c>
      <c r="I102">
        <v>371.88</v>
      </c>
      <c r="J102">
        <v>368.67</v>
      </c>
      <c r="K102">
        <v>363.45</v>
      </c>
      <c r="L102">
        <v>361.41</v>
      </c>
      <c r="M102">
        <v>359.59</v>
      </c>
    </row>
    <row r="103" spans="1:13" x14ac:dyDescent="0.2">
      <c r="A103" t="s">
        <v>228</v>
      </c>
      <c r="B103" t="s">
        <v>228</v>
      </c>
      <c r="C103">
        <v>0</v>
      </c>
      <c r="D103">
        <v>0</v>
      </c>
    </row>
    <row r="104" spans="1:13" x14ac:dyDescent="0.2">
      <c r="A104" t="s">
        <v>36</v>
      </c>
      <c r="B104" t="s">
        <v>229</v>
      </c>
      <c r="C104">
        <v>1</v>
      </c>
      <c r="D104">
        <v>1</v>
      </c>
      <c r="E104" t="s">
        <v>38</v>
      </c>
      <c r="F104" t="s">
        <v>230</v>
      </c>
      <c r="G104">
        <v>36.51</v>
      </c>
      <c r="H104">
        <v>46.51</v>
      </c>
      <c r="I104">
        <v>55.49</v>
      </c>
      <c r="J104">
        <v>60.23</v>
      </c>
      <c r="K104">
        <v>56.83</v>
      </c>
      <c r="L104">
        <v>47.17</v>
      </c>
      <c r="M104">
        <v>44.98</v>
      </c>
    </row>
    <row r="105" spans="1:13" x14ac:dyDescent="0.2">
      <c r="A105" t="s">
        <v>40</v>
      </c>
      <c r="B105" t="s">
        <v>231</v>
      </c>
      <c r="C105">
        <v>1</v>
      </c>
      <c r="D105">
        <v>1</v>
      </c>
      <c r="E105" t="s">
        <v>38</v>
      </c>
      <c r="F105" t="s">
        <v>232</v>
      </c>
      <c r="G105">
        <v>48.71</v>
      </c>
      <c r="H105">
        <v>45.32</v>
      </c>
      <c r="I105">
        <v>39.11</v>
      </c>
      <c r="J105">
        <v>28.32</v>
      </c>
      <c r="K105">
        <v>26.84</v>
      </c>
      <c r="L105">
        <v>24.31</v>
      </c>
      <c r="M105">
        <v>21.24</v>
      </c>
    </row>
    <row r="106" spans="1:13" x14ac:dyDescent="0.2">
      <c r="A106" t="s">
        <v>43</v>
      </c>
      <c r="B106" t="s">
        <v>233</v>
      </c>
      <c r="C106">
        <v>1</v>
      </c>
      <c r="D106">
        <v>1</v>
      </c>
      <c r="E106" t="s">
        <v>38</v>
      </c>
      <c r="F106" t="s">
        <v>234</v>
      </c>
      <c r="G106">
        <v>32.340000000000003</v>
      </c>
      <c r="H106">
        <v>31.1</v>
      </c>
      <c r="I106">
        <v>31.92</v>
      </c>
      <c r="J106">
        <v>31.55</v>
      </c>
      <c r="K106">
        <v>31.63</v>
      </c>
      <c r="L106">
        <v>31.74</v>
      </c>
      <c r="M106">
        <v>31.97</v>
      </c>
    </row>
    <row r="107" spans="1:13" x14ac:dyDescent="0.2">
      <c r="A107" t="s">
        <v>49</v>
      </c>
      <c r="B107" t="s">
        <v>235</v>
      </c>
      <c r="C107">
        <v>1</v>
      </c>
      <c r="D107">
        <v>1</v>
      </c>
      <c r="E107" t="s">
        <v>38</v>
      </c>
      <c r="F107" t="s">
        <v>236</v>
      </c>
      <c r="G107">
        <v>8.57</v>
      </c>
      <c r="H107">
        <v>8.8000000000000007</v>
      </c>
      <c r="I107">
        <v>8.3800000000000008</v>
      </c>
      <c r="J107">
        <v>8.2899999999999991</v>
      </c>
      <c r="K107">
        <v>7.72</v>
      </c>
      <c r="L107">
        <v>8.2799999999999994</v>
      </c>
      <c r="M107">
        <v>8.73</v>
      </c>
    </row>
    <row r="108" spans="1:13" x14ac:dyDescent="0.2">
      <c r="A108" t="s">
        <v>88</v>
      </c>
      <c r="B108" t="s">
        <v>89</v>
      </c>
      <c r="C108">
        <v>1</v>
      </c>
      <c r="D108">
        <v>1</v>
      </c>
      <c r="E108" t="s">
        <v>38</v>
      </c>
      <c r="F108" t="s">
        <v>237</v>
      </c>
      <c r="G108">
        <v>7.25</v>
      </c>
      <c r="H108">
        <v>9.01</v>
      </c>
      <c r="I108">
        <v>10.09</v>
      </c>
      <c r="J108">
        <v>11.07</v>
      </c>
      <c r="K108">
        <v>13.97</v>
      </c>
      <c r="L108">
        <v>20.27</v>
      </c>
      <c r="M108">
        <v>21.48</v>
      </c>
    </row>
    <row r="109" spans="1:13" x14ac:dyDescent="0.2">
      <c r="A109" t="s">
        <v>91</v>
      </c>
      <c r="B109" t="s">
        <v>238</v>
      </c>
      <c r="C109">
        <v>1</v>
      </c>
      <c r="D109">
        <v>1</v>
      </c>
      <c r="E109" t="s">
        <v>38</v>
      </c>
      <c r="F109" t="s">
        <v>239</v>
      </c>
      <c r="G109">
        <v>0.05</v>
      </c>
      <c r="H109">
        <v>0.06</v>
      </c>
      <c r="I109">
        <v>0.24</v>
      </c>
      <c r="J109">
        <v>0.13</v>
      </c>
      <c r="K109">
        <v>0.15</v>
      </c>
      <c r="L109">
        <v>0.2</v>
      </c>
      <c r="M109">
        <v>0.15</v>
      </c>
    </row>
    <row r="110" spans="1:13" x14ac:dyDescent="0.2">
      <c r="A110" t="s">
        <v>94</v>
      </c>
      <c r="B110" t="s">
        <v>240</v>
      </c>
      <c r="C110">
        <v>1</v>
      </c>
      <c r="D110">
        <v>1</v>
      </c>
      <c r="E110" t="s">
        <v>38</v>
      </c>
      <c r="F110" t="s">
        <v>241</v>
      </c>
      <c r="G110">
        <v>133.43</v>
      </c>
      <c r="H110">
        <v>140.80000000000001</v>
      </c>
      <c r="I110">
        <v>145.22999999999999</v>
      </c>
      <c r="J110">
        <v>139.6</v>
      </c>
      <c r="K110">
        <v>137.15</v>
      </c>
      <c r="L110">
        <v>131.97</v>
      </c>
      <c r="M110">
        <v>128.55000000000001</v>
      </c>
    </row>
    <row r="111" spans="1:13" x14ac:dyDescent="0.2">
      <c r="A111" t="s">
        <v>97</v>
      </c>
      <c r="B111" t="s">
        <v>242</v>
      </c>
      <c r="C111">
        <v>1</v>
      </c>
      <c r="D111">
        <v>1</v>
      </c>
      <c r="E111" t="s">
        <v>38</v>
      </c>
      <c r="F111" t="s">
        <v>243</v>
      </c>
      <c r="G111">
        <v>108.77</v>
      </c>
      <c r="H111">
        <v>101.77</v>
      </c>
      <c r="I111">
        <v>97.88</v>
      </c>
      <c r="J111">
        <v>102.09</v>
      </c>
      <c r="K111">
        <v>102.51</v>
      </c>
      <c r="L111">
        <v>105.39</v>
      </c>
      <c r="M111">
        <v>105.92</v>
      </c>
    </row>
    <row r="112" spans="1:13" x14ac:dyDescent="0.2">
      <c r="A112" t="s">
        <v>244</v>
      </c>
      <c r="B112" t="s">
        <v>244</v>
      </c>
      <c r="C112">
        <v>0</v>
      </c>
      <c r="D112">
        <v>0</v>
      </c>
    </row>
    <row r="113" spans="1:13" x14ac:dyDescent="0.2">
      <c r="A113" t="s">
        <v>36</v>
      </c>
      <c r="B113" t="s">
        <v>245</v>
      </c>
      <c r="C113">
        <v>1</v>
      </c>
      <c r="D113">
        <v>1</v>
      </c>
      <c r="E113" t="s">
        <v>38</v>
      </c>
      <c r="F113" t="s">
        <v>246</v>
      </c>
      <c r="G113">
        <v>76.959999999999994</v>
      </c>
      <c r="H113">
        <v>79.180000000000007</v>
      </c>
      <c r="I113">
        <v>74.77</v>
      </c>
      <c r="J113">
        <v>80.930000000000007</v>
      </c>
      <c r="K113">
        <v>85.64</v>
      </c>
      <c r="L113">
        <v>77.97</v>
      </c>
      <c r="M113">
        <v>74.19</v>
      </c>
    </row>
    <row r="114" spans="1:13" x14ac:dyDescent="0.2">
      <c r="A114" t="s">
        <v>40</v>
      </c>
      <c r="B114" t="s">
        <v>247</v>
      </c>
      <c r="C114">
        <v>1</v>
      </c>
      <c r="D114">
        <v>1</v>
      </c>
      <c r="E114" t="s">
        <v>38</v>
      </c>
      <c r="F114" t="s">
        <v>248</v>
      </c>
      <c r="G114">
        <v>8.39</v>
      </c>
      <c r="H114">
        <v>8.48</v>
      </c>
      <c r="I114">
        <v>7.54</v>
      </c>
      <c r="J114">
        <v>6.74</v>
      </c>
      <c r="K114">
        <v>7.56</v>
      </c>
      <c r="L114">
        <v>6.27</v>
      </c>
      <c r="M114">
        <v>6.92</v>
      </c>
    </row>
    <row r="115" spans="1:13" x14ac:dyDescent="0.2">
      <c r="A115" t="s">
        <v>43</v>
      </c>
      <c r="B115" t="s">
        <v>249</v>
      </c>
      <c r="C115">
        <v>1</v>
      </c>
      <c r="D115">
        <v>1</v>
      </c>
      <c r="E115" t="s">
        <v>38</v>
      </c>
      <c r="F115" t="s">
        <v>250</v>
      </c>
      <c r="G115">
        <v>17.899999999999999</v>
      </c>
      <c r="H115">
        <v>18.21</v>
      </c>
      <c r="I115">
        <v>16.170000000000002</v>
      </c>
      <c r="J115">
        <v>16.260000000000002</v>
      </c>
      <c r="K115">
        <v>16.48</v>
      </c>
      <c r="L115">
        <v>17.07</v>
      </c>
      <c r="M115">
        <v>17.96</v>
      </c>
    </row>
    <row r="116" spans="1:13" x14ac:dyDescent="0.2">
      <c r="A116" t="s">
        <v>49</v>
      </c>
      <c r="B116" t="s">
        <v>251</v>
      </c>
      <c r="C116">
        <v>1</v>
      </c>
      <c r="D116">
        <v>1</v>
      </c>
      <c r="E116" t="s">
        <v>38</v>
      </c>
      <c r="F116" t="s">
        <v>252</v>
      </c>
      <c r="G116">
        <v>41.95</v>
      </c>
      <c r="H116">
        <v>26.05</v>
      </c>
      <c r="I116">
        <v>38.020000000000003</v>
      </c>
      <c r="J116">
        <v>21.12</v>
      </c>
      <c r="K116">
        <v>14.38</v>
      </c>
      <c r="L116">
        <v>15.55</v>
      </c>
      <c r="M116">
        <v>22.77</v>
      </c>
    </row>
    <row r="117" spans="1:13" x14ac:dyDescent="0.2">
      <c r="A117" t="s">
        <v>88</v>
      </c>
      <c r="B117" t="s">
        <v>89</v>
      </c>
      <c r="C117">
        <v>1</v>
      </c>
      <c r="D117">
        <v>1</v>
      </c>
      <c r="E117" t="s">
        <v>38</v>
      </c>
      <c r="F117" t="s">
        <v>253</v>
      </c>
      <c r="G117">
        <v>57.61</v>
      </c>
      <c r="H117">
        <v>61.6</v>
      </c>
      <c r="I117">
        <v>61.75</v>
      </c>
      <c r="J117">
        <v>64.36</v>
      </c>
      <c r="K117">
        <v>71.14</v>
      </c>
      <c r="L117">
        <v>75.47</v>
      </c>
      <c r="M117">
        <v>83.26</v>
      </c>
    </row>
    <row r="118" spans="1:13" x14ac:dyDescent="0.2">
      <c r="A118" t="s">
        <v>91</v>
      </c>
      <c r="B118" t="s">
        <v>254</v>
      </c>
      <c r="C118">
        <v>1</v>
      </c>
      <c r="D118">
        <v>1</v>
      </c>
      <c r="E118" t="s">
        <v>38</v>
      </c>
      <c r="F118" t="s">
        <v>255</v>
      </c>
      <c r="G118">
        <v>0.67</v>
      </c>
      <c r="H118">
        <v>0.05</v>
      </c>
      <c r="I118">
        <v>0.18</v>
      </c>
      <c r="J118">
        <v>0.17</v>
      </c>
      <c r="K118">
        <v>-0.2</v>
      </c>
      <c r="L118">
        <v>-0.16</v>
      </c>
      <c r="M118">
        <v>0.17</v>
      </c>
    </row>
    <row r="119" spans="1:13" x14ac:dyDescent="0.2">
      <c r="A119" t="s">
        <v>94</v>
      </c>
      <c r="B119" t="s">
        <v>256</v>
      </c>
      <c r="C119">
        <v>1</v>
      </c>
      <c r="D119">
        <v>1</v>
      </c>
      <c r="E119" t="s">
        <v>38</v>
      </c>
      <c r="F119" t="s">
        <v>257</v>
      </c>
      <c r="G119">
        <v>203.48</v>
      </c>
      <c r="H119">
        <v>193.57</v>
      </c>
      <c r="I119">
        <v>198.42</v>
      </c>
      <c r="J119">
        <v>189.57</v>
      </c>
      <c r="K119">
        <v>195</v>
      </c>
      <c r="L119">
        <v>192.18</v>
      </c>
      <c r="M119">
        <v>205.27</v>
      </c>
    </row>
    <row r="120" spans="1:13" x14ac:dyDescent="0.2">
      <c r="A120" t="s">
        <v>97</v>
      </c>
      <c r="B120" t="s">
        <v>258</v>
      </c>
      <c r="C120">
        <v>1</v>
      </c>
      <c r="D120">
        <v>1</v>
      </c>
      <c r="E120" t="s">
        <v>38</v>
      </c>
      <c r="F120" t="s">
        <v>259</v>
      </c>
      <c r="G120">
        <v>258.97000000000003</v>
      </c>
      <c r="H120">
        <v>262.89</v>
      </c>
      <c r="I120">
        <v>257.54000000000002</v>
      </c>
      <c r="J120">
        <v>243.19</v>
      </c>
      <c r="K120">
        <v>254.96</v>
      </c>
      <c r="L120">
        <v>250.88</v>
      </c>
      <c r="M120">
        <v>252.97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68DE-48BA-4A53-AD96-D707A1A92561}">
  <dimension ref="A1:AF17"/>
  <sheetViews>
    <sheetView workbookViewId="0">
      <selection sqref="A1:AF17"/>
    </sheetView>
  </sheetViews>
  <sheetFormatPr baseColWidth="10" defaultColWidth="8.83203125" defaultRowHeight="15" x14ac:dyDescent="0.2"/>
  <cols>
    <col min="1" max="1" width="55.5" customWidth="1"/>
  </cols>
  <sheetData>
    <row r="1" spans="1:32" x14ac:dyDescent="0.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261</v>
      </c>
      <c r="B2">
        <v>211.07</v>
      </c>
      <c r="C2">
        <v>206.86199999999999</v>
      </c>
      <c r="D2">
        <v>197.131</v>
      </c>
      <c r="E2">
        <v>188.452</v>
      </c>
      <c r="F2">
        <v>180.82499999999999</v>
      </c>
      <c r="G2">
        <v>157.94399999999999</v>
      </c>
      <c r="H2">
        <v>149.00200000000001</v>
      </c>
      <c r="I2">
        <v>141.11199999999999</v>
      </c>
      <c r="J2">
        <v>128.22499999999999</v>
      </c>
      <c r="K2">
        <v>120.598</v>
      </c>
      <c r="L2">
        <v>115.864</v>
      </c>
      <c r="M2">
        <v>115.33799999999999</v>
      </c>
      <c r="N2">
        <v>112.971</v>
      </c>
      <c r="O2">
        <v>112.708</v>
      </c>
      <c r="P2">
        <v>108.76300000000001</v>
      </c>
      <c r="Q2">
        <v>107.44799999999999</v>
      </c>
      <c r="R2">
        <v>107.185</v>
      </c>
      <c r="S2">
        <v>107.185</v>
      </c>
      <c r="T2">
        <v>106.133</v>
      </c>
      <c r="U2">
        <v>106.133</v>
      </c>
      <c r="V2">
        <v>104.55500000000001</v>
      </c>
      <c r="W2">
        <v>104.55500000000001</v>
      </c>
      <c r="X2">
        <v>104.55500000000001</v>
      </c>
      <c r="Y2">
        <v>104.55500000000001</v>
      </c>
      <c r="Z2">
        <v>104.55500000000001</v>
      </c>
      <c r="AA2">
        <v>102.188</v>
      </c>
      <c r="AB2">
        <v>102.188</v>
      </c>
      <c r="AC2">
        <v>102.188</v>
      </c>
      <c r="AD2">
        <v>102.188</v>
      </c>
      <c r="AE2">
        <v>102.188</v>
      </c>
      <c r="AF2">
        <v>102.188</v>
      </c>
    </row>
    <row r="3" spans="1:32" x14ac:dyDescent="0.2">
      <c r="A3" t="s">
        <v>262</v>
      </c>
      <c r="B3">
        <v>335.86599999999999</v>
      </c>
      <c r="C3">
        <v>339.298</v>
      </c>
      <c r="D3">
        <v>345.38200000000001</v>
      </c>
      <c r="E3">
        <v>343.19799999999998</v>
      </c>
      <c r="F3">
        <v>336.334</v>
      </c>
      <c r="G3">
        <v>336.49</v>
      </c>
      <c r="H3">
        <v>333.37</v>
      </c>
      <c r="I3">
        <v>332.12200000000001</v>
      </c>
      <c r="J3">
        <v>332.74599999999998</v>
      </c>
      <c r="K3">
        <v>331.96600000000001</v>
      </c>
      <c r="L3">
        <v>330.87400000000002</v>
      </c>
      <c r="M3">
        <v>330.25</v>
      </c>
      <c r="N3">
        <v>330.56200000000001</v>
      </c>
      <c r="O3">
        <v>330.25</v>
      </c>
      <c r="P3">
        <v>330.09399999999999</v>
      </c>
      <c r="Q3">
        <v>329.62599999999998</v>
      </c>
      <c r="R3">
        <v>329.15800000000002</v>
      </c>
      <c r="S3">
        <v>329.47</v>
      </c>
      <c r="T3">
        <v>329.78199999999998</v>
      </c>
      <c r="U3">
        <v>330.09399999999999</v>
      </c>
      <c r="V3">
        <v>329.78199999999998</v>
      </c>
      <c r="W3">
        <v>329.93799999999999</v>
      </c>
      <c r="X3">
        <v>329.78199999999998</v>
      </c>
      <c r="Y3">
        <v>329.93799999999999</v>
      </c>
      <c r="Z3">
        <v>330.09399999999999</v>
      </c>
      <c r="AA3">
        <v>330.25</v>
      </c>
      <c r="AB3">
        <v>330.40600000000001</v>
      </c>
      <c r="AC3">
        <v>330.56200000000001</v>
      </c>
      <c r="AD3">
        <v>330.71800000000002</v>
      </c>
      <c r="AE3">
        <v>330.87400000000002</v>
      </c>
      <c r="AF3">
        <v>331.03</v>
      </c>
    </row>
    <row r="4" spans="1:32" x14ac:dyDescent="0.2">
      <c r="A4" t="s">
        <v>263</v>
      </c>
      <c r="B4">
        <v>96.619</v>
      </c>
      <c r="C4">
        <v>96.619</v>
      </c>
      <c r="D4">
        <v>97.119</v>
      </c>
      <c r="E4">
        <v>98.119</v>
      </c>
      <c r="F4">
        <v>98.119</v>
      </c>
      <c r="G4">
        <v>96.619</v>
      </c>
      <c r="H4">
        <v>95.619</v>
      </c>
      <c r="I4">
        <v>93.619</v>
      </c>
      <c r="J4">
        <v>86.619</v>
      </c>
      <c r="K4">
        <v>85.619</v>
      </c>
      <c r="L4">
        <v>85.619</v>
      </c>
      <c r="M4">
        <v>85.619</v>
      </c>
      <c r="N4">
        <v>85.619</v>
      </c>
      <c r="O4">
        <v>79.619</v>
      </c>
      <c r="P4">
        <v>79.619</v>
      </c>
      <c r="Q4">
        <v>78.619</v>
      </c>
      <c r="R4">
        <v>78.619</v>
      </c>
      <c r="S4">
        <v>78.619</v>
      </c>
      <c r="T4">
        <v>78.619</v>
      </c>
      <c r="U4">
        <v>78.619</v>
      </c>
      <c r="V4">
        <v>78.619</v>
      </c>
      <c r="W4">
        <v>78.619</v>
      </c>
      <c r="X4">
        <v>78.619</v>
      </c>
      <c r="Y4">
        <v>78.619</v>
      </c>
      <c r="Z4">
        <v>78.619</v>
      </c>
      <c r="AA4">
        <v>78.619</v>
      </c>
      <c r="AB4">
        <v>78.619</v>
      </c>
      <c r="AC4">
        <v>78.619</v>
      </c>
      <c r="AD4">
        <v>78.619</v>
      </c>
      <c r="AE4">
        <v>78.619</v>
      </c>
      <c r="AF4">
        <v>78.619</v>
      </c>
    </row>
    <row r="5" spans="1:32" x14ac:dyDescent="0.2">
      <c r="A5" t="s">
        <v>264</v>
      </c>
      <c r="B5">
        <v>79.629000000000005</v>
      </c>
      <c r="C5">
        <v>79.727000000000004</v>
      </c>
      <c r="D5">
        <v>79.742999999999995</v>
      </c>
      <c r="E5">
        <v>79.799000000000007</v>
      </c>
      <c r="F5">
        <v>79.891000000000005</v>
      </c>
      <c r="G5">
        <v>79.820999999999998</v>
      </c>
      <c r="H5">
        <v>79.772999999999996</v>
      </c>
      <c r="I5">
        <v>79.703000000000003</v>
      </c>
      <c r="J5">
        <v>79.429000000000002</v>
      </c>
      <c r="K5">
        <v>79.275999999999996</v>
      </c>
      <c r="L5">
        <v>79.188000000000002</v>
      </c>
      <c r="M5">
        <v>79.188000000000002</v>
      </c>
      <c r="N5">
        <v>79.188000000000002</v>
      </c>
      <c r="O5">
        <v>79.188000000000002</v>
      </c>
      <c r="P5">
        <v>79.173000000000002</v>
      </c>
      <c r="Q5">
        <v>79.173000000000002</v>
      </c>
      <c r="R5">
        <v>79.173000000000002</v>
      </c>
      <c r="S5">
        <v>79.171999999999997</v>
      </c>
      <c r="T5">
        <v>79.171999999999997</v>
      </c>
      <c r="U5">
        <v>79.162000000000006</v>
      </c>
      <c r="V5">
        <v>79.162000000000006</v>
      </c>
      <c r="W5">
        <v>79.162000000000006</v>
      </c>
      <c r="X5">
        <v>79.162000000000006</v>
      </c>
      <c r="Y5">
        <v>79.162000000000006</v>
      </c>
      <c r="Z5">
        <v>79.081999999999994</v>
      </c>
      <c r="AA5">
        <v>79.081999999999994</v>
      </c>
      <c r="AB5">
        <v>79.08</v>
      </c>
      <c r="AC5">
        <v>79.076999999999998</v>
      </c>
      <c r="AD5">
        <v>79.076999999999998</v>
      </c>
      <c r="AE5">
        <v>79.06</v>
      </c>
      <c r="AF5">
        <v>78.998999999999995</v>
      </c>
    </row>
    <row r="6" spans="1:32" x14ac:dyDescent="0.2">
      <c r="A6" t="s">
        <v>265</v>
      </c>
      <c r="B6">
        <v>118.199</v>
      </c>
      <c r="C6">
        <v>133.47900000000001</v>
      </c>
      <c r="D6">
        <v>141.21899999999999</v>
      </c>
      <c r="E6">
        <v>145.48400000000001</v>
      </c>
      <c r="F6">
        <v>147.82900000000001</v>
      </c>
      <c r="G6">
        <v>156.10400000000001</v>
      </c>
      <c r="H6">
        <v>167.089</v>
      </c>
      <c r="I6">
        <v>176.07400000000001</v>
      </c>
      <c r="J6">
        <v>193.53399999999999</v>
      </c>
      <c r="K6">
        <v>202.239</v>
      </c>
      <c r="L6">
        <v>208.149</v>
      </c>
      <c r="M6">
        <v>212.54400000000001</v>
      </c>
      <c r="N6">
        <v>218.834</v>
      </c>
      <c r="O6">
        <v>229.934</v>
      </c>
      <c r="P6">
        <v>236.79400000000001</v>
      </c>
      <c r="Q6">
        <v>243.92400000000001</v>
      </c>
      <c r="R6">
        <v>249.809</v>
      </c>
      <c r="S6">
        <v>255.524</v>
      </c>
      <c r="T6">
        <v>261.25400000000002</v>
      </c>
      <c r="U6">
        <v>266.49900000000002</v>
      </c>
      <c r="V6">
        <v>271.70400000000001</v>
      </c>
      <c r="W6">
        <v>276.81400000000002</v>
      </c>
      <c r="X6">
        <v>281.85899999999998</v>
      </c>
      <c r="Y6">
        <v>286.93900000000002</v>
      </c>
      <c r="Z6">
        <v>291.73399999999998</v>
      </c>
      <c r="AA6">
        <v>297.84899999999999</v>
      </c>
      <c r="AB6">
        <v>303.44900000000001</v>
      </c>
      <c r="AC6">
        <v>308.88900000000001</v>
      </c>
      <c r="AD6">
        <v>313.899</v>
      </c>
      <c r="AE6">
        <v>319.30399999999997</v>
      </c>
      <c r="AF6">
        <v>325.39400000000001</v>
      </c>
    </row>
    <row r="7" spans="1:32" x14ac:dyDescent="0.2">
      <c r="A7" t="s">
        <v>266</v>
      </c>
      <c r="B7">
        <v>45.796999999999997</v>
      </c>
      <c r="C7">
        <v>62.034999999999997</v>
      </c>
      <c r="D7">
        <v>83.659000000000006</v>
      </c>
      <c r="E7">
        <v>100.98699999999999</v>
      </c>
      <c r="F7">
        <v>106.083</v>
      </c>
      <c r="G7">
        <v>116.15900000000001</v>
      </c>
      <c r="H7">
        <v>128.58699999999999</v>
      </c>
      <c r="I7">
        <v>140.51499999999999</v>
      </c>
      <c r="J7">
        <v>166.035</v>
      </c>
      <c r="K7">
        <v>179.857</v>
      </c>
      <c r="L7">
        <v>190.309</v>
      </c>
      <c r="M7">
        <v>198.26900000000001</v>
      </c>
      <c r="N7">
        <v>209.995</v>
      </c>
      <c r="O7">
        <v>231.059</v>
      </c>
      <c r="P7">
        <v>244.25899999999999</v>
      </c>
      <c r="Q7">
        <v>258.15699999999998</v>
      </c>
      <c r="R7">
        <v>269.86099999999999</v>
      </c>
      <c r="S7">
        <v>281.35500000000002</v>
      </c>
      <c r="T7">
        <v>292.97699999999998</v>
      </c>
      <c r="U7">
        <v>303.70100000000002</v>
      </c>
      <c r="V7">
        <v>314.50900000000001</v>
      </c>
      <c r="W7">
        <v>325.19299999999998</v>
      </c>
      <c r="X7">
        <v>335.791</v>
      </c>
      <c r="Y7">
        <v>346.50900000000001</v>
      </c>
      <c r="Z7">
        <v>356.74299999999999</v>
      </c>
      <c r="AA7">
        <v>369.81299999999999</v>
      </c>
      <c r="AB7">
        <v>381.803</v>
      </c>
      <c r="AC7">
        <v>393.45299999999997</v>
      </c>
      <c r="AD7">
        <v>404.27499999999998</v>
      </c>
      <c r="AE7">
        <v>415.95499999999998</v>
      </c>
      <c r="AF7">
        <v>429.08699999999999</v>
      </c>
    </row>
    <row r="8" spans="1:32" x14ac:dyDescent="0.2">
      <c r="A8" t="s">
        <v>267</v>
      </c>
      <c r="B8">
        <v>1.758</v>
      </c>
      <c r="C8">
        <v>1.758</v>
      </c>
      <c r="D8">
        <v>1.758</v>
      </c>
      <c r="E8">
        <v>1.758</v>
      </c>
      <c r="F8">
        <v>1.758</v>
      </c>
      <c r="G8">
        <v>1.9139999999999999</v>
      </c>
      <c r="H8">
        <v>1.9139999999999999</v>
      </c>
      <c r="I8">
        <v>1.9139999999999999</v>
      </c>
      <c r="J8">
        <v>2.0699999999999998</v>
      </c>
      <c r="K8">
        <v>2.0699999999999998</v>
      </c>
      <c r="L8">
        <v>2.0699999999999998</v>
      </c>
      <c r="M8">
        <v>2.0699999999999998</v>
      </c>
      <c r="N8">
        <v>2.0699999999999998</v>
      </c>
      <c r="O8">
        <v>2.0699999999999998</v>
      </c>
      <c r="P8">
        <v>2.0699999999999998</v>
      </c>
      <c r="Q8">
        <v>2.0699999999999998</v>
      </c>
      <c r="R8">
        <v>2.0699999999999998</v>
      </c>
      <c r="S8">
        <v>2.0699999999999998</v>
      </c>
      <c r="T8">
        <v>2.0699999999999998</v>
      </c>
      <c r="U8">
        <v>2.0699999999999998</v>
      </c>
      <c r="V8">
        <v>2.0699999999999998</v>
      </c>
      <c r="W8">
        <v>2.0699999999999998</v>
      </c>
      <c r="X8">
        <v>2.0699999999999998</v>
      </c>
      <c r="Y8">
        <v>2.0699999999999998</v>
      </c>
      <c r="Z8">
        <v>2.0699999999999998</v>
      </c>
      <c r="AA8">
        <v>2.0699999999999998</v>
      </c>
      <c r="AB8">
        <v>2.0699999999999998</v>
      </c>
      <c r="AC8">
        <v>2.0699999999999998</v>
      </c>
      <c r="AD8">
        <v>2.0699999999999998</v>
      </c>
      <c r="AE8">
        <v>2.0699999999999998</v>
      </c>
      <c r="AF8">
        <v>2.0699999999999998</v>
      </c>
    </row>
    <row r="9" spans="1:32" x14ac:dyDescent="0.2">
      <c r="A9" t="s">
        <v>268</v>
      </c>
      <c r="B9">
        <v>4.907</v>
      </c>
      <c r="C9">
        <v>4.9429999999999996</v>
      </c>
      <c r="D9">
        <v>4.9790000000000001</v>
      </c>
      <c r="E9">
        <v>4.9969999999999999</v>
      </c>
      <c r="F9">
        <v>4.9969999999999999</v>
      </c>
      <c r="G9">
        <v>5.0149999999999997</v>
      </c>
      <c r="H9">
        <v>5.0330000000000004</v>
      </c>
      <c r="I9">
        <v>5.0510000000000002</v>
      </c>
      <c r="J9">
        <v>5.0869999999999997</v>
      </c>
      <c r="K9">
        <v>5.0869999999999997</v>
      </c>
      <c r="L9">
        <v>5.0869999999999997</v>
      </c>
      <c r="M9">
        <v>5.0869999999999997</v>
      </c>
      <c r="N9">
        <v>5.0869999999999997</v>
      </c>
      <c r="O9">
        <v>5.0869999999999997</v>
      </c>
      <c r="P9">
        <v>5.0869999999999997</v>
      </c>
      <c r="Q9">
        <v>5.0869999999999997</v>
      </c>
      <c r="R9">
        <v>5.0869999999999997</v>
      </c>
      <c r="S9">
        <v>5.0869999999999997</v>
      </c>
      <c r="T9">
        <v>5.0869999999999997</v>
      </c>
      <c r="U9">
        <v>5.0869999999999997</v>
      </c>
      <c r="V9">
        <v>5.0869999999999997</v>
      </c>
      <c r="W9">
        <v>5.0869999999999997</v>
      </c>
      <c r="X9">
        <v>5.0869999999999997</v>
      </c>
      <c r="Y9">
        <v>5.0869999999999997</v>
      </c>
      <c r="Z9">
        <v>5.0869999999999997</v>
      </c>
      <c r="AA9">
        <v>5.0869999999999997</v>
      </c>
      <c r="AB9">
        <v>5.0869999999999997</v>
      </c>
      <c r="AC9">
        <v>5.0869999999999997</v>
      </c>
      <c r="AD9">
        <v>5.0869999999999997</v>
      </c>
      <c r="AE9">
        <v>5.0869999999999997</v>
      </c>
      <c r="AF9">
        <v>5.0869999999999997</v>
      </c>
    </row>
    <row r="10" spans="1:32" x14ac:dyDescent="0.2">
      <c r="A10" t="s">
        <v>269</v>
      </c>
      <c r="B10">
        <v>2.5190000000000001</v>
      </c>
      <c r="C10">
        <v>2.5579999999999998</v>
      </c>
      <c r="D10">
        <v>2.597</v>
      </c>
      <c r="E10">
        <v>2.597</v>
      </c>
      <c r="F10">
        <v>2.597</v>
      </c>
      <c r="G10">
        <v>2.649</v>
      </c>
      <c r="H10">
        <v>2.7269999999999999</v>
      </c>
      <c r="I10">
        <v>2.7919999999999998</v>
      </c>
      <c r="J10">
        <v>2.9220000000000002</v>
      </c>
      <c r="K10">
        <v>2.9740000000000002</v>
      </c>
      <c r="L10">
        <v>3</v>
      </c>
      <c r="M10">
        <v>3.0259999999999998</v>
      </c>
      <c r="N10">
        <v>3.052</v>
      </c>
      <c r="O10">
        <v>3.117</v>
      </c>
      <c r="P10">
        <v>3.1429999999999998</v>
      </c>
      <c r="Q10">
        <v>3.169</v>
      </c>
      <c r="R10">
        <v>3.1949999999999998</v>
      </c>
      <c r="S10">
        <v>3.2210000000000001</v>
      </c>
      <c r="T10">
        <v>3.2469999999999999</v>
      </c>
      <c r="U10">
        <v>3.26</v>
      </c>
      <c r="V10">
        <v>3.2730000000000001</v>
      </c>
      <c r="W10">
        <v>3.286</v>
      </c>
      <c r="X10">
        <v>3.2989999999999999</v>
      </c>
      <c r="Y10">
        <v>3.3119999999999998</v>
      </c>
      <c r="Z10">
        <v>3.3250000000000002</v>
      </c>
      <c r="AA10">
        <v>3.3380000000000001</v>
      </c>
      <c r="AB10">
        <v>3.351</v>
      </c>
      <c r="AC10">
        <v>3.3639999999999999</v>
      </c>
      <c r="AD10">
        <v>3.3769999999999998</v>
      </c>
      <c r="AE10">
        <v>3.39</v>
      </c>
      <c r="AF10">
        <v>3.403</v>
      </c>
    </row>
    <row r="11" spans="1:32" x14ac:dyDescent="0.2">
      <c r="A11" t="s">
        <v>270</v>
      </c>
      <c r="B11">
        <v>26.997</v>
      </c>
      <c r="C11">
        <v>26.4</v>
      </c>
      <c r="D11">
        <v>26.425000000000001</v>
      </c>
      <c r="E11">
        <v>26.425000000000001</v>
      </c>
      <c r="F11">
        <v>26.425000000000001</v>
      </c>
      <c r="G11">
        <v>26.425000000000001</v>
      </c>
      <c r="H11">
        <v>26.442</v>
      </c>
      <c r="I11">
        <v>26.466000000000001</v>
      </c>
      <c r="J11">
        <v>26.49</v>
      </c>
      <c r="K11">
        <v>26.509</v>
      </c>
      <c r="L11">
        <v>26.524000000000001</v>
      </c>
      <c r="M11">
        <v>26.536999999999999</v>
      </c>
      <c r="N11">
        <v>26.55</v>
      </c>
      <c r="O11">
        <v>26.556999999999999</v>
      </c>
      <c r="P11">
        <v>26.568999999999999</v>
      </c>
      <c r="Q11">
        <v>26.579000000000001</v>
      </c>
      <c r="R11">
        <v>26.591000000000001</v>
      </c>
      <c r="S11">
        <v>26.6</v>
      </c>
      <c r="T11">
        <v>26.61</v>
      </c>
      <c r="U11">
        <v>26.62</v>
      </c>
      <c r="V11">
        <v>26.63</v>
      </c>
      <c r="W11">
        <v>26.638999999999999</v>
      </c>
      <c r="X11">
        <v>26.648</v>
      </c>
      <c r="Y11">
        <v>26.655999999999999</v>
      </c>
      <c r="Z11">
        <v>26.664000000000001</v>
      </c>
      <c r="AA11">
        <v>26.672999999999998</v>
      </c>
      <c r="AB11">
        <v>26.681000000000001</v>
      </c>
      <c r="AC11">
        <v>26.689</v>
      </c>
      <c r="AD11">
        <v>26.698</v>
      </c>
      <c r="AE11">
        <v>26.706</v>
      </c>
      <c r="AF11">
        <v>26.716000000000001</v>
      </c>
    </row>
    <row r="12" spans="1:32" x14ac:dyDescent="0.2">
      <c r="A12" t="s">
        <v>271</v>
      </c>
      <c r="B12">
        <v>129.09899999999999</v>
      </c>
      <c r="C12">
        <v>130.84899999999999</v>
      </c>
      <c r="D12">
        <v>131.54900000000001</v>
      </c>
      <c r="E12">
        <v>132.899</v>
      </c>
      <c r="F12">
        <v>133.59899999999999</v>
      </c>
      <c r="G12">
        <v>133.54900000000001</v>
      </c>
      <c r="H12">
        <v>140.999</v>
      </c>
      <c r="I12">
        <v>150.54900000000001</v>
      </c>
      <c r="J12">
        <v>159.399</v>
      </c>
      <c r="K12">
        <v>168.249</v>
      </c>
      <c r="L12">
        <v>176.54900000000001</v>
      </c>
      <c r="M12">
        <v>183.399</v>
      </c>
      <c r="N12">
        <v>189.69900000000001</v>
      </c>
      <c r="O12">
        <v>193.499</v>
      </c>
      <c r="P12">
        <v>199.999</v>
      </c>
      <c r="Q12">
        <v>205.94900000000001</v>
      </c>
      <c r="R12">
        <v>212.44900000000001</v>
      </c>
      <c r="S12">
        <v>218.399</v>
      </c>
      <c r="T12">
        <v>224.899</v>
      </c>
      <c r="U12">
        <v>230.999</v>
      </c>
      <c r="V12">
        <v>237.59899999999999</v>
      </c>
      <c r="W12">
        <v>242.999</v>
      </c>
      <c r="X12">
        <v>249.149</v>
      </c>
      <c r="Y12">
        <v>255.249</v>
      </c>
      <c r="Z12">
        <v>261.79899999999998</v>
      </c>
      <c r="AA12">
        <v>268.649</v>
      </c>
      <c r="AB12">
        <v>275.649</v>
      </c>
      <c r="AC12">
        <v>282.99900000000002</v>
      </c>
      <c r="AD12">
        <v>290.34899999999999</v>
      </c>
      <c r="AE12">
        <v>297.59899999999999</v>
      </c>
      <c r="AF12">
        <v>305.649</v>
      </c>
    </row>
    <row r="13" spans="1:32" x14ac:dyDescent="0.2">
      <c r="A13" t="s">
        <v>272</v>
      </c>
      <c r="B13">
        <v>6.798</v>
      </c>
      <c r="C13">
        <v>6.798</v>
      </c>
      <c r="D13">
        <v>6.798</v>
      </c>
      <c r="E13">
        <v>6.798</v>
      </c>
      <c r="F13">
        <v>6.798</v>
      </c>
      <c r="G13">
        <v>6.798</v>
      </c>
      <c r="H13">
        <v>6.798</v>
      </c>
      <c r="I13">
        <v>6.798</v>
      </c>
      <c r="J13">
        <v>6.798</v>
      </c>
      <c r="K13">
        <v>6.798</v>
      </c>
      <c r="L13">
        <v>6.798</v>
      </c>
      <c r="M13">
        <v>6.798</v>
      </c>
      <c r="N13">
        <v>6.798</v>
      </c>
      <c r="O13">
        <v>6.798</v>
      </c>
      <c r="P13">
        <v>6.798</v>
      </c>
      <c r="Q13">
        <v>6.798</v>
      </c>
      <c r="R13">
        <v>6.798</v>
      </c>
      <c r="S13">
        <v>6.798</v>
      </c>
      <c r="T13">
        <v>6.798</v>
      </c>
      <c r="U13">
        <v>6.798</v>
      </c>
      <c r="V13">
        <v>6.798</v>
      </c>
      <c r="W13">
        <v>6.798</v>
      </c>
      <c r="X13">
        <v>6.798</v>
      </c>
      <c r="Y13">
        <v>6.798</v>
      </c>
      <c r="Z13">
        <v>6.798</v>
      </c>
      <c r="AA13">
        <v>6.798</v>
      </c>
      <c r="AB13">
        <v>6.798</v>
      </c>
      <c r="AC13">
        <v>6.798</v>
      </c>
      <c r="AD13">
        <v>6.798</v>
      </c>
      <c r="AE13">
        <v>6.798</v>
      </c>
      <c r="AF13">
        <v>6.798</v>
      </c>
    </row>
    <row r="14" spans="1:32" x14ac:dyDescent="0.2">
      <c r="A14" t="s">
        <v>273</v>
      </c>
      <c r="B14">
        <v>2.9000000000000001E-2</v>
      </c>
      <c r="C14">
        <v>3.9E-2</v>
      </c>
      <c r="D14">
        <v>3.9E-2</v>
      </c>
      <c r="E14">
        <v>3.9E-2</v>
      </c>
      <c r="F14">
        <v>1.9590000000000001</v>
      </c>
      <c r="G14">
        <v>2.194</v>
      </c>
      <c r="H14">
        <v>2.6890000000000001</v>
      </c>
      <c r="I14">
        <v>4.3040000000000003</v>
      </c>
      <c r="J14">
        <v>5.0190000000000001</v>
      </c>
      <c r="K14">
        <v>5.194</v>
      </c>
      <c r="L14">
        <v>5.3090000000000002</v>
      </c>
      <c r="M14">
        <v>5.3940000000000001</v>
      </c>
      <c r="N14">
        <v>5.5190000000000001</v>
      </c>
      <c r="O14">
        <v>5.7489999999999997</v>
      </c>
      <c r="P14">
        <v>5.8940000000000001</v>
      </c>
      <c r="Q14">
        <v>6.0439999999999996</v>
      </c>
      <c r="R14">
        <v>6.1740000000000004</v>
      </c>
      <c r="S14">
        <v>6.2990000000000004</v>
      </c>
      <c r="T14">
        <v>6.4290000000000003</v>
      </c>
      <c r="U14">
        <v>6.5490000000000004</v>
      </c>
      <c r="V14">
        <v>6.6689999999999996</v>
      </c>
      <c r="W14">
        <v>6.7889999999999997</v>
      </c>
      <c r="X14">
        <v>6.9089999999999998</v>
      </c>
      <c r="Y14">
        <v>7.0339999999999998</v>
      </c>
      <c r="Z14">
        <v>7.1539999999999999</v>
      </c>
      <c r="AA14">
        <v>7.3090000000000002</v>
      </c>
      <c r="AB14">
        <v>7.4539999999999997</v>
      </c>
      <c r="AC14">
        <v>7.5940000000000003</v>
      </c>
      <c r="AD14">
        <v>7.7240000000000002</v>
      </c>
      <c r="AE14">
        <v>7.8639999999999999</v>
      </c>
      <c r="AF14">
        <v>8.0239999999999991</v>
      </c>
    </row>
    <row r="15" spans="1:32" x14ac:dyDescent="0.2">
      <c r="A15" t="s">
        <v>274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275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276</v>
      </c>
      <c r="B17">
        <v>1.76</v>
      </c>
      <c r="C17">
        <v>1.76</v>
      </c>
      <c r="D17">
        <v>1.76</v>
      </c>
      <c r="E17">
        <v>1.76</v>
      </c>
      <c r="F17">
        <v>1.76</v>
      </c>
      <c r="G17">
        <v>1.8080000000000001</v>
      </c>
      <c r="H17">
        <v>1.8560000000000001</v>
      </c>
      <c r="I17">
        <v>1.8879999999999999</v>
      </c>
      <c r="J17">
        <v>1.92</v>
      </c>
      <c r="K17">
        <v>1.9359999999999999</v>
      </c>
      <c r="L17">
        <v>1.952</v>
      </c>
      <c r="M17">
        <v>1.968</v>
      </c>
      <c r="N17">
        <v>1.984</v>
      </c>
      <c r="O17">
        <v>2</v>
      </c>
      <c r="P17">
        <v>2.016</v>
      </c>
      <c r="Q17">
        <v>2.032</v>
      </c>
      <c r="R17">
        <v>2.048</v>
      </c>
      <c r="S17">
        <v>2.0640000000000001</v>
      </c>
      <c r="T17">
        <v>2.08</v>
      </c>
      <c r="U17">
        <v>2.08</v>
      </c>
      <c r="V17">
        <v>2.08</v>
      </c>
      <c r="W17">
        <v>2.08</v>
      </c>
      <c r="X17">
        <v>2.08</v>
      </c>
      <c r="Y17">
        <v>2.08</v>
      </c>
      <c r="Z17">
        <v>2.08</v>
      </c>
      <c r="AA17">
        <v>2.08</v>
      </c>
      <c r="AB17">
        <v>2.08</v>
      </c>
      <c r="AC17">
        <v>2.08</v>
      </c>
      <c r="AD17">
        <v>2.08</v>
      </c>
      <c r="AE17">
        <v>2.08</v>
      </c>
      <c r="AF17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00D-FEE1-4109-9021-DF78FFA4A8D5}">
  <dimension ref="A1:AF49"/>
  <sheetViews>
    <sheetView workbookViewId="0">
      <selection sqref="A1:AF49"/>
    </sheetView>
  </sheetViews>
  <sheetFormatPr baseColWidth="10" defaultColWidth="8.83203125" defaultRowHeight="15" x14ac:dyDescent="0.2"/>
  <cols>
    <col min="1" max="1" width="63.33203125" customWidth="1"/>
  </cols>
  <sheetData>
    <row r="1" spans="1:32" x14ac:dyDescent="0.2">
      <c r="A1" t="s">
        <v>260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277</v>
      </c>
      <c r="B2">
        <v>3854.4</v>
      </c>
      <c r="C2">
        <v>4084.67</v>
      </c>
      <c r="D2">
        <v>3854.4</v>
      </c>
      <c r="E2">
        <v>3854.4</v>
      </c>
      <c r="F2">
        <v>3854.4</v>
      </c>
      <c r="G2">
        <v>3854.4</v>
      </c>
      <c r="H2">
        <v>3854.4</v>
      </c>
      <c r="I2">
        <v>3854.4</v>
      </c>
      <c r="J2">
        <v>3854.4</v>
      </c>
      <c r="K2">
        <v>3854.4</v>
      </c>
      <c r="L2">
        <v>3854.4</v>
      </c>
      <c r="M2">
        <v>3854.4</v>
      </c>
      <c r="N2">
        <v>3854.4</v>
      </c>
      <c r="O2">
        <v>3854.4</v>
      </c>
      <c r="P2">
        <v>3854.4</v>
      </c>
      <c r="Q2">
        <v>3854.4</v>
      </c>
      <c r="R2">
        <v>3854.4</v>
      </c>
      <c r="S2">
        <v>3854.4</v>
      </c>
      <c r="T2">
        <v>3854.4</v>
      </c>
      <c r="U2">
        <v>3854.4</v>
      </c>
      <c r="V2">
        <v>3854.4</v>
      </c>
      <c r="W2">
        <v>3854.4</v>
      </c>
      <c r="X2">
        <v>3854.4</v>
      </c>
      <c r="Y2">
        <v>3854.4</v>
      </c>
      <c r="Z2">
        <v>3854.4</v>
      </c>
      <c r="AA2">
        <v>3854.4</v>
      </c>
      <c r="AB2">
        <v>3854.4</v>
      </c>
      <c r="AC2">
        <v>3854.4</v>
      </c>
      <c r="AD2">
        <v>3854.4</v>
      </c>
      <c r="AE2">
        <v>3854.4</v>
      </c>
      <c r="AF2">
        <v>3854.4</v>
      </c>
    </row>
    <row r="3" spans="1:32" x14ac:dyDescent="0.2">
      <c r="A3" t="s">
        <v>278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279</v>
      </c>
      <c r="B4">
        <v>4239.84</v>
      </c>
      <c r="C4">
        <v>4493.1400000000003</v>
      </c>
      <c r="D4">
        <v>4239.84</v>
      </c>
      <c r="E4">
        <v>4239.84</v>
      </c>
      <c r="F4">
        <v>4239.84</v>
      </c>
      <c r="G4">
        <v>4239.84</v>
      </c>
      <c r="H4">
        <v>4239.84</v>
      </c>
      <c r="I4">
        <v>4239.84</v>
      </c>
      <c r="J4">
        <v>4239.84</v>
      </c>
      <c r="K4">
        <v>4239.84</v>
      </c>
      <c r="L4">
        <v>4239.84</v>
      </c>
      <c r="M4">
        <v>4239.84</v>
      </c>
      <c r="N4">
        <v>4239.84</v>
      </c>
      <c r="O4">
        <v>4239.84</v>
      </c>
      <c r="P4">
        <v>4239.84</v>
      </c>
      <c r="Q4">
        <v>4239.84</v>
      </c>
      <c r="R4">
        <v>4239.84</v>
      </c>
      <c r="S4">
        <v>4239.84</v>
      </c>
      <c r="T4">
        <v>4239.84</v>
      </c>
      <c r="U4">
        <v>4239.84</v>
      </c>
      <c r="V4">
        <v>4239.84</v>
      </c>
      <c r="W4">
        <v>4239.84</v>
      </c>
      <c r="X4">
        <v>4239.84</v>
      </c>
      <c r="Y4">
        <v>4239.84</v>
      </c>
      <c r="Z4">
        <v>4239.84</v>
      </c>
      <c r="AA4">
        <v>4239.84</v>
      </c>
      <c r="AB4">
        <v>4239.84</v>
      </c>
      <c r="AC4">
        <v>4239.84</v>
      </c>
      <c r="AD4">
        <v>4239.84</v>
      </c>
      <c r="AE4">
        <v>4239.84</v>
      </c>
      <c r="AF4">
        <v>4239.84</v>
      </c>
    </row>
    <row r="5" spans="1:32" x14ac:dyDescent="0.2">
      <c r="A5" t="s">
        <v>280</v>
      </c>
      <c r="B5">
        <v>7884</v>
      </c>
      <c r="C5">
        <v>7884</v>
      </c>
      <c r="D5">
        <v>7884</v>
      </c>
      <c r="E5">
        <v>7884</v>
      </c>
      <c r="F5">
        <v>7884</v>
      </c>
      <c r="G5">
        <v>7884</v>
      </c>
      <c r="H5">
        <v>7884</v>
      </c>
      <c r="I5">
        <v>7884</v>
      </c>
      <c r="J5">
        <v>7884</v>
      </c>
      <c r="K5">
        <v>7884</v>
      </c>
      <c r="L5">
        <v>7884</v>
      </c>
      <c r="M5">
        <v>7884</v>
      </c>
      <c r="N5">
        <v>7884</v>
      </c>
      <c r="O5">
        <v>7884</v>
      </c>
      <c r="P5">
        <v>7884</v>
      </c>
      <c r="Q5">
        <v>7884</v>
      </c>
      <c r="R5">
        <v>7884</v>
      </c>
      <c r="S5">
        <v>7884</v>
      </c>
      <c r="T5">
        <v>7884</v>
      </c>
      <c r="U5">
        <v>7884</v>
      </c>
      <c r="V5">
        <v>7884</v>
      </c>
      <c r="W5">
        <v>7884</v>
      </c>
      <c r="X5">
        <v>7884</v>
      </c>
      <c r="Y5">
        <v>7884</v>
      </c>
      <c r="Z5">
        <v>7884</v>
      </c>
      <c r="AA5">
        <v>7884</v>
      </c>
      <c r="AB5">
        <v>7884</v>
      </c>
      <c r="AC5">
        <v>7884</v>
      </c>
      <c r="AD5">
        <v>7884</v>
      </c>
      <c r="AE5">
        <v>7884</v>
      </c>
      <c r="AF5">
        <v>7884</v>
      </c>
    </row>
    <row r="6" spans="1:32" x14ac:dyDescent="0.2">
      <c r="A6" t="s">
        <v>281</v>
      </c>
      <c r="B6">
        <v>7884</v>
      </c>
      <c r="C6">
        <v>7884</v>
      </c>
      <c r="D6">
        <v>7884</v>
      </c>
      <c r="E6">
        <v>7884</v>
      </c>
      <c r="F6">
        <v>7884</v>
      </c>
      <c r="G6">
        <v>7884</v>
      </c>
      <c r="H6">
        <v>7884</v>
      </c>
      <c r="I6">
        <v>7884</v>
      </c>
      <c r="J6">
        <v>7884</v>
      </c>
      <c r="K6">
        <v>7884</v>
      </c>
      <c r="L6">
        <v>7884</v>
      </c>
      <c r="M6">
        <v>7884</v>
      </c>
      <c r="N6">
        <v>7884</v>
      </c>
      <c r="O6">
        <v>7884</v>
      </c>
      <c r="P6">
        <v>7884</v>
      </c>
      <c r="Q6">
        <v>7884</v>
      </c>
      <c r="R6">
        <v>7884</v>
      </c>
      <c r="S6">
        <v>7884</v>
      </c>
      <c r="T6">
        <v>7884</v>
      </c>
      <c r="U6">
        <v>7884</v>
      </c>
      <c r="V6">
        <v>7884</v>
      </c>
      <c r="W6">
        <v>7884</v>
      </c>
      <c r="X6">
        <v>7884</v>
      </c>
      <c r="Y6">
        <v>7884</v>
      </c>
      <c r="Z6">
        <v>7884</v>
      </c>
      <c r="AA6">
        <v>7884</v>
      </c>
      <c r="AB6">
        <v>7884</v>
      </c>
      <c r="AC6">
        <v>7884</v>
      </c>
      <c r="AD6">
        <v>7884</v>
      </c>
      <c r="AE6">
        <v>7884</v>
      </c>
      <c r="AF6">
        <v>7884</v>
      </c>
    </row>
    <row r="7" spans="1:32" x14ac:dyDescent="0.2">
      <c r="A7" t="s">
        <v>282</v>
      </c>
      <c r="B7">
        <v>7884</v>
      </c>
      <c r="C7">
        <v>7884</v>
      </c>
      <c r="D7">
        <v>7884</v>
      </c>
      <c r="E7">
        <v>7884</v>
      </c>
      <c r="F7">
        <v>7884</v>
      </c>
      <c r="G7">
        <v>7884</v>
      </c>
      <c r="H7">
        <v>7884</v>
      </c>
      <c r="I7">
        <v>7884</v>
      </c>
      <c r="J7">
        <v>7884</v>
      </c>
      <c r="K7">
        <v>7884</v>
      </c>
      <c r="L7">
        <v>7884</v>
      </c>
      <c r="M7">
        <v>7884</v>
      </c>
      <c r="N7">
        <v>7884</v>
      </c>
      <c r="O7">
        <v>7884</v>
      </c>
      <c r="P7">
        <v>7884</v>
      </c>
      <c r="Q7">
        <v>7884</v>
      </c>
      <c r="R7">
        <v>7884</v>
      </c>
      <c r="S7">
        <v>7884</v>
      </c>
      <c r="T7">
        <v>7884</v>
      </c>
      <c r="U7">
        <v>7884</v>
      </c>
      <c r="V7">
        <v>7884</v>
      </c>
      <c r="W7">
        <v>7884</v>
      </c>
      <c r="X7">
        <v>7884</v>
      </c>
      <c r="Y7">
        <v>7884</v>
      </c>
      <c r="Z7">
        <v>7884</v>
      </c>
      <c r="AA7">
        <v>7884</v>
      </c>
      <c r="AB7">
        <v>7884</v>
      </c>
      <c r="AC7">
        <v>7884</v>
      </c>
      <c r="AD7">
        <v>7884</v>
      </c>
      <c r="AE7">
        <v>7884</v>
      </c>
      <c r="AF7">
        <v>7884</v>
      </c>
    </row>
    <row r="8" spans="1:32" x14ac:dyDescent="0.2">
      <c r="A8" t="s">
        <v>283</v>
      </c>
      <c r="B8">
        <v>8094.24</v>
      </c>
      <c r="C8">
        <v>8094.24</v>
      </c>
      <c r="D8">
        <v>8094.24</v>
      </c>
      <c r="E8">
        <v>8094.24</v>
      </c>
      <c r="F8">
        <v>8094.24</v>
      </c>
      <c r="G8">
        <v>8094.24</v>
      </c>
      <c r="H8">
        <v>8094.24</v>
      </c>
      <c r="I8">
        <v>8094.24</v>
      </c>
      <c r="J8">
        <v>8094.24</v>
      </c>
      <c r="K8">
        <v>8094.24</v>
      </c>
      <c r="L8">
        <v>8094.24</v>
      </c>
      <c r="M8">
        <v>8094.24</v>
      </c>
      <c r="N8">
        <v>8094.24</v>
      </c>
      <c r="O8">
        <v>8094.24</v>
      </c>
      <c r="P8">
        <v>8094.24</v>
      </c>
      <c r="Q8">
        <v>8094.24</v>
      </c>
      <c r="R8">
        <v>8094.24</v>
      </c>
      <c r="S8">
        <v>8094.24</v>
      </c>
      <c r="T8">
        <v>8094.24</v>
      </c>
      <c r="U8">
        <v>8094.24</v>
      </c>
      <c r="V8">
        <v>8094.24</v>
      </c>
      <c r="W8">
        <v>8094.24</v>
      </c>
      <c r="X8">
        <v>8094.24</v>
      </c>
      <c r="Y8">
        <v>8094.24</v>
      </c>
      <c r="Z8">
        <v>8094.24</v>
      </c>
      <c r="AA8">
        <v>8094.24</v>
      </c>
      <c r="AB8">
        <v>8094.24</v>
      </c>
      <c r="AC8">
        <v>8094.24</v>
      </c>
      <c r="AD8">
        <v>8094.24</v>
      </c>
      <c r="AE8">
        <v>8094.24</v>
      </c>
      <c r="AF8">
        <v>8094.24</v>
      </c>
    </row>
    <row r="9" spans="1:32" x14ac:dyDescent="0.2">
      <c r="A9" t="s">
        <v>284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285</v>
      </c>
      <c r="B10">
        <v>8094.24</v>
      </c>
      <c r="C10">
        <v>8094.24</v>
      </c>
      <c r="D10">
        <v>8094.24</v>
      </c>
      <c r="E10">
        <v>8094.24</v>
      </c>
      <c r="F10">
        <v>8094.24</v>
      </c>
      <c r="G10">
        <v>8094.24</v>
      </c>
      <c r="H10">
        <v>8094.24</v>
      </c>
      <c r="I10">
        <v>8094.24</v>
      </c>
      <c r="J10">
        <v>8094.24</v>
      </c>
      <c r="K10">
        <v>8094.24</v>
      </c>
      <c r="L10">
        <v>8094.24</v>
      </c>
      <c r="M10">
        <v>8094.24</v>
      </c>
      <c r="N10">
        <v>8094.24</v>
      </c>
      <c r="O10">
        <v>8094.24</v>
      </c>
      <c r="P10">
        <v>8094.24</v>
      </c>
      <c r="Q10">
        <v>8094.24</v>
      </c>
      <c r="R10">
        <v>8094.24</v>
      </c>
      <c r="S10">
        <v>8094.24</v>
      </c>
      <c r="T10">
        <v>8094.24</v>
      </c>
      <c r="U10">
        <v>8094.24</v>
      </c>
      <c r="V10">
        <v>8094.24</v>
      </c>
      <c r="W10">
        <v>8094.24</v>
      </c>
      <c r="X10">
        <v>8094.24</v>
      </c>
      <c r="Y10">
        <v>8094.24</v>
      </c>
      <c r="Z10">
        <v>8094.24</v>
      </c>
      <c r="AA10">
        <v>8094.24</v>
      </c>
      <c r="AB10">
        <v>8094.24</v>
      </c>
      <c r="AC10">
        <v>8094.24</v>
      </c>
      <c r="AD10">
        <v>8094.24</v>
      </c>
      <c r="AE10">
        <v>8094.24</v>
      </c>
      <c r="AF10">
        <v>8094.24</v>
      </c>
    </row>
    <row r="11" spans="1:32" x14ac:dyDescent="0.2">
      <c r="A11" t="s">
        <v>286</v>
      </c>
      <c r="B11">
        <v>3565.32</v>
      </c>
      <c r="C11">
        <v>3565.32</v>
      </c>
      <c r="D11">
        <v>3565.32</v>
      </c>
      <c r="E11">
        <v>3565.32</v>
      </c>
      <c r="F11">
        <v>3565.32</v>
      </c>
      <c r="G11">
        <v>3565.32</v>
      </c>
      <c r="H11">
        <v>3565.32</v>
      </c>
      <c r="I11">
        <v>3565.32</v>
      </c>
      <c r="J11">
        <v>3565.32</v>
      </c>
      <c r="K11">
        <v>3565.32</v>
      </c>
      <c r="L11">
        <v>3565.32</v>
      </c>
      <c r="M11">
        <v>3565.32</v>
      </c>
      <c r="N11">
        <v>3565.32</v>
      </c>
      <c r="O11">
        <v>3565.32</v>
      </c>
      <c r="P11">
        <v>3565.32</v>
      </c>
      <c r="Q11">
        <v>3565.32</v>
      </c>
      <c r="R11">
        <v>3565.32</v>
      </c>
      <c r="S11">
        <v>3565.32</v>
      </c>
      <c r="T11">
        <v>3565.32</v>
      </c>
      <c r="U11">
        <v>3565.32</v>
      </c>
      <c r="V11">
        <v>3565.32</v>
      </c>
      <c r="W11">
        <v>3565.32</v>
      </c>
      <c r="X11">
        <v>3565.32</v>
      </c>
      <c r="Y11">
        <v>3565.32</v>
      </c>
      <c r="Z11">
        <v>3565.32</v>
      </c>
      <c r="AA11">
        <v>3565.32</v>
      </c>
      <c r="AB11">
        <v>3565.32</v>
      </c>
      <c r="AC11">
        <v>3565.32</v>
      </c>
      <c r="AD11">
        <v>3565.32</v>
      </c>
      <c r="AE11">
        <v>3565.32</v>
      </c>
      <c r="AF11">
        <v>3565.32</v>
      </c>
    </row>
    <row r="12" spans="1:32" x14ac:dyDescent="0.2">
      <c r="A12" t="s">
        <v>287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288</v>
      </c>
      <c r="B13">
        <v>3924.48</v>
      </c>
      <c r="C13">
        <v>3924.48</v>
      </c>
      <c r="D13">
        <v>3924.48</v>
      </c>
      <c r="E13">
        <v>3924.48</v>
      </c>
      <c r="F13">
        <v>3924.48</v>
      </c>
      <c r="G13">
        <v>3924.48</v>
      </c>
      <c r="H13">
        <v>3924.48</v>
      </c>
      <c r="I13">
        <v>3924.48</v>
      </c>
      <c r="J13">
        <v>3924.48</v>
      </c>
      <c r="K13">
        <v>3924.48</v>
      </c>
      <c r="L13">
        <v>3924.48</v>
      </c>
      <c r="M13">
        <v>3924.48</v>
      </c>
      <c r="N13">
        <v>3924.48</v>
      </c>
      <c r="O13">
        <v>3924.48</v>
      </c>
      <c r="P13">
        <v>3924.48</v>
      </c>
      <c r="Q13">
        <v>3924.48</v>
      </c>
      <c r="R13">
        <v>3924.48</v>
      </c>
      <c r="S13">
        <v>3924.48</v>
      </c>
      <c r="T13">
        <v>3924.48</v>
      </c>
      <c r="U13">
        <v>3924.48</v>
      </c>
      <c r="V13">
        <v>3924.48</v>
      </c>
      <c r="W13">
        <v>3924.48</v>
      </c>
      <c r="X13">
        <v>3924.48</v>
      </c>
      <c r="Y13">
        <v>3924.48</v>
      </c>
      <c r="Z13">
        <v>3924.48</v>
      </c>
      <c r="AA13">
        <v>3924.48</v>
      </c>
      <c r="AB13">
        <v>3924.48</v>
      </c>
      <c r="AC13">
        <v>3924.48</v>
      </c>
      <c r="AD13">
        <v>3924.48</v>
      </c>
      <c r="AE13">
        <v>3924.48</v>
      </c>
      <c r="AF13">
        <v>3924.48</v>
      </c>
    </row>
    <row r="14" spans="1:32" x14ac:dyDescent="0.2">
      <c r="A14" t="s">
        <v>289</v>
      </c>
      <c r="B14">
        <v>3047.38</v>
      </c>
      <c r="C14">
        <v>3038.13</v>
      </c>
      <c r="D14">
        <v>3029.15</v>
      </c>
      <c r="E14">
        <v>3025.35</v>
      </c>
      <c r="F14">
        <v>3023.79</v>
      </c>
      <c r="G14">
        <v>3023.69</v>
      </c>
      <c r="H14">
        <v>3018.59</v>
      </c>
      <c r="I14">
        <v>3016.36</v>
      </c>
      <c r="J14">
        <v>3017.38</v>
      </c>
      <c r="K14">
        <v>3011.77</v>
      </c>
      <c r="L14">
        <v>3012.27</v>
      </c>
      <c r="M14">
        <v>3013.78</v>
      </c>
      <c r="N14">
        <v>3016.18</v>
      </c>
      <c r="O14">
        <v>3016.36</v>
      </c>
      <c r="P14">
        <v>3013.05</v>
      </c>
      <c r="Q14">
        <v>3013.59</v>
      </c>
      <c r="R14">
        <v>3013.18</v>
      </c>
      <c r="S14">
        <v>3013.73</v>
      </c>
      <c r="T14">
        <v>3014.1</v>
      </c>
      <c r="U14">
        <v>3014.82</v>
      </c>
      <c r="V14">
        <v>3015.36</v>
      </c>
      <c r="W14">
        <v>3016.2</v>
      </c>
      <c r="X14">
        <v>3016.67</v>
      </c>
      <c r="Y14">
        <v>3017.77</v>
      </c>
      <c r="Z14">
        <v>3018.27</v>
      </c>
      <c r="AA14">
        <v>3019</v>
      </c>
      <c r="AB14">
        <v>3019.38</v>
      </c>
      <c r="AC14">
        <v>3019.73</v>
      </c>
      <c r="AD14">
        <v>3020.39</v>
      </c>
      <c r="AE14">
        <v>3021.57</v>
      </c>
      <c r="AF14">
        <v>3022.18</v>
      </c>
    </row>
    <row r="15" spans="1:32" x14ac:dyDescent="0.2">
      <c r="A15" t="s">
        <v>290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291</v>
      </c>
      <c r="B16">
        <v>3461.75</v>
      </c>
      <c r="C16">
        <v>3477.07</v>
      </c>
      <c r="D16">
        <v>3492.53</v>
      </c>
      <c r="E16">
        <v>3513.86</v>
      </c>
      <c r="F16">
        <v>3537.75</v>
      </c>
      <c r="G16">
        <v>3554.77</v>
      </c>
      <c r="H16">
        <v>3574.43</v>
      </c>
      <c r="I16">
        <v>3597.41</v>
      </c>
      <c r="J16">
        <v>3624.28</v>
      </c>
      <c r="K16">
        <v>3643.13</v>
      </c>
      <c r="L16">
        <v>3669.34</v>
      </c>
      <c r="M16">
        <v>3679.72</v>
      </c>
      <c r="N16">
        <v>3682.64</v>
      </c>
      <c r="O16">
        <v>3691.41</v>
      </c>
      <c r="P16">
        <v>3695.9</v>
      </c>
      <c r="Q16">
        <v>3705.09</v>
      </c>
      <c r="R16">
        <v>3704.59</v>
      </c>
      <c r="S16">
        <v>3713.81</v>
      </c>
      <c r="T16">
        <v>3722.79</v>
      </c>
      <c r="U16">
        <v>3732.23</v>
      </c>
      <c r="V16">
        <v>3732.89</v>
      </c>
      <c r="W16">
        <v>3742.47</v>
      </c>
      <c r="X16">
        <v>3751.61</v>
      </c>
      <c r="Y16">
        <v>3761.53</v>
      </c>
      <c r="Z16">
        <v>3762.15</v>
      </c>
      <c r="AA16">
        <v>3771.61</v>
      </c>
      <c r="AB16">
        <v>3780.64</v>
      </c>
      <c r="AC16">
        <v>3789.64</v>
      </c>
      <c r="AD16">
        <v>3790.47</v>
      </c>
      <c r="AE16">
        <v>3800.5</v>
      </c>
      <c r="AF16">
        <v>3809.83</v>
      </c>
    </row>
    <row r="17" spans="1:32" x14ac:dyDescent="0.2">
      <c r="A17" t="s">
        <v>292</v>
      </c>
      <c r="B17">
        <v>2103.9299999999998</v>
      </c>
      <c r="C17">
        <v>2097.92</v>
      </c>
      <c r="D17">
        <v>2089.9299999999998</v>
      </c>
      <c r="E17">
        <v>2078.75</v>
      </c>
      <c r="F17">
        <v>2069.08</v>
      </c>
      <c r="G17">
        <v>2065.63</v>
      </c>
      <c r="H17">
        <v>2059.5100000000002</v>
      </c>
      <c r="I17">
        <v>2056.11</v>
      </c>
      <c r="J17">
        <v>2054.67</v>
      </c>
      <c r="K17">
        <v>2045.67</v>
      </c>
      <c r="L17">
        <v>2043.08</v>
      </c>
      <c r="M17">
        <v>2041.87</v>
      </c>
      <c r="N17">
        <v>2042.02</v>
      </c>
      <c r="O17">
        <v>2039.38</v>
      </c>
      <c r="P17">
        <v>2031.62</v>
      </c>
      <c r="Q17">
        <v>2029.24</v>
      </c>
      <c r="R17">
        <v>2025.52</v>
      </c>
      <c r="S17">
        <v>2023.19</v>
      </c>
      <c r="T17">
        <v>2020.76</v>
      </c>
      <c r="U17">
        <v>2018.82</v>
      </c>
      <c r="V17">
        <v>2016.77</v>
      </c>
      <c r="W17">
        <v>2015.05</v>
      </c>
      <c r="X17">
        <v>2012.83</v>
      </c>
      <c r="Y17">
        <v>2011.6</v>
      </c>
      <c r="Z17">
        <v>2009.56</v>
      </c>
      <c r="AA17">
        <v>2007.92</v>
      </c>
      <c r="AB17">
        <v>2005.57</v>
      </c>
      <c r="AC17">
        <v>2003.29</v>
      </c>
      <c r="AD17">
        <v>2001.6</v>
      </c>
      <c r="AE17">
        <v>2000.89</v>
      </c>
      <c r="AF17">
        <v>1999.24</v>
      </c>
    </row>
    <row r="18" spans="1:32" x14ac:dyDescent="0.2">
      <c r="A18" t="s">
        <v>293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294</v>
      </c>
      <c r="B19">
        <v>2112.63</v>
      </c>
      <c r="C19">
        <v>2123.9299999999998</v>
      </c>
      <c r="D19">
        <v>2133.11</v>
      </c>
      <c r="E19">
        <v>2138.87</v>
      </c>
      <c r="F19">
        <v>2154.58</v>
      </c>
      <c r="G19">
        <v>2168.06</v>
      </c>
      <c r="H19">
        <v>2178.66</v>
      </c>
      <c r="I19">
        <v>2200.54</v>
      </c>
      <c r="J19">
        <v>2215.98</v>
      </c>
      <c r="K19">
        <v>2223.1799999999998</v>
      </c>
      <c r="L19">
        <v>2245.6999999999998</v>
      </c>
      <c r="M19">
        <v>2252.81</v>
      </c>
      <c r="N19">
        <v>2261.41</v>
      </c>
      <c r="O19">
        <v>2266.92</v>
      </c>
      <c r="P19">
        <v>2266.69</v>
      </c>
      <c r="Q19">
        <v>2272.42</v>
      </c>
      <c r="R19">
        <v>2276.62</v>
      </c>
      <c r="S19">
        <v>2282.36</v>
      </c>
      <c r="T19">
        <v>2287.96</v>
      </c>
      <c r="U19">
        <v>2294.12</v>
      </c>
      <c r="V19">
        <v>2300.11</v>
      </c>
      <c r="W19">
        <v>2306.48</v>
      </c>
      <c r="X19">
        <v>2312.2600000000002</v>
      </c>
      <c r="Y19">
        <v>2319.16</v>
      </c>
      <c r="Z19">
        <v>2325.11</v>
      </c>
      <c r="AA19">
        <v>2331.5100000000002</v>
      </c>
      <c r="AB19">
        <v>2337.0700000000002</v>
      </c>
      <c r="AC19">
        <v>2342.69</v>
      </c>
      <c r="AD19">
        <v>2348.9899999999998</v>
      </c>
      <c r="AE19">
        <v>2356.42</v>
      </c>
      <c r="AF19">
        <v>2362.7399999999998</v>
      </c>
    </row>
    <row r="20" spans="1:32" x14ac:dyDescent="0.2">
      <c r="A20" t="s">
        <v>295</v>
      </c>
      <c r="B20">
        <v>1804.56</v>
      </c>
      <c r="C20">
        <v>1804.56</v>
      </c>
      <c r="D20">
        <v>1804.56</v>
      </c>
      <c r="E20">
        <v>1804.56</v>
      </c>
      <c r="F20">
        <v>1804.56</v>
      </c>
      <c r="G20">
        <v>1804.56</v>
      </c>
      <c r="H20">
        <v>1804.56</v>
      </c>
      <c r="I20">
        <v>1804.56</v>
      </c>
      <c r="J20">
        <v>1804.56</v>
      </c>
      <c r="K20">
        <v>1804.56</v>
      </c>
      <c r="L20">
        <v>1804.56</v>
      </c>
      <c r="M20">
        <v>1804.56</v>
      </c>
      <c r="N20">
        <v>1804.56</v>
      </c>
      <c r="O20">
        <v>1804.56</v>
      </c>
      <c r="P20">
        <v>1804.56</v>
      </c>
      <c r="Q20">
        <v>1804.56</v>
      </c>
      <c r="R20">
        <v>1804.56</v>
      </c>
      <c r="S20">
        <v>1804.56</v>
      </c>
      <c r="T20">
        <v>1804.56</v>
      </c>
      <c r="U20">
        <v>1804.56</v>
      </c>
      <c r="V20">
        <v>1804.56</v>
      </c>
      <c r="W20">
        <v>1804.56</v>
      </c>
      <c r="X20">
        <v>1804.56</v>
      </c>
      <c r="Y20">
        <v>1804.56</v>
      </c>
      <c r="Z20">
        <v>1804.56</v>
      </c>
      <c r="AA20">
        <v>1804.56</v>
      </c>
      <c r="AB20">
        <v>1804.56</v>
      </c>
      <c r="AC20">
        <v>1804.56</v>
      </c>
      <c r="AD20">
        <v>1804.56</v>
      </c>
      <c r="AE20">
        <v>1804.56</v>
      </c>
      <c r="AF20">
        <v>1804.56</v>
      </c>
    </row>
    <row r="21" spans="1:32" x14ac:dyDescent="0.2">
      <c r="A21" t="s">
        <v>296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297</v>
      </c>
      <c r="B22">
        <v>5045.76</v>
      </c>
      <c r="C22">
        <v>5045.76</v>
      </c>
      <c r="D22">
        <v>5045.76</v>
      </c>
      <c r="E22">
        <v>5045.76</v>
      </c>
      <c r="F22">
        <v>5045.76</v>
      </c>
      <c r="G22">
        <v>5045.76</v>
      </c>
      <c r="H22">
        <v>5045.76</v>
      </c>
      <c r="I22">
        <v>5045.76</v>
      </c>
      <c r="J22">
        <v>5045.76</v>
      </c>
      <c r="K22">
        <v>5045.76</v>
      </c>
      <c r="L22">
        <v>5045.76</v>
      </c>
      <c r="M22">
        <v>5045.76</v>
      </c>
      <c r="N22">
        <v>5045.76</v>
      </c>
      <c r="O22">
        <v>5045.76</v>
      </c>
      <c r="P22">
        <v>5045.76</v>
      </c>
      <c r="Q22">
        <v>5045.76</v>
      </c>
      <c r="R22">
        <v>5045.76</v>
      </c>
      <c r="S22">
        <v>5045.76</v>
      </c>
      <c r="T22">
        <v>5045.76</v>
      </c>
      <c r="U22">
        <v>5045.76</v>
      </c>
      <c r="V22">
        <v>5045.76</v>
      </c>
      <c r="W22">
        <v>5045.76</v>
      </c>
      <c r="X22">
        <v>5045.76</v>
      </c>
      <c r="Y22">
        <v>5045.76</v>
      </c>
      <c r="Z22">
        <v>5045.76</v>
      </c>
      <c r="AA22">
        <v>5045.76</v>
      </c>
      <c r="AB22">
        <v>5045.76</v>
      </c>
      <c r="AC22">
        <v>5045.76</v>
      </c>
      <c r="AD22">
        <v>5045.76</v>
      </c>
      <c r="AE22">
        <v>5045.76</v>
      </c>
      <c r="AF22">
        <v>5045.76</v>
      </c>
    </row>
    <row r="23" spans="1:32" x14ac:dyDescent="0.2">
      <c r="A23" t="s">
        <v>298</v>
      </c>
      <c r="B23">
        <v>7577.4</v>
      </c>
      <c r="C23">
        <v>7577.4</v>
      </c>
      <c r="D23">
        <v>7577.4</v>
      </c>
      <c r="E23">
        <v>7577.4</v>
      </c>
      <c r="F23">
        <v>7577.4</v>
      </c>
      <c r="G23">
        <v>7577.4</v>
      </c>
      <c r="H23">
        <v>7577.4</v>
      </c>
      <c r="I23">
        <v>7577.4</v>
      </c>
      <c r="J23">
        <v>7577.4</v>
      </c>
      <c r="K23">
        <v>7577.4</v>
      </c>
      <c r="L23">
        <v>7577.4</v>
      </c>
      <c r="M23">
        <v>7577.4</v>
      </c>
      <c r="N23">
        <v>7577.4</v>
      </c>
      <c r="O23">
        <v>7577.4</v>
      </c>
      <c r="P23">
        <v>7577.4</v>
      </c>
      <c r="Q23">
        <v>7577.4</v>
      </c>
      <c r="R23">
        <v>7577.4</v>
      </c>
      <c r="S23">
        <v>7577.4</v>
      </c>
      <c r="T23">
        <v>7577.4</v>
      </c>
      <c r="U23">
        <v>7577.4</v>
      </c>
      <c r="V23">
        <v>7577.4</v>
      </c>
      <c r="W23">
        <v>7577.4</v>
      </c>
      <c r="X23">
        <v>7577.4</v>
      </c>
      <c r="Y23">
        <v>7577.4</v>
      </c>
      <c r="Z23">
        <v>7577.4</v>
      </c>
      <c r="AA23">
        <v>7577.4</v>
      </c>
      <c r="AB23">
        <v>7577.4</v>
      </c>
      <c r="AC23">
        <v>7577.4</v>
      </c>
      <c r="AD23">
        <v>7577.4</v>
      </c>
      <c r="AE23">
        <v>7577.4</v>
      </c>
      <c r="AF23">
        <v>7577.4</v>
      </c>
    </row>
    <row r="24" spans="1:32" x14ac:dyDescent="0.2">
      <c r="A24" t="s">
        <v>299</v>
      </c>
      <c r="B24">
        <v>7577.4</v>
      </c>
      <c r="C24">
        <v>7577.4</v>
      </c>
      <c r="D24">
        <v>7577.4</v>
      </c>
      <c r="E24">
        <v>7577.4</v>
      </c>
      <c r="F24">
        <v>7577.4</v>
      </c>
      <c r="G24">
        <v>7577.4</v>
      </c>
      <c r="H24">
        <v>7577.4</v>
      </c>
      <c r="I24">
        <v>7577.4</v>
      </c>
      <c r="J24">
        <v>7577.4</v>
      </c>
      <c r="K24">
        <v>7577.4</v>
      </c>
      <c r="L24">
        <v>7577.4</v>
      </c>
      <c r="M24">
        <v>7577.4</v>
      </c>
      <c r="N24">
        <v>7577.4</v>
      </c>
      <c r="O24">
        <v>7577.4</v>
      </c>
      <c r="P24">
        <v>7577.4</v>
      </c>
      <c r="Q24">
        <v>7577.4</v>
      </c>
      <c r="R24">
        <v>7577.4</v>
      </c>
      <c r="S24">
        <v>7577.4</v>
      </c>
      <c r="T24">
        <v>7577.4</v>
      </c>
      <c r="U24">
        <v>7577.4</v>
      </c>
      <c r="V24">
        <v>7577.4</v>
      </c>
      <c r="W24">
        <v>7577.4</v>
      </c>
      <c r="X24">
        <v>7577.4</v>
      </c>
      <c r="Y24">
        <v>7577.4</v>
      </c>
      <c r="Z24">
        <v>7577.4</v>
      </c>
      <c r="AA24">
        <v>7577.4</v>
      </c>
      <c r="AB24">
        <v>7577.4</v>
      </c>
      <c r="AC24">
        <v>7577.4</v>
      </c>
      <c r="AD24">
        <v>7577.4</v>
      </c>
      <c r="AE24">
        <v>7577.4</v>
      </c>
      <c r="AF24">
        <v>7577.4</v>
      </c>
    </row>
    <row r="25" spans="1:32" x14ac:dyDescent="0.2">
      <c r="A25" t="s">
        <v>300</v>
      </c>
      <c r="B25">
        <v>7577.4</v>
      </c>
      <c r="C25">
        <v>7577.4</v>
      </c>
      <c r="D25">
        <v>7577.4</v>
      </c>
      <c r="E25">
        <v>7577.4</v>
      </c>
      <c r="F25">
        <v>7577.4</v>
      </c>
      <c r="G25">
        <v>7577.4</v>
      </c>
      <c r="H25">
        <v>7577.4</v>
      </c>
      <c r="I25">
        <v>7577.4</v>
      </c>
      <c r="J25">
        <v>7577.4</v>
      </c>
      <c r="K25">
        <v>7577.4</v>
      </c>
      <c r="L25">
        <v>7577.4</v>
      </c>
      <c r="M25">
        <v>7577.4</v>
      </c>
      <c r="N25">
        <v>7577.4</v>
      </c>
      <c r="O25">
        <v>7577.4</v>
      </c>
      <c r="P25">
        <v>7577.4</v>
      </c>
      <c r="Q25">
        <v>7577.4</v>
      </c>
      <c r="R25">
        <v>7577.4</v>
      </c>
      <c r="S25">
        <v>7577.4</v>
      </c>
      <c r="T25">
        <v>7577.4</v>
      </c>
      <c r="U25">
        <v>7577.4</v>
      </c>
      <c r="V25">
        <v>7577.4</v>
      </c>
      <c r="W25">
        <v>7577.4</v>
      </c>
      <c r="X25">
        <v>7577.4</v>
      </c>
      <c r="Y25">
        <v>7577.4</v>
      </c>
      <c r="Z25">
        <v>7577.4</v>
      </c>
      <c r="AA25">
        <v>7577.4</v>
      </c>
      <c r="AB25">
        <v>7577.4</v>
      </c>
      <c r="AC25">
        <v>7577.4</v>
      </c>
      <c r="AD25">
        <v>7577.4</v>
      </c>
      <c r="AE25">
        <v>7577.4</v>
      </c>
      <c r="AF25">
        <v>7577.4</v>
      </c>
    </row>
    <row r="26" spans="1:32" x14ac:dyDescent="0.2">
      <c r="A26" t="s">
        <v>301</v>
      </c>
      <c r="B26">
        <v>6053.16</v>
      </c>
      <c r="C26">
        <v>6053.16</v>
      </c>
      <c r="D26">
        <v>6053.16</v>
      </c>
      <c r="E26">
        <v>6053.16</v>
      </c>
      <c r="F26">
        <v>6053.16</v>
      </c>
      <c r="G26">
        <v>6053.16</v>
      </c>
      <c r="H26">
        <v>6053.16</v>
      </c>
      <c r="I26">
        <v>6053.16</v>
      </c>
      <c r="J26">
        <v>6053.16</v>
      </c>
      <c r="K26">
        <v>6053.16</v>
      </c>
      <c r="L26">
        <v>6053.16</v>
      </c>
      <c r="M26">
        <v>6053.16</v>
      </c>
      <c r="N26">
        <v>6053.16</v>
      </c>
      <c r="O26">
        <v>6053.16</v>
      </c>
      <c r="P26">
        <v>6053.16</v>
      </c>
      <c r="Q26">
        <v>6053.16</v>
      </c>
      <c r="R26">
        <v>6053.16</v>
      </c>
      <c r="S26">
        <v>6053.16</v>
      </c>
      <c r="T26">
        <v>6053.16</v>
      </c>
      <c r="U26">
        <v>6053.16</v>
      </c>
      <c r="V26">
        <v>6053.16</v>
      </c>
      <c r="W26">
        <v>6053.16</v>
      </c>
      <c r="X26">
        <v>6053.16</v>
      </c>
      <c r="Y26">
        <v>6053.16</v>
      </c>
      <c r="Z26">
        <v>6053.16</v>
      </c>
      <c r="AA26">
        <v>6053.16</v>
      </c>
      <c r="AB26">
        <v>6053.16</v>
      </c>
      <c r="AC26">
        <v>6053.16</v>
      </c>
      <c r="AD26">
        <v>6053.16</v>
      </c>
      <c r="AE26">
        <v>6053.16</v>
      </c>
      <c r="AF26">
        <v>6053.16</v>
      </c>
    </row>
    <row r="27" spans="1:32" x14ac:dyDescent="0.2">
      <c r="A27" t="s">
        <v>302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303</v>
      </c>
      <c r="B28">
        <v>6657.6</v>
      </c>
      <c r="C28">
        <v>6657.6</v>
      </c>
      <c r="D28">
        <v>6657.6</v>
      </c>
      <c r="E28">
        <v>6657.6</v>
      </c>
      <c r="F28">
        <v>6657.6</v>
      </c>
      <c r="G28">
        <v>6657.6</v>
      </c>
      <c r="H28">
        <v>6657.6</v>
      </c>
      <c r="I28">
        <v>6657.6</v>
      </c>
      <c r="J28">
        <v>6657.6</v>
      </c>
      <c r="K28">
        <v>6657.6</v>
      </c>
      <c r="L28">
        <v>6657.6</v>
      </c>
      <c r="M28">
        <v>6657.6</v>
      </c>
      <c r="N28">
        <v>6657.6</v>
      </c>
      <c r="O28">
        <v>6657.6</v>
      </c>
      <c r="P28">
        <v>6657.6</v>
      </c>
      <c r="Q28">
        <v>6657.6</v>
      </c>
      <c r="R28">
        <v>6657.6</v>
      </c>
      <c r="S28">
        <v>6657.6</v>
      </c>
      <c r="T28">
        <v>6657.6</v>
      </c>
      <c r="U28">
        <v>6657.6</v>
      </c>
      <c r="V28">
        <v>6657.6</v>
      </c>
      <c r="W28">
        <v>6657.6</v>
      </c>
      <c r="X28">
        <v>6657.6</v>
      </c>
      <c r="Y28">
        <v>6657.6</v>
      </c>
      <c r="Z28">
        <v>6657.6</v>
      </c>
      <c r="AA28">
        <v>6657.6</v>
      </c>
      <c r="AB28">
        <v>6657.6</v>
      </c>
      <c r="AC28">
        <v>6657.6</v>
      </c>
      <c r="AD28">
        <v>6657.6</v>
      </c>
      <c r="AE28">
        <v>6657.6</v>
      </c>
      <c r="AF28">
        <v>6657.6</v>
      </c>
    </row>
    <row r="29" spans="1:32" x14ac:dyDescent="0.2">
      <c r="A29" t="s">
        <v>304</v>
      </c>
      <c r="B29">
        <v>490.56</v>
      </c>
      <c r="C29">
        <v>490.56</v>
      </c>
      <c r="D29">
        <v>490.56</v>
      </c>
      <c r="E29">
        <v>490.56</v>
      </c>
      <c r="F29">
        <v>490.56</v>
      </c>
      <c r="G29">
        <v>490.56</v>
      </c>
      <c r="H29">
        <v>490.56</v>
      </c>
      <c r="I29">
        <v>490.56</v>
      </c>
      <c r="J29">
        <v>490.56</v>
      </c>
      <c r="K29">
        <v>490.56</v>
      </c>
      <c r="L29">
        <v>490.56</v>
      </c>
      <c r="M29">
        <v>490.56</v>
      </c>
      <c r="N29">
        <v>490.56</v>
      </c>
      <c r="O29">
        <v>490.56</v>
      </c>
      <c r="P29">
        <v>490.56</v>
      </c>
      <c r="Q29">
        <v>490.56</v>
      </c>
      <c r="R29">
        <v>490.56</v>
      </c>
      <c r="S29">
        <v>490.56</v>
      </c>
      <c r="T29">
        <v>490.56</v>
      </c>
      <c r="U29">
        <v>490.56</v>
      </c>
      <c r="V29">
        <v>490.56</v>
      </c>
      <c r="W29">
        <v>490.56</v>
      </c>
      <c r="X29">
        <v>490.56</v>
      </c>
      <c r="Y29">
        <v>490.56</v>
      </c>
      <c r="Z29">
        <v>490.56</v>
      </c>
      <c r="AA29">
        <v>490.56</v>
      </c>
      <c r="AB29">
        <v>490.56</v>
      </c>
      <c r="AC29">
        <v>490.56</v>
      </c>
      <c r="AD29">
        <v>490.56</v>
      </c>
      <c r="AE29">
        <v>490.56</v>
      </c>
      <c r="AF29">
        <v>490.56</v>
      </c>
    </row>
    <row r="30" spans="1:32" x14ac:dyDescent="0.2">
      <c r="A30" t="s">
        <v>305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306</v>
      </c>
      <c r="B31">
        <v>543.12</v>
      </c>
      <c r="C31">
        <v>543.12</v>
      </c>
      <c r="D31">
        <v>543.12</v>
      </c>
      <c r="E31">
        <v>543.12</v>
      </c>
      <c r="F31">
        <v>543.12</v>
      </c>
      <c r="G31">
        <v>543.12</v>
      </c>
      <c r="H31">
        <v>543.12</v>
      </c>
      <c r="I31">
        <v>543.12</v>
      </c>
      <c r="J31">
        <v>543.12</v>
      </c>
      <c r="K31">
        <v>543.12</v>
      </c>
      <c r="L31">
        <v>543.12</v>
      </c>
      <c r="M31">
        <v>543.12</v>
      </c>
      <c r="N31">
        <v>543.12</v>
      </c>
      <c r="O31">
        <v>543.12</v>
      </c>
      <c r="P31">
        <v>543.12</v>
      </c>
      <c r="Q31">
        <v>543.12</v>
      </c>
      <c r="R31">
        <v>543.12</v>
      </c>
      <c r="S31">
        <v>543.12</v>
      </c>
      <c r="T31">
        <v>543.12</v>
      </c>
      <c r="U31">
        <v>543.12</v>
      </c>
      <c r="V31">
        <v>543.12</v>
      </c>
      <c r="W31">
        <v>543.12</v>
      </c>
      <c r="X31">
        <v>543.12</v>
      </c>
      <c r="Y31">
        <v>543.12</v>
      </c>
      <c r="Z31">
        <v>543.12</v>
      </c>
      <c r="AA31">
        <v>543.12</v>
      </c>
      <c r="AB31">
        <v>543.12</v>
      </c>
      <c r="AC31">
        <v>543.12</v>
      </c>
      <c r="AD31">
        <v>543.12</v>
      </c>
      <c r="AE31">
        <v>543.12</v>
      </c>
      <c r="AF31">
        <v>543.12</v>
      </c>
    </row>
    <row r="32" spans="1:32" x14ac:dyDescent="0.2">
      <c r="A32" t="s">
        <v>307</v>
      </c>
      <c r="B32">
        <v>1165.08</v>
      </c>
      <c r="C32">
        <v>1165.08</v>
      </c>
      <c r="D32">
        <v>1165.08</v>
      </c>
      <c r="E32">
        <v>1165.08</v>
      </c>
      <c r="F32">
        <v>1165.08</v>
      </c>
      <c r="G32">
        <v>1165.08</v>
      </c>
      <c r="H32">
        <v>1165.08</v>
      </c>
      <c r="I32">
        <v>1165.08</v>
      </c>
      <c r="J32">
        <v>1165.08</v>
      </c>
      <c r="K32">
        <v>1165.08</v>
      </c>
      <c r="L32">
        <v>1165.08</v>
      </c>
      <c r="M32">
        <v>1165.08</v>
      </c>
      <c r="N32">
        <v>1165.08</v>
      </c>
      <c r="O32">
        <v>1165.08</v>
      </c>
      <c r="P32">
        <v>1165.08</v>
      </c>
      <c r="Q32">
        <v>1165.08</v>
      </c>
      <c r="R32">
        <v>1165.08</v>
      </c>
      <c r="S32">
        <v>1165.08</v>
      </c>
      <c r="T32">
        <v>1165.08</v>
      </c>
      <c r="U32">
        <v>1165.08</v>
      </c>
      <c r="V32">
        <v>1165.08</v>
      </c>
      <c r="W32">
        <v>1165.08</v>
      </c>
      <c r="X32">
        <v>1165.08</v>
      </c>
      <c r="Y32">
        <v>1165.08</v>
      </c>
      <c r="Z32">
        <v>1165.08</v>
      </c>
      <c r="AA32">
        <v>1165.08</v>
      </c>
      <c r="AB32">
        <v>1165.08</v>
      </c>
      <c r="AC32">
        <v>1165.08</v>
      </c>
      <c r="AD32">
        <v>1165.08</v>
      </c>
      <c r="AE32">
        <v>1165.08</v>
      </c>
      <c r="AF32">
        <v>1165.08</v>
      </c>
    </row>
    <row r="33" spans="1:32" x14ac:dyDescent="0.2">
      <c r="A33" t="s">
        <v>308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309</v>
      </c>
      <c r="B34">
        <v>1278.96</v>
      </c>
      <c r="C34">
        <v>1278.96</v>
      </c>
      <c r="D34">
        <v>1278.96</v>
      </c>
      <c r="E34">
        <v>1278.96</v>
      </c>
      <c r="F34">
        <v>1278.96</v>
      </c>
      <c r="G34">
        <v>1278.96</v>
      </c>
      <c r="H34">
        <v>1278.96</v>
      </c>
      <c r="I34">
        <v>1278.96</v>
      </c>
      <c r="J34">
        <v>1278.96</v>
      </c>
      <c r="K34">
        <v>1278.96</v>
      </c>
      <c r="L34">
        <v>1278.96</v>
      </c>
      <c r="M34">
        <v>1278.96</v>
      </c>
      <c r="N34">
        <v>1278.96</v>
      </c>
      <c r="O34">
        <v>1278.96</v>
      </c>
      <c r="P34">
        <v>1278.96</v>
      </c>
      <c r="Q34">
        <v>1278.96</v>
      </c>
      <c r="R34">
        <v>1278.96</v>
      </c>
      <c r="S34">
        <v>1278.96</v>
      </c>
      <c r="T34">
        <v>1278.96</v>
      </c>
      <c r="U34">
        <v>1278.96</v>
      </c>
      <c r="V34">
        <v>1278.96</v>
      </c>
      <c r="W34">
        <v>1278.96</v>
      </c>
      <c r="X34">
        <v>1278.96</v>
      </c>
      <c r="Y34">
        <v>1278.96</v>
      </c>
      <c r="Z34">
        <v>1278.96</v>
      </c>
      <c r="AA34">
        <v>1278.96</v>
      </c>
      <c r="AB34">
        <v>1278.96</v>
      </c>
      <c r="AC34">
        <v>1278.96</v>
      </c>
      <c r="AD34">
        <v>1278.96</v>
      </c>
      <c r="AE34">
        <v>1278.96</v>
      </c>
      <c r="AF34">
        <v>1278.96</v>
      </c>
    </row>
    <row r="35" spans="1:32" x14ac:dyDescent="0.2">
      <c r="A35" t="s">
        <v>310</v>
      </c>
      <c r="B35">
        <v>6640.08</v>
      </c>
      <c r="C35">
        <v>7036.78</v>
      </c>
      <c r="D35">
        <v>6640.08</v>
      </c>
      <c r="E35">
        <v>6640.08</v>
      </c>
      <c r="F35">
        <v>6640.08</v>
      </c>
      <c r="G35">
        <v>6640.08</v>
      </c>
      <c r="H35">
        <v>6640.08</v>
      </c>
      <c r="I35">
        <v>6640.08</v>
      </c>
      <c r="J35">
        <v>6640.08</v>
      </c>
      <c r="K35">
        <v>6640.08</v>
      </c>
      <c r="L35">
        <v>6640.08</v>
      </c>
      <c r="M35">
        <v>6640.08</v>
      </c>
      <c r="N35">
        <v>6640.08</v>
      </c>
      <c r="O35">
        <v>6640.08</v>
      </c>
      <c r="P35">
        <v>6640.08</v>
      </c>
      <c r="Q35">
        <v>6640.08</v>
      </c>
      <c r="R35">
        <v>6640.08</v>
      </c>
      <c r="S35">
        <v>6640.08</v>
      </c>
      <c r="T35">
        <v>6640.08</v>
      </c>
      <c r="U35">
        <v>6640.08</v>
      </c>
      <c r="V35">
        <v>6640.08</v>
      </c>
      <c r="W35">
        <v>6640.08</v>
      </c>
      <c r="X35">
        <v>6640.08</v>
      </c>
      <c r="Y35">
        <v>6640.08</v>
      </c>
      <c r="Z35">
        <v>6640.08</v>
      </c>
      <c r="AA35">
        <v>6640.08</v>
      </c>
      <c r="AB35">
        <v>6640.08</v>
      </c>
      <c r="AC35">
        <v>6640.08</v>
      </c>
      <c r="AD35">
        <v>6640.08</v>
      </c>
      <c r="AE35">
        <v>6640.08</v>
      </c>
      <c r="AF35">
        <v>6640.08</v>
      </c>
    </row>
    <row r="36" spans="1:32" x14ac:dyDescent="0.2">
      <c r="A36" t="s">
        <v>311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312</v>
      </c>
      <c r="B37">
        <v>7305.84</v>
      </c>
      <c r="C37">
        <v>7742.31</v>
      </c>
      <c r="D37">
        <v>7305.84</v>
      </c>
      <c r="E37">
        <v>7305.84</v>
      </c>
      <c r="F37">
        <v>7305.84</v>
      </c>
      <c r="G37">
        <v>7305.84</v>
      </c>
      <c r="H37">
        <v>7305.84</v>
      </c>
      <c r="I37">
        <v>7305.84</v>
      </c>
      <c r="J37">
        <v>7305.84</v>
      </c>
      <c r="K37">
        <v>7305.84</v>
      </c>
      <c r="L37">
        <v>7305.84</v>
      </c>
      <c r="M37">
        <v>7305.84</v>
      </c>
      <c r="N37">
        <v>7305.84</v>
      </c>
      <c r="O37">
        <v>7305.84</v>
      </c>
      <c r="P37">
        <v>7305.84</v>
      </c>
      <c r="Q37">
        <v>7305.84</v>
      </c>
      <c r="R37">
        <v>7305.84</v>
      </c>
      <c r="S37">
        <v>7305.84</v>
      </c>
      <c r="T37">
        <v>7305.84</v>
      </c>
      <c r="U37">
        <v>7305.84</v>
      </c>
      <c r="V37">
        <v>7305.84</v>
      </c>
      <c r="W37">
        <v>7305.84</v>
      </c>
      <c r="X37">
        <v>7305.84</v>
      </c>
      <c r="Y37">
        <v>7305.84</v>
      </c>
      <c r="Z37">
        <v>7305.84</v>
      </c>
      <c r="AA37">
        <v>7305.84</v>
      </c>
      <c r="AB37">
        <v>7305.84</v>
      </c>
      <c r="AC37">
        <v>7305.84</v>
      </c>
      <c r="AD37">
        <v>7305.84</v>
      </c>
      <c r="AE37">
        <v>7305.84</v>
      </c>
      <c r="AF37">
        <v>7305.84</v>
      </c>
    </row>
    <row r="38" spans="1:32" x14ac:dyDescent="0.2">
      <c r="A38" t="s">
        <v>313</v>
      </c>
      <c r="B38">
        <v>4309.92</v>
      </c>
      <c r="C38">
        <v>4309.92</v>
      </c>
      <c r="D38">
        <v>4309.92</v>
      </c>
      <c r="E38">
        <v>4309.92</v>
      </c>
      <c r="F38">
        <v>4309.92</v>
      </c>
      <c r="G38">
        <v>4309.92</v>
      </c>
      <c r="H38">
        <v>4309.92</v>
      </c>
      <c r="I38">
        <v>4309.92</v>
      </c>
      <c r="J38">
        <v>4309.92</v>
      </c>
      <c r="K38">
        <v>4309.92</v>
      </c>
      <c r="L38">
        <v>4309.92</v>
      </c>
      <c r="M38">
        <v>4309.92</v>
      </c>
      <c r="N38">
        <v>4309.92</v>
      </c>
      <c r="O38">
        <v>4309.92</v>
      </c>
      <c r="P38">
        <v>4309.92</v>
      </c>
      <c r="Q38">
        <v>4309.92</v>
      </c>
      <c r="R38">
        <v>4309.92</v>
      </c>
      <c r="S38">
        <v>4309.92</v>
      </c>
      <c r="T38">
        <v>4309.92</v>
      </c>
      <c r="U38">
        <v>4309.92</v>
      </c>
      <c r="V38">
        <v>4309.92</v>
      </c>
      <c r="W38">
        <v>4309.92</v>
      </c>
      <c r="X38">
        <v>4309.92</v>
      </c>
      <c r="Y38">
        <v>4309.92</v>
      </c>
      <c r="Z38">
        <v>4309.92</v>
      </c>
      <c r="AA38">
        <v>4309.92</v>
      </c>
      <c r="AB38">
        <v>4309.92</v>
      </c>
      <c r="AC38">
        <v>4309.92</v>
      </c>
      <c r="AD38">
        <v>4309.92</v>
      </c>
      <c r="AE38">
        <v>4309.92</v>
      </c>
      <c r="AF38">
        <v>4309.92</v>
      </c>
    </row>
    <row r="39" spans="1:32" x14ac:dyDescent="0.2">
      <c r="A39" t="s">
        <v>314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315</v>
      </c>
      <c r="B40">
        <v>4309.92</v>
      </c>
      <c r="C40">
        <v>4362.4799999999996</v>
      </c>
      <c r="D40">
        <v>4406.28</v>
      </c>
      <c r="E40">
        <v>4450.08</v>
      </c>
      <c r="F40">
        <v>4485.12</v>
      </c>
      <c r="G40">
        <v>4528.92</v>
      </c>
      <c r="H40">
        <v>4563.96</v>
      </c>
      <c r="I40">
        <v>4599</v>
      </c>
      <c r="J40">
        <v>4634.04</v>
      </c>
      <c r="K40">
        <v>4669.08</v>
      </c>
      <c r="L40">
        <v>4704.12</v>
      </c>
      <c r="M40">
        <v>4712.88</v>
      </c>
      <c r="N40">
        <v>4730.3999999999996</v>
      </c>
      <c r="O40">
        <v>4747.92</v>
      </c>
      <c r="P40">
        <v>4756.68</v>
      </c>
      <c r="Q40">
        <v>4774.2</v>
      </c>
      <c r="R40">
        <v>4782.96</v>
      </c>
      <c r="S40">
        <v>4800.4799999999996</v>
      </c>
      <c r="T40">
        <v>4809.24</v>
      </c>
      <c r="U40">
        <v>4826.76</v>
      </c>
      <c r="V40">
        <v>4835.5200000000004</v>
      </c>
      <c r="W40">
        <v>4853.04</v>
      </c>
      <c r="X40">
        <v>4861.8</v>
      </c>
      <c r="Y40">
        <v>4879.32</v>
      </c>
      <c r="Z40">
        <v>4888.08</v>
      </c>
      <c r="AA40">
        <v>4896.84</v>
      </c>
      <c r="AB40">
        <v>4914.3599999999997</v>
      </c>
      <c r="AC40">
        <v>4923.12</v>
      </c>
      <c r="AD40">
        <v>4931.88</v>
      </c>
      <c r="AE40">
        <v>4949.3999999999996</v>
      </c>
      <c r="AF40">
        <v>4958.16</v>
      </c>
    </row>
    <row r="41" spans="1:32" x14ac:dyDescent="0.2">
      <c r="A41" t="s">
        <v>316</v>
      </c>
      <c r="B41">
        <v>490.56</v>
      </c>
      <c r="C41">
        <v>490.56</v>
      </c>
      <c r="D41">
        <v>490.56</v>
      </c>
      <c r="E41">
        <v>490.56</v>
      </c>
      <c r="F41">
        <v>490.56</v>
      </c>
      <c r="G41">
        <v>490.56</v>
      </c>
      <c r="H41">
        <v>490.56</v>
      </c>
      <c r="I41">
        <v>490.56</v>
      </c>
      <c r="J41">
        <v>490.56</v>
      </c>
      <c r="K41">
        <v>490.56</v>
      </c>
      <c r="L41">
        <v>490.56</v>
      </c>
      <c r="M41">
        <v>490.56</v>
      </c>
      <c r="N41">
        <v>490.56</v>
      </c>
      <c r="O41">
        <v>490.56</v>
      </c>
      <c r="P41">
        <v>490.56</v>
      </c>
      <c r="Q41">
        <v>490.56</v>
      </c>
      <c r="R41">
        <v>490.56</v>
      </c>
      <c r="S41">
        <v>490.56</v>
      </c>
      <c r="T41">
        <v>490.56</v>
      </c>
      <c r="U41">
        <v>490.56</v>
      </c>
      <c r="V41">
        <v>490.56</v>
      </c>
      <c r="W41">
        <v>490.56</v>
      </c>
      <c r="X41">
        <v>490.56</v>
      </c>
      <c r="Y41">
        <v>490.56</v>
      </c>
      <c r="Z41">
        <v>490.56</v>
      </c>
      <c r="AA41">
        <v>490.56</v>
      </c>
      <c r="AB41">
        <v>490.56</v>
      </c>
      <c r="AC41">
        <v>490.56</v>
      </c>
      <c r="AD41">
        <v>490.56</v>
      </c>
      <c r="AE41">
        <v>490.56</v>
      </c>
      <c r="AF41">
        <v>490.56</v>
      </c>
    </row>
    <row r="42" spans="1:32" x14ac:dyDescent="0.2">
      <c r="A42" t="s">
        <v>317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318</v>
      </c>
      <c r="B43">
        <v>543.12</v>
      </c>
      <c r="C43">
        <v>543.12</v>
      </c>
      <c r="D43">
        <v>543.12</v>
      </c>
      <c r="E43">
        <v>543.12</v>
      </c>
      <c r="F43">
        <v>543.12</v>
      </c>
      <c r="G43">
        <v>543.12</v>
      </c>
      <c r="H43">
        <v>543.12</v>
      </c>
      <c r="I43">
        <v>543.12</v>
      </c>
      <c r="J43">
        <v>543.12</v>
      </c>
      <c r="K43">
        <v>543.12</v>
      </c>
      <c r="L43">
        <v>543.12</v>
      </c>
      <c r="M43">
        <v>543.12</v>
      </c>
      <c r="N43">
        <v>543.12</v>
      </c>
      <c r="O43">
        <v>543.12</v>
      </c>
      <c r="P43">
        <v>543.12</v>
      </c>
      <c r="Q43">
        <v>543.12</v>
      </c>
      <c r="R43">
        <v>543.12</v>
      </c>
      <c r="S43">
        <v>543.12</v>
      </c>
      <c r="T43">
        <v>543.12</v>
      </c>
      <c r="U43">
        <v>543.12</v>
      </c>
      <c r="V43">
        <v>543.12</v>
      </c>
      <c r="W43">
        <v>543.12</v>
      </c>
      <c r="X43">
        <v>543.12</v>
      </c>
      <c r="Y43">
        <v>543.12</v>
      </c>
      <c r="Z43">
        <v>543.12</v>
      </c>
      <c r="AA43">
        <v>543.12</v>
      </c>
      <c r="AB43">
        <v>543.12</v>
      </c>
      <c r="AC43">
        <v>543.12</v>
      </c>
      <c r="AD43">
        <v>543.12</v>
      </c>
      <c r="AE43">
        <v>543.12</v>
      </c>
      <c r="AF43">
        <v>543.12</v>
      </c>
    </row>
    <row r="44" spans="1:32" x14ac:dyDescent="0.2">
      <c r="A44" t="s">
        <v>319</v>
      </c>
      <c r="B44">
        <v>490.56</v>
      </c>
      <c r="C44">
        <v>490.56</v>
      </c>
      <c r="D44">
        <v>490.56</v>
      </c>
      <c r="E44">
        <v>490.56</v>
      </c>
      <c r="F44">
        <v>490.56</v>
      </c>
      <c r="G44">
        <v>490.56</v>
      </c>
      <c r="H44">
        <v>490.56</v>
      </c>
      <c r="I44">
        <v>490.56</v>
      </c>
      <c r="J44">
        <v>490.56</v>
      </c>
      <c r="K44">
        <v>490.56</v>
      </c>
      <c r="L44">
        <v>490.56</v>
      </c>
      <c r="M44">
        <v>490.56</v>
      </c>
      <c r="N44">
        <v>490.56</v>
      </c>
      <c r="O44">
        <v>490.56</v>
      </c>
      <c r="P44">
        <v>490.56</v>
      </c>
      <c r="Q44">
        <v>490.56</v>
      </c>
      <c r="R44">
        <v>490.56</v>
      </c>
      <c r="S44">
        <v>490.56</v>
      </c>
      <c r="T44">
        <v>490.56</v>
      </c>
      <c r="U44">
        <v>490.56</v>
      </c>
      <c r="V44">
        <v>490.56</v>
      </c>
      <c r="W44">
        <v>490.56</v>
      </c>
      <c r="X44">
        <v>490.56</v>
      </c>
      <c r="Y44">
        <v>490.56</v>
      </c>
      <c r="Z44">
        <v>490.56</v>
      </c>
      <c r="AA44">
        <v>490.56</v>
      </c>
      <c r="AB44">
        <v>490.56</v>
      </c>
      <c r="AC44">
        <v>490.56</v>
      </c>
      <c r="AD44">
        <v>490.56</v>
      </c>
      <c r="AE44">
        <v>490.56</v>
      </c>
      <c r="AF44">
        <v>490.56</v>
      </c>
    </row>
    <row r="45" spans="1:32" x14ac:dyDescent="0.2">
      <c r="A45" t="s">
        <v>320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321</v>
      </c>
      <c r="B46">
        <v>543.12</v>
      </c>
      <c r="C46">
        <v>543.12</v>
      </c>
      <c r="D46">
        <v>543.12</v>
      </c>
      <c r="E46">
        <v>543.12</v>
      </c>
      <c r="F46">
        <v>543.12</v>
      </c>
      <c r="G46">
        <v>543.12</v>
      </c>
      <c r="H46">
        <v>543.12</v>
      </c>
      <c r="I46">
        <v>543.12</v>
      </c>
      <c r="J46">
        <v>543.12</v>
      </c>
      <c r="K46">
        <v>543.12</v>
      </c>
      <c r="L46">
        <v>543.12</v>
      </c>
      <c r="M46">
        <v>543.12</v>
      </c>
      <c r="N46">
        <v>543.12</v>
      </c>
      <c r="O46">
        <v>543.12</v>
      </c>
      <c r="P46">
        <v>543.12</v>
      </c>
      <c r="Q46">
        <v>543.12</v>
      </c>
      <c r="R46">
        <v>543.12</v>
      </c>
      <c r="S46">
        <v>543.12</v>
      </c>
      <c r="T46">
        <v>543.12</v>
      </c>
      <c r="U46">
        <v>543.12</v>
      </c>
      <c r="V46">
        <v>543.12</v>
      </c>
      <c r="W46">
        <v>543.12</v>
      </c>
      <c r="X46">
        <v>543.12</v>
      </c>
      <c r="Y46">
        <v>543.12</v>
      </c>
      <c r="Z46">
        <v>543.12</v>
      </c>
      <c r="AA46">
        <v>543.12</v>
      </c>
      <c r="AB46">
        <v>543.12</v>
      </c>
      <c r="AC46">
        <v>543.12</v>
      </c>
      <c r="AD46">
        <v>543.12</v>
      </c>
      <c r="AE46">
        <v>543.12</v>
      </c>
      <c r="AF46">
        <v>543.12</v>
      </c>
    </row>
    <row r="47" spans="1:32" x14ac:dyDescent="0.2">
      <c r="A47" t="s">
        <v>322</v>
      </c>
      <c r="B47">
        <v>7884</v>
      </c>
      <c r="C47">
        <v>7884</v>
      </c>
      <c r="D47">
        <v>7884</v>
      </c>
      <c r="E47">
        <v>7884</v>
      </c>
      <c r="F47">
        <v>7884</v>
      </c>
      <c r="G47">
        <v>7884</v>
      </c>
      <c r="H47">
        <v>7884</v>
      </c>
      <c r="I47">
        <v>7884</v>
      </c>
      <c r="J47">
        <v>7884</v>
      </c>
      <c r="K47">
        <v>7884</v>
      </c>
      <c r="L47">
        <v>7884</v>
      </c>
      <c r="M47">
        <v>7884</v>
      </c>
      <c r="N47">
        <v>7884</v>
      </c>
      <c r="O47">
        <v>7884</v>
      </c>
      <c r="P47">
        <v>7884</v>
      </c>
      <c r="Q47">
        <v>7884</v>
      </c>
      <c r="R47">
        <v>7884</v>
      </c>
      <c r="S47">
        <v>7884</v>
      </c>
      <c r="T47">
        <v>7884</v>
      </c>
      <c r="U47">
        <v>7884</v>
      </c>
      <c r="V47">
        <v>7884</v>
      </c>
      <c r="W47">
        <v>7884</v>
      </c>
      <c r="X47">
        <v>7884</v>
      </c>
      <c r="Y47">
        <v>7884</v>
      </c>
      <c r="Z47">
        <v>7884</v>
      </c>
      <c r="AA47">
        <v>7884</v>
      </c>
      <c r="AB47">
        <v>7884</v>
      </c>
      <c r="AC47">
        <v>7884</v>
      </c>
      <c r="AD47">
        <v>7884</v>
      </c>
      <c r="AE47">
        <v>7884</v>
      </c>
      <c r="AF47">
        <v>7884</v>
      </c>
    </row>
    <row r="48" spans="1:32" x14ac:dyDescent="0.2">
      <c r="A48" t="s">
        <v>323</v>
      </c>
      <c r="B48">
        <v>7884</v>
      </c>
      <c r="C48">
        <v>7884</v>
      </c>
      <c r="D48">
        <v>7884</v>
      </c>
      <c r="E48">
        <v>7884</v>
      </c>
      <c r="F48">
        <v>7884</v>
      </c>
      <c r="G48">
        <v>7884</v>
      </c>
      <c r="H48">
        <v>7884</v>
      </c>
      <c r="I48">
        <v>7884</v>
      </c>
      <c r="J48">
        <v>7884</v>
      </c>
      <c r="K48">
        <v>7884</v>
      </c>
      <c r="L48">
        <v>7884</v>
      </c>
      <c r="M48">
        <v>7884</v>
      </c>
      <c r="N48">
        <v>7884</v>
      </c>
      <c r="O48">
        <v>7884</v>
      </c>
      <c r="P48">
        <v>7884</v>
      </c>
      <c r="Q48">
        <v>7884</v>
      </c>
      <c r="R48">
        <v>7884</v>
      </c>
      <c r="S48">
        <v>7884</v>
      </c>
      <c r="T48">
        <v>7884</v>
      </c>
      <c r="U48">
        <v>7884</v>
      </c>
      <c r="V48">
        <v>7884</v>
      </c>
      <c r="W48">
        <v>7884</v>
      </c>
      <c r="X48">
        <v>7884</v>
      </c>
      <c r="Y48">
        <v>7884</v>
      </c>
      <c r="Z48">
        <v>7884</v>
      </c>
      <c r="AA48">
        <v>7884</v>
      </c>
      <c r="AB48">
        <v>7884</v>
      </c>
      <c r="AC48">
        <v>7884</v>
      </c>
      <c r="AD48">
        <v>7884</v>
      </c>
      <c r="AE48">
        <v>7884</v>
      </c>
      <c r="AF48">
        <v>7884</v>
      </c>
    </row>
    <row r="49" spans="1:32" x14ac:dyDescent="0.2">
      <c r="A49" t="s">
        <v>324</v>
      </c>
      <c r="B49">
        <v>7884</v>
      </c>
      <c r="C49">
        <v>7884</v>
      </c>
      <c r="D49">
        <v>7884</v>
      </c>
      <c r="E49">
        <v>7884</v>
      </c>
      <c r="F49">
        <v>7884</v>
      </c>
      <c r="G49">
        <v>7884</v>
      </c>
      <c r="H49">
        <v>7884</v>
      </c>
      <c r="I49">
        <v>7884</v>
      </c>
      <c r="J49">
        <v>7884</v>
      </c>
      <c r="K49">
        <v>7884</v>
      </c>
      <c r="L49">
        <v>7884</v>
      </c>
      <c r="M49">
        <v>7884</v>
      </c>
      <c r="N49">
        <v>7884</v>
      </c>
      <c r="O49">
        <v>7884</v>
      </c>
      <c r="P49">
        <v>7884</v>
      </c>
      <c r="Q49">
        <v>7884</v>
      </c>
      <c r="R49">
        <v>7884</v>
      </c>
      <c r="S49">
        <v>7884</v>
      </c>
      <c r="T49">
        <v>7884</v>
      </c>
      <c r="U49">
        <v>7884</v>
      </c>
      <c r="V49">
        <v>7884</v>
      </c>
      <c r="W49">
        <v>7884</v>
      </c>
      <c r="X49">
        <v>7884</v>
      </c>
      <c r="Y49">
        <v>7884</v>
      </c>
      <c r="Z49">
        <v>7884</v>
      </c>
      <c r="AA49">
        <v>7884</v>
      </c>
      <c r="AB49">
        <v>7884</v>
      </c>
      <c r="AC49">
        <v>7884</v>
      </c>
      <c r="AD49">
        <v>7884</v>
      </c>
      <c r="AE49">
        <v>7884</v>
      </c>
      <c r="AF49">
        <v>7884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2634-68D9-4A99-92F0-3688E66AA3CB}">
  <dimension ref="A1:C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3.1640625" customWidth="1"/>
  </cols>
  <sheetData>
    <row r="1" spans="1:3" x14ac:dyDescent="0.2">
      <c r="B1">
        <v>2020</v>
      </c>
      <c r="C1">
        <v>2021</v>
      </c>
    </row>
    <row r="2" spans="1:3" x14ac:dyDescent="0.2">
      <c r="A2" t="s">
        <v>325</v>
      </c>
      <c r="B2">
        <f>'STEO 7d'!J9/(SUM(Capacity!B2*'Capacity Factors'!B2,Capacity!B13*'Capacity Factors'!B35))*1000*B5</f>
        <v>0.82698597951865516</v>
      </c>
      <c r="C2">
        <f>'STEO 7d'!K9/(SUM(Capacity!C2*'Capacity Factors'!C2,Capacity!C13*'Capacity Factors'!C35))*1000</f>
        <v>1.0000010797726713</v>
      </c>
    </row>
    <row r="3" spans="1:3" x14ac:dyDescent="0.2">
      <c r="A3" t="s">
        <v>18</v>
      </c>
      <c r="B3">
        <f>'STEO 7d'!J9/(SUM(Capacity!B2*'Capacity Factors'!B2,Capacity!B13*'Capacity Factors'!B35))*1000*B6</f>
        <v>0.71523111742153966</v>
      </c>
      <c r="C3">
        <f>C2</f>
        <v>1.0000010797726713</v>
      </c>
    </row>
    <row r="5" spans="1:3" ht="48" x14ac:dyDescent="0.2">
      <c r="A5" s="5" t="s">
        <v>350</v>
      </c>
      <c r="B5">
        <v>0.92500000000000004</v>
      </c>
    </row>
    <row r="6" spans="1:3" ht="48" x14ac:dyDescent="0.2">
      <c r="A6" s="5" t="s">
        <v>350</v>
      </c>
      <c r="B6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F2" sqref="F2:I17"/>
    </sheetView>
  </sheetViews>
  <sheetFormatPr baseColWidth="10" defaultColWidth="8.83203125" defaultRowHeight="15" x14ac:dyDescent="0.2"/>
  <cols>
    <col min="1" max="1" width="23.5" customWidth="1"/>
    <col min="2" max="2" width="11.33203125" customWidth="1"/>
  </cols>
  <sheetData>
    <row r="1" spans="1:37" ht="32" x14ac:dyDescent="0.2">
      <c r="A1" s="3" t="s">
        <v>25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AK9" si="0">$B2</f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ref="J3:R3" si="1">$B3</f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</row>
    <row r="4" spans="1:37" x14ac:dyDescent="0.2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</row>
    <row r="5" spans="1:37" x14ac:dyDescent="0.2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</row>
    <row r="6" spans="1:37" x14ac:dyDescent="0.2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</row>
    <row r="7" spans="1:37" x14ac:dyDescent="0.2">
      <c r="A7" t="s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2">
      <c r="A8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</row>
    <row r="9" spans="1:37" x14ac:dyDescent="0.2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G9:AK14" si="2">$B9</f>
        <v>0</v>
      </c>
      <c r="AK9">
        <f t="shared" si="2"/>
        <v>0</v>
      </c>
    </row>
    <row r="10" spans="1:37" x14ac:dyDescent="0.2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>
        <f t="shared" si="2"/>
        <v>0</v>
      </c>
    </row>
    <row r="11" spans="1:37" x14ac:dyDescent="0.2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</row>
    <row r="12" spans="1:37" x14ac:dyDescent="0.2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</row>
    <row r="13" spans="1:3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</row>
    <row r="14" spans="1:37" x14ac:dyDescent="0.2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  <c r="AF14">
        <f t="shared" si="2"/>
        <v>0</v>
      </c>
      <c r="AG14">
        <f t="shared" si="2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>
        <f t="shared" si="2"/>
        <v>0</v>
      </c>
    </row>
    <row r="15" spans="1:37" x14ac:dyDescent="0.2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ref="G17:AK17" si="3">I17</f>
        <v>0</v>
      </c>
      <c r="K17">
        <f t="shared" si="3"/>
        <v>0</v>
      </c>
      <c r="L17">
        <f t="shared" si="3"/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0</v>
      </c>
      <c r="Z17">
        <f t="shared" si="3"/>
        <v>0</v>
      </c>
      <c r="AA17">
        <f t="shared" si="3"/>
        <v>0</v>
      </c>
      <c r="AB17">
        <f t="shared" si="3"/>
        <v>0</v>
      </c>
      <c r="AC17">
        <f t="shared" si="3"/>
        <v>0</v>
      </c>
      <c r="AD17">
        <f t="shared" si="3"/>
        <v>0</v>
      </c>
      <c r="AE17">
        <f t="shared" si="3"/>
        <v>0</v>
      </c>
      <c r="AF17">
        <f t="shared" si="3"/>
        <v>0</v>
      </c>
      <c r="AG17">
        <f t="shared" si="3"/>
        <v>0</v>
      </c>
      <c r="AH17">
        <f t="shared" si="3"/>
        <v>0</v>
      </c>
      <c r="AI17">
        <f t="shared" si="3"/>
        <v>0</v>
      </c>
      <c r="AJ17">
        <f t="shared" si="3"/>
        <v>0</v>
      </c>
      <c r="AK17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STEO 7d</vt:lpstr>
      <vt:lpstr>Capacity</vt:lpstr>
      <vt:lpstr>Capacity Factors</vt:lpstr>
      <vt:lpstr>2020 Calculations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2025-08-16T03:21:12Z</dcterms:modified>
</cp:coreProperties>
</file>