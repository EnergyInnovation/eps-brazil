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elec/MPCbS/"/>
    </mc:Choice>
  </mc:AlternateContent>
  <xr:revisionPtr revIDLastSave="0" documentId="13_ncr:1_{3287EE27-3CDF-6046-A158-DF9E360CD9AB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About" sheetId="1" r:id="rId1"/>
    <sheet name="Data" sheetId="2" r:id="rId2"/>
    <sheet name="MPCb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0" i="3"/>
  <c r="B9" i="3"/>
  <c r="B8" i="3"/>
  <c r="B7" i="3"/>
  <c r="B14" i="3"/>
  <c r="B6" i="3"/>
  <c r="B5" i="3"/>
  <c r="B12" i="3" l="1"/>
  <c r="B11" i="3"/>
  <c r="B4" i="3"/>
  <c r="B3" i="3"/>
  <c r="B2" i="3"/>
  <c r="B13" i="3" s="1"/>
  <c r="B16" i="3" l="1"/>
  <c r="B15" i="3"/>
</calcChain>
</file>

<file path=xl/sharedStrings.xml><?xml version="1.0" encoding="utf-8"?>
<sst xmlns="http://schemas.openxmlformats.org/spreadsheetml/2006/main" count="43" uniqueCount="32">
  <si>
    <t>Source:</t>
  </si>
  <si>
    <t>Potential Capacity (MW)</t>
  </si>
  <si>
    <t>hydro</t>
  </si>
  <si>
    <t>biomass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</si>
  <si>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</si>
  <si>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</si>
  <si>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</si>
  <si>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</si>
  <si>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</si>
  <si>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</si>
  <si>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natural gas nonpeaker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</si>
  <si>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</si>
  <si>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</si>
  <si>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</si>
  <si>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</si>
  <si>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</si>
  <si>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</si>
  <si>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</si>
  <si>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</si>
  <si>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</si>
  <si>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</si>
  <si>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</si>
  <si>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These maximums reflect the available resource potential for hydro, wind, solar, and biomass power.</t>
  </si>
  <si>
    <t>Maximums for coal, natural gas, and nuclear are not imposed, as these power types are unlikely to</t>
  </si>
  <si>
    <t>be geographically resource-constrained. (An arbitrarily high number is chosen here, to ensure</t>
  </si>
  <si>
    <t>this limit doesn't come into play for these three electricity sources.)</t>
  </si>
  <si>
    <t>https://www.epe.gov.br/sites-pt/publicacoes-dados-abertos/publicacoes/PublicacoesArquivos/publicacao-227/topico-416/NT04%20PR_RecursosEnergeticos%202050.pdf</t>
  </si>
  <si>
    <t>https://app.powerbi.com/view?r=eyJrIjoiNjc4OGYyYjQtYWM2ZC00YjllLWJlYmEtYzdkNTQ1MTc1NjM2IiwidCI6IjQwZDZmOWI4LWVjYTctNDZhMi05MmQ0LWVhNGU5YzAxNzBlMSIsImMiOjR9</t>
  </si>
  <si>
    <t>Installed capacity</t>
  </si>
  <si>
    <t>Potential capacity</t>
  </si>
  <si>
    <t>National Energy Plan 2050</t>
  </si>
  <si>
    <t>EPE - Empresa de Pesquisa Energética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</si>
</sst>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1" fontId="0" fillId="0" borderId="0" xfId="0" applyNumberFormat="1"/>
    <xf numFmtId="11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e.gov.br/sites-pt/publicacoes-dados-abertos/publicacoes/PublicacoesArquivos/publicacao-227/topico-416/NT04%20PR_RecursosEnergeticos%202050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2" sqref="A12"/>
    </sheetView>
  </sheetViews>
  <sheetFormatPr baseColWidth="10" defaultColWidth="8.83203125" defaultRowHeight="15" x14ac:dyDescent="0.2"/>
  <cols>
    <col min="2" max="2" width="60.83203125" customWidth="1"/>
  </cols>
  <sheetData>
    <row r="1" spans="1:2" x14ac:dyDescent="0.2">
      <c r="A1" s="1" t="s">
        <v>6</v>
      </c>
    </row>
    <row r="3" spans="1:2" x14ac:dyDescent="0.2">
      <c r="A3" s="1" t="s">
        <v>0</v>
      </c>
      <c r="B3" s="2" t="s">
        <v>30</v>
      </c>
    </row>
    <row r="4" spans="1:2" x14ac:dyDescent="0.2">
      <c r="B4" t="s">
        <v>31</v>
      </c>
    </row>
    <row r="5" spans="1:2" x14ac:dyDescent="0.2">
      <c r="B5" s="3">
        <v>2018</v>
      </c>
    </row>
    <row r="6" spans="1:2" x14ac:dyDescent="0.2">
      <c r="B6" s="4" t="s">
        <v>26</v>
      </c>
    </row>
    <row r="8" spans="1:2" x14ac:dyDescent="0.2">
      <c r="A8" s="1" t="s">
        <v>21</v>
      </c>
    </row>
    <row r="9" spans="1:2" x14ac:dyDescent="0.2">
      <c r="A9" t="s">
        <v>22</v>
      </c>
    </row>
    <row r="10" spans="1:2" x14ac:dyDescent="0.2">
      <c r="A10" t="s">
        <v>23</v>
      </c>
    </row>
    <row r="11" spans="1:2" x14ac:dyDescent="0.2">
      <c r="A11" t="s">
        <v>24</v>
      </c>
    </row>
    <row r="12" spans="1:2" x14ac:dyDescent="0.2">
      <c r="A12" t="s">
        <v>25</v>
      </c>
    </row>
  </sheetData>
  <hyperlinks>
    <hyperlink ref="B6" r:id="rId1" xr:uid="{ECCBFAB6-316C-4985-BA85-6CA058C03D6E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3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35.6640625" customWidth="1"/>
    <col min="2" max="3" width="24.6640625" customWidth="1"/>
    <col min="5" max="5" width="71" customWidth="1"/>
    <col min="6" max="6" width="16.33203125" customWidth="1"/>
    <col min="7" max="7" width="17" customWidth="1"/>
  </cols>
  <sheetData>
    <row r="2" spans="1:4" x14ac:dyDescent="0.2">
      <c r="A2" s="2" t="s">
        <v>8</v>
      </c>
      <c r="B2" s="2" t="s">
        <v>1</v>
      </c>
      <c r="C2" s="2" t="s">
        <v>1</v>
      </c>
      <c r="D2" s="2"/>
    </row>
    <row r="3" spans="1:4" x14ac:dyDescent="0.2">
      <c r="A3" t="s">
        <v>2</v>
      </c>
      <c r="B3" s="6">
        <v>1760000</v>
      </c>
      <c r="C3" s="6">
        <v>1760000</v>
      </c>
    </row>
    <row r="4" spans="1:4" x14ac:dyDescent="0.2">
      <c r="A4" t="s">
        <v>16</v>
      </c>
      <c r="B4" s="6">
        <v>1790000</v>
      </c>
      <c r="C4" s="6">
        <v>1790000</v>
      </c>
      <c r="D4" s="4"/>
    </row>
    <row r="5" spans="1:4" x14ac:dyDescent="0.2">
      <c r="A5" t="s">
        <v>17</v>
      </c>
      <c r="B5" s="6">
        <v>5140000</v>
      </c>
      <c r="C5" s="6">
        <v>5140000</v>
      </c>
    </row>
    <row r="6" spans="1:4" x14ac:dyDescent="0.2">
      <c r="A6" t="s">
        <v>4</v>
      </c>
      <c r="B6" s="6">
        <v>3400000</v>
      </c>
      <c r="C6" s="6">
        <v>3400000</v>
      </c>
    </row>
    <row r="7" spans="1:4" x14ac:dyDescent="0.2">
      <c r="A7" t="s">
        <v>5</v>
      </c>
      <c r="B7" s="6">
        <v>1400000</v>
      </c>
      <c r="C7" s="6">
        <v>1400000</v>
      </c>
    </row>
    <row r="8" spans="1:4" x14ac:dyDescent="0.2">
      <c r="A8" t="s">
        <v>3</v>
      </c>
      <c r="B8" s="6">
        <v>2000000</v>
      </c>
      <c r="C8" s="6">
        <v>2000000</v>
      </c>
    </row>
    <row r="9" spans="1:4" x14ac:dyDescent="0.2">
      <c r="A9" t="s">
        <v>11</v>
      </c>
      <c r="B9" s="6">
        <v>0</v>
      </c>
      <c r="C9" s="6">
        <v>0</v>
      </c>
    </row>
    <row r="10" spans="1:4" x14ac:dyDescent="0.2">
      <c r="A10" t="s">
        <v>20</v>
      </c>
      <c r="B10" s="6">
        <v>0</v>
      </c>
      <c r="C10" s="6">
        <v>0</v>
      </c>
    </row>
    <row r="12" spans="1:4" x14ac:dyDescent="0.2">
      <c r="A12" s="5" t="s">
        <v>28</v>
      </c>
      <c r="B12" t="s">
        <v>27</v>
      </c>
    </row>
    <row r="13" spans="1:4" x14ac:dyDescent="0.2">
      <c r="A13" s="5" t="s">
        <v>29</v>
      </c>
      <c r="B1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2" customWidth="1"/>
    <col min="2" max="2" width="27.33203125" customWidth="1"/>
  </cols>
  <sheetData>
    <row r="1" spans="1:2" x14ac:dyDescent="0.2">
      <c r="A1" s="1" t="s">
        <v>8</v>
      </c>
      <c r="B1" s="1" t="s">
        <v>9</v>
      </c>
    </row>
    <row r="2" spans="1:2" x14ac:dyDescent="0.2">
      <c r="A2" t="s">
        <v>15</v>
      </c>
      <c r="B2" s="6">
        <f>9*10^12</f>
        <v>9000000000000</v>
      </c>
    </row>
    <row r="3" spans="1:2" x14ac:dyDescent="0.2">
      <c r="A3" t="s">
        <v>10</v>
      </c>
      <c r="B3" s="6">
        <f>9*10^12</f>
        <v>9000000000000</v>
      </c>
    </row>
    <row r="4" spans="1:2" x14ac:dyDescent="0.2">
      <c r="A4" t="s">
        <v>7</v>
      </c>
      <c r="B4" s="6">
        <f>9*10^12</f>
        <v>9000000000000</v>
      </c>
    </row>
    <row r="5" spans="1:2" x14ac:dyDescent="0.2">
      <c r="A5" t="s">
        <v>2</v>
      </c>
      <c r="B5" s="7">
        <f>Data!C3</f>
        <v>1760000</v>
      </c>
    </row>
    <row r="6" spans="1:2" x14ac:dyDescent="0.2">
      <c r="A6" t="s">
        <v>16</v>
      </c>
      <c r="B6" s="7">
        <f>Data!C4</f>
        <v>1790000</v>
      </c>
    </row>
    <row r="7" spans="1:2" x14ac:dyDescent="0.2">
      <c r="A7" t="s">
        <v>4</v>
      </c>
      <c r="B7" s="7">
        <f>Data!C6</f>
        <v>3400000</v>
      </c>
    </row>
    <row r="8" spans="1:2" x14ac:dyDescent="0.2">
      <c r="A8" t="s">
        <v>5</v>
      </c>
      <c r="B8" s="7">
        <f>Data!C7</f>
        <v>1400000</v>
      </c>
    </row>
    <row r="9" spans="1:2" x14ac:dyDescent="0.2">
      <c r="A9" t="s">
        <v>3</v>
      </c>
      <c r="B9" s="7">
        <f>Data!C8</f>
        <v>2000000</v>
      </c>
    </row>
    <row r="10" spans="1:2" x14ac:dyDescent="0.2">
      <c r="A10" t="s">
        <v>11</v>
      </c>
      <c r="B10" s="7">
        <f>Data!C9</f>
        <v>0</v>
      </c>
    </row>
    <row r="11" spans="1:2" x14ac:dyDescent="0.2">
      <c r="A11" t="s">
        <v>12</v>
      </c>
      <c r="B11" s="6">
        <f>9*10^12</f>
        <v>9000000000000</v>
      </c>
    </row>
    <row r="12" spans="1:2" x14ac:dyDescent="0.2">
      <c r="A12" t="s">
        <v>13</v>
      </c>
      <c r="B12" s="6">
        <f>9*10^12</f>
        <v>9000000000000</v>
      </c>
    </row>
    <row r="13" spans="1:2" x14ac:dyDescent="0.2">
      <c r="A13" t="s">
        <v>14</v>
      </c>
      <c r="B13" s="6">
        <f>B2</f>
        <v>9000000000000</v>
      </c>
    </row>
    <row r="14" spans="1:2" x14ac:dyDescent="0.2">
      <c r="A14" t="s">
        <v>17</v>
      </c>
      <c r="B14" s="7">
        <f>Data!C5</f>
        <v>5140000</v>
      </c>
    </row>
    <row r="15" spans="1:2" x14ac:dyDescent="0.2">
      <c r="A15" t="s">
        <v>18</v>
      </c>
      <c r="B15" s="6">
        <f>B11</f>
        <v>9000000000000</v>
      </c>
    </row>
    <row r="16" spans="1:2" x14ac:dyDescent="0.2">
      <c r="A16" t="s">
        <v>19</v>
      </c>
      <c r="B16" s="6">
        <f>B11</f>
        <v>9000000000000</v>
      </c>
    </row>
    <row r="17" spans="1:2" x14ac:dyDescent="0.2">
      <c r="A17" t="s">
        <v>20</v>
      </c>
      <c r="B17" s="7">
        <f>Data!C10</f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2015-01-16T02:18:43Z</dcterms:created>
  <dcterms:modified xsi:type="dcterms:W3CDTF">2025-08-16T19:23:44Z</dcterms:modified>
</cp:coreProperties>
</file>