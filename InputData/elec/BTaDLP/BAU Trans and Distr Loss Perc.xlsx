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elec\BTaDLP\"/>
    </mc:Choice>
  </mc:AlternateContent>
  <bookViews>
    <workbookView xWindow="165" yWindow="495" windowWidth="22725" windowHeight="11010" activeTab="1"/>
  </bookViews>
  <sheets>
    <sheet name="About" sheetId="1" r:id="rId1"/>
    <sheet name="Calculations" sheetId="4" r:id="rId2"/>
    <sheet name="BTaDLP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C2" i="2"/>
  <c r="B2" i="2"/>
  <c r="B35" i="4"/>
  <c r="C34" i="4"/>
  <c r="D34" i="4"/>
  <c r="E34" i="4"/>
  <c r="F34" i="4"/>
  <c r="G34" i="4"/>
  <c r="H34" i="4"/>
  <c r="I34" i="4"/>
  <c r="J34" i="4"/>
  <c r="K34" i="4"/>
  <c r="B34" i="4"/>
  <c r="B17" i="4" l="1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8" i="4" l="1"/>
</calcChain>
</file>

<file path=xl/sharedStrings.xml><?xml version="1.0" encoding="utf-8"?>
<sst xmlns="http://schemas.openxmlformats.org/spreadsheetml/2006/main" count="29" uniqueCount="29">
  <si>
    <t>BTaDLP BAU Transmission and Distribution Loss Percentage</t>
  </si>
  <si>
    <t>No meaningful trend since 2000, so we assume T&amp;D losses going forward are constant at the average value for this period.</t>
  </si>
  <si>
    <t>Average</t>
  </si>
  <si>
    <t>Year</t>
  </si>
  <si>
    <t>Notes:</t>
  </si>
  <si>
    <t>Trans and Dist Loss Perc (dimensionless)</t>
  </si>
  <si>
    <t>Sources:</t>
  </si>
  <si>
    <t>ANEEL (Agência Nacional de Energia Elétrica)</t>
  </si>
  <si>
    <t>Brazilian Electricity Regulatory Agency</t>
  </si>
  <si>
    <t>Perdas de Energia Elétrica na Distribuição</t>
  </si>
  <si>
    <t>Losses in the Electric Power Distribution</t>
  </si>
  <si>
    <t>https://portalrelatorios.aneel.gov.br/luznatarifa/perdasenergias#!</t>
  </si>
  <si>
    <t>This variable represents the percentage difference in generation and delivered energy from the Brazilian power system.</t>
  </si>
  <si>
    <t>Technical losses represent the physical amount of electricity generate but not delivered.</t>
  </si>
  <si>
    <t>Non-technical losses represent thefts of electricity in the distribution systems</t>
  </si>
  <si>
    <t>Technical and Non-technical losses in the National Interconnected System (SIN)</t>
  </si>
  <si>
    <t>Perda Técnica (%)</t>
  </si>
  <si>
    <t>Perda Não Técnica (%)</t>
  </si>
  <si>
    <t>Perda Total (%)</t>
  </si>
  <si>
    <t>The previous version (2.1.1) used total losses that include a component of thefts.</t>
  </si>
  <si>
    <t>In this version, we used only the technical losses which are inherent of the physical system.</t>
  </si>
  <si>
    <t>avg</t>
  </si>
  <si>
    <t>We assumed T&amp;D losses going forward are constant</t>
  </si>
  <si>
    <t>at the average value the period 2016-2022.</t>
  </si>
  <si>
    <t>Metric / Year</t>
  </si>
  <si>
    <t>average</t>
  </si>
  <si>
    <t>Production (GWh)</t>
  </si>
  <si>
    <t>Losses  (GWh)</t>
  </si>
  <si>
    <t xml:space="preserve">Losses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</si>
</sst>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right" wrapText="1"/>
    </xf>
    <xf numFmtId="0" fontId="5" fillId="0" borderId="0" xfId="0" applyFont="1"/>
    <xf numFmtId="0" fontId="1" fillId="2" borderId="0" xfId="0" applyFont="1" applyFill="1"/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2" fontId="0" fillId="0" borderId="0" xfId="0" applyNumberFormat="1" applyAlignment="1"/>
    <xf numFmtId="0" fontId="0" fillId="0" borderId="0" xfId="0"/>
    <xf numFmtId="164" fontId="0" fillId="0" borderId="0" xfId="0" applyNumberFormat="1"/>
    <xf numFmtId="0" fontId="6" fillId="0" borderId="0" xfId="0" applyFont="1" applyAlignment="1">
      <alignment horizontal="right"/>
    </xf>
    <xf numFmtId="10" fontId="6" fillId="0" borderId="0" xfId="3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0" fillId="0" borderId="0" xfId="0" applyNumberFormat="1" applyAlignment="1">
      <alignment horizontal="right" vertical="center" wrapText="1"/>
    </xf>
    <xf numFmtId="0" fontId="0" fillId="0" borderId="0" xfId="0" applyNumberFormat="1"/>
  </cellXfs>
  <cellStyles count="4">
    <cellStyle name="Lien hypertexte" xfId="1" builtinId="8"/>
    <cellStyle name="Normal" xfId="0" builtinId="0"/>
    <cellStyle name="Normal 2" xfId="2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2</xdr:row>
      <xdr:rowOff>160020</xdr:rowOff>
    </xdr:from>
    <xdr:to>
      <xdr:col>15</xdr:col>
      <xdr:colOff>320148</xdr:colOff>
      <xdr:row>28</xdr:row>
      <xdr:rowOff>160020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BCBE3086-7CC8-C43D-AEB3-D4C416D2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525780"/>
          <a:ext cx="7313403" cy="475488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27</xdr:col>
      <xdr:colOff>183937</xdr:colOff>
      <xdr:row>25</xdr:row>
      <xdr:rowOff>94562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25FDA29C-FDE5-4C65-A801-7C6AE64D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6140" y="548640"/>
          <a:ext cx="6279937" cy="4117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ortalrelatorios.aneel.gov.br/luznatarifa/perdasenergia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15" sqref="A15"/>
    </sheetView>
  </sheetViews>
  <sheetFormatPr baseColWidth="10" defaultColWidth="9.140625" defaultRowHeight="15" x14ac:dyDescent="0.25"/>
  <cols>
    <col min="2" max="2" width="63.7109375" customWidth="1"/>
    <col min="3" max="3" width="8.85546875" style="8"/>
  </cols>
  <sheetData>
    <row r="1" spans="1:3" x14ac:dyDescent="0.25">
      <c r="A1" s="1" t="s">
        <v>0</v>
      </c>
    </row>
    <row r="2" spans="1:3" x14ac:dyDescent="0.25">
      <c r="A2" s="1"/>
    </row>
    <row r="3" spans="1:3" x14ac:dyDescent="0.25">
      <c r="A3" s="1" t="s">
        <v>6</v>
      </c>
      <c r="B3" s="9" t="s">
        <v>7</v>
      </c>
      <c r="C3" s="8" t="s">
        <v>8</v>
      </c>
    </row>
    <row r="4" spans="1:3" x14ac:dyDescent="0.25">
      <c r="A4" s="1"/>
      <c r="B4" t="s">
        <v>9</v>
      </c>
      <c r="C4" s="8" t="s">
        <v>10</v>
      </c>
    </row>
    <row r="5" spans="1:3" x14ac:dyDescent="0.25">
      <c r="A5" s="1"/>
      <c r="B5" s="2">
        <v>2022</v>
      </c>
    </row>
    <row r="6" spans="1:3" x14ac:dyDescent="0.25">
      <c r="A6" s="1"/>
      <c r="B6" s="3" t="s">
        <v>11</v>
      </c>
    </row>
    <row r="7" spans="1:3" x14ac:dyDescent="0.25">
      <c r="A7" s="1"/>
    </row>
    <row r="8" spans="1:3" x14ac:dyDescent="0.25">
      <c r="A8" s="1" t="s">
        <v>4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s="10" t="s">
        <v>14</v>
      </c>
    </row>
    <row r="13" spans="1:3" x14ac:dyDescent="0.25">
      <c r="A13" t="s">
        <v>19</v>
      </c>
    </row>
    <row r="14" spans="1:3" x14ac:dyDescent="0.25">
      <c r="A14" t="s">
        <v>20</v>
      </c>
    </row>
  </sheetData>
  <hyperlinks>
    <hyperlink ref="B6" r:id="rId1" location="!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22" workbookViewId="0">
      <selection activeCell="A35" sqref="A35"/>
    </sheetView>
  </sheetViews>
  <sheetFormatPr baseColWidth="10" defaultColWidth="9.140625" defaultRowHeight="15" x14ac:dyDescent="0.25"/>
  <cols>
    <col min="1" max="1" width="33" customWidth="1"/>
    <col min="2" max="2" width="11.5703125" bestFit="1" customWidth="1"/>
    <col min="3" max="3" width="12.28515625" customWidth="1"/>
    <col min="4" max="4" width="12" customWidth="1"/>
    <col min="5" max="7" width="11.5703125" bestFit="1" customWidth="1"/>
    <col min="8" max="8" width="10.5703125" bestFit="1" customWidth="1"/>
    <col min="9" max="11" width="11.5703125" bestFit="1" customWidth="1"/>
  </cols>
  <sheetData>
    <row r="1" spans="1:6" x14ac:dyDescent="0.25">
      <c r="A1" s="11"/>
      <c r="B1" s="12" t="s">
        <v>16</v>
      </c>
      <c r="C1" s="12" t="s">
        <v>17</v>
      </c>
      <c r="D1" s="12" t="s">
        <v>18</v>
      </c>
    </row>
    <row r="2" spans="1:6" x14ac:dyDescent="0.25">
      <c r="A2" s="12">
        <v>2008</v>
      </c>
      <c r="B2" s="14">
        <v>7.2499999999999995E-2</v>
      </c>
      <c r="C2" s="14">
        <v>6.4600000000000005E-2</v>
      </c>
      <c r="D2" s="14">
        <f>B2+C2</f>
        <v>0.1371</v>
      </c>
      <c r="E2" s="13"/>
      <c r="F2" s="15" t="s">
        <v>15</v>
      </c>
    </row>
    <row r="3" spans="1:6" x14ac:dyDescent="0.25">
      <c r="A3" s="12">
        <v>2009</v>
      </c>
      <c r="B3" s="14">
        <v>7.2300000000000003E-2</v>
      </c>
      <c r="C3" s="14">
        <v>7.0499999999999993E-2</v>
      </c>
      <c r="D3" s="14">
        <f t="shared" ref="D3:D16" si="0">B3+C3</f>
        <v>0.14279999999999998</v>
      </c>
      <c r="E3" s="13"/>
      <c r="F3" s="13"/>
    </row>
    <row r="4" spans="1:6" x14ac:dyDescent="0.25">
      <c r="A4" s="12">
        <v>2010</v>
      </c>
      <c r="B4" s="14">
        <v>7.2099999999999997E-2</v>
      </c>
      <c r="C4" s="14">
        <v>6.59E-2</v>
      </c>
      <c r="D4" s="14">
        <f t="shared" si="0"/>
        <v>0.13800000000000001</v>
      </c>
      <c r="E4" s="13"/>
      <c r="F4" s="13"/>
    </row>
    <row r="5" spans="1:6" x14ac:dyDescent="0.25">
      <c r="A5" s="12">
        <v>2011</v>
      </c>
      <c r="B5" s="14">
        <v>7.1599999999999997E-2</v>
      </c>
      <c r="C5" s="14">
        <v>6.25E-2</v>
      </c>
      <c r="D5" s="14">
        <f t="shared" si="0"/>
        <v>0.1341</v>
      </c>
      <c r="E5" s="13"/>
    </row>
    <row r="6" spans="1:6" x14ac:dyDescent="0.25">
      <c r="A6" s="12">
        <v>2012</v>
      </c>
      <c r="B6" s="14">
        <v>7.0999999999999994E-2</v>
      </c>
      <c r="C6" s="14">
        <v>6.7599999999999993E-2</v>
      </c>
      <c r="D6" s="14">
        <f t="shared" si="0"/>
        <v>0.1386</v>
      </c>
      <c r="E6" s="13"/>
      <c r="F6" s="13"/>
    </row>
    <row r="7" spans="1:6" x14ac:dyDescent="0.25">
      <c r="A7" s="12">
        <v>2013</v>
      </c>
      <c r="B7" s="14">
        <v>7.1800000000000003E-2</v>
      </c>
      <c r="C7" s="14">
        <v>6.3E-2</v>
      </c>
      <c r="D7" s="14">
        <f t="shared" si="0"/>
        <v>0.1348</v>
      </c>
      <c r="E7" s="13"/>
      <c r="F7" s="13"/>
    </row>
    <row r="8" spans="1:6" x14ac:dyDescent="0.25">
      <c r="A8" s="12">
        <v>2014</v>
      </c>
      <c r="B8" s="14">
        <v>7.2599999999999998E-2</v>
      </c>
      <c r="C8" s="14">
        <v>6.2400000000000004E-2</v>
      </c>
      <c r="D8" s="14">
        <f t="shared" si="0"/>
        <v>0.13500000000000001</v>
      </c>
      <c r="E8" s="13"/>
      <c r="F8" s="13"/>
    </row>
    <row r="9" spans="1:6" x14ac:dyDescent="0.25">
      <c r="A9" s="12">
        <v>2015</v>
      </c>
      <c r="B9" s="14">
        <v>7.400000000000001E-2</v>
      </c>
      <c r="C9" s="14">
        <v>6.1900000000000004E-2</v>
      </c>
      <c r="D9" s="14">
        <f t="shared" si="0"/>
        <v>0.13590000000000002</v>
      </c>
      <c r="E9" s="13"/>
      <c r="F9" s="13"/>
    </row>
    <row r="10" spans="1:6" x14ac:dyDescent="0.25">
      <c r="A10" s="12">
        <v>2016</v>
      </c>
      <c r="B10" s="14">
        <v>7.4900000000000008E-2</v>
      </c>
      <c r="C10" s="14">
        <v>6.5599999999999992E-2</v>
      </c>
      <c r="D10" s="14">
        <f t="shared" si="0"/>
        <v>0.14050000000000001</v>
      </c>
      <c r="E10" s="13"/>
      <c r="F10" s="13"/>
    </row>
    <row r="11" spans="1:6" x14ac:dyDescent="0.25">
      <c r="A11" s="12">
        <v>2017</v>
      </c>
      <c r="B11" s="14">
        <v>7.46E-2</v>
      </c>
      <c r="C11" s="14">
        <v>6.2400000000000004E-2</v>
      </c>
      <c r="D11" s="14">
        <f t="shared" si="0"/>
        <v>0.13700000000000001</v>
      </c>
      <c r="E11" s="13"/>
      <c r="F11" s="13"/>
    </row>
    <row r="12" spans="1:6" x14ac:dyDescent="0.25">
      <c r="A12" s="12">
        <v>2018</v>
      </c>
      <c r="B12" s="14">
        <v>7.4299999999999991E-2</v>
      </c>
      <c r="C12" s="14">
        <v>6.5099999999999991E-2</v>
      </c>
      <c r="D12" s="14">
        <f t="shared" si="0"/>
        <v>0.13939999999999997</v>
      </c>
      <c r="E12" s="13"/>
      <c r="F12" s="13"/>
    </row>
    <row r="13" spans="1:6" x14ac:dyDescent="0.25">
      <c r="A13" s="12">
        <v>2019</v>
      </c>
      <c r="B13" s="14">
        <v>7.4099999999999999E-2</v>
      </c>
      <c r="C13" s="14">
        <v>6.8000000000000005E-2</v>
      </c>
      <c r="D13" s="14">
        <f t="shared" si="0"/>
        <v>0.1421</v>
      </c>
      <c r="E13" s="13"/>
      <c r="F13" s="13"/>
    </row>
    <row r="14" spans="1:6" x14ac:dyDescent="0.25">
      <c r="A14" s="12">
        <v>2020</v>
      </c>
      <c r="B14" s="14">
        <v>7.4099999999999999E-2</v>
      </c>
      <c r="C14" s="14">
        <v>7.4700000000000003E-2</v>
      </c>
      <c r="D14" s="14">
        <f t="shared" si="0"/>
        <v>0.14879999999999999</v>
      </c>
      <c r="E14" s="13"/>
      <c r="F14" s="13"/>
    </row>
    <row r="15" spans="1:6" x14ac:dyDescent="0.25">
      <c r="A15" s="12">
        <v>2021</v>
      </c>
      <c r="B15" s="14">
        <v>7.3800000000000004E-2</v>
      </c>
      <c r="C15" s="14">
        <v>6.6000000000000003E-2</v>
      </c>
      <c r="D15" s="14">
        <f t="shared" si="0"/>
        <v>0.13980000000000001</v>
      </c>
      <c r="E15" s="13"/>
      <c r="F15" s="13"/>
    </row>
    <row r="16" spans="1:6" x14ac:dyDescent="0.25">
      <c r="A16" s="12">
        <v>2022</v>
      </c>
      <c r="B16" s="14">
        <v>7.3800000000000004E-2</v>
      </c>
      <c r="C16" s="14">
        <v>6.25E-2</v>
      </c>
      <c r="D16" s="14">
        <f t="shared" si="0"/>
        <v>0.1363</v>
      </c>
      <c r="E16" s="13"/>
      <c r="F16" s="13"/>
    </row>
    <row r="17" spans="1:11" x14ac:dyDescent="0.25">
      <c r="A17" s="18" t="s">
        <v>21</v>
      </c>
      <c r="B17" s="19">
        <f>AVERAGE(B10:B16)</f>
        <v>7.4228571428571422E-2</v>
      </c>
      <c r="C17" s="5"/>
      <c r="D17" s="4"/>
    </row>
    <row r="18" spans="1:11" x14ac:dyDescent="0.25">
      <c r="B18" s="5"/>
      <c r="C18" s="5"/>
      <c r="D18" s="4"/>
    </row>
    <row r="19" spans="1:11" x14ac:dyDescent="0.25">
      <c r="A19" s="16" t="s">
        <v>22</v>
      </c>
      <c r="B19" s="5"/>
      <c r="C19" s="5"/>
      <c r="D19" s="4"/>
    </row>
    <row r="20" spans="1:11" x14ac:dyDescent="0.25">
      <c r="A20" s="10" t="s">
        <v>23</v>
      </c>
      <c r="B20" s="5"/>
      <c r="C20" s="5"/>
      <c r="D20" s="4"/>
    </row>
    <row r="21" spans="1:11" x14ac:dyDescent="0.25">
      <c r="A21" s="1"/>
      <c r="B21" s="5"/>
      <c r="C21" s="5"/>
      <c r="D21" s="4"/>
    </row>
    <row r="22" spans="1:11" x14ac:dyDescent="0.25">
      <c r="A22" s="1"/>
      <c r="B22" s="5"/>
      <c r="C22" s="5"/>
      <c r="D22" s="4"/>
    </row>
    <row r="23" spans="1:11" x14ac:dyDescent="0.25">
      <c r="A23" s="1"/>
      <c r="B23" s="5"/>
      <c r="C23" s="5"/>
      <c r="D23" s="4"/>
    </row>
    <row r="24" spans="1:11" x14ac:dyDescent="0.25">
      <c r="A24" s="1"/>
      <c r="B24" s="5"/>
      <c r="C24" s="5"/>
      <c r="D24" s="4"/>
    </row>
    <row r="26" spans="1:11" x14ac:dyDescent="0.25">
      <c r="A26" t="s">
        <v>1</v>
      </c>
    </row>
    <row r="28" spans="1:11" x14ac:dyDescent="0.25">
      <c r="A28" s="1" t="s">
        <v>2</v>
      </c>
      <c r="B28" s="1"/>
      <c r="C28" s="1"/>
      <c r="D28" s="6">
        <f>AVERAGE(D2:D23)</f>
        <v>0.13868000000000003</v>
      </c>
    </row>
    <row r="31" spans="1:11" ht="13.5" customHeight="1" x14ac:dyDescent="0.25">
      <c r="A31" s="21" t="s">
        <v>24</v>
      </c>
      <c r="B31" s="22">
        <v>2015</v>
      </c>
      <c r="C31" s="22">
        <v>2016</v>
      </c>
      <c r="D31" s="22">
        <v>2017</v>
      </c>
      <c r="E31" s="22">
        <v>2018</v>
      </c>
      <c r="F31" s="22">
        <v>2019</v>
      </c>
      <c r="G31" s="22">
        <v>2020</v>
      </c>
      <c r="H31" s="22">
        <v>2021</v>
      </c>
      <c r="I31" s="22">
        <v>2022</v>
      </c>
      <c r="J31" s="22">
        <v>2023</v>
      </c>
      <c r="K31" s="22">
        <v>2024</v>
      </c>
    </row>
    <row r="32" spans="1:11" x14ac:dyDescent="0.25">
      <c r="A32" s="20" t="s">
        <v>26</v>
      </c>
      <c r="B32" s="23">
        <v>586647</v>
      </c>
      <c r="C32" s="23">
        <v>584388</v>
      </c>
      <c r="D32" s="23">
        <v>595574</v>
      </c>
      <c r="E32" s="23">
        <v>607203</v>
      </c>
      <c r="F32" s="23">
        <v>633032</v>
      </c>
      <c r="G32" s="23">
        <v>628764</v>
      </c>
      <c r="H32" s="23">
        <v>656396</v>
      </c>
      <c r="I32" s="23">
        <v>677162</v>
      </c>
      <c r="J32" s="23">
        <v>708119</v>
      </c>
      <c r="K32" s="23">
        <v>751335</v>
      </c>
    </row>
    <row r="33" spans="1:11" x14ac:dyDescent="0.25">
      <c r="A33" s="20" t="s">
        <v>27</v>
      </c>
      <c r="B33" s="23">
        <v>90901</v>
      </c>
      <c r="C33" s="23">
        <v>98317</v>
      </c>
      <c r="D33" s="23">
        <v>97619</v>
      </c>
      <c r="E33" s="23">
        <v>97973</v>
      </c>
      <c r="F33" s="23">
        <v>105912</v>
      </c>
      <c r="G33" s="23">
        <v>105766</v>
      </c>
      <c r="H33" s="23">
        <v>106348</v>
      </c>
      <c r="I33" s="23">
        <v>103995</v>
      </c>
      <c r="J33" s="23">
        <v>106919</v>
      </c>
      <c r="K33" s="23">
        <v>112492</v>
      </c>
    </row>
    <row r="34" spans="1:11" x14ac:dyDescent="0.25">
      <c r="A34" s="20" t="s">
        <v>28</v>
      </c>
      <c r="B34" s="24">
        <f>B33/B32</f>
        <v>0.15495008071293298</v>
      </c>
      <c r="C34" s="24">
        <f t="shared" ref="C34:K34" si="1">C33/C32</f>
        <v>0.16823925200380568</v>
      </c>
      <c r="D34" s="24">
        <f t="shared" si="1"/>
        <v>0.16390742376262227</v>
      </c>
      <c r="E34" s="24">
        <f t="shared" si="1"/>
        <v>0.16135131084661966</v>
      </c>
      <c r="F34" s="24">
        <f t="shared" si="1"/>
        <v>0.16730907758217595</v>
      </c>
      <c r="G34" s="24">
        <f t="shared" si="1"/>
        <v>0.16821255669853871</v>
      </c>
      <c r="H34" s="24">
        <f t="shared" si="1"/>
        <v>0.16201805007952516</v>
      </c>
      <c r="I34" s="24">
        <f t="shared" si="1"/>
        <v>0.15357477235875611</v>
      </c>
      <c r="J34" s="24">
        <f t="shared" si="1"/>
        <v>0.15099015843382257</v>
      </c>
      <c r="K34" s="24">
        <f t="shared" si="1"/>
        <v>0.14972282670180412</v>
      </c>
    </row>
    <row r="35" spans="1:11" x14ac:dyDescent="0.25">
      <c r="A35" s="20" t="s">
        <v>25</v>
      </c>
      <c r="B35" s="25">
        <f>ROUND(AVERAGE(B34:K34),3)</f>
        <v>0.16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K2"/>
  <sheetViews>
    <sheetView topLeftCell="S1" workbookViewId="0">
      <selection activeCell="C2" sqref="C2:AK2"/>
    </sheetView>
  </sheetViews>
  <sheetFormatPr baseColWidth="10" defaultColWidth="9.140625" defaultRowHeight="15" x14ac:dyDescent="0.25"/>
  <cols>
    <col min="1" max="1" width="20.42578125" customWidth="1"/>
    <col min="2" max="2" width="9" customWidth="1"/>
  </cols>
  <sheetData>
    <row r="1" spans="1:37" x14ac:dyDescent="0.25">
      <c r="A1" t="s">
        <v>3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ht="30" x14ac:dyDescent="0.25">
      <c r="A2" s="7" t="s">
        <v>5</v>
      </c>
      <c r="B2" s="4">
        <f>Calculations!B35</f>
        <v>0.16</v>
      </c>
      <c r="C2" s="17">
        <f>B2</f>
        <v>0.16</v>
      </c>
      <c r="D2" s="17">
        <f t="shared" ref="D2:AK2" si="0">C2</f>
        <v>0.16</v>
      </c>
      <c r="E2" s="17">
        <f t="shared" si="0"/>
        <v>0.16</v>
      </c>
      <c r="F2" s="17">
        <f t="shared" si="0"/>
        <v>0.16</v>
      </c>
      <c r="G2" s="17">
        <f t="shared" si="0"/>
        <v>0.16</v>
      </c>
      <c r="H2" s="17">
        <f t="shared" si="0"/>
        <v>0.16</v>
      </c>
      <c r="I2" s="17">
        <f t="shared" si="0"/>
        <v>0.16</v>
      </c>
      <c r="J2" s="17">
        <f t="shared" si="0"/>
        <v>0.16</v>
      </c>
      <c r="K2" s="17">
        <f t="shared" si="0"/>
        <v>0.16</v>
      </c>
      <c r="L2" s="17">
        <f t="shared" si="0"/>
        <v>0.16</v>
      </c>
      <c r="M2" s="17">
        <f t="shared" si="0"/>
        <v>0.16</v>
      </c>
      <c r="N2" s="17">
        <f t="shared" si="0"/>
        <v>0.16</v>
      </c>
      <c r="O2" s="17">
        <f t="shared" si="0"/>
        <v>0.16</v>
      </c>
      <c r="P2" s="17">
        <f t="shared" si="0"/>
        <v>0.16</v>
      </c>
      <c r="Q2" s="17">
        <f t="shared" si="0"/>
        <v>0.16</v>
      </c>
      <c r="R2" s="17">
        <f t="shared" si="0"/>
        <v>0.16</v>
      </c>
      <c r="S2" s="17">
        <f t="shared" si="0"/>
        <v>0.16</v>
      </c>
      <c r="T2" s="17">
        <f t="shared" si="0"/>
        <v>0.16</v>
      </c>
      <c r="U2" s="17">
        <f t="shared" si="0"/>
        <v>0.16</v>
      </c>
      <c r="V2" s="17">
        <f t="shared" si="0"/>
        <v>0.16</v>
      </c>
      <c r="W2" s="17">
        <f t="shared" si="0"/>
        <v>0.16</v>
      </c>
      <c r="X2" s="17">
        <f t="shared" si="0"/>
        <v>0.16</v>
      </c>
      <c r="Y2" s="17">
        <f t="shared" si="0"/>
        <v>0.16</v>
      </c>
      <c r="Z2" s="17">
        <f t="shared" si="0"/>
        <v>0.16</v>
      </c>
      <c r="AA2" s="17">
        <f t="shared" si="0"/>
        <v>0.16</v>
      </c>
      <c r="AB2" s="17">
        <f t="shared" si="0"/>
        <v>0.16</v>
      </c>
      <c r="AC2" s="17">
        <f t="shared" si="0"/>
        <v>0.16</v>
      </c>
      <c r="AD2" s="17">
        <f t="shared" si="0"/>
        <v>0.16</v>
      </c>
      <c r="AE2" s="17">
        <f t="shared" si="0"/>
        <v>0.16</v>
      </c>
      <c r="AF2" s="17">
        <f t="shared" si="0"/>
        <v>0.16</v>
      </c>
      <c r="AG2" s="17">
        <f t="shared" si="0"/>
        <v>0.16</v>
      </c>
      <c r="AH2" s="17">
        <f t="shared" si="0"/>
        <v>0.16</v>
      </c>
      <c r="AI2" s="17">
        <f t="shared" si="0"/>
        <v>0.16</v>
      </c>
      <c r="AJ2" s="17">
        <f t="shared" si="0"/>
        <v>0.16</v>
      </c>
      <c r="AK2" s="17">
        <f t="shared" si="0"/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BTaDLP</vt:lpstr>
    </vt:vector>
  </TitlesOfParts>
  <Company>EnergyInnovation.org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2015-06-09T20:22:53Z</dcterms:created>
  <dcterms:modified xsi:type="dcterms:W3CDTF">2026-02-06T02:39:38Z</dcterms:modified>
</cp:coreProperties>
</file>