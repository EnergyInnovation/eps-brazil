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saido\Documents\eps-brazil-cpl\InputData\bldgs\SYDEC\"/>
    </mc:Choice>
  </mc:AlternateContent>
  <bookViews>
    <workbookView xWindow="0" yWindow="765" windowWidth="34200" windowHeight="21375" tabRatio="670" activeTab="3"/>
  </bookViews>
  <sheets>
    <sheet name="About" sheetId="1" r:id="rId1"/>
    <sheet name="Wind" sheetId="14" r:id="rId2"/>
    <sheet name="Solar PV" sheetId="15" r:id="rId3"/>
    <sheet name="SYDEC" sheetId="6" r:id="rId4"/>
  </sheets>
  <externalReferences>
    <externalReference r:id="rId5"/>
    <externalReference r:id="rId6"/>
  </externalReferences>
  <definedNames>
    <definedName name="Fraction_coal">[1]About!$C$59</definedName>
    <definedName name="gal_per_barrel">[2]About!$A$63</definedName>
    <definedName name="GW_to_MW">About!$A$41</definedName>
    <definedName name="Percent_rural">[1]About!$A$98</definedName>
    <definedName name="Percent_urban">[1]About!$A$97</definedName>
    <definedName name="quadrillion">[1]About!$B$100</definedName>
    <definedName name="Table4">'[1]AEO21 Table 4'!$C$34:$AH$74</definedName>
    <definedName name="Table4_1">'[1]AEO21 Table 4'!$C$1:$AH$1</definedName>
    <definedName name="Table4_1_22">'[1]AEO22 Table 4'!$C$1:$AG$1</definedName>
    <definedName name="Table4_22">'[1]AEO22 Table 4'!$C$34:$AG$74</definedName>
    <definedName name="Table4_A">'[1]AEO21 Table 4'!$A$34:$A$74</definedName>
    <definedName name="Table4_A_22">'[1]AEO22 Table 4'!$A$34:$A$74</definedName>
    <definedName name="Table5">'[1]AEO21 Table 5'!$C$29:$AH$58</definedName>
    <definedName name="Table5_1">'[1]AEO21 Table 5'!$C$1:$AH$1</definedName>
    <definedName name="Table5_1_22">'[1]AEO22 Table 5'!$C$1:$AG$1</definedName>
    <definedName name="Table5_22">'[1]AEO22 Table 5'!$C$29:$AG$58</definedName>
    <definedName name="Table5_A">'[1]AEO21 Table 5'!$A$29:$A$58</definedName>
    <definedName name="Table5_A_22">'[1]AEO22 Table 5'!$A$29:$A$58</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7" i="6" l="1"/>
  <c r="B7" i="6"/>
  <c r="D6" i="6" l="1"/>
  <c r="B6" i="6"/>
</calcChain>
</file>

<file path=xl/sharedStrings.xml><?xml version="1.0" encoding="utf-8"?>
<sst xmlns="http://schemas.openxmlformats.org/spreadsheetml/2006/main" count="78" uniqueCount="57">
  <si>
    <t>natural gas nonpeaker</t>
  </si>
  <si>
    <t>nuclear</t>
  </si>
  <si>
    <t>hydro</t>
  </si>
  <si>
    <t>solar PV</t>
  </si>
  <si>
    <t>solar thermal</t>
  </si>
  <si>
    <t>biomass</t>
  </si>
  <si>
    <t>geothermal</t>
  </si>
  <si>
    <t>petroleum</t>
  </si>
  <si>
    <t>natural gas peaker</t>
  </si>
  <si>
    <t>Notes</t>
  </si>
  <si>
    <t>Sources:</t>
  </si>
  <si>
    <t>Urban vs. Rural Residential Households</t>
  </si>
  <si>
    <t>lignite</t>
  </si>
  <si>
    <t>hard coal</t>
  </si>
  <si>
    <t>onshore wind</t>
  </si>
  <si>
    <t>offshore wind</t>
  </si>
  <si>
    <t>crude oil</t>
  </si>
  <si>
    <t>heavy or residual fuel oil</t>
  </si>
  <si>
    <t>municipal solid waste</t>
  </si>
  <si>
    <t>MW</t>
  </si>
  <si>
    <t>SYDEC Start Year Distributed Electricity Capacity</t>
  </si>
  <si>
    <t>urban residential</t>
  </si>
  <si>
    <t>rural residential</t>
  </si>
  <si>
    <t>commercial</t>
  </si>
  <si>
    <t>Wind</t>
  </si>
  <si>
    <t>In the REF scenario, there is the penetration of turbines up to 10 kW for application in the residential and commercial sectors;</t>
  </si>
  <si>
    <t>Penetration in the commercial sector was considered as 20% of that observed in the residential sector;</t>
  </si>
  <si>
    <t>Residential Commercial Split</t>
  </si>
  <si>
    <t xml:space="preserve">To estimate wind distributed capacity we had to rely on the figure 113 from MOP Building Book, page 177; </t>
  </si>
  <si>
    <t xml:space="preserve">To estimate wind distributed capacity we had to rely on the figure 116 from MOP Building Book, page 179; </t>
  </si>
  <si>
    <t>We estimate some points using webplotdigitizer tool and then we linear interpolated the data to get the time serie.</t>
  </si>
  <si>
    <t>Figure 113: Installed Wind Distributed Generation Capacity in REF Scenario by Region (2010-2050)</t>
  </si>
  <si>
    <t>Figure 116 - Relationship between Average System Yield and Total Power Generation Growth (2010-2050)</t>
  </si>
  <si>
    <t>kW</t>
  </si>
  <si>
    <t>GWh</t>
  </si>
  <si>
    <t>Notes:</t>
  </si>
  <si>
    <t>To estimate PV distributed capacity  and power generation we had to rely on the table 75 from MOP Building Book, page 184; We linear interpolated the data to get the time series.</t>
  </si>
  <si>
    <t xml:space="preserve">In MOP study, technology penetration in the commercial sector was considered based on the estimated electricity demand for this sector. It was assumed that 0.7% would be supplied by PV systems by 2030, and 1% by 2050. </t>
  </si>
  <si>
    <t>As a matter of simplicity, we decided to assume the same assumption for wind technology: 80% residential and 20% commercial.</t>
  </si>
  <si>
    <t>Table 75 - Installed Capacity and Power Generation in the REF Scenario (2015-2050)</t>
  </si>
  <si>
    <t>PV</t>
  </si>
  <si>
    <t>GWp</t>
  </si>
  <si>
    <t>TWh</t>
  </si>
  <si>
    <t>Brazilian Ministry of Science, Technology, Innovation and Communication (MCTIC)</t>
  </si>
  <si>
    <t>Report: "Greenhouse gas mitigation options in key sectors in Brazil"</t>
  </si>
  <si>
    <t>Version: "Sector modeling of low carbon options for the building sector"</t>
  </si>
  <si>
    <t xml:space="preserve">http://www.mctic.gov.br/mctic/export/sites/institucional/ciencia/SEPED/clima/arquivos/projeto_opcoes_mitigacao/publicacoes/Edificacoes.pdf </t>
  </si>
  <si>
    <t>Wind Distributed Generation and Capacity</t>
  </si>
  <si>
    <t>page 177</t>
  </si>
  <si>
    <t>page 179</t>
  </si>
  <si>
    <t>PV Distributed Generation and Capacity</t>
  </si>
  <si>
    <t>page 184</t>
  </si>
  <si>
    <t>Assumptions about Urban vs. Rural Residential Households:</t>
  </si>
  <si>
    <t>1. Mitigation Option Project does not consider the rural urban split in its analysis, thus we don't assume this breakdown in Brazil's model.</t>
  </si>
  <si>
    <t xml:space="preserve">The small-scale distributed generation modality is still in its early stages of development, having been regulated only in 2012. Resolution 482/12 (ANEEL, 2012) </t>
  </si>
  <si>
    <t xml:space="preserve">provides for the general conditions for distributed generation access to the interconnected system, as well as as it sets guidelines for the electric power compensation mechanism. </t>
  </si>
  <si>
    <t>The energy injected by the consumer unit to the local distributor is later compensated, and the consumer unit is credited with the amount of electricity to be consumed within 36 months.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</si>
</sst>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0"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sz val="11"/>
      <color theme="1"/>
      <name val="Calibri"/>
      <family val="2"/>
      <scheme val="minor"/>
    </font>
    <font>
      <b/>
      <sz val="9"/>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3"/>
        <bgColor indexed="64"/>
      </patternFill>
    </fill>
  </fills>
  <borders count="6">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ck">
        <color theme="0"/>
      </left>
      <right style="thick">
        <color theme="0"/>
      </right>
      <top/>
      <bottom style="thin">
        <color theme="0" tint="-0.24994659260841701"/>
      </bottom>
      <diagonal/>
    </border>
  </borders>
  <cellStyleXfs count="16">
    <xf numFmtId="0" fontId="0" fillId="0" borderId="0"/>
    <xf numFmtId="0" fontId="2" fillId="0" borderId="0" applyNumberFormat="0" applyFill="0" applyBorder="0" applyAlignment="0" applyProtection="0"/>
    <xf numFmtId="0" fontId="3" fillId="0" borderId="1"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4" applyNumberFormat="0" applyProtection="0">
      <alignment wrapText="1"/>
    </xf>
    <xf numFmtId="0" fontId="2" fillId="0" borderId="0"/>
    <xf numFmtId="9" fontId="5" fillId="0" borderId="0" applyFont="0" applyFill="0" applyBorder="0" applyAlignment="0" applyProtection="0"/>
    <xf numFmtId="0" fontId="6" fillId="0" borderId="5" applyNumberFormat="0" applyProtection="0">
      <alignment horizontal="left" wrapText="1"/>
    </xf>
    <xf numFmtId="0" fontId="2" fillId="0" borderId="4" applyNumberFormat="0" applyProtection="0">
      <alignment wrapText="1"/>
    </xf>
    <xf numFmtId="0" fontId="2" fillId="0" borderId="3" applyNumberFormat="0" applyFont="0" applyProtection="0">
      <alignment wrapText="1"/>
    </xf>
    <xf numFmtId="0" fontId="3" fillId="0" borderId="2" applyNumberFormat="0" applyProtection="0">
      <alignment wrapText="1"/>
    </xf>
    <xf numFmtId="0" fontId="3" fillId="0" borderId="1" applyNumberFormat="0" applyProtection="0">
      <alignment wrapText="1"/>
    </xf>
    <xf numFmtId="0" fontId="4" fillId="0" borderId="0" applyNumberFormat="0" applyProtection="0">
      <alignment horizontal="left"/>
    </xf>
    <xf numFmtId="0" fontId="7" fillId="0" borderId="0" applyNumberFormat="0" applyFill="0" applyBorder="0" applyAlignment="0" applyProtection="0"/>
  </cellStyleXfs>
  <cellXfs count="13">
    <xf numFmtId="0" fontId="0" fillId="0" borderId="0" xfId="0"/>
    <xf numFmtId="0" fontId="1" fillId="0" borderId="0" xfId="0" applyFont="1"/>
    <xf numFmtId="0" fontId="0" fillId="0" borderId="0" xfId="0" applyAlignment="1">
      <alignment horizontal="left"/>
    </xf>
    <xf numFmtId="0" fontId="1" fillId="2" borderId="0" xfId="0" applyFont="1" applyFill="1"/>
    <xf numFmtId="164" fontId="0" fillId="0" borderId="0" xfId="8" applyNumberFormat="1" applyFont="1"/>
    <xf numFmtId="0" fontId="7" fillId="0" borderId="0" xfId="15"/>
    <xf numFmtId="0" fontId="8" fillId="3" borderId="0" xfId="0" applyFont="1" applyFill="1"/>
    <xf numFmtId="0" fontId="9" fillId="3" borderId="0" xfId="0" applyFont="1" applyFill="1"/>
    <xf numFmtId="1" fontId="0" fillId="0" borderId="0" xfId="0" applyNumberFormat="1"/>
    <xf numFmtId="9" fontId="0" fillId="0" borderId="0" xfId="8" applyFont="1"/>
    <xf numFmtId="11" fontId="0" fillId="0" borderId="0" xfId="0" applyNumberFormat="1" applyAlignment="1">
      <alignment horizontal="right"/>
    </xf>
    <xf numFmtId="11" fontId="0" fillId="0" borderId="0" xfId="0" applyNumberFormat="1"/>
    <xf numFmtId="0" fontId="0" fillId="0" borderId="0" xfId="0" applyNumberFormat="1"/>
  </cellXfs>
  <cellStyles count="16">
    <cellStyle name="Body: normal cell" xfId="5"/>
    <cellStyle name="Body: normal cell 2" xfId="11"/>
    <cellStyle name="Font: Calibri, 9pt regular" xfId="1"/>
    <cellStyle name="Footnotes: top row" xfId="6"/>
    <cellStyle name="Footnotes: top row 2" xfId="10"/>
    <cellStyle name="Header: bottom row" xfId="2"/>
    <cellStyle name="Header: bottom row 2" xfId="13"/>
    <cellStyle name="Header: top rows" xfId="9"/>
    <cellStyle name="Lien hypertexte" xfId="15" builtinId="8"/>
    <cellStyle name="Normal" xfId="0" builtinId="0"/>
    <cellStyle name="Normal 2" xfId="7"/>
    <cellStyle name="Parent row" xfId="4"/>
    <cellStyle name="Parent row 2" xfId="12"/>
    <cellStyle name="Pourcentage" xfId="8" builtinId="5"/>
    <cellStyle name="Table title" xfId="3"/>
    <cellStyle name="Table title 2" xfId="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10</xdr:row>
      <xdr:rowOff>190499</xdr:rowOff>
    </xdr:from>
    <xdr:to>
      <xdr:col>9</xdr:col>
      <xdr:colOff>323850</xdr:colOff>
      <xdr:row>28</xdr:row>
      <xdr:rowOff>11866</xdr:rowOff>
    </xdr:to>
    <xdr:pic>
      <xdr:nvPicPr>
        <xdr:cNvPr id="2" name="Picture 2">
          <a:extLst>
            <a:ext uri="{FF2B5EF4-FFF2-40B4-BE49-F238E27FC236}">
              <a16:creationId xmlns:a16="http://schemas.microsoft.com/office/drawing/2014/main" xmlns="" id="{52E8FB2A-AD19-4574-B8DD-F27040DF5D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 y="2057399"/>
          <a:ext cx="5800725" cy="3120827"/>
        </a:xfrm>
        <a:prstGeom prst="rect">
          <a:avLst/>
        </a:prstGeom>
      </xdr:spPr>
    </xdr:pic>
    <xdr:clientData/>
  </xdr:twoCellAnchor>
  <xdr:twoCellAnchor editAs="oneCell">
    <xdr:from>
      <xdr:col>13</xdr:col>
      <xdr:colOff>85725</xdr:colOff>
      <xdr:row>11</xdr:row>
      <xdr:rowOff>7596</xdr:rowOff>
    </xdr:from>
    <xdr:to>
      <xdr:col>22</xdr:col>
      <xdr:colOff>352425</xdr:colOff>
      <xdr:row>28</xdr:row>
      <xdr:rowOff>870</xdr:rowOff>
    </xdr:to>
    <xdr:pic>
      <xdr:nvPicPr>
        <xdr:cNvPr id="3" name="Picture 10">
          <a:extLst>
            <a:ext uri="{FF2B5EF4-FFF2-40B4-BE49-F238E27FC236}">
              <a16:creationId xmlns:a16="http://schemas.microsoft.com/office/drawing/2014/main" xmlns="" id="{46CA9E6F-FF7B-4CD0-B424-9280B1CA04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525" y="2064996"/>
          <a:ext cx="5753100" cy="31022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9526</xdr:colOff>
      <xdr:row>11</xdr:row>
      <xdr:rowOff>0</xdr:rowOff>
    </xdr:from>
    <xdr:to>
      <xdr:col>11</xdr:col>
      <xdr:colOff>485776</xdr:colOff>
      <xdr:row>16</xdr:row>
      <xdr:rowOff>57019</xdr:rowOff>
    </xdr:to>
    <xdr:pic>
      <xdr:nvPicPr>
        <xdr:cNvPr id="2" name="Picture 1">
          <a:extLst>
            <a:ext uri="{FF2B5EF4-FFF2-40B4-BE49-F238E27FC236}">
              <a16:creationId xmlns:a16="http://schemas.microsoft.com/office/drawing/2014/main" xmlns="" id="{69C2E308-D0C8-4344-8780-93A610808AC8}"/>
            </a:ext>
          </a:extLst>
        </xdr:cNvPr>
        <xdr:cNvPicPr>
          <a:picLocks noChangeAspect="1"/>
        </xdr:cNvPicPr>
      </xdr:nvPicPr>
      <xdr:blipFill>
        <a:blip xmlns:r="http://schemas.openxmlformats.org/officeDocument/2006/relationships" r:embed="rId1"/>
        <a:stretch>
          <a:fillRect/>
        </a:stretch>
      </xdr:blipFill>
      <xdr:spPr>
        <a:xfrm>
          <a:off x="9526" y="2011680"/>
          <a:ext cx="7181850" cy="9714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elley/Dropbox%20(Energy%20Innovation)/PC%20(2)/Documents/GitHub_Repositories/eps-us/InputData/bldgs/BCEU/BAU%20Components%20Energy%20U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21 Table 4"/>
      <sheetName val="AEO22 Table 4"/>
      <sheetName val="AEO21 Table 5"/>
      <sheetName val="AEO22 Table 5"/>
      <sheetName val="District Heat"/>
      <sheetName val="District Heat Fuel Use Data"/>
      <sheetName val="RECS HC2.1"/>
      <sheetName val="Water and Waste"/>
      <sheetName val="Calculations"/>
      <sheetName val="BCEU-urban-residential-heating"/>
      <sheetName val="BCEU-urban-residential-cooling"/>
      <sheetName val="BCEU-urban-residential-lighting"/>
      <sheetName val="BCEU-urban-residential-appl"/>
      <sheetName val="BCEU-urban-residential-other"/>
      <sheetName val="BCEU-rural-residential-heating"/>
      <sheetName val="BCEU-rural-residential-cooling"/>
      <sheetName val="BCEU-rural-residential-lighting"/>
      <sheetName val="BCEU-rural-residential-appl"/>
      <sheetName val="BCEU-rural-residential-other"/>
      <sheetName val="BCEU-commercial-heating"/>
      <sheetName val="BCEU-commercial-cooling"/>
      <sheetName val="BCEU-commercial-lighting"/>
      <sheetName val="BCEU-commercial-appl"/>
      <sheetName val="BCEU-commercial-other"/>
      <sheetName val="BCEU-all-envelope"/>
    </sheetNames>
    <sheetDataSet>
      <sheetData sheetId="0">
        <row r="59">
          <cell r="C59">
            <v>0.04</v>
          </cell>
        </row>
        <row r="97">
          <cell r="A97">
            <v>0.81308184246741677</v>
          </cell>
        </row>
        <row r="98">
          <cell r="A98">
            <v>0.18691815753258317</v>
          </cell>
        </row>
        <row r="100">
          <cell r="B100">
            <v>1000000000000000</v>
          </cell>
        </row>
      </sheetData>
      <sheetData sheetId="1">
        <row r="1">
          <cell r="C1">
            <v>2020</v>
          </cell>
          <cell r="D1">
            <v>2021</v>
          </cell>
          <cell r="E1">
            <v>2022</v>
          </cell>
          <cell r="F1">
            <v>2023</v>
          </cell>
          <cell r="G1">
            <v>2024</v>
          </cell>
          <cell r="H1">
            <v>2025</v>
          </cell>
          <cell r="I1">
            <v>2026</v>
          </cell>
          <cell r="J1">
            <v>2027</v>
          </cell>
          <cell r="K1">
            <v>2028</v>
          </cell>
          <cell r="L1">
            <v>2029</v>
          </cell>
          <cell r="M1">
            <v>2030</v>
          </cell>
          <cell r="N1">
            <v>2031</v>
          </cell>
          <cell r="O1">
            <v>2032</v>
          </cell>
          <cell r="P1">
            <v>2033</v>
          </cell>
          <cell r="Q1">
            <v>2034</v>
          </cell>
          <cell r="R1">
            <v>2035</v>
          </cell>
          <cell r="S1">
            <v>2036</v>
          </cell>
          <cell r="T1">
            <v>2037</v>
          </cell>
          <cell r="U1">
            <v>2038</v>
          </cell>
          <cell r="V1">
            <v>2039</v>
          </cell>
          <cell r="W1">
            <v>2040</v>
          </cell>
          <cell r="X1">
            <v>2041</v>
          </cell>
          <cell r="Y1">
            <v>2042</v>
          </cell>
          <cell r="Z1">
            <v>2043</v>
          </cell>
          <cell r="AA1">
            <v>2044</v>
          </cell>
          <cell r="AB1">
            <v>2045</v>
          </cell>
          <cell r="AC1">
            <v>2046</v>
          </cell>
          <cell r="AD1">
            <v>2047</v>
          </cell>
          <cell r="AE1">
            <v>2048</v>
          </cell>
          <cell r="AF1">
            <v>2049</v>
          </cell>
          <cell r="AG1">
            <v>2050</v>
          </cell>
        </row>
        <row r="34">
          <cell r="A34" t="str">
            <v>RKI000:fa_SpaceHeating</v>
          </cell>
          <cell r="C34">
            <v>0.64898400000000001</v>
          </cell>
          <cell r="D34">
            <v>0.698291</v>
          </cell>
          <cell r="E34">
            <v>0.70646799999999998</v>
          </cell>
          <cell r="F34">
            <v>0.70282699999999998</v>
          </cell>
          <cell r="G34">
            <v>0.70100700000000005</v>
          </cell>
          <cell r="H34">
            <v>0.69955000000000001</v>
          </cell>
          <cell r="I34">
            <v>0.69717200000000001</v>
          </cell>
          <cell r="J34">
            <v>0.69381800000000005</v>
          </cell>
          <cell r="K34">
            <v>0.69023100000000004</v>
          </cell>
          <cell r="L34">
            <v>0.68633999999999995</v>
          </cell>
          <cell r="M34">
            <v>0.68220999999999998</v>
          </cell>
          <cell r="N34">
            <v>0.677813</v>
          </cell>
          <cell r="O34">
            <v>0.67333100000000001</v>
          </cell>
          <cell r="P34">
            <v>0.66909799999999997</v>
          </cell>
          <cell r="Q34">
            <v>0.66502499999999998</v>
          </cell>
          <cell r="R34">
            <v>0.66157299999999997</v>
          </cell>
          <cell r="S34">
            <v>0.65805199999999997</v>
          </cell>
          <cell r="T34">
            <v>0.65450399999999997</v>
          </cell>
          <cell r="U34">
            <v>0.65083400000000002</v>
          </cell>
          <cell r="V34">
            <v>0.64706300000000005</v>
          </cell>
          <cell r="W34">
            <v>0.64349699999999999</v>
          </cell>
          <cell r="X34">
            <v>0.63974600000000004</v>
          </cell>
          <cell r="Y34">
            <v>0.635992</v>
          </cell>
          <cell r="Z34">
            <v>0.63249</v>
          </cell>
          <cell r="AA34">
            <v>0.62895299999999998</v>
          </cell>
          <cell r="AB34">
            <v>0.62526700000000002</v>
          </cell>
          <cell r="AC34">
            <v>0.62189499999999998</v>
          </cell>
          <cell r="AD34">
            <v>0.618506</v>
          </cell>
          <cell r="AE34">
            <v>0.61529800000000001</v>
          </cell>
          <cell r="AF34">
            <v>0.61255000000000004</v>
          </cell>
          <cell r="AG34">
            <v>0.60998300000000005</v>
          </cell>
          <cell r="AH34">
            <v>-2.0639999999999999E-3</v>
          </cell>
        </row>
        <row r="35">
          <cell r="A35" t="str">
            <v>RKI000:fa_SpaceCooling</v>
          </cell>
          <cell r="C35">
            <v>0.80538299999999996</v>
          </cell>
          <cell r="D35">
            <v>0.76629999999999998</v>
          </cell>
          <cell r="E35">
            <v>0.862066</v>
          </cell>
          <cell r="F35">
            <v>0.87731000000000003</v>
          </cell>
          <cell r="G35">
            <v>0.89366500000000004</v>
          </cell>
          <cell r="H35">
            <v>0.91085099999999997</v>
          </cell>
          <cell r="I35">
            <v>0.92764500000000005</v>
          </cell>
          <cell r="J35">
            <v>0.94383300000000003</v>
          </cell>
          <cell r="K35">
            <v>0.95990799999999998</v>
          </cell>
          <cell r="L35">
            <v>0.97595699999999996</v>
          </cell>
          <cell r="M35">
            <v>0.99166100000000001</v>
          </cell>
          <cell r="N35">
            <v>1.0076400000000001</v>
          </cell>
          <cell r="O35">
            <v>1.0244169999999999</v>
          </cell>
          <cell r="P35">
            <v>1.0419830000000001</v>
          </cell>
          <cell r="Q35">
            <v>1.0606640000000001</v>
          </cell>
          <cell r="R35">
            <v>1.0810999999999999</v>
          </cell>
          <cell r="S35">
            <v>1.1021099999999999</v>
          </cell>
          <cell r="T35">
            <v>1.124333</v>
          </cell>
          <cell r="U35">
            <v>1.1463190000000001</v>
          </cell>
          <cell r="V35">
            <v>1.1682380000000001</v>
          </cell>
          <cell r="W35">
            <v>1.1908369999999999</v>
          </cell>
          <cell r="X35">
            <v>1.2130559999999999</v>
          </cell>
          <cell r="Y35">
            <v>1.2363010000000001</v>
          </cell>
          <cell r="Z35">
            <v>1.259563</v>
          </cell>
          <cell r="AA35">
            <v>1.2838290000000001</v>
          </cell>
          <cell r="AB35">
            <v>1.3078540000000001</v>
          </cell>
          <cell r="AC35">
            <v>1.3327100000000001</v>
          </cell>
          <cell r="AD35">
            <v>1.3578159999999999</v>
          </cell>
          <cell r="AE35">
            <v>1.3846069999999999</v>
          </cell>
          <cell r="AF35">
            <v>1.4118980000000001</v>
          </cell>
          <cell r="AG35">
            <v>1.440232</v>
          </cell>
          <cell r="AH35">
            <v>1.9564000000000002E-2</v>
          </cell>
        </row>
        <row r="36">
          <cell r="A36" t="str">
            <v>RKI000:fa_WaterHeating</v>
          </cell>
          <cell r="C36">
            <v>0.60754699999999995</v>
          </cell>
          <cell r="D36">
            <v>0.61014400000000002</v>
          </cell>
          <cell r="E36">
            <v>0.61307400000000001</v>
          </cell>
          <cell r="F36">
            <v>0.61509000000000003</v>
          </cell>
          <cell r="G36">
            <v>0.61784600000000001</v>
          </cell>
          <cell r="H36">
            <v>0.62017199999999995</v>
          </cell>
          <cell r="I36">
            <v>0.62165599999999999</v>
          </cell>
          <cell r="J36">
            <v>0.62265599999999999</v>
          </cell>
          <cell r="K36">
            <v>0.62332200000000004</v>
          </cell>
          <cell r="L36">
            <v>0.62390000000000001</v>
          </cell>
          <cell r="M36">
            <v>0.62448300000000001</v>
          </cell>
          <cell r="N36">
            <v>0.62500299999999998</v>
          </cell>
          <cell r="O36">
            <v>0.62585900000000005</v>
          </cell>
          <cell r="P36">
            <v>0.62711399999999995</v>
          </cell>
          <cell r="Q36">
            <v>0.62881900000000002</v>
          </cell>
          <cell r="R36">
            <v>0.631185</v>
          </cell>
          <cell r="S36">
            <v>0.63385100000000005</v>
          </cell>
          <cell r="T36">
            <v>0.63667799999999997</v>
          </cell>
          <cell r="U36">
            <v>0.63955099999999998</v>
          </cell>
          <cell r="V36">
            <v>0.64216099999999998</v>
          </cell>
          <cell r="W36">
            <v>0.64469600000000005</v>
          </cell>
          <cell r="X36">
            <v>0.64713500000000002</v>
          </cell>
          <cell r="Y36">
            <v>0.64963400000000004</v>
          </cell>
          <cell r="Z36">
            <v>0.65232999999999997</v>
          </cell>
          <cell r="AA36">
            <v>0.65517400000000003</v>
          </cell>
          <cell r="AB36">
            <v>0.65808800000000001</v>
          </cell>
          <cell r="AC36">
            <v>0.66132500000000005</v>
          </cell>
          <cell r="AD36">
            <v>0.66480600000000001</v>
          </cell>
          <cell r="AE36">
            <v>0.66864299999999999</v>
          </cell>
          <cell r="AF36">
            <v>0.67298500000000006</v>
          </cell>
          <cell r="AG36">
            <v>0.67757100000000003</v>
          </cell>
          <cell r="AH36">
            <v>3.643E-3</v>
          </cell>
        </row>
        <row r="37">
          <cell r="A37" t="str">
            <v>RKI000:fa_Refrigeration</v>
          </cell>
          <cell r="C37">
            <v>0.29757099999999997</v>
          </cell>
          <cell r="D37">
            <v>0.295346</v>
          </cell>
          <cell r="E37">
            <v>0.293794</v>
          </cell>
          <cell r="F37">
            <v>0.29208899999999999</v>
          </cell>
          <cell r="G37">
            <v>0.29061599999999999</v>
          </cell>
          <cell r="H37">
            <v>0.28947400000000001</v>
          </cell>
          <cell r="I37">
            <v>0.28854099999999999</v>
          </cell>
          <cell r="J37">
            <v>0.28769600000000001</v>
          </cell>
          <cell r="K37">
            <v>0.28695900000000002</v>
          </cell>
          <cell r="L37">
            <v>0.28637600000000002</v>
          </cell>
          <cell r="M37">
            <v>0.28598000000000001</v>
          </cell>
          <cell r="N37">
            <v>0.28582600000000002</v>
          </cell>
          <cell r="O37">
            <v>0.28596500000000002</v>
          </cell>
          <cell r="P37">
            <v>0.28639300000000001</v>
          </cell>
          <cell r="Q37">
            <v>0.28710599999999997</v>
          </cell>
          <cell r="R37">
            <v>0.28817399999999999</v>
          </cell>
          <cell r="S37">
            <v>0.28956700000000002</v>
          </cell>
          <cell r="T37">
            <v>0.29125800000000002</v>
          </cell>
          <cell r="U37">
            <v>0.29325600000000002</v>
          </cell>
          <cell r="V37">
            <v>0.29553299999999999</v>
          </cell>
          <cell r="W37">
            <v>0.298126</v>
          </cell>
          <cell r="X37">
            <v>0.30101800000000001</v>
          </cell>
          <cell r="Y37">
            <v>0.30418000000000001</v>
          </cell>
          <cell r="Z37">
            <v>0.30732399999999999</v>
          </cell>
          <cell r="AA37">
            <v>0.31043999999999999</v>
          </cell>
          <cell r="AB37">
            <v>0.31352000000000002</v>
          </cell>
          <cell r="AC37">
            <v>0.31655800000000001</v>
          </cell>
          <cell r="AD37">
            <v>0.31952199999999997</v>
          </cell>
          <cell r="AE37">
            <v>0.322411</v>
          </cell>
          <cell r="AF37">
            <v>0.325241</v>
          </cell>
          <cell r="AG37">
            <v>0.328011</v>
          </cell>
          <cell r="AH37">
            <v>3.2520000000000001E-3</v>
          </cell>
        </row>
        <row r="38">
          <cell r="A38" t="str">
            <v>RKI000:fa_Cooking</v>
          </cell>
          <cell r="C38">
            <v>5.5007E-2</v>
          </cell>
          <cell r="D38">
            <v>5.5161000000000002E-2</v>
          </cell>
          <cell r="E38">
            <v>5.5460000000000002E-2</v>
          </cell>
          <cell r="F38">
            <v>5.5750000000000001E-2</v>
          </cell>
          <cell r="G38">
            <v>5.6044999999999998E-2</v>
          </cell>
          <cell r="H38">
            <v>5.6356999999999997E-2</v>
          </cell>
          <cell r="I38">
            <v>5.6662999999999998E-2</v>
          </cell>
          <cell r="J38">
            <v>5.6938000000000002E-2</v>
          </cell>
          <cell r="K38">
            <v>5.7182999999999998E-2</v>
          </cell>
          <cell r="L38">
            <v>5.7389000000000003E-2</v>
          </cell>
          <cell r="M38">
            <v>5.7556000000000003E-2</v>
          </cell>
          <cell r="N38">
            <v>5.7675999999999998E-2</v>
          </cell>
          <cell r="O38">
            <v>5.7755000000000001E-2</v>
          </cell>
          <cell r="P38">
            <v>5.7840999999999997E-2</v>
          </cell>
          <cell r="Q38">
            <v>5.7946999999999999E-2</v>
          </cell>
          <cell r="R38">
            <v>5.8089000000000002E-2</v>
          </cell>
          <cell r="S38">
            <v>5.8269000000000001E-2</v>
          </cell>
          <cell r="T38">
            <v>5.8487999999999998E-2</v>
          </cell>
          <cell r="U38">
            <v>5.8698E-2</v>
          </cell>
          <cell r="V38">
            <v>5.8899E-2</v>
          </cell>
          <cell r="W38">
            <v>5.9097999999999998E-2</v>
          </cell>
          <cell r="X38">
            <v>5.9290000000000002E-2</v>
          </cell>
          <cell r="Y38">
            <v>5.9472999999999998E-2</v>
          </cell>
          <cell r="Z38">
            <v>5.9649000000000001E-2</v>
          </cell>
          <cell r="AA38">
            <v>5.9818000000000003E-2</v>
          </cell>
          <cell r="AB38">
            <v>5.9979999999999999E-2</v>
          </cell>
          <cell r="AC38">
            <v>6.0138999999999998E-2</v>
          </cell>
          <cell r="AD38">
            <v>6.0290000000000003E-2</v>
          </cell>
          <cell r="AE38">
            <v>6.0440000000000001E-2</v>
          </cell>
          <cell r="AF38">
            <v>6.0595000000000003E-2</v>
          </cell>
          <cell r="AG38">
            <v>6.0755999999999998E-2</v>
          </cell>
          <cell r="AH38">
            <v>3.3189999999999999E-3</v>
          </cell>
        </row>
        <row r="39">
          <cell r="A39" t="str">
            <v>RKI000:fa_ClothesDryers</v>
          </cell>
          <cell r="C39">
            <v>0.21642</v>
          </cell>
          <cell r="D39">
            <v>0.220336</v>
          </cell>
          <cell r="E39">
            <v>0.224132</v>
          </cell>
          <cell r="F39">
            <v>0.22769200000000001</v>
          </cell>
          <cell r="G39">
            <v>0.23162199999999999</v>
          </cell>
          <cell r="H39">
            <v>0.23560700000000001</v>
          </cell>
          <cell r="I39">
            <v>0.239343</v>
          </cell>
          <cell r="J39">
            <v>0.242757</v>
          </cell>
          <cell r="K39">
            <v>0.246061</v>
          </cell>
          <cell r="L39">
            <v>0.24932599999999999</v>
          </cell>
          <cell r="M39">
            <v>0.25254500000000002</v>
          </cell>
          <cell r="N39">
            <v>0.25559799999999999</v>
          </cell>
          <cell r="O39">
            <v>0.25867800000000002</v>
          </cell>
          <cell r="P39">
            <v>0.26185199999999997</v>
          </cell>
          <cell r="Q39">
            <v>0.265235</v>
          </cell>
          <cell r="R39">
            <v>0.268841</v>
          </cell>
          <cell r="S39">
            <v>0.27256999999999998</v>
          </cell>
          <cell r="T39">
            <v>0.27624399999999999</v>
          </cell>
          <cell r="U39">
            <v>0.27982899999999999</v>
          </cell>
          <cell r="V39">
            <v>0.28336299999999998</v>
          </cell>
          <cell r="W39">
            <v>0.28689100000000001</v>
          </cell>
          <cell r="X39">
            <v>0.29037000000000002</v>
          </cell>
          <cell r="Y39">
            <v>0.29383700000000001</v>
          </cell>
          <cell r="Z39">
            <v>0.29735</v>
          </cell>
          <cell r="AA39">
            <v>0.30087399999999997</v>
          </cell>
          <cell r="AB39">
            <v>0.30434699999999998</v>
          </cell>
          <cell r="AC39">
            <v>0.307894</v>
          </cell>
          <cell r="AD39">
            <v>0.31149100000000002</v>
          </cell>
          <cell r="AE39">
            <v>0.31518600000000002</v>
          </cell>
          <cell r="AF39">
            <v>0.31905499999999998</v>
          </cell>
          <cell r="AG39">
            <v>0.32299800000000001</v>
          </cell>
          <cell r="AH39">
            <v>1.3436999999999999E-2</v>
          </cell>
        </row>
        <row r="40">
          <cell r="A40" t="str">
            <v>RKI000:fa_Freezers</v>
          </cell>
          <cell r="C40">
            <v>6.9181000000000006E-2</v>
          </cell>
          <cell r="D40">
            <v>6.8847000000000005E-2</v>
          </cell>
          <cell r="E40">
            <v>6.8697999999999995E-2</v>
          </cell>
          <cell r="F40">
            <v>6.8526000000000004E-2</v>
          </cell>
          <cell r="G40">
            <v>6.8339999999999998E-2</v>
          </cell>
          <cell r="H40">
            <v>6.8156999999999995E-2</v>
          </cell>
          <cell r="I40">
            <v>6.7953E-2</v>
          </cell>
          <cell r="J40">
            <v>6.7707000000000003E-2</v>
          </cell>
          <cell r="K40">
            <v>6.7460999999999993E-2</v>
          </cell>
          <cell r="L40">
            <v>6.7224000000000006E-2</v>
          </cell>
          <cell r="M40">
            <v>6.6994999999999999E-2</v>
          </cell>
          <cell r="N40">
            <v>6.6774E-2</v>
          </cell>
          <cell r="O40">
            <v>6.6570000000000004E-2</v>
          </cell>
          <cell r="P40">
            <v>6.6382999999999998E-2</v>
          </cell>
          <cell r="Q40">
            <v>6.6213999999999995E-2</v>
          </cell>
          <cell r="R40">
            <v>6.6076999999999997E-2</v>
          </cell>
          <cell r="S40">
            <v>6.5975000000000006E-2</v>
          </cell>
          <cell r="T40">
            <v>6.5902000000000002E-2</v>
          </cell>
          <cell r="U40">
            <v>6.5862000000000004E-2</v>
          </cell>
          <cell r="V40">
            <v>6.5854999999999997E-2</v>
          </cell>
          <cell r="W40">
            <v>6.5888000000000002E-2</v>
          </cell>
          <cell r="X40">
            <v>6.5965999999999997E-2</v>
          </cell>
          <cell r="Y40">
            <v>6.6082000000000002E-2</v>
          </cell>
          <cell r="Z40">
            <v>6.6247E-2</v>
          </cell>
          <cell r="AA40">
            <v>6.6464999999999996E-2</v>
          </cell>
          <cell r="AB40">
            <v>6.6737000000000005E-2</v>
          </cell>
          <cell r="AC40">
            <v>6.7062999999999998E-2</v>
          </cell>
          <cell r="AD40">
            <v>6.7429000000000003E-2</v>
          </cell>
          <cell r="AE40">
            <v>6.7790000000000003E-2</v>
          </cell>
          <cell r="AF40">
            <v>6.8152000000000004E-2</v>
          </cell>
          <cell r="AG40">
            <v>6.8514000000000005E-2</v>
          </cell>
          <cell r="AH40">
            <v>-3.2299999999999999E-4</v>
          </cell>
        </row>
        <row r="41">
          <cell r="A41" t="str">
            <v>RKI000:fa_Lighting</v>
          </cell>
          <cell r="C41">
            <v>0.21124499999999999</v>
          </cell>
          <cell r="D41">
            <v>0.20465800000000001</v>
          </cell>
          <cell r="E41">
            <v>0.20252100000000001</v>
          </cell>
          <cell r="F41">
            <v>0.20193</v>
          </cell>
          <cell r="G41">
            <v>0.202401</v>
          </cell>
          <cell r="H41">
            <v>0.201491</v>
          </cell>
          <cell r="I41">
            <v>0.200873</v>
          </cell>
          <cell r="J41">
            <v>0.20083799999999999</v>
          </cell>
          <cell r="K41">
            <v>0.201379</v>
          </cell>
          <cell r="L41">
            <v>0.20219599999999999</v>
          </cell>
          <cell r="M41">
            <v>0.200463</v>
          </cell>
          <cell r="N41">
            <v>0.19920399999999999</v>
          </cell>
          <cell r="O41">
            <v>0.19839200000000001</v>
          </cell>
          <cell r="P41">
            <v>0.197965</v>
          </cell>
          <cell r="Q41">
            <v>0.19794500000000001</v>
          </cell>
          <cell r="R41">
            <v>0.19828599999999999</v>
          </cell>
          <cell r="S41">
            <v>0.19874800000000001</v>
          </cell>
          <cell r="T41">
            <v>0.19925100000000001</v>
          </cell>
          <cell r="U41">
            <v>0.19975699999999999</v>
          </cell>
          <cell r="V41">
            <v>0.20028799999999999</v>
          </cell>
          <cell r="W41">
            <v>0.197496</v>
          </cell>
          <cell r="X41">
            <v>0.195328</v>
          </cell>
          <cell r="Y41">
            <v>0.19364100000000001</v>
          </cell>
          <cell r="Z41">
            <v>0.19243299999999999</v>
          </cell>
          <cell r="AA41">
            <v>0.19162399999999999</v>
          </cell>
          <cell r="AB41">
            <v>0.19103800000000001</v>
          </cell>
          <cell r="AC41">
            <v>0.19062899999999999</v>
          </cell>
          <cell r="AD41">
            <v>0.190303</v>
          </cell>
          <cell r="AE41">
            <v>0.190083</v>
          </cell>
          <cell r="AF41">
            <v>0.19001399999999999</v>
          </cell>
          <cell r="AG41">
            <v>0.190188</v>
          </cell>
          <cell r="AH41">
            <v>-3.4940000000000001E-3</v>
          </cell>
        </row>
        <row r="42">
          <cell r="A42" t="str">
            <v>RKI000:fa_ClothesWasher</v>
          </cell>
          <cell r="C42">
            <v>3.6778999999999999E-2</v>
          </cell>
          <cell r="D42">
            <v>3.7026000000000003E-2</v>
          </cell>
          <cell r="E42">
            <v>3.7374999999999999E-2</v>
          </cell>
          <cell r="F42">
            <v>3.7720999999999998E-2</v>
          </cell>
          <cell r="G42">
            <v>3.8074999999999998E-2</v>
          </cell>
          <cell r="H42">
            <v>3.8448999999999997E-2</v>
          </cell>
          <cell r="I42">
            <v>3.8823999999999997E-2</v>
          </cell>
          <cell r="J42">
            <v>3.918E-2</v>
          </cell>
          <cell r="K42">
            <v>3.9523000000000003E-2</v>
          </cell>
          <cell r="L42">
            <v>3.9855000000000002E-2</v>
          </cell>
          <cell r="M42">
            <v>4.0193E-2</v>
          </cell>
          <cell r="N42">
            <v>4.0518999999999999E-2</v>
          </cell>
          <cell r="O42">
            <v>4.0839E-2</v>
          </cell>
          <cell r="P42">
            <v>4.1152000000000001E-2</v>
          </cell>
          <cell r="Q42">
            <v>4.1454999999999999E-2</v>
          </cell>
          <cell r="R42">
            <v>4.1758999999999998E-2</v>
          </cell>
          <cell r="S42">
            <v>4.206E-2</v>
          </cell>
          <cell r="T42">
            <v>4.2358E-2</v>
          </cell>
          <cell r="U42">
            <v>4.2653000000000003E-2</v>
          </cell>
          <cell r="V42">
            <v>4.2944999999999997E-2</v>
          </cell>
          <cell r="W42">
            <v>4.3240000000000001E-2</v>
          </cell>
          <cell r="X42">
            <v>4.3534999999999997E-2</v>
          </cell>
          <cell r="Y42">
            <v>4.3829E-2</v>
          </cell>
          <cell r="Z42">
            <v>4.4122000000000001E-2</v>
          </cell>
          <cell r="AA42">
            <v>4.4415999999999997E-2</v>
          </cell>
          <cell r="AB42">
            <v>4.4708999999999999E-2</v>
          </cell>
          <cell r="AC42">
            <v>4.5004000000000002E-2</v>
          </cell>
          <cell r="AD42">
            <v>4.5295000000000002E-2</v>
          </cell>
          <cell r="AE42">
            <v>4.5585000000000001E-2</v>
          </cell>
          <cell r="AF42">
            <v>4.5874999999999999E-2</v>
          </cell>
          <cell r="AG42">
            <v>4.6168000000000001E-2</v>
          </cell>
          <cell r="AH42">
            <v>7.607E-3</v>
          </cell>
        </row>
        <row r="43">
          <cell r="A43" t="str">
            <v>RKI000:fa_Dishwashers</v>
          </cell>
          <cell r="C43">
            <v>2.6616999999999998E-2</v>
          </cell>
          <cell r="D43">
            <v>2.6991999999999999E-2</v>
          </cell>
          <cell r="E43">
            <v>2.7431000000000001E-2</v>
          </cell>
          <cell r="F43">
            <v>2.7858999999999998E-2</v>
          </cell>
          <cell r="G43">
            <v>2.8282999999999999E-2</v>
          </cell>
          <cell r="H43">
            <v>2.8708999999999998E-2</v>
          </cell>
          <cell r="I43">
            <v>2.9123E-2</v>
          </cell>
          <cell r="J43">
            <v>2.9508E-2</v>
          </cell>
          <cell r="K43">
            <v>2.9918E-2</v>
          </cell>
          <cell r="L43">
            <v>3.0360000000000002E-2</v>
          </cell>
          <cell r="M43">
            <v>3.083E-2</v>
          </cell>
          <cell r="N43">
            <v>3.1329999999999997E-2</v>
          </cell>
          <cell r="O43">
            <v>3.1868E-2</v>
          </cell>
          <cell r="P43">
            <v>3.2445000000000002E-2</v>
          </cell>
          <cell r="Q43">
            <v>3.3062000000000001E-2</v>
          </cell>
          <cell r="R43">
            <v>3.3676999999999999E-2</v>
          </cell>
          <cell r="S43">
            <v>3.4289E-2</v>
          </cell>
          <cell r="T43">
            <v>3.4896000000000003E-2</v>
          </cell>
          <cell r="U43">
            <v>3.5500999999999998E-2</v>
          </cell>
          <cell r="V43">
            <v>3.6103000000000003E-2</v>
          </cell>
          <cell r="W43">
            <v>3.6706000000000003E-2</v>
          </cell>
          <cell r="X43">
            <v>3.7309000000000002E-2</v>
          </cell>
          <cell r="Y43">
            <v>3.7909999999999999E-2</v>
          </cell>
          <cell r="Z43">
            <v>3.8510000000000003E-2</v>
          </cell>
          <cell r="AA43">
            <v>3.9109999999999999E-2</v>
          </cell>
          <cell r="AB43">
            <v>3.9710000000000002E-2</v>
          </cell>
          <cell r="AC43">
            <v>4.0308999999999998E-2</v>
          </cell>
          <cell r="AD43">
            <v>4.0904999999999997E-2</v>
          </cell>
          <cell r="AE43">
            <v>4.1499000000000001E-2</v>
          </cell>
          <cell r="AF43">
            <v>4.2092999999999998E-2</v>
          </cell>
          <cell r="AG43">
            <v>4.2686000000000002E-2</v>
          </cell>
          <cell r="AH43">
            <v>1.5869999999999999E-2</v>
          </cell>
        </row>
        <row r="44">
          <cell r="A44" t="str">
            <v>RKI000:fa_ColorTelevisi</v>
          </cell>
          <cell r="C44">
            <v>0.20913000000000001</v>
          </cell>
          <cell r="D44">
            <v>0.20516200000000001</v>
          </cell>
          <cell r="E44">
            <v>0.202737</v>
          </cell>
          <cell r="F44">
            <v>0.20082800000000001</v>
          </cell>
          <cell r="G44">
            <v>0.19992599999999999</v>
          </cell>
          <cell r="H44">
            <v>0.19981199999999999</v>
          </cell>
          <cell r="I44">
            <v>0.20025999999999999</v>
          </cell>
          <cell r="J44">
            <v>0.201233</v>
          </cell>
          <cell r="K44">
            <v>0.20279</v>
          </cell>
          <cell r="L44">
            <v>0.20499000000000001</v>
          </cell>
          <cell r="M44">
            <v>0.20774500000000001</v>
          </cell>
          <cell r="N44">
            <v>0.21087900000000001</v>
          </cell>
          <cell r="O44">
            <v>0.21451600000000001</v>
          </cell>
          <cell r="P44">
            <v>0.21862799999999999</v>
          </cell>
          <cell r="Q44">
            <v>0.22312899999999999</v>
          </cell>
          <cell r="R44">
            <v>0.22802700000000001</v>
          </cell>
          <cell r="S44">
            <v>0.23313400000000001</v>
          </cell>
          <cell r="T44">
            <v>0.23827000000000001</v>
          </cell>
          <cell r="U44">
            <v>0.24330499999999999</v>
          </cell>
          <cell r="V44">
            <v>0.24812600000000001</v>
          </cell>
          <cell r="W44">
            <v>0.252637</v>
          </cell>
          <cell r="X44">
            <v>0.25661600000000001</v>
          </cell>
          <cell r="Y44">
            <v>0.26006899999999999</v>
          </cell>
          <cell r="Z44">
            <v>0.26324199999999998</v>
          </cell>
          <cell r="AA44">
            <v>0.266345</v>
          </cell>
          <cell r="AB44">
            <v>0.26934000000000002</v>
          </cell>
          <cell r="AC44">
            <v>0.27229599999999998</v>
          </cell>
          <cell r="AD44">
            <v>0.27520499999999998</v>
          </cell>
          <cell r="AE44">
            <v>0.27812999999999999</v>
          </cell>
          <cell r="AF44">
            <v>0.28109899999999999</v>
          </cell>
          <cell r="AG44">
            <v>0.284057</v>
          </cell>
          <cell r="AH44">
            <v>1.026E-2</v>
          </cell>
        </row>
        <row r="45">
          <cell r="A45" t="str">
            <v>RKI000:fa_PersonalCompu</v>
          </cell>
          <cell r="C45">
            <v>8.6663000000000004E-2</v>
          </cell>
          <cell r="D45">
            <v>8.3815000000000001E-2</v>
          </cell>
          <cell r="E45">
            <v>8.1571000000000005E-2</v>
          </cell>
          <cell r="F45">
            <v>7.9480999999999996E-2</v>
          </cell>
          <cell r="G45">
            <v>7.7709E-2</v>
          </cell>
          <cell r="H45">
            <v>7.6121999999999995E-2</v>
          </cell>
          <cell r="I45">
            <v>7.4638999999999997E-2</v>
          </cell>
          <cell r="J45">
            <v>7.3223999999999997E-2</v>
          </cell>
          <cell r="K45">
            <v>7.1899000000000005E-2</v>
          </cell>
          <cell r="L45">
            <v>7.0669999999999997E-2</v>
          </cell>
          <cell r="M45">
            <v>6.9486999999999993E-2</v>
          </cell>
          <cell r="N45">
            <v>6.8283999999999997E-2</v>
          </cell>
          <cell r="O45">
            <v>6.7100000000000007E-2</v>
          </cell>
          <cell r="P45">
            <v>6.5909999999999996E-2</v>
          </cell>
          <cell r="Q45">
            <v>6.4686999999999995E-2</v>
          </cell>
          <cell r="R45">
            <v>6.3421000000000005E-2</v>
          </cell>
          <cell r="S45">
            <v>6.2059000000000003E-2</v>
          </cell>
          <cell r="T45">
            <v>6.0712000000000002E-2</v>
          </cell>
          <cell r="U45">
            <v>5.9373000000000002E-2</v>
          </cell>
          <cell r="V45">
            <v>5.8027000000000002E-2</v>
          </cell>
          <cell r="W45">
            <v>5.6675000000000003E-2</v>
          </cell>
          <cell r="X45">
            <v>5.5294999999999997E-2</v>
          </cell>
          <cell r="Y45">
            <v>5.3886999999999997E-2</v>
          </cell>
          <cell r="Z45">
            <v>5.2461000000000001E-2</v>
          </cell>
          <cell r="AA45">
            <v>5.1003E-2</v>
          </cell>
          <cell r="AB45">
            <v>4.9484E-2</v>
          </cell>
          <cell r="AC45">
            <v>4.7905000000000003E-2</v>
          </cell>
          <cell r="AD45">
            <v>4.6247999999999997E-2</v>
          </cell>
          <cell r="AE45">
            <v>4.4521999999999999E-2</v>
          </cell>
          <cell r="AF45">
            <v>4.2687000000000003E-2</v>
          </cell>
          <cell r="AG45">
            <v>4.0729000000000001E-2</v>
          </cell>
          <cell r="AH45">
            <v>-2.4854999999999999E-2</v>
          </cell>
        </row>
        <row r="46">
          <cell r="A46" t="str">
            <v>RKI000:fa_FurnaceFans</v>
          </cell>
          <cell r="C46">
            <v>7.8188999999999995E-2</v>
          </cell>
          <cell r="D46">
            <v>8.4182999999999994E-2</v>
          </cell>
          <cell r="E46">
            <v>8.5001999999999994E-2</v>
          </cell>
          <cell r="F46">
            <v>8.5620000000000002E-2</v>
          </cell>
          <cell r="G46">
            <v>8.6391999999999997E-2</v>
          </cell>
          <cell r="H46">
            <v>8.7022000000000002E-2</v>
          </cell>
          <cell r="I46">
            <v>8.7474999999999997E-2</v>
          </cell>
          <cell r="J46">
            <v>8.7863999999999998E-2</v>
          </cell>
          <cell r="K46">
            <v>8.8203000000000004E-2</v>
          </cell>
          <cell r="L46">
            <v>8.8428000000000007E-2</v>
          </cell>
          <cell r="M46">
            <v>8.8433999999999999E-2</v>
          </cell>
          <cell r="N46">
            <v>8.8325000000000001E-2</v>
          </cell>
          <cell r="O46">
            <v>8.8066000000000005E-2</v>
          </cell>
          <cell r="P46">
            <v>8.7601999999999999E-2</v>
          </cell>
          <cell r="Q46">
            <v>8.6923E-2</v>
          </cell>
          <cell r="R46">
            <v>8.6102999999999999E-2</v>
          </cell>
          <cell r="S46">
            <v>8.5139000000000006E-2</v>
          </cell>
          <cell r="T46">
            <v>8.4037000000000001E-2</v>
          </cell>
          <cell r="U46">
            <v>8.2822999999999994E-2</v>
          </cell>
          <cell r="V46">
            <v>8.1584000000000004E-2</v>
          </cell>
          <cell r="W46">
            <v>8.0390000000000003E-2</v>
          </cell>
          <cell r="X46">
            <v>7.9242000000000007E-2</v>
          </cell>
          <cell r="Y46">
            <v>7.8127000000000002E-2</v>
          </cell>
          <cell r="Z46">
            <v>7.7107999999999996E-2</v>
          </cell>
          <cell r="AA46">
            <v>7.6200000000000004E-2</v>
          </cell>
          <cell r="AB46">
            <v>7.5408000000000003E-2</v>
          </cell>
          <cell r="AC46">
            <v>7.4749999999999997E-2</v>
          </cell>
          <cell r="AD46">
            <v>7.4200000000000002E-2</v>
          </cell>
          <cell r="AE46">
            <v>7.3778999999999997E-2</v>
          </cell>
          <cell r="AF46">
            <v>7.3468000000000006E-2</v>
          </cell>
          <cell r="AG46">
            <v>7.3273000000000005E-2</v>
          </cell>
          <cell r="AH46">
            <v>-2.1619999999999999E-3</v>
          </cell>
        </row>
        <row r="47">
          <cell r="A47" t="str">
            <v>RKI000:fa_OtherUses</v>
          </cell>
          <cell r="C47">
            <v>1.782232</v>
          </cell>
          <cell r="D47">
            <v>1.818837</v>
          </cell>
          <cell r="E47">
            <v>1.7344930000000001</v>
          </cell>
          <cell r="F47">
            <v>1.7519929999999999</v>
          </cell>
          <cell r="G47">
            <v>1.7678430000000001</v>
          </cell>
          <cell r="H47">
            <v>1.7855730000000001</v>
          </cell>
          <cell r="I47">
            <v>1.8115870000000001</v>
          </cell>
          <cell r="J47">
            <v>1.8356129999999999</v>
          </cell>
          <cell r="K47">
            <v>1.8602780000000001</v>
          </cell>
          <cell r="L47">
            <v>1.8846989999999999</v>
          </cell>
          <cell r="M47">
            <v>1.9090450000000001</v>
          </cell>
          <cell r="N47">
            <v>1.9318519999999999</v>
          </cell>
          <cell r="O47">
            <v>1.955325</v>
          </cell>
          <cell r="P47">
            <v>1.97879</v>
          </cell>
          <cell r="Q47">
            <v>2.0066739999999998</v>
          </cell>
          <cell r="R47">
            <v>2.0347849999999998</v>
          </cell>
          <cell r="S47">
            <v>2.063161</v>
          </cell>
          <cell r="T47">
            <v>2.0911780000000002</v>
          </cell>
          <cell r="U47">
            <v>2.118852</v>
          </cell>
          <cell r="V47">
            <v>2.1473849999999999</v>
          </cell>
          <cell r="W47">
            <v>2.1765509999999999</v>
          </cell>
          <cell r="X47">
            <v>2.2055920000000002</v>
          </cell>
          <cell r="Y47">
            <v>2.235001</v>
          </cell>
          <cell r="Z47">
            <v>2.264894</v>
          </cell>
          <cell r="AA47">
            <v>2.294718</v>
          </cell>
          <cell r="AB47">
            <v>2.3253870000000001</v>
          </cell>
          <cell r="AC47">
            <v>2.355893</v>
          </cell>
          <cell r="AD47">
            <v>2.3862860000000001</v>
          </cell>
          <cell r="AE47">
            <v>2.4192659999999999</v>
          </cell>
          <cell r="AF47">
            <v>2.4529139999999998</v>
          </cell>
          <cell r="AG47">
            <v>2.4869430000000001</v>
          </cell>
          <cell r="AH47">
            <v>1.1168000000000001E-2</v>
          </cell>
        </row>
        <row r="48">
          <cell r="A48" t="str">
            <v>RKI000:fa_DeliveredEner</v>
          </cell>
          <cell r="C48">
            <v>5.1309459999999998</v>
          </cell>
          <cell r="D48">
            <v>5.1750970000000001</v>
          </cell>
          <cell r="E48">
            <v>5.1948220000000003</v>
          </cell>
          <cell r="F48">
            <v>5.2247170000000001</v>
          </cell>
          <cell r="G48">
            <v>5.2597699999999996</v>
          </cell>
          <cell r="H48">
            <v>5.2973460000000001</v>
          </cell>
          <cell r="I48">
            <v>5.3417539999999999</v>
          </cell>
          <cell r="J48">
            <v>5.3828639999999996</v>
          </cell>
          <cell r="K48">
            <v>5.4251149999999999</v>
          </cell>
          <cell r="L48">
            <v>5.4677100000000003</v>
          </cell>
          <cell r="M48">
            <v>5.5076280000000004</v>
          </cell>
          <cell r="N48">
            <v>5.5467219999999999</v>
          </cell>
          <cell r="O48">
            <v>5.5886829999999996</v>
          </cell>
          <cell r="P48">
            <v>5.6331569999999997</v>
          </cell>
          <cell r="Q48">
            <v>5.6848840000000003</v>
          </cell>
          <cell r="R48">
            <v>5.7410990000000002</v>
          </cell>
          <cell r="S48">
            <v>5.7989839999999999</v>
          </cell>
          <cell r="T48">
            <v>5.8581079999999996</v>
          </cell>
          <cell r="U48">
            <v>5.9166119999999998</v>
          </cell>
          <cell r="V48">
            <v>5.9755700000000003</v>
          </cell>
          <cell r="W48">
            <v>6.0327279999999996</v>
          </cell>
          <cell r="X48">
            <v>6.0894979999999999</v>
          </cell>
          <cell r="Y48">
            <v>6.147964</v>
          </cell>
          <cell r="Z48">
            <v>6.2077249999999999</v>
          </cell>
          <cell r="AA48">
            <v>6.2689680000000001</v>
          </cell>
          <cell r="AB48">
            <v>6.3308669999999996</v>
          </cell>
          <cell r="AC48">
            <v>6.3943700000000003</v>
          </cell>
          <cell r="AD48">
            <v>6.4583029999999999</v>
          </cell>
          <cell r="AE48">
            <v>6.5272379999999997</v>
          </cell>
          <cell r="AF48">
            <v>6.5986260000000003</v>
          </cell>
          <cell r="AG48">
            <v>6.6721069999999996</v>
          </cell>
          <cell r="AH48">
            <v>8.7930000000000005E-3</v>
          </cell>
        </row>
        <row r="49">
          <cell r="A49" t="str">
            <v>RKI000:fa_OwnGeneration</v>
          </cell>
          <cell r="C49">
            <v>7.8133999999999995E-2</v>
          </cell>
          <cell r="D49">
            <v>8.9459999999999998E-2</v>
          </cell>
          <cell r="E49">
            <v>9.9012000000000003E-2</v>
          </cell>
          <cell r="F49">
            <v>0.108281</v>
          </cell>
          <cell r="G49">
            <v>0.11738</v>
          </cell>
          <cell r="H49">
            <v>0.126529</v>
          </cell>
          <cell r="I49">
            <v>0.13586699999999999</v>
          </cell>
          <cell r="J49">
            <v>0.145236</v>
          </cell>
          <cell r="K49">
            <v>0.154673</v>
          </cell>
          <cell r="L49">
            <v>0.16417200000000001</v>
          </cell>
          <cell r="M49">
            <v>0.17386699999999999</v>
          </cell>
          <cell r="N49">
            <v>0.18379300000000001</v>
          </cell>
          <cell r="O49">
            <v>0.19391700000000001</v>
          </cell>
          <cell r="P49">
            <v>0.20421900000000001</v>
          </cell>
          <cell r="Q49">
            <v>0.214726</v>
          </cell>
          <cell r="R49">
            <v>0.22539300000000001</v>
          </cell>
          <cell r="S49">
            <v>0.23625399999999999</v>
          </cell>
          <cell r="T49">
            <v>0.247311</v>
          </cell>
          <cell r="U49">
            <v>0.25860100000000003</v>
          </cell>
          <cell r="V49">
            <v>0.27011499999999999</v>
          </cell>
          <cell r="W49">
            <v>0.28189500000000001</v>
          </cell>
          <cell r="X49">
            <v>0.29394199999999998</v>
          </cell>
          <cell r="Y49">
            <v>0.30629499999999998</v>
          </cell>
          <cell r="Z49">
            <v>0.31898300000000002</v>
          </cell>
          <cell r="AA49">
            <v>0.33201700000000001</v>
          </cell>
          <cell r="AB49">
            <v>0.34545999999999999</v>
          </cell>
          <cell r="AC49">
            <v>0.35925099999999999</v>
          </cell>
          <cell r="AD49">
            <v>0.373388</v>
          </cell>
          <cell r="AE49">
            <v>0.38795400000000002</v>
          </cell>
          <cell r="AF49">
            <v>0.40290599999999999</v>
          </cell>
          <cell r="AG49">
            <v>0.41825600000000002</v>
          </cell>
          <cell r="AH49">
            <v>5.7514999999999997E-2</v>
          </cell>
        </row>
        <row r="50">
          <cell r="A50" t="str">
            <v>RKI000:fa_PurchasedElec</v>
          </cell>
          <cell r="C50">
            <v>5.0528120000000003</v>
          </cell>
          <cell r="D50">
            <v>5.0856370000000002</v>
          </cell>
          <cell r="E50">
            <v>5.0958110000000003</v>
          </cell>
          <cell r="F50">
            <v>5.1164360000000002</v>
          </cell>
          <cell r="G50">
            <v>5.1423909999999999</v>
          </cell>
          <cell r="H50">
            <v>5.1708170000000004</v>
          </cell>
          <cell r="I50">
            <v>5.2058869999999997</v>
          </cell>
          <cell r="J50">
            <v>5.237628</v>
          </cell>
          <cell r="K50">
            <v>5.2704420000000001</v>
          </cell>
          <cell r="L50">
            <v>5.3035379999999996</v>
          </cell>
          <cell r="M50">
            <v>5.333761</v>
          </cell>
          <cell r="N50">
            <v>5.3629300000000004</v>
          </cell>
          <cell r="O50">
            <v>5.3947649999999996</v>
          </cell>
          <cell r="P50">
            <v>5.4289379999999996</v>
          </cell>
          <cell r="Q50">
            <v>5.4701579999999996</v>
          </cell>
          <cell r="R50">
            <v>5.5157069999999999</v>
          </cell>
          <cell r="S50">
            <v>5.562729</v>
          </cell>
          <cell r="T50">
            <v>5.6107959999999997</v>
          </cell>
          <cell r="U50">
            <v>5.65801</v>
          </cell>
          <cell r="V50">
            <v>5.7054549999999997</v>
          </cell>
          <cell r="W50">
            <v>5.7508330000000001</v>
          </cell>
          <cell r="X50">
            <v>5.7955560000000004</v>
          </cell>
          <cell r="Y50">
            <v>5.8416689999999996</v>
          </cell>
          <cell r="Z50">
            <v>5.8887409999999996</v>
          </cell>
          <cell r="AA50">
            <v>5.9369509999999996</v>
          </cell>
          <cell r="AB50">
            <v>5.9854070000000004</v>
          </cell>
          <cell r="AC50">
            <v>6.0351189999999999</v>
          </cell>
          <cell r="AD50">
            <v>6.0849159999999998</v>
          </cell>
          <cell r="AE50">
            <v>6.139284</v>
          </cell>
          <cell r="AF50">
            <v>6.1957209999999998</v>
          </cell>
          <cell r="AG50">
            <v>6.253851</v>
          </cell>
          <cell r="AH50">
            <v>7.1339999999999997E-3</v>
          </cell>
        </row>
        <row r="53">
          <cell r="A53" t="str">
            <v>RKI000:ga_SpaceHeating</v>
          </cell>
          <cell r="C53">
            <v>3.5271979999999998</v>
          </cell>
          <cell r="D53">
            <v>3.4068170000000002</v>
          </cell>
          <cell r="E53">
            <v>3.5381719999999999</v>
          </cell>
          <cell r="F53">
            <v>3.5356019999999999</v>
          </cell>
          <cell r="G53">
            <v>3.5398179999999999</v>
          </cell>
          <cell r="H53">
            <v>3.535704</v>
          </cell>
          <cell r="I53">
            <v>3.5229430000000002</v>
          </cell>
          <cell r="J53">
            <v>3.505328</v>
          </cell>
          <cell r="K53">
            <v>3.4882430000000002</v>
          </cell>
          <cell r="L53">
            <v>3.4696370000000001</v>
          </cell>
          <cell r="M53">
            <v>3.4476300000000002</v>
          </cell>
          <cell r="N53">
            <v>3.4280680000000001</v>
          </cell>
          <cell r="O53">
            <v>3.4110649999999998</v>
          </cell>
          <cell r="P53">
            <v>3.3951519999999999</v>
          </cell>
          <cell r="Q53">
            <v>3.3800249999999998</v>
          </cell>
          <cell r="R53">
            <v>3.3672270000000002</v>
          </cell>
          <cell r="S53">
            <v>3.3551799999999998</v>
          </cell>
          <cell r="T53">
            <v>3.3433769999999998</v>
          </cell>
          <cell r="U53">
            <v>3.3330289999999998</v>
          </cell>
          <cell r="V53">
            <v>3.3236430000000001</v>
          </cell>
          <cell r="W53">
            <v>3.3156490000000001</v>
          </cell>
          <cell r="X53">
            <v>3.3071489999999999</v>
          </cell>
          <cell r="Y53">
            <v>3.298006</v>
          </cell>
          <cell r="Z53">
            <v>3.2885770000000001</v>
          </cell>
          <cell r="AA53">
            <v>3.2791389999999998</v>
          </cell>
          <cell r="AB53">
            <v>3.2696429999999999</v>
          </cell>
          <cell r="AC53">
            <v>3.2606869999999999</v>
          </cell>
          <cell r="AD53">
            <v>3.2516229999999999</v>
          </cell>
          <cell r="AE53">
            <v>3.2431939999999999</v>
          </cell>
          <cell r="AF53">
            <v>3.234245</v>
          </cell>
          <cell r="AG53">
            <v>3.2248079999999999</v>
          </cell>
          <cell r="AH53">
            <v>-2.983E-3</v>
          </cell>
        </row>
        <row r="54">
          <cell r="A54" t="str">
            <v>RKI000:ga_SpaceCooling</v>
          </cell>
          <cell r="C54">
            <v>5.8618000000000003E-2</v>
          </cell>
          <cell r="D54">
            <v>5.5421999999999999E-2</v>
          </cell>
          <cell r="E54">
            <v>6.0291999999999998E-2</v>
          </cell>
          <cell r="F54">
            <v>6.0192000000000002E-2</v>
          </cell>
          <cell r="G54">
            <v>6.0163000000000001E-2</v>
          </cell>
          <cell r="H54">
            <v>6.0023E-2</v>
          </cell>
          <cell r="I54">
            <v>5.9796000000000002E-2</v>
          </cell>
          <cell r="J54">
            <v>5.9541999999999998E-2</v>
          </cell>
          <cell r="K54">
            <v>5.9324000000000002E-2</v>
          </cell>
          <cell r="L54">
            <v>5.9101000000000001E-2</v>
          </cell>
          <cell r="M54">
            <v>5.8810000000000001E-2</v>
          </cell>
          <cell r="N54">
            <v>5.8534999999999997E-2</v>
          </cell>
          <cell r="O54">
            <v>5.8282E-2</v>
          </cell>
          <cell r="P54">
            <v>5.8022999999999998E-2</v>
          </cell>
          <cell r="Q54">
            <v>5.7819000000000002E-2</v>
          </cell>
          <cell r="R54">
            <v>5.7718999999999999E-2</v>
          </cell>
          <cell r="S54">
            <v>5.7716999999999997E-2</v>
          </cell>
          <cell r="T54">
            <v>5.7849999999999999E-2</v>
          </cell>
          <cell r="U54">
            <v>5.8006000000000002E-2</v>
          </cell>
          <cell r="V54">
            <v>5.8187000000000003E-2</v>
          </cell>
          <cell r="W54">
            <v>5.8388000000000002E-2</v>
          </cell>
          <cell r="X54">
            <v>5.8542999999999998E-2</v>
          </cell>
          <cell r="Y54">
            <v>5.8715000000000003E-2</v>
          </cell>
          <cell r="Z54">
            <v>5.8860999999999997E-2</v>
          </cell>
          <cell r="AA54">
            <v>5.9041999999999997E-2</v>
          </cell>
          <cell r="AB54">
            <v>5.9193999999999997E-2</v>
          </cell>
          <cell r="AC54">
            <v>5.9373000000000002E-2</v>
          </cell>
          <cell r="AD54">
            <v>5.9533000000000003E-2</v>
          </cell>
          <cell r="AE54">
            <v>5.9739E-2</v>
          </cell>
          <cell r="AF54">
            <v>5.9929999999999997E-2</v>
          </cell>
          <cell r="AG54">
            <v>6.0134E-2</v>
          </cell>
          <cell r="AH54">
            <v>8.52E-4</v>
          </cell>
        </row>
        <row r="55">
          <cell r="A55" t="str">
            <v>RKI000:ga_WaterHeating</v>
          </cell>
          <cell r="C55">
            <v>1.007279</v>
          </cell>
          <cell r="D55">
            <v>1.0041690000000001</v>
          </cell>
          <cell r="E55">
            <v>1.007347</v>
          </cell>
          <cell r="F55">
            <v>1.014073</v>
          </cell>
          <cell r="G55">
            <v>1.0237890000000001</v>
          </cell>
          <cell r="H55">
            <v>1.0331030000000001</v>
          </cell>
          <cell r="I55">
            <v>1.0415760000000001</v>
          </cell>
          <cell r="J55">
            <v>1.0490330000000001</v>
          </cell>
          <cell r="K55">
            <v>1.0568759999999999</v>
          </cell>
          <cell r="L55">
            <v>1.0648519999999999</v>
          </cell>
          <cell r="M55">
            <v>1.0706519999999999</v>
          </cell>
          <cell r="N55">
            <v>1.0764830000000001</v>
          </cell>
          <cell r="O55">
            <v>1.0828819999999999</v>
          </cell>
          <cell r="P55">
            <v>1.089521</v>
          </cell>
          <cell r="Q55">
            <v>1.095863</v>
          </cell>
          <cell r="R55">
            <v>1.10233</v>
          </cell>
          <cell r="S55">
            <v>1.108471</v>
          </cell>
          <cell r="T55">
            <v>1.114128</v>
          </cell>
          <cell r="U55">
            <v>1.1194850000000001</v>
          </cell>
          <cell r="V55">
            <v>1.124763</v>
          </cell>
          <cell r="W55">
            <v>1.1300380000000001</v>
          </cell>
          <cell r="X55">
            <v>1.1350690000000001</v>
          </cell>
          <cell r="Y55">
            <v>1.139977</v>
          </cell>
          <cell r="Z55">
            <v>1.1451070000000001</v>
          </cell>
          <cell r="AA55">
            <v>1.1505080000000001</v>
          </cell>
          <cell r="AB55">
            <v>1.1562790000000001</v>
          </cell>
          <cell r="AC55">
            <v>1.16249</v>
          </cell>
          <cell r="AD55">
            <v>1.1689529999999999</v>
          </cell>
          <cell r="AE55">
            <v>1.175813</v>
          </cell>
          <cell r="AF55">
            <v>1.18275</v>
          </cell>
          <cell r="AG55">
            <v>1.189524</v>
          </cell>
          <cell r="AH55">
            <v>5.5589999999999997E-3</v>
          </cell>
        </row>
        <row r="56">
          <cell r="A56" t="str">
            <v>RKI000:ga_Cooking</v>
          </cell>
          <cell r="C56">
            <v>0.10345600000000001</v>
          </cell>
          <cell r="D56">
            <v>0.103327</v>
          </cell>
          <cell r="E56">
            <v>0.103488</v>
          </cell>
          <cell r="F56">
            <v>0.103641</v>
          </cell>
          <cell r="G56">
            <v>0.103815</v>
          </cell>
          <cell r="H56">
            <v>0.10403</v>
          </cell>
          <cell r="I56">
            <v>0.10424</v>
          </cell>
          <cell r="J56">
            <v>0.104418</v>
          </cell>
          <cell r="K56">
            <v>0.10459599999999999</v>
          </cell>
          <cell r="L56">
            <v>0.104837</v>
          </cell>
          <cell r="M56">
            <v>0.105138</v>
          </cell>
          <cell r="N56">
            <v>0.105513</v>
          </cell>
          <cell r="O56">
            <v>0.105978</v>
          </cell>
          <cell r="P56">
            <v>0.10654</v>
          </cell>
          <cell r="Q56">
            <v>0.107144</v>
          </cell>
          <cell r="R56">
            <v>0.10781</v>
          </cell>
          <cell r="S56">
            <v>0.10852199999999999</v>
          </cell>
          <cell r="T56">
            <v>0.109274</v>
          </cell>
          <cell r="U56">
            <v>0.11004700000000001</v>
          </cell>
          <cell r="V56">
            <v>0.110843</v>
          </cell>
          <cell r="W56">
            <v>0.11167000000000001</v>
          </cell>
          <cell r="X56">
            <v>0.112526</v>
          </cell>
          <cell r="Y56">
            <v>0.113409</v>
          </cell>
          <cell r="Z56">
            <v>0.11432199999999999</v>
          </cell>
          <cell r="AA56">
            <v>0.115263</v>
          </cell>
          <cell r="AB56">
            <v>0.116226</v>
          </cell>
          <cell r="AC56">
            <v>0.117205</v>
          </cell>
          <cell r="AD56">
            <v>0.118188</v>
          </cell>
          <cell r="AE56">
            <v>0.11916499999999999</v>
          </cell>
          <cell r="AF56">
            <v>0.120132</v>
          </cell>
          <cell r="AG56">
            <v>0.12108099999999999</v>
          </cell>
          <cell r="AH56">
            <v>5.2570000000000004E-3</v>
          </cell>
        </row>
        <row r="57">
          <cell r="A57" t="str">
            <v>RKI000:ga_ClothesDryers</v>
          </cell>
          <cell r="C57">
            <v>3.9426999999999997E-2</v>
          </cell>
          <cell r="D57">
            <v>3.9794000000000003E-2</v>
          </cell>
          <cell r="E57">
            <v>4.0383000000000002E-2</v>
          </cell>
          <cell r="F57">
            <v>4.1098000000000003E-2</v>
          </cell>
          <cell r="G57">
            <v>4.1911999999999998E-2</v>
          </cell>
          <cell r="H57">
            <v>4.2687999999999997E-2</v>
          </cell>
          <cell r="I57">
            <v>4.3422000000000002E-2</v>
          </cell>
          <cell r="J57">
            <v>4.4122000000000001E-2</v>
          </cell>
          <cell r="K57">
            <v>4.4798999999999999E-2</v>
          </cell>
          <cell r="L57">
            <v>4.5449999999999997E-2</v>
          </cell>
          <cell r="M57">
            <v>4.5976000000000003E-2</v>
          </cell>
          <cell r="N57">
            <v>4.6544000000000002E-2</v>
          </cell>
          <cell r="O57">
            <v>4.7157999999999999E-2</v>
          </cell>
          <cell r="P57">
            <v>4.7801000000000003E-2</v>
          </cell>
          <cell r="Q57">
            <v>4.8443E-2</v>
          </cell>
          <cell r="R57">
            <v>4.9086999999999999E-2</v>
          </cell>
          <cell r="S57">
            <v>4.9716000000000003E-2</v>
          </cell>
          <cell r="T57">
            <v>5.0361999999999997E-2</v>
          </cell>
          <cell r="U57">
            <v>5.1031E-2</v>
          </cell>
          <cell r="V57">
            <v>5.1721000000000003E-2</v>
          </cell>
          <cell r="W57">
            <v>5.2427000000000001E-2</v>
          </cell>
          <cell r="X57">
            <v>5.3130999999999998E-2</v>
          </cell>
          <cell r="Y57">
            <v>5.3830999999999997E-2</v>
          </cell>
          <cell r="Z57">
            <v>5.4533999999999999E-2</v>
          </cell>
          <cell r="AA57">
            <v>5.5234999999999999E-2</v>
          </cell>
          <cell r="AB57">
            <v>5.5934999999999999E-2</v>
          </cell>
          <cell r="AC57">
            <v>5.6635999999999999E-2</v>
          </cell>
          <cell r="AD57">
            <v>5.7333000000000002E-2</v>
          </cell>
          <cell r="AE57">
            <v>5.8035000000000003E-2</v>
          </cell>
          <cell r="AF57">
            <v>5.8729000000000003E-2</v>
          </cell>
          <cell r="AG57">
            <v>5.9408000000000002E-2</v>
          </cell>
          <cell r="AH57">
            <v>1.376E-2</v>
          </cell>
        </row>
        <row r="58">
          <cell r="A58" t="str">
            <v>RKI000:ga_OtherNatGas</v>
          </cell>
          <cell r="C58">
            <v>0.233372</v>
          </cell>
          <cell r="D58">
            <v>0.23185500000000001</v>
          </cell>
          <cell r="E58">
            <v>0.23150200000000001</v>
          </cell>
          <cell r="F58">
            <v>0.23178599999999999</v>
          </cell>
          <cell r="G58">
            <v>0.23241100000000001</v>
          </cell>
          <cell r="H58">
            <v>0.232655</v>
          </cell>
          <cell r="I58">
            <v>0.232517</v>
          </cell>
          <cell r="J58">
            <v>0.23203799999999999</v>
          </cell>
          <cell r="K58">
            <v>0.23147699999999999</v>
          </cell>
          <cell r="L58">
            <v>0.23080999999999999</v>
          </cell>
          <cell r="M58">
            <v>0.229433</v>
          </cell>
          <cell r="N58">
            <v>0.22833200000000001</v>
          </cell>
          <cell r="O58">
            <v>0.22751299999999999</v>
          </cell>
          <cell r="P58">
            <v>0.226939</v>
          </cell>
          <cell r="Q58">
            <v>0.22645000000000001</v>
          </cell>
          <cell r="R58">
            <v>0.22605900000000001</v>
          </cell>
          <cell r="S58">
            <v>0.22570499999999999</v>
          </cell>
          <cell r="T58">
            <v>0.225355</v>
          </cell>
          <cell r="U58">
            <v>0.22502800000000001</v>
          </cell>
          <cell r="V58">
            <v>0.22472800000000001</v>
          </cell>
          <cell r="W58">
            <v>0.22443299999999999</v>
          </cell>
          <cell r="X58">
            <v>0.22409799999999999</v>
          </cell>
          <cell r="Y58">
            <v>0.22373199999999999</v>
          </cell>
          <cell r="Z58">
            <v>0.22336800000000001</v>
          </cell>
          <cell r="AA58">
            <v>0.223001</v>
          </cell>
          <cell r="AB58">
            <v>0.222637</v>
          </cell>
          <cell r="AC58">
            <v>0.22229299999999999</v>
          </cell>
          <cell r="AD58">
            <v>0.22195400000000001</v>
          </cell>
          <cell r="AE58">
            <v>0.22166</v>
          </cell>
          <cell r="AF58">
            <v>0.221362</v>
          </cell>
          <cell r="AG58">
            <v>0.221026</v>
          </cell>
          <cell r="AH58">
            <v>-1.81E-3</v>
          </cell>
        </row>
        <row r="59">
          <cell r="A59" t="str">
            <v>RKI000:ga_DeliveredEner</v>
          </cell>
          <cell r="C59">
            <v>4.9693500000000004</v>
          </cell>
          <cell r="D59">
            <v>4.8413839999999997</v>
          </cell>
          <cell r="E59">
            <v>4.9811839999999998</v>
          </cell>
          <cell r="F59">
            <v>4.9863920000000004</v>
          </cell>
          <cell r="G59">
            <v>5.0019070000000001</v>
          </cell>
          <cell r="H59">
            <v>5.008203</v>
          </cell>
          <cell r="I59">
            <v>5.0044950000000004</v>
          </cell>
          <cell r="J59">
            <v>4.9944800000000003</v>
          </cell>
          <cell r="K59">
            <v>4.9853160000000001</v>
          </cell>
          <cell r="L59">
            <v>4.9746870000000003</v>
          </cell>
          <cell r="M59">
            <v>4.9576399999999996</v>
          </cell>
          <cell r="N59">
            <v>4.9434750000000003</v>
          </cell>
          <cell r="O59">
            <v>4.9328779999999997</v>
          </cell>
          <cell r="P59">
            <v>4.9239769999999998</v>
          </cell>
          <cell r="Q59">
            <v>4.9157450000000003</v>
          </cell>
          <cell r="R59">
            <v>4.9102319999999997</v>
          </cell>
          <cell r="S59">
            <v>4.9053110000000002</v>
          </cell>
          <cell r="T59">
            <v>4.9003480000000001</v>
          </cell>
          <cell r="U59">
            <v>4.8966260000000004</v>
          </cell>
          <cell r="V59">
            <v>4.893885</v>
          </cell>
          <cell r="W59">
            <v>4.8926049999999996</v>
          </cell>
          <cell r="X59">
            <v>4.8905159999999999</v>
          </cell>
          <cell r="Y59">
            <v>4.88767</v>
          </cell>
          <cell r="Z59">
            <v>4.8847680000000002</v>
          </cell>
          <cell r="AA59">
            <v>4.8821870000000001</v>
          </cell>
          <cell r="AB59">
            <v>4.8799149999999996</v>
          </cell>
          <cell r="AC59">
            <v>4.8786829999999997</v>
          </cell>
          <cell r="AD59">
            <v>4.8775849999999998</v>
          </cell>
          <cell r="AE59">
            <v>4.877605</v>
          </cell>
          <cell r="AF59">
            <v>4.877148</v>
          </cell>
          <cell r="AG59">
            <v>4.8759800000000002</v>
          </cell>
          <cell r="AH59">
            <v>-6.3199999999999997E-4</v>
          </cell>
        </row>
        <row r="62">
          <cell r="A62" t="str">
            <v>RKI000:ha_SpaceHeating</v>
          </cell>
          <cell r="C62">
            <v>0.372664</v>
          </cell>
          <cell r="D62">
            <v>0.399955</v>
          </cell>
          <cell r="E62">
            <v>0.39968799999999999</v>
          </cell>
          <cell r="F62">
            <v>0.38928299999999999</v>
          </cell>
          <cell r="G62">
            <v>0.37951299999999999</v>
          </cell>
          <cell r="H62">
            <v>0.37123200000000001</v>
          </cell>
          <cell r="I62">
            <v>0.36319899999999999</v>
          </cell>
          <cell r="J62">
            <v>0.35584300000000002</v>
          </cell>
          <cell r="K62">
            <v>0.34920899999999999</v>
          </cell>
          <cell r="L62">
            <v>0.34301399999999999</v>
          </cell>
          <cell r="M62">
            <v>0.337038</v>
          </cell>
          <cell r="N62">
            <v>0.33146399999999998</v>
          </cell>
          <cell r="O62">
            <v>0.32606499999999999</v>
          </cell>
          <cell r="P62">
            <v>0.320905</v>
          </cell>
          <cell r="Q62">
            <v>0.31589800000000001</v>
          </cell>
          <cell r="R62">
            <v>0.31137300000000001</v>
          </cell>
          <cell r="S62">
            <v>0.30709900000000001</v>
          </cell>
          <cell r="T62">
            <v>0.30277500000000002</v>
          </cell>
          <cell r="U62">
            <v>0.29836299999999999</v>
          </cell>
          <cell r="V62">
            <v>0.29428900000000002</v>
          </cell>
          <cell r="W62">
            <v>0.29003899999999999</v>
          </cell>
          <cell r="X62">
            <v>0.28581899999999999</v>
          </cell>
          <cell r="Y62">
            <v>0.281613</v>
          </cell>
          <cell r="Z62">
            <v>0.27742600000000001</v>
          </cell>
          <cell r="AA62">
            <v>0.27319500000000002</v>
          </cell>
          <cell r="AB62">
            <v>0.268874</v>
          </cell>
          <cell r="AC62">
            <v>0.26463199999999998</v>
          </cell>
          <cell r="AD62">
            <v>0.26042599999999999</v>
          </cell>
          <cell r="AE62">
            <v>0.256324</v>
          </cell>
          <cell r="AF62">
            <v>0.25215399999999999</v>
          </cell>
          <cell r="AG62">
            <v>0.24796299999999999</v>
          </cell>
          <cell r="AH62">
            <v>-1.3488E-2</v>
          </cell>
        </row>
        <row r="63">
          <cell r="A63" t="str">
            <v>RKI000:ha_WaterHeating</v>
          </cell>
          <cell r="C63">
            <v>4.8758999999999997E-2</v>
          </cell>
          <cell r="D63">
            <v>4.7107999999999997E-2</v>
          </cell>
          <cell r="E63">
            <v>4.5227999999999997E-2</v>
          </cell>
          <cell r="F63">
            <v>4.3108E-2</v>
          </cell>
          <cell r="G63">
            <v>4.1235000000000001E-2</v>
          </cell>
          <cell r="H63">
            <v>3.9720999999999999E-2</v>
          </cell>
          <cell r="I63">
            <v>3.8404000000000001E-2</v>
          </cell>
          <cell r="J63">
            <v>3.7331000000000003E-2</v>
          </cell>
          <cell r="K63">
            <v>3.6495E-2</v>
          </cell>
          <cell r="L63">
            <v>3.5866000000000002E-2</v>
          </cell>
          <cell r="M63">
            <v>3.5411999999999999E-2</v>
          </cell>
          <cell r="N63">
            <v>3.4931999999999998E-2</v>
          </cell>
          <cell r="O63">
            <v>3.4422000000000001E-2</v>
          </cell>
          <cell r="P63">
            <v>3.3897999999999998E-2</v>
          </cell>
          <cell r="Q63">
            <v>3.3360000000000001E-2</v>
          </cell>
          <cell r="R63">
            <v>3.2837999999999999E-2</v>
          </cell>
          <cell r="S63">
            <v>3.2328999999999997E-2</v>
          </cell>
          <cell r="T63">
            <v>3.1798E-2</v>
          </cell>
          <cell r="U63">
            <v>3.1244000000000001E-2</v>
          </cell>
          <cell r="V63">
            <v>3.0721999999999999E-2</v>
          </cell>
          <cell r="W63">
            <v>3.0176000000000001E-2</v>
          </cell>
          <cell r="X63">
            <v>2.9644E-2</v>
          </cell>
          <cell r="Y63">
            <v>2.9135999999999999E-2</v>
          </cell>
          <cell r="Z63">
            <v>2.8657999999999999E-2</v>
          </cell>
          <cell r="AA63">
            <v>2.8198999999999998E-2</v>
          </cell>
          <cell r="AB63">
            <v>2.775E-2</v>
          </cell>
          <cell r="AC63">
            <v>2.733E-2</v>
          </cell>
          <cell r="AD63">
            <v>2.6935000000000001E-2</v>
          </cell>
          <cell r="AE63">
            <v>2.6564000000000001E-2</v>
          </cell>
          <cell r="AF63">
            <v>2.6193999999999999E-2</v>
          </cell>
          <cell r="AG63">
            <v>2.5829000000000001E-2</v>
          </cell>
          <cell r="AH63">
            <v>-2.0957E-2</v>
          </cell>
        </row>
        <row r="64">
          <cell r="A64" t="str">
            <v>RKI000:Other_ha_ha</v>
          </cell>
          <cell r="C64">
            <v>7.8510000000000003E-3</v>
          </cell>
          <cell r="D64">
            <v>7.9019999999999993E-3</v>
          </cell>
          <cell r="E64">
            <v>7.8910000000000004E-3</v>
          </cell>
          <cell r="F64">
            <v>7.8130000000000005E-3</v>
          </cell>
          <cell r="G64">
            <v>7.7390000000000002E-3</v>
          </cell>
          <cell r="H64">
            <v>7.6880000000000004E-3</v>
          </cell>
          <cell r="I64">
            <v>7.6400000000000001E-3</v>
          </cell>
          <cell r="J64">
            <v>7.5989999999999999E-3</v>
          </cell>
          <cell r="K64">
            <v>7.5659999999999998E-3</v>
          </cell>
          <cell r="L64">
            <v>7.5360000000000002E-3</v>
          </cell>
          <cell r="M64">
            <v>7.5050000000000004E-3</v>
          </cell>
          <cell r="N64">
            <v>7.4790000000000004E-3</v>
          </cell>
          <cell r="O64">
            <v>7.4539999999999997E-3</v>
          </cell>
          <cell r="P64">
            <v>7.43E-3</v>
          </cell>
          <cell r="Q64">
            <v>7.4079999999999997E-3</v>
          </cell>
          <cell r="R64">
            <v>7.3920000000000001E-3</v>
          </cell>
          <cell r="S64">
            <v>7.3800000000000003E-3</v>
          </cell>
          <cell r="T64">
            <v>7.3629999999999998E-3</v>
          </cell>
          <cell r="U64">
            <v>7.3419999999999996E-3</v>
          </cell>
          <cell r="V64">
            <v>7.326E-3</v>
          </cell>
          <cell r="W64">
            <v>7.3020000000000003E-3</v>
          </cell>
          <cell r="X64">
            <v>7.2789999999999999E-3</v>
          </cell>
          <cell r="Y64">
            <v>7.2560000000000003E-3</v>
          </cell>
          <cell r="Z64">
            <v>7.2360000000000002E-3</v>
          </cell>
          <cell r="AA64">
            <v>7.2139999999999999E-3</v>
          </cell>
          <cell r="AB64">
            <v>7.1900000000000002E-3</v>
          </cell>
          <cell r="AC64">
            <v>7.1679999999999999E-3</v>
          </cell>
          <cell r="AD64">
            <v>7.1479999999999998E-3</v>
          </cell>
          <cell r="AE64">
            <v>7.1310000000000002E-3</v>
          </cell>
          <cell r="AF64">
            <v>7.1120000000000003E-3</v>
          </cell>
          <cell r="AG64">
            <v>7.0920000000000002E-3</v>
          </cell>
          <cell r="AH64">
            <v>-3.3800000000000002E-3</v>
          </cell>
        </row>
        <row r="65">
          <cell r="A65" t="str">
            <v>RKI000:ha_DeliveredEner</v>
          </cell>
          <cell r="C65">
            <v>0.42927399999999999</v>
          </cell>
          <cell r="D65">
            <v>0.45496599999999998</v>
          </cell>
          <cell r="E65">
            <v>0.45280599999999999</v>
          </cell>
          <cell r="F65">
            <v>0.44020399999999998</v>
          </cell>
          <cell r="G65">
            <v>0.42848700000000001</v>
          </cell>
          <cell r="H65">
            <v>0.41864099999999999</v>
          </cell>
          <cell r="I65">
            <v>0.40924300000000002</v>
          </cell>
          <cell r="J65">
            <v>0.40077299999999999</v>
          </cell>
          <cell r="K65">
            <v>0.39327000000000001</v>
          </cell>
          <cell r="L65">
            <v>0.38641599999999998</v>
          </cell>
          <cell r="M65">
            <v>0.37995499999999999</v>
          </cell>
          <cell r="N65">
            <v>0.37387599999999999</v>
          </cell>
          <cell r="O65">
            <v>0.36794100000000002</v>
          </cell>
          <cell r="P65">
            <v>0.36223300000000003</v>
          </cell>
          <cell r="Q65">
            <v>0.35666599999999998</v>
          </cell>
          <cell r="R65">
            <v>0.351603</v>
          </cell>
          <cell r="S65">
            <v>0.34680699999999998</v>
          </cell>
          <cell r="T65">
            <v>0.34193600000000002</v>
          </cell>
          <cell r="U65">
            <v>0.336949</v>
          </cell>
          <cell r="V65">
            <v>0.33233699999999999</v>
          </cell>
          <cell r="W65">
            <v>0.32751799999999998</v>
          </cell>
          <cell r="X65">
            <v>0.32274199999999997</v>
          </cell>
          <cell r="Y65">
            <v>0.31800600000000001</v>
          </cell>
          <cell r="Z65">
            <v>0.31331900000000001</v>
          </cell>
          <cell r="AA65">
            <v>0.30860799999999999</v>
          </cell>
          <cell r="AB65">
            <v>0.30381399999999997</v>
          </cell>
          <cell r="AC65">
            <v>0.29912899999999998</v>
          </cell>
          <cell r="AD65">
            <v>0.29450900000000002</v>
          </cell>
          <cell r="AE65">
            <v>0.29001900000000003</v>
          </cell>
          <cell r="AF65">
            <v>0.28545999999999999</v>
          </cell>
          <cell r="AG65">
            <v>0.28089700000000001</v>
          </cell>
          <cell r="AH65">
            <v>-1.4037000000000001E-2</v>
          </cell>
        </row>
        <row r="68">
          <cell r="A68" t="str">
            <v>RKI000:ia_SpaceHeating</v>
          </cell>
          <cell r="C68">
            <v>0.30082599999999998</v>
          </cell>
          <cell r="D68">
            <v>0.319245</v>
          </cell>
          <cell r="E68">
            <v>0.31642700000000001</v>
          </cell>
          <cell r="F68">
            <v>0.31378600000000001</v>
          </cell>
          <cell r="G68">
            <v>0.311282</v>
          </cell>
          <cell r="H68">
            <v>0.30873200000000001</v>
          </cell>
          <cell r="I68">
            <v>0.30631199999999997</v>
          </cell>
          <cell r="J68">
            <v>0.30398900000000001</v>
          </cell>
          <cell r="K68">
            <v>0.30152699999999999</v>
          </cell>
          <cell r="L68">
            <v>0.29885800000000001</v>
          </cell>
          <cell r="M68">
            <v>0.29563699999999998</v>
          </cell>
          <cell r="N68">
            <v>0.29248200000000002</v>
          </cell>
          <cell r="O68">
            <v>0.28951300000000002</v>
          </cell>
          <cell r="P68">
            <v>0.28678999999999999</v>
          </cell>
          <cell r="Q68">
            <v>0.28419699999999998</v>
          </cell>
          <cell r="R68">
            <v>0.28186800000000001</v>
          </cell>
          <cell r="S68">
            <v>0.27961000000000003</v>
          </cell>
          <cell r="T68">
            <v>0.27726200000000001</v>
          </cell>
          <cell r="U68">
            <v>0.27491900000000002</v>
          </cell>
          <cell r="V68">
            <v>0.27269199999999999</v>
          </cell>
          <cell r="W68">
            <v>0.27064199999999999</v>
          </cell>
          <cell r="X68">
            <v>0.26865499999999998</v>
          </cell>
          <cell r="Y68">
            <v>0.26665699999999998</v>
          </cell>
          <cell r="Z68">
            <v>0.26476</v>
          </cell>
          <cell r="AA68">
            <v>0.26284800000000003</v>
          </cell>
          <cell r="AB68">
            <v>0.26092900000000002</v>
          </cell>
          <cell r="AC68">
            <v>0.25897900000000001</v>
          </cell>
          <cell r="AD68">
            <v>0.25696999999999998</v>
          </cell>
          <cell r="AE68">
            <v>0.25494800000000001</v>
          </cell>
          <cell r="AF68">
            <v>0.25290699999999999</v>
          </cell>
          <cell r="AG68">
            <v>0.25086700000000001</v>
          </cell>
          <cell r="AH68">
            <v>-6.0350000000000004E-3</v>
          </cell>
        </row>
        <row r="69">
          <cell r="A69" t="str">
            <v>RKI000:ia_WaterHeating</v>
          </cell>
          <cell r="C69">
            <v>6.5346000000000001E-2</v>
          </cell>
          <cell r="D69">
            <v>6.3722000000000001E-2</v>
          </cell>
          <cell r="E69">
            <v>6.2054999999999999E-2</v>
          </cell>
          <cell r="F69">
            <v>6.0464999999999998E-2</v>
          </cell>
          <cell r="G69">
            <v>5.9104999999999998E-2</v>
          </cell>
          <cell r="H69">
            <v>5.7937000000000002E-2</v>
          </cell>
          <cell r="I69">
            <v>5.6966999999999997E-2</v>
          </cell>
          <cell r="J69">
            <v>5.6138E-2</v>
          </cell>
          <cell r="K69">
            <v>5.5392999999999998E-2</v>
          </cell>
          <cell r="L69">
            <v>5.4729E-2</v>
          </cell>
          <cell r="M69">
            <v>5.4049E-2</v>
          </cell>
          <cell r="N69">
            <v>5.3270999999999999E-2</v>
          </cell>
          <cell r="O69">
            <v>5.2456999999999997E-2</v>
          </cell>
          <cell r="P69">
            <v>5.1631999999999997E-2</v>
          </cell>
          <cell r="Q69">
            <v>5.0781E-2</v>
          </cell>
          <cell r="R69">
            <v>4.9942E-2</v>
          </cell>
          <cell r="S69">
            <v>4.9103000000000001E-2</v>
          </cell>
          <cell r="T69">
            <v>4.8235E-2</v>
          </cell>
          <cell r="U69">
            <v>4.7364000000000003E-2</v>
          </cell>
          <cell r="V69">
            <v>4.6526999999999999E-2</v>
          </cell>
          <cell r="W69">
            <v>4.5739000000000002E-2</v>
          </cell>
          <cell r="X69">
            <v>4.4993999999999999E-2</v>
          </cell>
          <cell r="Y69">
            <v>4.4291999999999998E-2</v>
          </cell>
          <cell r="Z69">
            <v>4.3656E-2</v>
          </cell>
          <cell r="AA69">
            <v>4.3063999999999998E-2</v>
          </cell>
          <cell r="AB69">
            <v>4.2515999999999998E-2</v>
          </cell>
          <cell r="AC69">
            <v>4.1997E-2</v>
          </cell>
          <cell r="AD69">
            <v>4.1496999999999999E-2</v>
          </cell>
          <cell r="AE69">
            <v>4.1015000000000003E-2</v>
          </cell>
          <cell r="AF69">
            <v>4.0548000000000001E-2</v>
          </cell>
          <cell r="AG69">
            <v>4.0093999999999998E-2</v>
          </cell>
          <cell r="AH69">
            <v>-1.6150000000000001E-2</v>
          </cell>
        </row>
        <row r="70">
          <cell r="A70" t="str">
            <v>RKI000:ia_Cooking</v>
          </cell>
          <cell r="C70">
            <v>1.7066999999999999E-2</v>
          </cell>
          <cell r="D70">
            <v>1.6858999999999999E-2</v>
          </cell>
          <cell r="E70">
            <v>1.6695999999999999E-2</v>
          </cell>
          <cell r="F70">
            <v>1.6528000000000001E-2</v>
          </cell>
          <cell r="G70">
            <v>1.6358000000000001E-2</v>
          </cell>
          <cell r="H70">
            <v>1.6188999999999999E-2</v>
          </cell>
          <cell r="I70">
            <v>1.601E-2</v>
          </cell>
          <cell r="J70">
            <v>1.5814999999999999E-2</v>
          </cell>
          <cell r="K70">
            <v>1.5609E-2</v>
          </cell>
          <cell r="L70">
            <v>1.5391999999999999E-2</v>
          </cell>
          <cell r="M70">
            <v>1.5162999999999999E-2</v>
          </cell>
          <cell r="N70">
            <v>1.4926999999999999E-2</v>
          </cell>
          <cell r="O70">
            <v>1.4685E-2</v>
          </cell>
          <cell r="P70">
            <v>1.448E-2</v>
          </cell>
          <cell r="Q70">
            <v>1.4312999999999999E-2</v>
          </cell>
          <cell r="R70">
            <v>1.4186000000000001E-2</v>
          </cell>
          <cell r="S70">
            <v>1.4101000000000001E-2</v>
          </cell>
          <cell r="T70">
            <v>1.4056000000000001E-2</v>
          </cell>
          <cell r="U70">
            <v>1.4005E-2</v>
          </cell>
          <cell r="V70">
            <v>1.3950000000000001E-2</v>
          </cell>
          <cell r="W70">
            <v>1.389E-2</v>
          </cell>
          <cell r="X70">
            <v>1.3826E-2</v>
          </cell>
          <cell r="Y70">
            <v>1.3757999999999999E-2</v>
          </cell>
          <cell r="Z70">
            <v>1.3687E-2</v>
          </cell>
          <cell r="AA70">
            <v>1.3616E-2</v>
          </cell>
          <cell r="AB70">
            <v>1.3546000000000001E-2</v>
          </cell>
          <cell r="AC70">
            <v>1.3480000000000001E-2</v>
          </cell>
          <cell r="AD70">
            <v>1.3417E-2</v>
          </cell>
          <cell r="AE70">
            <v>1.3358999999999999E-2</v>
          </cell>
          <cell r="AF70">
            <v>1.3304E-2</v>
          </cell>
          <cell r="AG70">
            <v>1.325E-2</v>
          </cell>
          <cell r="AH70">
            <v>-8.4010000000000005E-3</v>
          </cell>
        </row>
        <row r="71">
          <cell r="A71" t="str">
            <v>RKI000:ia_OtherUses</v>
          </cell>
          <cell r="C71">
            <v>7.1942000000000006E-2</v>
          </cell>
          <cell r="D71">
            <v>7.4218999999999993E-2</v>
          </cell>
          <cell r="E71">
            <v>7.6272000000000006E-2</v>
          </cell>
          <cell r="F71">
            <v>7.8184000000000003E-2</v>
          </cell>
          <cell r="G71">
            <v>8.0131999999999995E-2</v>
          </cell>
          <cell r="H71">
            <v>8.2116999999999996E-2</v>
          </cell>
          <cell r="I71">
            <v>8.4159999999999999E-2</v>
          </cell>
          <cell r="J71">
            <v>8.6215E-2</v>
          </cell>
          <cell r="K71">
            <v>8.8203000000000004E-2</v>
          </cell>
          <cell r="L71">
            <v>9.0112999999999999E-2</v>
          </cell>
          <cell r="M71">
            <v>9.1786000000000006E-2</v>
          </cell>
          <cell r="N71">
            <v>9.3445E-2</v>
          </cell>
          <cell r="O71">
            <v>9.5152E-2</v>
          </cell>
          <cell r="P71">
            <v>9.6923999999999996E-2</v>
          </cell>
          <cell r="Q71">
            <v>9.8706000000000002E-2</v>
          </cell>
          <cell r="R71">
            <v>0.10054200000000001</v>
          </cell>
          <cell r="S71">
            <v>0.102393</v>
          </cell>
          <cell r="T71">
            <v>0.104196</v>
          </cell>
          <cell r="U71">
            <v>0.105976</v>
          </cell>
          <cell r="V71">
            <v>0.10778500000000001</v>
          </cell>
          <cell r="W71">
            <v>0.109637</v>
          </cell>
          <cell r="X71">
            <v>0.11151</v>
          </cell>
          <cell r="Y71">
            <v>0.113397</v>
          </cell>
          <cell r="Z71">
            <v>0.115342</v>
          </cell>
          <cell r="AA71">
            <v>0.11730599999999999</v>
          </cell>
          <cell r="AB71">
            <v>0.119287</v>
          </cell>
          <cell r="AC71">
            <v>0.12126199999999999</v>
          </cell>
          <cell r="AD71">
            <v>0.123226</v>
          </cell>
          <cell r="AE71">
            <v>0.12518599999999999</v>
          </cell>
          <cell r="AF71">
            <v>0.12714300000000001</v>
          </cell>
          <cell r="AG71">
            <v>0.12910099999999999</v>
          </cell>
          <cell r="AH71">
            <v>1.9682000000000002E-2</v>
          </cell>
        </row>
        <row r="72">
          <cell r="A72" t="str">
            <v>RKI000:ia_DeliveredEner</v>
          </cell>
          <cell r="C72">
            <v>0.45517999999999997</v>
          </cell>
          <cell r="D72">
            <v>0.47404499999999999</v>
          </cell>
          <cell r="E72">
            <v>0.47144999999999998</v>
          </cell>
          <cell r="F72">
            <v>0.46896199999999999</v>
          </cell>
          <cell r="G72">
            <v>0.46687699999999999</v>
          </cell>
          <cell r="H72">
            <v>0.464974</v>
          </cell>
          <cell r="I72">
            <v>0.46344999999999997</v>
          </cell>
          <cell r="J72">
            <v>0.46215699999999998</v>
          </cell>
          <cell r="K72">
            <v>0.460731</v>
          </cell>
          <cell r="L72">
            <v>0.459092</v>
          </cell>
          <cell r="M72">
            <v>0.45663599999999999</v>
          </cell>
          <cell r="N72">
            <v>0.454125</v>
          </cell>
          <cell r="O72">
            <v>0.45180599999999999</v>
          </cell>
          <cell r="P72">
            <v>0.449826</v>
          </cell>
          <cell r="Q72">
            <v>0.44799600000000001</v>
          </cell>
          <cell r="R72">
            <v>0.44653900000000002</v>
          </cell>
          <cell r="S72">
            <v>0.44520599999999999</v>
          </cell>
          <cell r="T72">
            <v>0.443749</v>
          </cell>
          <cell r="U72">
            <v>0.44226399999999999</v>
          </cell>
          <cell r="V72">
            <v>0.44095299999999998</v>
          </cell>
          <cell r="W72">
            <v>0.43990800000000002</v>
          </cell>
          <cell r="X72">
            <v>0.43898500000000001</v>
          </cell>
          <cell r="Y72">
            <v>0.43810500000000002</v>
          </cell>
          <cell r="Z72">
            <v>0.43744499999999997</v>
          </cell>
          <cell r="AA72">
            <v>0.436834</v>
          </cell>
          <cell r="AB72">
            <v>0.436278</v>
          </cell>
          <cell r="AC72">
            <v>0.43571799999999999</v>
          </cell>
          <cell r="AD72">
            <v>0.43511100000000003</v>
          </cell>
          <cell r="AE72">
            <v>0.43450800000000001</v>
          </cell>
          <cell r="AF72">
            <v>0.43390099999999998</v>
          </cell>
          <cell r="AG72">
            <v>0.43331199999999997</v>
          </cell>
          <cell r="AH72">
            <v>-1.64E-3</v>
          </cell>
        </row>
        <row r="74">
          <cell r="A74" t="str">
            <v>RKI000:ja_MarketedRenew</v>
          </cell>
          <cell r="C74">
            <v>0.457513</v>
          </cell>
          <cell r="D74">
            <v>0.454262</v>
          </cell>
          <cell r="E74">
            <v>0.442685</v>
          </cell>
          <cell r="F74">
            <v>0.44422</v>
          </cell>
          <cell r="G74">
            <v>0.44559199999999999</v>
          </cell>
          <cell r="H74">
            <v>0.44251099999999999</v>
          </cell>
          <cell r="I74">
            <v>0.43917499999999998</v>
          </cell>
          <cell r="J74">
            <v>0.43575999999999998</v>
          </cell>
          <cell r="K74">
            <v>0.43166700000000002</v>
          </cell>
          <cell r="L74">
            <v>0.42710900000000002</v>
          </cell>
          <cell r="M74">
            <v>0.42239900000000002</v>
          </cell>
          <cell r="N74">
            <v>0.41673700000000002</v>
          </cell>
          <cell r="O74">
            <v>0.41094700000000001</v>
          </cell>
          <cell r="P74">
            <v>0.40475699999999998</v>
          </cell>
          <cell r="Q74">
            <v>0.39816499999999999</v>
          </cell>
          <cell r="R74">
            <v>0.39063300000000001</v>
          </cell>
          <cell r="S74">
            <v>0.38230999999999998</v>
          </cell>
          <cell r="T74">
            <v>0.37514199999999998</v>
          </cell>
          <cell r="U74">
            <v>0.36930200000000002</v>
          </cell>
          <cell r="V74">
            <v>0.36285899999999999</v>
          </cell>
          <cell r="W74">
            <v>0.35800900000000002</v>
          </cell>
          <cell r="X74">
            <v>0.35352299999999998</v>
          </cell>
          <cell r="Y74">
            <v>0.34909699999999999</v>
          </cell>
          <cell r="Z74">
            <v>0.34477099999999999</v>
          </cell>
          <cell r="AA74">
            <v>0.341088</v>
          </cell>
          <cell r="AB74">
            <v>0.33825</v>
          </cell>
          <cell r="AC74">
            <v>0.33548600000000001</v>
          </cell>
          <cell r="AD74">
            <v>0.33226699999999998</v>
          </cell>
          <cell r="AE74">
            <v>0.32857900000000001</v>
          </cell>
          <cell r="AF74">
            <v>0.32532699999999998</v>
          </cell>
          <cell r="AG74">
            <v>0.32218599999999997</v>
          </cell>
          <cell r="AH74">
            <v>-1.1620999999999999E-2</v>
          </cell>
        </row>
      </sheetData>
      <sheetData sheetId="2">
        <row r="1">
          <cell r="C1">
            <v>2021</v>
          </cell>
          <cell r="D1">
            <v>2022</v>
          </cell>
          <cell r="E1">
            <v>2023</v>
          </cell>
          <cell r="F1">
            <v>2024</v>
          </cell>
          <cell r="G1">
            <v>2025</v>
          </cell>
          <cell r="H1">
            <v>2026</v>
          </cell>
          <cell r="I1">
            <v>2027</v>
          </cell>
          <cell r="J1">
            <v>2028</v>
          </cell>
          <cell r="K1">
            <v>2029</v>
          </cell>
          <cell r="L1">
            <v>2030</v>
          </cell>
          <cell r="M1">
            <v>2031</v>
          </cell>
          <cell r="N1">
            <v>2032</v>
          </cell>
          <cell r="O1">
            <v>2033</v>
          </cell>
          <cell r="P1">
            <v>2034</v>
          </cell>
          <cell r="Q1">
            <v>2035</v>
          </cell>
          <cell r="R1">
            <v>2036</v>
          </cell>
          <cell r="S1">
            <v>2037</v>
          </cell>
          <cell r="T1">
            <v>2038</v>
          </cell>
          <cell r="U1">
            <v>2039</v>
          </cell>
          <cell r="V1">
            <v>2040</v>
          </cell>
          <cell r="W1">
            <v>2041</v>
          </cell>
          <cell r="X1">
            <v>2042</v>
          </cell>
          <cell r="Y1">
            <v>2043</v>
          </cell>
          <cell r="Z1">
            <v>2044</v>
          </cell>
          <cell r="AA1">
            <v>2045</v>
          </cell>
          <cell r="AB1">
            <v>2046</v>
          </cell>
          <cell r="AC1">
            <v>2047</v>
          </cell>
          <cell r="AD1">
            <v>2048</v>
          </cell>
          <cell r="AE1">
            <v>2049</v>
          </cell>
          <cell r="AF1">
            <v>2050</v>
          </cell>
        </row>
        <row r="34">
          <cell r="A34" t="str">
            <v>RKI000:fa_SpaceHeating</v>
          </cell>
          <cell r="C34">
            <v>0.70460999999999996</v>
          </cell>
          <cell r="D34">
            <v>0.72093200000000002</v>
          </cell>
          <cell r="E34">
            <v>0.67700400000000005</v>
          </cell>
          <cell r="F34">
            <v>0.67444800000000005</v>
          </cell>
          <cell r="G34">
            <v>0.671319</v>
          </cell>
          <cell r="H34">
            <v>0.66683199999999998</v>
          </cell>
          <cell r="I34">
            <v>0.66086199999999995</v>
          </cell>
          <cell r="J34">
            <v>0.65453799999999995</v>
          </cell>
          <cell r="K34">
            <v>0.64790400000000004</v>
          </cell>
          <cell r="L34">
            <v>0.64132199999999995</v>
          </cell>
          <cell r="M34">
            <v>0.63484200000000002</v>
          </cell>
          <cell r="N34">
            <v>0.628359</v>
          </cell>
          <cell r="O34">
            <v>0.62173400000000001</v>
          </cell>
          <cell r="P34">
            <v>0.61539100000000002</v>
          </cell>
          <cell r="Q34">
            <v>0.60991300000000004</v>
          </cell>
          <cell r="R34">
            <v>0.60485299999999997</v>
          </cell>
          <cell r="S34">
            <v>0.60023499999999996</v>
          </cell>
          <cell r="T34">
            <v>0.59577500000000005</v>
          </cell>
          <cell r="U34">
            <v>0.59081600000000001</v>
          </cell>
          <cell r="V34">
            <v>0.58592299999999997</v>
          </cell>
          <cell r="W34">
            <v>0.58091999999999999</v>
          </cell>
          <cell r="X34">
            <v>0.57595799999999997</v>
          </cell>
          <cell r="Y34">
            <v>0.57112300000000005</v>
          </cell>
          <cell r="Z34">
            <v>0.56661399999999995</v>
          </cell>
          <cell r="AA34">
            <v>0.56184800000000001</v>
          </cell>
          <cell r="AB34">
            <v>0.55703899999999995</v>
          </cell>
          <cell r="AC34">
            <v>0.55211500000000002</v>
          </cell>
          <cell r="AD34">
            <v>0.54703800000000002</v>
          </cell>
          <cell r="AE34">
            <v>0.54217400000000004</v>
          </cell>
          <cell r="AF34">
            <v>0.53778499999999996</v>
          </cell>
          <cell r="AG34">
            <v>-9.2739999999999993E-3</v>
          </cell>
        </row>
        <row r="35">
          <cell r="A35" t="str">
            <v>RKI000:fa_SpaceCooling</v>
          </cell>
          <cell r="C35">
            <v>0.80244599999999999</v>
          </cell>
          <cell r="D35">
            <v>0.73904499999999995</v>
          </cell>
          <cell r="E35">
            <v>0.87340200000000001</v>
          </cell>
          <cell r="F35">
            <v>0.891123</v>
          </cell>
          <cell r="G35">
            <v>0.909304</v>
          </cell>
          <cell r="H35">
            <v>0.92656499999999997</v>
          </cell>
          <cell r="I35">
            <v>0.94118900000000005</v>
          </cell>
          <cell r="J35">
            <v>0.95506899999999995</v>
          </cell>
          <cell r="K35">
            <v>0.96864600000000001</v>
          </cell>
          <cell r="L35">
            <v>0.982962</v>
          </cell>
          <cell r="M35">
            <v>0.99810200000000004</v>
          </cell>
          <cell r="N35">
            <v>1.0141340000000001</v>
          </cell>
          <cell r="O35">
            <v>1.0305169999999999</v>
          </cell>
          <cell r="P35">
            <v>1.047377</v>
          </cell>
          <cell r="Q35">
            <v>1.0665089999999999</v>
          </cell>
          <cell r="R35">
            <v>1.0869850000000001</v>
          </cell>
          <cell r="S35">
            <v>1.1094790000000001</v>
          </cell>
          <cell r="T35">
            <v>1.132312</v>
          </cell>
          <cell r="U35">
            <v>1.154909</v>
          </cell>
          <cell r="V35">
            <v>1.1769620000000001</v>
          </cell>
          <cell r="W35">
            <v>1.1995119999999999</v>
          </cell>
          <cell r="X35">
            <v>1.2227030000000001</v>
          </cell>
          <cell r="Y35">
            <v>1.2463150000000001</v>
          </cell>
          <cell r="Z35">
            <v>1.2711790000000001</v>
          </cell>
          <cell r="AA35">
            <v>1.29606</v>
          </cell>
          <cell r="AB35">
            <v>1.320721</v>
          </cell>
          <cell r="AC35">
            <v>1.3454809999999999</v>
          </cell>
          <cell r="AD35">
            <v>1.370344</v>
          </cell>
          <cell r="AE35">
            <v>1.3956770000000001</v>
          </cell>
          <cell r="AF35">
            <v>1.422356</v>
          </cell>
          <cell r="AG35">
            <v>1.9934E-2</v>
          </cell>
        </row>
        <row r="36">
          <cell r="A36" t="str">
            <v>RKI000:fa_WaterHeating</v>
          </cell>
          <cell r="C36">
            <v>0.60053400000000001</v>
          </cell>
          <cell r="D36">
            <v>0.60263800000000001</v>
          </cell>
          <cell r="E36">
            <v>0.60392400000000002</v>
          </cell>
          <cell r="F36">
            <v>0.606514</v>
          </cell>
          <cell r="G36">
            <v>0.60854699999999995</v>
          </cell>
          <cell r="H36">
            <v>0.60927299999999995</v>
          </cell>
          <cell r="I36">
            <v>0.60907800000000001</v>
          </cell>
          <cell r="J36">
            <v>0.60838300000000001</v>
          </cell>
          <cell r="K36">
            <v>0.607599</v>
          </cell>
          <cell r="L36">
            <v>0.60705100000000001</v>
          </cell>
          <cell r="M36">
            <v>0.60694899999999996</v>
          </cell>
          <cell r="N36">
            <v>0.60722299999999996</v>
          </cell>
          <cell r="O36">
            <v>0.607514</v>
          </cell>
          <cell r="P36">
            <v>0.60802800000000001</v>
          </cell>
          <cell r="Q36">
            <v>0.60964099999999999</v>
          </cell>
          <cell r="R36">
            <v>0.61182199999999998</v>
          </cell>
          <cell r="S36">
            <v>0.61463100000000004</v>
          </cell>
          <cell r="T36">
            <v>0.61772700000000003</v>
          </cell>
          <cell r="U36">
            <v>0.62016899999999997</v>
          </cell>
          <cell r="V36">
            <v>0.62219800000000003</v>
          </cell>
          <cell r="W36">
            <v>0.624278</v>
          </cell>
          <cell r="X36">
            <v>0.62624599999999997</v>
          </cell>
          <cell r="Y36">
            <v>0.62835300000000005</v>
          </cell>
          <cell r="Z36">
            <v>0.63095699999999999</v>
          </cell>
          <cell r="AA36">
            <v>0.63343899999999997</v>
          </cell>
          <cell r="AB36">
            <v>0.63596200000000003</v>
          </cell>
          <cell r="AC36">
            <v>0.63855300000000004</v>
          </cell>
          <cell r="AD36">
            <v>0.64102300000000001</v>
          </cell>
          <cell r="AE36">
            <v>0.64375599999999999</v>
          </cell>
          <cell r="AF36">
            <v>0.647146</v>
          </cell>
          <cell r="AG36">
            <v>2.581E-3</v>
          </cell>
        </row>
        <row r="37">
          <cell r="A37" t="str">
            <v>RKI000:fa_Refrigeration</v>
          </cell>
          <cell r="C37">
            <v>0.29647699999999999</v>
          </cell>
          <cell r="D37">
            <v>0.29521999999999998</v>
          </cell>
          <cell r="E37">
            <v>0.29368899999999998</v>
          </cell>
          <cell r="F37">
            <v>0.29236400000000001</v>
          </cell>
          <cell r="G37">
            <v>0.291213</v>
          </cell>
          <cell r="H37">
            <v>0.29018300000000002</v>
          </cell>
          <cell r="I37">
            <v>0.28924100000000003</v>
          </cell>
          <cell r="J37">
            <v>0.28846300000000002</v>
          </cell>
          <cell r="K37">
            <v>0.28791699999999998</v>
          </cell>
          <cell r="L37">
            <v>0.28761599999999998</v>
          </cell>
          <cell r="M37">
            <v>0.28756999999999999</v>
          </cell>
          <cell r="N37">
            <v>0.28783399999999998</v>
          </cell>
          <cell r="O37">
            <v>0.28841800000000001</v>
          </cell>
          <cell r="P37">
            <v>0.28931899999999999</v>
          </cell>
          <cell r="Q37">
            <v>0.29056700000000002</v>
          </cell>
          <cell r="R37">
            <v>0.29213600000000001</v>
          </cell>
          <cell r="S37">
            <v>0.294016</v>
          </cell>
          <cell r="T37">
            <v>0.29620999999999997</v>
          </cell>
          <cell r="U37">
            <v>0.29868400000000001</v>
          </cell>
          <cell r="V37">
            <v>0.30146899999999999</v>
          </cell>
          <cell r="W37">
            <v>0.30453000000000002</v>
          </cell>
          <cell r="X37">
            <v>0.30782300000000001</v>
          </cell>
          <cell r="Y37">
            <v>0.31107499999999999</v>
          </cell>
          <cell r="Z37">
            <v>0.31429000000000001</v>
          </cell>
          <cell r="AA37">
            <v>0.31746799999999997</v>
          </cell>
          <cell r="AB37">
            <v>0.32058799999999998</v>
          </cell>
          <cell r="AC37">
            <v>0.323633</v>
          </cell>
          <cell r="AD37">
            <v>0.32658300000000001</v>
          </cell>
          <cell r="AE37">
            <v>0.32945200000000002</v>
          </cell>
          <cell r="AF37">
            <v>0.33224100000000001</v>
          </cell>
          <cell r="AG37">
            <v>3.9350000000000001E-3</v>
          </cell>
        </row>
        <row r="38">
          <cell r="A38" t="str">
            <v>RKI000:fa_Cooking</v>
          </cell>
          <cell r="C38">
            <v>5.5386999999999999E-2</v>
          </cell>
          <cell r="D38">
            <v>5.5742E-2</v>
          </cell>
          <cell r="E38">
            <v>5.6065999999999998E-2</v>
          </cell>
          <cell r="F38">
            <v>5.6384999999999998E-2</v>
          </cell>
          <cell r="G38">
            <v>5.6693E-2</v>
          </cell>
          <cell r="H38">
            <v>5.6980999999999997E-2</v>
          </cell>
          <cell r="I38">
            <v>5.7241E-2</v>
          </cell>
          <cell r="J38">
            <v>5.7482999999999999E-2</v>
          </cell>
          <cell r="K38">
            <v>5.7701000000000002E-2</v>
          </cell>
          <cell r="L38">
            <v>5.7889000000000003E-2</v>
          </cell>
          <cell r="M38">
            <v>5.8035000000000003E-2</v>
          </cell>
          <cell r="N38">
            <v>5.8141999999999999E-2</v>
          </cell>
          <cell r="O38">
            <v>5.8262000000000001E-2</v>
          </cell>
          <cell r="P38">
            <v>5.8407000000000001E-2</v>
          </cell>
          <cell r="Q38">
            <v>5.8583999999999997E-2</v>
          </cell>
          <cell r="R38">
            <v>5.8797000000000002E-2</v>
          </cell>
          <cell r="S38">
            <v>5.9053000000000001E-2</v>
          </cell>
          <cell r="T38">
            <v>5.9299999999999999E-2</v>
          </cell>
          <cell r="U38">
            <v>5.9539000000000002E-2</v>
          </cell>
          <cell r="V38">
            <v>5.9773E-2</v>
          </cell>
          <cell r="W38">
            <v>5.9995E-2</v>
          </cell>
          <cell r="X38">
            <v>6.0200999999999998E-2</v>
          </cell>
          <cell r="Y38">
            <v>6.0396999999999999E-2</v>
          </cell>
          <cell r="Z38">
            <v>6.0582999999999998E-2</v>
          </cell>
          <cell r="AA38">
            <v>6.0763999999999999E-2</v>
          </cell>
          <cell r="AB38">
            <v>6.0937999999999999E-2</v>
          </cell>
          <cell r="AC38">
            <v>6.1106000000000001E-2</v>
          </cell>
          <cell r="AD38">
            <v>6.1268999999999997E-2</v>
          </cell>
          <cell r="AE38">
            <v>6.1433000000000001E-2</v>
          </cell>
          <cell r="AF38">
            <v>6.1601000000000003E-2</v>
          </cell>
          <cell r="AG38">
            <v>3.673E-3</v>
          </cell>
        </row>
        <row r="39">
          <cell r="A39" t="str">
            <v>RKI000:fa_ClothesDryers</v>
          </cell>
          <cell r="C39">
            <v>0.21925900000000001</v>
          </cell>
          <cell r="D39">
            <v>0.22376699999999999</v>
          </cell>
          <cell r="E39">
            <v>0.22775599999999999</v>
          </cell>
          <cell r="F39">
            <v>0.23193</v>
          </cell>
          <cell r="G39">
            <v>0.23600299999999999</v>
          </cell>
          <cell r="H39">
            <v>0.239593</v>
          </cell>
          <cell r="I39">
            <v>0.24265500000000001</v>
          </cell>
          <cell r="J39">
            <v>0.24554500000000001</v>
          </cell>
          <cell r="K39">
            <v>0.24841199999999999</v>
          </cell>
          <cell r="L39">
            <v>0.25134699999999999</v>
          </cell>
          <cell r="M39">
            <v>0.25425700000000001</v>
          </cell>
          <cell r="N39">
            <v>0.25720999999999999</v>
          </cell>
          <cell r="O39">
            <v>0.260102</v>
          </cell>
          <cell r="P39">
            <v>0.26313999999999999</v>
          </cell>
          <cell r="Q39">
            <v>0.26660600000000001</v>
          </cell>
          <cell r="R39">
            <v>0.27028799999999997</v>
          </cell>
          <cell r="S39">
            <v>0.27407599999999999</v>
          </cell>
          <cell r="T39">
            <v>0.27787099999999998</v>
          </cell>
          <cell r="U39">
            <v>0.28147899999999998</v>
          </cell>
          <cell r="V39">
            <v>0.28495100000000001</v>
          </cell>
          <cell r="W39">
            <v>0.28845300000000001</v>
          </cell>
          <cell r="X39">
            <v>0.291875</v>
          </cell>
          <cell r="Y39">
            <v>0.295325</v>
          </cell>
          <cell r="Z39">
            <v>0.29893799999999998</v>
          </cell>
          <cell r="AA39">
            <v>0.302429</v>
          </cell>
          <cell r="AB39">
            <v>0.30585600000000002</v>
          </cell>
          <cell r="AC39">
            <v>0.30923800000000001</v>
          </cell>
          <cell r="AD39">
            <v>0.31250699999999998</v>
          </cell>
          <cell r="AE39">
            <v>0.31584499999999999</v>
          </cell>
          <cell r="AF39">
            <v>0.31944</v>
          </cell>
          <cell r="AG39">
            <v>1.3061E-2</v>
          </cell>
        </row>
        <row r="40">
          <cell r="A40" t="str">
            <v>RKI000:fa_Freezers</v>
          </cell>
          <cell r="C40">
            <v>6.9059999999999996E-2</v>
          </cell>
          <cell r="D40">
            <v>6.8963999999999998E-2</v>
          </cell>
          <cell r="E40">
            <v>6.8820999999999993E-2</v>
          </cell>
          <cell r="F40">
            <v>6.8662000000000001E-2</v>
          </cell>
          <cell r="G40">
            <v>6.8474999999999994E-2</v>
          </cell>
          <cell r="H40">
            <v>6.8251000000000006E-2</v>
          </cell>
          <cell r="I40">
            <v>6.7984000000000003E-2</v>
          </cell>
          <cell r="J40">
            <v>6.7732000000000001E-2</v>
          </cell>
          <cell r="K40">
            <v>6.7503999999999995E-2</v>
          </cell>
          <cell r="L40">
            <v>6.7298999999999998E-2</v>
          </cell>
          <cell r="M40">
            <v>6.7107E-2</v>
          </cell>
          <cell r="N40">
            <v>6.6934999999999995E-2</v>
          </cell>
          <cell r="O40">
            <v>6.6785999999999998E-2</v>
          </cell>
          <cell r="P40">
            <v>6.6663E-2</v>
          </cell>
          <cell r="Q40">
            <v>6.6569000000000003E-2</v>
          </cell>
          <cell r="R40">
            <v>6.6506999999999997E-2</v>
          </cell>
          <cell r="S40">
            <v>6.6475000000000006E-2</v>
          </cell>
          <cell r="T40">
            <v>6.6475999999999993E-2</v>
          </cell>
          <cell r="U40">
            <v>6.6507999999999998E-2</v>
          </cell>
          <cell r="V40">
            <v>6.6577999999999998E-2</v>
          </cell>
          <cell r="W40">
            <v>6.6686999999999996E-2</v>
          </cell>
          <cell r="X40">
            <v>6.6826999999999998E-2</v>
          </cell>
          <cell r="Y40">
            <v>6.701E-2</v>
          </cell>
          <cell r="Z40">
            <v>6.7244999999999999E-2</v>
          </cell>
          <cell r="AA40">
            <v>6.7533999999999997E-2</v>
          </cell>
          <cell r="AB40">
            <v>6.7874000000000004E-2</v>
          </cell>
          <cell r="AC40">
            <v>6.8253999999999995E-2</v>
          </cell>
          <cell r="AD40">
            <v>6.8627999999999995E-2</v>
          </cell>
          <cell r="AE40">
            <v>6.8997000000000003E-2</v>
          </cell>
          <cell r="AF40">
            <v>6.9363999999999995E-2</v>
          </cell>
          <cell r="AG40">
            <v>1.5100000000000001E-4</v>
          </cell>
        </row>
        <row r="41">
          <cell r="A41" t="str">
            <v>RKI000:fa_Lighting</v>
          </cell>
          <cell r="C41">
            <v>0.20255300000000001</v>
          </cell>
          <cell r="D41">
            <v>0.20119300000000001</v>
          </cell>
          <cell r="E41">
            <v>0.20108899999999999</v>
          </cell>
          <cell r="F41">
            <v>0.20184299999999999</v>
          </cell>
          <cell r="G41">
            <v>0.201131</v>
          </cell>
          <cell r="H41">
            <v>0.200433</v>
          </cell>
          <cell r="I41">
            <v>0.20013800000000001</v>
          </cell>
          <cell r="J41">
            <v>0.20036100000000001</v>
          </cell>
          <cell r="K41">
            <v>0.20085600000000001</v>
          </cell>
          <cell r="L41">
            <v>0.19889899999999999</v>
          </cell>
          <cell r="M41">
            <v>0.19750000000000001</v>
          </cell>
          <cell r="N41">
            <v>0.19653799999999999</v>
          </cell>
          <cell r="O41">
            <v>0.19584199999999999</v>
          </cell>
          <cell r="P41">
            <v>0.19550799999999999</v>
          </cell>
          <cell r="Q41">
            <v>0.19570199999999999</v>
          </cell>
          <cell r="R41">
            <v>0.19608800000000001</v>
          </cell>
          <cell r="S41">
            <v>0.19661799999999999</v>
          </cell>
          <cell r="T41">
            <v>0.19722300000000001</v>
          </cell>
          <cell r="U41">
            <v>0.19774800000000001</v>
          </cell>
          <cell r="V41">
            <v>0.19495799999999999</v>
          </cell>
          <cell r="W41">
            <v>0.19283600000000001</v>
          </cell>
          <cell r="X41">
            <v>0.19112799999999999</v>
          </cell>
          <cell r="Y41">
            <v>0.18987899999999999</v>
          </cell>
          <cell r="Z41">
            <v>0.189139</v>
          </cell>
          <cell r="AA41">
            <v>0.18856500000000001</v>
          </cell>
          <cell r="AB41">
            <v>0.188081</v>
          </cell>
          <cell r="AC41">
            <v>0.18764600000000001</v>
          </cell>
          <cell r="AD41">
            <v>0.18718299999999999</v>
          </cell>
          <cell r="AE41">
            <v>0.186803</v>
          </cell>
          <cell r="AF41">
            <v>0.186807</v>
          </cell>
          <cell r="AG41">
            <v>-2.787E-3</v>
          </cell>
        </row>
        <row r="42">
          <cell r="A42" t="str">
            <v>RKI000:fa_ClothesWasher</v>
          </cell>
          <cell r="C42">
            <v>3.7005000000000003E-2</v>
          </cell>
          <cell r="D42">
            <v>3.7352999999999997E-2</v>
          </cell>
          <cell r="E42">
            <v>3.7682E-2</v>
          </cell>
          <cell r="F42">
            <v>3.8012999999999998E-2</v>
          </cell>
          <cell r="G42">
            <v>3.8341E-2</v>
          </cell>
          <cell r="H42">
            <v>3.8655000000000002E-2</v>
          </cell>
          <cell r="I42">
            <v>3.8949999999999999E-2</v>
          </cell>
          <cell r="J42">
            <v>3.9244000000000001E-2</v>
          </cell>
          <cell r="K42">
            <v>3.9543000000000002E-2</v>
          </cell>
          <cell r="L42">
            <v>3.9863999999999997E-2</v>
          </cell>
          <cell r="M42">
            <v>4.0181000000000001E-2</v>
          </cell>
          <cell r="N42">
            <v>4.0501000000000002E-2</v>
          </cell>
          <cell r="O42">
            <v>4.0823999999999999E-2</v>
          </cell>
          <cell r="P42">
            <v>4.1147000000000003E-2</v>
          </cell>
          <cell r="Q42">
            <v>4.147E-2</v>
          </cell>
          <cell r="R42">
            <v>4.1789E-2</v>
          </cell>
          <cell r="S42">
            <v>4.2106999999999999E-2</v>
          </cell>
          <cell r="T42">
            <v>4.2424000000000003E-2</v>
          </cell>
          <cell r="U42">
            <v>4.2737999999999998E-2</v>
          </cell>
          <cell r="V42">
            <v>4.3053000000000001E-2</v>
          </cell>
          <cell r="W42">
            <v>4.3364E-2</v>
          </cell>
          <cell r="X42">
            <v>4.3667999999999998E-2</v>
          </cell>
          <cell r="Y42">
            <v>4.3969000000000001E-2</v>
          </cell>
          <cell r="Z42">
            <v>4.4269000000000003E-2</v>
          </cell>
          <cell r="AA42">
            <v>4.4568999999999998E-2</v>
          </cell>
          <cell r="AB42">
            <v>4.4866999999999997E-2</v>
          </cell>
          <cell r="AC42">
            <v>4.5162000000000001E-2</v>
          </cell>
          <cell r="AD42">
            <v>4.5451999999999999E-2</v>
          </cell>
          <cell r="AE42">
            <v>4.5740000000000003E-2</v>
          </cell>
          <cell r="AF42">
            <v>4.6025999999999997E-2</v>
          </cell>
          <cell r="AG42">
            <v>7.5510000000000004E-3</v>
          </cell>
        </row>
        <row r="43">
          <cell r="A43" t="str">
            <v>RKI000:fa_Dishwashers</v>
          </cell>
          <cell r="C43">
            <v>2.7106999999999999E-2</v>
          </cell>
          <cell r="D43">
            <v>2.7577000000000001E-2</v>
          </cell>
          <cell r="E43">
            <v>2.8024E-2</v>
          </cell>
          <cell r="F43">
            <v>2.8462999999999999E-2</v>
          </cell>
          <cell r="G43">
            <v>2.8889000000000001E-2</v>
          </cell>
          <cell r="H43">
            <v>2.9291999999999999E-2</v>
          </cell>
          <cell r="I43">
            <v>2.9666999999999999E-2</v>
          </cell>
          <cell r="J43">
            <v>3.0075000000000001E-2</v>
          </cell>
          <cell r="K43">
            <v>3.0521E-2</v>
          </cell>
          <cell r="L43">
            <v>3.1001999999999998E-2</v>
          </cell>
          <cell r="M43">
            <v>3.1515000000000001E-2</v>
          </cell>
          <cell r="N43">
            <v>3.2067999999999999E-2</v>
          </cell>
          <cell r="O43">
            <v>3.2662999999999998E-2</v>
          </cell>
          <cell r="P43">
            <v>3.3300999999999997E-2</v>
          </cell>
          <cell r="Q43">
            <v>3.3937000000000002E-2</v>
          </cell>
          <cell r="R43">
            <v>3.4569000000000003E-2</v>
          </cell>
          <cell r="S43">
            <v>3.5198E-2</v>
          </cell>
          <cell r="T43">
            <v>3.5825999999999997E-2</v>
          </cell>
          <cell r="U43">
            <v>3.6450999999999997E-2</v>
          </cell>
          <cell r="V43">
            <v>3.7075999999999998E-2</v>
          </cell>
          <cell r="W43">
            <v>3.7699000000000003E-2</v>
          </cell>
          <cell r="X43">
            <v>3.8314000000000001E-2</v>
          </cell>
          <cell r="Y43">
            <v>3.8927999999999997E-2</v>
          </cell>
          <cell r="Z43">
            <v>3.9539999999999999E-2</v>
          </cell>
          <cell r="AA43">
            <v>4.0150999999999999E-2</v>
          </cell>
          <cell r="AB43">
            <v>4.0760999999999999E-2</v>
          </cell>
          <cell r="AC43">
            <v>4.1369000000000003E-2</v>
          </cell>
          <cell r="AD43">
            <v>4.1971000000000001E-2</v>
          </cell>
          <cell r="AE43">
            <v>4.2571999999999999E-2</v>
          </cell>
          <cell r="AF43">
            <v>4.317E-2</v>
          </cell>
          <cell r="AG43">
            <v>1.6175999999999999E-2</v>
          </cell>
        </row>
        <row r="44">
          <cell r="A44" t="str">
            <v>RKI000:fa_ColorTelevisi</v>
          </cell>
          <cell r="C44">
            <v>0.19078300000000001</v>
          </cell>
          <cell r="D44">
            <v>0.18640399999999999</v>
          </cell>
          <cell r="E44">
            <v>0.18235000000000001</v>
          </cell>
          <cell r="F44">
            <v>0.17868000000000001</v>
          </cell>
          <cell r="G44">
            <v>0.175066</v>
          </cell>
          <cell r="H44">
            <v>0.17125799999999999</v>
          </cell>
          <cell r="I44">
            <v>0.167298</v>
          </cell>
          <cell r="J44">
            <v>0.163462</v>
          </cell>
          <cell r="K44">
            <v>0.159832</v>
          </cell>
          <cell r="L44">
            <v>0.15643099999999999</v>
          </cell>
          <cell r="M44">
            <v>0.15321100000000001</v>
          </cell>
          <cell r="N44">
            <v>0.15018100000000001</v>
          </cell>
          <cell r="O44">
            <v>0.14732100000000001</v>
          </cell>
          <cell r="P44">
            <v>0.14468</v>
          </cell>
          <cell r="Q44">
            <v>0.14246700000000001</v>
          </cell>
          <cell r="R44">
            <v>0.14053399999999999</v>
          </cell>
          <cell r="S44">
            <v>0.1389</v>
          </cell>
          <cell r="T44">
            <v>0.13750399999999999</v>
          </cell>
          <cell r="U44">
            <v>0.13624900000000001</v>
          </cell>
          <cell r="V44">
            <v>0.13517699999999999</v>
          </cell>
          <cell r="W44">
            <v>0.13434399999999999</v>
          </cell>
          <cell r="X44">
            <v>0.13369300000000001</v>
          </cell>
          <cell r="Y44">
            <v>0.133238</v>
          </cell>
          <cell r="Z44">
            <v>0.133079</v>
          </cell>
          <cell r="AA44">
            <v>0.133104</v>
          </cell>
          <cell r="AB44">
            <v>0.13328400000000001</v>
          </cell>
          <cell r="AC44">
            <v>0.13360900000000001</v>
          </cell>
          <cell r="AD44">
            <v>0.133996</v>
          </cell>
          <cell r="AE44">
            <v>0.13452</v>
          </cell>
          <cell r="AF44">
            <v>0.135244</v>
          </cell>
          <cell r="AG44">
            <v>-1.1794000000000001E-2</v>
          </cell>
        </row>
        <row r="45">
          <cell r="A45" t="str">
            <v>RKI000:fa_PersonalCompu</v>
          </cell>
          <cell r="C45">
            <v>0.12266000000000001</v>
          </cell>
          <cell r="D45">
            <v>0.120975</v>
          </cell>
          <cell r="E45">
            <v>0.119128</v>
          </cell>
          <cell r="F45">
            <v>0.117203</v>
          </cell>
          <cell r="G45">
            <v>0.114993</v>
          </cell>
          <cell r="H45">
            <v>0.112402</v>
          </cell>
          <cell r="I45">
            <v>0.109487</v>
          </cell>
          <cell r="J45">
            <v>0.106464</v>
          </cell>
          <cell r="K45">
            <v>0.103391</v>
          </cell>
          <cell r="L45">
            <v>0.100315</v>
          </cell>
          <cell r="M45">
            <v>9.7203999999999999E-2</v>
          </cell>
          <cell r="N45">
            <v>9.4117000000000006E-2</v>
          </cell>
          <cell r="O45">
            <v>9.1046000000000002E-2</v>
          </cell>
          <cell r="P45">
            <v>8.8045999999999999E-2</v>
          </cell>
          <cell r="Q45">
            <v>8.5250000000000006E-2</v>
          </cell>
          <cell r="R45">
            <v>8.2597000000000004E-2</v>
          </cell>
          <cell r="S45">
            <v>8.0079999999999998E-2</v>
          </cell>
          <cell r="T45">
            <v>7.7709E-2</v>
          </cell>
          <cell r="U45">
            <v>7.5436000000000003E-2</v>
          </cell>
          <cell r="V45">
            <v>7.3297000000000001E-2</v>
          </cell>
          <cell r="W45">
            <v>7.1341000000000002E-2</v>
          </cell>
          <cell r="X45">
            <v>6.9568000000000005E-2</v>
          </cell>
          <cell r="Y45">
            <v>6.7991999999999997E-2</v>
          </cell>
          <cell r="Z45">
            <v>6.6694000000000003E-2</v>
          </cell>
          <cell r="AA45">
            <v>6.5598000000000004E-2</v>
          </cell>
          <cell r="AB45">
            <v>6.4785999999999996E-2</v>
          </cell>
          <cell r="AC45">
            <v>6.4201999999999995E-2</v>
          </cell>
          <cell r="AD45">
            <v>6.3794000000000003E-2</v>
          </cell>
          <cell r="AE45">
            <v>6.3606999999999997E-2</v>
          </cell>
          <cell r="AF45">
            <v>6.3631999999999994E-2</v>
          </cell>
          <cell r="AG45">
            <v>-2.2377000000000001E-2</v>
          </cell>
        </row>
        <row r="46">
          <cell r="A46" t="str">
            <v>RKI000:fa_FurnaceFans</v>
          </cell>
          <cell r="C46">
            <v>8.1742999999999996E-2</v>
          </cell>
          <cell r="D46">
            <v>8.6498000000000005E-2</v>
          </cell>
          <cell r="E46">
            <v>8.1921999999999995E-2</v>
          </cell>
          <cell r="F46">
            <v>8.2629999999999995E-2</v>
          </cell>
          <cell r="G46">
            <v>8.3335000000000006E-2</v>
          </cell>
          <cell r="H46">
            <v>8.3842E-2</v>
          </cell>
          <cell r="I46">
            <v>8.4235000000000004E-2</v>
          </cell>
          <cell r="J46">
            <v>8.4443000000000004E-2</v>
          </cell>
          <cell r="K46">
            <v>8.4472000000000005E-2</v>
          </cell>
          <cell r="L46">
            <v>8.4407999999999997E-2</v>
          </cell>
          <cell r="M46">
            <v>8.4100999999999995E-2</v>
          </cell>
          <cell r="N46">
            <v>8.3678000000000002E-2</v>
          </cell>
          <cell r="O46">
            <v>8.3039000000000002E-2</v>
          </cell>
          <cell r="P46">
            <v>8.2255999999999996E-2</v>
          </cell>
          <cell r="Q46">
            <v>8.1365999999999994E-2</v>
          </cell>
          <cell r="R46">
            <v>8.0339999999999995E-2</v>
          </cell>
          <cell r="S46">
            <v>7.9174999999999995E-2</v>
          </cell>
          <cell r="T46">
            <v>7.7896000000000007E-2</v>
          </cell>
          <cell r="U46">
            <v>7.6582999999999998E-2</v>
          </cell>
          <cell r="V46">
            <v>7.5323000000000001E-2</v>
          </cell>
          <cell r="W46">
            <v>7.4116000000000001E-2</v>
          </cell>
          <cell r="X46">
            <v>7.2963E-2</v>
          </cell>
          <cell r="Y46">
            <v>7.1904999999999997E-2</v>
          </cell>
          <cell r="Z46">
            <v>7.0967000000000002E-2</v>
          </cell>
          <cell r="AA46">
            <v>7.0124000000000006E-2</v>
          </cell>
          <cell r="AB46">
            <v>6.9391999999999995E-2</v>
          </cell>
          <cell r="AC46">
            <v>6.8753999999999996E-2</v>
          </cell>
          <cell r="AD46">
            <v>6.8222000000000005E-2</v>
          </cell>
          <cell r="AE46">
            <v>6.7792000000000005E-2</v>
          </cell>
          <cell r="AF46">
            <v>6.7470000000000002E-2</v>
          </cell>
          <cell r="AG46">
            <v>-6.5950000000000002E-3</v>
          </cell>
        </row>
        <row r="47">
          <cell r="A47" t="str">
            <v>RKI000:fa_OtherUses</v>
          </cell>
          <cell r="C47">
            <v>1.7725740000000001</v>
          </cell>
          <cell r="D47">
            <v>1.730593</v>
          </cell>
          <cell r="E47">
            <v>1.7993349999999999</v>
          </cell>
          <cell r="F47">
            <v>1.8349759999999999</v>
          </cell>
          <cell r="G47">
            <v>1.8704879999999999</v>
          </cell>
          <cell r="H47">
            <v>1.9027799999999999</v>
          </cell>
          <cell r="I47">
            <v>1.9308700000000001</v>
          </cell>
          <cell r="J47">
            <v>1.9596659999999999</v>
          </cell>
          <cell r="K47">
            <v>1.989282</v>
          </cell>
          <cell r="L47">
            <v>2.0200260000000001</v>
          </cell>
          <cell r="M47">
            <v>2.0501450000000001</v>
          </cell>
          <cell r="N47">
            <v>2.0808249999999999</v>
          </cell>
          <cell r="O47">
            <v>2.1120420000000002</v>
          </cell>
          <cell r="P47">
            <v>2.1434989999999998</v>
          </cell>
          <cell r="Q47">
            <v>2.17753</v>
          </cell>
          <cell r="R47">
            <v>2.2134670000000001</v>
          </cell>
          <cell r="S47">
            <v>2.2517520000000002</v>
          </cell>
          <cell r="T47">
            <v>2.2904610000000001</v>
          </cell>
          <cell r="U47">
            <v>2.3284440000000002</v>
          </cell>
          <cell r="V47">
            <v>2.366425</v>
          </cell>
          <cell r="W47">
            <v>2.4041070000000002</v>
          </cell>
          <cell r="X47">
            <v>2.442904</v>
          </cell>
          <cell r="Y47">
            <v>2.4821979999999999</v>
          </cell>
          <cell r="Z47">
            <v>2.5235759999999998</v>
          </cell>
          <cell r="AA47">
            <v>2.5660799999999999</v>
          </cell>
          <cell r="AB47">
            <v>2.6093030000000002</v>
          </cell>
          <cell r="AC47">
            <v>2.6529470000000002</v>
          </cell>
          <cell r="AD47">
            <v>2.6972</v>
          </cell>
          <cell r="AE47">
            <v>2.7435070000000001</v>
          </cell>
          <cell r="AF47">
            <v>2.7927770000000001</v>
          </cell>
          <cell r="AG47">
            <v>1.5800000000000002E-2</v>
          </cell>
        </row>
        <row r="48">
          <cell r="A48" t="str">
            <v>RKI000:fa_DeliveredEner</v>
          </cell>
          <cell r="C48">
            <v>5.1821999999999999</v>
          </cell>
          <cell r="D48">
            <v>5.0968999999999998</v>
          </cell>
          <cell r="E48">
            <v>5.2501930000000003</v>
          </cell>
          <cell r="F48">
            <v>5.3032329999999996</v>
          </cell>
          <cell r="G48">
            <v>5.3537949999999999</v>
          </cell>
          <cell r="H48">
            <v>5.3963409999999996</v>
          </cell>
          <cell r="I48">
            <v>5.4288970000000001</v>
          </cell>
          <cell r="J48">
            <v>5.4609269999999999</v>
          </cell>
          <cell r="K48">
            <v>5.4935799999999997</v>
          </cell>
          <cell r="L48">
            <v>5.5264309999999996</v>
          </cell>
          <cell r="M48">
            <v>5.5607189999999997</v>
          </cell>
          <cell r="N48">
            <v>5.5977449999999997</v>
          </cell>
          <cell r="O48">
            <v>5.6361090000000003</v>
          </cell>
          <cell r="P48">
            <v>5.6767630000000002</v>
          </cell>
          <cell r="Q48">
            <v>5.726108</v>
          </cell>
          <cell r="R48">
            <v>5.7807719999999998</v>
          </cell>
          <cell r="S48">
            <v>5.8417969999999997</v>
          </cell>
          <cell r="T48">
            <v>5.9047150000000004</v>
          </cell>
          <cell r="U48">
            <v>5.9657530000000003</v>
          </cell>
          <cell r="V48">
            <v>6.0231640000000004</v>
          </cell>
          <cell r="W48">
            <v>6.0821820000000004</v>
          </cell>
          <cell r="X48">
            <v>6.1438709999999999</v>
          </cell>
          <cell r="Y48">
            <v>6.2077059999999999</v>
          </cell>
          <cell r="Z48">
            <v>6.2770710000000003</v>
          </cell>
          <cell r="AA48">
            <v>6.3477329999999998</v>
          </cell>
          <cell r="AB48">
            <v>6.4194519999999997</v>
          </cell>
          <cell r="AC48">
            <v>6.4920679999999997</v>
          </cell>
          <cell r="AD48">
            <v>6.5652109999999997</v>
          </cell>
          <cell r="AE48">
            <v>6.6418739999999996</v>
          </cell>
          <cell r="AF48">
            <v>6.72506</v>
          </cell>
          <cell r="AG48">
            <v>9.0270000000000003E-3</v>
          </cell>
        </row>
        <row r="49">
          <cell r="A49" t="str">
            <v>RKI000:fa_OwnGeneration</v>
          </cell>
          <cell r="C49">
            <v>9.6992999999999996E-2</v>
          </cell>
          <cell r="D49">
            <v>0.10822</v>
          </cell>
          <cell r="E49">
            <v>0.1197</v>
          </cell>
          <cell r="F49">
            <v>0.12862499999999999</v>
          </cell>
          <cell r="G49">
            <v>0.13755999999999999</v>
          </cell>
          <cell r="H49">
            <v>0.14668300000000001</v>
          </cell>
          <cell r="I49">
            <v>0.15606800000000001</v>
          </cell>
          <cell r="J49">
            <v>0.16575699999999999</v>
          </cell>
          <cell r="K49">
            <v>0.175733</v>
          </cell>
          <cell r="L49">
            <v>0.18587799999999999</v>
          </cell>
          <cell r="M49">
            <v>0.19658900000000001</v>
          </cell>
          <cell r="N49">
            <v>0.207621</v>
          </cell>
          <cell r="O49">
            <v>0.21959999999999999</v>
          </cell>
          <cell r="P49">
            <v>0.232436</v>
          </cell>
          <cell r="Q49">
            <v>0.24544199999999999</v>
          </cell>
          <cell r="R49">
            <v>0.25907799999999997</v>
          </cell>
          <cell r="S49">
            <v>0.27332499999999998</v>
          </cell>
          <cell r="T49">
            <v>0.287825</v>
          </cell>
          <cell r="U49">
            <v>0.30341699999999999</v>
          </cell>
          <cell r="V49">
            <v>0.31978299999999998</v>
          </cell>
          <cell r="W49">
            <v>0.33658700000000003</v>
          </cell>
          <cell r="X49">
            <v>0.35464600000000002</v>
          </cell>
          <cell r="Y49">
            <v>0.373921</v>
          </cell>
          <cell r="Z49">
            <v>0.39326699999999998</v>
          </cell>
          <cell r="AA49">
            <v>0.41395999999999999</v>
          </cell>
          <cell r="AB49">
            <v>0.43567099999999997</v>
          </cell>
          <cell r="AC49">
            <v>0.457789</v>
          </cell>
          <cell r="AD49">
            <v>0.48163099999999998</v>
          </cell>
          <cell r="AE49">
            <v>0.50673900000000005</v>
          </cell>
          <cell r="AF49">
            <v>0.53222100000000006</v>
          </cell>
          <cell r="AG49">
            <v>6.0461000000000001E-2</v>
          </cell>
        </row>
        <row r="50">
          <cell r="A50" t="str">
            <v>RKI000:fa_PurchasedElec</v>
          </cell>
          <cell r="C50">
            <v>5.0852069999999996</v>
          </cell>
          <cell r="D50">
            <v>4.9886809999999997</v>
          </cell>
          <cell r="E50">
            <v>5.1304930000000004</v>
          </cell>
          <cell r="F50">
            <v>5.1746080000000001</v>
          </cell>
          <cell r="G50">
            <v>5.2162360000000003</v>
          </cell>
          <cell r="H50">
            <v>5.2496590000000003</v>
          </cell>
          <cell r="I50">
            <v>5.2728289999999998</v>
          </cell>
          <cell r="J50">
            <v>5.2951689999999996</v>
          </cell>
          <cell r="K50">
            <v>5.3178470000000004</v>
          </cell>
          <cell r="L50">
            <v>5.3405529999999999</v>
          </cell>
          <cell r="M50">
            <v>5.3641300000000003</v>
          </cell>
          <cell r="N50">
            <v>5.3901240000000001</v>
          </cell>
          <cell r="O50">
            <v>5.4165089999999996</v>
          </cell>
          <cell r="P50">
            <v>5.4443270000000004</v>
          </cell>
          <cell r="Q50">
            <v>5.4806660000000003</v>
          </cell>
          <cell r="R50">
            <v>5.521693</v>
          </cell>
          <cell r="S50">
            <v>5.5684709999999997</v>
          </cell>
          <cell r="T50">
            <v>5.6168899999999997</v>
          </cell>
          <cell r="U50">
            <v>5.6623349999999997</v>
          </cell>
          <cell r="V50">
            <v>5.7033800000000001</v>
          </cell>
          <cell r="W50">
            <v>5.7455949999999998</v>
          </cell>
          <cell r="X50">
            <v>5.7892250000000001</v>
          </cell>
          <cell r="Y50">
            <v>5.8337859999999999</v>
          </cell>
          <cell r="Z50">
            <v>5.8838039999999996</v>
          </cell>
          <cell r="AA50">
            <v>5.9337739999999997</v>
          </cell>
          <cell r="AB50">
            <v>5.9837809999999996</v>
          </cell>
          <cell r="AC50">
            <v>6.0342789999999997</v>
          </cell>
          <cell r="AD50">
            <v>6.0835800000000004</v>
          </cell>
          <cell r="AE50">
            <v>6.1351360000000001</v>
          </cell>
          <cell r="AF50">
            <v>6.1928380000000001</v>
          </cell>
          <cell r="AG50">
            <v>6.8180000000000003E-3</v>
          </cell>
        </row>
        <row r="53">
          <cell r="A53" t="str">
            <v>RKI000:ga_SpaceHeating</v>
          </cell>
          <cell r="C53">
            <v>3.581966</v>
          </cell>
          <cell r="D53">
            <v>3.6507990000000001</v>
          </cell>
          <cell r="E53">
            <v>3.5738620000000001</v>
          </cell>
          <cell r="F53">
            <v>3.5794790000000001</v>
          </cell>
          <cell r="G53">
            <v>3.5840179999999999</v>
          </cell>
          <cell r="H53">
            <v>3.5795970000000001</v>
          </cell>
          <cell r="I53">
            <v>3.5686689999999999</v>
          </cell>
          <cell r="J53">
            <v>3.5520839999999998</v>
          </cell>
          <cell r="K53">
            <v>3.530939</v>
          </cell>
          <cell r="L53">
            <v>3.5104289999999998</v>
          </cell>
          <cell r="M53">
            <v>3.4869289999999999</v>
          </cell>
          <cell r="N53">
            <v>3.466926</v>
          </cell>
          <cell r="O53">
            <v>3.446984</v>
          </cell>
          <cell r="P53">
            <v>3.4298229999999998</v>
          </cell>
          <cell r="Q53">
            <v>3.415997</v>
          </cell>
          <cell r="R53">
            <v>3.4029430000000001</v>
          </cell>
          <cell r="S53">
            <v>3.389243</v>
          </cell>
          <cell r="T53">
            <v>3.3760289999999999</v>
          </cell>
          <cell r="U53">
            <v>3.3630749999999998</v>
          </cell>
          <cell r="V53">
            <v>3.351731</v>
          </cell>
          <cell r="W53">
            <v>3.3406699999999998</v>
          </cell>
          <cell r="X53">
            <v>3.3299270000000001</v>
          </cell>
          <cell r="Y53">
            <v>3.3191679999999999</v>
          </cell>
          <cell r="Z53">
            <v>3.3091590000000002</v>
          </cell>
          <cell r="AA53">
            <v>3.2983549999999999</v>
          </cell>
          <cell r="AB53">
            <v>3.2871929999999998</v>
          </cell>
          <cell r="AC53">
            <v>3.2752669999999999</v>
          </cell>
          <cell r="AD53">
            <v>3.263074</v>
          </cell>
          <cell r="AE53">
            <v>3.2500589999999998</v>
          </cell>
          <cell r="AF53">
            <v>3.2369270000000001</v>
          </cell>
          <cell r="AG53">
            <v>-3.4870000000000001E-3</v>
          </cell>
        </row>
        <row r="54">
          <cell r="A54" t="str">
            <v>RKI000:ga_SpaceCooling</v>
          </cell>
          <cell r="C54">
            <v>5.6049000000000002E-2</v>
          </cell>
          <cell r="D54">
            <v>5.2453E-2</v>
          </cell>
          <cell r="E54">
            <v>5.9924999999999999E-2</v>
          </cell>
          <cell r="F54">
            <v>5.9984999999999997E-2</v>
          </cell>
          <cell r="G54">
            <v>6.0037E-2</v>
          </cell>
          <cell r="H54">
            <v>6.0027999999999998E-2</v>
          </cell>
          <cell r="I54">
            <v>5.9912E-2</v>
          </cell>
          <cell r="J54">
            <v>5.9756999999999998E-2</v>
          </cell>
          <cell r="K54">
            <v>5.9537E-2</v>
          </cell>
          <cell r="L54">
            <v>5.9338000000000002E-2</v>
          </cell>
          <cell r="M54">
            <v>5.9082000000000003E-2</v>
          </cell>
          <cell r="N54">
            <v>5.8825000000000002E-2</v>
          </cell>
          <cell r="O54">
            <v>5.8603000000000002E-2</v>
          </cell>
          <cell r="P54">
            <v>5.8427E-2</v>
          </cell>
          <cell r="Q54">
            <v>5.8363999999999999E-2</v>
          </cell>
          <cell r="R54">
            <v>5.8411999999999999E-2</v>
          </cell>
          <cell r="S54">
            <v>5.858E-2</v>
          </cell>
          <cell r="T54">
            <v>5.8770999999999997E-2</v>
          </cell>
          <cell r="U54">
            <v>5.8985999999999997E-2</v>
          </cell>
          <cell r="V54">
            <v>5.9185000000000001E-2</v>
          </cell>
          <cell r="W54">
            <v>5.9393000000000001E-2</v>
          </cell>
          <cell r="X54">
            <v>5.9610000000000003E-2</v>
          </cell>
          <cell r="Y54">
            <v>5.9812999999999998E-2</v>
          </cell>
          <cell r="Z54">
            <v>6.0042999999999999E-2</v>
          </cell>
          <cell r="AA54">
            <v>6.0268000000000002E-2</v>
          </cell>
          <cell r="AB54">
            <v>6.0482000000000001E-2</v>
          </cell>
          <cell r="AC54">
            <v>6.0715999999999999E-2</v>
          </cell>
          <cell r="AD54">
            <v>6.0954000000000001E-2</v>
          </cell>
          <cell r="AE54">
            <v>6.1190000000000001E-2</v>
          </cell>
          <cell r="AF54">
            <v>6.1409999999999999E-2</v>
          </cell>
          <cell r="AG54">
            <v>3.1549999999999998E-3</v>
          </cell>
        </row>
        <row r="55">
          <cell r="A55" t="str">
            <v>RKI000:ga_WaterHeating</v>
          </cell>
          <cell r="C55">
            <v>0.99534999999999996</v>
          </cell>
          <cell r="D55">
            <v>0.99401099999999998</v>
          </cell>
          <cell r="E55">
            <v>0.99949100000000002</v>
          </cell>
          <cell r="F55">
            <v>1.0114860000000001</v>
          </cell>
          <cell r="G55">
            <v>1.0253779999999999</v>
          </cell>
          <cell r="H55">
            <v>1.038697</v>
          </cell>
          <cell r="I55">
            <v>1.051086</v>
          </cell>
          <cell r="J55">
            <v>1.0618799999999999</v>
          </cell>
          <cell r="K55">
            <v>1.0715520000000001</v>
          </cell>
          <cell r="L55">
            <v>1.0816730000000001</v>
          </cell>
          <cell r="M55">
            <v>1.088241</v>
          </cell>
          <cell r="N55">
            <v>1.0956429999999999</v>
          </cell>
          <cell r="O55">
            <v>1.102924</v>
          </cell>
          <cell r="P55">
            <v>1.1108769999999999</v>
          </cell>
          <cell r="Q55">
            <v>1.1193439999999999</v>
          </cell>
          <cell r="R55">
            <v>1.1274770000000001</v>
          </cell>
          <cell r="S55">
            <v>1.1346259999999999</v>
          </cell>
          <cell r="T55">
            <v>1.1410450000000001</v>
          </cell>
          <cell r="U55">
            <v>1.147076</v>
          </cell>
          <cell r="V55">
            <v>1.153043</v>
          </cell>
          <cell r="W55">
            <v>1.1587890000000001</v>
          </cell>
          <cell r="X55">
            <v>1.164606</v>
          </cell>
          <cell r="Y55">
            <v>1.1705859999999999</v>
          </cell>
          <cell r="Z55">
            <v>1.1769430000000001</v>
          </cell>
          <cell r="AA55">
            <v>1.1834880000000001</v>
          </cell>
          <cell r="AB55">
            <v>1.190215</v>
          </cell>
          <cell r="AC55">
            <v>1.1969810000000001</v>
          </cell>
          <cell r="AD55">
            <v>1.203978</v>
          </cell>
          <cell r="AE55">
            <v>1.2108719999999999</v>
          </cell>
          <cell r="AF55">
            <v>1.217773</v>
          </cell>
          <cell r="AG55">
            <v>6.979E-3</v>
          </cell>
        </row>
        <row r="56">
          <cell r="A56" t="str">
            <v>RKI000:ga_Cooking</v>
          </cell>
          <cell r="C56">
            <v>0.103447</v>
          </cell>
          <cell r="D56">
            <v>0.10367999999999999</v>
          </cell>
          <cell r="E56">
            <v>0.103879</v>
          </cell>
          <cell r="F56">
            <v>0.104091</v>
          </cell>
          <cell r="G56">
            <v>0.104312</v>
          </cell>
          <cell r="H56">
            <v>0.10451000000000001</v>
          </cell>
          <cell r="I56">
            <v>0.104675</v>
          </cell>
          <cell r="J56">
            <v>0.104854</v>
          </cell>
          <cell r="K56">
            <v>0.105111</v>
          </cell>
          <cell r="L56">
            <v>0.105444</v>
          </cell>
          <cell r="M56">
            <v>0.10585</v>
          </cell>
          <cell r="N56">
            <v>0.106352</v>
          </cell>
          <cell r="O56">
            <v>0.106958</v>
          </cell>
          <cell r="P56">
            <v>0.107615</v>
          </cell>
          <cell r="Q56">
            <v>0.108332</v>
          </cell>
          <cell r="R56">
            <v>0.109096</v>
          </cell>
          <cell r="S56">
            <v>0.109904</v>
          </cell>
          <cell r="T56">
            <v>0.110734</v>
          </cell>
          <cell r="U56">
            <v>0.111586</v>
          </cell>
          <cell r="V56">
            <v>0.112469</v>
          </cell>
          <cell r="W56">
            <v>0.11337700000000001</v>
          </cell>
          <cell r="X56">
            <v>0.114303</v>
          </cell>
          <cell r="Y56">
            <v>0.115256</v>
          </cell>
          <cell r="Z56">
            <v>0.116234</v>
          </cell>
          <cell r="AA56">
            <v>0.11723600000000001</v>
          </cell>
          <cell r="AB56">
            <v>0.118252</v>
          </cell>
          <cell r="AC56">
            <v>0.119269</v>
          </cell>
          <cell r="AD56">
            <v>0.120278</v>
          </cell>
          <cell r="AE56">
            <v>0.12127</v>
          </cell>
          <cell r="AF56">
            <v>0.122241</v>
          </cell>
          <cell r="AG56">
            <v>5.7730000000000004E-3</v>
          </cell>
        </row>
        <row r="57">
          <cell r="A57" t="str">
            <v>RKI000:ga_ClothesDryers</v>
          </cell>
          <cell r="C57">
            <v>3.9681000000000001E-2</v>
          </cell>
          <cell r="D57">
            <v>4.0011999999999999E-2</v>
          </cell>
          <cell r="E57">
            <v>4.0605000000000002E-2</v>
          </cell>
          <cell r="F57">
            <v>4.1438999999999997E-2</v>
          </cell>
          <cell r="G57">
            <v>4.2341999999999998E-2</v>
          </cell>
          <cell r="H57">
            <v>4.3222999999999998E-2</v>
          </cell>
          <cell r="I57">
            <v>4.4084999999999999E-2</v>
          </cell>
          <cell r="J57">
            <v>4.4838999999999997E-2</v>
          </cell>
          <cell r="K57">
            <v>4.5510000000000002E-2</v>
          </cell>
          <cell r="L57">
            <v>4.6172999999999999E-2</v>
          </cell>
          <cell r="M57">
            <v>4.6711999999999997E-2</v>
          </cell>
          <cell r="N57">
            <v>4.7306000000000001E-2</v>
          </cell>
          <cell r="O57">
            <v>4.7912000000000003E-2</v>
          </cell>
          <cell r="P57">
            <v>4.8562000000000001E-2</v>
          </cell>
          <cell r="Q57">
            <v>4.9237999999999997E-2</v>
          </cell>
          <cell r="R57">
            <v>4.9904999999999998E-2</v>
          </cell>
          <cell r="S57">
            <v>5.0573E-2</v>
          </cell>
          <cell r="T57">
            <v>5.1251999999999999E-2</v>
          </cell>
          <cell r="U57">
            <v>5.1944999999999998E-2</v>
          </cell>
          <cell r="V57">
            <v>5.2658999999999997E-2</v>
          </cell>
          <cell r="W57">
            <v>5.3379999999999997E-2</v>
          </cell>
          <cell r="X57">
            <v>5.4114000000000002E-2</v>
          </cell>
          <cell r="Y57">
            <v>5.4852999999999999E-2</v>
          </cell>
          <cell r="Z57">
            <v>5.5599000000000003E-2</v>
          </cell>
          <cell r="AA57">
            <v>5.6336999999999998E-2</v>
          </cell>
          <cell r="AB57">
            <v>5.7065999999999999E-2</v>
          </cell>
          <cell r="AC57">
            <v>5.7780999999999999E-2</v>
          </cell>
          <cell r="AD57">
            <v>5.8494999999999998E-2</v>
          </cell>
          <cell r="AE57">
            <v>5.9193999999999997E-2</v>
          </cell>
          <cell r="AF57">
            <v>5.9887999999999997E-2</v>
          </cell>
          <cell r="AG57">
            <v>1.4293999999999999E-2</v>
          </cell>
        </row>
        <row r="58">
          <cell r="A58" t="str">
            <v>RKI000:ga_OtherNatGas</v>
          </cell>
          <cell r="C58">
            <v>0.230883</v>
          </cell>
          <cell r="D58">
            <v>0.229241</v>
          </cell>
          <cell r="E58">
            <v>0.228655</v>
          </cell>
          <cell r="F58">
            <v>0.22922899999999999</v>
          </cell>
          <cell r="G58">
            <v>0.23011999999999999</v>
          </cell>
          <cell r="H58">
            <v>0.23082</v>
          </cell>
          <cell r="I58">
            <v>0.231266</v>
          </cell>
          <cell r="J58">
            <v>0.23114599999999999</v>
          </cell>
          <cell r="K58">
            <v>0.23056499999999999</v>
          </cell>
          <cell r="L58">
            <v>0.22992599999999999</v>
          </cell>
          <cell r="M58">
            <v>0.228599</v>
          </cell>
          <cell r="N58">
            <v>0.22758800000000001</v>
          </cell>
          <cell r="O58">
            <v>0.22672200000000001</v>
          </cell>
          <cell r="P58">
            <v>0.22616800000000001</v>
          </cell>
          <cell r="Q58">
            <v>0.22581699999999999</v>
          </cell>
          <cell r="R58">
            <v>0.22553500000000001</v>
          </cell>
          <cell r="S58">
            <v>0.225193</v>
          </cell>
          <cell r="T58">
            <v>0.22483700000000001</v>
          </cell>
          <cell r="U58">
            <v>0.22447700000000001</v>
          </cell>
          <cell r="V58">
            <v>0.224134</v>
          </cell>
          <cell r="W58">
            <v>0.22378500000000001</v>
          </cell>
          <cell r="X58">
            <v>0.22347500000000001</v>
          </cell>
          <cell r="Y58">
            <v>0.22318499999999999</v>
          </cell>
          <cell r="Z58">
            <v>0.22292899999999999</v>
          </cell>
          <cell r="AA58">
            <v>0.22264800000000001</v>
          </cell>
          <cell r="AB58">
            <v>0.222353</v>
          </cell>
          <cell r="AC58">
            <v>0.22204199999999999</v>
          </cell>
          <cell r="AD58">
            <v>0.22175600000000001</v>
          </cell>
          <cell r="AE58">
            <v>0.221447</v>
          </cell>
          <cell r="AF58">
            <v>0.22114500000000001</v>
          </cell>
          <cell r="AG58">
            <v>-1.485E-3</v>
          </cell>
        </row>
        <row r="59">
          <cell r="A59" t="str">
            <v>RKI000:ga_DeliveredEner</v>
          </cell>
          <cell r="C59">
            <v>5.0073759999999998</v>
          </cell>
          <cell r="D59">
            <v>5.0701960000000001</v>
          </cell>
          <cell r="E59">
            <v>5.006418</v>
          </cell>
          <cell r="F59">
            <v>5.0257100000000001</v>
          </cell>
          <cell r="G59">
            <v>5.0462069999999999</v>
          </cell>
          <cell r="H59">
            <v>5.0568770000000001</v>
          </cell>
          <cell r="I59">
            <v>5.0596949999999996</v>
          </cell>
          <cell r="J59">
            <v>5.0545609999999996</v>
          </cell>
          <cell r="K59">
            <v>5.0432160000000001</v>
          </cell>
          <cell r="L59">
            <v>5.0329839999999999</v>
          </cell>
          <cell r="M59">
            <v>5.0154139999999998</v>
          </cell>
          <cell r="N59">
            <v>5.0026409999999997</v>
          </cell>
          <cell r="O59">
            <v>4.9901039999999997</v>
          </cell>
          <cell r="P59">
            <v>4.9814720000000001</v>
          </cell>
          <cell r="Q59">
            <v>4.977093</v>
          </cell>
          <cell r="R59">
            <v>4.9733669999999996</v>
          </cell>
          <cell r="S59">
            <v>4.9681170000000003</v>
          </cell>
          <cell r="T59">
            <v>4.9626669999999997</v>
          </cell>
          <cell r="U59">
            <v>4.9571440000000004</v>
          </cell>
          <cell r="V59">
            <v>4.9532210000000001</v>
          </cell>
          <cell r="W59">
            <v>4.9493939999999998</v>
          </cell>
          <cell r="X59">
            <v>4.9460360000000003</v>
          </cell>
          <cell r="Y59">
            <v>4.9428619999999999</v>
          </cell>
          <cell r="Z59">
            <v>4.9409070000000002</v>
          </cell>
          <cell r="AA59">
            <v>4.9383319999999999</v>
          </cell>
          <cell r="AB59">
            <v>4.9355609999999999</v>
          </cell>
          <cell r="AC59">
            <v>4.9320570000000004</v>
          </cell>
          <cell r="AD59">
            <v>4.9285350000000001</v>
          </cell>
          <cell r="AE59">
            <v>4.9240320000000004</v>
          </cell>
          <cell r="AF59">
            <v>4.9193829999999998</v>
          </cell>
          <cell r="AG59">
            <v>-6.11E-4</v>
          </cell>
        </row>
        <row r="62">
          <cell r="A62" t="str">
            <v>RKI000:ha_SpaceHeating</v>
          </cell>
          <cell r="C62">
            <v>0.36505799999999999</v>
          </cell>
          <cell r="D62">
            <v>0.38912400000000003</v>
          </cell>
          <cell r="E62">
            <v>0.36383399999999999</v>
          </cell>
          <cell r="F62">
            <v>0.35516500000000001</v>
          </cell>
          <cell r="G62">
            <v>0.34659699999999999</v>
          </cell>
          <cell r="H62">
            <v>0.33831800000000001</v>
          </cell>
          <cell r="I62">
            <v>0.33052199999999998</v>
          </cell>
          <cell r="J62">
            <v>0.32349</v>
          </cell>
          <cell r="K62">
            <v>0.31716</v>
          </cell>
          <cell r="L62">
            <v>0.31141000000000002</v>
          </cell>
          <cell r="M62">
            <v>0.30567699999999998</v>
          </cell>
          <cell r="N62">
            <v>0.30012699999999998</v>
          </cell>
          <cell r="O62">
            <v>0.29481000000000002</v>
          </cell>
          <cell r="P62">
            <v>0.28976200000000002</v>
          </cell>
          <cell r="Q62">
            <v>0.284829</v>
          </cell>
          <cell r="R62">
            <v>0.27995399999999998</v>
          </cell>
          <cell r="S62">
            <v>0.27509099999999997</v>
          </cell>
          <cell r="T62">
            <v>0.270426</v>
          </cell>
          <cell r="U62">
            <v>0.26594600000000002</v>
          </cell>
          <cell r="V62">
            <v>0.26158300000000001</v>
          </cell>
          <cell r="W62">
            <v>0.25731900000000002</v>
          </cell>
          <cell r="X62">
            <v>0.25317899999999999</v>
          </cell>
          <cell r="Y62">
            <v>0.24889</v>
          </cell>
          <cell r="Z62">
            <v>0.24448800000000001</v>
          </cell>
          <cell r="AA62">
            <v>0.240177</v>
          </cell>
          <cell r="AB62">
            <v>0.235878</v>
          </cell>
          <cell r="AC62">
            <v>0.23169600000000001</v>
          </cell>
          <cell r="AD62">
            <v>0.22764699999999999</v>
          </cell>
          <cell r="AE62">
            <v>0.22364600000000001</v>
          </cell>
          <cell r="AF62">
            <v>0.21970000000000001</v>
          </cell>
          <cell r="AG62">
            <v>-1.7357999999999998E-2</v>
          </cell>
        </row>
        <row r="63">
          <cell r="A63" t="str">
            <v>RKI000:ha_WaterHeating</v>
          </cell>
          <cell r="C63">
            <v>4.6672999999999999E-2</v>
          </cell>
          <cell r="D63">
            <v>4.4492999999999998E-2</v>
          </cell>
          <cell r="E63">
            <v>4.2604999999999997E-2</v>
          </cell>
          <cell r="F63">
            <v>4.0875000000000002E-2</v>
          </cell>
          <cell r="G63">
            <v>3.9349000000000002E-2</v>
          </cell>
          <cell r="H63">
            <v>3.8025999999999997E-2</v>
          </cell>
          <cell r="I63">
            <v>3.6917999999999999E-2</v>
          </cell>
          <cell r="J63">
            <v>3.6053000000000002E-2</v>
          </cell>
          <cell r="K63">
            <v>3.5425999999999999E-2</v>
          </cell>
          <cell r="L63">
            <v>3.5022999999999999E-2</v>
          </cell>
          <cell r="M63">
            <v>3.4551999999999999E-2</v>
          </cell>
          <cell r="N63">
            <v>3.4051999999999999E-2</v>
          </cell>
          <cell r="O63">
            <v>3.3538999999999999E-2</v>
          </cell>
          <cell r="P63">
            <v>3.3027000000000001E-2</v>
          </cell>
          <cell r="Q63">
            <v>3.2501000000000002E-2</v>
          </cell>
          <cell r="R63">
            <v>3.1958E-2</v>
          </cell>
          <cell r="S63">
            <v>3.1397000000000001E-2</v>
          </cell>
          <cell r="T63">
            <v>3.0838000000000001E-2</v>
          </cell>
          <cell r="U63">
            <v>3.0301999999999999E-2</v>
          </cell>
          <cell r="V63">
            <v>2.9769E-2</v>
          </cell>
          <cell r="W63">
            <v>2.9255E-2</v>
          </cell>
          <cell r="X63">
            <v>2.8773E-2</v>
          </cell>
          <cell r="Y63">
            <v>2.8302000000000001E-2</v>
          </cell>
          <cell r="Z63">
            <v>2.7838000000000002E-2</v>
          </cell>
          <cell r="AA63">
            <v>2.7401999999999999E-2</v>
          </cell>
          <cell r="AB63">
            <v>2.6984999999999999E-2</v>
          </cell>
          <cell r="AC63">
            <v>2.6596000000000002E-2</v>
          </cell>
          <cell r="AD63">
            <v>2.6238000000000001E-2</v>
          </cell>
          <cell r="AE63">
            <v>2.5897E-2</v>
          </cell>
          <cell r="AF63">
            <v>2.5566999999999999E-2</v>
          </cell>
          <cell r="AG63">
            <v>-2.0541E-2</v>
          </cell>
        </row>
        <row r="64">
          <cell r="A64" t="str">
            <v>RKI000:Other_ha_ha</v>
          </cell>
          <cell r="C64">
            <v>7.8150000000000008E-3</v>
          </cell>
          <cell r="D64">
            <v>7.7609999999999997E-3</v>
          </cell>
          <cell r="E64">
            <v>7.7210000000000004E-3</v>
          </cell>
          <cell r="F64">
            <v>7.672E-3</v>
          </cell>
          <cell r="G64">
            <v>7.6210000000000002E-3</v>
          </cell>
          <cell r="H64">
            <v>7.5729999999999999E-3</v>
          </cell>
          <cell r="I64">
            <v>7.5290000000000001E-3</v>
          </cell>
          <cell r="J64">
            <v>7.4949999999999999E-3</v>
          </cell>
          <cell r="K64">
            <v>7.4679999999999998E-3</v>
          </cell>
          <cell r="L64">
            <v>7.45E-3</v>
          </cell>
          <cell r="M64">
            <v>7.4269999999999996E-3</v>
          </cell>
          <cell r="N64">
            <v>7.4050000000000001E-3</v>
          </cell>
          <cell r="O64">
            <v>7.3839999999999999E-3</v>
          </cell>
          <cell r="P64">
            <v>7.3660000000000002E-3</v>
          </cell>
          <cell r="Q64">
            <v>7.3480000000000004E-3</v>
          </cell>
          <cell r="R64">
            <v>7.3280000000000003E-3</v>
          </cell>
          <cell r="S64">
            <v>7.3049999999999999E-3</v>
          </cell>
          <cell r="T64">
            <v>7.2830000000000004E-3</v>
          </cell>
          <cell r="U64">
            <v>7.2649999999999998E-3</v>
          </cell>
          <cell r="V64">
            <v>7.2439999999999996E-3</v>
          </cell>
          <cell r="W64">
            <v>7.2249999999999997E-3</v>
          </cell>
          <cell r="X64">
            <v>7.208E-3</v>
          </cell>
          <cell r="Y64">
            <v>7.1890000000000001E-3</v>
          </cell>
          <cell r="Z64">
            <v>7.1669999999999998E-3</v>
          </cell>
          <cell r="AA64">
            <v>7.1459999999999996E-3</v>
          </cell>
          <cell r="AB64">
            <v>7.1260000000000004E-3</v>
          </cell>
          <cell r="AC64">
            <v>7.1089999999999999E-3</v>
          </cell>
          <cell r="AD64">
            <v>7.0949999999999997E-3</v>
          </cell>
          <cell r="AE64">
            <v>7.084E-3</v>
          </cell>
          <cell r="AF64">
            <v>7.0730000000000003E-3</v>
          </cell>
          <cell r="AG64">
            <v>-3.4329999999999999E-3</v>
          </cell>
        </row>
        <row r="65">
          <cell r="A65" t="str">
            <v>RKI000:ha_DeliveredEner</v>
          </cell>
          <cell r="C65">
            <v>0.41954599999999997</v>
          </cell>
          <cell r="D65">
            <v>0.44137799999999999</v>
          </cell>
          <cell r="E65">
            <v>0.414161</v>
          </cell>
          <cell r="F65">
            <v>0.40371299999999999</v>
          </cell>
          <cell r="G65">
            <v>0.39356799999999997</v>
          </cell>
          <cell r="H65">
            <v>0.38391700000000001</v>
          </cell>
          <cell r="I65">
            <v>0.374969</v>
          </cell>
          <cell r="J65">
            <v>0.367037</v>
          </cell>
          <cell r="K65">
            <v>0.36005500000000001</v>
          </cell>
          <cell r="L65">
            <v>0.353883</v>
          </cell>
          <cell r="M65">
            <v>0.34765600000000002</v>
          </cell>
          <cell r="N65">
            <v>0.34158300000000003</v>
          </cell>
          <cell r="O65">
            <v>0.335733</v>
          </cell>
          <cell r="P65">
            <v>0.330154</v>
          </cell>
          <cell r="Q65">
            <v>0.32467800000000002</v>
          </cell>
          <cell r="R65">
            <v>0.31924000000000002</v>
          </cell>
          <cell r="S65">
            <v>0.31379299999999999</v>
          </cell>
          <cell r="T65">
            <v>0.30854700000000002</v>
          </cell>
          <cell r="U65">
            <v>0.303512</v>
          </cell>
          <cell r="V65">
            <v>0.29859599999999997</v>
          </cell>
          <cell r="W65">
            <v>0.29379899999999998</v>
          </cell>
          <cell r="X65">
            <v>0.289161</v>
          </cell>
          <cell r="Y65">
            <v>0.28438099999999999</v>
          </cell>
          <cell r="Z65">
            <v>0.27949299999999999</v>
          </cell>
          <cell r="AA65">
            <v>0.274725</v>
          </cell>
          <cell r="AB65">
            <v>0.26998899999999998</v>
          </cell>
          <cell r="AC65">
            <v>0.265401</v>
          </cell>
          <cell r="AD65">
            <v>0.26097999999999999</v>
          </cell>
          <cell r="AE65">
            <v>0.25662699999999999</v>
          </cell>
          <cell r="AF65">
            <v>0.252357</v>
          </cell>
          <cell r="AG65">
            <v>-1.7375999999999999E-2</v>
          </cell>
        </row>
        <row r="68">
          <cell r="A68" t="str">
            <v>RKI000:ia_SpaceHeating</v>
          </cell>
          <cell r="C68">
            <v>0.32519300000000001</v>
          </cell>
          <cell r="D68">
            <v>0.33094699999999999</v>
          </cell>
          <cell r="E68">
            <v>0.31385000000000002</v>
          </cell>
          <cell r="F68">
            <v>0.31026799999999999</v>
          </cell>
          <cell r="G68">
            <v>0.30719200000000002</v>
          </cell>
          <cell r="H68">
            <v>0.30394500000000002</v>
          </cell>
          <cell r="I68">
            <v>0.30044300000000002</v>
          </cell>
          <cell r="J68">
            <v>0.29669499999999999</v>
          </cell>
          <cell r="K68">
            <v>0.29288700000000001</v>
          </cell>
          <cell r="L68">
            <v>0.28916700000000001</v>
          </cell>
          <cell r="M68">
            <v>0.28548800000000002</v>
          </cell>
          <cell r="N68">
            <v>0.28202899999999997</v>
          </cell>
          <cell r="O68">
            <v>0.27876000000000001</v>
          </cell>
          <cell r="P68">
            <v>0.27576200000000001</v>
          </cell>
          <cell r="Q68">
            <v>0.273007</v>
          </cell>
          <cell r="R68">
            <v>0.27041399999999999</v>
          </cell>
          <cell r="S68">
            <v>0.26789000000000002</v>
          </cell>
          <cell r="T68">
            <v>0.26546199999999998</v>
          </cell>
          <cell r="U68">
            <v>0.26311499999999999</v>
          </cell>
          <cell r="V68">
            <v>0.26084299999999999</v>
          </cell>
          <cell r="W68">
            <v>0.25861200000000001</v>
          </cell>
          <cell r="X68">
            <v>0.25643899999999997</v>
          </cell>
          <cell r="Y68">
            <v>0.25426799999999999</v>
          </cell>
          <cell r="Z68">
            <v>0.252079</v>
          </cell>
          <cell r="AA68">
            <v>0.24992500000000001</v>
          </cell>
          <cell r="AB68">
            <v>0.247812</v>
          </cell>
          <cell r="AC68">
            <v>0.245752</v>
          </cell>
          <cell r="AD68">
            <v>0.24373600000000001</v>
          </cell>
          <cell r="AE68">
            <v>0.241789</v>
          </cell>
          <cell r="AF68">
            <v>0.239929</v>
          </cell>
          <cell r="AG68">
            <v>-1.0430999999999999E-2</v>
          </cell>
        </row>
        <row r="69">
          <cell r="A69" t="str">
            <v>RKI000:ia_WaterHeating</v>
          </cell>
          <cell r="C69">
            <v>6.3190999999999997E-2</v>
          </cell>
          <cell r="D69">
            <v>6.0519999999999997E-2</v>
          </cell>
          <cell r="E69">
            <v>5.8376999999999998E-2</v>
          </cell>
          <cell r="F69">
            <v>5.6762E-2</v>
          </cell>
          <cell r="G69">
            <v>5.5440000000000003E-2</v>
          </cell>
          <cell r="H69">
            <v>5.4253000000000003E-2</v>
          </cell>
          <cell r="I69">
            <v>5.3148000000000001E-2</v>
          </cell>
          <cell r="J69">
            <v>5.212E-2</v>
          </cell>
          <cell r="K69">
            <v>5.1226000000000001E-2</v>
          </cell>
          <cell r="L69">
            <v>5.0488999999999999E-2</v>
          </cell>
          <cell r="M69">
            <v>4.9620999999999998E-2</v>
          </cell>
          <cell r="N69">
            <v>4.8719999999999999E-2</v>
          </cell>
          <cell r="O69">
            <v>4.7799000000000001E-2</v>
          </cell>
          <cell r="P69">
            <v>4.6883000000000001E-2</v>
          </cell>
          <cell r="Q69">
            <v>4.5977999999999998E-2</v>
          </cell>
          <cell r="R69">
            <v>4.5081999999999997E-2</v>
          </cell>
          <cell r="S69">
            <v>4.4191000000000001E-2</v>
          </cell>
          <cell r="T69">
            <v>4.3312000000000003E-2</v>
          </cell>
          <cell r="U69">
            <v>4.2467999999999999E-2</v>
          </cell>
          <cell r="V69">
            <v>4.1653999999999997E-2</v>
          </cell>
          <cell r="W69">
            <v>4.0875000000000002E-2</v>
          </cell>
          <cell r="X69">
            <v>4.0150999999999999E-2</v>
          </cell>
          <cell r="Y69">
            <v>3.9475999999999997E-2</v>
          </cell>
          <cell r="Z69">
            <v>3.8841000000000001E-2</v>
          </cell>
          <cell r="AA69">
            <v>3.8259000000000001E-2</v>
          </cell>
          <cell r="AB69">
            <v>3.7724000000000001E-2</v>
          </cell>
          <cell r="AC69">
            <v>3.7227000000000003E-2</v>
          </cell>
          <cell r="AD69">
            <v>3.6762000000000003E-2</v>
          </cell>
          <cell r="AE69">
            <v>3.6332999999999997E-2</v>
          </cell>
          <cell r="AF69">
            <v>3.5933E-2</v>
          </cell>
          <cell r="AG69">
            <v>-1.9278E-2</v>
          </cell>
        </row>
        <row r="70">
          <cell r="A70" t="str">
            <v>RKI000:ia_Cooking</v>
          </cell>
          <cell r="C70">
            <v>1.6975000000000001E-2</v>
          </cell>
          <cell r="D70">
            <v>1.6809000000000001E-2</v>
          </cell>
          <cell r="E70">
            <v>1.6632999999999998E-2</v>
          </cell>
          <cell r="F70">
            <v>1.6454E-2</v>
          </cell>
          <cell r="G70">
            <v>1.627E-2</v>
          </cell>
          <cell r="H70">
            <v>1.6074000000000001E-2</v>
          </cell>
          <cell r="I70">
            <v>1.5861E-2</v>
          </cell>
          <cell r="J70">
            <v>1.5637000000000002E-2</v>
          </cell>
          <cell r="K70">
            <v>1.5403999999999999E-2</v>
          </cell>
          <cell r="L70">
            <v>1.5162E-2</v>
          </cell>
          <cell r="M70">
            <v>1.491E-2</v>
          </cell>
          <cell r="N70">
            <v>1.4654E-2</v>
          </cell>
          <cell r="O70">
            <v>1.4437E-2</v>
          </cell>
          <cell r="P70">
            <v>1.4260999999999999E-2</v>
          </cell>
          <cell r="Q70">
            <v>1.4126E-2</v>
          </cell>
          <cell r="R70">
            <v>1.4033E-2</v>
          </cell>
          <cell r="S70">
            <v>1.3982E-2</v>
          </cell>
          <cell r="T70">
            <v>1.3925999999999999E-2</v>
          </cell>
          <cell r="U70">
            <v>1.3864E-2</v>
          </cell>
          <cell r="V70">
            <v>1.3795999999999999E-2</v>
          </cell>
          <cell r="W70">
            <v>1.3723000000000001E-2</v>
          </cell>
          <cell r="X70">
            <v>1.3644999999999999E-2</v>
          </cell>
          <cell r="Y70">
            <v>1.3564E-2</v>
          </cell>
          <cell r="Z70">
            <v>1.3481999999999999E-2</v>
          </cell>
          <cell r="AA70">
            <v>1.3403E-2</v>
          </cell>
          <cell r="AB70">
            <v>1.3327E-2</v>
          </cell>
          <cell r="AC70">
            <v>1.3256E-2</v>
          </cell>
          <cell r="AD70">
            <v>1.319E-2</v>
          </cell>
          <cell r="AE70">
            <v>1.3128000000000001E-2</v>
          </cell>
          <cell r="AF70">
            <v>1.3069000000000001E-2</v>
          </cell>
          <cell r="AG70">
            <v>-8.9759999999999996E-3</v>
          </cell>
        </row>
        <row r="71">
          <cell r="A71" t="str">
            <v>RKI000:ia_OtherUses</v>
          </cell>
          <cell r="C71">
            <v>7.3329000000000005E-2</v>
          </cell>
          <cell r="D71">
            <v>7.4426999999999993E-2</v>
          </cell>
          <cell r="E71">
            <v>7.5826000000000005E-2</v>
          </cell>
          <cell r="F71">
            <v>7.7632999999999994E-2</v>
          </cell>
          <cell r="G71">
            <v>7.9589999999999994E-2</v>
          </cell>
          <cell r="H71">
            <v>8.1514000000000003E-2</v>
          </cell>
          <cell r="I71">
            <v>8.3346000000000003E-2</v>
          </cell>
          <cell r="J71">
            <v>8.5066000000000003E-2</v>
          </cell>
          <cell r="K71">
            <v>8.6749999999999994E-2</v>
          </cell>
          <cell r="L71">
            <v>8.8425000000000004E-2</v>
          </cell>
          <cell r="M71">
            <v>9.0024000000000007E-2</v>
          </cell>
          <cell r="N71">
            <v>9.1666999999999998E-2</v>
          </cell>
          <cell r="O71">
            <v>9.3354000000000006E-2</v>
          </cell>
          <cell r="P71">
            <v>9.5101000000000005E-2</v>
          </cell>
          <cell r="Q71">
            <v>9.6906000000000006E-2</v>
          </cell>
          <cell r="R71">
            <v>9.8744999999999999E-2</v>
          </cell>
          <cell r="S71">
            <v>0.100589</v>
          </cell>
          <cell r="T71">
            <v>0.102439</v>
          </cell>
          <cell r="U71">
            <v>0.104311</v>
          </cell>
          <cell r="V71">
            <v>0.106185</v>
          </cell>
          <cell r="W71">
            <v>0.10806</v>
          </cell>
          <cell r="X71">
            <v>0.10996400000000001</v>
          </cell>
          <cell r="Y71">
            <v>0.111886</v>
          </cell>
          <cell r="Z71">
            <v>0.11380700000000001</v>
          </cell>
          <cell r="AA71">
            <v>0.11576</v>
          </cell>
          <cell r="AB71">
            <v>0.117741</v>
          </cell>
          <cell r="AC71">
            <v>0.119745</v>
          </cell>
          <cell r="AD71">
            <v>0.121766</v>
          </cell>
          <cell r="AE71">
            <v>0.123822</v>
          </cell>
          <cell r="AF71">
            <v>0.125912</v>
          </cell>
          <cell r="AG71">
            <v>1.8817E-2</v>
          </cell>
        </row>
        <row r="72">
          <cell r="A72" t="str">
            <v>RKI000:ia_DeliveredEner</v>
          </cell>
          <cell r="C72">
            <v>0.478688</v>
          </cell>
          <cell r="D72">
            <v>0.48270299999999999</v>
          </cell>
          <cell r="E72">
            <v>0.46468700000000002</v>
          </cell>
          <cell r="F72">
            <v>0.461117</v>
          </cell>
          <cell r="G72">
            <v>0.45849200000000001</v>
          </cell>
          <cell r="H72">
            <v>0.455787</v>
          </cell>
          <cell r="I72">
            <v>0.45279799999999998</v>
          </cell>
          <cell r="J72">
            <v>0.449519</v>
          </cell>
          <cell r="K72">
            <v>0.446268</v>
          </cell>
          <cell r="L72">
            <v>0.44324200000000002</v>
          </cell>
          <cell r="M72">
            <v>0.44004300000000002</v>
          </cell>
          <cell r="N72">
            <v>0.43706899999999999</v>
          </cell>
          <cell r="O72">
            <v>0.43435000000000001</v>
          </cell>
          <cell r="P72">
            <v>0.432006</v>
          </cell>
          <cell r="Q72">
            <v>0.43001699999999998</v>
          </cell>
          <cell r="R72">
            <v>0.42827399999999999</v>
          </cell>
          <cell r="S72">
            <v>0.426653</v>
          </cell>
          <cell r="T72">
            <v>0.42513899999999999</v>
          </cell>
          <cell r="U72">
            <v>0.42375800000000002</v>
          </cell>
          <cell r="V72">
            <v>0.42247800000000002</v>
          </cell>
          <cell r="W72">
            <v>0.421269</v>
          </cell>
          <cell r="X72">
            <v>0.42019899999999999</v>
          </cell>
          <cell r="Y72">
            <v>0.41919400000000001</v>
          </cell>
          <cell r="Z72">
            <v>0.418209</v>
          </cell>
          <cell r="AA72">
            <v>0.417348</v>
          </cell>
          <cell r="AB72">
            <v>0.41660399999999997</v>
          </cell>
          <cell r="AC72">
            <v>0.41597899999999999</v>
          </cell>
          <cell r="AD72">
            <v>0.41545399999999999</v>
          </cell>
          <cell r="AE72">
            <v>0.41507300000000003</v>
          </cell>
          <cell r="AF72">
            <v>0.41484300000000002</v>
          </cell>
          <cell r="AG72">
            <v>-4.9240000000000004E-3</v>
          </cell>
        </row>
        <row r="74">
          <cell r="A74" t="str">
            <v>RKI000:ja_MarketedRenew</v>
          </cell>
          <cell r="C74">
            <v>0.46377800000000002</v>
          </cell>
          <cell r="D74">
            <v>0.48373500000000003</v>
          </cell>
          <cell r="E74">
            <v>0.453515</v>
          </cell>
          <cell r="F74">
            <v>0.45087899999999997</v>
          </cell>
          <cell r="G74">
            <v>0.44873000000000002</v>
          </cell>
          <cell r="H74">
            <v>0.446162</v>
          </cell>
          <cell r="I74">
            <v>0.44251200000000002</v>
          </cell>
          <cell r="J74">
            <v>0.43797000000000003</v>
          </cell>
          <cell r="K74">
            <v>0.43209500000000001</v>
          </cell>
          <cell r="L74">
            <v>0.42460100000000001</v>
          </cell>
          <cell r="M74">
            <v>0.417937</v>
          </cell>
          <cell r="N74">
            <v>0.411333</v>
          </cell>
          <cell r="O74">
            <v>0.40426499999999999</v>
          </cell>
          <cell r="P74">
            <v>0.39680700000000002</v>
          </cell>
          <cell r="Q74">
            <v>0.38940399999999997</v>
          </cell>
          <cell r="R74">
            <v>0.382276</v>
          </cell>
          <cell r="S74">
            <v>0.37601000000000001</v>
          </cell>
          <cell r="T74">
            <v>0.37000699999999997</v>
          </cell>
          <cell r="U74">
            <v>0.36373699999999998</v>
          </cell>
          <cell r="V74">
            <v>0.35793700000000001</v>
          </cell>
          <cell r="W74">
            <v>0.35236699999999999</v>
          </cell>
          <cell r="X74">
            <v>0.34685199999999999</v>
          </cell>
          <cell r="Y74">
            <v>0.34216800000000003</v>
          </cell>
          <cell r="Z74">
            <v>0.33841300000000002</v>
          </cell>
          <cell r="AA74">
            <v>0.33475199999999999</v>
          </cell>
          <cell r="AB74">
            <v>0.33147300000000002</v>
          </cell>
          <cell r="AC74">
            <v>0.32768599999999998</v>
          </cell>
          <cell r="AD74">
            <v>0.32328000000000001</v>
          </cell>
          <cell r="AE74">
            <v>0.318664</v>
          </cell>
          <cell r="AF74">
            <v>0.31390800000000002</v>
          </cell>
          <cell r="AG74">
            <v>-1.3369000000000001E-2</v>
          </cell>
        </row>
      </sheetData>
      <sheetData sheetId="3">
        <row r="1">
          <cell r="C1">
            <v>2020</v>
          </cell>
          <cell r="D1">
            <v>2021</v>
          </cell>
          <cell r="E1">
            <v>2022</v>
          </cell>
          <cell r="F1">
            <v>2023</v>
          </cell>
          <cell r="G1">
            <v>2024</v>
          </cell>
          <cell r="H1">
            <v>2025</v>
          </cell>
          <cell r="I1">
            <v>2026</v>
          </cell>
          <cell r="J1">
            <v>2027</v>
          </cell>
          <cell r="K1">
            <v>2028</v>
          </cell>
          <cell r="L1">
            <v>2029</v>
          </cell>
          <cell r="M1">
            <v>2030</v>
          </cell>
          <cell r="N1">
            <v>2031</v>
          </cell>
          <cell r="O1">
            <v>2032</v>
          </cell>
          <cell r="P1">
            <v>2033</v>
          </cell>
          <cell r="Q1">
            <v>2034</v>
          </cell>
          <cell r="R1">
            <v>2035</v>
          </cell>
          <cell r="S1">
            <v>2036</v>
          </cell>
          <cell r="T1">
            <v>2037</v>
          </cell>
          <cell r="U1">
            <v>2038</v>
          </cell>
          <cell r="V1">
            <v>2039</v>
          </cell>
          <cell r="W1">
            <v>2040</v>
          </cell>
          <cell r="X1">
            <v>2041</v>
          </cell>
          <cell r="Y1">
            <v>2042</v>
          </cell>
          <cell r="Z1">
            <v>2043</v>
          </cell>
          <cell r="AA1">
            <v>2044</v>
          </cell>
          <cell r="AB1">
            <v>2045</v>
          </cell>
          <cell r="AC1">
            <v>2046</v>
          </cell>
          <cell r="AD1">
            <v>2047</v>
          </cell>
          <cell r="AE1">
            <v>2048</v>
          </cell>
          <cell r="AF1">
            <v>2049</v>
          </cell>
          <cell r="AG1">
            <v>2050</v>
          </cell>
        </row>
        <row r="29">
          <cell r="A29" t="str">
            <v>CKI000:ga_SpaceHeating</v>
          </cell>
          <cell r="C29">
            <v>0.113108</v>
          </cell>
          <cell r="D29">
            <v>0.115901</v>
          </cell>
          <cell r="E29">
            <v>0.11478099999999999</v>
          </cell>
          <cell r="F29">
            <v>0.114161</v>
          </cell>
          <cell r="G29">
            <v>0.11368499999999999</v>
          </cell>
          <cell r="H29">
            <v>0.11312800000000001</v>
          </cell>
          <cell r="I29">
            <v>0.112423</v>
          </cell>
          <cell r="J29">
            <v>0.11151899999999999</v>
          </cell>
          <cell r="K29">
            <v>0.110527</v>
          </cell>
          <cell r="L29">
            <v>0.10946500000000001</v>
          </cell>
          <cell r="M29">
            <v>0.108322</v>
          </cell>
          <cell r="N29">
            <v>0.107237</v>
          </cell>
          <cell r="O29">
            <v>0.106139</v>
          </cell>
          <cell r="P29">
            <v>0.10502400000000001</v>
          </cell>
          <cell r="Q29">
            <v>0.10392700000000001</v>
          </cell>
          <cell r="R29">
            <v>0.102731</v>
          </cell>
          <cell r="S29">
            <v>0.101536</v>
          </cell>
          <cell r="T29">
            <v>0.10032000000000001</v>
          </cell>
          <cell r="U29">
            <v>9.9071999999999993E-2</v>
          </cell>
          <cell r="V29">
            <v>9.7779000000000005E-2</v>
          </cell>
          <cell r="W29">
            <v>9.6482999999999999E-2</v>
          </cell>
          <cell r="X29">
            <v>9.5223000000000002E-2</v>
          </cell>
          <cell r="Y29">
            <v>9.393E-2</v>
          </cell>
          <cell r="Z29">
            <v>9.2608999999999997E-2</v>
          </cell>
          <cell r="AA29">
            <v>9.1304999999999997E-2</v>
          </cell>
          <cell r="AB29">
            <v>8.9989E-2</v>
          </cell>
          <cell r="AC29">
            <v>8.8691000000000006E-2</v>
          </cell>
          <cell r="AD29">
            <v>8.7389999999999995E-2</v>
          </cell>
          <cell r="AE29">
            <v>8.6102999999999999E-2</v>
          </cell>
          <cell r="AF29">
            <v>8.4830000000000003E-2</v>
          </cell>
          <cell r="AG29">
            <v>8.3562999999999998E-2</v>
          </cell>
          <cell r="AH29">
            <v>-1.0041E-2</v>
          </cell>
        </row>
        <row r="30">
          <cell r="A30" t="str">
            <v>CKI000:ga_SpaceCooling</v>
          </cell>
          <cell r="C30">
            <v>0.53048399999999996</v>
          </cell>
          <cell r="D30">
            <v>0.49940099999999998</v>
          </cell>
          <cell r="E30">
            <v>0.54127000000000003</v>
          </cell>
          <cell r="F30">
            <v>0.54580099999999998</v>
          </cell>
          <cell r="G30">
            <v>0.55119300000000004</v>
          </cell>
          <cell r="H30">
            <v>0.55642000000000003</v>
          </cell>
          <cell r="I30">
            <v>0.56096599999999996</v>
          </cell>
          <cell r="J30">
            <v>0.56501500000000004</v>
          </cell>
          <cell r="K30">
            <v>0.56886400000000004</v>
          </cell>
          <cell r="L30">
            <v>0.57253799999999999</v>
          </cell>
          <cell r="M30">
            <v>0.57571300000000003</v>
          </cell>
          <cell r="N30">
            <v>0.57973799999999998</v>
          </cell>
          <cell r="O30">
            <v>0.58424699999999996</v>
          </cell>
          <cell r="P30">
            <v>0.589036</v>
          </cell>
          <cell r="Q30">
            <v>0.59434299999999995</v>
          </cell>
          <cell r="R30">
            <v>0.60035700000000003</v>
          </cell>
          <cell r="S30">
            <v>0.60645899999999997</v>
          </cell>
          <cell r="T30">
            <v>0.61268100000000003</v>
          </cell>
          <cell r="U30">
            <v>0.61884399999999995</v>
          </cell>
          <cell r="V30">
            <v>0.62501600000000002</v>
          </cell>
          <cell r="W30">
            <v>0.63111899999999999</v>
          </cell>
          <cell r="X30">
            <v>0.63766900000000004</v>
          </cell>
          <cell r="Y30">
            <v>0.64483199999999996</v>
          </cell>
          <cell r="Z30">
            <v>0.65201200000000004</v>
          </cell>
          <cell r="AA30">
            <v>0.65969199999999995</v>
          </cell>
          <cell r="AB30">
            <v>0.66742400000000002</v>
          </cell>
          <cell r="AC30">
            <v>0.67552199999999996</v>
          </cell>
          <cell r="AD30">
            <v>0.68384199999999995</v>
          </cell>
          <cell r="AE30">
            <v>0.69297200000000003</v>
          </cell>
          <cell r="AF30">
            <v>0.70240400000000003</v>
          </cell>
          <cell r="AG30">
            <v>0.71213800000000005</v>
          </cell>
          <cell r="AH30">
            <v>9.8639999999999995E-3</v>
          </cell>
        </row>
        <row r="31">
          <cell r="A31" t="str">
            <v>CKI000:ga_WaterHeating</v>
          </cell>
          <cell r="C31">
            <v>2.5259E-2</v>
          </cell>
          <cell r="D31">
            <v>2.4811E-2</v>
          </cell>
          <cell r="E31">
            <v>2.4421999999999999E-2</v>
          </cell>
          <cell r="F31">
            <v>2.4157000000000001E-2</v>
          </cell>
          <cell r="G31">
            <v>2.3959000000000001E-2</v>
          </cell>
          <cell r="H31">
            <v>2.3758000000000001E-2</v>
          </cell>
          <cell r="I31">
            <v>2.3536000000000001E-2</v>
          </cell>
          <cell r="J31">
            <v>2.3290000000000002E-2</v>
          </cell>
          <cell r="K31">
            <v>2.3033999999999999E-2</v>
          </cell>
          <cell r="L31">
            <v>2.2773000000000002E-2</v>
          </cell>
          <cell r="M31">
            <v>2.2513999999999999E-2</v>
          </cell>
          <cell r="N31">
            <v>2.2266999999999999E-2</v>
          </cell>
          <cell r="O31">
            <v>2.2034999999999999E-2</v>
          </cell>
          <cell r="P31">
            <v>2.1814E-2</v>
          </cell>
          <cell r="Q31">
            <v>2.1606E-2</v>
          </cell>
          <cell r="R31">
            <v>2.1409999999999998E-2</v>
          </cell>
          <cell r="S31">
            <v>2.1221E-2</v>
          </cell>
          <cell r="T31">
            <v>2.1028999999999999E-2</v>
          </cell>
          <cell r="U31">
            <v>2.0830000000000001E-2</v>
          </cell>
          <cell r="V31">
            <v>2.0631E-2</v>
          </cell>
          <cell r="W31">
            <v>2.0435999999999999E-2</v>
          </cell>
          <cell r="X31">
            <v>2.0261999999999999E-2</v>
          </cell>
          <cell r="Y31">
            <v>2.0094000000000001E-2</v>
          </cell>
          <cell r="Z31">
            <v>1.993E-2</v>
          </cell>
          <cell r="AA31">
            <v>1.9769999999999999E-2</v>
          </cell>
          <cell r="AB31">
            <v>1.9612000000000001E-2</v>
          </cell>
          <cell r="AC31">
            <v>1.9456999999999999E-2</v>
          </cell>
          <cell r="AD31">
            <v>1.9306E-2</v>
          </cell>
          <cell r="AE31">
            <v>1.9164E-2</v>
          </cell>
          <cell r="AF31">
            <v>1.9032E-2</v>
          </cell>
          <cell r="AG31">
            <v>1.89E-2</v>
          </cell>
          <cell r="AH31">
            <v>-9.6200000000000001E-3</v>
          </cell>
        </row>
        <row r="32">
          <cell r="A32" t="str">
            <v>CKI000:ga_Ventilation</v>
          </cell>
          <cell r="C32">
            <v>0.50582700000000003</v>
          </cell>
          <cell r="D32">
            <v>0.501606</v>
          </cell>
          <cell r="E32">
            <v>0.49821599999999999</v>
          </cell>
          <cell r="F32">
            <v>0.49702400000000002</v>
          </cell>
          <cell r="G32">
            <v>0.49727700000000002</v>
          </cell>
          <cell r="H32">
            <v>0.497199</v>
          </cell>
          <cell r="I32">
            <v>0.48862499999999998</v>
          </cell>
          <cell r="J32">
            <v>0.48024600000000001</v>
          </cell>
          <cell r="K32">
            <v>0.472302</v>
          </cell>
          <cell r="L32">
            <v>0.46496799999999999</v>
          </cell>
          <cell r="M32">
            <v>0.45758700000000002</v>
          </cell>
          <cell r="N32">
            <v>0.45099099999999998</v>
          </cell>
          <cell r="O32">
            <v>0.44511499999999998</v>
          </cell>
          <cell r="P32">
            <v>0.43976900000000002</v>
          </cell>
          <cell r="Q32">
            <v>0.43518499999999999</v>
          </cell>
          <cell r="R32">
            <v>0.43122300000000002</v>
          </cell>
          <cell r="S32">
            <v>0.42785899999999999</v>
          </cell>
          <cell r="T32">
            <v>0.42490099999999997</v>
          </cell>
          <cell r="U32">
            <v>0.422213</v>
          </cell>
          <cell r="V32">
            <v>0.41984700000000003</v>
          </cell>
          <cell r="W32">
            <v>0.41677199999999998</v>
          </cell>
          <cell r="X32">
            <v>0.41436699999999999</v>
          </cell>
          <cell r="Y32">
            <v>0.41240500000000002</v>
          </cell>
          <cell r="Z32">
            <v>0.41082099999999999</v>
          </cell>
          <cell r="AA32">
            <v>0.40966599999999997</v>
          </cell>
          <cell r="AB32">
            <v>0.40884999999999999</v>
          </cell>
          <cell r="AC32">
            <v>0.40842000000000001</v>
          </cell>
          <cell r="AD32">
            <v>0.408362</v>
          </cell>
          <cell r="AE32">
            <v>0.408748</v>
          </cell>
          <cell r="AF32">
            <v>0.40959499999999999</v>
          </cell>
          <cell r="AG32">
            <v>0.41073399999999999</v>
          </cell>
          <cell r="AH32">
            <v>-6.9179999999999997E-3</v>
          </cell>
        </row>
        <row r="33">
          <cell r="A33" t="str">
            <v>CKI000:ga_Cooking</v>
          </cell>
          <cell r="C33">
            <v>8.4764999999999993E-2</v>
          </cell>
          <cell r="D33">
            <v>8.4110000000000004E-2</v>
          </cell>
          <cell r="E33">
            <v>8.3668999999999993E-2</v>
          </cell>
          <cell r="F33">
            <v>8.3581000000000003E-2</v>
          </cell>
          <cell r="G33">
            <v>8.3670999999999995E-2</v>
          </cell>
          <cell r="H33">
            <v>8.3723000000000006E-2</v>
          </cell>
          <cell r="I33">
            <v>8.3681000000000005E-2</v>
          </cell>
          <cell r="J33">
            <v>8.3543999999999993E-2</v>
          </cell>
          <cell r="K33">
            <v>8.3345000000000002E-2</v>
          </cell>
          <cell r="L33">
            <v>8.3090999999999998E-2</v>
          </cell>
          <cell r="M33">
            <v>8.2788E-2</v>
          </cell>
          <cell r="N33">
            <v>8.2504999999999995E-2</v>
          </cell>
          <cell r="O33">
            <v>8.2242999999999997E-2</v>
          </cell>
          <cell r="P33">
            <v>8.1995999999999999E-2</v>
          </cell>
          <cell r="Q33">
            <v>8.1770999999999996E-2</v>
          </cell>
          <cell r="R33">
            <v>8.1555000000000002E-2</v>
          </cell>
          <cell r="S33">
            <v>8.133E-2</v>
          </cell>
          <cell r="T33">
            <v>8.1077999999999997E-2</v>
          </cell>
          <cell r="U33">
            <v>8.0789E-2</v>
          </cell>
          <cell r="V33">
            <v>8.0484E-2</v>
          </cell>
          <cell r="W33">
            <v>8.0180000000000001E-2</v>
          </cell>
          <cell r="X33">
            <v>7.9950999999999994E-2</v>
          </cell>
          <cell r="Y33">
            <v>7.9723000000000002E-2</v>
          </cell>
          <cell r="Z33">
            <v>7.9502000000000003E-2</v>
          </cell>
          <cell r="AA33">
            <v>7.9274999999999998E-2</v>
          </cell>
          <cell r="AB33">
            <v>7.9034999999999994E-2</v>
          </cell>
          <cell r="AC33">
            <v>7.8794000000000003E-2</v>
          </cell>
          <cell r="AD33">
            <v>7.8550999999999996E-2</v>
          </cell>
          <cell r="AE33">
            <v>7.8322000000000003E-2</v>
          </cell>
          <cell r="AF33">
            <v>7.8112000000000001E-2</v>
          </cell>
          <cell r="AG33">
            <v>7.7890000000000001E-2</v>
          </cell>
          <cell r="AH33">
            <v>-2.8159999999999999E-3</v>
          </cell>
        </row>
        <row r="34">
          <cell r="A34" t="str">
            <v>CKI000:ga_Lighting</v>
          </cell>
          <cell r="C34">
            <v>0.53477300000000005</v>
          </cell>
          <cell r="D34">
            <v>0.51842600000000005</v>
          </cell>
          <cell r="E34">
            <v>0.50512299999999999</v>
          </cell>
          <cell r="F34">
            <v>0.49513200000000002</v>
          </cell>
          <cell r="G34">
            <v>0.48716599999999999</v>
          </cell>
          <cell r="H34">
            <v>0.480211</v>
          </cell>
          <cell r="I34">
            <v>0.47419899999999998</v>
          </cell>
          <cell r="J34">
            <v>0.46879700000000002</v>
          </cell>
          <cell r="K34">
            <v>0.461557</v>
          </cell>
          <cell r="L34">
            <v>0.45454499999999998</v>
          </cell>
          <cell r="M34">
            <v>0.44033699999999998</v>
          </cell>
          <cell r="N34">
            <v>0.428149</v>
          </cell>
          <cell r="O34">
            <v>0.41752400000000001</v>
          </cell>
          <cell r="P34">
            <v>0.408416</v>
          </cell>
          <cell r="Q34">
            <v>0.40073199999999998</v>
          </cell>
          <cell r="R34">
            <v>0.394175</v>
          </cell>
          <cell r="S34">
            <v>0.38869199999999998</v>
          </cell>
          <cell r="T34">
            <v>0.38391700000000001</v>
          </cell>
          <cell r="U34">
            <v>0.379658</v>
          </cell>
          <cell r="V34">
            <v>0.37587700000000002</v>
          </cell>
          <cell r="W34">
            <v>0.370444</v>
          </cell>
          <cell r="X34">
            <v>0.36624499999999999</v>
          </cell>
          <cell r="Y34">
            <v>0.36268800000000001</v>
          </cell>
          <cell r="Z34">
            <v>0.35947400000000002</v>
          </cell>
          <cell r="AA34">
            <v>0.35683799999999999</v>
          </cell>
          <cell r="AB34">
            <v>0.35471000000000003</v>
          </cell>
          <cell r="AC34">
            <v>0.353074</v>
          </cell>
          <cell r="AD34">
            <v>0.35192200000000001</v>
          </cell>
          <cell r="AE34">
            <v>0.35126499999999999</v>
          </cell>
          <cell r="AF34">
            <v>0.35107500000000003</v>
          </cell>
          <cell r="AG34">
            <v>0.351211</v>
          </cell>
          <cell r="AH34">
            <v>-1.3917000000000001E-2</v>
          </cell>
        </row>
        <row r="35">
          <cell r="A35" t="str">
            <v>CKI000:ga_Refrigeration</v>
          </cell>
          <cell r="C35">
            <v>0.65267500000000001</v>
          </cell>
          <cell r="D35">
            <v>0.64821899999999999</v>
          </cell>
          <cell r="E35">
            <v>0.64407099999999995</v>
          </cell>
          <cell r="F35">
            <v>0.64253700000000002</v>
          </cell>
          <cell r="G35">
            <v>0.64270700000000003</v>
          </cell>
          <cell r="H35">
            <v>0.64365099999999997</v>
          </cell>
          <cell r="I35">
            <v>0.64488599999999996</v>
          </cell>
          <cell r="J35">
            <v>0.64618600000000004</v>
          </cell>
          <cell r="K35">
            <v>0.64755200000000002</v>
          </cell>
          <cell r="L35">
            <v>0.649011</v>
          </cell>
          <cell r="M35">
            <v>0.64871100000000004</v>
          </cell>
          <cell r="N35">
            <v>0.649393</v>
          </cell>
          <cell r="O35">
            <v>0.65064699999999998</v>
          </cell>
          <cell r="P35">
            <v>0.65229899999999996</v>
          </cell>
          <cell r="Q35">
            <v>0.65434400000000004</v>
          </cell>
          <cell r="R35">
            <v>0.65670899999999999</v>
          </cell>
          <cell r="S35">
            <v>0.65926700000000005</v>
          </cell>
          <cell r="T35">
            <v>0.66180799999999995</v>
          </cell>
          <cell r="U35">
            <v>0.66427700000000001</v>
          </cell>
          <cell r="V35">
            <v>0.66683599999999998</v>
          </cell>
          <cell r="W35">
            <v>0.66918900000000003</v>
          </cell>
          <cell r="X35">
            <v>0.67248399999999997</v>
          </cell>
          <cell r="Y35">
            <v>0.67595899999999998</v>
          </cell>
          <cell r="Z35">
            <v>0.67956899999999998</v>
          </cell>
          <cell r="AA35">
            <v>0.68328</v>
          </cell>
          <cell r="AB35">
            <v>0.68710199999999999</v>
          </cell>
          <cell r="AC35">
            <v>0.69105099999999997</v>
          </cell>
          <cell r="AD35">
            <v>0.69503999999999999</v>
          </cell>
          <cell r="AE35">
            <v>0.69916199999999995</v>
          </cell>
          <cell r="AF35">
            <v>0.70339700000000005</v>
          </cell>
          <cell r="AG35">
            <v>0.70757099999999995</v>
          </cell>
          <cell r="AH35">
            <v>2.696E-3</v>
          </cell>
        </row>
        <row r="36">
          <cell r="A36" t="str">
            <v>CKI000:ga_OfficeEquipme</v>
          </cell>
          <cell r="C36">
            <v>0.33015899999999998</v>
          </cell>
          <cell r="D36">
            <v>0.32575500000000002</v>
          </cell>
          <cell r="E36">
            <v>0.32198100000000002</v>
          </cell>
          <cell r="F36">
            <v>0.31943500000000002</v>
          </cell>
          <cell r="G36">
            <v>0.31791799999999998</v>
          </cell>
          <cell r="H36">
            <v>0.31721500000000002</v>
          </cell>
          <cell r="I36">
            <v>0.31684099999999998</v>
          </cell>
          <cell r="J36">
            <v>0.31725399999999998</v>
          </cell>
          <cell r="K36">
            <v>0.31851200000000002</v>
          </cell>
          <cell r="L36">
            <v>0.32017899999999999</v>
          </cell>
          <cell r="M36">
            <v>0.32181300000000002</v>
          </cell>
          <cell r="N36">
            <v>0.32437700000000003</v>
          </cell>
          <cell r="O36">
            <v>0.32749299999999998</v>
          </cell>
          <cell r="P36">
            <v>0.330646</v>
          </cell>
          <cell r="Q36">
            <v>0.33385999999999999</v>
          </cell>
          <cell r="R36">
            <v>0.33760699999999999</v>
          </cell>
          <cell r="S36">
            <v>0.34136899999999998</v>
          </cell>
          <cell r="T36">
            <v>0.34508699999999998</v>
          </cell>
          <cell r="U36">
            <v>0.34877999999999998</v>
          </cell>
          <cell r="V36">
            <v>0.35195799999999999</v>
          </cell>
          <cell r="W36">
            <v>0.355182</v>
          </cell>
          <cell r="X36">
            <v>0.35843700000000001</v>
          </cell>
          <cell r="Y36">
            <v>0.360651</v>
          </cell>
          <cell r="Z36">
            <v>0.362867</v>
          </cell>
          <cell r="AA36">
            <v>0.36398999999999998</v>
          </cell>
          <cell r="AB36">
            <v>0.36454700000000001</v>
          </cell>
          <cell r="AC36">
            <v>0.36452400000000001</v>
          </cell>
          <cell r="AD36">
            <v>0.36388300000000001</v>
          </cell>
          <cell r="AE36">
            <v>0.36150700000000002</v>
          </cell>
          <cell r="AF36">
            <v>0.35849500000000001</v>
          </cell>
          <cell r="AG36">
            <v>0.35363800000000001</v>
          </cell>
          <cell r="AH36">
            <v>2.2929999999999999E-3</v>
          </cell>
        </row>
        <row r="37">
          <cell r="A37" t="str">
            <v>CKI000:ha_OfficeEquipme</v>
          </cell>
          <cell r="C37">
            <v>0.43508599999999997</v>
          </cell>
          <cell r="D37">
            <v>0.45525500000000002</v>
          </cell>
          <cell r="E37">
            <v>0.47462599999999999</v>
          </cell>
          <cell r="F37">
            <v>0.49363299999999999</v>
          </cell>
          <cell r="G37">
            <v>0.51234199999999996</v>
          </cell>
          <cell r="H37">
            <v>0.53010999999999997</v>
          </cell>
          <cell r="I37">
            <v>0.54692700000000005</v>
          </cell>
          <cell r="J37">
            <v>0.56244799999999995</v>
          </cell>
          <cell r="K37">
            <v>0.57694500000000004</v>
          </cell>
          <cell r="L37">
            <v>0.59069700000000003</v>
          </cell>
          <cell r="M37">
            <v>0.60377199999999998</v>
          </cell>
          <cell r="N37">
            <v>0.61621899999999996</v>
          </cell>
          <cell r="O37">
            <v>0.62873000000000001</v>
          </cell>
          <cell r="P37">
            <v>0.64066800000000002</v>
          </cell>
          <cell r="Q37">
            <v>0.65253399999999995</v>
          </cell>
          <cell r="R37">
            <v>0.66425800000000002</v>
          </cell>
          <cell r="S37">
            <v>0.67603000000000002</v>
          </cell>
          <cell r="T37">
            <v>0.68746200000000002</v>
          </cell>
          <cell r="U37">
            <v>0.69917899999999999</v>
          </cell>
          <cell r="V37">
            <v>0.71102399999999999</v>
          </cell>
          <cell r="W37">
            <v>0.72371399999999997</v>
          </cell>
          <cell r="X37">
            <v>0.73691399999999996</v>
          </cell>
          <cell r="Y37">
            <v>0.75090299999999999</v>
          </cell>
          <cell r="Z37">
            <v>0.76567700000000005</v>
          </cell>
          <cell r="AA37">
            <v>0.78152600000000005</v>
          </cell>
          <cell r="AB37">
            <v>0.79853200000000002</v>
          </cell>
          <cell r="AC37">
            <v>0.81672599999999995</v>
          </cell>
          <cell r="AD37">
            <v>0.83667999999999998</v>
          </cell>
          <cell r="AE37">
            <v>0.85823199999999999</v>
          </cell>
          <cell r="AF37">
            <v>0.88141199999999997</v>
          </cell>
          <cell r="AG37">
            <v>0.90680700000000003</v>
          </cell>
          <cell r="AH37">
            <v>2.4781999999999998E-2</v>
          </cell>
        </row>
        <row r="38">
          <cell r="A38" t="str">
            <v>CKI000:ha_OtherUses</v>
          </cell>
          <cell r="C38">
            <v>1.212048</v>
          </cell>
          <cell r="D38">
            <v>1.3228869999999999</v>
          </cell>
          <cell r="E38">
            <v>1.39411</v>
          </cell>
          <cell r="F38">
            <v>1.464612</v>
          </cell>
          <cell r="G38">
            <v>1.536923</v>
          </cell>
          <cell r="H38">
            <v>1.60941</v>
          </cell>
          <cell r="I38">
            <v>1.625645</v>
          </cell>
          <cell r="J38">
            <v>1.643251</v>
          </cell>
          <cell r="K38">
            <v>1.661111</v>
          </cell>
          <cell r="L38">
            <v>1.679179</v>
          </cell>
          <cell r="M38">
            <v>1.6976020000000001</v>
          </cell>
          <cell r="N38">
            <v>1.7165570000000001</v>
          </cell>
          <cell r="O38">
            <v>1.7368950000000001</v>
          </cell>
          <cell r="P38">
            <v>1.7580690000000001</v>
          </cell>
          <cell r="Q38">
            <v>1.780321</v>
          </cell>
          <cell r="R38">
            <v>1.803553</v>
          </cell>
          <cell r="S38">
            <v>1.827615</v>
          </cell>
          <cell r="T38">
            <v>1.8526530000000001</v>
          </cell>
          <cell r="U38">
            <v>1.8784940000000001</v>
          </cell>
          <cell r="V38">
            <v>1.90567</v>
          </cell>
          <cell r="W38">
            <v>1.9344079999999999</v>
          </cell>
          <cell r="X38">
            <v>1.9648099999999999</v>
          </cell>
          <cell r="Y38">
            <v>1.996669</v>
          </cell>
          <cell r="Z38">
            <v>2.0307490000000001</v>
          </cell>
          <cell r="AA38">
            <v>2.0661339999999999</v>
          </cell>
          <cell r="AB38">
            <v>2.1035840000000001</v>
          </cell>
          <cell r="AC38">
            <v>2.142973</v>
          </cell>
          <cell r="AD38">
            <v>2.1843140000000001</v>
          </cell>
          <cell r="AE38">
            <v>2.2280350000000002</v>
          </cell>
          <cell r="AF38">
            <v>2.2741159999999998</v>
          </cell>
          <cell r="AG38">
            <v>2.3226870000000002</v>
          </cell>
          <cell r="AH38">
            <v>2.1916999999999999E-2</v>
          </cell>
        </row>
        <row r="39">
          <cell r="A39" t="str">
            <v>CKI000:ha_ElecSubtotal</v>
          </cell>
          <cell r="C39">
            <v>4.4241840000000003</v>
          </cell>
          <cell r="D39">
            <v>4.4963730000000002</v>
          </cell>
          <cell r="E39">
            <v>4.6022679999999996</v>
          </cell>
          <cell r="F39">
            <v>4.6800730000000001</v>
          </cell>
          <cell r="G39">
            <v>4.7668400000000002</v>
          </cell>
          <cell r="H39">
            <v>4.8548249999999999</v>
          </cell>
          <cell r="I39">
            <v>4.8777280000000003</v>
          </cell>
          <cell r="J39">
            <v>4.9015500000000003</v>
          </cell>
          <cell r="K39">
            <v>4.9237479999999998</v>
          </cell>
          <cell r="L39">
            <v>4.946447</v>
          </cell>
          <cell r="M39">
            <v>4.9591589999999997</v>
          </cell>
          <cell r="N39">
            <v>4.9774320000000003</v>
          </cell>
          <cell r="O39">
            <v>5.0010669999999999</v>
          </cell>
          <cell r="P39">
            <v>5.0277370000000001</v>
          </cell>
          <cell r="Q39">
            <v>5.0586229999999999</v>
          </cell>
          <cell r="R39">
            <v>5.0935790000000001</v>
          </cell>
          <cell r="S39">
            <v>5.1313769999999996</v>
          </cell>
          <cell r="T39">
            <v>5.1709360000000002</v>
          </cell>
          <cell r="U39">
            <v>5.2121360000000001</v>
          </cell>
          <cell r="V39">
            <v>5.2551209999999999</v>
          </cell>
          <cell r="W39">
            <v>5.2979269999999996</v>
          </cell>
          <cell r="X39">
            <v>5.3463609999999999</v>
          </cell>
          <cell r="Y39">
            <v>5.3978539999999997</v>
          </cell>
          <cell r="Z39">
            <v>5.4532100000000003</v>
          </cell>
          <cell r="AA39">
            <v>5.5114770000000002</v>
          </cell>
          <cell r="AB39">
            <v>5.573385</v>
          </cell>
          <cell r="AC39">
            <v>5.6392319999999998</v>
          </cell>
          <cell r="AD39">
            <v>5.7092900000000002</v>
          </cell>
          <cell r="AE39">
            <v>5.7835109999999998</v>
          </cell>
          <cell r="AF39">
            <v>5.8624689999999999</v>
          </cell>
          <cell r="AG39">
            <v>5.945138</v>
          </cell>
          <cell r="AH39">
            <v>9.8980000000000005E-3</v>
          </cell>
        </row>
        <row r="40">
          <cell r="A40" t="str">
            <v>CKI000:ha_OwnGeneration</v>
          </cell>
          <cell r="C40">
            <v>8.8754E-2</v>
          </cell>
          <cell r="D40">
            <v>0.100767</v>
          </cell>
          <cell r="E40">
            <v>0.108803</v>
          </cell>
          <cell r="F40">
            <v>0.11328000000000001</v>
          </cell>
          <cell r="G40">
            <v>0.116855</v>
          </cell>
          <cell r="H40">
            <v>0.12341199999999999</v>
          </cell>
          <cell r="I40">
            <v>0.12740099999999999</v>
          </cell>
          <cell r="J40">
            <v>0.13471</v>
          </cell>
          <cell r="K40">
            <v>0.13939099999999999</v>
          </cell>
          <cell r="L40">
            <v>0.14404900000000001</v>
          </cell>
          <cell r="M40">
            <v>0.148256</v>
          </cell>
          <cell r="N40">
            <v>0.15443200000000001</v>
          </cell>
          <cell r="O40">
            <v>0.15736600000000001</v>
          </cell>
          <cell r="P40">
            <v>0.16201599999999999</v>
          </cell>
          <cell r="Q40">
            <v>0.166467</v>
          </cell>
          <cell r="R40">
            <v>0.17158599999999999</v>
          </cell>
          <cell r="S40">
            <v>0.179007</v>
          </cell>
          <cell r="T40">
            <v>0.183781</v>
          </cell>
          <cell r="U40">
            <v>0.18956300000000001</v>
          </cell>
          <cell r="V40">
            <v>0.19514300000000001</v>
          </cell>
          <cell r="W40">
            <v>0.20108500000000001</v>
          </cell>
          <cell r="X40">
            <v>0.20661299999999999</v>
          </cell>
          <cell r="Y40">
            <v>0.21216699999999999</v>
          </cell>
          <cell r="Z40">
            <v>0.21770999999999999</v>
          </cell>
          <cell r="AA40">
            <v>0.22253400000000001</v>
          </cell>
          <cell r="AB40">
            <v>0.22815199999999999</v>
          </cell>
          <cell r="AC40">
            <v>0.23599400000000001</v>
          </cell>
          <cell r="AD40">
            <v>0.239927</v>
          </cell>
          <cell r="AE40">
            <v>0.24339</v>
          </cell>
          <cell r="AF40">
            <v>0.24571999999999999</v>
          </cell>
          <cell r="AG40">
            <v>0.24898600000000001</v>
          </cell>
          <cell r="AH40">
            <v>3.4981999999999999E-2</v>
          </cell>
        </row>
        <row r="41">
          <cell r="A41" t="str">
            <v>CKI000:ha_PurchasedElec</v>
          </cell>
          <cell r="C41">
            <v>4.3354299999999997</v>
          </cell>
          <cell r="D41">
            <v>4.3956049999999998</v>
          </cell>
          <cell r="E41">
            <v>4.4934659999999997</v>
          </cell>
          <cell r="F41">
            <v>4.5667920000000004</v>
          </cell>
          <cell r="G41">
            <v>4.6499860000000002</v>
          </cell>
          <cell r="H41">
            <v>4.7314129999999999</v>
          </cell>
          <cell r="I41">
            <v>4.7503270000000004</v>
          </cell>
          <cell r="J41">
            <v>4.7668410000000003</v>
          </cell>
          <cell r="K41">
            <v>4.7843559999999998</v>
          </cell>
          <cell r="L41">
            <v>4.8023980000000002</v>
          </cell>
          <cell r="M41">
            <v>4.8109029999999997</v>
          </cell>
          <cell r="N41">
            <v>4.8230000000000004</v>
          </cell>
          <cell r="O41">
            <v>4.8437000000000001</v>
          </cell>
          <cell r="P41">
            <v>4.8657209999999997</v>
          </cell>
          <cell r="Q41">
            <v>4.8921559999999999</v>
          </cell>
          <cell r="R41">
            <v>4.9219929999999996</v>
          </cell>
          <cell r="S41">
            <v>4.9523710000000003</v>
          </cell>
          <cell r="T41">
            <v>4.9871549999999996</v>
          </cell>
          <cell r="U41">
            <v>5.0225730000000004</v>
          </cell>
          <cell r="V41">
            <v>5.0599780000000001</v>
          </cell>
          <cell r="W41">
            <v>5.0968419999999997</v>
          </cell>
          <cell r="X41">
            <v>5.139748</v>
          </cell>
          <cell r="Y41">
            <v>5.1856869999999997</v>
          </cell>
          <cell r="Z41">
            <v>5.2355</v>
          </cell>
          <cell r="AA41">
            <v>5.2889429999999997</v>
          </cell>
          <cell r="AB41">
            <v>5.3452320000000002</v>
          </cell>
          <cell r="AC41">
            <v>5.4032390000000001</v>
          </cell>
          <cell r="AD41">
            <v>5.4693630000000004</v>
          </cell>
          <cell r="AE41">
            <v>5.5401210000000001</v>
          </cell>
          <cell r="AF41">
            <v>5.6167480000000003</v>
          </cell>
          <cell r="AG41">
            <v>5.6961519999999997</v>
          </cell>
          <cell r="AH41">
            <v>9.1400000000000006E-3</v>
          </cell>
        </row>
        <row r="44">
          <cell r="A44" t="str">
            <v>CKI000:ia_SpaceHeating</v>
          </cell>
          <cell r="C44">
            <v>1.772856</v>
          </cell>
          <cell r="D44">
            <v>1.8318430000000001</v>
          </cell>
          <cell r="E44">
            <v>1.8273820000000001</v>
          </cell>
          <cell r="F44">
            <v>1.8345530000000001</v>
          </cell>
          <cell r="G44">
            <v>1.8551150000000001</v>
          </cell>
          <cell r="H44">
            <v>1.86914</v>
          </cell>
          <cell r="I44">
            <v>1.8738030000000001</v>
          </cell>
          <cell r="J44">
            <v>1.8717539999999999</v>
          </cell>
          <cell r="K44">
            <v>1.868644</v>
          </cell>
          <cell r="L44">
            <v>1.8623510000000001</v>
          </cell>
          <cell r="M44">
            <v>1.8527690000000001</v>
          </cell>
          <cell r="N44">
            <v>1.8468869999999999</v>
          </cell>
          <cell r="O44">
            <v>1.8435029999999999</v>
          </cell>
          <cell r="P44">
            <v>1.8403339999999999</v>
          </cell>
          <cell r="Q44">
            <v>1.837623</v>
          </cell>
          <cell r="R44">
            <v>1.8362050000000001</v>
          </cell>
          <cell r="S44">
            <v>1.8349009999999999</v>
          </cell>
          <cell r="T44">
            <v>1.8327800000000001</v>
          </cell>
          <cell r="U44">
            <v>1.830921</v>
          </cell>
          <cell r="V44">
            <v>1.8291869999999999</v>
          </cell>
          <cell r="W44">
            <v>1.8272379999999999</v>
          </cell>
          <cell r="X44">
            <v>1.8246519999999999</v>
          </cell>
          <cell r="Y44">
            <v>1.820829</v>
          </cell>
          <cell r="Z44">
            <v>1.816435</v>
          </cell>
          <cell r="AA44">
            <v>1.811472</v>
          </cell>
          <cell r="AB44">
            <v>1.80613</v>
          </cell>
          <cell r="AC44">
            <v>1.8009390000000001</v>
          </cell>
          <cell r="AD44">
            <v>1.7959270000000001</v>
          </cell>
          <cell r="AE44">
            <v>1.791825</v>
          </cell>
          <cell r="AF44">
            <v>1.786999</v>
          </cell>
          <cell r="AG44">
            <v>1.780834</v>
          </cell>
          <cell r="AH44">
            <v>1.4999999999999999E-4</v>
          </cell>
        </row>
        <row r="45">
          <cell r="A45" t="str">
            <v>CKI000:ia_SpaceCooling</v>
          </cell>
          <cell r="C45">
            <v>2.7616000000000002E-2</v>
          </cell>
          <cell r="D45">
            <v>2.3902E-2</v>
          </cell>
          <cell r="E45">
            <v>2.6169000000000001E-2</v>
          </cell>
          <cell r="F45">
            <v>2.6034000000000002E-2</v>
          </cell>
          <cell r="G45">
            <v>2.6061000000000001E-2</v>
          </cell>
          <cell r="H45">
            <v>2.6022E-2</v>
          </cell>
          <cell r="I45">
            <v>2.5873E-2</v>
          </cell>
          <cell r="J45">
            <v>2.5704000000000001E-2</v>
          </cell>
          <cell r="K45">
            <v>2.5538999999999999E-2</v>
          </cell>
          <cell r="L45">
            <v>2.5346E-2</v>
          </cell>
          <cell r="M45">
            <v>2.5099E-2</v>
          </cell>
          <cell r="N45">
            <v>2.4910000000000002E-2</v>
          </cell>
          <cell r="O45">
            <v>2.4764999999999999E-2</v>
          </cell>
          <cell r="P45">
            <v>2.4636000000000002E-2</v>
          </cell>
          <cell r="Q45">
            <v>2.4524000000000001E-2</v>
          </cell>
          <cell r="R45">
            <v>2.4441999999999998E-2</v>
          </cell>
          <cell r="S45">
            <v>2.4374E-2</v>
          </cell>
          <cell r="T45">
            <v>2.4313999999999999E-2</v>
          </cell>
          <cell r="U45">
            <v>2.4268000000000001E-2</v>
          </cell>
          <cell r="V45">
            <v>2.4244000000000002E-2</v>
          </cell>
          <cell r="W45">
            <v>2.4220999999999999E-2</v>
          </cell>
          <cell r="X45">
            <v>2.4191000000000001E-2</v>
          </cell>
          <cell r="Y45">
            <v>2.4163E-2</v>
          </cell>
          <cell r="Z45">
            <v>2.4128E-2</v>
          </cell>
          <cell r="AA45">
            <v>2.4105999999999999E-2</v>
          </cell>
          <cell r="AB45">
            <v>2.409E-2</v>
          </cell>
          <cell r="AC45">
            <v>2.4081000000000002E-2</v>
          </cell>
          <cell r="AD45">
            <v>2.4088999999999999E-2</v>
          </cell>
          <cell r="AE45">
            <v>2.4138E-2</v>
          </cell>
          <cell r="AF45">
            <v>2.4176E-2</v>
          </cell>
          <cell r="AG45">
            <v>2.4209000000000001E-2</v>
          </cell>
          <cell r="AH45">
            <v>-4.3800000000000002E-3</v>
          </cell>
        </row>
        <row r="46">
          <cell r="A46" t="str">
            <v>CKI000:ia_WaterHeating</v>
          </cell>
          <cell r="C46">
            <v>0.61248599999999997</v>
          </cell>
          <cell r="D46">
            <v>0.61118399999999995</v>
          </cell>
          <cell r="E46">
            <v>0.61050000000000004</v>
          </cell>
          <cell r="F46">
            <v>0.61542799999999998</v>
          </cell>
          <cell r="G46">
            <v>0.62461900000000004</v>
          </cell>
          <cell r="H46">
            <v>0.63197999999999999</v>
          </cell>
          <cell r="I46">
            <v>0.63673299999999999</v>
          </cell>
          <cell r="J46">
            <v>0.63974600000000004</v>
          </cell>
          <cell r="K46">
            <v>0.64255799999999996</v>
          </cell>
          <cell r="L46">
            <v>0.64451400000000003</v>
          </cell>
          <cell r="M46">
            <v>0.64402599999999999</v>
          </cell>
          <cell r="N46">
            <v>0.64512199999999997</v>
          </cell>
          <cell r="O46">
            <v>0.647698</v>
          </cell>
          <cell r="P46">
            <v>0.65103100000000003</v>
          </cell>
          <cell r="Q46">
            <v>0.65477700000000005</v>
          </cell>
          <cell r="R46">
            <v>0.65908100000000003</v>
          </cell>
          <cell r="S46">
            <v>0.66358399999999995</v>
          </cell>
          <cell r="T46">
            <v>0.667906</v>
          </cell>
          <cell r="U46">
            <v>0.67236700000000005</v>
          </cell>
          <cell r="V46">
            <v>0.67705000000000004</v>
          </cell>
          <cell r="W46">
            <v>0.68181000000000003</v>
          </cell>
          <cell r="X46">
            <v>0.68668300000000004</v>
          </cell>
          <cell r="Y46">
            <v>0.691272</v>
          </cell>
          <cell r="Z46">
            <v>0.69582599999999994</v>
          </cell>
          <cell r="AA46">
            <v>0.70026699999999997</v>
          </cell>
          <cell r="AB46">
            <v>0.70472599999999996</v>
          </cell>
          <cell r="AC46">
            <v>0.709345</v>
          </cell>
          <cell r="AD46">
            <v>0.71410499999999999</v>
          </cell>
          <cell r="AE46">
            <v>0.71932700000000005</v>
          </cell>
          <cell r="AF46">
            <v>0.72442099999999998</v>
          </cell>
          <cell r="AG46">
            <v>0.72904800000000003</v>
          </cell>
          <cell r="AH46">
            <v>5.8240000000000002E-3</v>
          </cell>
        </row>
        <row r="47">
          <cell r="A47" t="str">
            <v>CKI000:ia_Cooking</v>
          </cell>
          <cell r="C47">
            <v>0.34441100000000002</v>
          </cell>
          <cell r="D47">
            <v>0.34606900000000002</v>
          </cell>
          <cell r="E47">
            <v>0.34880499999999998</v>
          </cell>
          <cell r="F47">
            <v>0.35458499999999998</v>
          </cell>
          <cell r="G47">
            <v>0.36260100000000001</v>
          </cell>
          <cell r="H47">
            <v>0.36971399999999999</v>
          </cell>
          <cell r="I47">
            <v>0.37549100000000002</v>
          </cell>
          <cell r="J47">
            <v>0.38034099999999998</v>
          </cell>
          <cell r="K47">
            <v>0.38495600000000002</v>
          </cell>
          <cell r="L47">
            <v>0.389017</v>
          </cell>
          <cell r="M47">
            <v>0.39107799999999998</v>
          </cell>
          <cell r="N47">
            <v>0.39416499999999999</v>
          </cell>
          <cell r="O47">
            <v>0.39808500000000002</v>
          </cell>
          <cell r="P47">
            <v>0.40253800000000001</v>
          </cell>
          <cell r="Q47">
            <v>0.407136</v>
          </cell>
          <cell r="R47">
            <v>0.41198699999999999</v>
          </cell>
          <cell r="S47">
            <v>0.41685299999999997</v>
          </cell>
          <cell r="T47">
            <v>0.42153600000000002</v>
          </cell>
          <cell r="U47">
            <v>0.42616500000000002</v>
          </cell>
          <cell r="V47">
            <v>0.43086400000000002</v>
          </cell>
          <cell r="W47">
            <v>0.43560100000000002</v>
          </cell>
          <cell r="X47">
            <v>0.44056099999999998</v>
          </cell>
          <cell r="Y47">
            <v>0.44535200000000003</v>
          </cell>
          <cell r="Z47">
            <v>0.45011000000000001</v>
          </cell>
          <cell r="AA47">
            <v>0.45476899999999998</v>
          </cell>
          <cell r="AB47">
            <v>0.45943299999999998</v>
          </cell>
          <cell r="AC47">
            <v>0.464175</v>
          </cell>
          <cell r="AD47">
            <v>0.46889399999999998</v>
          </cell>
          <cell r="AE47">
            <v>0.47382099999999999</v>
          </cell>
          <cell r="AF47">
            <v>0.47865999999999997</v>
          </cell>
          <cell r="AG47">
            <v>0.48319000000000001</v>
          </cell>
          <cell r="AH47">
            <v>1.1350000000000001E-2</v>
          </cell>
        </row>
        <row r="48">
          <cell r="A48" t="str">
            <v>CKI000:ia_OtherUses</v>
          </cell>
          <cell r="C48">
            <v>0.55567</v>
          </cell>
          <cell r="D48">
            <v>0.60908799999999996</v>
          </cell>
          <cell r="E48">
            <v>0.58064400000000005</v>
          </cell>
          <cell r="F48">
            <v>0.69352599999999998</v>
          </cell>
          <cell r="G48">
            <v>0.74161100000000002</v>
          </cell>
          <cell r="H48">
            <v>0.78722499999999995</v>
          </cell>
          <cell r="I48">
            <v>0.78947699999999998</v>
          </cell>
          <cell r="J48">
            <v>0.79001100000000002</v>
          </cell>
          <cell r="K48">
            <v>0.79020299999999999</v>
          </cell>
          <cell r="L48">
            <v>0.78970799999999997</v>
          </cell>
          <cell r="M48">
            <v>0.78868099999999997</v>
          </cell>
          <cell r="N48">
            <v>0.78846899999999998</v>
          </cell>
          <cell r="O48">
            <v>0.78884699999999996</v>
          </cell>
          <cell r="P48">
            <v>0.78971100000000005</v>
          </cell>
          <cell r="Q48">
            <v>0.79061199999999998</v>
          </cell>
          <cell r="R48">
            <v>0.79205099999999995</v>
          </cell>
          <cell r="S48">
            <v>0.79358499999999998</v>
          </cell>
          <cell r="T48">
            <v>0.79514399999999996</v>
          </cell>
          <cell r="U48">
            <v>0.79693199999999997</v>
          </cell>
          <cell r="V48">
            <v>0.79894699999999996</v>
          </cell>
          <cell r="W48">
            <v>0.80098000000000003</v>
          </cell>
          <cell r="X48">
            <v>0.80260600000000004</v>
          </cell>
          <cell r="Y48">
            <v>0.80393800000000004</v>
          </cell>
          <cell r="Z48">
            <v>0.80542499999999995</v>
          </cell>
          <cell r="AA48">
            <v>0.80667199999999994</v>
          </cell>
          <cell r="AB48">
            <v>0.80797600000000003</v>
          </cell>
          <cell r="AC48">
            <v>0.80944300000000002</v>
          </cell>
          <cell r="AD48">
            <v>0.81096800000000002</v>
          </cell>
          <cell r="AE48">
            <v>0.81283899999999998</v>
          </cell>
          <cell r="AF48">
            <v>0.81465399999999999</v>
          </cell>
          <cell r="AG48">
            <v>0.81615700000000002</v>
          </cell>
          <cell r="AH48">
            <v>1.2897E-2</v>
          </cell>
        </row>
        <row r="49">
          <cell r="A49" t="str">
            <v>CKI000:ia_DeliveredEner</v>
          </cell>
          <cell r="C49">
            <v>3.3130389999999998</v>
          </cell>
          <cell r="D49">
            <v>3.4220869999999999</v>
          </cell>
          <cell r="E49">
            <v>3.3934989999999998</v>
          </cell>
          <cell r="F49">
            <v>3.524127</v>
          </cell>
          <cell r="G49">
            <v>3.6100080000000001</v>
          </cell>
          <cell r="H49">
            <v>3.6840809999999999</v>
          </cell>
          <cell r="I49">
            <v>3.7013780000000001</v>
          </cell>
          <cell r="J49">
            <v>3.7075559999999999</v>
          </cell>
          <cell r="K49">
            <v>3.7119</v>
          </cell>
          <cell r="L49">
            <v>3.7109369999999999</v>
          </cell>
          <cell r="M49">
            <v>3.7016529999999999</v>
          </cell>
          <cell r="N49">
            <v>3.6995529999999999</v>
          </cell>
          <cell r="O49">
            <v>3.7028970000000001</v>
          </cell>
          <cell r="P49">
            <v>3.7082489999999999</v>
          </cell>
          <cell r="Q49">
            <v>3.7146729999999999</v>
          </cell>
          <cell r="R49">
            <v>3.7237640000000001</v>
          </cell>
          <cell r="S49">
            <v>3.7332969999999999</v>
          </cell>
          <cell r="T49">
            <v>3.7416800000000001</v>
          </cell>
          <cell r="U49">
            <v>3.7506529999999998</v>
          </cell>
          <cell r="V49">
            <v>3.7602920000000002</v>
          </cell>
          <cell r="W49">
            <v>3.7698499999999999</v>
          </cell>
          <cell r="X49">
            <v>3.7786919999999999</v>
          </cell>
          <cell r="Y49">
            <v>3.7855539999999999</v>
          </cell>
          <cell r="Z49">
            <v>3.7919230000000002</v>
          </cell>
          <cell r="AA49">
            <v>3.797285</v>
          </cell>
          <cell r="AB49">
            <v>3.8023549999999999</v>
          </cell>
          <cell r="AC49">
            <v>3.8079839999999998</v>
          </cell>
          <cell r="AD49">
            <v>3.8139829999999999</v>
          </cell>
          <cell r="AE49">
            <v>3.821949</v>
          </cell>
          <cell r="AF49">
            <v>3.8289110000000002</v>
          </cell>
          <cell r="AG49">
            <v>3.8334380000000001</v>
          </cell>
          <cell r="AH49">
            <v>4.875E-3</v>
          </cell>
        </row>
        <row r="52">
          <cell r="A52" t="str">
            <v>CKI000:ja_SpaceHeating</v>
          </cell>
          <cell r="C52">
            <v>0.21654300000000001</v>
          </cell>
          <cell r="D52">
            <v>0.22902400000000001</v>
          </cell>
          <cell r="E52">
            <v>0.22828000000000001</v>
          </cell>
          <cell r="F52">
            <v>0.22578100000000001</v>
          </cell>
          <cell r="G52">
            <v>0.22393099999999999</v>
          </cell>
          <cell r="H52">
            <v>0.22332099999999999</v>
          </cell>
          <cell r="I52">
            <v>0.22251299999999999</v>
          </cell>
          <cell r="J52">
            <v>0.22084699999999999</v>
          </cell>
          <cell r="K52">
            <v>0.21849199999999999</v>
          </cell>
          <cell r="L52">
            <v>0.21584800000000001</v>
          </cell>
          <cell r="M52">
            <v>0.21321599999999999</v>
          </cell>
          <cell r="N52">
            <v>0.21102000000000001</v>
          </cell>
          <cell r="O52">
            <v>0.20879700000000001</v>
          </cell>
          <cell r="P52">
            <v>0.20666899999999999</v>
          </cell>
          <cell r="Q52">
            <v>0.20456199999999999</v>
          </cell>
          <cell r="R52">
            <v>0.20278199999999999</v>
          </cell>
          <cell r="S52">
            <v>0.20127800000000001</v>
          </cell>
          <cell r="T52">
            <v>0.19941500000000001</v>
          </cell>
          <cell r="U52">
            <v>0.19720799999999999</v>
          </cell>
          <cell r="V52">
            <v>0.19528799999999999</v>
          </cell>
          <cell r="W52">
            <v>0.19292100000000001</v>
          </cell>
          <cell r="X52">
            <v>0.19064400000000001</v>
          </cell>
          <cell r="Y52">
            <v>0.18842200000000001</v>
          </cell>
          <cell r="Z52">
            <v>0.18626000000000001</v>
          </cell>
          <cell r="AA52">
            <v>0.18405299999999999</v>
          </cell>
          <cell r="AB52">
            <v>0.181699</v>
          </cell>
          <cell r="AC52">
            <v>0.179448</v>
          </cell>
          <cell r="AD52">
            <v>0.17726900000000001</v>
          </cell>
          <cell r="AE52">
            <v>0.17522799999999999</v>
          </cell>
          <cell r="AF52">
            <v>0.17304900000000001</v>
          </cell>
          <cell r="AG52">
            <v>0.17083699999999999</v>
          </cell>
          <cell r="AH52">
            <v>-7.8720000000000005E-3</v>
          </cell>
        </row>
        <row r="53">
          <cell r="A53" t="str">
            <v>CKI000:ja_WaterHeating</v>
          </cell>
          <cell r="C53">
            <v>6.5240000000000003E-3</v>
          </cell>
          <cell r="D53">
            <v>6.581E-3</v>
          </cell>
          <cell r="E53">
            <v>6.587E-3</v>
          </cell>
          <cell r="F53">
            <v>6.5420000000000001E-3</v>
          </cell>
          <cell r="G53">
            <v>6.5269999999999998E-3</v>
          </cell>
          <cell r="H53">
            <v>6.5539999999999999E-3</v>
          </cell>
          <cell r="I53">
            <v>6.5700000000000003E-3</v>
          </cell>
          <cell r="J53">
            <v>6.5550000000000001E-3</v>
          </cell>
          <cell r="K53">
            <v>6.5129999999999997E-3</v>
          </cell>
          <cell r="L53">
            <v>6.4609999999999997E-3</v>
          </cell>
          <cell r="M53">
            <v>6.4060000000000002E-3</v>
          </cell>
          <cell r="N53">
            <v>6.3629999999999997E-3</v>
          </cell>
          <cell r="O53">
            <v>6.3239999999999998E-3</v>
          </cell>
          <cell r="P53">
            <v>6.2909999999999997E-3</v>
          </cell>
          <cell r="Q53">
            <v>6.2589999999999998E-3</v>
          </cell>
          <cell r="R53">
            <v>6.2360000000000002E-3</v>
          </cell>
          <cell r="S53">
            <v>6.221E-3</v>
          </cell>
          <cell r="T53">
            <v>6.1929999999999997E-3</v>
          </cell>
          <cell r="U53">
            <v>6.1549999999999999E-3</v>
          </cell>
          <cell r="V53">
            <v>6.1260000000000004E-3</v>
          </cell>
          <cell r="W53">
            <v>6.0879999999999997E-3</v>
          </cell>
          <cell r="X53">
            <v>6.0530000000000002E-3</v>
          </cell>
          <cell r="Y53">
            <v>6.0200000000000002E-3</v>
          </cell>
          <cell r="Z53">
            <v>5.9890000000000004E-3</v>
          </cell>
          <cell r="AA53">
            <v>5.9560000000000004E-3</v>
          </cell>
          <cell r="AB53">
            <v>5.9189999999999998E-3</v>
          </cell>
          <cell r="AC53">
            <v>5.8849999999999996E-3</v>
          </cell>
          <cell r="AD53">
            <v>5.8529999999999997E-3</v>
          </cell>
          <cell r="AE53">
            <v>5.8269999999999997E-3</v>
          </cell>
          <cell r="AF53">
            <v>5.7949999999999998E-3</v>
          </cell>
          <cell r="AG53">
            <v>5.7629999999999999E-3</v>
          </cell>
          <cell r="AH53">
            <v>-4.1250000000000002E-3</v>
          </cell>
        </row>
        <row r="54">
          <cell r="A54" t="str">
            <v>CKI000:ja_OtherUses</v>
          </cell>
          <cell r="C54">
            <v>8.6303000000000005E-2</v>
          </cell>
          <cell r="D54">
            <v>8.5565000000000002E-2</v>
          </cell>
          <cell r="E54">
            <v>9.8080000000000001E-2</v>
          </cell>
          <cell r="F54">
            <v>0.100283</v>
          </cell>
          <cell r="G54">
            <v>0.102809</v>
          </cell>
          <cell r="H54">
            <v>0.10600900000000001</v>
          </cell>
          <cell r="I54">
            <v>0.107263</v>
          </cell>
          <cell r="J54">
            <v>0.10788499999999999</v>
          </cell>
          <cell r="K54">
            <v>0.108032</v>
          </cell>
          <cell r="L54">
            <v>0.107989</v>
          </cell>
          <cell r="M54">
            <v>0.107421</v>
          </cell>
          <cell r="N54">
            <v>0.107156</v>
          </cell>
          <cell r="O54">
            <v>0.107033</v>
          </cell>
          <cell r="P54">
            <v>0.107168</v>
          </cell>
          <cell r="Q54">
            <v>0.107361</v>
          </cell>
          <cell r="R54">
            <v>0.10775700000000001</v>
          </cell>
          <cell r="S54">
            <v>0.108346</v>
          </cell>
          <cell r="T54">
            <v>0.10874399999999999</v>
          </cell>
          <cell r="U54">
            <v>0.108942</v>
          </cell>
          <cell r="V54">
            <v>0.109332</v>
          </cell>
          <cell r="W54">
            <v>0.10947800000000001</v>
          </cell>
          <cell r="X54">
            <v>0.109621</v>
          </cell>
          <cell r="Y54">
            <v>0.109806</v>
          </cell>
          <cell r="Z54">
            <v>0.11003300000000001</v>
          </cell>
          <cell r="AA54">
            <v>0.110218</v>
          </cell>
          <cell r="AB54">
            <v>0.110304</v>
          </cell>
          <cell r="AC54">
            <v>0.110468</v>
          </cell>
          <cell r="AD54">
            <v>0.110692</v>
          </cell>
          <cell r="AE54">
            <v>0.110995</v>
          </cell>
          <cell r="AF54">
            <v>0.111206</v>
          </cell>
          <cell r="AG54">
            <v>0.111432</v>
          </cell>
          <cell r="AH54">
            <v>8.5550000000000001E-3</v>
          </cell>
        </row>
        <row r="55">
          <cell r="A55" t="str">
            <v>CKI000:ja_DeliveredEner</v>
          </cell>
          <cell r="C55">
            <v>0.30936999999999998</v>
          </cell>
          <cell r="D55">
            <v>0.32117000000000001</v>
          </cell>
          <cell r="E55">
            <v>0.33294699999999999</v>
          </cell>
          <cell r="F55">
            <v>0.33260600000000001</v>
          </cell>
          <cell r="G55">
            <v>0.33326699999999998</v>
          </cell>
          <cell r="H55">
            <v>0.33588400000000002</v>
          </cell>
          <cell r="I55">
            <v>0.33634700000000001</v>
          </cell>
          <cell r="J55">
            <v>0.335287</v>
          </cell>
          <cell r="K55">
            <v>0.333038</v>
          </cell>
          <cell r="L55">
            <v>0.33029799999999998</v>
          </cell>
          <cell r="M55">
            <v>0.32704299999999997</v>
          </cell>
          <cell r="N55">
            <v>0.32453900000000002</v>
          </cell>
          <cell r="O55">
            <v>0.322154</v>
          </cell>
          <cell r="P55">
            <v>0.32012699999999999</v>
          </cell>
          <cell r="Q55">
            <v>0.31818200000000002</v>
          </cell>
          <cell r="R55">
            <v>0.31677499999999997</v>
          </cell>
          <cell r="S55">
            <v>0.31584400000000001</v>
          </cell>
          <cell r="T55">
            <v>0.31435200000000002</v>
          </cell>
          <cell r="U55">
            <v>0.312305</v>
          </cell>
          <cell r="V55">
            <v>0.31074600000000002</v>
          </cell>
          <cell r="W55">
            <v>0.30848700000000001</v>
          </cell>
          <cell r="X55">
            <v>0.30631799999999998</v>
          </cell>
          <cell r="Y55">
            <v>0.30424800000000002</v>
          </cell>
          <cell r="Z55">
            <v>0.302282</v>
          </cell>
          <cell r="AA55">
            <v>0.30022799999999999</v>
          </cell>
          <cell r="AB55">
            <v>0.29792200000000002</v>
          </cell>
          <cell r="AC55">
            <v>0.29580099999999998</v>
          </cell>
          <cell r="AD55">
            <v>0.29381400000000002</v>
          </cell>
          <cell r="AE55">
            <v>0.29204999999999998</v>
          </cell>
          <cell r="AF55">
            <v>0.29004999999999997</v>
          </cell>
          <cell r="AG55">
            <v>0.28803200000000001</v>
          </cell>
          <cell r="AH55">
            <v>-2.379E-3</v>
          </cell>
        </row>
        <row r="57">
          <cell r="A57" t="str">
            <v>CKI000:ka_MarketedRenew</v>
          </cell>
          <cell r="C57">
            <v>0.131216</v>
          </cell>
          <cell r="D57">
            <v>0.131216</v>
          </cell>
          <cell r="E57">
            <v>0.131216</v>
          </cell>
          <cell r="F57">
            <v>0.131216</v>
          </cell>
          <cell r="G57">
            <v>0.131216</v>
          </cell>
          <cell r="H57">
            <v>0.131216</v>
          </cell>
          <cell r="I57">
            <v>0.131216</v>
          </cell>
          <cell r="J57">
            <v>0.131216</v>
          </cell>
          <cell r="K57">
            <v>0.131216</v>
          </cell>
          <cell r="L57">
            <v>0.131216</v>
          </cell>
          <cell r="M57">
            <v>0.131216</v>
          </cell>
          <cell r="N57">
            <v>0.131216</v>
          </cell>
          <cell r="O57">
            <v>0.131216</v>
          </cell>
          <cell r="P57">
            <v>0.131216</v>
          </cell>
          <cell r="Q57">
            <v>0.131216</v>
          </cell>
          <cell r="R57">
            <v>0.131216</v>
          </cell>
          <cell r="S57">
            <v>0.131216</v>
          </cell>
          <cell r="T57">
            <v>0.131216</v>
          </cell>
          <cell r="U57">
            <v>0.131216</v>
          </cell>
          <cell r="V57">
            <v>0.131216</v>
          </cell>
          <cell r="W57">
            <v>0.131216</v>
          </cell>
          <cell r="X57">
            <v>0.131216</v>
          </cell>
          <cell r="Y57">
            <v>0.131216</v>
          </cell>
          <cell r="Z57">
            <v>0.131216</v>
          </cell>
          <cell r="AA57">
            <v>0.131216</v>
          </cell>
          <cell r="AB57">
            <v>0.131216</v>
          </cell>
          <cell r="AC57">
            <v>0.131216</v>
          </cell>
          <cell r="AD57">
            <v>0.131216</v>
          </cell>
          <cell r="AE57">
            <v>0.131216</v>
          </cell>
          <cell r="AF57">
            <v>0.131216</v>
          </cell>
          <cell r="AG57">
            <v>0.131216</v>
          </cell>
          <cell r="AH57">
            <v>0</v>
          </cell>
        </row>
        <row r="58">
          <cell r="A58" t="str">
            <v>CKI000:ka_OtherFuels</v>
          </cell>
          <cell r="C58">
            <v>0.51361999999999997</v>
          </cell>
          <cell r="D58">
            <v>0.54222099999999995</v>
          </cell>
          <cell r="E58">
            <v>0.54560299999999995</v>
          </cell>
          <cell r="F58">
            <v>0.55256700000000003</v>
          </cell>
          <cell r="G58">
            <v>0.55947400000000003</v>
          </cell>
          <cell r="H58">
            <v>0.56686899999999996</v>
          </cell>
          <cell r="I58">
            <v>0.56917899999999999</v>
          </cell>
          <cell r="J58">
            <v>0.57126299999999997</v>
          </cell>
          <cell r="K58">
            <v>0.573353</v>
          </cell>
          <cell r="L58">
            <v>0.57518800000000003</v>
          </cell>
          <cell r="M58">
            <v>0.57604500000000003</v>
          </cell>
          <cell r="N58">
            <v>0.57826</v>
          </cell>
          <cell r="O58">
            <v>0.58015899999999998</v>
          </cell>
          <cell r="P58">
            <v>0.58228400000000002</v>
          </cell>
          <cell r="Q58">
            <v>0.584179</v>
          </cell>
          <cell r="R58">
            <v>0.58677400000000002</v>
          </cell>
          <cell r="S58">
            <v>0.58909800000000001</v>
          </cell>
          <cell r="T58">
            <v>0.59101300000000001</v>
          </cell>
          <cell r="U58">
            <v>0.59292900000000004</v>
          </cell>
          <cell r="V58">
            <v>0.59532300000000005</v>
          </cell>
          <cell r="W58">
            <v>0.597279</v>
          </cell>
          <cell r="X58">
            <v>0.59941999999999995</v>
          </cell>
          <cell r="Y58">
            <v>0.601885</v>
          </cell>
          <cell r="Z58">
            <v>0.60425399999999996</v>
          </cell>
          <cell r="AA58">
            <v>0.60638599999999998</v>
          </cell>
          <cell r="AB58">
            <v>0.60850700000000002</v>
          </cell>
          <cell r="AC58">
            <v>0.61078500000000002</v>
          </cell>
          <cell r="AD58">
            <v>0.61297999999999997</v>
          </cell>
          <cell r="AE58">
            <v>0.61517500000000003</v>
          </cell>
          <cell r="AF58">
            <v>0.61724999999999997</v>
          </cell>
          <cell r="AG58">
            <v>0.61945399999999995</v>
          </cell>
          <cell r="AH58">
            <v>6.2649999999999997E-3</v>
          </cell>
        </row>
      </sheetData>
      <sheetData sheetId="4">
        <row r="1">
          <cell r="C1">
            <v>2021</v>
          </cell>
          <cell r="D1">
            <v>2022</v>
          </cell>
          <cell r="E1">
            <v>2023</v>
          </cell>
          <cell r="F1">
            <v>2024</v>
          </cell>
          <cell r="G1">
            <v>2025</v>
          </cell>
          <cell r="H1">
            <v>2026</v>
          </cell>
          <cell r="I1">
            <v>2027</v>
          </cell>
          <cell r="J1">
            <v>2028</v>
          </cell>
          <cell r="K1">
            <v>2029</v>
          </cell>
          <cell r="L1">
            <v>2030</v>
          </cell>
          <cell r="M1">
            <v>2031</v>
          </cell>
          <cell r="N1">
            <v>2032</v>
          </cell>
          <cell r="O1">
            <v>2033</v>
          </cell>
          <cell r="P1">
            <v>2034</v>
          </cell>
          <cell r="Q1">
            <v>2035</v>
          </cell>
          <cell r="R1">
            <v>2036</v>
          </cell>
          <cell r="S1">
            <v>2037</v>
          </cell>
          <cell r="T1">
            <v>2038</v>
          </cell>
          <cell r="U1">
            <v>2039</v>
          </cell>
          <cell r="V1">
            <v>2040</v>
          </cell>
          <cell r="W1">
            <v>2041</v>
          </cell>
          <cell r="X1">
            <v>2042</v>
          </cell>
          <cell r="Y1">
            <v>2043</v>
          </cell>
          <cell r="Z1">
            <v>2044</v>
          </cell>
          <cell r="AA1">
            <v>2045</v>
          </cell>
          <cell r="AB1">
            <v>2046</v>
          </cell>
          <cell r="AC1">
            <v>2047</v>
          </cell>
          <cell r="AD1">
            <v>2048</v>
          </cell>
          <cell r="AE1">
            <v>2049</v>
          </cell>
          <cell r="AF1">
            <v>2050</v>
          </cell>
        </row>
        <row r="29">
          <cell r="A29" t="str">
            <v>CKI000:ga_SpaceHeating</v>
          </cell>
          <cell r="C29">
            <v>0.115372</v>
          </cell>
          <cell r="D29">
            <v>0.11688</v>
          </cell>
          <cell r="E29">
            <v>0.112749</v>
          </cell>
          <cell r="F29">
            <v>0.112468</v>
          </cell>
          <cell r="G29">
            <v>0.11192100000000001</v>
          </cell>
          <cell r="H29">
            <v>0.111126</v>
          </cell>
          <cell r="I29">
            <v>0.11013199999999999</v>
          </cell>
          <cell r="J29">
            <v>0.10902100000000001</v>
          </cell>
          <cell r="K29">
            <v>0.107776</v>
          </cell>
          <cell r="L29">
            <v>0.106445</v>
          </cell>
          <cell r="M29">
            <v>0.105224</v>
          </cell>
          <cell r="N29">
            <v>0.103978</v>
          </cell>
          <cell r="O29">
            <v>0.102654</v>
          </cell>
          <cell r="P29">
            <v>0.10133399999999999</v>
          </cell>
          <cell r="Q29">
            <v>0.100073</v>
          </cell>
          <cell r="R29">
            <v>9.8827999999999999E-2</v>
          </cell>
          <cell r="S29">
            <v>9.7543000000000005E-2</v>
          </cell>
          <cell r="T29">
            <v>9.6225000000000005E-2</v>
          </cell>
          <cell r="U29">
            <v>9.4810000000000005E-2</v>
          </cell>
          <cell r="V29">
            <v>9.3338000000000004E-2</v>
          </cell>
          <cell r="W29">
            <v>9.1958999999999999E-2</v>
          </cell>
          <cell r="X29">
            <v>9.0549000000000004E-2</v>
          </cell>
          <cell r="Y29">
            <v>8.9121000000000006E-2</v>
          </cell>
          <cell r="Z29">
            <v>8.7769E-2</v>
          </cell>
          <cell r="AA29">
            <v>8.6362999999999995E-2</v>
          </cell>
          <cell r="AB29">
            <v>8.4944000000000006E-2</v>
          </cell>
          <cell r="AC29">
            <v>8.3534999999999998E-2</v>
          </cell>
          <cell r="AD29">
            <v>8.2083000000000003E-2</v>
          </cell>
          <cell r="AE29">
            <v>8.0625000000000002E-2</v>
          </cell>
          <cell r="AF29">
            <v>7.9223000000000002E-2</v>
          </cell>
          <cell r="AG29">
            <v>-1.2878000000000001E-2</v>
          </cell>
        </row>
        <row r="30">
          <cell r="A30" t="str">
            <v>CKI000:ga_SpaceCooling</v>
          </cell>
          <cell r="C30">
            <v>0.52339899999999995</v>
          </cell>
          <cell r="D30">
            <v>0.48430099999999998</v>
          </cell>
          <cell r="E30">
            <v>0.54630900000000004</v>
          </cell>
          <cell r="F30">
            <v>0.55334899999999998</v>
          </cell>
          <cell r="G30">
            <v>0.56007499999999999</v>
          </cell>
          <cell r="H30">
            <v>0.565994</v>
          </cell>
          <cell r="I30">
            <v>0.570465</v>
          </cell>
          <cell r="J30">
            <v>0.57436500000000001</v>
          </cell>
          <cell r="K30">
            <v>0.57791199999999998</v>
          </cell>
          <cell r="L30">
            <v>0.58161799999999997</v>
          </cell>
          <cell r="M30">
            <v>0.58634900000000001</v>
          </cell>
          <cell r="N30">
            <v>0.591418</v>
          </cell>
          <cell r="O30">
            <v>0.59642600000000001</v>
          </cell>
          <cell r="P30">
            <v>0.60132399999999997</v>
          </cell>
          <cell r="Q30">
            <v>0.60728300000000002</v>
          </cell>
          <cell r="R30">
            <v>0.61354799999999998</v>
          </cell>
          <cell r="S30">
            <v>0.62048700000000001</v>
          </cell>
          <cell r="T30">
            <v>0.62778999999999996</v>
          </cell>
          <cell r="U30">
            <v>0.63476500000000002</v>
          </cell>
          <cell r="V30">
            <v>0.64100800000000002</v>
          </cell>
          <cell r="W30">
            <v>0.64824400000000004</v>
          </cell>
          <cell r="X30">
            <v>0.65574699999999997</v>
          </cell>
          <cell r="Y30">
            <v>0.66328500000000001</v>
          </cell>
          <cell r="Z30">
            <v>0.67161300000000002</v>
          </cell>
          <cell r="AA30">
            <v>0.67989599999999994</v>
          </cell>
          <cell r="AB30">
            <v>0.68818000000000001</v>
          </cell>
          <cell r="AC30">
            <v>0.69669800000000004</v>
          </cell>
          <cell r="AD30">
            <v>0.70520300000000002</v>
          </cell>
          <cell r="AE30">
            <v>0.71389899999999995</v>
          </cell>
          <cell r="AF30">
            <v>0.72362099999999996</v>
          </cell>
          <cell r="AG30">
            <v>1.1232000000000001E-2</v>
          </cell>
        </row>
        <row r="31">
          <cell r="A31" t="str">
            <v>CKI000:ga_WaterHeating</v>
          </cell>
          <cell r="C31">
            <v>2.4849E-2</v>
          </cell>
          <cell r="D31">
            <v>2.4395E-2</v>
          </cell>
          <cell r="E31">
            <v>2.4074000000000002E-2</v>
          </cell>
          <cell r="F31">
            <v>2.3880999999999999E-2</v>
          </cell>
          <cell r="G31">
            <v>2.3674000000000001E-2</v>
          </cell>
          <cell r="H31">
            <v>2.3486E-2</v>
          </cell>
          <cell r="I31">
            <v>2.3261E-2</v>
          </cell>
          <cell r="J31">
            <v>2.3016000000000002E-2</v>
          </cell>
          <cell r="K31">
            <v>2.2764E-2</v>
          </cell>
          <cell r="L31">
            <v>2.2519000000000001E-2</v>
          </cell>
          <cell r="M31">
            <v>2.2297999999999998E-2</v>
          </cell>
          <cell r="N31">
            <v>2.2085E-2</v>
          </cell>
          <cell r="O31">
            <v>2.1861999999999999E-2</v>
          </cell>
          <cell r="P31">
            <v>2.1635000000000001E-2</v>
          </cell>
          <cell r="Q31">
            <v>2.1437999999999999E-2</v>
          </cell>
          <cell r="R31">
            <v>2.1250999999999999E-2</v>
          </cell>
          <cell r="S31">
            <v>2.1076999999999999E-2</v>
          </cell>
          <cell r="T31">
            <v>2.0908E-2</v>
          </cell>
          <cell r="U31">
            <v>2.0723999999999999E-2</v>
          </cell>
          <cell r="V31">
            <v>2.0532999999999999E-2</v>
          </cell>
          <cell r="W31">
            <v>2.0371E-2</v>
          </cell>
          <cell r="X31">
            <v>2.0206999999999999E-2</v>
          </cell>
          <cell r="Y31">
            <v>2.0042999999999998E-2</v>
          </cell>
          <cell r="Z31">
            <v>1.9899E-2</v>
          </cell>
          <cell r="AA31">
            <v>1.9744000000000001E-2</v>
          </cell>
          <cell r="AB31">
            <v>1.9587E-2</v>
          </cell>
          <cell r="AC31">
            <v>1.9435000000000001E-2</v>
          </cell>
          <cell r="AD31">
            <v>1.9272999999999998E-2</v>
          </cell>
          <cell r="AE31">
            <v>1.9113000000000002E-2</v>
          </cell>
          <cell r="AF31">
            <v>1.8977000000000001E-2</v>
          </cell>
          <cell r="AG31">
            <v>-9.2530000000000008E-3</v>
          </cell>
        </row>
        <row r="32">
          <cell r="A32" t="str">
            <v>CKI000:ga_Ventilation</v>
          </cell>
          <cell r="C32">
            <v>0.50243300000000002</v>
          </cell>
          <cell r="D32">
            <v>0.49899100000000002</v>
          </cell>
          <cell r="E32">
            <v>0.49803399999999998</v>
          </cell>
          <cell r="F32">
            <v>0.49950800000000001</v>
          </cell>
          <cell r="G32">
            <v>0.50023499999999999</v>
          </cell>
          <cell r="H32">
            <v>0.49154799999999998</v>
          </cell>
          <cell r="I32">
            <v>0.48290499999999997</v>
          </cell>
          <cell r="J32">
            <v>0.47470200000000001</v>
          </cell>
          <cell r="K32">
            <v>0.46707900000000002</v>
          </cell>
          <cell r="L32">
            <v>0.45949899999999999</v>
          </cell>
          <cell r="M32">
            <v>0.45295000000000002</v>
          </cell>
          <cell r="N32">
            <v>0.44710800000000001</v>
          </cell>
          <cell r="O32">
            <v>0.44153300000000001</v>
          </cell>
          <cell r="P32">
            <v>0.43646400000000002</v>
          </cell>
          <cell r="Q32">
            <v>0.43243599999999999</v>
          </cell>
          <cell r="R32">
            <v>0.42907299999999998</v>
          </cell>
          <cell r="S32">
            <v>0.42626399999999998</v>
          </cell>
          <cell r="T32">
            <v>0.42394300000000001</v>
          </cell>
          <cell r="U32">
            <v>0.42161900000000002</v>
          </cell>
          <cell r="V32">
            <v>0.41845900000000003</v>
          </cell>
          <cell r="W32">
            <v>0.41617100000000001</v>
          </cell>
          <cell r="X32">
            <v>0.41419</v>
          </cell>
          <cell r="Y32">
            <v>0.41251199999999999</v>
          </cell>
          <cell r="Z32">
            <v>0.41157100000000002</v>
          </cell>
          <cell r="AA32">
            <v>0.41076499999999999</v>
          </cell>
          <cell r="AB32">
            <v>0.41021200000000002</v>
          </cell>
          <cell r="AC32">
            <v>0.41009800000000002</v>
          </cell>
          <cell r="AD32">
            <v>0.41007300000000002</v>
          </cell>
          <cell r="AE32">
            <v>0.41036099999999998</v>
          </cell>
          <cell r="AF32">
            <v>0.41134399999999999</v>
          </cell>
          <cell r="AG32">
            <v>-6.8739999999999999E-3</v>
          </cell>
        </row>
        <row r="33">
          <cell r="A33" t="str">
            <v>CKI000:ga_Cooking</v>
          </cell>
          <cell r="C33">
            <v>8.4322999999999995E-2</v>
          </cell>
          <cell r="D33">
            <v>8.3906999999999995E-2</v>
          </cell>
          <cell r="E33">
            <v>8.3880999999999997E-2</v>
          </cell>
          <cell r="F33">
            <v>8.4142999999999996E-2</v>
          </cell>
          <cell r="G33">
            <v>8.4264000000000006E-2</v>
          </cell>
          <cell r="H33">
            <v>8.4212999999999996E-2</v>
          </cell>
          <cell r="I33">
            <v>8.4026000000000003E-2</v>
          </cell>
          <cell r="J33">
            <v>8.3756999999999998E-2</v>
          </cell>
          <cell r="K33">
            <v>8.3446000000000006E-2</v>
          </cell>
          <cell r="L33">
            <v>8.3116999999999996E-2</v>
          </cell>
          <cell r="M33">
            <v>8.2860000000000003E-2</v>
          </cell>
          <cell r="N33">
            <v>8.2617999999999997E-2</v>
          </cell>
          <cell r="O33">
            <v>8.2346000000000003E-2</v>
          </cell>
          <cell r="P33">
            <v>8.2059999999999994E-2</v>
          </cell>
          <cell r="Q33">
            <v>8.1840999999999997E-2</v>
          </cell>
          <cell r="R33">
            <v>8.1625000000000003E-2</v>
          </cell>
          <cell r="S33">
            <v>8.1424999999999997E-2</v>
          </cell>
          <cell r="T33">
            <v>8.1217999999999999E-2</v>
          </cell>
          <cell r="U33">
            <v>8.0948000000000006E-2</v>
          </cell>
          <cell r="V33">
            <v>8.0638000000000001E-2</v>
          </cell>
          <cell r="W33">
            <v>8.0422999999999994E-2</v>
          </cell>
          <cell r="X33">
            <v>8.0198000000000005E-2</v>
          </cell>
          <cell r="Y33">
            <v>7.9963999999999993E-2</v>
          </cell>
          <cell r="Z33">
            <v>7.9766000000000004E-2</v>
          </cell>
          <cell r="AA33">
            <v>7.9530000000000003E-2</v>
          </cell>
          <cell r="AB33">
            <v>7.9271999999999995E-2</v>
          </cell>
          <cell r="AC33">
            <v>7.9005000000000006E-2</v>
          </cell>
          <cell r="AD33">
            <v>7.8702999999999995E-2</v>
          </cell>
          <cell r="AE33">
            <v>7.8403E-2</v>
          </cell>
          <cell r="AF33">
            <v>7.8151999999999999E-2</v>
          </cell>
          <cell r="AG33">
            <v>-2.617E-3</v>
          </cell>
        </row>
        <row r="34">
          <cell r="A34" t="str">
            <v>CKI000:ga_Lighting</v>
          </cell>
          <cell r="C34">
            <v>0.51833600000000002</v>
          </cell>
          <cell r="D34">
            <v>0.50489300000000004</v>
          </cell>
          <cell r="E34">
            <v>0.49493700000000002</v>
          </cell>
          <cell r="F34">
            <v>0.48804500000000001</v>
          </cell>
          <cell r="G34">
            <v>0.48189199999999999</v>
          </cell>
          <cell r="H34">
            <v>0.47619299999999998</v>
          </cell>
          <cell r="I34">
            <v>0.47084799999999999</v>
          </cell>
          <cell r="J34">
            <v>0.46276400000000001</v>
          </cell>
          <cell r="K34">
            <v>0.45572099999999999</v>
          </cell>
          <cell r="L34">
            <v>0.44149300000000002</v>
          </cell>
          <cell r="M34">
            <v>0.42951299999999998</v>
          </cell>
          <cell r="N34">
            <v>0.419101</v>
          </cell>
          <cell r="O34">
            <v>0.409914</v>
          </cell>
          <cell r="P34">
            <v>0.40182600000000002</v>
          </cell>
          <cell r="Q34">
            <v>0.395258</v>
          </cell>
          <cell r="R34">
            <v>0.389843</v>
          </cell>
          <cell r="S34">
            <v>0.38531599999999999</v>
          </cell>
          <cell r="T34">
            <v>0.381525</v>
          </cell>
          <cell r="U34">
            <v>0.37787599999999999</v>
          </cell>
          <cell r="V34">
            <v>0.37235099999999999</v>
          </cell>
          <cell r="W34">
            <v>0.368251</v>
          </cell>
          <cell r="X34">
            <v>0.364593</v>
          </cell>
          <cell r="Y34">
            <v>0.361238</v>
          </cell>
          <cell r="Z34">
            <v>0.35877399999999998</v>
          </cell>
          <cell r="AA34">
            <v>0.35661399999999999</v>
          </cell>
          <cell r="AB34">
            <v>0.35486099999999998</v>
          </cell>
          <cell r="AC34">
            <v>0.35362300000000002</v>
          </cell>
          <cell r="AD34">
            <v>0.35255799999999998</v>
          </cell>
          <cell r="AE34">
            <v>0.35188700000000001</v>
          </cell>
          <cell r="AF34">
            <v>0.35190700000000003</v>
          </cell>
          <cell r="AG34">
            <v>-1.3265000000000001E-2</v>
          </cell>
        </row>
        <row r="35">
          <cell r="A35" t="str">
            <v>CKI000:ga_Refrigeration</v>
          </cell>
          <cell r="C35">
            <v>0.64944999999999997</v>
          </cell>
          <cell r="D35">
            <v>0.64615100000000003</v>
          </cell>
          <cell r="E35">
            <v>0.64540500000000001</v>
          </cell>
          <cell r="F35">
            <v>0.64657100000000001</v>
          </cell>
          <cell r="G35">
            <v>0.64801500000000001</v>
          </cell>
          <cell r="H35">
            <v>0.64954199999999995</v>
          </cell>
          <cell r="I35">
            <v>0.65104899999999999</v>
          </cell>
          <cell r="J35">
            <v>0.65264599999999995</v>
          </cell>
          <cell r="K35">
            <v>0.65441800000000006</v>
          </cell>
          <cell r="L35">
            <v>0.65465200000000001</v>
          </cell>
          <cell r="M35">
            <v>0.65605599999999997</v>
          </cell>
          <cell r="N35">
            <v>0.65796699999999997</v>
          </cell>
          <cell r="O35">
            <v>0.66003100000000003</v>
          </cell>
          <cell r="P35">
            <v>0.66227199999999997</v>
          </cell>
          <cell r="Q35">
            <v>0.66498100000000004</v>
          </cell>
          <cell r="R35">
            <v>0.66793599999999997</v>
          </cell>
          <cell r="S35">
            <v>0.67108500000000004</v>
          </cell>
          <cell r="T35">
            <v>0.67437100000000005</v>
          </cell>
          <cell r="U35">
            <v>0.67749700000000002</v>
          </cell>
          <cell r="V35">
            <v>0.68024899999999999</v>
          </cell>
          <cell r="W35">
            <v>0.68399399999999999</v>
          </cell>
          <cell r="X35">
            <v>0.68776999999999999</v>
          </cell>
          <cell r="Y35">
            <v>0.69159700000000002</v>
          </cell>
          <cell r="Z35">
            <v>0.69574899999999995</v>
          </cell>
          <cell r="AA35">
            <v>0.69989299999999999</v>
          </cell>
          <cell r="AB35">
            <v>0.70413899999999996</v>
          </cell>
          <cell r="AC35">
            <v>0.70853699999999997</v>
          </cell>
          <cell r="AD35">
            <v>0.71280299999999996</v>
          </cell>
          <cell r="AE35">
            <v>0.71709800000000001</v>
          </cell>
          <cell r="AF35">
            <v>0.72172899999999995</v>
          </cell>
          <cell r="AG35">
            <v>3.6449999999999998E-3</v>
          </cell>
        </row>
        <row r="36">
          <cell r="A36" t="str">
            <v>CKI000:ga_OfficeEquipme</v>
          </cell>
          <cell r="C36">
            <v>0.42910900000000002</v>
          </cell>
          <cell r="D36">
            <v>0.43390699999999999</v>
          </cell>
          <cell r="E36">
            <v>0.43921399999999999</v>
          </cell>
          <cell r="F36">
            <v>0.44551099999999999</v>
          </cell>
          <cell r="G36">
            <v>0.45266699999999999</v>
          </cell>
          <cell r="H36">
            <v>0.45981300000000003</v>
          </cell>
          <cell r="I36">
            <v>0.46690700000000002</v>
          </cell>
          <cell r="J36">
            <v>0.474939</v>
          </cell>
          <cell r="K36">
            <v>0.48300100000000001</v>
          </cell>
          <cell r="L36">
            <v>0.49163400000000002</v>
          </cell>
          <cell r="M36">
            <v>0.50033899999999998</v>
          </cell>
          <cell r="N36">
            <v>0.50964100000000001</v>
          </cell>
          <cell r="O36">
            <v>0.51896299999999995</v>
          </cell>
          <cell r="P36">
            <v>0.52885199999999999</v>
          </cell>
          <cell r="Q36">
            <v>0.53891</v>
          </cell>
          <cell r="R36">
            <v>0.55010400000000004</v>
          </cell>
          <cell r="S36">
            <v>0.56088700000000002</v>
          </cell>
          <cell r="T36">
            <v>0.572855</v>
          </cell>
          <cell r="U36">
            <v>0.58487</v>
          </cell>
          <cell r="V36">
            <v>0.59700600000000004</v>
          </cell>
          <cell r="W36">
            <v>0.60931299999999999</v>
          </cell>
          <cell r="X36">
            <v>0.62227900000000003</v>
          </cell>
          <cell r="Y36">
            <v>0.635911</v>
          </cell>
          <cell r="Z36">
            <v>0.64924199999999999</v>
          </cell>
          <cell r="AA36">
            <v>0.66324300000000003</v>
          </cell>
          <cell r="AB36">
            <v>0.67797600000000002</v>
          </cell>
          <cell r="AC36">
            <v>0.69234799999999996</v>
          </cell>
          <cell r="AD36">
            <v>0.70740199999999998</v>
          </cell>
          <cell r="AE36">
            <v>0.72265800000000002</v>
          </cell>
          <cell r="AF36">
            <v>0.73826199999999997</v>
          </cell>
          <cell r="AG36">
            <v>1.8886E-2</v>
          </cell>
        </row>
        <row r="37">
          <cell r="A37" t="str">
            <v>CKI000:ha_OfficeEquipme</v>
          </cell>
          <cell r="C37">
            <v>0.176791</v>
          </cell>
          <cell r="D37">
            <v>0.175063</v>
          </cell>
          <cell r="E37">
            <v>0.17426</v>
          </cell>
          <cell r="F37">
            <v>0.17410400000000001</v>
          </cell>
          <cell r="G37">
            <v>0.17433100000000001</v>
          </cell>
          <cell r="H37">
            <v>0.17496600000000001</v>
          </cell>
          <cell r="I37">
            <v>0.17575499999999999</v>
          </cell>
          <cell r="J37">
            <v>0.17673</v>
          </cell>
          <cell r="K37">
            <v>0.17793</v>
          </cell>
          <cell r="L37">
            <v>0.179401</v>
          </cell>
          <cell r="M37">
            <v>0.18088000000000001</v>
          </cell>
          <cell r="N37">
            <v>0.182643</v>
          </cell>
          <cell r="O37">
            <v>0.184393</v>
          </cell>
          <cell r="P37">
            <v>0.18584300000000001</v>
          </cell>
          <cell r="Q37">
            <v>0.187579</v>
          </cell>
          <cell r="R37">
            <v>0.18901399999999999</v>
          </cell>
          <cell r="S37">
            <v>0.190439</v>
          </cell>
          <cell r="T37">
            <v>0.19186400000000001</v>
          </cell>
          <cell r="U37">
            <v>0.19267100000000001</v>
          </cell>
          <cell r="V37">
            <v>0.193466</v>
          </cell>
          <cell r="W37">
            <v>0.19394800000000001</v>
          </cell>
          <cell r="X37">
            <v>0.19378400000000001</v>
          </cell>
          <cell r="Y37">
            <v>0.19326299999999999</v>
          </cell>
          <cell r="Z37">
            <v>0.192411</v>
          </cell>
          <cell r="AA37">
            <v>0.19087499999999999</v>
          </cell>
          <cell r="AB37">
            <v>0.18897</v>
          </cell>
          <cell r="AC37">
            <v>0.186364</v>
          </cell>
          <cell r="AD37">
            <v>0.18301100000000001</v>
          </cell>
          <cell r="AE37">
            <v>0.17891699999999999</v>
          </cell>
          <cell r="AF37">
            <v>0.173762</v>
          </cell>
          <cell r="AG37">
            <v>-5.9599999999999996E-4</v>
          </cell>
        </row>
        <row r="38">
          <cell r="A38" t="str">
            <v>CKI000:ha_OtherUses</v>
          </cell>
          <cell r="C38">
            <v>1.5711040000000001</v>
          </cell>
          <cell r="D38">
            <v>1.67832</v>
          </cell>
          <cell r="E38">
            <v>1.6764140000000001</v>
          </cell>
          <cell r="F38">
            <v>1.6754709999999999</v>
          </cell>
          <cell r="G38">
            <v>1.674363</v>
          </cell>
          <cell r="H38">
            <v>1.6738710000000001</v>
          </cell>
          <cell r="I38">
            <v>1.69221</v>
          </cell>
          <cell r="J38">
            <v>1.7096070000000001</v>
          </cell>
          <cell r="K38">
            <v>1.727711</v>
          </cell>
          <cell r="L38">
            <v>1.7460230000000001</v>
          </cell>
          <cell r="M38">
            <v>1.7650790000000001</v>
          </cell>
          <cell r="N38">
            <v>1.7847310000000001</v>
          </cell>
          <cell r="O38">
            <v>1.8049459999999999</v>
          </cell>
          <cell r="P38">
            <v>1.8255300000000001</v>
          </cell>
          <cell r="Q38">
            <v>1.8469930000000001</v>
          </cell>
          <cell r="R38">
            <v>1.8694660000000001</v>
          </cell>
          <cell r="S38">
            <v>1.8923140000000001</v>
          </cell>
          <cell r="T38">
            <v>1.916142</v>
          </cell>
          <cell r="U38">
            <v>1.9407479999999999</v>
          </cell>
          <cell r="V38">
            <v>1.9658690000000001</v>
          </cell>
          <cell r="W38">
            <v>1.9922010000000001</v>
          </cell>
          <cell r="X38">
            <v>2.0192079999999999</v>
          </cell>
          <cell r="Y38">
            <v>2.0472220000000001</v>
          </cell>
          <cell r="Z38">
            <v>2.0762550000000002</v>
          </cell>
          <cell r="AA38">
            <v>2.106525</v>
          </cell>
          <cell r="AB38">
            <v>2.1373190000000002</v>
          </cell>
          <cell r="AC38">
            <v>2.1693159999999998</v>
          </cell>
          <cell r="AD38">
            <v>2.2023869999999999</v>
          </cell>
          <cell r="AE38">
            <v>2.2364769999999998</v>
          </cell>
          <cell r="AF38">
            <v>2.272173</v>
          </cell>
          <cell r="AG38">
            <v>1.2803999999999999E-2</v>
          </cell>
        </row>
        <row r="39">
          <cell r="A39" t="str">
            <v>CKI000:ha_ElecSubtotal</v>
          </cell>
          <cell r="C39">
            <v>4.5951639999999996</v>
          </cell>
          <cell r="D39">
            <v>4.6468069999999999</v>
          </cell>
          <cell r="E39">
            <v>4.6952790000000002</v>
          </cell>
          <cell r="F39">
            <v>4.7030519999999996</v>
          </cell>
          <cell r="G39">
            <v>4.711436</v>
          </cell>
          <cell r="H39">
            <v>4.7107530000000004</v>
          </cell>
          <cell r="I39">
            <v>4.727557</v>
          </cell>
          <cell r="J39">
            <v>4.7415469999999997</v>
          </cell>
          <cell r="K39">
            <v>4.7577579999999999</v>
          </cell>
          <cell r="L39">
            <v>4.7664020000000002</v>
          </cell>
          <cell r="M39">
            <v>4.7815479999999999</v>
          </cell>
          <cell r="N39">
            <v>4.8012899999999998</v>
          </cell>
          <cell r="O39">
            <v>4.8230680000000001</v>
          </cell>
          <cell r="P39">
            <v>4.8471419999999998</v>
          </cell>
          <cell r="Q39">
            <v>4.876792</v>
          </cell>
          <cell r="R39">
            <v>4.9106889999999996</v>
          </cell>
          <cell r="S39">
            <v>4.9468360000000002</v>
          </cell>
          <cell r="T39">
            <v>4.9868410000000001</v>
          </cell>
          <cell r="U39">
            <v>5.0265279999999999</v>
          </cell>
          <cell r="V39">
            <v>5.0629169999999997</v>
          </cell>
          <cell r="W39">
            <v>5.1048749999999998</v>
          </cell>
          <cell r="X39">
            <v>5.1485250000000002</v>
          </cell>
          <cell r="Y39">
            <v>5.1941550000000003</v>
          </cell>
          <cell r="Z39">
            <v>5.2430479999999999</v>
          </cell>
          <cell r="AA39">
            <v>5.2934489999999998</v>
          </cell>
          <cell r="AB39">
            <v>5.345459</v>
          </cell>
          <cell r="AC39">
            <v>5.3989580000000004</v>
          </cell>
          <cell r="AD39">
            <v>5.4534960000000003</v>
          </cell>
          <cell r="AE39">
            <v>5.5094380000000003</v>
          </cell>
          <cell r="AF39">
            <v>5.5691490000000003</v>
          </cell>
          <cell r="AG39">
            <v>6.6509999999999998E-3</v>
          </cell>
        </row>
        <row r="40">
          <cell r="A40" t="str">
            <v>CKI000:ha_OwnGeneration</v>
          </cell>
          <cell r="C40">
            <v>9.5620999999999998E-2</v>
          </cell>
          <cell r="D40">
            <v>0.10685500000000001</v>
          </cell>
          <cell r="E40">
            <v>0.118325</v>
          </cell>
          <cell r="F40">
            <v>0.12968099999999999</v>
          </cell>
          <cell r="G40">
            <v>0.13766</v>
          </cell>
          <cell r="H40">
            <v>0.146618</v>
          </cell>
          <cell r="I40">
            <v>0.15415799999999999</v>
          </cell>
          <cell r="J40">
            <v>0.159692</v>
          </cell>
          <cell r="K40">
            <v>0.16678399999999999</v>
          </cell>
          <cell r="L40">
            <v>0.17127300000000001</v>
          </cell>
          <cell r="M40">
            <v>0.17811299999999999</v>
          </cell>
          <cell r="N40">
            <v>0.182839</v>
          </cell>
          <cell r="O40">
            <v>0.189632</v>
          </cell>
          <cell r="P40">
            <v>0.195544</v>
          </cell>
          <cell r="Q40">
            <v>0.198097</v>
          </cell>
          <cell r="R40">
            <v>0.204844</v>
          </cell>
          <cell r="S40">
            <v>0.211534</v>
          </cell>
          <cell r="T40">
            <v>0.217638</v>
          </cell>
          <cell r="U40">
            <v>0.22692300000000001</v>
          </cell>
          <cell r="V40">
            <v>0.23549200000000001</v>
          </cell>
          <cell r="W40">
            <v>0.242482</v>
          </cell>
          <cell r="X40">
            <v>0.25086700000000001</v>
          </cell>
          <cell r="Y40">
            <v>0.26011000000000001</v>
          </cell>
          <cell r="Z40">
            <v>0.26594400000000001</v>
          </cell>
          <cell r="AA40">
            <v>0.27569500000000002</v>
          </cell>
          <cell r="AB40">
            <v>0.28823700000000002</v>
          </cell>
          <cell r="AC40">
            <v>0.29553299999999999</v>
          </cell>
          <cell r="AD40">
            <v>0.30629600000000001</v>
          </cell>
          <cell r="AE40">
            <v>0.31517200000000001</v>
          </cell>
          <cell r="AF40">
            <v>0.32165300000000002</v>
          </cell>
          <cell r="AG40">
            <v>4.2717999999999999E-2</v>
          </cell>
        </row>
        <row r="41">
          <cell r="A41" t="str">
            <v>CKI000:ha_PurchasedElec</v>
          </cell>
          <cell r="C41">
            <v>4.4995430000000001</v>
          </cell>
          <cell r="D41">
            <v>4.5399520000000004</v>
          </cell>
          <cell r="E41">
            <v>4.5769529999999996</v>
          </cell>
          <cell r="F41">
            <v>4.5733699999999997</v>
          </cell>
          <cell r="G41">
            <v>4.5737769999999998</v>
          </cell>
          <cell r="H41">
            <v>4.5641350000000003</v>
          </cell>
          <cell r="I41">
            <v>4.5734000000000004</v>
          </cell>
          <cell r="J41">
            <v>4.5818539999999999</v>
          </cell>
          <cell r="K41">
            <v>4.5909740000000001</v>
          </cell>
          <cell r="L41">
            <v>4.595129</v>
          </cell>
          <cell r="M41">
            <v>4.6034350000000002</v>
          </cell>
          <cell r="N41">
            <v>4.6184510000000003</v>
          </cell>
          <cell r="O41">
            <v>4.6334350000000004</v>
          </cell>
          <cell r="P41">
            <v>4.6515979999999999</v>
          </cell>
          <cell r="Q41">
            <v>4.6786950000000003</v>
          </cell>
          <cell r="R41">
            <v>4.7058450000000001</v>
          </cell>
          <cell r="S41">
            <v>4.7353019999999999</v>
          </cell>
          <cell r="T41">
            <v>4.7692019999999999</v>
          </cell>
          <cell r="U41">
            <v>4.7996049999999997</v>
          </cell>
          <cell r="V41">
            <v>4.8274249999999999</v>
          </cell>
          <cell r="W41">
            <v>4.862393</v>
          </cell>
          <cell r="X41">
            <v>4.8976579999999998</v>
          </cell>
          <cell r="Y41">
            <v>4.9340450000000002</v>
          </cell>
          <cell r="Z41">
            <v>4.9771039999999998</v>
          </cell>
          <cell r="AA41">
            <v>5.017754</v>
          </cell>
          <cell r="AB41">
            <v>5.0572220000000003</v>
          </cell>
          <cell r="AC41">
            <v>5.1034259999999998</v>
          </cell>
          <cell r="AD41">
            <v>5.1471999999999998</v>
          </cell>
          <cell r="AE41">
            <v>5.1942649999999997</v>
          </cell>
          <cell r="AF41">
            <v>5.2474959999999999</v>
          </cell>
          <cell r="AG41">
            <v>5.3169999999999997E-3</v>
          </cell>
        </row>
        <row r="44">
          <cell r="A44" t="str">
            <v>CKI000:ia_SpaceHeating</v>
          </cell>
          <cell r="C44">
            <v>1.8042739999999999</v>
          </cell>
          <cell r="D44">
            <v>1.832203</v>
          </cell>
          <cell r="E44">
            <v>1.7731749999999999</v>
          </cell>
          <cell r="F44">
            <v>1.7856540000000001</v>
          </cell>
          <cell r="G44">
            <v>1.7998689999999999</v>
          </cell>
          <cell r="H44">
            <v>1.8080419999999999</v>
          </cell>
          <cell r="I44">
            <v>1.809979</v>
          </cell>
          <cell r="J44">
            <v>1.80684</v>
          </cell>
          <cell r="K44">
            <v>1.7991349999999999</v>
          </cell>
          <cell r="L44">
            <v>1.7915859999999999</v>
          </cell>
          <cell r="M44">
            <v>1.7839780000000001</v>
          </cell>
          <cell r="N44">
            <v>1.779091</v>
          </cell>
          <cell r="O44">
            <v>1.7730109999999999</v>
          </cell>
          <cell r="P44">
            <v>1.768429</v>
          </cell>
          <cell r="Q44">
            <v>1.766343</v>
          </cell>
          <cell r="R44">
            <v>1.7643009999999999</v>
          </cell>
          <cell r="S44">
            <v>1.7601009999999999</v>
          </cell>
          <cell r="T44">
            <v>1.7549250000000001</v>
          </cell>
          <cell r="U44">
            <v>1.74899</v>
          </cell>
          <cell r="V44">
            <v>1.743317</v>
          </cell>
          <cell r="W44">
            <v>1.738327</v>
          </cell>
          <cell r="X44">
            <v>1.733492</v>
          </cell>
          <cell r="Y44">
            <v>1.72827</v>
          </cell>
          <cell r="Z44">
            <v>1.723463</v>
          </cell>
          <cell r="AA44">
            <v>1.7176469999999999</v>
          </cell>
          <cell r="AB44">
            <v>1.7112849999999999</v>
          </cell>
          <cell r="AC44">
            <v>1.7041379999999999</v>
          </cell>
          <cell r="AD44">
            <v>1.69676</v>
          </cell>
          <cell r="AE44">
            <v>1.6884490000000001</v>
          </cell>
          <cell r="AF44">
            <v>1.6800520000000001</v>
          </cell>
          <cell r="AG44">
            <v>-2.457E-3</v>
          </cell>
        </row>
        <row r="45">
          <cell r="A45" t="str">
            <v>CKI000:ia_SpaceCooling</v>
          </cell>
          <cell r="C45">
            <v>2.4750000000000001E-2</v>
          </cell>
          <cell r="D45">
            <v>2.1655000000000001E-2</v>
          </cell>
          <cell r="E45">
            <v>2.6110999999999999E-2</v>
          </cell>
          <cell r="F45">
            <v>2.6110000000000001E-2</v>
          </cell>
          <cell r="G45">
            <v>2.6138999999999999E-2</v>
          </cell>
          <cell r="H45">
            <v>2.6102E-2</v>
          </cell>
          <cell r="I45">
            <v>2.5989999999999999E-2</v>
          </cell>
          <cell r="J45">
            <v>2.5843000000000001E-2</v>
          </cell>
          <cell r="K45">
            <v>2.5651E-2</v>
          </cell>
          <cell r="L45">
            <v>2.5479000000000002E-2</v>
          </cell>
          <cell r="M45">
            <v>2.5322000000000001E-2</v>
          </cell>
          <cell r="N45">
            <v>2.5204000000000001E-2</v>
          </cell>
          <cell r="O45">
            <v>2.5089E-2</v>
          </cell>
          <cell r="P45">
            <v>2.4997999999999999E-2</v>
          </cell>
          <cell r="Q45">
            <v>2.4948999999999999E-2</v>
          </cell>
          <cell r="R45">
            <v>2.4913000000000001E-2</v>
          </cell>
          <cell r="S45">
            <v>2.487E-2</v>
          </cell>
          <cell r="T45">
            <v>2.4812000000000001E-2</v>
          </cell>
          <cell r="U45">
            <v>2.4763E-2</v>
          </cell>
          <cell r="V45">
            <v>2.4722999999999998E-2</v>
          </cell>
          <cell r="W45">
            <v>2.4712000000000001E-2</v>
          </cell>
          <cell r="X45">
            <v>2.4716999999999999E-2</v>
          </cell>
          <cell r="Y45">
            <v>2.4719000000000001E-2</v>
          </cell>
          <cell r="Z45">
            <v>2.4733999999999999E-2</v>
          </cell>
          <cell r="AA45">
            <v>2.4757999999999999E-2</v>
          </cell>
          <cell r="AB45">
            <v>2.4771000000000001E-2</v>
          </cell>
          <cell r="AC45">
            <v>2.4785999999999999E-2</v>
          </cell>
          <cell r="AD45">
            <v>2.4822E-2</v>
          </cell>
          <cell r="AE45">
            <v>2.4836E-2</v>
          </cell>
          <cell r="AF45">
            <v>2.486E-2</v>
          </cell>
          <cell r="AG45">
            <v>1.5300000000000001E-4</v>
          </cell>
        </row>
        <row r="46">
          <cell r="A46" t="str">
            <v>CKI000:ia_WaterHeating</v>
          </cell>
          <cell r="C46">
            <v>0.611896</v>
          </cell>
          <cell r="D46">
            <v>0.60751500000000003</v>
          </cell>
          <cell r="E46">
            <v>0.60975199999999996</v>
          </cell>
          <cell r="F46">
            <v>0.61787899999999996</v>
          </cell>
          <cell r="G46">
            <v>0.62652399999999997</v>
          </cell>
          <cell r="H46">
            <v>0.63338300000000003</v>
          </cell>
          <cell r="I46">
            <v>0.63841300000000001</v>
          </cell>
          <cell r="J46">
            <v>0.64204000000000006</v>
          </cell>
          <cell r="K46">
            <v>0.64447299999999996</v>
          </cell>
          <cell r="L46">
            <v>0.64724499999999996</v>
          </cell>
          <cell r="M46">
            <v>0.64856199999999997</v>
          </cell>
          <cell r="N46">
            <v>0.65142</v>
          </cell>
          <cell r="O46">
            <v>0.65439999999999998</v>
          </cell>
          <cell r="P46">
            <v>0.65837000000000001</v>
          </cell>
          <cell r="Q46">
            <v>0.663385</v>
          </cell>
          <cell r="R46">
            <v>0.66861599999999999</v>
          </cell>
          <cell r="S46">
            <v>0.67324300000000004</v>
          </cell>
          <cell r="T46">
            <v>0.67766400000000004</v>
          </cell>
          <cell r="U46">
            <v>0.68190099999999998</v>
          </cell>
          <cell r="V46">
            <v>0.68633200000000005</v>
          </cell>
          <cell r="W46">
            <v>0.69128000000000001</v>
          </cell>
          <cell r="X46">
            <v>0.69640000000000002</v>
          </cell>
          <cell r="Y46">
            <v>0.70152899999999996</v>
          </cell>
          <cell r="Z46">
            <v>0.70691899999999996</v>
          </cell>
          <cell r="AA46">
            <v>0.71211199999999997</v>
          </cell>
          <cell r="AB46">
            <v>0.71725300000000003</v>
          </cell>
          <cell r="AC46">
            <v>0.72223099999999996</v>
          </cell>
          <cell r="AD46">
            <v>0.72724200000000006</v>
          </cell>
          <cell r="AE46">
            <v>0.73199199999999998</v>
          </cell>
          <cell r="AF46">
            <v>0.73682800000000004</v>
          </cell>
          <cell r="AG46">
            <v>6.4270000000000004E-3</v>
          </cell>
        </row>
        <row r="47">
          <cell r="A47" t="str">
            <v>CKI000:ia_Cooking</v>
          </cell>
          <cell r="C47">
            <v>0.34442600000000001</v>
          </cell>
          <cell r="D47">
            <v>0.34544200000000003</v>
          </cell>
          <cell r="E47">
            <v>0.35008099999999998</v>
          </cell>
          <cell r="F47">
            <v>0.357761</v>
          </cell>
          <cell r="G47">
            <v>0.36561300000000002</v>
          </cell>
          <cell r="H47">
            <v>0.372359</v>
          </cell>
          <cell r="I47">
            <v>0.37798999999999999</v>
          </cell>
          <cell r="J47">
            <v>0.38278299999999998</v>
          </cell>
          <cell r="K47">
            <v>0.38687199999999999</v>
          </cell>
          <cell r="L47">
            <v>0.39113500000000001</v>
          </cell>
          <cell r="M47">
            <v>0.39428800000000003</v>
          </cell>
          <cell r="N47">
            <v>0.39835599999999999</v>
          </cell>
          <cell r="O47">
            <v>0.40257500000000002</v>
          </cell>
          <cell r="P47">
            <v>0.407387</v>
          </cell>
          <cell r="Q47">
            <v>0.412688</v>
          </cell>
          <cell r="R47">
            <v>0.41800399999999999</v>
          </cell>
          <cell r="S47">
            <v>0.42293500000000001</v>
          </cell>
          <cell r="T47">
            <v>0.42767699999999997</v>
          </cell>
          <cell r="U47">
            <v>0.43235699999999999</v>
          </cell>
          <cell r="V47">
            <v>0.43708599999999997</v>
          </cell>
          <cell r="W47">
            <v>0.44216499999999997</v>
          </cell>
          <cell r="X47">
            <v>0.447326</v>
          </cell>
          <cell r="Y47">
            <v>0.45247300000000001</v>
          </cell>
          <cell r="Z47">
            <v>0.45774599999999999</v>
          </cell>
          <cell r="AA47">
            <v>0.46294299999999999</v>
          </cell>
          <cell r="AB47">
            <v>0.468111</v>
          </cell>
          <cell r="AC47">
            <v>0.473159</v>
          </cell>
          <cell r="AD47">
            <v>0.47821799999999998</v>
          </cell>
          <cell r="AE47">
            <v>0.48310500000000001</v>
          </cell>
          <cell r="AF47">
            <v>0.48798000000000002</v>
          </cell>
          <cell r="AG47">
            <v>1.2086E-2</v>
          </cell>
        </row>
        <row r="48">
          <cell r="A48" t="str">
            <v>CKI000:ia_OtherUses</v>
          </cell>
          <cell r="C48">
            <v>0.69580799999999998</v>
          </cell>
          <cell r="D48">
            <v>0.81159300000000001</v>
          </cell>
          <cell r="E48">
            <v>0.80718800000000002</v>
          </cell>
          <cell r="F48">
            <v>0.78792899999999999</v>
          </cell>
          <cell r="G48">
            <v>0.76992899999999997</v>
          </cell>
          <cell r="H48">
            <v>0.74975000000000003</v>
          </cell>
          <cell r="I48">
            <v>0.75180400000000003</v>
          </cell>
          <cell r="J48">
            <v>0.75220399999999998</v>
          </cell>
          <cell r="K48">
            <v>0.75154299999999996</v>
          </cell>
          <cell r="L48">
            <v>0.75134599999999996</v>
          </cell>
          <cell r="M48">
            <v>0.75105299999999997</v>
          </cell>
          <cell r="N48">
            <v>0.75155700000000003</v>
          </cell>
          <cell r="O48">
            <v>0.75223600000000002</v>
          </cell>
          <cell r="P48">
            <v>0.75331000000000004</v>
          </cell>
          <cell r="Q48">
            <v>0.75497700000000001</v>
          </cell>
          <cell r="R48">
            <v>0.75680700000000001</v>
          </cell>
          <cell r="S48">
            <v>0.75821000000000005</v>
          </cell>
          <cell r="T48">
            <v>0.75942699999999996</v>
          </cell>
          <cell r="U48">
            <v>0.76100699999999999</v>
          </cell>
          <cell r="V48">
            <v>0.76246899999999995</v>
          </cell>
          <cell r="W48">
            <v>0.76380499999999996</v>
          </cell>
          <cell r="X48">
            <v>0.76571500000000003</v>
          </cell>
          <cell r="Y48">
            <v>0.76771699999999998</v>
          </cell>
          <cell r="Z48">
            <v>0.769513</v>
          </cell>
          <cell r="AA48">
            <v>0.77151099999999995</v>
          </cell>
          <cell r="AB48">
            <v>0.77319700000000002</v>
          </cell>
          <cell r="AC48">
            <v>0.77468300000000001</v>
          </cell>
          <cell r="AD48">
            <v>0.77661599999999997</v>
          </cell>
          <cell r="AE48">
            <v>0.77803900000000004</v>
          </cell>
          <cell r="AF48">
            <v>0.77946599999999999</v>
          </cell>
          <cell r="AG48">
            <v>3.9230000000000003E-3</v>
          </cell>
        </row>
        <row r="49">
          <cell r="A49" t="str">
            <v>CKI000:ia_DeliveredEner</v>
          </cell>
          <cell r="C49">
            <v>3.4811529999999999</v>
          </cell>
          <cell r="D49">
            <v>3.6184080000000001</v>
          </cell>
          <cell r="E49">
            <v>3.566306</v>
          </cell>
          <cell r="F49">
            <v>3.575332</v>
          </cell>
          <cell r="G49">
            <v>3.5880740000000002</v>
          </cell>
          <cell r="H49">
            <v>3.5896370000000002</v>
          </cell>
          <cell r="I49">
            <v>3.6041759999999998</v>
          </cell>
          <cell r="J49">
            <v>3.6097100000000002</v>
          </cell>
          <cell r="K49">
            <v>3.6076730000000001</v>
          </cell>
          <cell r="L49">
            <v>3.6067900000000002</v>
          </cell>
          <cell r="M49">
            <v>3.6032030000000002</v>
          </cell>
          <cell r="N49">
            <v>3.6056270000000001</v>
          </cell>
          <cell r="O49">
            <v>3.60731</v>
          </cell>
          <cell r="P49">
            <v>3.612495</v>
          </cell>
          <cell r="Q49">
            <v>3.622341</v>
          </cell>
          <cell r="R49">
            <v>3.632641</v>
          </cell>
          <cell r="S49">
            <v>3.6393599999999999</v>
          </cell>
          <cell r="T49">
            <v>3.6445059999999998</v>
          </cell>
          <cell r="U49">
            <v>3.6490170000000002</v>
          </cell>
          <cell r="V49">
            <v>3.6539280000000001</v>
          </cell>
          <cell r="W49">
            <v>3.660288</v>
          </cell>
          <cell r="X49">
            <v>3.6676500000000001</v>
          </cell>
          <cell r="Y49">
            <v>3.6747070000000002</v>
          </cell>
          <cell r="Z49">
            <v>3.682375</v>
          </cell>
          <cell r="AA49">
            <v>3.6889699999999999</v>
          </cell>
          <cell r="AB49">
            <v>3.6946180000000002</v>
          </cell>
          <cell r="AC49">
            <v>3.698998</v>
          </cell>
          <cell r="AD49">
            <v>3.7036579999999999</v>
          </cell>
          <cell r="AE49">
            <v>3.7064210000000002</v>
          </cell>
          <cell r="AF49">
            <v>3.709187</v>
          </cell>
          <cell r="AG49">
            <v>2.1900000000000001E-3</v>
          </cell>
        </row>
        <row r="52">
          <cell r="A52" t="str">
            <v>CKI000:ja_SpaceHeating</v>
          </cell>
          <cell r="C52">
            <v>0.21453900000000001</v>
          </cell>
          <cell r="D52">
            <v>0.22256300000000001</v>
          </cell>
          <cell r="E52">
            <v>0.21479200000000001</v>
          </cell>
          <cell r="F52">
            <v>0.21345700000000001</v>
          </cell>
          <cell r="G52">
            <v>0.21237600000000001</v>
          </cell>
          <cell r="H52">
            <v>0.21140200000000001</v>
          </cell>
          <cell r="I52">
            <v>0.21058299999999999</v>
          </cell>
          <cell r="J52">
            <v>0.20891000000000001</v>
          </cell>
          <cell r="K52">
            <v>0.20678199999999999</v>
          </cell>
          <cell r="L52">
            <v>0.204621</v>
          </cell>
          <cell r="M52">
            <v>0.20246800000000001</v>
          </cell>
          <cell r="N52">
            <v>0.20028399999999999</v>
          </cell>
          <cell r="O52">
            <v>0.198155</v>
          </cell>
          <cell r="P52">
            <v>0.19612299999999999</v>
          </cell>
          <cell r="Q52">
            <v>0.194048</v>
          </cell>
          <cell r="R52">
            <v>0.191857</v>
          </cell>
          <cell r="S52">
            <v>0.18947</v>
          </cell>
          <cell r="T52">
            <v>0.18713399999999999</v>
          </cell>
          <cell r="U52">
            <v>0.18490899999999999</v>
          </cell>
          <cell r="V52">
            <v>0.18254400000000001</v>
          </cell>
          <cell r="W52">
            <v>0.18030399999999999</v>
          </cell>
          <cell r="X52">
            <v>0.178199</v>
          </cell>
          <cell r="Y52">
            <v>0.175951</v>
          </cell>
          <cell r="Z52">
            <v>0.17355000000000001</v>
          </cell>
          <cell r="AA52">
            <v>0.17122100000000001</v>
          </cell>
          <cell r="AB52">
            <v>0.168904</v>
          </cell>
          <cell r="AC52">
            <v>0.166736</v>
          </cell>
          <cell r="AD52">
            <v>0.16472800000000001</v>
          </cell>
          <cell r="AE52">
            <v>0.162772</v>
          </cell>
          <cell r="AF52">
            <v>0.16084000000000001</v>
          </cell>
          <cell r="AG52">
            <v>-9.8849999999999997E-3</v>
          </cell>
        </row>
        <row r="53">
          <cell r="A53" t="str">
            <v>CKI000:ja_WaterHeating</v>
          </cell>
          <cell r="C53">
            <v>6.4819999999999999E-3</v>
          </cell>
          <cell r="D53">
            <v>6.3969999999999999E-3</v>
          </cell>
          <cell r="E53">
            <v>6.3850000000000001E-3</v>
          </cell>
          <cell r="F53">
            <v>6.3940000000000004E-3</v>
          </cell>
          <cell r="G53">
            <v>6.4079999999999996E-3</v>
          </cell>
          <cell r="H53">
            <v>6.4200000000000004E-3</v>
          </cell>
          <cell r="I53">
            <v>6.4310000000000001E-3</v>
          </cell>
          <cell r="J53">
            <v>6.4140000000000004E-3</v>
          </cell>
          <cell r="K53">
            <v>6.3819999999999997E-3</v>
          </cell>
          <cell r="L53">
            <v>6.3540000000000003E-3</v>
          </cell>
          <cell r="M53">
            <v>6.3239999999999998E-3</v>
          </cell>
          <cell r="N53">
            <v>6.2960000000000004E-3</v>
          </cell>
          <cell r="O53">
            <v>6.2709999999999997E-3</v>
          </cell>
          <cell r="P53">
            <v>6.2480000000000001E-3</v>
          </cell>
          <cell r="Q53">
            <v>6.2220000000000001E-3</v>
          </cell>
          <cell r="R53">
            <v>6.1910000000000003E-3</v>
          </cell>
          <cell r="S53">
            <v>6.1539999999999997E-3</v>
          </cell>
          <cell r="T53">
            <v>6.1180000000000002E-3</v>
          </cell>
          <cell r="U53">
            <v>6.0879999999999997E-3</v>
          </cell>
          <cell r="V53">
            <v>6.0559999999999998E-3</v>
          </cell>
          <cell r="W53">
            <v>6.0280000000000004E-3</v>
          </cell>
          <cell r="X53">
            <v>6.0029999999999997E-3</v>
          </cell>
          <cell r="Y53">
            <v>5.9740000000000001E-3</v>
          </cell>
          <cell r="Z53">
            <v>5.9389999999999998E-3</v>
          </cell>
          <cell r="AA53">
            <v>5.9069999999999999E-3</v>
          </cell>
          <cell r="AB53">
            <v>5.8770000000000003E-3</v>
          </cell>
          <cell r="AC53">
            <v>5.8520000000000004E-3</v>
          </cell>
          <cell r="AD53">
            <v>5.8320000000000004E-3</v>
          </cell>
          <cell r="AE53">
            <v>5.8149999999999999E-3</v>
          </cell>
          <cell r="AF53">
            <v>5.7980000000000002E-3</v>
          </cell>
          <cell r="AG53">
            <v>-3.836E-3</v>
          </cell>
        </row>
        <row r="54">
          <cell r="A54" t="str">
            <v>CKI000:ja_OtherUses</v>
          </cell>
          <cell r="C54">
            <v>9.3368999999999994E-2</v>
          </cell>
          <cell r="D54">
            <v>9.5399999999999999E-2</v>
          </cell>
          <cell r="E54">
            <v>0.10090200000000001</v>
          </cell>
          <cell r="F54">
            <v>9.9529000000000006E-2</v>
          </cell>
          <cell r="G54">
            <v>9.8310999999999996E-2</v>
          </cell>
          <cell r="H54">
            <v>9.7179000000000001E-2</v>
          </cell>
          <cell r="I54">
            <v>9.8383999999999999E-2</v>
          </cell>
          <cell r="J54">
            <v>9.9066000000000001E-2</v>
          </cell>
          <cell r="K54">
            <v>9.9454000000000001E-2</v>
          </cell>
          <cell r="L54">
            <v>9.9830000000000002E-2</v>
          </cell>
          <cell r="M54">
            <v>9.9534999999999998E-2</v>
          </cell>
          <cell r="N54">
            <v>9.9419999999999994E-2</v>
          </cell>
          <cell r="O54">
            <v>9.9481E-2</v>
          </cell>
          <cell r="P54">
            <v>9.9794999999999995E-2</v>
          </cell>
          <cell r="Q54">
            <v>0.100116</v>
          </cell>
          <cell r="R54">
            <v>0.10038999999999999</v>
          </cell>
          <cell r="S54">
            <v>0.10057199999999999</v>
          </cell>
          <cell r="T54">
            <v>0.100788</v>
          </cell>
          <cell r="U54">
            <v>0.10108300000000001</v>
          </cell>
          <cell r="V54">
            <v>0.101358</v>
          </cell>
          <cell r="W54">
            <v>0.101633</v>
          </cell>
          <cell r="X54">
            <v>0.10197000000000001</v>
          </cell>
          <cell r="Y54">
            <v>0.102204</v>
          </cell>
          <cell r="Z54">
            <v>0.102336</v>
          </cell>
          <cell r="AA54">
            <v>0.102519</v>
          </cell>
          <cell r="AB54">
            <v>0.10274800000000001</v>
          </cell>
          <cell r="AC54">
            <v>0.10305400000000001</v>
          </cell>
          <cell r="AD54">
            <v>0.103449</v>
          </cell>
          <cell r="AE54">
            <v>0.103906</v>
          </cell>
          <cell r="AF54">
            <v>0.10442899999999999</v>
          </cell>
          <cell r="AG54">
            <v>3.8679999999999999E-3</v>
          </cell>
        </row>
        <row r="55">
          <cell r="A55" t="str">
            <v>CKI000:ja_DeliveredEner</v>
          </cell>
          <cell r="C55">
            <v>0.31439</v>
          </cell>
          <cell r="D55">
            <v>0.32435999999999998</v>
          </cell>
          <cell r="E55">
            <v>0.32207999999999998</v>
          </cell>
          <cell r="F55">
            <v>0.31938</v>
          </cell>
          <cell r="G55">
            <v>0.31709399999999999</v>
          </cell>
          <cell r="H55">
            <v>0.31500099999999998</v>
          </cell>
          <cell r="I55">
            <v>0.31539800000000001</v>
          </cell>
          <cell r="J55">
            <v>0.31438899999999997</v>
          </cell>
          <cell r="K55">
            <v>0.31261800000000001</v>
          </cell>
          <cell r="L55">
            <v>0.31080600000000003</v>
          </cell>
          <cell r="M55">
            <v>0.30832799999999999</v>
          </cell>
          <cell r="N55">
            <v>0.30599999999999999</v>
          </cell>
          <cell r="O55">
            <v>0.30390699999999998</v>
          </cell>
          <cell r="P55">
            <v>0.30216700000000002</v>
          </cell>
          <cell r="Q55">
            <v>0.30038599999999999</v>
          </cell>
          <cell r="R55">
            <v>0.29843799999999998</v>
          </cell>
          <cell r="S55">
            <v>0.29619600000000001</v>
          </cell>
          <cell r="T55">
            <v>0.29404000000000002</v>
          </cell>
          <cell r="U55">
            <v>0.29208099999999998</v>
          </cell>
          <cell r="V55">
            <v>0.28995799999999999</v>
          </cell>
          <cell r="W55">
            <v>0.28796500000000003</v>
          </cell>
          <cell r="X55">
            <v>0.28617199999999998</v>
          </cell>
          <cell r="Y55">
            <v>0.28412799999999999</v>
          </cell>
          <cell r="Z55">
            <v>0.28182499999999999</v>
          </cell>
          <cell r="AA55">
            <v>0.27964800000000001</v>
          </cell>
          <cell r="AB55">
            <v>0.27753</v>
          </cell>
          <cell r="AC55">
            <v>0.275642</v>
          </cell>
          <cell r="AD55">
            <v>0.274009</v>
          </cell>
          <cell r="AE55">
            <v>0.27249299999999999</v>
          </cell>
          <cell r="AF55">
            <v>0.271067</v>
          </cell>
          <cell r="AG55">
            <v>-5.1000000000000004E-3</v>
          </cell>
        </row>
        <row r="57">
          <cell r="A57" t="str">
            <v>CKI000:ka_MarketedRenew</v>
          </cell>
          <cell r="C57">
            <v>0.124386</v>
          </cell>
          <cell r="D57">
            <v>0.124386</v>
          </cell>
          <cell r="E57">
            <v>0.124386</v>
          </cell>
          <cell r="F57">
            <v>0.124386</v>
          </cell>
          <cell r="G57">
            <v>0.124386</v>
          </cell>
          <cell r="H57">
            <v>0.124386</v>
          </cell>
          <cell r="I57">
            <v>0.124386</v>
          </cell>
          <cell r="J57">
            <v>0.124386</v>
          </cell>
          <cell r="K57">
            <v>0.124386</v>
          </cell>
          <cell r="L57">
            <v>0.124386</v>
          </cell>
          <cell r="M57">
            <v>0.124386</v>
          </cell>
          <cell r="N57">
            <v>0.124386</v>
          </cell>
          <cell r="O57">
            <v>0.124386</v>
          </cell>
          <cell r="P57">
            <v>0.124386</v>
          </cell>
          <cell r="Q57">
            <v>0.124386</v>
          </cell>
          <cell r="R57">
            <v>0.124386</v>
          </cell>
          <cell r="S57">
            <v>0.124386</v>
          </cell>
          <cell r="T57">
            <v>0.124386</v>
          </cell>
          <cell r="U57">
            <v>0.124386</v>
          </cell>
          <cell r="V57">
            <v>0.124386</v>
          </cell>
          <cell r="W57">
            <v>0.124386</v>
          </cell>
          <cell r="X57">
            <v>0.124386</v>
          </cell>
          <cell r="Y57">
            <v>0.124386</v>
          </cell>
          <cell r="Z57">
            <v>0.124386</v>
          </cell>
          <cell r="AA57">
            <v>0.124386</v>
          </cell>
          <cell r="AB57">
            <v>0.124386</v>
          </cell>
          <cell r="AC57">
            <v>0.124386</v>
          </cell>
          <cell r="AD57">
            <v>0.124386</v>
          </cell>
          <cell r="AE57">
            <v>0.124386</v>
          </cell>
          <cell r="AF57">
            <v>0.124386</v>
          </cell>
          <cell r="AG57">
            <v>0</v>
          </cell>
        </row>
        <row r="58">
          <cell r="A58" t="str">
            <v>CKI000:ka_OtherFuels</v>
          </cell>
          <cell r="C58">
            <v>0.54864999999999997</v>
          </cell>
          <cell r="D58">
            <v>0.55747100000000005</v>
          </cell>
          <cell r="E58">
            <v>0.56107700000000005</v>
          </cell>
          <cell r="F58">
            <v>0.55943699999999996</v>
          </cell>
          <cell r="G58">
            <v>0.55818999999999996</v>
          </cell>
          <cell r="H58">
            <v>0.55689200000000005</v>
          </cell>
          <cell r="I58">
            <v>0.55936600000000003</v>
          </cell>
          <cell r="J58">
            <v>0.56114200000000003</v>
          </cell>
          <cell r="K58">
            <v>0.56320400000000004</v>
          </cell>
          <cell r="L58">
            <v>0.56536500000000001</v>
          </cell>
          <cell r="M58">
            <v>0.56717399999999996</v>
          </cell>
          <cell r="N58">
            <v>0.56958399999999998</v>
          </cell>
          <cell r="O58">
            <v>0.57206400000000002</v>
          </cell>
          <cell r="P58">
            <v>0.57466700000000004</v>
          </cell>
          <cell r="Q58">
            <v>0.57754899999999998</v>
          </cell>
          <cell r="R58">
            <v>0.58010099999999998</v>
          </cell>
          <cell r="S58">
            <v>0.58257300000000001</v>
          </cell>
          <cell r="T58">
            <v>0.58490500000000001</v>
          </cell>
          <cell r="U58">
            <v>0.587561</v>
          </cell>
          <cell r="V58">
            <v>0.58982500000000004</v>
          </cell>
          <cell r="W58">
            <v>0.593333</v>
          </cell>
          <cell r="X58">
            <v>0.59629100000000002</v>
          </cell>
          <cell r="Y58">
            <v>0.59874000000000005</v>
          </cell>
          <cell r="Z58">
            <v>0.60101400000000005</v>
          </cell>
          <cell r="AA58">
            <v>0.60362700000000002</v>
          </cell>
          <cell r="AB58">
            <v>0.60611000000000004</v>
          </cell>
          <cell r="AC58">
            <v>0.60878600000000005</v>
          </cell>
          <cell r="AD58">
            <v>0.61161900000000002</v>
          </cell>
          <cell r="AE58">
            <v>0.61443199999999998</v>
          </cell>
          <cell r="AF58">
            <v>0.61731199999999997</v>
          </cell>
          <cell r="AG58">
            <v>4.0740000000000004E-3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ctic.gov.br/mctic/export/sites/institucional/ciencia/SEPED/clima/arquivos/projeto_opcoes_mitigacao/publicacoes/Edificacoes.pdf" TargetMode="External"/><Relationship Id="rId2" Type="http://schemas.openxmlformats.org/officeDocument/2006/relationships/hyperlink" Target="http://www.mctic.gov.br/mctic/export/sites/institucional/ciencia/SEPED/clima/arquivos/projeto_opcoes_mitigacao/publicacoes/Edificacoes.pdf" TargetMode="External"/><Relationship Id="rId1" Type="http://schemas.openxmlformats.org/officeDocument/2006/relationships/hyperlink" Target="http://www.mctic.gov.br/mctic/export/sites/institucional/ciencia/SEPED/clima/arquivos/projeto_opcoes_mitigacao/publicacoes/Edificacoes.pdf"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
  <sheetViews>
    <sheetView topLeftCell="A28" workbookViewId="0">
      <selection activeCell="A44" sqref="A44:A46"/>
    </sheetView>
  </sheetViews>
  <sheetFormatPr baseColWidth="10" defaultColWidth="8.85546875" defaultRowHeight="15" x14ac:dyDescent="0.25"/>
  <cols>
    <col min="2" max="2" width="51" customWidth="1"/>
  </cols>
  <sheetData>
    <row r="1" spans="1:2" x14ac:dyDescent="0.25">
      <c r="A1" s="1" t="s">
        <v>20</v>
      </c>
    </row>
    <row r="3" spans="1:2" x14ac:dyDescent="0.25">
      <c r="A3" s="1" t="s">
        <v>10</v>
      </c>
      <c r="B3" s="3" t="s">
        <v>11</v>
      </c>
    </row>
    <row r="4" spans="1:2" x14ac:dyDescent="0.25">
      <c r="B4" t="s">
        <v>43</v>
      </c>
    </row>
    <row r="5" spans="1:2" x14ac:dyDescent="0.25">
      <c r="B5" s="2">
        <v>2017</v>
      </c>
    </row>
    <row r="6" spans="1:2" x14ac:dyDescent="0.25">
      <c r="B6" t="s">
        <v>44</v>
      </c>
    </row>
    <row r="7" spans="1:2" x14ac:dyDescent="0.25">
      <c r="B7" t="s">
        <v>45</v>
      </c>
    </row>
    <row r="8" spans="1:2" x14ac:dyDescent="0.25">
      <c r="B8" s="5" t="s">
        <v>46</v>
      </c>
    </row>
    <row r="10" spans="1:2" x14ac:dyDescent="0.25">
      <c r="B10" s="3" t="s">
        <v>47</v>
      </c>
    </row>
    <row r="11" spans="1:2" x14ac:dyDescent="0.25">
      <c r="B11" t="s">
        <v>43</v>
      </c>
    </row>
    <row r="12" spans="1:2" x14ac:dyDescent="0.25">
      <c r="B12" s="2">
        <v>2017</v>
      </c>
    </row>
    <row r="13" spans="1:2" x14ac:dyDescent="0.25">
      <c r="B13" t="s">
        <v>44</v>
      </c>
    </row>
    <row r="14" spans="1:2" x14ac:dyDescent="0.25">
      <c r="B14" t="s">
        <v>45</v>
      </c>
    </row>
    <row r="15" spans="1:2" x14ac:dyDescent="0.25">
      <c r="B15" s="5" t="s">
        <v>46</v>
      </c>
    </row>
    <row r="16" spans="1:2" x14ac:dyDescent="0.25">
      <c r="B16" t="s">
        <v>48</v>
      </c>
    </row>
    <row r="17" spans="1:2" x14ac:dyDescent="0.25">
      <c r="B17" t="s">
        <v>31</v>
      </c>
    </row>
    <row r="19" spans="1:2" x14ac:dyDescent="0.25">
      <c r="B19" t="s">
        <v>49</v>
      </c>
    </row>
    <row r="20" spans="1:2" x14ac:dyDescent="0.25">
      <c r="B20" t="s">
        <v>32</v>
      </c>
    </row>
    <row r="22" spans="1:2" x14ac:dyDescent="0.25">
      <c r="B22" s="3" t="s">
        <v>50</v>
      </c>
    </row>
    <row r="23" spans="1:2" x14ac:dyDescent="0.25">
      <c r="B23" t="s">
        <v>43</v>
      </c>
    </row>
    <row r="24" spans="1:2" x14ac:dyDescent="0.25">
      <c r="B24" s="2">
        <v>2017</v>
      </c>
    </row>
    <row r="25" spans="1:2" x14ac:dyDescent="0.25">
      <c r="B25" t="s">
        <v>44</v>
      </c>
    </row>
    <row r="26" spans="1:2" x14ac:dyDescent="0.25">
      <c r="B26" t="s">
        <v>45</v>
      </c>
    </row>
    <row r="27" spans="1:2" x14ac:dyDescent="0.25">
      <c r="B27" s="5" t="s">
        <v>46</v>
      </c>
    </row>
    <row r="28" spans="1:2" x14ac:dyDescent="0.25">
      <c r="B28" t="s">
        <v>51</v>
      </c>
    </row>
    <row r="29" spans="1:2" x14ac:dyDescent="0.25">
      <c r="B29" t="s">
        <v>39</v>
      </c>
    </row>
    <row r="31" spans="1:2" x14ac:dyDescent="0.25">
      <c r="A31" s="1" t="s">
        <v>9</v>
      </c>
      <c r="B31" t="s">
        <v>52</v>
      </c>
    </row>
    <row r="32" spans="1:2" x14ac:dyDescent="0.25">
      <c r="B32" t="s">
        <v>53</v>
      </c>
    </row>
    <row r="33" spans="1:2" x14ac:dyDescent="0.25">
      <c r="B33" s="2">
        <v>0</v>
      </c>
    </row>
    <row r="35" spans="1:2" x14ac:dyDescent="0.25">
      <c r="B35" t="s">
        <v>24</v>
      </c>
    </row>
    <row r="36" spans="1:2" x14ac:dyDescent="0.25">
      <c r="B36" t="s">
        <v>25</v>
      </c>
    </row>
    <row r="37" spans="1:2" x14ac:dyDescent="0.25">
      <c r="A37" s="1"/>
      <c r="B37" t="s">
        <v>26</v>
      </c>
    </row>
    <row r="38" spans="1:2" x14ac:dyDescent="0.25">
      <c r="A38" s="4"/>
    </row>
    <row r="39" spans="1:2" x14ac:dyDescent="0.25">
      <c r="A39" s="4"/>
      <c r="B39" t="s">
        <v>40</v>
      </c>
    </row>
    <row r="40" spans="1:2" x14ac:dyDescent="0.25">
      <c r="B40" t="s">
        <v>36</v>
      </c>
    </row>
    <row r="41" spans="1:2" x14ac:dyDescent="0.25">
      <c r="B41" t="s">
        <v>37</v>
      </c>
    </row>
    <row r="42" spans="1:2" x14ac:dyDescent="0.25">
      <c r="B42" t="s">
        <v>38</v>
      </c>
    </row>
    <row r="44" spans="1:2" x14ac:dyDescent="0.25">
      <c r="A44" t="s">
        <v>54</v>
      </c>
    </row>
    <row r="45" spans="1:2" x14ac:dyDescent="0.25">
      <c r="A45" t="s">
        <v>55</v>
      </c>
    </row>
    <row r="46" spans="1:2" x14ac:dyDescent="0.25">
      <c r="A46" t="s">
        <v>56</v>
      </c>
    </row>
  </sheetData>
  <hyperlinks>
    <hyperlink ref="B8" r:id="rId1"/>
    <hyperlink ref="B15" r:id="rId2"/>
    <hyperlink ref="B27" r:id="rId3"/>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4"/>
  <sheetViews>
    <sheetView topLeftCell="A27" workbookViewId="0">
      <selection activeCell="M41" sqref="M41"/>
    </sheetView>
  </sheetViews>
  <sheetFormatPr baseColWidth="10" defaultColWidth="8.85546875" defaultRowHeight="15" x14ac:dyDescent="0.25"/>
  <sheetData>
    <row r="1" spans="1:14" x14ac:dyDescent="0.25">
      <c r="A1" s="1" t="s">
        <v>9</v>
      </c>
    </row>
    <row r="2" spans="1:14" x14ac:dyDescent="0.25">
      <c r="A2" s="1"/>
    </row>
    <row r="3" spans="1:14" x14ac:dyDescent="0.25">
      <c r="A3" t="s">
        <v>25</v>
      </c>
    </row>
    <row r="4" spans="1:14" x14ac:dyDescent="0.25">
      <c r="A4" t="s">
        <v>26</v>
      </c>
    </row>
    <row r="6" spans="1:14" x14ac:dyDescent="0.25">
      <c r="A6" s="1" t="s">
        <v>27</v>
      </c>
    </row>
    <row r="7" spans="1:14" ht="18" customHeight="1" x14ac:dyDescent="0.25">
      <c r="A7">
        <v>0.2</v>
      </c>
    </row>
    <row r="9" spans="1:14" x14ac:dyDescent="0.25">
      <c r="A9" t="s">
        <v>28</v>
      </c>
      <c r="N9" t="s">
        <v>29</v>
      </c>
    </row>
    <row r="10" spans="1:14" x14ac:dyDescent="0.25">
      <c r="A10" t="s">
        <v>30</v>
      </c>
      <c r="N10" t="s">
        <v>30</v>
      </c>
    </row>
    <row r="11" spans="1:14" x14ac:dyDescent="0.25">
      <c r="A11" s="1" t="s">
        <v>31</v>
      </c>
      <c r="N11" s="1" t="s">
        <v>32</v>
      </c>
    </row>
    <row r="31" spans="1:38" x14ac:dyDescent="0.25">
      <c r="A31" s="6" t="s">
        <v>24</v>
      </c>
      <c r="C31" s="7">
        <v>2015</v>
      </c>
      <c r="D31" s="7">
        <v>2016</v>
      </c>
      <c r="E31" s="7">
        <v>2017</v>
      </c>
      <c r="F31" s="7">
        <v>2018</v>
      </c>
      <c r="G31" s="7">
        <v>2019</v>
      </c>
      <c r="H31" s="7">
        <v>2020</v>
      </c>
      <c r="I31" s="7">
        <v>2021</v>
      </c>
      <c r="J31" s="7">
        <v>2022</v>
      </c>
      <c r="K31" s="7">
        <v>2023</v>
      </c>
      <c r="L31" s="7">
        <v>2024</v>
      </c>
      <c r="M31" s="7">
        <v>2025</v>
      </c>
      <c r="N31" s="7">
        <v>2026</v>
      </c>
      <c r="O31" s="7">
        <v>2027</v>
      </c>
      <c r="P31" s="7">
        <v>2028</v>
      </c>
      <c r="Q31" s="7">
        <v>2029</v>
      </c>
      <c r="R31" s="7">
        <v>2030</v>
      </c>
      <c r="S31" s="7">
        <v>2031</v>
      </c>
      <c r="T31" s="7">
        <v>2032</v>
      </c>
      <c r="U31" s="7">
        <v>2033</v>
      </c>
      <c r="V31" s="7">
        <v>2034</v>
      </c>
      <c r="W31" s="7">
        <v>2035</v>
      </c>
      <c r="X31" s="7">
        <v>2036</v>
      </c>
      <c r="Y31" s="7">
        <v>2037</v>
      </c>
      <c r="Z31" s="7">
        <v>2038</v>
      </c>
      <c r="AA31" s="7">
        <v>2039</v>
      </c>
      <c r="AB31" s="7">
        <v>2040</v>
      </c>
      <c r="AC31" s="7">
        <v>2041</v>
      </c>
      <c r="AD31" s="7">
        <v>2042</v>
      </c>
      <c r="AE31" s="7">
        <v>2043</v>
      </c>
      <c r="AF31" s="7">
        <v>2044</v>
      </c>
      <c r="AG31" s="7">
        <v>2045</v>
      </c>
      <c r="AH31" s="7">
        <v>2046</v>
      </c>
      <c r="AI31" s="7">
        <v>2047</v>
      </c>
      <c r="AJ31" s="7">
        <v>2048</v>
      </c>
      <c r="AK31" s="7">
        <v>2049</v>
      </c>
      <c r="AL31" s="7">
        <v>2050</v>
      </c>
    </row>
    <row r="32" spans="1:38" x14ac:dyDescent="0.25">
      <c r="B32" t="s">
        <v>33</v>
      </c>
      <c r="C32" s="8">
        <v>100</v>
      </c>
      <c r="D32" s="8">
        <v>476.92307692307702</v>
      </c>
      <c r="E32" s="8">
        <v>853.84615384615404</v>
      </c>
      <c r="F32" s="8">
        <v>1230.7692307692309</v>
      </c>
      <c r="G32" s="8">
        <v>1607.6923076923081</v>
      </c>
      <c r="H32" s="8">
        <v>1984.6153846153852</v>
      </c>
      <c r="I32" s="8">
        <v>2361.5384615384619</v>
      </c>
      <c r="J32" s="8">
        <v>2738.461538461539</v>
      </c>
      <c r="K32" s="8">
        <v>3115.3846153846162</v>
      </c>
      <c r="L32" s="8">
        <v>3492.3076923076933</v>
      </c>
      <c r="M32" s="8">
        <v>3869.2307692307704</v>
      </c>
      <c r="N32" s="8">
        <v>4246.1538461538476</v>
      </c>
      <c r="O32" s="8">
        <v>4623.0769230769238</v>
      </c>
      <c r="P32" s="8">
        <v>5000.0000000000009</v>
      </c>
      <c r="Q32" s="8">
        <v>5714.2857142857192</v>
      </c>
      <c r="R32" s="8">
        <v>6428.5714285714321</v>
      </c>
      <c r="S32" s="8">
        <v>7142.8571428571449</v>
      </c>
      <c r="T32" s="8">
        <v>7857.1428571428587</v>
      </c>
      <c r="U32" s="8">
        <v>8571.4285714285706</v>
      </c>
      <c r="V32" s="8">
        <v>9285.7142857142844</v>
      </c>
      <c r="W32" s="8">
        <v>9999.9999999999964</v>
      </c>
      <c r="X32" s="8">
        <v>11249.999999999996</v>
      </c>
      <c r="Y32" s="8">
        <v>12499.999999999996</v>
      </c>
      <c r="Z32" s="8">
        <v>13749.999999999996</v>
      </c>
      <c r="AA32" s="8">
        <v>14999.999999999996</v>
      </c>
      <c r="AB32" s="8">
        <v>16666.666666666668</v>
      </c>
      <c r="AC32" s="8">
        <v>18333.333333333336</v>
      </c>
      <c r="AD32" s="8">
        <v>20000.000000000007</v>
      </c>
      <c r="AE32" s="8">
        <v>21666.666666666668</v>
      </c>
      <c r="AF32" s="8">
        <v>23333.333333333328</v>
      </c>
      <c r="AG32" s="8">
        <v>25000</v>
      </c>
      <c r="AH32" s="8">
        <v>27400</v>
      </c>
      <c r="AI32" s="8">
        <v>29800</v>
      </c>
      <c r="AJ32" s="8">
        <v>32200</v>
      </c>
      <c r="AK32" s="8">
        <v>34600</v>
      </c>
      <c r="AL32" s="8">
        <v>37000</v>
      </c>
    </row>
    <row r="33" spans="2:38" x14ac:dyDescent="0.25">
      <c r="B33" t="s">
        <v>34</v>
      </c>
      <c r="C33" s="8">
        <v>1</v>
      </c>
      <c r="D33" s="8">
        <v>1.4</v>
      </c>
      <c r="E33" s="8">
        <v>1.8</v>
      </c>
      <c r="F33" s="8">
        <v>2.2000000000000002</v>
      </c>
      <c r="G33" s="8">
        <v>2.6</v>
      </c>
      <c r="H33" s="8">
        <v>3</v>
      </c>
      <c r="I33" s="8">
        <v>3.5</v>
      </c>
      <c r="J33" s="8">
        <v>4</v>
      </c>
      <c r="K33" s="8">
        <v>4.5</v>
      </c>
      <c r="L33" s="8">
        <v>5</v>
      </c>
      <c r="M33" s="8">
        <v>5.5</v>
      </c>
      <c r="N33" s="8">
        <v>6</v>
      </c>
      <c r="O33" s="8">
        <v>6.5</v>
      </c>
      <c r="P33" s="8">
        <v>7</v>
      </c>
      <c r="Q33" s="8">
        <v>7.5</v>
      </c>
      <c r="R33" s="8">
        <v>8</v>
      </c>
      <c r="S33" s="8">
        <v>9.5</v>
      </c>
      <c r="T33" s="8">
        <v>11</v>
      </c>
      <c r="U33" s="8">
        <v>12.5</v>
      </c>
      <c r="V33" s="8">
        <v>14</v>
      </c>
      <c r="W33" s="8">
        <v>15.5</v>
      </c>
      <c r="X33" s="8">
        <v>17</v>
      </c>
      <c r="Y33" s="8">
        <v>18.5</v>
      </c>
      <c r="Z33" s="8">
        <v>20</v>
      </c>
      <c r="AA33" s="8">
        <v>21.5</v>
      </c>
      <c r="AB33" s="8">
        <v>23</v>
      </c>
      <c r="AC33" s="8">
        <v>25.1</v>
      </c>
      <c r="AD33" s="8">
        <v>27.2</v>
      </c>
      <c r="AE33" s="8">
        <v>29.3</v>
      </c>
      <c r="AF33" s="8">
        <v>31.4</v>
      </c>
      <c r="AG33" s="8">
        <v>33.5</v>
      </c>
      <c r="AH33" s="8">
        <v>35.6</v>
      </c>
      <c r="AI33" s="8">
        <v>37.700000000000003</v>
      </c>
      <c r="AJ33" s="8">
        <v>39.799999999999997</v>
      </c>
      <c r="AK33" s="8">
        <v>41.900000000000006</v>
      </c>
      <c r="AL33" s="8">
        <v>44</v>
      </c>
    </row>
    <row r="34" spans="2:38" x14ac:dyDescent="0.25">
      <c r="D34"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1"/>
  <sheetViews>
    <sheetView topLeftCell="A9" workbookViewId="0">
      <selection activeCell="N9" sqref="N9"/>
    </sheetView>
  </sheetViews>
  <sheetFormatPr baseColWidth="10" defaultColWidth="8.85546875" defaultRowHeight="15" x14ac:dyDescent="0.25"/>
  <sheetData>
    <row r="1" spans="1:1" x14ac:dyDescent="0.25">
      <c r="A1" s="1" t="s">
        <v>35</v>
      </c>
    </row>
    <row r="2" spans="1:1" x14ac:dyDescent="0.25">
      <c r="A2" s="1"/>
    </row>
    <row r="3" spans="1:1" x14ac:dyDescent="0.25">
      <c r="A3" t="s">
        <v>36</v>
      </c>
    </row>
    <row r="4" spans="1:1" x14ac:dyDescent="0.25">
      <c r="A4" t="s">
        <v>37</v>
      </c>
    </row>
    <row r="5" spans="1:1" x14ac:dyDescent="0.25">
      <c r="A5" t="s">
        <v>38</v>
      </c>
    </row>
    <row r="7" spans="1:1" x14ac:dyDescent="0.25">
      <c r="A7" s="1" t="s">
        <v>27</v>
      </c>
    </row>
    <row r="8" spans="1:1" x14ac:dyDescent="0.25">
      <c r="A8">
        <v>0.2</v>
      </c>
    </row>
    <row r="11" spans="1:1" x14ac:dyDescent="0.25">
      <c r="A11" t="s">
        <v>39</v>
      </c>
    </row>
    <row r="19" spans="1:38" x14ac:dyDescent="0.25">
      <c r="A19" s="6" t="s">
        <v>40</v>
      </c>
      <c r="C19" s="7">
        <v>2015</v>
      </c>
      <c r="D19" s="7">
        <v>2016</v>
      </c>
      <c r="E19" s="7">
        <v>2017</v>
      </c>
      <c r="F19" s="7">
        <v>2018</v>
      </c>
      <c r="G19" s="7">
        <v>2019</v>
      </c>
      <c r="H19" s="7">
        <v>2020</v>
      </c>
      <c r="I19" s="7">
        <v>2021</v>
      </c>
      <c r="J19" s="7">
        <v>2022</v>
      </c>
      <c r="K19" s="7">
        <v>2023</v>
      </c>
      <c r="L19" s="7">
        <v>2024</v>
      </c>
      <c r="M19" s="7">
        <v>2025</v>
      </c>
      <c r="N19" s="7">
        <v>2026</v>
      </c>
      <c r="O19" s="7">
        <v>2027</v>
      </c>
      <c r="P19" s="7">
        <v>2028</v>
      </c>
      <c r="Q19" s="7">
        <v>2029</v>
      </c>
      <c r="R19" s="7">
        <v>2030</v>
      </c>
      <c r="S19" s="7">
        <v>2031</v>
      </c>
      <c r="T19" s="7">
        <v>2032</v>
      </c>
      <c r="U19" s="7">
        <v>2033</v>
      </c>
      <c r="V19" s="7">
        <v>2034</v>
      </c>
      <c r="W19" s="7">
        <v>2035</v>
      </c>
      <c r="X19" s="7">
        <v>2036</v>
      </c>
      <c r="Y19" s="7">
        <v>2037</v>
      </c>
      <c r="Z19" s="7">
        <v>2038</v>
      </c>
      <c r="AA19" s="7">
        <v>2039</v>
      </c>
      <c r="AB19" s="7">
        <v>2040</v>
      </c>
      <c r="AC19" s="7">
        <v>2041</v>
      </c>
      <c r="AD19" s="7">
        <v>2042</v>
      </c>
      <c r="AE19" s="7">
        <v>2043</v>
      </c>
      <c r="AF19" s="7">
        <v>2044</v>
      </c>
      <c r="AG19" s="7">
        <v>2045</v>
      </c>
      <c r="AH19" s="7">
        <v>2046</v>
      </c>
      <c r="AI19" s="7">
        <v>2047</v>
      </c>
      <c r="AJ19" s="7">
        <v>2048</v>
      </c>
      <c r="AK19" s="7">
        <v>2049</v>
      </c>
      <c r="AL19" s="7">
        <v>2050</v>
      </c>
    </row>
    <row r="20" spans="1:38" x14ac:dyDescent="0.25">
      <c r="B20" t="s">
        <v>41</v>
      </c>
      <c r="C20">
        <v>0.09</v>
      </c>
      <c r="D20">
        <v>0.188</v>
      </c>
      <c r="E20">
        <v>0.28600000000000003</v>
      </c>
      <c r="F20">
        <v>0.38400000000000001</v>
      </c>
      <c r="G20">
        <v>0.48199999999999998</v>
      </c>
      <c r="H20">
        <v>0.57999999999999996</v>
      </c>
      <c r="I20">
        <v>0.70199999999999996</v>
      </c>
      <c r="J20">
        <v>0.82399999999999995</v>
      </c>
      <c r="K20">
        <v>0.94599999999999995</v>
      </c>
      <c r="L20">
        <v>1.0680000000000001</v>
      </c>
      <c r="M20">
        <v>1.19</v>
      </c>
      <c r="N20">
        <v>1.67</v>
      </c>
      <c r="O20">
        <v>2.15</v>
      </c>
      <c r="P20">
        <v>2.63</v>
      </c>
      <c r="Q20">
        <v>3.11</v>
      </c>
      <c r="R20">
        <v>3.59</v>
      </c>
      <c r="S20">
        <v>3.7149999999999999</v>
      </c>
      <c r="T20">
        <v>3.84</v>
      </c>
      <c r="U20">
        <v>3.9649999999999999</v>
      </c>
      <c r="V20">
        <v>4.09</v>
      </c>
      <c r="W20">
        <v>4.2149999999999999</v>
      </c>
      <c r="X20">
        <v>4.34</v>
      </c>
      <c r="Y20">
        <v>4.4649999999999999</v>
      </c>
      <c r="Z20">
        <v>4.59</v>
      </c>
      <c r="AA20">
        <v>4.7149999999999999</v>
      </c>
      <c r="AB20">
        <v>4.84</v>
      </c>
      <c r="AC20">
        <v>5.0039999999999996</v>
      </c>
      <c r="AD20">
        <v>5.1680000000000001</v>
      </c>
      <c r="AE20">
        <v>5.3319999999999999</v>
      </c>
      <c r="AF20">
        <v>5.4959999999999996</v>
      </c>
      <c r="AG20">
        <v>5.66</v>
      </c>
      <c r="AH20">
        <v>5.8840000000000003</v>
      </c>
      <c r="AI20">
        <v>6.1080000000000005</v>
      </c>
      <c r="AJ20">
        <v>6.3319999999999999</v>
      </c>
      <c r="AK20">
        <v>6.556</v>
      </c>
      <c r="AL20">
        <v>6.78</v>
      </c>
    </row>
    <row r="21" spans="1:38" x14ac:dyDescent="0.25">
      <c r="B21" t="s">
        <v>42</v>
      </c>
      <c r="C21">
        <v>0.13</v>
      </c>
      <c r="D21">
        <v>0.26400000000000001</v>
      </c>
      <c r="E21">
        <v>0.39800000000000002</v>
      </c>
      <c r="F21">
        <v>0.53200000000000003</v>
      </c>
      <c r="G21">
        <v>0.66600000000000004</v>
      </c>
      <c r="H21">
        <v>0.8</v>
      </c>
      <c r="I21">
        <v>0.96000000000000008</v>
      </c>
      <c r="J21">
        <v>1.1200000000000001</v>
      </c>
      <c r="K21">
        <v>1.28</v>
      </c>
      <c r="L21">
        <v>1.44</v>
      </c>
      <c r="M21">
        <v>1.6</v>
      </c>
      <c r="N21">
        <v>1.8240000000000001</v>
      </c>
      <c r="O21">
        <v>2.048</v>
      </c>
      <c r="P21">
        <v>2.2720000000000002</v>
      </c>
      <c r="Q21">
        <v>2.496</v>
      </c>
      <c r="R21">
        <v>2.72</v>
      </c>
      <c r="S21">
        <v>3.101</v>
      </c>
      <c r="T21">
        <v>3.4820000000000002</v>
      </c>
      <c r="U21">
        <v>3.8630000000000004</v>
      </c>
      <c r="V21">
        <v>4.2439999999999998</v>
      </c>
      <c r="W21">
        <v>4.625</v>
      </c>
      <c r="X21">
        <v>5.0060000000000002</v>
      </c>
      <c r="Y21">
        <v>5.3870000000000005</v>
      </c>
      <c r="Z21">
        <v>5.7680000000000007</v>
      </c>
      <c r="AA21">
        <v>6.1490000000000009</v>
      </c>
      <c r="AB21">
        <v>6.53</v>
      </c>
      <c r="AC21">
        <v>6.7520000000000007</v>
      </c>
      <c r="AD21">
        <v>6.9740000000000002</v>
      </c>
      <c r="AE21">
        <v>7.1960000000000006</v>
      </c>
      <c r="AF21">
        <v>7.4180000000000001</v>
      </c>
      <c r="AG21">
        <v>7.6400000000000006</v>
      </c>
      <c r="AH21">
        <v>7.94</v>
      </c>
      <c r="AI21">
        <v>8.24</v>
      </c>
      <c r="AJ21">
        <v>8.5400000000000009</v>
      </c>
      <c r="AK21">
        <v>8.84</v>
      </c>
      <c r="AL21">
        <v>9.14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F17"/>
  <sheetViews>
    <sheetView tabSelected="1" workbookViewId="0">
      <selection activeCell="D6" sqref="D6"/>
    </sheetView>
  </sheetViews>
  <sheetFormatPr baseColWidth="10" defaultColWidth="8.85546875" defaultRowHeight="15" x14ac:dyDescent="0.25"/>
  <cols>
    <col min="1" max="4" width="23.42578125" customWidth="1"/>
  </cols>
  <sheetData>
    <row r="1" spans="1:6" x14ac:dyDescent="0.25">
      <c r="A1" t="s">
        <v>19</v>
      </c>
      <c r="B1" s="10" t="s">
        <v>21</v>
      </c>
      <c r="C1" s="10" t="s">
        <v>22</v>
      </c>
      <c r="D1" s="10" t="s">
        <v>23</v>
      </c>
    </row>
    <row r="2" spans="1:6" x14ac:dyDescent="0.25">
      <c r="A2" t="s">
        <v>13</v>
      </c>
      <c r="B2" s="11">
        <v>0</v>
      </c>
      <c r="C2" s="11">
        <v>0</v>
      </c>
      <c r="D2" s="11">
        <v>0</v>
      </c>
    </row>
    <row r="3" spans="1:6" x14ac:dyDescent="0.25">
      <c r="A3" t="s">
        <v>0</v>
      </c>
      <c r="B3" s="11">
        <v>0</v>
      </c>
      <c r="C3" s="11">
        <v>0</v>
      </c>
      <c r="D3" s="11">
        <v>0</v>
      </c>
    </row>
    <row r="4" spans="1:6" x14ac:dyDescent="0.25">
      <c r="A4" t="s">
        <v>1</v>
      </c>
      <c r="B4" s="11">
        <v>0</v>
      </c>
      <c r="C4" s="11">
        <v>0</v>
      </c>
      <c r="D4" s="11">
        <v>0</v>
      </c>
    </row>
    <row r="5" spans="1:6" x14ac:dyDescent="0.25">
      <c r="A5" t="s">
        <v>2</v>
      </c>
      <c r="B5" s="11">
        <v>0</v>
      </c>
      <c r="C5" s="11">
        <v>0</v>
      </c>
      <c r="D5" s="11">
        <v>0</v>
      </c>
    </row>
    <row r="6" spans="1:6" x14ac:dyDescent="0.25">
      <c r="A6" t="s">
        <v>14</v>
      </c>
      <c r="B6" s="11">
        <f>(Wind!G33*1000)*(1-Wind!$A$7)</f>
        <v>2080</v>
      </c>
      <c r="C6" s="11">
        <v>0</v>
      </c>
      <c r="D6" s="11">
        <f>(Wind!I33*1000)*Wind!$A$7</f>
        <v>700</v>
      </c>
    </row>
    <row r="7" spans="1:6" x14ac:dyDescent="0.25">
      <c r="A7" t="s">
        <v>3</v>
      </c>
      <c r="B7" s="11">
        <f>('Solar PV'!G21*10^3)*(1-'Solar PV'!$A$8)</f>
        <v>532.80000000000007</v>
      </c>
      <c r="C7" s="11">
        <v>0</v>
      </c>
      <c r="D7" s="11">
        <f>('Solar PV'!I21*10^3)*'Solar PV'!$A$8</f>
        <v>192.00000000000003</v>
      </c>
      <c r="F7" s="12"/>
    </row>
    <row r="8" spans="1:6" x14ac:dyDescent="0.25">
      <c r="A8" t="s">
        <v>4</v>
      </c>
      <c r="B8" s="11">
        <v>0</v>
      </c>
      <c r="C8" s="11">
        <v>0</v>
      </c>
      <c r="D8" s="11">
        <v>0</v>
      </c>
    </row>
    <row r="9" spans="1:6" x14ac:dyDescent="0.25">
      <c r="A9" t="s">
        <v>5</v>
      </c>
      <c r="B9" s="11">
        <v>0</v>
      </c>
      <c r="C9" s="11">
        <v>0</v>
      </c>
      <c r="D9" s="11">
        <v>0</v>
      </c>
    </row>
    <row r="10" spans="1:6" x14ac:dyDescent="0.25">
      <c r="A10" t="s">
        <v>6</v>
      </c>
      <c r="B10" s="11">
        <v>0</v>
      </c>
      <c r="C10" s="11">
        <v>0</v>
      </c>
      <c r="D10" s="11">
        <v>0</v>
      </c>
    </row>
    <row r="11" spans="1:6" x14ac:dyDescent="0.25">
      <c r="A11" t="s">
        <v>7</v>
      </c>
      <c r="B11" s="11">
        <v>0</v>
      </c>
      <c r="C11" s="11">
        <v>0</v>
      </c>
      <c r="D11" s="11">
        <v>0</v>
      </c>
    </row>
    <row r="12" spans="1:6" x14ac:dyDescent="0.25">
      <c r="A12" t="s">
        <v>8</v>
      </c>
      <c r="B12" s="11">
        <v>0</v>
      </c>
      <c r="C12" s="11">
        <v>0</v>
      </c>
      <c r="D12" s="11">
        <v>0</v>
      </c>
    </row>
    <row r="13" spans="1:6" x14ac:dyDescent="0.25">
      <c r="A13" t="s">
        <v>12</v>
      </c>
      <c r="B13" s="11">
        <v>0</v>
      </c>
      <c r="C13" s="11">
        <v>0</v>
      </c>
      <c r="D13" s="11">
        <v>0</v>
      </c>
    </row>
    <row r="14" spans="1:6" x14ac:dyDescent="0.25">
      <c r="A14" t="s">
        <v>15</v>
      </c>
      <c r="B14" s="11">
        <v>0</v>
      </c>
      <c r="C14" s="11">
        <v>0</v>
      </c>
      <c r="D14" s="11">
        <v>0</v>
      </c>
    </row>
    <row r="15" spans="1:6" x14ac:dyDescent="0.25">
      <c r="A15" t="s">
        <v>16</v>
      </c>
      <c r="B15" s="11">
        <v>0</v>
      </c>
      <c r="C15" s="11">
        <v>0</v>
      </c>
      <c r="D15" s="11">
        <v>0</v>
      </c>
    </row>
    <row r="16" spans="1:6" x14ac:dyDescent="0.25">
      <c r="A16" t="s">
        <v>17</v>
      </c>
      <c r="B16" s="11">
        <v>0</v>
      </c>
      <c r="C16" s="11">
        <v>0</v>
      </c>
      <c r="D16" s="11">
        <v>0</v>
      </c>
    </row>
    <row r="17" spans="1:4" x14ac:dyDescent="0.25">
      <c r="A17" t="s">
        <v>18</v>
      </c>
      <c r="B17" s="11">
        <v>0</v>
      </c>
      <c r="C17" s="11">
        <v>0</v>
      </c>
      <c r="D17" s="11">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About</vt:lpstr>
      <vt:lpstr>Wind</vt:lpstr>
      <vt:lpstr>Solar PV</vt:lpstr>
      <vt:lpstr>SYDEC</vt:lpstr>
      <vt:lpstr>GW_to_MW</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Saidou Sy</cp:lastModifiedBy>
  <dcterms:created xsi:type="dcterms:W3CDTF">2016-01-26T19:10:58Z</dcterms:created>
  <dcterms:modified xsi:type="dcterms:W3CDTF">2026-02-06T13:32:29Z</dcterms:modified>
</cp:coreProperties>
</file>