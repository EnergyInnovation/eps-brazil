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Postdoc Projects/eps-brazil-cpl/InputData/fuels/BFPIaE/"/>
    </mc:Choice>
  </mc:AlternateContent>
  <xr:revisionPtr revIDLastSave="0" documentId="13_ncr:1_{06A11BAA-D80C-2246-B019-6281C7FA86F9}" xr6:coauthVersionLast="47" xr6:coauthVersionMax="47" xr10:uidLastSave="{00000000-0000-0000-0000-000000000000}"/>
  <bookViews>
    <workbookView xWindow="0" yWindow="760" windowWidth="34200" windowHeight="21380" tabRatio="986" activeTab="11" xr2:uid="{00000000-000D-0000-FFFF-FFFF00000000}"/>
  </bookViews>
  <sheets>
    <sheet name="About" sheetId="4" r:id="rId1"/>
    <sheet name="PDE-O&amp;G" sheetId="28" r:id="rId2"/>
    <sheet name="PDE Bio" sheetId="29" r:id="rId3"/>
    <sheet name="BEN" sheetId="27" r:id="rId4"/>
    <sheet name="BFPIaE-production-f" sheetId="12" r:id="rId5"/>
    <sheet name="BFPIaE-imports-f" sheetId="30" r:id="rId6"/>
    <sheet name="BFPIaE-exports-f" sheetId="31" r:id="rId7"/>
    <sheet name="Brazil Energy Balance" sheetId="32" r:id="rId8"/>
    <sheet name="BFPIaE" sheetId="33" r:id="rId9"/>
    <sheet name="BFPIaE-production" sheetId="34" r:id="rId10"/>
    <sheet name="BFPIaE-imports" sheetId="35" r:id="rId11"/>
    <sheet name="BFPIaE-exports" sheetId="36" r:id="rId12"/>
  </sheets>
  <externalReferences>
    <externalReference r:id="rId13"/>
  </externalReferences>
  <definedNames>
    <definedName name="gal_per_barrel">[1]About!$A$63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6" l="1"/>
  <c r="D2" i="36"/>
  <c r="E2" i="36"/>
  <c r="F2" i="36"/>
  <c r="G2" i="36"/>
  <c r="H2" i="36"/>
  <c r="I2" i="36"/>
  <c r="J2" i="36"/>
  <c r="K2" i="36"/>
  <c r="L2" i="36"/>
  <c r="M2" i="36"/>
  <c r="N2" i="36"/>
  <c r="O2" i="36"/>
  <c r="P2" i="36"/>
  <c r="Q2" i="36"/>
  <c r="R2" i="36"/>
  <c r="S2" i="36"/>
  <c r="T2" i="36"/>
  <c r="U2" i="36"/>
  <c r="V2" i="36"/>
  <c r="W2" i="36"/>
  <c r="X2" i="36"/>
  <c r="Y2" i="36"/>
  <c r="Z2" i="36"/>
  <c r="AA2" i="36"/>
  <c r="AB2" i="36"/>
  <c r="AC2" i="36"/>
  <c r="AD2" i="36"/>
  <c r="AE2" i="36"/>
  <c r="AF2" i="36"/>
  <c r="C3" i="36"/>
  <c r="D3" i="36"/>
  <c r="E3" i="36"/>
  <c r="F3" i="36"/>
  <c r="G3" i="36"/>
  <c r="H3" i="36"/>
  <c r="I3" i="36"/>
  <c r="J3" i="36"/>
  <c r="K3" i="36"/>
  <c r="L3" i="36"/>
  <c r="M3" i="36"/>
  <c r="N3" i="36"/>
  <c r="O3" i="36"/>
  <c r="P3" i="36"/>
  <c r="Q3" i="36"/>
  <c r="R3" i="36"/>
  <c r="S3" i="36"/>
  <c r="T3" i="36"/>
  <c r="U3" i="36"/>
  <c r="V3" i="36"/>
  <c r="W3" i="36"/>
  <c r="X3" i="36"/>
  <c r="Y3" i="36"/>
  <c r="Z3" i="36"/>
  <c r="AA3" i="36"/>
  <c r="AB3" i="36"/>
  <c r="AC3" i="36"/>
  <c r="AD3" i="36"/>
  <c r="AE3" i="36"/>
  <c r="AF3" i="36"/>
  <c r="C4" i="36"/>
  <c r="D4" i="36"/>
  <c r="E4" i="36"/>
  <c r="F4" i="36"/>
  <c r="G4" i="36"/>
  <c r="H4" i="36"/>
  <c r="I4" i="36"/>
  <c r="J4" i="36"/>
  <c r="K4" i="36"/>
  <c r="L4" i="36"/>
  <c r="M4" i="36"/>
  <c r="N4" i="36"/>
  <c r="O4" i="36"/>
  <c r="P4" i="36"/>
  <c r="Q4" i="36"/>
  <c r="R4" i="36"/>
  <c r="S4" i="36"/>
  <c r="T4" i="36"/>
  <c r="U4" i="36"/>
  <c r="V4" i="36"/>
  <c r="W4" i="36"/>
  <c r="X4" i="36"/>
  <c r="Y4" i="36"/>
  <c r="Z4" i="36"/>
  <c r="AA4" i="36"/>
  <c r="AB4" i="36"/>
  <c r="AC4" i="36"/>
  <c r="AD4" i="36"/>
  <c r="AE4" i="36"/>
  <c r="AF4" i="36"/>
  <c r="C5" i="36"/>
  <c r="D5" i="36"/>
  <c r="E5" i="36"/>
  <c r="F5" i="36"/>
  <c r="G5" i="36"/>
  <c r="H5" i="36"/>
  <c r="I5" i="36"/>
  <c r="J5" i="36"/>
  <c r="K5" i="36"/>
  <c r="L5" i="36"/>
  <c r="M5" i="36"/>
  <c r="N5" i="36"/>
  <c r="O5" i="36"/>
  <c r="P5" i="36"/>
  <c r="Q5" i="36"/>
  <c r="R5" i="36"/>
  <c r="S5" i="36"/>
  <c r="T5" i="36"/>
  <c r="U5" i="36"/>
  <c r="V5" i="36"/>
  <c r="W5" i="36"/>
  <c r="X5" i="36"/>
  <c r="Y5" i="36"/>
  <c r="Z5" i="36"/>
  <c r="AA5" i="36"/>
  <c r="AB5" i="36"/>
  <c r="AC5" i="36"/>
  <c r="AD5" i="36"/>
  <c r="AE5" i="36"/>
  <c r="AF5" i="36"/>
  <c r="C6" i="36"/>
  <c r="D6" i="36"/>
  <c r="E6" i="36"/>
  <c r="F6" i="36"/>
  <c r="G6" i="36"/>
  <c r="H6" i="36"/>
  <c r="I6" i="36"/>
  <c r="J6" i="36"/>
  <c r="K6" i="36"/>
  <c r="L6" i="36"/>
  <c r="M6" i="36"/>
  <c r="N6" i="36"/>
  <c r="O6" i="36"/>
  <c r="P6" i="36"/>
  <c r="Q6" i="36"/>
  <c r="R6" i="36"/>
  <c r="S6" i="36"/>
  <c r="T6" i="36"/>
  <c r="U6" i="36"/>
  <c r="V6" i="36"/>
  <c r="W6" i="36"/>
  <c r="X6" i="36"/>
  <c r="Y6" i="36"/>
  <c r="Z6" i="36"/>
  <c r="AA6" i="36"/>
  <c r="AB6" i="36"/>
  <c r="AC6" i="36"/>
  <c r="AD6" i="36"/>
  <c r="AE6" i="36"/>
  <c r="AF6" i="36"/>
  <c r="C7" i="36"/>
  <c r="D7" i="36"/>
  <c r="E7" i="36"/>
  <c r="F7" i="36"/>
  <c r="G7" i="36"/>
  <c r="H7" i="36"/>
  <c r="I7" i="36"/>
  <c r="J7" i="36"/>
  <c r="K7" i="36"/>
  <c r="L7" i="36"/>
  <c r="M7" i="36"/>
  <c r="N7" i="36"/>
  <c r="O7" i="36"/>
  <c r="P7" i="36"/>
  <c r="Q7" i="36"/>
  <c r="R7" i="36"/>
  <c r="S7" i="36"/>
  <c r="T7" i="36"/>
  <c r="U7" i="36"/>
  <c r="V7" i="36"/>
  <c r="W7" i="36"/>
  <c r="X7" i="36"/>
  <c r="Y7" i="36"/>
  <c r="Z7" i="36"/>
  <c r="AA7" i="36"/>
  <c r="AB7" i="36"/>
  <c r="AC7" i="36"/>
  <c r="AD7" i="36"/>
  <c r="AE7" i="36"/>
  <c r="AF7" i="36"/>
  <c r="C8" i="36"/>
  <c r="D8" i="36"/>
  <c r="E8" i="36"/>
  <c r="F8" i="36"/>
  <c r="G8" i="36"/>
  <c r="H8" i="36"/>
  <c r="I8" i="36"/>
  <c r="J8" i="36"/>
  <c r="K8" i="36"/>
  <c r="L8" i="36"/>
  <c r="M8" i="36"/>
  <c r="N8" i="36"/>
  <c r="O8" i="36"/>
  <c r="P8" i="36"/>
  <c r="Q8" i="36"/>
  <c r="R8" i="36"/>
  <c r="S8" i="36"/>
  <c r="T8" i="36"/>
  <c r="U8" i="36"/>
  <c r="V8" i="36"/>
  <c r="W8" i="36"/>
  <c r="X8" i="36"/>
  <c r="Y8" i="36"/>
  <c r="Z8" i="36"/>
  <c r="AA8" i="36"/>
  <c r="AB8" i="36"/>
  <c r="AC8" i="36"/>
  <c r="AD8" i="36"/>
  <c r="AE8" i="36"/>
  <c r="AF8" i="36"/>
  <c r="C9" i="36"/>
  <c r="D9" i="36"/>
  <c r="E9" i="36"/>
  <c r="F9" i="36"/>
  <c r="G9" i="36"/>
  <c r="H9" i="36"/>
  <c r="I9" i="36"/>
  <c r="J9" i="36"/>
  <c r="K9" i="36"/>
  <c r="L9" i="36"/>
  <c r="M9" i="36"/>
  <c r="N9" i="36"/>
  <c r="O9" i="36"/>
  <c r="P9" i="36"/>
  <c r="Q9" i="36"/>
  <c r="R9" i="36"/>
  <c r="S9" i="36"/>
  <c r="T9" i="36"/>
  <c r="U9" i="36"/>
  <c r="V9" i="36"/>
  <c r="W9" i="36"/>
  <c r="X9" i="36"/>
  <c r="Y9" i="36"/>
  <c r="Z9" i="36"/>
  <c r="AA9" i="36"/>
  <c r="AB9" i="36"/>
  <c r="AC9" i="36"/>
  <c r="AD9" i="36"/>
  <c r="AE9" i="36"/>
  <c r="AF9" i="36"/>
  <c r="C10" i="36"/>
  <c r="D10" i="36"/>
  <c r="E10" i="36"/>
  <c r="F10" i="36"/>
  <c r="G10" i="36"/>
  <c r="H10" i="36"/>
  <c r="I10" i="36"/>
  <c r="J10" i="36"/>
  <c r="K10" i="36"/>
  <c r="L10" i="36"/>
  <c r="M10" i="36"/>
  <c r="N10" i="36"/>
  <c r="O10" i="36"/>
  <c r="P10" i="36"/>
  <c r="Q10" i="36"/>
  <c r="R10" i="36"/>
  <c r="S10" i="36"/>
  <c r="T10" i="36"/>
  <c r="U10" i="36"/>
  <c r="V10" i="36"/>
  <c r="W10" i="36"/>
  <c r="X10" i="36"/>
  <c r="Y10" i="36"/>
  <c r="Z10" i="36"/>
  <c r="AA10" i="36"/>
  <c r="AB10" i="36"/>
  <c r="AC10" i="36"/>
  <c r="AD10" i="36"/>
  <c r="AE10" i="36"/>
  <c r="AF10" i="36"/>
  <c r="C11" i="36"/>
  <c r="D11" i="36"/>
  <c r="E11" i="36"/>
  <c r="F11" i="36"/>
  <c r="G11" i="36"/>
  <c r="H11" i="36"/>
  <c r="I11" i="36"/>
  <c r="J11" i="36"/>
  <c r="K11" i="36"/>
  <c r="L11" i="36"/>
  <c r="M11" i="36"/>
  <c r="N11" i="36"/>
  <c r="O11" i="36"/>
  <c r="P11" i="36"/>
  <c r="Q11" i="36"/>
  <c r="R11" i="36"/>
  <c r="S11" i="36"/>
  <c r="T11" i="36"/>
  <c r="U11" i="36"/>
  <c r="V11" i="36"/>
  <c r="W11" i="36"/>
  <c r="X11" i="36"/>
  <c r="Y11" i="36"/>
  <c r="Z11" i="36"/>
  <c r="AA11" i="36"/>
  <c r="AB11" i="36"/>
  <c r="AC11" i="36"/>
  <c r="AD11" i="36"/>
  <c r="AE11" i="36"/>
  <c r="AF11" i="36"/>
  <c r="C12" i="36"/>
  <c r="D12" i="36"/>
  <c r="E12" i="36"/>
  <c r="F12" i="36"/>
  <c r="G12" i="36"/>
  <c r="H12" i="36"/>
  <c r="I12" i="36"/>
  <c r="J12" i="36"/>
  <c r="K12" i="36"/>
  <c r="L12" i="36"/>
  <c r="M12" i="36"/>
  <c r="N12" i="36"/>
  <c r="O12" i="36"/>
  <c r="P12" i="36"/>
  <c r="Q12" i="36"/>
  <c r="R12" i="36"/>
  <c r="S12" i="36"/>
  <c r="T12" i="36"/>
  <c r="U12" i="36"/>
  <c r="V12" i="36"/>
  <c r="W12" i="36"/>
  <c r="X12" i="36"/>
  <c r="Y12" i="36"/>
  <c r="Z12" i="36"/>
  <c r="AA12" i="36"/>
  <c r="AB12" i="36"/>
  <c r="AC12" i="36"/>
  <c r="AD12" i="36"/>
  <c r="AE12" i="36"/>
  <c r="AF12" i="36"/>
  <c r="C13" i="36"/>
  <c r="D13" i="36"/>
  <c r="E13" i="36"/>
  <c r="F13" i="36"/>
  <c r="G13" i="36"/>
  <c r="H13" i="36"/>
  <c r="I13" i="36"/>
  <c r="J13" i="36"/>
  <c r="K13" i="36"/>
  <c r="L13" i="36"/>
  <c r="M13" i="36"/>
  <c r="N13" i="36"/>
  <c r="O13" i="36"/>
  <c r="P13" i="36"/>
  <c r="Q13" i="36"/>
  <c r="R13" i="36"/>
  <c r="S13" i="36"/>
  <c r="T13" i="36"/>
  <c r="U13" i="36"/>
  <c r="V13" i="36"/>
  <c r="W13" i="36"/>
  <c r="X13" i="36"/>
  <c r="Y13" i="36"/>
  <c r="Z13" i="36"/>
  <c r="AA13" i="36"/>
  <c r="AB13" i="36"/>
  <c r="AC13" i="36"/>
  <c r="AD13" i="36"/>
  <c r="AE13" i="36"/>
  <c r="AF13" i="36"/>
  <c r="C14" i="36"/>
  <c r="D14" i="36"/>
  <c r="E14" i="36"/>
  <c r="F14" i="36"/>
  <c r="G14" i="36"/>
  <c r="H14" i="36"/>
  <c r="I14" i="36"/>
  <c r="J14" i="36"/>
  <c r="K14" i="36"/>
  <c r="L14" i="36"/>
  <c r="M14" i="36"/>
  <c r="N14" i="36"/>
  <c r="O14" i="36"/>
  <c r="P14" i="36"/>
  <c r="Q14" i="36"/>
  <c r="R14" i="36"/>
  <c r="S14" i="36"/>
  <c r="T14" i="36"/>
  <c r="U14" i="36"/>
  <c r="V14" i="36"/>
  <c r="W14" i="36"/>
  <c r="X14" i="36"/>
  <c r="Y14" i="36"/>
  <c r="Z14" i="36"/>
  <c r="AA14" i="36"/>
  <c r="AB14" i="36"/>
  <c r="AC14" i="36"/>
  <c r="AD14" i="36"/>
  <c r="AE14" i="36"/>
  <c r="AF14" i="36"/>
  <c r="C15" i="36"/>
  <c r="D15" i="36"/>
  <c r="E15" i="36"/>
  <c r="F15" i="36"/>
  <c r="G15" i="36"/>
  <c r="H15" i="36"/>
  <c r="I15" i="36"/>
  <c r="J15" i="36"/>
  <c r="K15" i="36"/>
  <c r="L15" i="36"/>
  <c r="M15" i="36"/>
  <c r="N15" i="36"/>
  <c r="O15" i="36"/>
  <c r="P15" i="36"/>
  <c r="Q15" i="36"/>
  <c r="R15" i="36"/>
  <c r="S15" i="36"/>
  <c r="T15" i="36"/>
  <c r="U15" i="36"/>
  <c r="V15" i="36"/>
  <c r="W15" i="36"/>
  <c r="X15" i="36"/>
  <c r="Y15" i="36"/>
  <c r="Z15" i="36"/>
  <c r="AA15" i="36"/>
  <c r="AB15" i="36"/>
  <c r="AC15" i="36"/>
  <c r="AD15" i="36"/>
  <c r="AE15" i="36"/>
  <c r="AF15" i="36"/>
  <c r="C16" i="36"/>
  <c r="D16" i="36"/>
  <c r="E16" i="36"/>
  <c r="F16" i="36"/>
  <c r="G16" i="36"/>
  <c r="H16" i="36"/>
  <c r="I16" i="36"/>
  <c r="J16" i="36"/>
  <c r="K16" i="36"/>
  <c r="L16" i="36"/>
  <c r="M16" i="36"/>
  <c r="N16" i="36"/>
  <c r="O16" i="36"/>
  <c r="P16" i="36"/>
  <c r="Q16" i="36"/>
  <c r="R16" i="36"/>
  <c r="S16" i="36"/>
  <c r="T16" i="36"/>
  <c r="U16" i="36"/>
  <c r="V16" i="36"/>
  <c r="W16" i="36"/>
  <c r="X16" i="36"/>
  <c r="Y16" i="36"/>
  <c r="Z16" i="36"/>
  <c r="AA16" i="36"/>
  <c r="AB16" i="36"/>
  <c r="AC16" i="36"/>
  <c r="AD16" i="36"/>
  <c r="AE16" i="36"/>
  <c r="AF16" i="36"/>
  <c r="C17" i="36"/>
  <c r="D17" i="36"/>
  <c r="E17" i="36"/>
  <c r="F17" i="36"/>
  <c r="G17" i="36"/>
  <c r="H17" i="36"/>
  <c r="I17" i="36"/>
  <c r="J17" i="36"/>
  <c r="K17" i="36"/>
  <c r="L17" i="36"/>
  <c r="M17" i="36"/>
  <c r="N17" i="36"/>
  <c r="O17" i="36"/>
  <c r="P17" i="36"/>
  <c r="Q17" i="36"/>
  <c r="R17" i="36"/>
  <c r="S17" i="36"/>
  <c r="T17" i="36"/>
  <c r="U17" i="36"/>
  <c r="V17" i="36"/>
  <c r="W17" i="36"/>
  <c r="X17" i="36"/>
  <c r="Y17" i="36"/>
  <c r="Z17" i="36"/>
  <c r="AA17" i="36"/>
  <c r="AB17" i="36"/>
  <c r="AC17" i="36"/>
  <c r="AD17" i="36"/>
  <c r="AE17" i="36"/>
  <c r="AF17" i="36"/>
  <c r="C18" i="36"/>
  <c r="D18" i="36"/>
  <c r="E18" i="36"/>
  <c r="F18" i="36"/>
  <c r="G18" i="36"/>
  <c r="H18" i="36"/>
  <c r="I18" i="36"/>
  <c r="J18" i="36"/>
  <c r="K18" i="36"/>
  <c r="L18" i="36"/>
  <c r="M18" i="36"/>
  <c r="N18" i="36"/>
  <c r="O18" i="36"/>
  <c r="P18" i="36"/>
  <c r="Q18" i="36"/>
  <c r="R18" i="36"/>
  <c r="S18" i="36"/>
  <c r="T18" i="36"/>
  <c r="U18" i="36"/>
  <c r="V18" i="36"/>
  <c r="W18" i="36"/>
  <c r="X18" i="36"/>
  <c r="Y18" i="36"/>
  <c r="Z18" i="36"/>
  <c r="AA18" i="36"/>
  <c r="AB18" i="36"/>
  <c r="AC18" i="36"/>
  <c r="AD18" i="36"/>
  <c r="AE18" i="36"/>
  <c r="AF18" i="36"/>
  <c r="C19" i="36"/>
  <c r="D19" i="36"/>
  <c r="E19" i="36"/>
  <c r="F19" i="36"/>
  <c r="G19" i="36"/>
  <c r="H19" i="36"/>
  <c r="I19" i="36"/>
  <c r="J19" i="36"/>
  <c r="K19" i="36"/>
  <c r="L19" i="36"/>
  <c r="M19" i="36"/>
  <c r="N19" i="36"/>
  <c r="O19" i="36"/>
  <c r="P19" i="36"/>
  <c r="Q19" i="36"/>
  <c r="R19" i="36"/>
  <c r="S19" i="36"/>
  <c r="T19" i="36"/>
  <c r="U19" i="36"/>
  <c r="V19" i="36"/>
  <c r="W19" i="36"/>
  <c r="X19" i="36"/>
  <c r="Y19" i="36"/>
  <c r="Z19" i="36"/>
  <c r="AA19" i="36"/>
  <c r="AB19" i="36"/>
  <c r="AC19" i="36"/>
  <c r="AD19" i="36"/>
  <c r="AE19" i="36"/>
  <c r="AF19" i="36"/>
  <c r="C20" i="36"/>
  <c r="D20" i="36"/>
  <c r="E20" i="36"/>
  <c r="F20" i="36"/>
  <c r="G20" i="36"/>
  <c r="H20" i="36"/>
  <c r="I20" i="36"/>
  <c r="J20" i="36"/>
  <c r="K20" i="36"/>
  <c r="L20" i="36"/>
  <c r="M20" i="36"/>
  <c r="N20" i="36"/>
  <c r="O20" i="36"/>
  <c r="P20" i="36"/>
  <c r="Q20" i="36"/>
  <c r="R20" i="36"/>
  <c r="S20" i="36"/>
  <c r="T20" i="36"/>
  <c r="U20" i="36"/>
  <c r="V20" i="36"/>
  <c r="W20" i="36"/>
  <c r="X20" i="36"/>
  <c r="Y20" i="36"/>
  <c r="Z20" i="36"/>
  <c r="AA20" i="36"/>
  <c r="AB20" i="36"/>
  <c r="AC20" i="36"/>
  <c r="AD20" i="36"/>
  <c r="AE20" i="36"/>
  <c r="AF20" i="36"/>
  <c r="C21" i="36"/>
  <c r="D21" i="36"/>
  <c r="E21" i="36"/>
  <c r="F21" i="36"/>
  <c r="G21" i="36"/>
  <c r="H21" i="36"/>
  <c r="I21" i="36"/>
  <c r="J21" i="36"/>
  <c r="K21" i="36"/>
  <c r="L21" i="36"/>
  <c r="M21" i="36"/>
  <c r="N21" i="36"/>
  <c r="O21" i="36"/>
  <c r="P21" i="36"/>
  <c r="Q21" i="36"/>
  <c r="R21" i="36"/>
  <c r="S21" i="36"/>
  <c r="T21" i="36"/>
  <c r="U21" i="36"/>
  <c r="V21" i="36"/>
  <c r="W21" i="36"/>
  <c r="X21" i="36"/>
  <c r="Y21" i="36"/>
  <c r="Z21" i="36"/>
  <c r="AA21" i="36"/>
  <c r="AB21" i="36"/>
  <c r="AC21" i="36"/>
  <c r="AD21" i="36"/>
  <c r="AE21" i="36"/>
  <c r="AF21" i="36"/>
  <c r="C22" i="36"/>
  <c r="D22" i="36"/>
  <c r="E22" i="36"/>
  <c r="F22" i="36"/>
  <c r="G22" i="36"/>
  <c r="H22" i="36"/>
  <c r="I22" i="36"/>
  <c r="J22" i="36"/>
  <c r="K22" i="36"/>
  <c r="L22" i="36"/>
  <c r="M22" i="36"/>
  <c r="N22" i="36"/>
  <c r="O22" i="36"/>
  <c r="P22" i="36"/>
  <c r="Q22" i="36"/>
  <c r="R22" i="36"/>
  <c r="S22" i="36"/>
  <c r="T22" i="36"/>
  <c r="U22" i="36"/>
  <c r="V22" i="36"/>
  <c r="W22" i="36"/>
  <c r="X22" i="36"/>
  <c r="Y22" i="36"/>
  <c r="Z22" i="36"/>
  <c r="AA22" i="36"/>
  <c r="AB22" i="36"/>
  <c r="AC22" i="36"/>
  <c r="AD22" i="36"/>
  <c r="AE22" i="36"/>
  <c r="AF22" i="36"/>
  <c r="B3" i="36"/>
  <c r="B4" i="36"/>
  <c r="B5" i="36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" i="36"/>
  <c r="C2" i="35"/>
  <c r="D2" i="35"/>
  <c r="E2" i="35"/>
  <c r="F2" i="35"/>
  <c r="G2" i="35"/>
  <c r="H2" i="35"/>
  <c r="I2" i="35"/>
  <c r="J2" i="35"/>
  <c r="K2" i="35"/>
  <c r="L2" i="35"/>
  <c r="M2" i="35"/>
  <c r="N2" i="35"/>
  <c r="O2" i="35"/>
  <c r="P2" i="35"/>
  <c r="Q2" i="35"/>
  <c r="R2" i="35"/>
  <c r="S2" i="35"/>
  <c r="T2" i="35"/>
  <c r="U2" i="35"/>
  <c r="V2" i="35"/>
  <c r="W2" i="35"/>
  <c r="X2" i="35"/>
  <c r="Y2" i="35"/>
  <c r="Z2" i="35"/>
  <c r="AA2" i="35"/>
  <c r="AB2" i="35"/>
  <c r="AC2" i="35"/>
  <c r="AD2" i="35"/>
  <c r="AE2" i="35"/>
  <c r="AF2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R3" i="35"/>
  <c r="S3" i="35"/>
  <c r="T3" i="35"/>
  <c r="U3" i="35"/>
  <c r="V3" i="35"/>
  <c r="W3" i="35"/>
  <c r="X3" i="35"/>
  <c r="Y3" i="35"/>
  <c r="Z3" i="35"/>
  <c r="AA3" i="35"/>
  <c r="AB3" i="35"/>
  <c r="AC3" i="35"/>
  <c r="AD3" i="35"/>
  <c r="AE3" i="35"/>
  <c r="AF3" i="35"/>
  <c r="C4" i="35"/>
  <c r="D4" i="35"/>
  <c r="E4" i="35"/>
  <c r="F4" i="35"/>
  <c r="G4" i="35"/>
  <c r="H4" i="35"/>
  <c r="I4" i="35"/>
  <c r="J4" i="35"/>
  <c r="K4" i="35"/>
  <c r="L4" i="35"/>
  <c r="M4" i="35"/>
  <c r="N4" i="35"/>
  <c r="O4" i="35"/>
  <c r="P4" i="35"/>
  <c r="Q4" i="35"/>
  <c r="R4" i="35"/>
  <c r="S4" i="35"/>
  <c r="T4" i="35"/>
  <c r="U4" i="35"/>
  <c r="V4" i="35"/>
  <c r="W4" i="35"/>
  <c r="X4" i="35"/>
  <c r="Y4" i="35"/>
  <c r="Z4" i="35"/>
  <c r="AA4" i="35"/>
  <c r="AB4" i="35"/>
  <c r="AC4" i="35"/>
  <c r="AD4" i="35"/>
  <c r="AE4" i="35"/>
  <c r="AF4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R5" i="35"/>
  <c r="S5" i="35"/>
  <c r="T5" i="35"/>
  <c r="U5" i="35"/>
  <c r="V5" i="35"/>
  <c r="W5" i="35"/>
  <c r="X5" i="35"/>
  <c r="Y5" i="35"/>
  <c r="Z5" i="35"/>
  <c r="AA5" i="35"/>
  <c r="AB5" i="35"/>
  <c r="AC5" i="35"/>
  <c r="AD5" i="35"/>
  <c r="AE5" i="35"/>
  <c r="AF5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R6" i="35"/>
  <c r="S6" i="35"/>
  <c r="T6" i="35"/>
  <c r="U6" i="35"/>
  <c r="V6" i="35"/>
  <c r="W6" i="35"/>
  <c r="X6" i="35"/>
  <c r="Y6" i="35"/>
  <c r="Z6" i="35"/>
  <c r="AA6" i="35"/>
  <c r="AB6" i="35"/>
  <c r="AC6" i="35"/>
  <c r="AD6" i="35"/>
  <c r="AE6" i="35"/>
  <c r="AF6" i="35"/>
  <c r="C7" i="35"/>
  <c r="D7" i="35"/>
  <c r="E7" i="35"/>
  <c r="F7" i="35"/>
  <c r="G7" i="35"/>
  <c r="H7" i="35"/>
  <c r="I7" i="35"/>
  <c r="J7" i="35"/>
  <c r="K7" i="35"/>
  <c r="L7" i="35"/>
  <c r="M7" i="35"/>
  <c r="N7" i="35"/>
  <c r="O7" i="35"/>
  <c r="P7" i="35"/>
  <c r="Q7" i="35"/>
  <c r="R7" i="35"/>
  <c r="S7" i="35"/>
  <c r="T7" i="35"/>
  <c r="U7" i="35"/>
  <c r="V7" i="35"/>
  <c r="W7" i="35"/>
  <c r="X7" i="35"/>
  <c r="Y7" i="35"/>
  <c r="Z7" i="35"/>
  <c r="AA7" i="35"/>
  <c r="AB7" i="35"/>
  <c r="AC7" i="35"/>
  <c r="AD7" i="35"/>
  <c r="AE7" i="35"/>
  <c r="AF7" i="35"/>
  <c r="C8" i="35"/>
  <c r="D8" i="35"/>
  <c r="E8" i="35"/>
  <c r="F8" i="35"/>
  <c r="G8" i="35"/>
  <c r="H8" i="35"/>
  <c r="I8" i="35"/>
  <c r="J8" i="35"/>
  <c r="K8" i="35"/>
  <c r="L8" i="35"/>
  <c r="M8" i="35"/>
  <c r="N8" i="35"/>
  <c r="O8" i="35"/>
  <c r="P8" i="35"/>
  <c r="Q8" i="35"/>
  <c r="R8" i="35"/>
  <c r="S8" i="35"/>
  <c r="T8" i="35"/>
  <c r="U8" i="35"/>
  <c r="V8" i="35"/>
  <c r="W8" i="35"/>
  <c r="X8" i="35"/>
  <c r="Y8" i="35"/>
  <c r="Z8" i="35"/>
  <c r="AA8" i="35"/>
  <c r="AB8" i="35"/>
  <c r="AC8" i="35"/>
  <c r="AD8" i="35"/>
  <c r="AE8" i="35"/>
  <c r="AF8" i="35"/>
  <c r="C9" i="35"/>
  <c r="D9" i="35"/>
  <c r="E9" i="35"/>
  <c r="F9" i="35"/>
  <c r="G9" i="35"/>
  <c r="H9" i="35"/>
  <c r="I9" i="35"/>
  <c r="J9" i="35"/>
  <c r="K9" i="35"/>
  <c r="L9" i="35"/>
  <c r="M9" i="35"/>
  <c r="N9" i="35"/>
  <c r="O9" i="35"/>
  <c r="P9" i="35"/>
  <c r="Q9" i="35"/>
  <c r="R9" i="35"/>
  <c r="S9" i="35"/>
  <c r="T9" i="35"/>
  <c r="U9" i="35"/>
  <c r="V9" i="35"/>
  <c r="W9" i="35"/>
  <c r="X9" i="35"/>
  <c r="Y9" i="35"/>
  <c r="Z9" i="35"/>
  <c r="AA9" i="35"/>
  <c r="AB9" i="35"/>
  <c r="AC9" i="35"/>
  <c r="AD9" i="35"/>
  <c r="AE9" i="35"/>
  <c r="AF9" i="35"/>
  <c r="C10" i="35"/>
  <c r="D10" i="35"/>
  <c r="E10" i="35"/>
  <c r="F10" i="35"/>
  <c r="G10" i="35"/>
  <c r="H10" i="35"/>
  <c r="I10" i="35"/>
  <c r="J10" i="35"/>
  <c r="K10" i="35"/>
  <c r="L10" i="35"/>
  <c r="M10" i="35"/>
  <c r="N10" i="35"/>
  <c r="O10" i="35"/>
  <c r="P10" i="35"/>
  <c r="Q10" i="35"/>
  <c r="R10" i="35"/>
  <c r="S10" i="35"/>
  <c r="T10" i="35"/>
  <c r="U10" i="35"/>
  <c r="V10" i="35"/>
  <c r="W10" i="35"/>
  <c r="X10" i="35"/>
  <c r="Y10" i="35"/>
  <c r="Z10" i="35"/>
  <c r="AA10" i="35"/>
  <c r="AB10" i="35"/>
  <c r="AC10" i="35"/>
  <c r="AD10" i="35"/>
  <c r="AE10" i="35"/>
  <c r="AF10" i="35"/>
  <c r="C11" i="35"/>
  <c r="D11" i="35"/>
  <c r="E11" i="35"/>
  <c r="F11" i="35"/>
  <c r="G11" i="35"/>
  <c r="H11" i="35"/>
  <c r="I11" i="35"/>
  <c r="J11" i="35"/>
  <c r="K11" i="35"/>
  <c r="L11" i="35"/>
  <c r="M11" i="35"/>
  <c r="N11" i="35"/>
  <c r="O11" i="35"/>
  <c r="P11" i="35"/>
  <c r="Q11" i="35"/>
  <c r="R11" i="35"/>
  <c r="S11" i="35"/>
  <c r="T11" i="35"/>
  <c r="U11" i="35"/>
  <c r="V11" i="35"/>
  <c r="W11" i="35"/>
  <c r="X11" i="35"/>
  <c r="Y11" i="35"/>
  <c r="Z11" i="35"/>
  <c r="AA11" i="35"/>
  <c r="AB11" i="35"/>
  <c r="AC11" i="35"/>
  <c r="AD11" i="35"/>
  <c r="AE11" i="35"/>
  <c r="AF11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R12" i="35"/>
  <c r="S12" i="35"/>
  <c r="T12" i="35"/>
  <c r="U12" i="35"/>
  <c r="V12" i="35"/>
  <c r="W12" i="35"/>
  <c r="X12" i="35"/>
  <c r="Y12" i="35"/>
  <c r="Z12" i="35"/>
  <c r="AA12" i="35"/>
  <c r="AB12" i="35"/>
  <c r="AC12" i="35"/>
  <c r="AD12" i="35"/>
  <c r="AE12" i="35"/>
  <c r="AF12" i="35"/>
  <c r="C13" i="35"/>
  <c r="D13" i="35"/>
  <c r="E13" i="35"/>
  <c r="F13" i="35"/>
  <c r="G13" i="35"/>
  <c r="H13" i="35"/>
  <c r="I13" i="35"/>
  <c r="J13" i="35"/>
  <c r="K13" i="35"/>
  <c r="L13" i="35"/>
  <c r="M13" i="35"/>
  <c r="N13" i="35"/>
  <c r="O13" i="35"/>
  <c r="P13" i="35"/>
  <c r="Q13" i="35"/>
  <c r="R13" i="35"/>
  <c r="S13" i="35"/>
  <c r="T13" i="35"/>
  <c r="U13" i="35"/>
  <c r="V13" i="35"/>
  <c r="W13" i="35"/>
  <c r="X13" i="35"/>
  <c r="Y13" i="35"/>
  <c r="Z13" i="35"/>
  <c r="AA13" i="35"/>
  <c r="AB13" i="35"/>
  <c r="AC13" i="35"/>
  <c r="AD13" i="35"/>
  <c r="AE13" i="35"/>
  <c r="AF13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R14" i="35"/>
  <c r="S14" i="35"/>
  <c r="T14" i="35"/>
  <c r="U14" i="35"/>
  <c r="V14" i="35"/>
  <c r="W14" i="35"/>
  <c r="X14" i="35"/>
  <c r="Y14" i="35"/>
  <c r="Z14" i="35"/>
  <c r="AA14" i="35"/>
  <c r="AB14" i="35"/>
  <c r="AC14" i="35"/>
  <c r="AD14" i="35"/>
  <c r="AE14" i="35"/>
  <c r="AF14" i="35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R15" i="35"/>
  <c r="S15" i="35"/>
  <c r="T15" i="35"/>
  <c r="U15" i="35"/>
  <c r="V15" i="35"/>
  <c r="W15" i="35"/>
  <c r="X15" i="35"/>
  <c r="Y15" i="35"/>
  <c r="Z15" i="35"/>
  <c r="AA15" i="35"/>
  <c r="AB15" i="35"/>
  <c r="AC15" i="35"/>
  <c r="AD15" i="35"/>
  <c r="AE15" i="35"/>
  <c r="AF15" i="35"/>
  <c r="C16" i="35"/>
  <c r="D16" i="35"/>
  <c r="E16" i="35"/>
  <c r="F16" i="35"/>
  <c r="G16" i="35"/>
  <c r="H16" i="35"/>
  <c r="I16" i="35"/>
  <c r="J16" i="35"/>
  <c r="K16" i="35"/>
  <c r="L16" i="35"/>
  <c r="M16" i="35"/>
  <c r="N16" i="35"/>
  <c r="O16" i="35"/>
  <c r="P16" i="35"/>
  <c r="Q16" i="35"/>
  <c r="R16" i="35"/>
  <c r="S16" i="35"/>
  <c r="T16" i="35"/>
  <c r="U16" i="35"/>
  <c r="V16" i="35"/>
  <c r="W16" i="35"/>
  <c r="X16" i="35"/>
  <c r="Y16" i="35"/>
  <c r="Z16" i="35"/>
  <c r="AA16" i="35"/>
  <c r="AB16" i="35"/>
  <c r="AC16" i="35"/>
  <c r="AD16" i="35"/>
  <c r="AE16" i="35"/>
  <c r="AF16" i="35"/>
  <c r="C17" i="35"/>
  <c r="D17" i="35"/>
  <c r="E17" i="35"/>
  <c r="F17" i="35"/>
  <c r="G17" i="35"/>
  <c r="H17" i="35"/>
  <c r="I17" i="35"/>
  <c r="J17" i="35"/>
  <c r="K17" i="35"/>
  <c r="L17" i="35"/>
  <c r="M17" i="35"/>
  <c r="N17" i="35"/>
  <c r="O17" i="35"/>
  <c r="P17" i="35"/>
  <c r="Q17" i="35"/>
  <c r="R17" i="35"/>
  <c r="S17" i="35"/>
  <c r="T17" i="35"/>
  <c r="U17" i="35"/>
  <c r="V17" i="35"/>
  <c r="W17" i="35"/>
  <c r="X17" i="35"/>
  <c r="Y17" i="35"/>
  <c r="Z17" i="35"/>
  <c r="AA17" i="35"/>
  <c r="AB17" i="35"/>
  <c r="AC17" i="35"/>
  <c r="AD17" i="35"/>
  <c r="AE17" i="35"/>
  <c r="AF17" i="35"/>
  <c r="C18" i="35"/>
  <c r="D18" i="35"/>
  <c r="E18" i="35"/>
  <c r="F18" i="35"/>
  <c r="G18" i="35"/>
  <c r="H18" i="35"/>
  <c r="I18" i="35"/>
  <c r="J18" i="35"/>
  <c r="K18" i="35"/>
  <c r="L18" i="35"/>
  <c r="M18" i="35"/>
  <c r="N18" i="35"/>
  <c r="O18" i="35"/>
  <c r="P18" i="35"/>
  <c r="Q18" i="35"/>
  <c r="R18" i="35"/>
  <c r="S18" i="35"/>
  <c r="T18" i="35"/>
  <c r="U18" i="35"/>
  <c r="V18" i="35"/>
  <c r="W18" i="35"/>
  <c r="X18" i="35"/>
  <c r="Y18" i="35"/>
  <c r="Z18" i="35"/>
  <c r="AA18" i="35"/>
  <c r="AB18" i="35"/>
  <c r="AC18" i="35"/>
  <c r="AD18" i="35"/>
  <c r="AE18" i="35"/>
  <c r="AF18" i="35"/>
  <c r="C19" i="35"/>
  <c r="D19" i="35"/>
  <c r="E19" i="35"/>
  <c r="F19" i="35"/>
  <c r="G19" i="35"/>
  <c r="H19" i="35"/>
  <c r="I19" i="35"/>
  <c r="J19" i="35"/>
  <c r="K19" i="35"/>
  <c r="L19" i="35"/>
  <c r="M19" i="35"/>
  <c r="N19" i="35"/>
  <c r="O19" i="35"/>
  <c r="P19" i="35"/>
  <c r="Q19" i="35"/>
  <c r="R19" i="35"/>
  <c r="S19" i="35"/>
  <c r="T19" i="35"/>
  <c r="U19" i="35"/>
  <c r="V19" i="35"/>
  <c r="W19" i="35"/>
  <c r="X19" i="35"/>
  <c r="Y19" i="35"/>
  <c r="Z19" i="35"/>
  <c r="AA19" i="35"/>
  <c r="AB19" i="35"/>
  <c r="AC19" i="35"/>
  <c r="AD19" i="35"/>
  <c r="AE19" i="35"/>
  <c r="AF19" i="35"/>
  <c r="C20" i="35"/>
  <c r="D20" i="35"/>
  <c r="E20" i="35"/>
  <c r="F20" i="35"/>
  <c r="G20" i="35"/>
  <c r="H20" i="35"/>
  <c r="I20" i="35"/>
  <c r="J20" i="35"/>
  <c r="K20" i="35"/>
  <c r="L20" i="35"/>
  <c r="M20" i="35"/>
  <c r="N20" i="35"/>
  <c r="O20" i="35"/>
  <c r="P20" i="35"/>
  <c r="Q20" i="35"/>
  <c r="R20" i="35"/>
  <c r="S20" i="35"/>
  <c r="T20" i="35"/>
  <c r="U20" i="35"/>
  <c r="V20" i="35"/>
  <c r="W20" i="35"/>
  <c r="X20" i="35"/>
  <c r="Y20" i="35"/>
  <c r="Z20" i="35"/>
  <c r="AA20" i="35"/>
  <c r="AB20" i="35"/>
  <c r="AC20" i="35"/>
  <c r="AD20" i="35"/>
  <c r="AE20" i="35"/>
  <c r="AF20" i="35"/>
  <c r="C21" i="35"/>
  <c r="D21" i="35"/>
  <c r="E21" i="35"/>
  <c r="F21" i="35"/>
  <c r="G21" i="35"/>
  <c r="H21" i="35"/>
  <c r="I21" i="35"/>
  <c r="J21" i="35"/>
  <c r="K21" i="35"/>
  <c r="L21" i="35"/>
  <c r="M21" i="35"/>
  <c r="N21" i="35"/>
  <c r="O21" i="35"/>
  <c r="P21" i="35"/>
  <c r="Q21" i="35"/>
  <c r="R21" i="35"/>
  <c r="S21" i="35"/>
  <c r="T21" i="35"/>
  <c r="U21" i="35"/>
  <c r="V21" i="35"/>
  <c r="W21" i="35"/>
  <c r="X21" i="35"/>
  <c r="Y21" i="35"/>
  <c r="Z21" i="35"/>
  <c r="AA21" i="35"/>
  <c r="AB21" i="35"/>
  <c r="AC21" i="35"/>
  <c r="AD21" i="35"/>
  <c r="AE21" i="35"/>
  <c r="AF21" i="35"/>
  <c r="C22" i="35"/>
  <c r="D22" i="35"/>
  <c r="E22" i="35"/>
  <c r="F22" i="35"/>
  <c r="G22" i="35"/>
  <c r="H22" i="35"/>
  <c r="I22" i="35"/>
  <c r="J22" i="35"/>
  <c r="K22" i="35"/>
  <c r="L22" i="35"/>
  <c r="M22" i="35"/>
  <c r="N22" i="35"/>
  <c r="O22" i="35"/>
  <c r="P22" i="35"/>
  <c r="Q22" i="35"/>
  <c r="R22" i="35"/>
  <c r="S22" i="35"/>
  <c r="T22" i="35"/>
  <c r="U22" i="35"/>
  <c r="V22" i="35"/>
  <c r="W22" i="35"/>
  <c r="X22" i="35"/>
  <c r="Y22" i="35"/>
  <c r="Z22" i="35"/>
  <c r="AA22" i="35"/>
  <c r="AB22" i="35"/>
  <c r="AC22" i="35"/>
  <c r="AD22" i="35"/>
  <c r="AE22" i="35"/>
  <c r="AF22" i="35"/>
  <c r="B3" i="35"/>
  <c r="B4" i="35"/>
  <c r="B5" i="35"/>
  <c r="B6" i="35"/>
  <c r="B7" i="35"/>
  <c r="B8" i="35"/>
  <c r="B9" i="35"/>
  <c r="B10" i="35"/>
  <c r="B11" i="35"/>
  <c r="B12" i="35"/>
  <c r="B13" i="35"/>
  <c r="B14" i="35"/>
  <c r="B15" i="35"/>
  <c r="B16" i="35"/>
  <c r="B17" i="35"/>
  <c r="B18" i="35"/>
  <c r="B19" i="35"/>
  <c r="B20" i="35"/>
  <c r="B21" i="35"/>
  <c r="B22" i="35"/>
  <c r="B2" i="35"/>
  <c r="C2" i="34"/>
  <c r="D2" i="34"/>
  <c r="E2" i="34"/>
  <c r="F2" i="34"/>
  <c r="G2" i="34"/>
  <c r="H2" i="34"/>
  <c r="I2" i="34"/>
  <c r="J2" i="34"/>
  <c r="K2" i="34"/>
  <c r="L2" i="34"/>
  <c r="M2" i="34"/>
  <c r="N2" i="34"/>
  <c r="O2" i="34"/>
  <c r="P2" i="34"/>
  <c r="Q2" i="34"/>
  <c r="R2" i="34"/>
  <c r="S2" i="34"/>
  <c r="T2" i="34"/>
  <c r="U2" i="34"/>
  <c r="V2" i="34"/>
  <c r="W2" i="34"/>
  <c r="X2" i="34"/>
  <c r="Y2" i="34"/>
  <c r="Z2" i="34"/>
  <c r="AA2" i="34"/>
  <c r="AB2" i="34"/>
  <c r="AC2" i="34"/>
  <c r="AD2" i="34"/>
  <c r="AE2" i="34"/>
  <c r="AF2" i="34"/>
  <c r="C3" i="34"/>
  <c r="D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R3" i="34"/>
  <c r="S3" i="34"/>
  <c r="T3" i="34"/>
  <c r="U3" i="34"/>
  <c r="V3" i="34"/>
  <c r="W3" i="34"/>
  <c r="X3" i="34"/>
  <c r="Y3" i="34"/>
  <c r="Z3" i="34"/>
  <c r="AA3" i="34"/>
  <c r="AB3" i="34"/>
  <c r="AC3" i="34"/>
  <c r="AD3" i="34"/>
  <c r="AE3" i="34"/>
  <c r="AF3" i="34"/>
  <c r="C4" i="34"/>
  <c r="D4" i="34"/>
  <c r="E4" i="34"/>
  <c r="F4" i="34"/>
  <c r="G4" i="34"/>
  <c r="H4" i="34"/>
  <c r="I4" i="34"/>
  <c r="J4" i="34"/>
  <c r="K4" i="34"/>
  <c r="L4" i="34"/>
  <c r="M4" i="34"/>
  <c r="N4" i="34"/>
  <c r="O4" i="34"/>
  <c r="P4" i="34"/>
  <c r="Q4" i="34"/>
  <c r="R4" i="34"/>
  <c r="S4" i="34"/>
  <c r="T4" i="34"/>
  <c r="U4" i="34"/>
  <c r="V4" i="34"/>
  <c r="W4" i="34"/>
  <c r="X4" i="34"/>
  <c r="Y4" i="34"/>
  <c r="Z4" i="34"/>
  <c r="AA4" i="34"/>
  <c r="AB4" i="34"/>
  <c r="AC4" i="34"/>
  <c r="AD4" i="34"/>
  <c r="AE4" i="34"/>
  <c r="AF4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R5" i="34"/>
  <c r="S5" i="34"/>
  <c r="T5" i="34"/>
  <c r="U5" i="34"/>
  <c r="V5" i="34"/>
  <c r="W5" i="34"/>
  <c r="X5" i="34"/>
  <c r="Y5" i="34"/>
  <c r="Z5" i="34"/>
  <c r="AA5" i="34"/>
  <c r="AB5" i="34"/>
  <c r="AC5" i="34"/>
  <c r="AD5" i="34"/>
  <c r="AE5" i="34"/>
  <c r="AF5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R6" i="34"/>
  <c r="S6" i="34"/>
  <c r="T6" i="34"/>
  <c r="U6" i="34"/>
  <c r="V6" i="34"/>
  <c r="W6" i="34"/>
  <c r="X6" i="34"/>
  <c r="Y6" i="34"/>
  <c r="Z6" i="34"/>
  <c r="AA6" i="34"/>
  <c r="AB6" i="34"/>
  <c r="AC6" i="34"/>
  <c r="AD6" i="34"/>
  <c r="AE6" i="34"/>
  <c r="AF6" i="34"/>
  <c r="C7" i="34"/>
  <c r="D7" i="34"/>
  <c r="E7" i="34"/>
  <c r="F7" i="34"/>
  <c r="G7" i="34"/>
  <c r="H7" i="34"/>
  <c r="I7" i="34"/>
  <c r="J7" i="34"/>
  <c r="K7" i="34"/>
  <c r="L7" i="34"/>
  <c r="M7" i="34"/>
  <c r="N7" i="34"/>
  <c r="O7" i="34"/>
  <c r="P7" i="34"/>
  <c r="Q7" i="34"/>
  <c r="R7" i="34"/>
  <c r="S7" i="34"/>
  <c r="T7" i="34"/>
  <c r="U7" i="34"/>
  <c r="V7" i="34"/>
  <c r="W7" i="34"/>
  <c r="X7" i="34"/>
  <c r="Y7" i="34"/>
  <c r="Z7" i="34"/>
  <c r="AA7" i="34"/>
  <c r="AB7" i="34"/>
  <c r="AC7" i="34"/>
  <c r="AD7" i="34"/>
  <c r="AE7" i="34"/>
  <c r="AF7" i="34"/>
  <c r="C8" i="34"/>
  <c r="D8" i="34"/>
  <c r="E8" i="34"/>
  <c r="F8" i="34"/>
  <c r="G8" i="34"/>
  <c r="H8" i="34"/>
  <c r="I8" i="34"/>
  <c r="J8" i="34"/>
  <c r="K8" i="34"/>
  <c r="L8" i="34"/>
  <c r="M8" i="34"/>
  <c r="N8" i="34"/>
  <c r="O8" i="34"/>
  <c r="P8" i="34"/>
  <c r="Q8" i="34"/>
  <c r="R8" i="34"/>
  <c r="S8" i="34"/>
  <c r="T8" i="34"/>
  <c r="U8" i="34"/>
  <c r="V8" i="34"/>
  <c r="W8" i="34"/>
  <c r="X8" i="34"/>
  <c r="Y8" i="34"/>
  <c r="Z8" i="34"/>
  <c r="AA8" i="34"/>
  <c r="AB8" i="34"/>
  <c r="AC8" i="34"/>
  <c r="AD8" i="34"/>
  <c r="AE8" i="34"/>
  <c r="AF8" i="34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R9" i="34"/>
  <c r="S9" i="34"/>
  <c r="T9" i="34"/>
  <c r="U9" i="34"/>
  <c r="V9" i="34"/>
  <c r="W9" i="34"/>
  <c r="X9" i="34"/>
  <c r="Y9" i="34"/>
  <c r="Z9" i="34"/>
  <c r="AA9" i="34"/>
  <c r="AB9" i="34"/>
  <c r="AC9" i="34"/>
  <c r="AD9" i="34"/>
  <c r="AE9" i="34"/>
  <c r="AF9" i="34"/>
  <c r="C10" i="34"/>
  <c r="D10" i="34"/>
  <c r="E10" i="34"/>
  <c r="F10" i="34"/>
  <c r="G10" i="34"/>
  <c r="H10" i="34"/>
  <c r="I10" i="34"/>
  <c r="J10" i="34"/>
  <c r="K10" i="34"/>
  <c r="L10" i="34"/>
  <c r="M10" i="34"/>
  <c r="N10" i="34"/>
  <c r="O10" i="34"/>
  <c r="P10" i="34"/>
  <c r="Q10" i="34"/>
  <c r="R10" i="34"/>
  <c r="S10" i="34"/>
  <c r="T10" i="34"/>
  <c r="U10" i="34"/>
  <c r="V10" i="34"/>
  <c r="W10" i="34"/>
  <c r="X10" i="34"/>
  <c r="Y10" i="34"/>
  <c r="Z10" i="34"/>
  <c r="AA10" i="34"/>
  <c r="AB10" i="34"/>
  <c r="AC10" i="34"/>
  <c r="AD10" i="34"/>
  <c r="AE10" i="34"/>
  <c r="AF10" i="34"/>
  <c r="C11" i="34"/>
  <c r="D11" i="34"/>
  <c r="E11" i="34"/>
  <c r="F11" i="34"/>
  <c r="G11" i="34"/>
  <c r="H11" i="34"/>
  <c r="I11" i="34"/>
  <c r="J11" i="34"/>
  <c r="K11" i="34"/>
  <c r="L11" i="34"/>
  <c r="M11" i="34"/>
  <c r="N11" i="34"/>
  <c r="O11" i="34"/>
  <c r="P11" i="34"/>
  <c r="Q11" i="34"/>
  <c r="R11" i="34"/>
  <c r="S11" i="34"/>
  <c r="T11" i="34"/>
  <c r="U11" i="34"/>
  <c r="V11" i="34"/>
  <c r="W11" i="34"/>
  <c r="X11" i="34"/>
  <c r="Y11" i="34"/>
  <c r="Z11" i="34"/>
  <c r="AA11" i="34"/>
  <c r="AB11" i="34"/>
  <c r="AC11" i="34"/>
  <c r="AD11" i="34"/>
  <c r="AE11" i="34"/>
  <c r="AF11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R12" i="34"/>
  <c r="S12" i="34"/>
  <c r="T12" i="34"/>
  <c r="U12" i="34"/>
  <c r="V12" i="34"/>
  <c r="W12" i="34"/>
  <c r="X12" i="34"/>
  <c r="Y12" i="34"/>
  <c r="Z12" i="34"/>
  <c r="AA12" i="34"/>
  <c r="AB12" i="34"/>
  <c r="AC12" i="34"/>
  <c r="AD12" i="34"/>
  <c r="AE12" i="34"/>
  <c r="AF12" i="34"/>
  <c r="C13" i="34"/>
  <c r="D13" i="34"/>
  <c r="E13" i="34"/>
  <c r="F13" i="34"/>
  <c r="G13" i="34"/>
  <c r="H13" i="34"/>
  <c r="I13" i="34"/>
  <c r="J13" i="34"/>
  <c r="K13" i="34"/>
  <c r="L13" i="34"/>
  <c r="M13" i="34"/>
  <c r="N13" i="34"/>
  <c r="O13" i="34"/>
  <c r="P13" i="34"/>
  <c r="Q13" i="34"/>
  <c r="R13" i="34"/>
  <c r="S13" i="34"/>
  <c r="T13" i="34"/>
  <c r="U13" i="34"/>
  <c r="V13" i="34"/>
  <c r="W13" i="34"/>
  <c r="X13" i="34"/>
  <c r="Y13" i="34"/>
  <c r="Z13" i="34"/>
  <c r="AA13" i="34"/>
  <c r="AB13" i="34"/>
  <c r="AC13" i="34"/>
  <c r="AD13" i="34"/>
  <c r="AE13" i="34"/>
  <c r="AF13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R14" i="34"/>
  <c r="S14" i="34"/>
  <c r="T14" i="34"/>
  <c r="U14" i="34"/>
  <c r="V14" i="34"/>
  <c r="W14" i="34"/>
  <c r="X14" i="34"/>
  <c r="Y14" i="34"/>
  <c r="Z14" i="34"/>
  <c r="AA14" i="34"/>
  <c r="AB14" i="34"/>
  <c r="AC14" i="34"/>
  <c r="AD14" i="34"/>
  <c r="AE14" i="34"/>
  <c r="AF14" i="34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R15" i="34"/>
  <c r="S15" i="34"/>
  <c r="T15" i="34"/>
  <c r="U15" i="34"/>
  <c r="V15" i="34"/>
  <c r="W15" i="34"/>
  <c r="X15" i="34"/>
  <c r="Y15" i="34"/>
  <c r="Z15" i="34"/>
  <c r="AA15" i="34"/>
  <c r="AB15" i="34"/>
  <c r="AC15" i="34"/>
  <c r="AD15" i="34"/>
  <c r="AE15" i="34"/>
  <c r="AF15" i="34"/>
  <c r="C16" i="34"/>
  <c r="D16" i="34"/>
  <c r="E16" i="34"/>
  <c r="F16" i="34"/>
  <c r="G16" i="34"/>
  <c r="H16" i="34"/>
  <c r="I16" i="34"/>
  <c r="J16" i="34"/>
  <c r="K16" i="34"/>
  <c r="L16" i="34"/>
  <c r="M16" i="34"/>
  <c r="N16" i="34"/>
  <c r="O16" i="34"/>
  <c r="P16" i="34"/>
  <c r="Q16" i="34"/>
  <c r="R16" i="34"/>
  <c r="S16" i="34"/>
  <c r="T16" i="34"/>
  <c r="U16" i="34"/>
  <c r="V16" i="34"/>
  <c r="W16" i="34"/>
  <c r="X16" i="34"/>
  <c r="Y16" i="34"/>
  <c r="Z16" i="34"/>
  <c r="AA16" i="34"/>
  <c r="AB16" i="34"/>
  <c r="AC16" i="34"/>
  <c r="AD16" i="34"/>
  <c r="AE16" i="34"/>
  <c r="AF16" i="34"/>
  <c r="C17" i="34"/>
  <c r="D17" i="34"/>
  <c r="E17" i="34"/>
  <c r="F17" i="34"/>
  <c r="G17" i="34"/>
  <c r="H17" i="34"/>
  <c r="I17" i="34"/>
  <c r="J17" i="34"/>
  <c r="K17" i="34"/>
  <c r="L17" i="34"/>
  <c r="M17" i="34"/>
  <c r="N17" i="34"/>
  <c r="O17" i="34"/>
  <c r="P17" i="34"/>
  <c r="Q17" i="34"/>
  <c r="R17" i="34"/>
  <c r="S17" i="34"/>
  <c r="T17" i="34"/>
  <c r="U17" i="34"/>
  <c r="V17" i="34"/>
  <c r="W17" i="34"/>
  <c r="X17" i="34"/>
  <c r="Y17" i="34"/>
  <c r="Z17" i="34"/>
  <c r="AA17" i="34"/>
  <c r="AB17" i="34"/>
  <c r="AC17" i="34"/>
  <c r="AD17" i="34"/>
  <c r="AE17" i="34"/>
  <c r="AF17" i="34"/>
  <c r="C18" i="34"/>
  <c r="D18" i="34"/>
  <c r="E18" i="34"/>
  <c r="F18" i="34"/>
  <c r="G18" i="34"/>
  <c r="H18" i="34"/>
  <c r="I18" i="34"/>
  <c r="J18" i="34"/>
  <c r="K18" i="34"/>
  <c r="L18" i="34"/>
  <c r="M18" i="34"/>
  <c r="N18" i="34"/>
  <c r="O18" i="34"/>
  <c r="P18" i="34"/>
  <c r="Q18" i="34"/>
  <c r="R18" i="34"/>
  <c r="S18" i="34"/>
  <c r="T18" i="34"/>
  <c r="U18" i="34"/>
  <c r="V18" i="34"/>
  <c r="W18" i="34"/>
  <c r="X18" i="34"/>
  <c r="Y18" i="34"/>
  <c r="Z18" i="34"/>
  <c r="AA18" i="34"/>
  <c r="AB18" i="34"/>
  <c r="AC18" i="34"/>
  <c r="AD18" i="34"/>
  <c r="AE18" i="34"/>
  <c r="AF18" i="34"/>
  <c r="C19" i="34"/>
  <c r="D19" i="34"/>
  <c r="E19" i="34"/>
  <c r="F19" i="34"/>
  <c r="G19" i="34"/>
  <c r="H19" i="34"/>
  <c r="I19" i="34"/>
  <c r="J19" i="34"/>
  <c r="K19" i="34"/>
  <c r="L19" i="34"/>
  <c r="M19" i="34"/>
  <c r="N19" i="34"/>
  <c r="O19" i="34"/>
  <c r="P19" i="34"/>
  <c r="Q19" i="34"/>
  <c r="R19" i="34"/>
  <c r="S19" i="34"/>
  <c r="T19" i="34"/>
  <c r="U19" i="34"/>
  <c r="V19" i="34"/>
  <c r="W19" i="34"/>
  <c r="X19" i="34"/>
  <c r="Y19" i="34"/>
  <c r="Z19" i="34"/>
  <c r="AA19" i="34"/>
  <c r="AB19" i="34"/>
  <c r="AC19" i="34"/>
  <c r="AD19" i="34"/>
  <c r="AE19" i="34"/>
  <c r="AF19" i="34"/>
  <c r="C20" i="34"/>
  <c r="D20" i="34"/>
  <c r="E20" i="34"/>
  <c r="F20" i="34"/>
  <c r="G20" i="34"/>
  <c r="H20" i="34"/>
  <c r="I20" i="34"/>
  <c r="J20" i="34"/>
  <c r="K20" i="34"/>
  <c r="L20" i="34"/>
  <c r="M20" i="34"/>
  <c r="N20" i="34"/>
  <c r="O20" i="34"/>
  <c r="P20" i="34"/>
  <c r="Q20" i="34"/>
  <c r="R20" i="34"/>
  <c r="S20" i="34"/>
  <c r="T20" i="34"/>
  <c r="U20" i="34"/>
  <c r="V20" i="34"/>
  <c r="W20" i="34"/>
  <c r="X20" i="34"/>
  <c r="Y20" i="34"/>
  <c r="Z20" i="34"/>
  <c r="AA20" i="34"/>
  <c r="AB20" i="34"/>
  <c r="AC20" i="34"/>
  <c r="AD20" i="34"/>
  <c r="AE20" i="34"/>
  <c r="AF20" i="34"/>
  <c r="C21" i="34"/>
  <c r="D21" i="34"/>
  <c r="E21" i="34"/>
  <c r="F21" i="34"/>
  <c r="G21" i="34"/>
  <c r="H21" i="34"/>
  <c r="I21" i="34"/>
  <c r="J21" i="34"/>
  <c r="K21" i="34"/>
  <c r="L21" i="34"/>
  <c r="M21" i="34"/>
  <c r="N21" i="34"/>
  <c r="O21" i="34"/>
  <c r="P21" i="34"/>
  <c r="Q21" i="34"/>
  <c r="R21" i="34"/>
  <c r="S21" i="34"/>
  <c r="T21" i="34"/>
  <c r="U21" i="34"/>
  <c r="V21" i="34"/>
  <c r="W21" i="34"/>
  <c r="X21" i="34"/>
  <c r="Y21" i="34"/>
  <c r="Z21" i="34"/>
  <c r="AA21" i="34"/>
  <c r="AB21" i="34"/>
  <c r="AC21" i="34"/>
  <c r="AD21" i="34"/>
  <c r="AE21" i="34"/>
  <c r="AF21" i="34"/>
  <c r="C22" i="34"/>
  <c r="D22" i="34"/>
  <c r="E22" i="34"/>
  <c r="F22" i="34"/>
  <c r="G22" i="34"/>
  <c r="H22" i="34"/>
  <c r="I22" i="34"/>
  <c r="J22" i="34"/>
  <c r="K22" i="34"/>
  <c r="L22" i="34"/>
  <c r="M22" i="34"/>
  <c r="N22" i="34"/>
  <c r="O22" i="34"/>
  <c r="P22" i="34"/>
  <c r="Q22" i="34"/>
  <c r="R22" i="34"/>
  <c r="S22" i="34"/>
  <c r="T22" i="34"/>
  <c r="U22" i="34"/>
  <c r="V22" i="34"/>
  <c r="W22" i="34"/>
  <c r="X22" i="34"/>
  <c r="Y22" i="34"/>
  <c r="Z22" i="34"/>
  <c r="AA22" i="34"/>
  <c r="AB22" i="34"/>
  <c r="AC22" i="34"/>
  <c r="AD22" i="34"/>
  <c r="AE22" i="34"/>
  <c r="AF22" i="34"/>
  <c r="B3" i="34"/>
  <c r="B4" i="34"/>
  <c r="B5" i="34"/>
  <c r="B6" i="34"/>
  <c r="B7" i="34"/>
  <c r="B8" i="34"/>
  <c r="B9" i="34"/>
  <c r="B10" i="34"/>
  <c r="B11" i="34"/>
  <c r="B12" i="34"/>
  <c r="B13" i="34"/>
  <c r="B14" i="34"/>
  <c r="B15" i="34"/>
  <c r="B16" i="34"/>
  <c r="B17" i="34"/>
  <c r="B18" i="34"/>
  <c r="B19" i="34"/>
  <c r="B20" i="34"/>
  <c r="B21" i="34"/>
  <c r="B22" i="34"/>
  <c r="B2" i="34"/>
  <c r="K66" i="33"/>
  <c r="L66" i="33"/>
  <c r="M66" i="33"/>
  <c r="N66" i="33"/>
  <c r="O66" i="33"/>
  <c r="P66" i="33"/>
  <c r="Q66" i="33"/>
  <c r="R66" i="33"/>
  <c r="S66" i="33"/>
  <c r="T66" i="33"/>
  <c r="U66" i="33"/>
  <c r="V66" i="33"/>
  <c r="W66" i="33"/>
  <c r="X66" i="33"/>
  <c r="Y66" i="33"/>
  <c r="Z66" i="33"/>
  <c r="AA66" i="33"/>
  <c r="AB66" i="33"/>
  <c r="AC66" i="33"/>
  <c r="AD66" i="33"/>
  <c r="AE66" i="33"/>
  <c r="AF66" i="33"/>
  <c r="AG66" i="33"/>
  <c r="AH66" i="33"/>
  <c r="AI66" i="33"/>
  <c r="AJ66" i="33"/>
  <c r="AK66" i="33"/>
  <c r="K67" i="33"/>
  <c r="L67" i="33"/>
  <c r="M67" i="33"/>
  <c r="N67" i="33"/>
  <c r="O67" i="33"/>
  <c r="P67" i="33"/>
  <c r="Q67" i="33"/>
  <c r="R67" i="33"/>
  <c r="S67" i="33"/>
  <c r="T67" i="33"/>
  <c r="U67" i="33"/>
  <c r="V67" i="33"/>
  <c r="W67" i="33"/>
  <c r="X67" i="33"/>
  <c r="Y67" i="33"/>
  <c r="Z67" i="33"/>
  <c r="AA67" i="33"/>
  <c r="AB67" i="33"/>
  <c r="AC67" i="33"/>
  <c r="AD67" i="33"/>
  <c r="AE67" i="33"/>
  <c r="AF67" i="33"/>
  <c r="AG67" i="33"/>
  <c r="AH67" i="33"/>
  <c r="AI67" i="33"/>
  <c r="AJ67" i="33"/>
  <c r="AK67" i="33"/>
  <c r="J67" i="33"/>
  <c r="J66" i="33"/>
  <c r="S62" i="33"/>
  <c r="T62" i="33" s="1"/>
  <c r="U62" i="33" s="1"/>
  <c r="V62" i="33" s="1"/>
  <c r="W62" i="33" s="1"/>
  <c r="X62" i="33" s="1"/>
  <c r="Y62" i="33" s="1"/>
  <c r="Z62" i="33" s="1"/>
  <c r="AA62" i="33" s="1"/>
  <c r="AB62" i="33" s="1"/>
  <c r="AC62" i="33" s="1"/>
  <c r="AD62" i="33" s="1"/>
  <c r="AE62" i="33" s="1"/>
  <c r="AF62" i="33" s="1"/>
  <c r="AG62" i="33" s="1"/>
  <c r="AH62" i="33" s="1"/>
  <c r="AI62" i="33" s="1"/>
  <c r="AJ62" i="33" s="1"/>
  <c r="AK62" i="33" s="1"/>
  <c r="R62" i="33"/>
  <c r="Q62" i="33"/>
  <c r="P62" i="33"/>
  <c r="O62" i="33"/>
  <c r="N62" i="33"/>
  <c r="M62" i="33"/>
  <c r="L62" i="33"/>
  <c r="K62" i="33"/>
  <c r="J62" i="33"/>
  <c r="K58" i="33"/>
  <c r="L58" i="33"/>
  <c r="M58" i="33"/>
  <c r="N58" i="33"/>
  <c r="O58" i="33"/>
  <c r="P58" i="33"/>
  <c r="Q58" i="33"/>
  <c r="R58" i="33"/>
  <c r="S58" i="33"/>
  <c r="T58" i="33"/>
  <c r="U58" i="33"/>
  <c r="V58" i="33"/>
  <c r="W58" i="33"/>
  <c r="X58" i="33"/>
  <c r="Y58" i="33"/>
  <c r="Z58" i="33"/>
  <c r="AA58" i="33"/>
  <c r="AB58" i="33"/>
  <c r="AC58" i="33"/>
  <c r="AD58" i="33"/>
  <c r="AE58" i="33"/>
  <c r="AF58" i="33"/>
  <c r="AG58" i="33"/>
  <c r="AH58" i="33"/>
  <c r="AI58" i="33"/>
  <c r="AJ58" i="33"/>
  <c r="AK58" i="33"/>
  <c r="K59" i="33"/>
  <c r="L59" i="33"/>
  <c r="M59" i="33"/>
  <c r="N59" i="33"/>
  <c r="O59" i="33"/>
  <c r="P59" i="33"/>
  <c r="Q59" i="33"/>
  <c r="R59" i="33"/>
  <c r="S59" i="33"/>
  <c r="T59" i="33"/>
  <c r="U59" i="33"/>
  <c r="V59" i="33"/>
  <c r="W59" i="33"/>
  <c r="X59" i="33"/>
  <c r="Y59" i="33"/>
  <c r="Z59" i="33"/>
  <c r="AA59" i="33"/>
  <c r="AB59" i="33"/>
  <c r="AC59" i="33"/>
  <c r="AD59" i="33"/>
  <c r="AE59" i="33"/>
  <c r="AF59" i="33"/>
  <c r="AG59" i="33"/>
  <c r="AH59" i="33"/>
  <c r="AI59" i="33"/>
  <c r="AJ59" i="33"/>
  <c r="AK59" i="33"/>
  <c r="K60" i="33"/>
  <c r="L60" i="33"/>
  <c r="M60" i="33"/>
  <c r="N60" i="33"/>
  <c r="O60" i="33"/>
  <c r="P60" i="33"/>
  <c r="Q60" i="33"/>
  <c r="R60" i="33"/>
  <c r="S60" i="33"/>
  <c r="T60" i="33"/>
  <c r="U60" i="33"/>
  <c r="V60" i="33"/>
  <c r="W60" i="33"/>
  <c r="X60" i="33"/>
  <c r="Y60" i="33"/>
  <c r="Z60" i="33"/>
  <c r="AA60" i="33"/>
  <c r="AB60" i="33"/>
  <c r="AC60" i="33"/>
  <c r="AD60" i="33"/>
  <c r="AE60" i="33"/>
  <c r="AF60" i="33"/>
  <c r="AG60" i="33"/>
  <c r="AH60" i="33"/>
  <c r="AI60" i="33"/>
  <c r="AJ60" i="33"/>
  <c r="AK60" i="33"/>
  <c r="J59" i="33"/>
  <c r="J60" i="33"/>
  <c r="J58" i="33"/>
  <c r="V44" i="33"/>
  <c r="W44" i="33" s="1"/>
  <c r="X44" i="33" s="1"/>
  <c r="Y44" i="33" s="1"/>
  <c r="Z44" i="33" s="1"/>
  <c r="AA44" i="33" s="1"/>
  <c r="AB44" i="33" s="1"/>
  <c r="AC44" i="33" s="1"/>
  <c r="AD44" i="33" s="1"/>
  <c r="AE44" i="33" s="1"/>
  <c r="AF44" i="33" s="1"/>
  <c r="AG44" i="33" s="1"/>
  <c r="AH44" i="33" s="1"/>
  <c r="AI44" i="33" s="1"/>
  <c r="AJ44" i="33" s="1"/>
  <c r="AK44" i="33" s="1"/>
  <c r="U44" i="33"/>
  <c r="T44" i="33"/>
  <c r="O43" i="33"/>
  <c r="P43" i="33"/>
  <c r="Q43" i="33"/>
  <c r="R43" i="33"/>
  <c r="S43" i="33"/>
  <c r="T43" i="33"/>
  <c r="U43" i="33"/>
  <c r="V43" i="33"/>
  <c r="W43" i="33"/>
  <c r="X43" i="33"/>
  <c r="Y43" i="33"/>
  <c r="Z43" i="33"/>
  <c r="AA43" i="33"/>
  <c r="AB43" i="33"/>
  <c r="AC43" i="33"/>
  <c r="AD43" i="33"/>
  <c r="AE43" i="33"/>
  <c r="AF43" i="33"/>
  <c r="AG43" i="33"/>
  <c r="AH43" i="33"/>
  <c r="AI43" i="33"/>
  <c r="AJ43" i="33"/>
  <c r="AK43" i="33"/>
  <c r="N43" i="33"/>
  <c r="K42" i="33"/>
  <c r="L42" i="33"/>
  <c r="M42" i="33"/>
  <c r="N42" i="33"/>
  <c r="O42" i="33"/>
  <c r="P42" i="33"/>
  <c r="Q42" i="33"/>
  <c r="R42" i="33"/>
  <c r="S42" i="33"/>
  <c r="T42" i="33"/>
  <c r="U42" i="33"/>
  <c r="V42" i="33"/>
  <c r="W42" i="33"/>
  <c r="X42" i="33"/>
  <c r="Y42" i="33"/>
  <c r="Z42" i="33"/>
  <c r="AA42" i="33"/>
  <c r="AB42" i="33"/>
  <c r="AC42" i="33"/>
  <c r="AD42" i="33"/>
  <c r="AE42" i="33"/>
  <c r="AF42" i="33"/>
  <c r="AG42" i="33"/>
  <c r="AH42" i="33"/>
  <c r="AI42" i="33"/>
  <c r="AJ42" i="33"/>
  <c r="AK42" i="33"/>
  <c r="K43" i="33"/>
  <c r="L43" i="33"/>
  <c r="M43" i="33"/>
  <c r="K44" i="33"/>
  <c r="L44" i="33"/>
  <c r="M44" i="33"/>
  <c r="N44" i="33"/>
  <c r="O44" i="33"/>
  <c r="P44" i="33"/>
  <c r="Q44" i="33"/>
  <c r="R44" i="33"/>
  <c r="S44" i="33"/>
  <c r="J43" i="33"/>
  <c r="J44" i="33"/>
  <c r="J42" i="33"/>
  <c r="X38" i="33"/>
  <c r="Y38" i="33"/>
  <c r="Z38" i="33"/>
  <c r="AA38" i="33"/>
  <c r="AB38" i="33"/>
  <c r="AC38" i="33"/>
  <c r="AD38" i="33"/>
  <c r="AE38" i="33"/>
  <c r="AF38" i="33"/>
  <c r="AG38" i="33"/>
  <c r="AH38" i="33"/>
  <c r="AI38" i="33"/>
  <c r="AJ38" i="33"/>
  <c r="AK38" i="33"/>
  <c r="W38" i="33"/>
  <c r="K38" i="33"/>
  <c r="L38" i="33"/>
  <c r="M38" i="33"/>
  <c r="N38" i="33"/>
  <c r="O38" i="33"/>
  <c r="P38" i="33"/>
  <c r="Q38" i="33"/>
  <c r="R38" i="33"/>
  <c r="S38" i="33"/>
  <c r="T38" i="33"/>
  <c r="U38" i="33"/>
  <c r="V38" i="33"/>
  <c r="J38" i="33"/>
  <c r="T36" i="33"/>
  <c r="U36" i="33"/>
  <c r="V36" i="33"/>
  <c r="W36" i="33"/>
  <c r="X36" i="33"/>
  <c r="Y36" i="33"/>
  <c r="Z36" i="33"/>
  <c r="AA36" i="33"/>
  <c r="AB36" i="33"/>
  <c r="AC36" i="33"/>
  <c r="AD36" i="33"/>
  <c r="AE36" i="33"/>
  <c r="AF36" i="33"/>
  <c r="AG36" i="33"/>
  <c r="AH36" i="33"/>
  <c r="AI36" i="33"/>
  <c r="AJ36" i="33"/>
  <c r="AK36" i="33"/>
  <c r="S36" i="33"/>
  <c r="K34" i="33"/>
  <c r="L34" i="33"/>
  <c r="M34" i="33"/>
  <c r="N34" i="33"/>
  <c r="O34" i="33"/>
  <c r="P34" i="33"/>
  <c r="Q34" i="33"/>
  <c r="R34" i="33"/>
  <c r="S34" i="33"/>
  <c r="T34" i="33"/>
  <c r="U34" i="33"/>
  <c r="V34" i="33"/>
  <c r="W34" i="33"/>
  <c r="X34" i="33"/>
  <c r="Y34" i="33"/>
  <c r="Z34" i="33"/>
  <c r="AA34" i="33"/>
  <c r="AB34" i="33"/>
  <c r="AC34" i="33"/>
  <c r="AD34" i="33"/>
  <c r="AE34" i="33"/>
  <c r="AF34" i="33"/>
  <c r="AG34" i="33"/>
  <c r="AH34" i="33"/>
  <c r="AI34" i="33"/>
  <c r="AJ34" i="33"/>
  <c r="AK34" i="33"/>
  <c r="K35" i="33"/>
  <c r="L35" i="33"/>
  <c r="M35" i="33"/>
  <c r="N35" i="33"/>
  <c r="O35" i="33"/>
  <c r="P35" i="33"/>
  <c r="Q35" i="33"/>
  <c r="R35" i="33"/>
  <c r="S35" i="33"/>
  <c r="T35" i="33"/>
  <c r="U35" i="33"/>
  <c r="V35" i="33"/>
  <c r="W35" i="33"/>
  <c r="X35" i="33"/>
  <c r="Y35" i="33"/>
  <c r="Z35" i="33"/>
  <c r="AA35" i="33"/>
  <c r="AB35" i="33"/>
  <c r="AC35" i="33"/>
  <c r="AD35" i="33"/>
  <c r="AE35" i="33"/>
  <c r="AF35" i="33"/>
  <c r="AG35" i="33"/>
  <c r="AH35" i="33"/>
  <c r="AI35" i="33"/>
  <c r="AJ35" i="33"/>
  <c r="AK35" i="33"/>
  <c r="K36" i="33"/>
  <c r="L36" i="33"/>
  <c r="M36" i="33"/>
  <c r="N36" i="33"/>
  <c r="O36" i="33"/>
  <c r="P36" i="33"/>
  <c r="Q36" i="33"/>
  <c r="R36" i="33"/>
  <c r="J36" i="33"/>
  <c r="J35" i="33"/>
  <c r="J34" i="33"/>
  <c r="R28" i="33"/>
  <c r="S28" i="33"/>
  <c r="T28" i="33"/>
  <c r="U28" i="33"/>
  <c r="V28" i="33"/>
  <c r="W28" i="33"/>
  <c r="X28" i="33"/>
  <c r="Y28" i="33"/>
  <c r="Z28" i="33"/>
  <c r="AA28" i="33"/>
  <c r="AB28" i="33"/>
  <c r="AC28" i="33"/>
  <c r="AD28" i="33"/>
  <c r="AE28" i="33"/>
  <c r="AF28" i="33"/>
  <c r="AG28" i="33"/>
  <c r="AH28" i="33"/>
  <c r="AI28" i="33"/>
  <c r="AJ28" i="33"/>
  <c r="AK28" i="33"/>
  <c r="Q28" i="33"/>
  <c r="AJ27" i="33"/>
  <c r="AK27" i="33" s="1"/>
  <c r="AI27" i="33"/>
  <c r="K27" i="33"/>
  <c r="L27" i="33"/>
  <c r="M27" i="33"/>
  <c r="N27" i="33"/>
  <c r="O27" i="33"/>
  <c r="P27" i="33"/>
  <c r="Q27" i="33"/>
  <c r="R27" i="33"/>
  <c r="S27" i="33"/>
  <c r="T27" i="33"/>
  <c r="U27" i="33"/>
  <c r="V27" i="33"/>
  <c r="W27" i="33"/>
  <c r="X27" i="33"/>
  <c r="Y27" i="33"/>
  <c r="Z27" i="33"/>
  <c r="AA27" i="33"/>
  <c r="AB27" i="33"/>
  <c r="AC27" i="33"/>
  <c r="AD27" i="33"/>
  <c r="AE27" i="33"/>
  <c r="AF27" i="33"/>
  <c r="AG27" i="33"/>
  <c r="AH27" i="33"/>
  <c r="K28" i="33"/>
  <c r="L28" i="33"/>
  <c r="M28" i="33"/>
  <c r="N28" i="33"/>
  <c r="O28" i="33"/>
  <c r="P28" i="33"/>
  <c r="K29" i="33"/>
  <c r="L29" i="33"/>
  <c r="M29" i="33"/>
  <c r="N29" i="33"/>
  <c r="O29" i="33"/>
  <c r="P29" i="33"/>
  <c r="Q29" i="33"/>
  <c r="R29" i="33"/>
  <c r="S29" i="33"/>
  <c r="T29" i="33"/>
  <c r="U29" i="33"/>
  <c r="V29" i="33"/>
  <c r="W29" i="33"/>
  <c r="X29" i="33"/>
  <c r="Y29" i="33"/>
  <c r="Z29" i="33"/>
  <c r="AA29" i="33"/>
  <c r="AB29" i="33"/>
  <c r="AC29" i="33"/>
  <c r="AD29" i="33"/>
  <c r="AE29" i="33"/>
  <c r="AF29" i="33"/>
  <c r="AG29" i="33"/>
  <c r="AH29" i="33"/>
  <c r="AI29" i="33"/>
  <c r="AJ29" i="33"/>
  <c r="AK29" i="33"/>
  <c r="J28" i="33"/>
  <c r="J29" i="33"/>
  <c r="J27" i="33"/>
  <c r="AK18" i="33"/>
  <c r="AJ18" i="33"/>
  <c r="AI18" i="33"/>
  <c r="AH18" i="33"/>
  <c r="AG18" i="33"/>
  <c r="AF18" i="33"/>
  <c r="AE18" i="33"/>
  <c r="AD18" i="33"/>
  <c r="AC18" i="33"/>
  <c r="AB18" i="33"/>
  <c r="AA18" i="33"/>
  <c r="Z18" i="33"/>
  <c r="Y18" i="33"/>
  <c r="X18" i="33"/>
  <c r="W18" i="33"/>
  <c r="V18" i="33"/>
  <c r="U18" i="33"/>
  <c r="T18" i="33"/>
  <c r="S18" i="33"/>
  <c r="R18" i="33"/>
  <c r="Q18" i="33"/>
  <c r="P18" i="33"/>
  <c r="O18" i="33"/>
  <c r="N18" i="33"/>
  <c r="M18" i="33"/>
  <c r="L18" i="33"/>
  <c r="K18" i="33"/>
  <c r="J18" i="33"/>
  <c r="AK9" i="33"/>
  <c r="AJ9" i="33"/>
  <c r="AI9" i="33"/>
  <c r="AH9" i="33"/>
  <c r="AG9" i="33"/>
  <c r="AF9" i="33"/>
  <c r="AE9" i="33"/>
  <c r="AD9" i="33"/>
  <c r="AC9" i="33"/>
  <c r="AB9" i="33"/>
  <c r="AA9" i="33"/>
  <c r="Z9" i="33"/>
  <c r="Y9" i="33"/>
  <c r="X9" i="33"/>
  <c r="W9" i="33"/>
  <c r="V9" i="33"/>
  <c r="U9" i="33"/>
  <c r="T9" i="33"/>
  <c r="S9" i="33"/>
  <c r="R9" i="33"/>
  <c r="Q9" i="33"/>
  <c r="P9" i="33"/>
  <c r="O9" i="33"/>
  <c r="N9" i="33"/>
  <c r="M9" i="33"/>
  <c r="L9" i="33"/>
  <c r="K9" i="33"/>
  <c r="J9" i="33"/>
  <c r="K3" i="33"/>
  <c r="L3" i="33"/>
  <c r="M3" i="33"/>
  <c r="N3" i="33"/>
  <c r="O3" i="33"/>
  <c r="P3" i="33"/>
  <c r="Q3" i="33"/>
  <c r="R3" i="33"/>
  <c r="S3" i="33"/>
  <c r="T3" i="33"/>
  <c r="U3" i="33"/>
  <c r="V3" i="33"/>
  <c r="W3" i="33"/>
  <c r="X3" i="33"/>
  <c r="Y3" i="33"/>
  <c r="Z3" i="33"/>
  <c r="AA3" i="33"/>
  <c r="AB3" i="33"/>
  <c r="AC3" i="33"/>
  <c r="AD3" i="33"/>
  <c r="AE3" i="33"/>
  <c r="AF3" i="33"/>
  <c r="AG3" i="33"/>
  <c r="AH3" i="33"/>
  <c r="AI3" i="33"/>
  <c r="AJ3" i="33"/>
  <c r="AK3" i="33"/>
  <c r="K4" i="33"/>
  <c r="L4" i="33"/>
  <c r="M4" i="33"/>
  <c r="N4" i="33"/>
  <c r="O4" i="33"/>
  <c r="P4" i="33"/>
  <c r="Q4" i="33"/>
  <c r="R4" i="33"/>
  <c r="S4" i="33"/>
  <c r="T4" i="33"/>
  <c r="U4" i="33"/>
  <c r="V4" i="33"/>
  <c r="W4" i="33"/>
  <c r="X4" i="33"/>
  <c r="Y4" i="33"/>
  <c r="Z4" i="33"/>
  <c r="AA4" i="33"/>
  <c r="AB4" i="33"/>
  <c r="AC4" i="33"/>
  <c r="AD4" i="33"/>
  <c r="AE4" i="33"/>
  <c r="AF4" i="33"/>
  <c r="AG4" i="33"/>
  <c r="AH4" i="33"/>
  <c r="AI4" i="33"/>
  <c r="AJ4" i="33"/>
  <c r="AK4" i="33"/>
  <c r="J3" i="33"/>
  <c r="J4" i="33"/>
  <c r="K5" i="33"/>
  <c r="L5" i="33" s="1"/>
  <c r="M5" i="33" s="1"/>
  <c r="N5" i="33" s="1"/>
  <c r="O5" i="33" s="1"/>
  <c r="P5" i="33" s="1"/>
  <c r="Q5" i="33" s="1"/>
  <c r="R5" i="33" s="1"/>
  <c r="S5" i="33" s="1"/>
  <c r="T5" i="33" s="1"/>
  <c r="U5" i="33" s="1"/>
  <c r="V5" i="33" s="1"/>
  <c r="W5" i="33" s="1"/>
  <c r="X5" i="33" s="1"/>
  <c r="Y5" i="33" s="1"/>
  <c r="Z5" i="33" s="1"/>
  <c r="AA5" i="33" s="1"/>
  <c r="AB5" i="33" s="1"/>
  <c r="AC5" i="33" s="1"/>
  <c r="AD5" i="33" s="1"/>
  <c r="AE5" i="33" s="1"/>
  <c r="AF5" i="33" s="1"/>
  <c r="AG5" i="33" s="1"/>
  <c r="AH5" i="33" s="1"/>
  <c r="AI5" i="33" s="1"/>
  <c r="AJ5" i="33" s="1"/>
  <c r="AK5" i="33" s="1"/>
  <c r="J5" i="33"/>
  <c r="I5" i="33"/>
  <c r="H51" i="33"/>
  <c r="H52" i="33"/>
  <c r="H53" i="33"/>
  <c r="H54" i="33"/>
  <c r="H55" i="33"/>
  <c r="H56" i="33"/>
  <c r="H57" i="33"/>
  <c r="H58" i="33"/>
  <c r="H59" i="33"/>
  <c r="H60" i="33"/>
  <c r="H61" i="33"/>
  <c r="H62" i="33"/>
  <c r="H63" i="33"/>
  <c r="H64" i="33"/>
  <c r="H65" i="33"/>
  <c r="H66" i="33"/>
  <c r="H67" i="33"/>
  <c r="H68" i="33"/>
  <c r="H69" i="33"/>
  <c r="H70" i="33"/>
  <c r="H50" i="33"/>
  <c r="H27" i="33"/>
  <c r="H28" i="33"/>
  <c r="H29" i="33"/>
  <c r="H30" i="33"/>
  <c r="H31" i="33"/>
  <c r="H32" i="33"/>
  <c r="H33" i="33"/>
  <c r="H34" i="33"/>
  <c r="H35" i="33"/>
  <c r="H36" i="33"/>
  <c r="H37" i="33"/>
  <c r="H38" i="33"/>
  <c r="H39" i="33"/>
  <c r="H40" i="33"/>
  <c r="H41" i="33"/>
  <c r="H42" i="33"/>
  <c r="H43" i="33"/>
  <c r="H44" i="33"/>
  <c r="H45" i="33"/>
  <c r="H46" i="33"/>
  <c r="H26" i="33"/>
  <c r="H3" i="33"/>
  <c r="H4" i="33"/>
  <c r="H5" i="33"/>
  <c r="H6" i="33"/>
  <c r="H7" i="33"/>
  <c r="H8" i="33"/>
  <c r="H9" i="33"/>
  <c r="H10" i="33"/>
  <c r="H11" i="33"/>
  <c r="H12" i="33"/>
  <c r="H13" i="33"/>
  <c r="H14" i="33"/>
  <c r="H15" i="33"/>
  <c r="H16" i="33"/>
  <c r="H17" i="33"/>
  <c r="H18" i="33"/>
  <c r="H19" i="33"/>
  <c r="H20" i="33"/>
  <c r="H21" i="33"/>
  <c r="H22" i="33"/>
  <c r="H2" i="33"/>
  <c r="K68" i="33"/>
  <c r="L68" i="33" s="1"/>
  <c r="M68" i="33" s="1"/>
  <c r="N68" i="33" s="1"/>
  <c r="O68" i="33" s="1"/>
  <c r="P68" i="33" s="1"/>
  <c r="Q68" i="33" s="1"/>
  <c r="R68" i="33" s="1"/>
  <c r="S68" i="33" s="1"/>
  <c r="T68" i="33" s="1"/>
  <c r="U68" i="33" s="1"/>
  <c r="V68" i="33" s="1"/>
  <c r="W68" i="33" s="1"/>
  <c r="X68" i="33" s="1"/>
  <c r="Y68" i="33" s="1"/>
  <c r="Z68" i="33" s="1"/>
  <c r="AA68" i="33" s="1"/>
  <c r="AB68" i="33" s="1"/>
  <c r="AC68" i="33" s="1"/>
  <c r="AD68" i="33" s="1"/>
  <c r="AE68" i="33" s="1"/>
  <c r="AF68" i="33" s="1"/>
  <c r="AG68" i="33" s="1"/>
  <c r="AH68" i="33" s="1"/>
  <c r="AI68" i="33" s="1"/>
  <c r="AJ68" i="33" s="1"/>
  <c r="AK68" i="33" s="1"/>
  <c r="J68" i="33"/>
  <c r="I68" i="33"/>
  <c r="G68" i="33"/>
  <c r="F68" i="33"/>
  <c r="E68" i="33"/>
  <c r="D68" i="33"/>
  <c r="C68" i="33"/>
  <c r="B68" i="33"/>
  <c r="I67" i="33"/>
  <c r="G67" i="33"/>
  <c r="F67" i="33"/>
  <c r="E67" i="33"/>
  <c r="D67" i="33"/>
  <c r="C67" i="33"/>
  <c r="B67" i="33"/>
  <c r="I66" i="33"/>
  <c r="G66" i="33"/>
  <c r="F66" i="33"/>
  <c r="E66" i="33"/>
  <c r="D66" i="33"/>
  <c r="C66" i="33"/>
  <c r="B66" i="33"/>
  <c r="J69" i="33"/>
  <c r="K69" i="33"/>
  <c r="L69" i="33"/>
  <c r="M69" i="33"/>
  <c r="N69" i="33"/>
  <c r="O69" i="33"/>
  <c r="P69" i="33"/>
  <c r="Q69" i="33"/>
  <c r="R69" i="33"/>
  <c r="S69" i="33"/>
  <c r="T69" i="33"/>
  <c r="U69" i="33"/>
  <c r="V69" i="33"/>
  <c r="W69" i="33"/>
  <c r="X69" i="33"/>
  <c r="Y69" i="33"/>
  <c r="Z69" i="33"/>
  <c r="AA69" i="33"/>
  <c r="AB69" i="33"/>
  <c r="AC69" i="33"/>
  <c r="AD69" i="33"/>
  <c r="AE69" i="33"/>
  <c r="AF69" i="33"/>
  <c r="AG69" i="33"/>
  <c r="AH69" i="33"/>
  <c r="AI69" i="33"/>
  <c r="AJ69" i="33"/>
  <c r="AK69" i="33"/>
  <c r="J70" i="33"/>
  <c r="K70" i="33"/>
  <c r="L70" i="33"/>
  <c r="M70" i="33"/>
  <c r="N70" i="33"/>
  <c r="O70" i="33"/>
  <c r="P70" i="33"/>
  <c r="Q70" i="33"/>
  <c r="R70" i="33"/>
  <c r="S70" i="33"/>
  <c r="T70" i="33"/>
  <c r="U70" i="33"/>
  <c r="V70" i="33"/>
  <c r="W70" i="33"/>
  <c r="X70" i="33"/>
  <c r="Y70" i="33"/>
  <c r="Z70" i="33"/>
  <c r="AA70" i="33"/>
  <c r="AB70" i="33"/>
  <c r="AC70" i="33"/>
  <c r="AD70" i="33"/>
  <c r="AE70" i="33"/>
  <c r="AF70" i="33"/>
  <c r="AG70" i="33"/>
  <c r="AH70" i="33"/>
  <c r="AI70" i="33"/>
  <c r="AJ70" i="33"/>
  <c r="AK70" i="33"/>
  <c r="I62" i="33"/>
  <c r="G62" i="33"/>
  <c r="F62" i="33"/>
  <c r="E62" i="33"/>
  <c r="D62" i="33"/>
  <c r="C62" i="33"/>
  <c r="B62" i="33"/>
  <c r="K61" i="33"/>
  <c r="L61" i="33" s="1"/>
  <c r="M61" i="33" s="1"/>
  <c r="N61" i="33" s="1"/>
  <c r="O61" i="33" s="1"/>
  <c r="P61" i="33" s="1"/>
  <c r="Q61" i="33" s="1"/>
  <c r="R61" i="33" s="1"/>
  <c r="S61" i="33" s="1"/>
  <c r="T61" i="33" s="1"/>
  <c r="U61" i="33" s="1"/>
  <c r="V61" i="33" s="1"/>
  <c r="W61" i="33" s="1"/>
  <c r="X61" i="33" s="1"/>
  <c r="Y61" i="33" s="1"/>
  <c r="Z61" i="33" s="1"/>
  <c r="AA61" i="33" s="1"/>
  <c r="AB61" i="33" s="1"/>
  <c r="AC61" i="33" s="1"/>
  <c r="AD61" i="33" s="1"/>
  <c r="AE61" i="33" s="1"/>
  <c r="AF61" i="33" s="1"/>
  <c r="AG61" i="33" s="1"/>
  <c r="AH61" i="33" s="1"/>
  <c r="AI61" i="33" s="1"/>
  <c r="AJ61" i="33" s="1"/>
  <c r="AK61" i="33" s="1"/>
  <c r="J61" i="33"/>
  <c r="I60" i="33"/>
  <c r="G60" i="33"/>
  <c r="F60" i="33"/>
  <c r="E60" i="33"/>
  <c r="D60" i="33"/>
  <c r="C60" i="33"/>
  <c r="B60" i="33"/>
  <c r="I59" i="33"/>
  <c r="G59" i="33"/>
  <c r="F59" i="33"/>
  <c r="E59" i="33"/>
  <c r="D59" i="33"/>
  <c r="C59" i="33"/>
  <c r="B59" i="33"/>
  <c r="I58" i="33"/>
  <c r="G58" i="33"/>
  <c r="F58" i="33"/>
  <c r="E58" i="33"/>
  <c r="D58" i="33"/>
  <c r="C58" i="33"/>
  <c r="B58" i="33"/>
  <c r="K57" i="33"/>
  <c r="L57" i="33" s="1"/>
  <c r="M57" i="33" s="1"/>
  <c r="N57" i="33" s="1"/>
  <c r="O57" i="33" s="1"/>
  <c r="P57" i="33" s="1"/>
  <c r="Q57" i="33" s="1"/>
  <c r="R57" i="33" s="1"/>
  <c r="S57" i="33" s="1"/>
  <c r="T57" i="33" s="1"/>
  <c r="U57" i="33" s="1"/>
  <c r="V57" i="33" s="1"/>
  <c r="W57" i="33" s="1"/>
  <c r="X57" i="33" s="1"/>
  <c r="Y57" i="33" s="1"/>
  <c r="Z57" i="33" s="1"/>
  <c r="AA57" i="33" s="1"/>
  <c r="AB57" i="33" s="1"/>
  <c r="AC57" i="33" s="1"/>
  <c r="AD57" i="33" s="1"/>
  <c r="AE57" i="33" s="1"/>
  <c r="AF57" i="33" s="1"/>
  <c r="AG57" i="33" s="1"/>
  <c r="AH57" i="33" s="1"/>
  <c r="AI57" i="33" s="1"/>
  <c r="AJ57" i="33" s="1"/>
  <c r="AK57" i="33" s="1"/>
  <c r="J57" i="33"/>
  <c r="K53" i="33"/>
  <c r="L53" i="33" s="1"/>
  <c r="M53" i="33" s="1"/>
  <c r="N53" i="33" s="1"/>
  <c r="O53" i="33" s="1"/>
  <c r="P53" i="33" s="1"/>
  <c r="Q53" i="33" s="1"/>
  <c r="R53" i="33" s="1"/>
  <c r="S53" i="33" s="1"/>
  <c r="T53" i="33" s="1"/>
  <c r="U53" i="33" s="1"/>
  <c r="V53" i="33" s="1"/>
  <c r="W53" i="33" s="1"/>
  <c r="X53" i="33" s="1"/>
  <c r="Y53" i="33" s="1"/>
  <c r="Z53" i="33" s="1"/>
  <c r="AA53" i="33" s="1"/>
  <c r="AB53" i="33" s="1"/>
  <c r="AC53" i="33" s="1"/>
  <c r="AD53" i="33" s="1"/>
  <c r="AE53" i="33" s="1"/>
  <c r="AF53" i="33" s="1"/>
  <c r="AG53" i="33" s="1"/>
  <c r="AH53" i="33" s="1"/>
  <c r="AI53" i="33" s="1"/>
  <c r="AJ53" i="33" s="1"/>
  <c r="AK53" i="33" s="1"/>
  <c r="J53" i="33"/>
  <c r="K51" i="33"/>
  <c r="L51" i="33" s="1"/>
  <c r="M51" i="33" s="1"/>
  <c r="N51" i="33" s="1"/>
  <c r="O51" i="33" s="1"/>
  <c r="P51" i="33" s="1"/>
  <c r="Q51" i="33" s="1"/>
  <c r="R51" i="33" s="1"/>
  <c r="S51" i="33" s="1"/>
  <c r="T51" i="33" s="1"/>
  <c r="U51" i="33" s="1"/>
  <c r="V51" i="33" s="1"/>
  <c r="W51" i="33" s="1"/>
  <c r="X51" i="33" s="1"/>
  <c r="Y51" i="33" s="1"/>
  <c r="Z51" i="33" s="1"/>
  <c r="AA51" i="33" s="1"/>
  <c r="AB51" i="33" s="1"/>
  <c r="AC51" i="33" s="1"/>
  <c r="AD51" i="33" s="1"/>
  <c r="AE51" i="33" s="1"/>
  <c r="AF51" i="33" s="1"/>
  <c r="AG51" i="33" s="1"/>
  <c r="AH51" i="33" s="1"/>
  <c r="AI51" i="33" s="1"/>
  <c r="AJ51" i="33" s="1"/>
  <c r="AK51" i="33" s="1"/>
  <c r="K52" i="33"/>
  <c r="L52" i="33"/>
  <c r="M52" i="33"/>
  <c r="N52" i="33"/>
  <c r="O52" i="33" s="1"/>
  <c r="P52" i="33" s="1"/>
  <c r="Q52" i="33" s="1"/>
  <c r="R52" i="33" s="1"/>
  <c r="S52" i="33" s="1"/>
  <c r="T52" i="33" s="1"/>
  <c r="U52" i="33" s="1"/>
  <c r="V52" i="33" s="1"/>
  <c r="W52" i="33" s="1"/>
  <c r="X52" i="33" s="1"/>
  <c r="Y52" i="33" s="1"/>
  <c r="Z52" i="33" s="1"/>
  <c r="AA52" i="33" s="1"/>
  <c r="AB52" i="33" s="1"/>
  <c r="AC52" i="33" s="1"/>
  <c r="AD52" i="33" s="1"/>
  <c r="AE52" i="33" s="1"/>
  <c r="AF52" i="33" s="1"/>
  <c r="AG52" i="33" s="1"/>
  <c r="AH52" i="33" s="1"/>
  <c r="AI52" i="33" s="1"/>
  <c r="AJ52" i="33" s="1"/>
  <c r="AK52" i="33" s="1"/>
  <c r="J52" i="33"/>
  <c r="J51" i="33"/>
  <c r="B52" i="33"/>
  <c r="K45" i="33"/>
  <c r="L45" i="33" s="1"/>
  <c r="M45" i="33" s="1"/>
  <c r="N45" i="33" s="1"/>
  <c r="O45" i="33" s="1"/>
  <c r="P45" i="33" s="1"/>
  <c r="Q45" i="33" s="1"/>
  <c r="R45" i="33" s="1"/>
  <c r="S45" i="33" s="1"/>
  <c r="T45" i="33" s="1"/>
  <c r="U45" i="33" s="1"/>
  <c r="V45" i="33" s="1"/>
  <c r="W45" i="33" s="1"/>
  <c r="X45" i="33" s="1"/>
  <c r="Y45" i="33" s="1"/>
  <c r="Z45" i="33" s="1"/>
  <c r="AA45" i="33" s="1"/>
  <c r="AB45" i="33" s="1"/>
  <c r="AC45" i="33" s="1"/>
  <c r="AD45" i="33" s="1"/>
  <c r="AE45" i="33" s="1"/>
  <c r="AF45" i="33" s="1"/>
  <c r="AG45" i="33" s="1"/>
  <c r="AH45" i="33" s="1"/>
  <c r="AI45" i="33" s="1"/>
  <c r="AJ45" i="33" s="1"/>
  <c r="AK45" i="33" s="1"/>
  <c r="K46" i="33"/>
  <c r="L46" i="33" s="1"/>
  <c r="M46" i="33" s="1"/>
  <c r="N46" i="33" s="1"/>
  <c r="O46" i="33" s="1"/>
  <c r="P46" i="33" s="1"/>
  <c r="Q46" i="33" s="1"/>
  <c r="R46" i="33" s="1"/>
  <c r="S46" i="33" s="1"/>
  <c r="T46" i="33" s="1"/>
  <c r="U46" i="33" s="1"/>
  <c r="V46" i="33" s="1"/>
  <c r="W46" i="33" s="1"/>
  <c r="X46" i="33" s="1"/>
  <c r="Y46" i="33" s="1"/>
  <c r="Z46" i="33" s="1"/>
  <c r="AA46" i="33" s="1"/>
  <c r="AB46" i="33" s="1"/>
  <c r="AC46" i="33" s="1"/>
  <c r="AD46" i="33" s="1"/>
  <c r="AE46" i="33" s="1"/>
  <c r="AF46" i="33" s="1"/>
  <c r="AG46" i="33" s="1"/>
  <c r="AH46" i="33" s="1"/>
  <c r="AI46" i="33" s="1"/>
  <c r="AJ46" i="33" s="1"/>
  <c r="AK46" i="33" s="1"/>
  <c r="J46" i="33"/>
  <c r="J45" i="33"/>
  <c r="K10" i="33"/>
  <c r="L10" i="33" s="1"/>
  <c r="M10" i="33" s="1"/>
  <c r="N10" i="33" s="1"/>
  <c r="O10" i="33" s="1"/>
  <c r="P10" i="33" s="1"/>
  <c r="Q10" i="33" s="1"/>
  <c r="R10" i="33" s="1"/>
  <c r="S10" i="33" s="1"/>
  <c r="T10" i="33" s="1"/>
  <c r="U10" i="33" s="1"/>
  <c r="V10" i="33" s="1"/>
  <c r="W10" i="33" s="1"/>
  <c r="X10" i="33" s="1"/>
  <c r="Y10" i="33" s="1"/>
  <c r="Z10" i="33" s="1"/>
  <c r="AA10" i="33" s="1"/>
  <c r="AB10" i="33" s="1"/>
  <c r="AC10" i="33" s="1"/>
  <c r="AD10" i="33" s="1"/>
  <c r="AE10" i="33" s="1"/>
  <c r="AF10" i="33" s="1"/>
  <c r="AG10" i="33" s="1"/>
  <c r="AH10" i="33" s="1"/>
  <c r="AI10" i="33" s="1"/>
  <c r="AJ10" i="33" s="1"/>
  <c r="AK10" i="33" s="1"/>
  <c r="K11" i="33"/>
  <c r="L11" i="33"/>
  <c r="M11" i="33"/>
  <c r="N11" i="33"/>
  <c r="O11" i="33" s="1"/>
  <c r="P11" i="33" s="1"/>
  <c r="Q11" i="33" s="1"/>
  <c r="R11" i="33" s="1"/>
  <c r="S11" i="33" s="1"/>
  <c r="T11" i="33" s="1"/>
  <c r="U11" i="33" s="1"/>
  <c r="V11" i="33" s="1"/>
  <c r="W11" i="33" s="1"/>
  <c r="X11" i="33" s="1"/>
  <c r="Y11" i="33" s="1"/>
  <c r="Z11" i="33" s="1"/>
  <c r="AA11" i="33" s="1"/>
  <c r="AB11" i="33" s="1"/>
  <c r="AC11" i="33" s="1"/>
  <c r="AD11" i="33" s="1"/>
  <c r="AE11" i="33" s="1"/>
  <c r="AF11" i="33" s="1"/>
  <c r="AG11" i="33" s="1"/>
  <c r="AH11" i="33" s="1"/>
  <c r="AI11" i="33" s="1"/>
  <c r="AJ11" i="33" s="1"/>
  <c r="AK11" i="33" s="1"/>
  <c r="K12" i="33"/>
  <c r="L12" i="33" s="1"/>
  <c r="M12" i="33" s="1"/>
  <c r="N12" i="33" s="1"/>
  <c r="O12" i="33" s="1"/>
  <c r="P12" i="33" s="1"/>
  <c r="Q12" i="33" s="1"/>
  <c r="R12" i="33" s="1"/>
  <c r="S12" i="33" s="1"/>
  <c r="T12" i="33" s="1"/>
  <c r="U12" i="33" s="1"/>
  <c r="V12" i="33" s="1"/>
  <c r="W12" i="33" s="1"/>
  <c r="X12" i="33" s="1"/>
  <c r="Y12" i="33" s="1"/>
  <c r="Z12" i="33" s="1"/>
  <c r="AA12" i="33" s="1"/>
  <c r="AB12" i="33" s="1"/>
  <c r="AC12" i="33" s="1"/>
  <c r="AD12" i="33" s="1"/>
  <c r="AE12" i="33" s="1"/>
  <c r="AF12" i="33" s="1"/>
  <c r="AG12" i="33" s="1"/>
  <c r="AH12" i="33" s="1"/>
  <c r="AI12" i="33" s="1"/>
  <c r="AJ12" i="33" s="1"/>
  <c r="AK12" i="33" s="1"/>
  <c r="J11" i="33"/>
  <c r="J12" i="33"/>
  <c r="J10" i="33"/>
  <c r="K14" i="33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AF14" i="33" s="1"/>
  <c r="AG14" i="33" s="1"/>
  <c r="AH14" i="33" s="1"/>
  <c r="AI14" i="33" s="1"/>
  <c r="AJ14" i="33" s="1"/>
  <c r="AK14" i="33" s="1"/>
  <c r="J14" i="33"/>
  <c r="K19" i="33"/>
  <c r="L19" i="33"/>
  <c r="M19" i="33"/>
  <c r="N19" i="33" s="1"/>
  <c r="O19" i="33" s="1"/>
  <c r="P19" i="33" s="1"/>
  <c r="Q19" i="33" s="1"/>
  <c r="R19" i="33" s="1"/>
  <c r="S19" i="33" s="1"/>
  <c r="T19" i="33" s="1"/>
  <c r="U19" i="33" s="1"/>
  <c r="V19" i="33" s="1"/>
  <c r="W19" i="33" s="1"/>
  <c r="X19" i="33" s="1"/>
  <c r="Y19" i="33" s="1"/>
  <c r="Z19" i="33" s="1"/>
  <c r="AA19" i="33" s="1"/>
  <c r="AB19" i="33" s="1"/>
  <c r="AC19" i="33" s="1"/>
  <c r="AD19" i="33" s="1"/>
  <c r="AE19" i="33" s="1"/>
  <c r="AF19" i="33" s="1"/>
  <c r="AG19" i="33" s="1"/>
  <c r="AH19" i="33" s="1"/>
  <c r="AI19" i="33" s="1"/>
  <c r="AJ19" i="33" s="1"/>
  <c r="AK19" i="33" s="1"/>
  <c r="K20" i="33"/>
  <c r="L20" i="33" s="1"/>
  <c r="M20" i="33" s="1"/>
  <c r="N20" i="33" s="1"/>
  <c r="O20" i="33" s="1"/>
  <c r="P20" i="33" s="1"/>
  <c r="Q20" i="33" s="1"/>
  <c r="R20" i="33" s="1"/>
  <c r="S20" i="33" s="1"/>
  <c r="T20" i="33" s="1"/>
  <c r="U20" i="33" s="1"/>
  <c r="V20" i="33" s="1"/>
  <c r="W20" i="33" s="1"/>
  <c r="X20" i="33" s="1"/>
  <c r="Y20" i="33" s="1"/>
  <c r="Z20" i="33" s="1"/>
  <c r="AA20" i="33" s="1"/>
  <c r="AB20" i="33" s="1"/>
  <c r="AC20" i="33" s="1"/>
  <c r="AD20" i="33" s="1"/>
  <c r="AE20" i="33" s="1"/>
  <c r="AF20" i="33" s="1"/>
  <c r="AG20" i="33" s="1"/>
  <c r="AH20" i="33" s="1"/>
  <c r="AI20" i="33" s="1"/>
  <c r="AJ20" i="33" s="1"/>
  <c r="AK20" i="33" s="1"/>
  <c r="J20" i="33"/>
  <c r="J19" i="33"/>
  <c r="I51" i="33"/>
  <c r="G51" i="33"/>
  <c r="F51" i="33"/>
  <c r="E51" i="33"/>
  <c r="D51" i="33"/>
  <c r="C51" i="33"/>
  <c r="B51" i="33"/>
  <c r="I70" i="33"/>
  <c r="G70" i="33"/>
  <c r="F70" i="33"/>
  <c r="E70" i="33"/>
  <c r="D70" i="33"/>
  <c r="C70" i="33"/>
  <c r="B70" i="33"/>
  <c r="I69" i="33"/>
  <c r="G69" i="33"/>
  <c r="F69" i="33"/>
  <c r="E69" i="33"/>
  <c r="D69" i="33"/>
  <c r="C69" i="33"/>
  <c r="B69" i="33"/>
  <c r="D65" i="33"/>
  <c r="E65" i="33" s="1"/>
  <c r="F65" i="33" s="1"/>
  <c r="G65" i="33" s="1"/>
  <c r="C65" i="33"/>
  <c r="I61" i="33"/>
  <c r="G61" i="33"/>
  <c r="F61" i="33"/>
  <c r="E61" i="33"/>
  <c r="D61" i="33"/>
  <c r="C61" i="33"/>
  <c r="B61" i="33"/>
  <c r="I57" i="33"/>
  <c r="G57" i="33"/>
  <c r="F57" i="33"/>
  <c r="E57" i="33"/>
  <c r="D57" i="33"/>
  <c r="C57" i="33"/>
  <c r="B57" i="33"/>
  <c r="I53" i="33"/>
  <c r="G53" i="33"/>
  <c r="F53" i="33"/>
  <c r="E53" i="33"/>
  <c r="D53" i="33"/>
  <c r="C53" i="33"/>
  <c r="B53" i="33"/>
  <c r="I52" i="33"/>
  <c r="G52" i="33"/>
  <c r="F52" i="33"/>
  <c r="E52" i="33"/>
  <c r="D52" i="33"/>
  <c r="C52" i="33"/>
  <c r="I44" i="33"/>
  <c r="G44" i="33"/>
  <c r="F44" i="33"/>
  <c r="E44" i="33"/>
  <c r="D44" i="33"/>
  <c r="C44" i="33"/>
  <c r="B44" i="33"/>
  <c r="I43" i="33"/>
  <c r="G43" i="33"/>
  <c r="F43" i="33"/>
  <c r="E43" i="33"/>
  <c r="D43" i="33"/>
  <c r="C43" i="33"/>
  <c r="B43" i="33"/>
  <c r="I42" i="33"/>
  <c r="G42" i="33"/>
  <c r="F42" i="33"/>
  <c r="E42" i="33"/>
  <c r="D42" i="33"/>
  <c r="C42" i="33"/>
  <c r="B42" i="33"/>
  <c r="I38" i="33"/>
  <c r="G38" i="33"/>
  <c r="F38" i="33"/>
  <c r="E38" i="33"/>
  <c r="D38" i="33"/>
  <c r="C38" i="33"/>
  <c r="B38" i="33"/>
  <c r="J37" i="33"/>
  <c r="K37" i="33"/>
  <c r="L37" i="33"/>
  <c r="M37" i="33"/>
  <c r="N37" i="33"/>
  <c r="O37" i="33"/>
  <c r="P37" i="33"/>
  <c r="Q37" i="33"/>
  <c r="R37" i="33"/>
  <c r="S37" i="33"/>
  <c r="T37" i="33"/>
  <c r="U37" i="33"/>
  <c r="V37" i="33"/>
  <c r="W37" i="33"/>
  <c r="X37" i="33"/>
  <c r="Y37" i="33"/>
  <c r="Z37" i="33"/>
  <c r="AA37" i="33"/>
  <c r="AB37" i="33"/>
  <c r="AC37" i="33"/>
  <c r="AD37" i="33"/>
  <c r="AE37" i="33"/>
  <c r="AF37" i="33"/>
  <c r="AG37" i="33"/>
  <c r="AH37" i="33"/>
  <c r="AI37" i="33"/>
  <c r="AJ37" i="33"/>
  <c r="AK37" i="33"/>
  <c r="I36" i="33"/>
  <c r="G36" i="33"/>
  <c r="F36" i="33"/>
  <c r="E36" i="33"/>
  <c r="D36" i="33"/>
  <c r="C36" i="33"/>
  <c r="B36" i="33"/>
  <c r="I35" i="33"/>
  <c r="G35" i="33"/>
  <c r="F35" i="33"/>
  <c r="E35" i="33"/>
  <c r="D35" i="33"/>
  <c r="C35" i="33"/>
  <c r="I34" i="33"/>
  <c r="B35" i="33"/>
  <c r="F28" i="33"/>
  <c r="G28" i="33"/>
  <c r="G34" i="33"/>
  <c r="F34" i="33"/>
  <c r="E34" i="33"/>
  <c r="D34" i="33"/>
  <c r="C34" i="33"/>
  <c r="B34" i="33"/>
  <c r="K33" i="33"/>
  <c r="L33" i="33" s="1"/>
  <c r="M33" i="33" s="1"/>
  <c r="N33" i="33" s="1"/>
  <c r="O33" i="33" s="1"/>
  <c r="P33" i="33" s="1"/>
  <c r="Q33" i="33" s="1"/>
  <c r="R33" i="33" s="1"/>
  <c r="S33" i="33" s="1"/>
  <c r="T33" i="33" s="1"/>
  <c r="U33" i="33" s="1"/>
  <c r="V33" i="33" s="1"/>
  <c r="W33" i="33" s="1"/>
  <c r="X33" i="33" s="1"/>
  <c r="Y33" i="33" s="1"/>
  <c r="Z33" i="33" s="1"/>
  <c r="AA33" i="33" s="1"/>
  <c r="AB33" i="33" s="1"/>
  <c r="AC33" i="33" s="1"/>
  <c r="AD33" i="33" s="1"/>
  <c r="AE33" i="33" s="1"/>
  <c r="AF33" i="33" s="1"/>
  <c r="AG33" i="33" s="1"/>
  <c r="AH33" i="33" s="1"/>
  <c r="AI33" i="33" s="1"/>
  <c r="AJ33" i="33" s="1"/>
  <c r="AK33" i="33" s="1"/>
  <c r="J33" i="33"/>
  <c r="I33" i="33"/>
  <c r="G33" i="33"/>
  <c r="F33" i="33"/>
  <c r="E33" i="33"/>
  <c r="D33" i="33"/>
  <c r="C33" i="33"/>
  <c r="B33" i="33"/>
  <c r="G29" i="33"/>
  <c r="I29" i="33"/>
  <c r="F29" i="33"/>
  <c r="E29" i="33"/>
  <c r="D29" i="33"/>
  <c r="C29" i="33"/>
  <c r="B29" i="33"/>
  <c r="I28" i="33"/>
  <c r="E28" i="33"/>
  <c r="D28" i="33"/>
  <c r="C28" i="33"/>
  <c r="B28" i="33"/>
  <c r="B27" i="33"/>
  <c r="I4" i="33"/>
  <c r="G4" i="33"/>
  <c r="F4" i="33"/>
  <c r="E4" i="33"/>
  <c r="D4" i="33"/>
  <c r="C4" i="33"/>
  <c r="B4" i="33"/>
  <c r="B3" i="33"/>
  <c r="I27" i="33"/>
  <c r="G27" i="33"/>
  <c r="F27" i="33"/>
  <c r="E27" i="33"/>
  <c r="D27" i="33"/>
  <c r="C27" i="33"/>
  <c r="I46" i="33"/>
  <c r="G46" i="33"/>
  <c r="F46" i="33"/>
  <c r="E46" i="33"/>
  <c r="D46" i="33"/>
  <c r="C46" i="33"/>
  <c r="B46" i="33"/>
  <c r="I45" i="33"/>
  <c r="G45" i="33"/>
  <c r="F45" i="33"/>
  <c r="E45" i="33"/>
  <c r="D45" i="33"/>
  <c r="C45" i="33"/>
  <c r="B45" i="33"/>
  <c r="C41" i="33"/>
  <c r="D41" i="33" s="1"/>
  <c r="E41" i="33" s="1"/>
  <c r="F41" i="33" s="1"/>
  <c r="G41" i="33" s="1"/>
  <c r="I37" i="33"/>
  <c r="G37" i="33"/>
  <c r="F37" i="33"/>
  <c r="E37" i="33"/>
  <c r="D37" i="33"/>
  <c r="C37" i="33"/>
  <c r="B37" i="33"/>
  <c r="J13" i="33"/>
  <c r="K13" i="33"/>
  <c r="L13" i="33"/>
  <c r="M13" i="33"/>
  <c r="N13" i="33"/>
  <c r="O13" i="33"/>
  <c r="P13" i="33"/>
  <c r="Q13" i="33"/>
  <c r="R13" i="33"/>
  <c r="S13" i="33"/>
  <c r="T13" i="33"/>
  <c r="U13" i="33"/>
  <c r="V13" i="33"/>
  <c r="W13" i="33"/>
  <c r="X13" i="33"/>
  <c r="Y13" i="33"/>
  <c r="Z13" i="33"/>
  <c r="AA13" i="33"/>
  <c r="AB13" i="33"/>
  <c r="AC13" i="33"/>
  <c r="AD13" i="33"/>
  <c r="AE13" i="33"/>
  <c r="AF13" i="33"/>
  <c r="AG13" i="33"/>
  <c r="AH13" i="33"/>
  <c r="AI13" i="33"/>
  <c r="AJ13" i="33"/>
  <c r="AK13" i="33"/>
  <c r="J21" i="33"/>
  <c r="K21" i="33"/>
  <c r="L21" i="33"/>
  <c r="M21" i="33"/>
  <c r="N21" i="33"/>
  <c r="O21" i="33"/>
  <c r="P21" i="33"/>
  <c r="Q21" i="33"/>
  <c r="R21" i="33"/>
  <c r="S21" i="33"/>
  <c r="T21" i="33"/>
  <c r="U21" i="33"/>
  <c r="V21" i="33"/>
  <c r="W21" i="33"/>
  <c r="X21" i="33"/>
  <c r="Y21" i="33"/>
  <c r="Z21" i="33"/>
  <c r="AA21" i="33"/>
  <c r="AB21" i="33"/>
  <c r="AC21" i="33"/>
  <c r="AD21" i="33"/>
  <c r="AE21" i="33"/>
  <c r="AF21" i="33"/>
  <c r="AG21" i="33"/>
  <c r="AH21" i="33"/>
  <c r="AI21" i="33"/>
  <c r="AJ21" i="33"/>
  <c r="AK21" i="33"/>
  <c r="J22" i="33"/>
  <c r="K22" i="33"/>
  <c r="L22" i="33"/>
  <c r="M22" i="33"/>
  <c r="N22" i="33"/>
  <c r="O22" i="33"/>
  <c r="P22" i="33"/>
  <c r="Q22" i="33"/>
  <c r="R22" i="33"/>
  <c r="S22" i="33"/>
  <c r="T22" i="33"/>
  <c r="U22" i="33"/>
  <c r="V22" i="33"/>
  <c r="W22" i="33"/>
  <c r="X22" i="33"/>
  <c r="Y22" i="33"/>
  <c r="Z22" i="33"/>
  <c r="AA22" i="33"/>
  <c r="AB22" i="33"/>
  <c r="AC22" i="33"/>
  <c r="AD22" i="33"/>
  <c r="AE22" i="33"/>
  <c r="AF22" i="33"/>
  <c r="AG22" i="33"/>
  <c r="AH22" i="33"/>
  <c r="AI22" i="33"/>
  <c r="AJ22" i="33"/>
  <c r="AK22" i="33"/>
  <c r="D21" i="33"/>
  <c r="E21" i="33"/>
  <c r="F21" i="33"/>
  <c r="G21" i="33"/>
  <c r="I21" i="33"/>
  <c r="D22" i="33"/>
  <c r="E22" i="33"/>
  <c r="F22" i="33"/>
  <c r="G22" i="33"/>
  <c r="I22" i="33"/>
  <c r="C22" i="33"/>
  <c r="C21" i="33"/>
  <c r="B21" i="33"/>
  <c r="I20" i="33"/>
  <c r="G20" i="33"/>
  <c r="F20" i="33"/>
  <c r="E20" i="33"/>
  <c r="D20" i="33"/>
  <c r="C20" i="33"/>
  <c r="B20" i="33"/>
  <c r="I19" i="33"/>
  <c r="G19" i="33"/>
  <c r="F19" i="33"/>
  <c r="E19" i="33"/>
  <c r="D19" i="33"/>
  <c r="C19" i="33"/>
  <c r="B19" i="33"/>
  <c r="I18" i="33"/>
  <c r="G18" i="33"/>
  <c r="F18" i="33"/>
  <c r="E18" i="33"/>
  <c r="D18" i="33"/>
  <c r="C18" i="33"/>
  <c r="B18" i="33"/>
  <c r="D17" i="33"/>
  <c r="E17" i="33" s="1"/>
  <c r="F17" i="33" s="1"/>
  <c r="G17" i="33" s="1"/>
  <c r="C17" i="33"/>
  <c r="I14" i="33"/>
  <c r="G14" i="33"/>
  <c r="F14" i="33"/>
  <c r="E14" i="33"/>
  <c r="D14" i="33"/>
  <c r="C14" i="33"/>
  <c r="B14" i="33"/>
  <c r="I12" i="33"/>
  <c r="G12" i="33"/>
  <c r="F12" i="33"/>
  <c r="E12" i="33"/>
  <c r="D12" i="33"/>
  <c r="C12" i="33"/>
  <c r="B12" i="33"/>
  <c r="I3" i="33"/>
  <c r="G3" i="33"/>
  <c r="F3" i="33"/>
  <c r="E3" i="33"/>
  <c r="D3" i="33"/>
  <c r="C3" i="33"/>
  <c r="G5" i="33"/>
  <c r="F5" i="33"/>
  <c r="E5" i="33"/>
  <c r="D5" i="33"/>
  <c r="C5" i="33"/>
  <c r="B5" i="33"/>
  <c r="C13" i="33"/>
  <c r="D13" i="33"/>
  <c r="E13" i="33"/>
  <c r="F13" i="33"/>
  <c r="G13" i="33"/>
  <c r="I13" i="33"/>
  <c r="B13" i="33"/>
  <c r="I11" i="33"/>
  <c r="G11" i="33"/>
  <c r="F11" i="33"/>
  <c r="E11" i="33"/>
  <c r="D11" i="33"/>
  <c r="C11" i="33"/>
  <c r="B11" i="33"/>
  <c r="I10" i="33"/>
  <c r="G10" i="33"/>
  <c r="F10" i="33"/>
  <c r="E10" i="33"/>
  <c r="D10" i="33"/>
  <c r="C10" i="33"/>
  <c r="B10" i="33"/>
  <c r="I9" i="33"/>
  <c r="G9" i="33"/>
  <c r="F9" i="33"/>
  <c r="E9" i="33"/>
  <c r="D9" i="33"/>
  <c r="C9" i="33"/>
  <c r="B9" i="33"/>
  <c r="B22" i="33"/>
  <c r="B82" i="32"/>
  <c r="I65" i="33" l="1"/>
  <c r="J65" i="33" s="1"/>
  <c r="K65" i="33" s="1"/>
  <c r="L65" i="33" s="1"/>
  <c r="M65" i="33" s="1"/>
  <c r="N65" i="33" s="1"/>
  <c r="O65" i="33" s="1"/>
  <c r="P65" i="33" s="1"/>
  <c r="Q65" i="33" s="1"/>
  <c r="R65" i="33" s="1"/>
  <c r="S65" i="33" s="1"/>
  <c r="T65" i="33" s="1"/>
  <c r="U65" i="33" s="1"/>
  <c r="V65" i="33" s="1"/>
  <c r="W65" i="33" s="1"/>
  <c r="X65" i="33" s="1"/>
  <c r="Y65" i="33" s="1"/>
  <c r="Z65" i="33" s="1"/>
  <c r="AA65" i="33" s="1"/>
  <c r="AB65" i="33" s="1"/>
  <c r="AC65" i="33" s="1"/>
  <c r="AD65" i="33" s="1"/>
  <c r="AE65" i="33" s="1"/>
  <c r="AF65" i="33" s="1"/>
  <c r="AG65" i="33" s="1"/>
  <c r="AH65" i="33" s="1"/>
  <c r="AI65" i="33" s="1"/>
  <c r="AJ65" i="33" s="1"/>
  <c r="AK65" i="33" s="1"/>
  <c r="I41" i="33"/>
  <c r="J41" i="33" s="1"/>
  <c r="K41" i="33" s="1"/>
  <c r="L41" i="33" s="1"/>
  <c r="M41" i="33" s="1"/>
  <c r="N41" i="33" s="1"/>
  <c r="O41" i="33" s="1"/>
  <c r="P41" i="33" s="1"/>
  <c r="Q41" i="33" s="1"/>
  <c r="R41" i="33" s="1"/>
  <c r="S41" i="33" s="1"/>
  <c r="T41" i="33" s="1"/>
  <c r="U41" i="33" s="1"/>
  <c r="V41" i="33" s="1"/>
  <c r="W41" i="33" s="1"/>
  <c r="X41" i="33" s="1"/>
  <c r="Y41" i="33" s="1"/>
  <c r="Z41" i="33" s="1"/>
  <c r="AA41" i="33" s="1"/>
  <c r="AB41" i="33" s="1"/>
  <c r="AC41" i="33" s="1"/>
  <c r="AD41" i="33" s="1"/>
  <c r="AE41" i="33" s="1"/>
  <c r="AF41" i="33" s="1"/>
  <c r="AG41" i="33" s="1"/>
  <c r="AH41" i="33" s="1"/>
  <c r="AI41" i="33" s="1"/>
  <c r="AJ41" i="33" s="1"/>
  <c r="AK41" i="33" s="1"/>
  <c r="I17" i="33"/>
  <c r="J17" i="33" s="1"/>
  <c r="K17" i="33" s="1"/>
  <c r="L17" i="33" s="1"/>
  <c r="M17" i="33" s="1"/>
  <c r="N17" i="33" s="1"/>
  <c r="O17" i="33" s="1"/>
  <c r="P17" i="33" s="1"/>
  <c r="Q17" i="33" s="1"/>
  <c r="R17" i="33" s="1"/>
  <c r="S17" i="33" s="1"/>
  <c r="T17" i="33" s="1"/>
  <c r="U17" i="33" s="1"/>
  <c r="V17" i="33" s="1"/>
  <c r="W17" i="33" s="1"/>
  <c r="X17" i="33" s="1"/>
  <c r="Y17" i="33" s="1"/>
  <c r="Z17" i="33" s="1"/>
  <c r="AA17" i="33" s="1"/>
  <c r="AB17" i="33" s="1"/>
  <c r="AC17" i="33" s="1"/>
  <c r="AD17" i="33" s="1"/>
  <c r="AE17" i="33" s="1"/>
  <c r="AF17" i="33" s="1"/>
  <c r="AG17" i="33" s="1"/>
  <c r="AH17" i="33" s="1"/>
  <c r="AI17" i="33" s="1"/>
  <c r="AJ17" i="33" s="1"/>
  <c r="AK17" i="33" s="1"/>
  <c r="Q2" i="31"/>
  <c r="R2" i="31" s="1"/>
  <c r="S2" i="31" s="1"/>
  <c r="T2" i="31" s="1"/>
  <c r="U2" i="31" s="1"/>
  <c r="V2" i="31" s="1"/>
  <c r="W2" i="31" s="1"/>
  <c r="X2" i="31" s="1"/>
  <c r="Y2" i="31" s="1"/>
  <c r="Z2" i="31" s="1"/>
  <c r="AA2" i="31" s="1"/>
  <c r="AB2" i="31" s="1"/>
  <c r="AC2" i="31" s="1"/>
  <c r="AD2" i="31" s="1"/>
  <c r="AE2" i="31" s="1"/>
  <c r="AF2" i="31" s="1"/>
  <c r="AG2" i="31" s="1"/>
  <c r="P6" i="12"/>
  <c r="Q6" i="12" s="1"/>
  <c r="R6" i="12" s="1"/>
  <c r="P7" i="12"/>
  <c r="Q7" i="12" s="1"/>
  <c r="R7" i="12" s="1"/>
  <c r="P8" i="12"/>
  <c r="P15" i="12"/>
  <c r="Q15" i="12" s="1"/>
  <c r="P16" i="12"/>
  <c r="P2" i="12"/>
  <c r="Q2" i="12" s="1"/>
  <c r="R2" i="12" s="1"/>
  <c r="Q2" i="30"/>
  <c r="S2" i="30" s="1"/>
  <c r="R2" i="30"/>
  <c r="Q6" i="30"/>
  <c r="R6" i="30"/>
  <c r="T6" i="30"/>
  <c r="Q7" i="30"/>
  <c r="R7" i="30"/>
  <c r="Q8" i="30"/>
  <c r="Q15" i="30"/>
  <c r="Q16" i="30"/>
  <c r="P6" i="30"/>
  <c r="P7" i="30"/>
  <c r="T7" i="30" s="1"/>
  <c r="P8" i="30"/>
  <c r="R8" i="30" s="1"/>
  <c r="P15" i="30"/>
  <c r="R15" i="30" s="1"/>
  <c r="P16" i="30"/>
  <c r="S16" i="30" s="1"/>
  <c r="P2" i="30"/>
  <c r="Q3" i="31"/>
  <c r="R3" i="31"/>
  <c r="S3" i="31"/>
  <c r="T3" i="31"/>
  <c r="U3" i="31"/>
  <c r="V3" i="31"/>
  <c r="W3" i="31"/>
  <c r="X3" i="31"/>
  <c r="Y3" i="31"/>
  <c r="Z3" i="31"/>
  <c r="AA3" i="31"/>
  <c r="AB3" i="31"/>
  <c r="AC3" i="31"/>
  <c r="AD3" i="31"/>
  <c r="AE3" i="31"/>
  <c r="AF3" i="31"/>
  <c r="AG3" i="31"/>
  <c r="Q7" i="31"/>
  <c r="R7" i="31" s="1"/>
  <c r="Q8" i="31"/>
  <c r="Q15" i="31"/>
  <c r="R15" i="31"/>
  <c r="Q16" i="31"/>
  <c r="P6" i="31"/>
  <c r="Q6" i="31" s="1"/>
  <c r="P7" i="31"/>
  <c r="P8" i="31"/>
  <c r="P15" i="31"/>
  <c r="P16" i="31"/>
  <c r="H14" i="31"/>
  <c r="I14" i="31"/>
  <c r="J14" i="31"/>
  <c r="K14" i="31"/>
  <c r="L14" i="31"/>
  <c r="M14" i="31"/>
  <c r="N14" i="31"/>
  <c r="O14" i="31"/>
  <c r="F14" i="31"/>
  <c r="G14" i="31"/>
  <c r="E14" i="31"/>
  <c r="D14" i="31"/>
  <c r="C14" i="31"/>
  <c r="P14" i="31" s="1"/>
  <c r="B19" i="31"/>
  <c r="B18" i="31"/>
  <c r="E8" i="29"/>
  <c r="D8" i="29"/>
  <c r="B12" i="31"/>
  <c r="B10" i="31"/>
  <c r="P29" i="28"/>
  <c r="E30" i="29"/>
  <c r="D30" i="29"/>
  <c r="B11" i="31"/>
  <c r="P38" i="28"/>
  <c r="B20" i="31"/>
  <c r="B17" i="31"/>
  <c r="B14" i="31"/>
  <c r="B13" i="31"/>
  <c r="B9" i="31"/>
  <c r="B5" i="31"/>
  <c r="B4" i="31"/>
  <c r="B3" i="31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Q22" i="30" s="1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Q21" i="30" s="1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Q20" i="30" s="1"/>
  <c r="O19" i="30"/>
  <c r="N19" i="30"/>
  <c r="M19" i="30"/>
  <c r="L19" i="30"/>
  <c r="K19" i="30"/>
  <c r="J19" i="30"/>
  <c r="I19" i="30"/>
  <c r="H19" i="30"/>
  <c r="G19" i="30"/>
  <c r="S19" i="30" s="1"/>
  <c r="F19" i="30"/>
  <c r="E19" i="30"/>
  <c r="D19" i="30"/>
  <c r="R19" i="30" s="1"/>
  <c r="C19" i="30"/>
  <c r="Q19" i="30" s="1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Q17" i="30" s="1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R13" i="30" s="1"/>
  <c r="C13" i="30"/>
  <c r="Q13" i="30" s="1"/>
  <c r="O12" i="30"/>
  <c r="N12" i="30"/>
  <c r="M12" i="30"/>
  <c r="L12" i="30"/>
  <c r="K12" i="30"/>
  <c r="J12" i="30"/>
  <c r="I12" i="30"/>
  <c r="H12" i="30"/>
  <c r="S12" i="30" s="1"/>
  <c r="G12" i="30"/>
  <c r="F12" i="30"/>
  <c r="E12" i="30"/>
  <c r="D12" i="30"/>
  <c r="C12" i="30"/>
  <c r="Q12" i="30" s="1"/>
  <c r="E11" i="30"/>
  <c r="D11" i="30"/>
  <c r="C11" i="30"/>
  <c r="E10" i="30"/>
  <c r="D10" i="30"/>
  <c r="C10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Q9" i="30" s="1"/>
  <c r="O5" i="30"/>
  <c r="N5" i="30"/>
  <c r="M5" i="30"/>
  <c r="L5" i="30"/>
  <c r="K5" i="30"/>
  <c r="J5" i="30"/>
  <c r="I5" i="30"/>
  <c r="H5" i="30"/>
  <c r="G5" i="30"/>
  <c r="F5" i="30"/>
  <c r="E5" i="30"/>
  <c r="D5" i="30"/>
  <c r="R5" i="30" s="1"/>
  <c r="C5" i="30"/>
  <c r="Q5" i="30" s="1"/>
  <c r="O4" i="30"/>
  <c r="N4" i="30"/>
  <c r="M4" i="30"/>
  <c r="L4" i="30"/>
  <c r="K4" i="30"/>
  <c r="J4" i="30"/>
  <c r="I4" i="30"/>
  <c r="H4" i="30"/>
  <c r="G4" i="30"/>
  <c r="F4" i="30"/>
  <c r="E4" i="30"/>
  <c r="Q4" i="30" s="1"/>
  <c r="D4" i="30"/>
  <c r="C4" i="30"/>
  <c r="O3" i="30"/>
  <c r="N3" i="30"/>
  <c r="M3" i="30"/>
  <c r="L3" i="30"/>
  <c r="K3" i="30"/>
  <c r="J3" i="30"/>
  <c r="I3" i="30"/>
  <c r="H3" i="30"/>
  <c r="G3" i="30"/>
  <c r="F3" i="30"/>
  <c r="E3" i="30"/>
  <c r="D3" i="30"/>
  <c r="R3" i="30" s="1"/>
  <c r="C3" i="30"/>
  <c r="Q3" i="30" s="1"/>
  <c r="B20" i="30"/>
  <c r="P20" i="30" s="1"/>
  <c r="B19" i="30"/>
  <c r="P19" i="30" s="1"/>
  <c r="B18" i="30"/>
  <c r="B17" i="30"/>
  <c r="B14" i="30"/>
  <c r="P14" i="30" s="1"/>
  <c r="B13" i="30"/>
  <c r="P13" i="30" s="1"/>
  <c r="B12" i="30"/>
  <c r="P12" i="30" s="1"/>
  <c r="B11" i="30"/>
  <c r="B10" i="30"/>
  <c r="B9" i="30"/>
  <c r="B5" i="30"/>
  <c r="P5" i="30" s="1"/>
  <c r="B4" i="30"/>
  <c r="P4" i="30" s="1"/>
  <c r="B3" i="30"/>
  <c r="P3" i="30" s="1"/>
  <c r="O22" i="31"/>
  <c r="N22" i="31"/>
  <c r="M22" i="31"/>
  <c r="L22" i="31"/>
  <c r="K22" i="31"/>
  <c r="J22" i="31"/>
  <c r="I22" i="31"/>
  <c r="H22" i="31"/>
  <c r="G22" i="31"/>
  <c r="F22" i="31"/>
  <c r="E22" i="31"/>
  <c r="P22" i="31" s="1"/>
  <c r="D22" i="31"/>
  <c r="C22" i="31"/>
  <c r="B22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P21" i="31" s="1"/>
  <c r="B21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P20" i="31" s="1"/>
  <c r="O19" i="31"/>
  <c r="N19" i="31"/>
  <c r="M19" i="31"/>
  <c r="L19" i="31"/>
  <c r="K19" i="31"/>
  <c r="J19" i="31"/>
  <c r="I19" i="31"/>
  <c r="H19" i="31"/>
  <c r="P19" i="31" s="1"/>
  <c r="G19" i="31"/>
  <c r="F19" i="31"/>
  <c r="E19" i="31"/>
  <c r="R19" i="31" s="1"/>
  <c r="D19" i="31"/>
  <c r="Q19" i="31" s="1"/>
  <c r="C19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P18" i="31" s="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P17" i="31" s="1"/>
  <c r="E13" i="31"/>
  <c r="D13" i="31"/>
  <c r="C13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O11" i="31"/>
  <c r="N11" i="31"/>
  <c r="M11" i="31"/>
  <c r="L11" i="31"/>
  <c r="K11" i="31"/>
  <c r="J11" i="31"/>
  <c r="I11" i="31"/>
  <c r="H11" i="31"/>
  <c r="G11" i="31"/>
  <c r="P11" i="31" s="1"/>
  <c r="F11" i="31"/>
  <c r="E11" i="31"/>
  <c r="D11" i="31"/>
  <c r="Q11" i="31" s="1"/>
  <c r="C11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P10" i="31" s="1"/>
  <c r="C10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P9" i="31" s="1"/>
  <c r="O5" i="31"/>
  <c r="N5" i="31"/>
  <c r="M5" i="31"/>
  <c r="L5" i="31"/>
  <c r="K5" i="31"/>
  <c r="J5" i="31"/>
  <c r="I5" i="31"/>
  <c r="H5" i="31"/>
  <c r="G5" i="31"/>
  <c r="F5" i="31"/>
  <c r="E5" i="31"/>
  <c r="D5" i="31"/>
  <c r="P5" i="31" s="1"/>
  <c r="C5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P4" i="31" s="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B22" i="30"/>
  <c r="P22" i="30" s="1"/>
  <c r="B21" i="30"/>
  <c r="P21" i="30" s="1"/>
  <c r="I19" i="27"/>
  <c r="H19" i="27"/>
  <c r="G19" i="27"/>
  <c r="F19" i="27"/>
  <c r="E19" i="27"/>
  <c r="D19" i="27"/>
  <c r="W19" i="27"/>
  <c r="V19" i="27"/>
  <c r="U19" i="27"/>
  <c r="T19" i="27"/>
  <c r="S19" i="27"/>
  <c r="R19" i="27"/>
  <c r="Q19" i="27"/>
  <c r="P19" i="27"/>
  <c r="O19" i="27"/>
  <c r="N19" i="27"/>
  <c r="M19" i="27"/>
  <c r="E9" i="12" s="1"/>
  <c r="L19" i="27"/>
  <c r="D9" i="12" s="1"/>
  <c r="K19" i="27"/>
  <c r="C9" i="12" s="1"/>
  <c r="J19" i="27"/>
  <c r="A15" i="27"/>
  <c r="O5" i="12"/>
  <c r="N5" i="12"/>
  <c r="M5" i="12"/>
  <c r="L5" i="12"/>
  <c r="K5" i="12"/>
  <c r="J5" i="12"/>
  <c r="I5" i="12"/>
  <c r="H5" i="12"/>
  <c r="G5" i="12"/>
  <c r="F5" i="12"/>
  <c r="E5" i="12"/>
  <c r="D5" i="12"/>
  <c r="Q5" i="12" s="1"/>
  <c r="C5" i="12"/>
  <c r="B5" i="12"/>
  <c r="P5" i="12" s="1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O21" i="12"/>
  <c r="N21" i="12"/>
  <c r="M21" i="12"/>
  <c r="L21" i="12"/>
  <c r="K21" i="12"/>
  <c r="J21" i="12"/>
  <c r="I21" i="12"/>
  <c r="H21" i="12"/>
  <c r="G21" i="12"/>
  <c r="Q21" i="12" s="1"/>
  <c r="F21" i="12"/>
  <c r="E21" i="12"/>
  <c r="D21" i="12"/>
  <c r="C21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Q19" i="12" s="1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O14" i="12"/>
  <c r="N14" i="12"/>
  <c r="M14" i="12"/>
  <c r="L14" i="12"/>
  <c r="K14" i="12"/>
  <c r="J14" i="12"/>
  <c r="I14" i="12"/>
  <c r="H14" i="12"/>
  <c r="G14" i="12"/>
  <c r="F14" i="12"/>
  <c r="P14" i="12" s="1"/>
  <c r="E14" i="12"/>
  <c r="D14" i="12"/>
  <c r="C14" i="12"/>
  <c r="E13" i="12"/>
  <c r="D13" i="12"/>
  <c r="C13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Q12" i="12" s="1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O4" i="12"/>
  <c r="N4" i="12"/>
  <c r="M4" i="12"/>
  <c r="L4" i="12"/>
  <c r="K4" i="12"/>
  <c r="J4" i="12"/>
  <c r="I4" i="12"/>
  <c r="H4" i="12"/>
  <c r="G4" i="12"/>
  <c r="F4" i="12"/>
  <c r="E4" i="12"/>
  <c r="D4" i="12"/>
  <c r="C4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22" i="12"/>
  <c r="P22" i="12" s="1"/>
  <c r="B21" i="12"/>
  <c r="P21" i="12" s="1"/>
  <c r="B20" i="12"/>
  <c r="P20" i="12" s="1"/>
  <c r="B19" i="12"/>
  <c r="P19" i="12" s="1"/>
  <c r="B18" i="12"/>
  <c r="P18" i="12" s="1"/>
  <c r="A50" i="27"/>
  <c r="B17" i="12"/>
  <c r="P17" i="12" s="1"/>
  <c r="B14" i="12"/>
  <c r="B12" i="12"/>
  <c r="P12" i="12" s="1"/>
  <c r="B13" i="12"/>
  <c r="B11" i="12"/>
  <c r="P11" i="12" s="1"/>
  <c r="B10" i="12"/>
  <c r="B9" i="12"/>
  <c r="B4" i="12"/>
  <c r="P4" i="12" s="1"/>
  <c r="B3" i="12"/>
  <c r="P3" i="12" s="1"/>
  <c r="A62" i="27"/>
  <c r="A58" i="27"/>
  <c r="A54" i="27"/>
  <c r="B44" i="27"/>
  <c r="A40" i="27"/>
  <c r="A36" i="27"/>
  <c r="A32" i="27"/>
  <c r="A28" i="27"/>
  <c r="A20" i="27"/>
  <c r="A9" i="27"/>
  <c r="A5" i="27"/>
  <c r="O31" i="29"/>
  <c r="N31" i="29"/>
  <c r="E29" i="29"/>
  <c r="D29" i="29"/>
  <c r="F28" i="29"/>
  <c r="G28" i="29" s="1"/>
  <c r="H28" i="29" s="1"/>
  <c r="I28" i="29" s="1"/>
  <c r="E28" i="29"/>
  <c r="B23" i="29"/>
  <c r="E19" i="29"/>
  <c r="D19" i="29"/>
  <c r="E18" i="29"/>
  <c r="D18" i="29"/>
  <c r="E17" i="29"/>
  <c r="F17" i="29" s="1"/>
  <c r="O15" i="29"/>
  <c r="N15" i="29"/>
  <c r="M15" i="29"/>
  <c r="L15" i="29"/>
  <c r="K15" i="29"/>
  <c r="J15" i="29"/>
  <c r="I15" i="29"/>
  <c r="H15" i="29"/>
  <c r="G15" i="29"/>
  <c r="F15" i="29"/>
  <c r="E15" i="29"/>
  <c r="O11" i="29"/>
  <c r="N11" i="29"/>
  <c r="M11" i="29"/>
  <c r="L11" i="29"/>
  <c r="K11" i="29"/>
  <c r="J11" i="29"/>
  <c r="I11" i="29"/>
  <c r="H11" i="29"/>
  <c r="G11" i="29"/>
  <c r="F11" i="29"/>
  <c r="E11" i="29"/>
  <c r="D10" i="29"/>
  <c r="E9" i="29"/>
  <c r="F9" i="29" s="1"/>
  <c r="G9" i="29" s="1"/>
  <c r="D9" i="29"/>
  <c r="E7" i="29"/>
  <c r="D7" i="29"/>
  <c r="E6" i="29"/>
  <c r="D6" i="29"/>
  <c r="E5" i="29"/>
  <c r="F5" i="29" s="1"/>
  <c r="G5" i="29" s="1"/>
  <c r="H5" i="29" s="1"/>
  <c r="I5" i="29" s="1"/>
  <c r="J5" i="29" s="1"/>
  <c r="K5" i="29" s="1"/>
  <c r="L5" i="29" s="1"/>
  <c r="M5" i="29" s="1"/>
  <c r="N5" i="29" s="1"/>
  <c r="O5" i="29" s="1"/>
  <c r="O60" i="28"/>
  <c r="N60" i="28"/>
  <c r="E60" i="28"/>
  <c r="E59" i="28"/>
  <c r="O57" i="28"/>
  <c r="W61" i="27" s="1"/>
  <c r="N57" i="28"/>
  <c r="V61" i="27" s="1"/>
  <c r="M57" i="28"/>
  <c r="U61" i="27" s="1"/>
  <c r="L57" i="28"/>
  <c r="T61" i="27" s="1"/>
  <c r="K57" i="28"/>
  <c r="J57" i="28"/>
  <c r="I57" i="28"/>
  <c r="H57" i="28"/>
  <c r="G57" i="28"/>
  <c r="F57" i="28"/>
  <c r="E57" i="28"/>
  <c r="O55" i="28"/>
  <c r="E55" i="28"/>
  <c r="O52" i="28"/>
  <c r="N52" i="28"/>
  <c r="W57" i="27" s="1"/>
  <c r="M52" i="28"/>
  <c r="L52" i="28"/>
  <c r="K52" i="28"/>
  <c r="J52" i="28"/>
  <c r="I52" i="28"/>
  <c r="H52" i="28"/>
  <c r="G52" i="28"/>
  <c r="F52" i="28"/>
  <c r="E52" i="28"/>
  <c r="N57" i="27" s="1"/>
  <c r="O50" i="28"/>
  <c r="E50" i="28"/>
  <c r="O45" i="28"/>
  <c r="K45" i="28"/>
  <c r="H45" i="28"/>
  <c r="E45" i="28"/>
  <c r="O42" i="28"/>
  <c r="W46" i="27" s="1"/>
  <c r="E42" i="28"/>
  <c r="O35" i="28"/>
  <c r="W31" i="27" s="1"/>
  <c r="N35" i="28"/>
  <c r="V31" i="27" s="1"/>
  <c r="M35" i="28"/>
  <c r="L35" i="28"/>
  <c r="K35" i="28"/>
  <c r="J35" i="28"/>
  <c r="R31" i="27" s="1"/>
  <c r="I35" i="28"/>
  <c r="H35" i="28"/>
  <c r="G35" i="28"/>
  <c r="O31" i="27" s="1"/>
  <c r="F35" i="28"/>
  <c r="E35" i="28"/>
  <c r="O33" i="28"/>
  <c r="E33" i="28"/>
  <c r="O25" i="28"/>
  <c r="N25" i="28"/>
  <c r="M25" i="28"/>
  <c r="L25" i="28"/>
  <c r="K25" i="28"/>
  <c r="J25" i="28"/>
  <c r="I25" i="28"/>
  <c r="H25" i="28"/>
  <c r="G25" i="28"/>
  <c r="F25" i="28"/>
  <c r="E25" i="28"/>
  <c r="E24" i="28"/>
  <c r="O22" i="28"/>
  <c r="N22" i="28"/>
  <c r="M22" i="28"/>
  <c r="L22" i="28"/>
  <c r="K22" i="28"/>
  <c r="J22" i="28"/>
  <c r="I22" i="28"/>
  <c r="H22" i="28"/>
  <c r="G22" i="28"/>
  <c r="F22" i="28"/>
  <c r="E22" i="28"/>
  <c r="E21" i="28"/>
  <c r="O18" i="28"/>
  <c r="N18" i="28"/>
  <c r="M18" i="28"/>
  <c r="L18" i="28"/>
  <c r="K18" i="28"/>
  <c r="J18" i="28"/>
  <c r="I18" i="28"/>
  <c r="H18" i="28"/>
  <c r="G18" i="28"/>
  <c r="F18" i="28"/>
  <c r="E18" i="28"/>
  <c r="O16" i="28"/>
  <c r="W8" i="27" s="1"/>
  <c r="N16" i="28"/>
  <c r="V8" i="27" s="1"/>
  <c r="M16" i="28"/>
  <c r="U8" i="27" s="1"/>
  <c r="L16" i="28"/>
  <c r="T8" i="27" s="1"/>
  <c r="K16" i="28"/>
  <c r="J16" i="28"/>
  <c r="I16" i="28"/>
  <c r="Q8" i="27" s="1"/>
  <c r="H16" i="28"/>
  <c r="G16" i="28"/>
  <c r="F16" i="28"/>
  <c r="E16" i="28"/>
  <c r="D16" i="28"/>
  <c r="O12" i="28"/>
  <c r="O11" i="28" s="1"/>
  <c r="K12" i="28"/>
  <c r="H12" i="28"/>
  <c r="E12" i="28"/>
  <c r="K11" i="28"/>
  <c r="H11" i="28"/>
  <c r="E11" i="28"/>
  <c r="E10" i="28"/>
  <c r="O8" i="28"/>
  <c r="N8" i="28"/>
  <c r="M8" i="28"/>
  <c r="L8" i="28"/>
  <c r="K8" i="28"/>
  <c r="J8" i="28"/>
  <c r="I8" i="28"/>
  <c r="H8" i="28"/>
  <c r="G8" i="28"/>
  <c r="F8" i="28"/>
  <c r="E8" i="28"/>
  <c r="O7" i="28"/>
  <c r="N7" i="28"/>
  <c r="M7" i="28"/>
  <c r="L7" i="28"/>
  <c r="K7" i="28"/>
  <c r="J7" i="28"/>
  <c r="I7" i="28"/>
  <c r="H7" i="28"/>
  <c r="G7" i="28"/>
  <c r="F7" i="28"/>
  <c r="E7" i="28"/>
  <c r="A7" i="28"/>
  <c r="E6" i="28"/>
  <c r="E13" i="28" s="1"/>
  <c r="D6" i="28"/>
  <c r="E5" i="28"/>
  <c r="F5" i="28" s="1"/>
  <c r="S61" i="27"/>
  <c r="R61" i="27"/>
  <c r="Q61" i="27"/>
  <c r="P61" i="27"/>
  <c r="O61" i="27"/>
  <c r="N61" i="27"/>
  <c r="V57" i="27"/>
  <c r="U57" i="27"/>
  <c r="T57" i="27"/>
  <c r="S57" i="27"/>
  <c r="R57" i="27"/>
  <c r="Q57" i="27"/>
  <c r="P57" i="27"/>
  <c r="O57" i="27"/>
  <c r="N50" i="27"/>
  <c r="W49" i="27"/>
  <c r="V49" i="27"/>
  <c r="U49" i="27"/>
  <c r="T49" i="27"/>
  <c r="S49" i="27"/>
  <c r="R49" i="27"/>
  <c r="Q49" i="27"/>
  <c r="N49" i="27"/>
  <c r="P49" i="27" s="1"/>
  <c r="M45" i="27"/>
  <c r="D48" i="28" s="1"/>
  <c r="L45" i="27"/>
  <c r="K45" i="27"/>
  <c r="J45" i="27"/>
  <c r="J44" i="27" s="1"/>
  <c r="I45" i="27"/>
  <c r="H45" i="27"/>
  <c r="H44" i="27" s="1"/>
  <c r="G45" i="27"/>
  <c r="G44" i="27" s="1"/>
  <c r="F45" i="27"/>
  <c r="F44" i="27" s="1"/>
  <c r="E45" i="27"/>
  <c r="E44" i="27" s="1"/>
  <c r="D45" i="27"/>
  <c r="L44" i="27"/>
  <c r="K44" i="27"/>
  <c r="I44" i="27"/>
  <c r="D44" i="27"/>
  <c r="M43" i="27"/>
  <c r="L43" i="27"/>
  <c r="D44" i="28" s="1"/>
  <c r="K43" i="27"/>
  <c r="J43" i="27"/>
  <c r="I43" i="27"/>
  <c r="H43" i="27"/>
  <c r="G43" i="27"/>
  <c r="F43" i="27"/>
  <c r="E43" i="27"/>
  <c r="D43" i="27"/>
  <c r="W36" i="27"/>
  <c r="V36" i="27"/>
  <c r="U36" i="27"/>
  <c r="T36" i="27"/>
  <c r="S36" i="27"/>
  <c r="R36" i="27"/>
  <c r="Q36" i="27"/>
  <c r="P36" i="27"/>
  <c r="O36" i="27"/>
  <c r="N36" i="27"/>
  <c r="U31" i="27"/>
  <c r="T31" i="27"/>
  <c r="S31" i="27"/>
  <c r="Q31" i="27"/>
  <c r="P31" i="27"/>
  <c r="N31" i="27"/>
  <c r="N15" i="27"/>
  <c r="R15" i="27" s="1"/>
  <c r="W14" i="27"/>
  <c r="V14" i="27"/>
  <c r="U14" i="27"/>
  <c r="T14" i="27"/>
  <c r="N14" i="27"/>
  <c r="S14" i="27" s="1"/>
  <c r="W9" i="27"/>
  <c r="V9" i="27"/>
  <c r="U9" i="27"/>
  <c r="T9" i="27"/>
  <c r="S9" i="27"/>
  <c r="R9" i="27"/>
  <c r="Q9" i="27"/>
  <c r="P9" i="27"/>
  <c r="O9" i="27"/>
  <c r="N9" i="27"/>
  <c r="S8" i="27"/>
  <c r="R8" i="27"/>
  <c r="P8" i="27"/>
  <c r="O8" i="27"/>
  <c r="N8" i="27"/>
  <c r="M8" i="27"/>
  <c r="L8" i="27"/>
  <c r="K8" i="27"/>
  <c r="J8" i="27"/>
  <c r="I8" i="27"/>
  <c r="H8" i="27"/>
  <c r="G8" i="27"/>
  <c r="F8" i="27"/>
  <c r="E8" i="27"/>
  <c r="D8" i="27"/>
  <c r="W5" i="27"/>
  <c r="T5" i="27"/>
  <c r="S5" i="27"/>
  <c r="R5" i="27"/>
  <c r="N5" i="27"/>
  <c r="Q5" i="27" s="1"/>
  <c r="N3" i="27"/>
  <c r="O3" i="27" s="1"/>
  <c r="P3" i="27" s="1"/>
  <c r="Q3" i="27" s="1"/>
  <c r="R3" i="27" s="1"/>
  <c r="S3" i="27" s="1"/>
  <c r="T3" i="27" s="1"/>
  <c r="U3" i="27" s="1"/>
  <c r="V3" i="27" s="1"/>
  <c r="W3" i="27" s="1"/>
  <c r="Q17" i="12" l="1"/>
  <c r="R17" i="12" s="1"/>
  <c r="S17" i="12" s="1"/>
  <c r="T17" i="12" s="1"/>
  <c r="Q10" i="12"/>
  <c r="R10" i="12" s="1"/>
  <c r="Q22" i="12"/>
  <c r="R21" i="12"/>
  <c r="Q4" i="12"/>
  <c r="R4" i="12" s="1"/>
  <c r="Q11" i="12"/>
  <c r="R11" i="12" s="1"/>
  <c r="R12" i="12"/>
  <c r="Q18" i="12"/>
  <c r="R18" i="12" s="1"/>
  <c r="Q3" i="12"/>
  <c r="R3" i="12" s="1"/>
  <c r="S3" i="12" s="1"/>
  <c r="Q20" i="12"/>
  <c r="Q8" i="12"/>
  <c r="Q16" i="12"/>
  <c r="R16" i="12" s="1"/>
  <c r="P10" i="12"/>
  <c r="Q14" i="12"/>
  <c r="R14" i="12" s="1"/>
  <c r="S15" i="12"/>
  <c r="T15" i="12" s="1"/>
  <c r="S7" i="12"/>
  <c r="R15" i="12"/>
  <c r="V2" i="30"/>
  <c r="T15" i="30"/>
  <c r="T4" i="30"/>
  <c r="R17" i="30"/>
  <c r="R14" i="30"/>
  <c r="S9" i="30"/>
  <c r="R20" i="30"/>
  <c r="R12" i="30"/>
  <c r="R21" i="30"/>
  <c r="T21" i="30" s="1"/>
  <c r="S20" i="30"/>
  <c r="P17" i="30"/>
  <c r="S4" i="30"/>
  <c r="U4" i="30" s="1"/>
  <c r="R22" i="30"/>
  <c r="R4" i="30"/>
  <c r="S15" i="30"/>
  <c r="U15" i="30" s="1"/>
  <c r="R16" i="30"/>
  <c r="W16" i="30" s="1"/>
  <c r="S7" i="30"/>
  <c r="T2" i="30"/>
  <c r="Q14" i="30"/>
  <c r="S22" i="30"/>
  <c r="U22" i="30" s="1"/>
  <c r="S8" i="30"/>
  <c r="P9" i="30"/>
  <c r="Q18" i="30"/>
  <c r="U7" i="30"/>
  <c r="P18" i="30"/>
  <c r="R11" i="31"/>
  <c r="S11" i="31" s="1"/>
  <c r="R9" i="31"/>
  <c r="S9" i="31" s="1"/>
  <c r="Q22" i="31"/>
  <c r="Q4" i="31"/>
  <c r="R4" i="31" s="1"/>
  <c r="S4" i="31" s="1"/>
  <c r="R10" i="31"/>
  <c r="Q20" i="31"/>
  <c r="Q14" i="31"/>
  <c r="R14" i="31" s="1"/>
  <c r="S14" i="31" s="1"/>
  <c r="Q18" i="31"/>
  <c r="R18" i="31" s="1"/>
  <c r="R21" i="31"/>
  <c r="S21" i="31" s="1"/>
  <c r="S10" i="31"/>
  <c r="P12" i="31"/>
  <c r="Q12" i="31" s="1"/>
  <c r="R12" i="31" s="1"/>
  <c r="Q5" i="31"/>
  <c r="R5" i="31" s="1"/>
  <c r="S5" i="31" s="1"/>
  <c r="Q10" i="31"/>
  <c r="Q17" i="31"/>
  <c r="Q9" i="31"/>
  <c r="Q21" i="31"/>
  <c r="T21" i="31" s="1"/>
  <c r="S22" i="12"/>
  <c r="R22" i="12"/>
  <c r="R19" i="12"/>
  <c r="S14" i="12"/>
  <c r="S6" i="12"/>
  <c r="R5" i="12"/>
  <c r="S21" i="12"/>
  <c r="T2" i="12"/>
  <c r="S18" i="12"/>
  <c r="S2" i="12"/>
  <c r="S21" i="30"/>
  <c r="T3" i="30"/>
  <c r="T16" i="30"/>
  <c r="U16" i="30"/>
  <c r="U12" i="30"/>
  <c r="S5" i="30"/>
  <c r="V5" i="30" s="1"/>
  <c r="T5" i="30"/>
  <c r="T22" i="30"/>
  <c r="U20" i="30"/>
  <c r="S6" i="30"/>
  <c r="U6" i="30" s="1"/>
  <c r="S13" i="30"/>
  <c r="T13" i="30"/>
  <c r="T12" i="30"/>
  <c r="S3" i="30"/>
  <c r="V3" i="30" s="1"/>
  <c r="T19" i="30"/>
  <c r="U19" i="30"/>
  <c r="V19" i="30"/>
  <c r="T17" i="30"/>
  <c r="V15" i="30"/>
  <c r="W7" i="30"/>
  <c r="U2" i="30"/>
  <c r="V7" i="30"/>
  <c r="Y7" i="30" s="1"/>
  <c r="U8" i="30"/>
  <c r="T8" i="30"/>
  <c r="S15" i="31"/>
  <c r="T10" i="31"/>
  <c r="S7" i="31"/>
  <c r="R20" i="31"/>
  <c r="S20" i="31" s="1"/>
  <c r="R6" i="31"/>
  <c r="R22" i="31"/>
  <c r="S19" i="31"/>
  <c r="R16" i="31"/>
  <c r="R8" i="31"/>
  <c r="P28" i="28"/>
  <c r="D31" i="29"/>
  <c r="E32" i="28"/>
  <c r="E37" i="28" s="1"/>
  <c r="P39" i="28"/>
  <c r="E31" i="29"/>
  <c r="E39" i="28"/>
  <c r="C25" i="27"/>
  <c r="P19" i="29" s="1"/>
  <c r="F21" i="28"/>
  <c r="G21" i="28" s="1"/>
  <c r="E10" i="29"/>
  <c r="E38" i="28"/>
  <c r="E27" i="28"/>
  <c r="E29" i="28" s="1"/>
  <c r="P5" i="27"/>
  <c r="O14" i="27"/>
  <c r="K10" i="29"/>
  <c r="Q14" i="27"/>
  <c r="V50" i="27"/>
  <c r="U50" i="27"/>
  <c r="T50" i="27"/>
  <c r="S50" i="27"/>
  <c r="R50" i="27"/>
  <c r="Q50" i="27"/>
  <c r="P50" i="27"/>
  <c r="O50" i="27"/>
  <c r="J28" i="29"/>
  <c r="F6" i="28"/>
  <c r="W50" i="27"/>
  <c r="O59" i="28"/>
  <c r="W62" i="27" s="1"/>
  <c r="M44" i="27"/>
  <c r="D47" i="28" s="1"/>
  <c r="P48" i="28"/>
  <c r="E44" i="28"/>
  <c r="E41" i="28"/>
  <c r="W15" i="27"/>
  <c r="V15" i="27"/>
  <c r="T15" i="27"/>
  <c r="S15" i="27"/>
  <c r="O15" i="27"/>
  <c r="J10" i="29"/>
  <c r="I10" i="29"/>
  <c r="H10" i="29"/>
  <c r="G10" i="29"/>
  <c r="G6" i="29" s="1"/>
  <c r="F10" i="29"/>
  <c r="F6" i="29" s="1"/>
  <c r="P15" i="27"/>
  <c r="H9" i="29"/>
  <c r="F24" i="28"/>
  <c r="F27" i="28" s="1"/>
  <c r="E21" i="29"/>
  <c r="O21" i="29"/>
  <c r="Q15" i="27"/>
  <c r="U15" i="27"/>
  <c r="G17" i="29"/>
  <c r="G5" i="28"/>
  <c r="V5" i="27"/>
  <c r="U5" i="27"/>
  <c r="O5" i="27"/>
  <c r="P14" i="27"/>
  <c r="D41" i="28"/>
  <c r="R14" i="27"/>
  <c r="O49" i="27"/>
  <c r="U15" i="12" l="1"/>
  <c r="V15" i="12"/>
  <c r="U12" i="12"/>
  <c r="R20" i="12"/>
  <c r="S20" i="12" s="1"/>
  <c r="S16" i="12"/>
  <c r="S4" i="12"/>
  <c r="R8" i="12"/>
  <c r="S8" i="12" s="1"/>
  <c r="S12" i="12"/>
  <c r="T12" i="12" s="1"/>
  <c r="T7" i="12"/>
  <c r="U7" i="12" s="1"/>
  <c r="S10" i="12"/>
  <c r="U10" i="12" s="1"/>
  <c r="U17" i="30"/>
  <c r="T14" i="30"/>
  <c r="R18" i="30"/>
  <c r="S17" i="30"/>
  <c r="W17" i="30" s="1"/>
  <c r="W12" i="30"/>
  <c r="V6" i="30"/>
  <c r="Y6" i="30" s="1"/>
  <c r="S18" i="30"/>
  <c r="T20" i="30"/>
  <c r="W20" i="30" s="1"/>
  <c r="S14" i="30"/>
  <c r="W6" i="30"/>
  <c r="X16" i="30"/>
  <c r="U14" i="30"/>
  <c r="W15" i="30"/>
  <c r="Y15" i="30" s="1"/>
  <c r="R9" i="30"/>
  <c r="U9" i="30" s="1"/>
  <c r="V4" i="30"/>
  <c r="X4" i="30" s="1"/>
  <c r="V17" i="30"/>
  <c r="V16" i="30"/>
  <c r="T11" i="31"/>
  <c r="W11" i="31" s="1"/>
  <c r="X11" i="31" s="1"/>
  <c r="T20" i="31"/>
  <c r="T5" i="31"/>
  <c r="U5" i="31" s="1"/>
  <c r="S18" i="31"/>
  <c r="T18" i="31" s="1"/>
  <c r="S17" i="31"/>
  <c r="R17" i="31"/>
  <c r="U21" i="31"/>
  <c r="U11" i="31"/>
  <c r="V11" i="31" s="1"/>
  <c r="T3" i="12"/>
  <c r="T21" i="12"/>
  <c r="S5" i="12"/>
  <c r="U5" i="12" s="1"/>
  <c r="T6" i="12"/>
  <c r="U6" i="12" s="1"/>
  <c r="T10" i="12"/>
  <c r="S11" i="12"/>
  <c r="T22" i="12"/>
  <c r="U22" i="12" s="1"/>
  <c r="U2" i="12"/>
  <c r="T5" i="12"/>
  <c r="T14" i="12"/>
  <c r="V14" i="12" s="1"/>
  <c r="U17" i="12"/>
  <c r="T18" i="12"/>
  <c r="U14" i="12"/>
  <c r="U3" i="12"/>
  <c r="S19" i="12"/>
  <c r="V22" i="30"/>
  <c r="X22" i="30" s="1"/>
  <c r="U13" i="30"/>
  <c r="V13" i="30"/>
  <c r="W13" i="30"/>
  <c r="X15" i="30"/>
  <c r="W22" i="30"/>
  <c r="X7" i="30"/>
  <c r="AA7" i="30" s="1"/>
  <c r="AC7" i="30" s="1"/>
  <c r="W4" i="30"/>
  <c r="X2" i="30"/>
  <c r="U3" i="30"/>
  <c r="V8" i="30"/>
  <c r="X8" i="30" s="1"/>
  <c r="W8" i="30"/>
  <c r="Z7" i="30"/>
  <c r="V12" i="30"/>
  <c r="W19" i="30"/>
  <c r="Z19" i="30" s="1"/>
  <c r="X19" i="30"/>
  <c r="W2" i="30"/>
  <c r="Y2" i="30" s="1"/>
  <c r="AA2" i="30" s="1"/>
  <c r="U21" i="30"/>
  <c r="Z15" i="30"/>
  <c r="V21" i="30"/>
  <c r="X6" i="30"/>
  <c r="U5" i="30"/>
  <c r="X5" i="30" s="1"/>
  <c r="T4" i="31"/>
  <c r="V21" i="31"/>
  <c r="T9" i="31"/>
  <c r="U9" i="31" s="1"/>
  <c r="V9" i="31" s="1"/>
  <c r="S22" i="31"/>
  <c r="S8" i="31"/>
  <c r="S16" i="31"/>
  <c r="T16" i="31" s="1"/>
  <c r="U20" i="31"/>
  <c r="T14" i="31"/>
  <c r="U14" i="31" s="1"/>
  <c r="V14" i="31" s="1"/>
  <c r="U7" i="31"/>
  <c r="S12" i="31"/>
  <c r="T7" i="31"/>
  <c r="V7" i="31" s="1"/>
  <c r="T19" i="31"/>
  <c r="U19" i="31"/>
  <c r="V19" i="31"/>
  <c r="S6" i="31"/>
  <c r="T6" i="31" s="1"/>
  <c r="T15" i="31"/>
  <c r="U10" i="31"/>
  <c r="V10" i="31" s="1"/>
  <c r="E28" i="28"/>
  <c r="L10" i="29"/>
  <c r="O10" i="29"/>
  <c r="N10" i="29"/>
  <c r="M10" i="29"/>
  <c r="N53" i="27"/>
  <c r="G6" i="28"/>
  <c r="H17" i="29"/>
  <c r="E48" i="28"/>
  <c r="E47" i="28" s="1"/>
  <c r="O35" i="27"/>
  <c r="G8" i="29"/>
  <c r="G27" i="28"/>
  <c r="H21" i="28"/>
  <c r="K28" i="29"/>
  <c r="N35" i="27"/>
  <c r="F8" i="29"/>
  <c r="F29" i="28"/>
  <c r="F28" i="28"/>
  <c r="N28" i="27" s="1"/>
  <c r="F10" i="30" s="1"/>
  <c r="N27" i="27"/>
  <c r="G24" i="28"/>
  <c r="H6" i="29"/>
  <c r="I9" i="29"/>
  <c r="H5" i="28"/>
  <c r="G14" i="28"/>
  <c r="G13" i="28" s="1"/>
  <c r="G46" i="28"/>
  <c r="G45" i="28" s="1"/>
  <c r="V7" i="12" l="1"/>
  <c r="W7" i="12"/>
  <c r="U4" i="12"/>
  <c r="V5" i="12"/>
  <c r="W5" i="12" s="1"/>
  <c r="T4" i="12"/>
  <c r="W15" i="12"/>
  <c r="V12" i="12"/>
  <c r="T20" i="12"/>
  <c r="U20" i="12" s="1"/>
  <c r="V20" i="12" s="1"/>
  <c r="V10" i="12"/>
  <c r="T16" i="12"/>
  <c r="T8" i="12"/>
  <c r="AA15" i="30"/>
  <c r="AC15" i="30"/>
  <c r="Z17" i="30"/>
  <c r="Y17" i="30"/>
  <c r="V14" i="30"/>
  <c r="AA6" i="30"/>
  <c r="Z16" i="30"/>
  <c r="W14" i="30"/>
  <c r="Y8" i="30"/>
  <c r="AB7" i="30"/>
  <c r="Z8" i="30"/>
  <c r="Y16" i="30"/>
  <c r="AA16" i="30" s="1"/>
  <c r="AC16" i="30" s="1"/>
  <c r="X17" i="30"/>
  <c r="T9" i="30"/>
  <c r="V9" i="30"/>
  <c r="W9" i="30"/>
  <c r="Z4" i="30"/>
  <c r="AB4" i="30" s="1"/>
  <c r="Y20" i="30"/>
  <c r="AC20" i="30" s="1"/>
  <c r="AE20" i="30" s="1"/>
  <c r="Y4" i="30"/>
  <c r="AA4" i="30" s="1"/>
  <c r="X20" i="30"/>
  <c r="Z20" i="30" s="1"/>
  <c r="U18" i="30"/>
  <c r="T18" i="30"/>
  <c r="V18" i="30" s="1"/>
  <c r="W18" i="30"/>
  <c r="X18" i="30"/>
  <c r="V20" i="30"/>
  <c r="U18" i="31"/>
  <c r="V18" i="31" s="1"/>
  <c r="U4" i="31"/>
  <c r="V17" i="31"/>
  <c r="T22" i="31"/>
  <c r="U22" i="31" s="1"/>
  <c r="T17" i="31"/>
  <c r="W17" i="31" s="1"/>
  <c r="U17" i="31"/>
  <c r="X17" i="31" s="1"/>
  <c r="U11" i="12"/>
  <c r="V2" i="12"/>
  <c r="V22" i="12"/>
  <c r="U21" i="12"/>
  <c r="W14" i="12"/>
  <c r="X14" i="12" s="1"/>
  <c r="T19" i="12"/>
  <c r="U19" i="12"/>
  <c r="V3" i="12"/>
  <c r="W12" i="12"/>
  <c r="U18" i="12"/>
  <c r="V17" i="12"/>
  <c r="W22" i="12"/>
  <c r="W10" i="12"/>
  <c r="T11" i="12"/>
  <c r="X7" i="12"/>
  <c r="V6" i="12"/>
  <c r="W6" i="12" s="1"/>
  <c r="AB20" i="30"/>
  <c r="AA17" i="30"/>
  <c r="AA20" i="30"/>
  <c r="Y13" i="30"/>
  <c r="AB16" i="30"/>
  <c r="AB15" i="30"/>
  <c r="AE15" i="30" s="1"/>
  <c r="Y22" i="30"/>
  <c r="X21" i="30"/>
  <c r="AA22" i="30"/>
  <c r="W5" i="30"/>
  <c r="X13" i="30"/>
  <c r="Z13" i="30" s="1"/>
  <c r="AC13" i="30" s="1"/>
  <c r="X12" i="30"/>
  <c r="AA12" i="30" s="1"/>
  <c r="Y12" i="30"/>
  <c r="W21" i="30"/>
  <c r="Y21" i="30" s="1"/>
  <c r="Y19" i="30"/>
  <c r="AB19" i="30" s="1"/>
  <c r="X3" i="30"/>
  <c r="W3" i="30"/>
  <c r="Z6" i="30"/>
  <c r="AB6" i="30"/>
  <c r="Z2" i="30"/>
  <c r="Z22" i="30"/>
  <c r="AA13" i="30"/>
  <c r="W14" i="31"/>
  <c r="T12" i="31"/>
  <c r="V20" i="31"/>
  <c r="W10" i="31"/>
  <c r="U15" i="31"/>
  <c r="Z11" i="31"/>
  <c r="W19" i="31"/>
  <c r="U6" i="31"/>
  <c r="W7" i="31"/>
  <c r="V5" i="31"/>
  <c r="W21" i="31"/>
  <c r="X21" i="31" s="1"/>
  <c r="W9" i="31"/>
  <c r="X9" i="31" s="1"/>
  <c r="U16" i="31"/>
  <c r="T8" i="31"/>
  <c r="U8" i="31" s="1"/>
  <c r="Y11" i="31"/>
  <c r="I21" i="28"/>
  <c r="L28" i="29"/>
  <c r="G28" i="28"/>
  <c r="O28" i="27" s="1"/>
  <c r="G10" i="30" s="1"/>
  <c r="G29" i="28"/>
  <c r="I5" i="28"/>
  <c r="F14" i="28"/>
  <c r="F13" i="28" s="1"/>
  <c r="F46" i="28"/>
  <c r="F45" i="28" s="1"/>
  <c r="F44" i="28" s="1"/>
  <c r="F12" i="28"/>
  <c r="F11" i="28" s="1"/>
  <c r="F10" i="28" s="1"/>
  <c r="G12" i="28"/>
  <c r="G11" i="28" s="1"/>
  <c r="I6" i="29"/>
  <c r="J9" i="29"/>
  <c r="H24" i="28"/>
  <c r="O27" i="27"/>
  <c r="H6" i="28"/>
  <c r="O53" i="27"/>
  <c r="P35" i="27"/>
  <c r="H8" i="29"/>
  <c r="I17" i="29"/>
  <c r="X5" i="12" l="1"/>
  <c r="X15" i="12"/>
  <c r="W20" i="12"/>
  <c r="X20" i="12"/>
  <c r="U8" i="12"/>
  <c r="W8" i="12" s="1"/>
  <c r="V8" i="12"/>
  <c r="U16" i="12"/>
  <c r="V4" i="12"/>
  <c r="W4" i="12" s="1"/>
  <c r="X4" i="12" s="1"/>
  <c r="Y14" i="12"/>
  <c r="Y20" i="12"/>
  <c r="AD4" i="30"/>
  <c r="Z14" i="30"/>
  <c r="AB14" i="30" s="1"/>
  <c r="AF7" i="30"/>
  <c r="AA8" i="30"/>
  <c r="AC8" i="30" s="1"/>
  <c r="Y18" i="30"/>
  <c r="AC18" i="30" s="1"/>
  <c r="AA18" i="30"/>
  <c r="Z12" i="30"/>
  <c r="AB12" i="30" s="1"/>
  <c r="AE7" i="30"/>
  <c r="AG7" i="30" s="1"/>
  <c r="AB17" i="30"/>
  <c r="AD20" i="30"/>
  <c r="AB8" i="30"/>
  <c r="AB22" i="30"/>
  <c r="AD22" i="30" s="1"/>
  <c r="AF22" i="30" s="1"/>
  <c r="X14" i="30"/>
  <c r="AD17" i="30"/>
  <c r="AC2" i="30"/>
  <c r="AD7" i="30"/>
  <c r="Y14" i="30"/>
  <c r="Y9" i="30"/>
  <c r="AB2" i="30"/>
  <c r="AD2" i="30" s="1"/>
  <c r="AF2" i="30" s="1"/>
  <c r="AC4" i="30"/>
  <c r="AE4" i="30" s="1"/>
  <c r="X9" i="30"/>
  <c r="Z18" i="30"/>
  <c r="Y17" i="31"/>
  <c r="Y9" i="31"/>
  <c r="Z9" i="31" s="1"/>
  <c r="V22" i="31"/>
  <c r="W22" i="31" s="1"/>
  <c r="W18" i="31"/>
  <c r="X18" i="31" s="1"/>
  <c r="X14" i="31"/>
  <c r="Y14" i="31"/>
  <c r="V4" i="31"/>
  <c r="X2" i="12"/>
  <c r="X12" i="12"/>
  <c r="Y12" i="12" s="1"/>
  <c r="Z7" i="12"/>
  <c r="W17" i="12"/>
  <c r="Z14" i="12"/>
  <c r="W2" i="12"/>
  <c r="X22" i="12"/>
  <c r="X6" i="12"/>
  <c r="Y22" i="12"/>
  <c r="Z20" i="12"/>
  <c r="V18" i="12"/>
  <c r="AA14" i="12"/>
  <c r="Y7" i="12"/>
  <c r="V21" i="12"/>
  <c r="V19" i="12"/>
  <c r="W19" i="12"/>
  <c r="X10" i="12"/>
  <c r="V11" i="12"/>
  <c r="W3" i="12"/>
  <c r="X3" i="12" s="1"/>
  <c r="AE16" i="30"/>
  <c r="Z21" i="30"/>
  <c r="AE2" i="30"/>
  <c r="AE19" i="30"/>
  <c r="Y5" i="30"/>
  <c r="AB5" i="30" s="1"/>
  <c r="AA19" i="30"/>
  <c r="AD16" i="30"/>
  <c r="AF16" i="30" s="1"/>
  <c r="AD15" i="30"/>
  <c r="AD8" i="30"/>
  <c r="AF8" i="30" s="1"/>
  <c r="AD6" i="30"/>
  <c r="AC6" i="30"/>
  <c r="Z3" i="30"/>
  <c r="Y3" i="30"/>
  <c r="AC17" i="30"/>
  <c r="AD19" i="30"/>
  <c r="Z5" i="30"/>
  <c r="AB13" i="30"/>
  <c r="AE13" i="30" s="1"/>
  <c r="AA21" i="30"/>
  <c r="AC21" i="30" s="1"/>
  <c r="AD13" i="30"/>
  <c r="AC22" i="30"/>
  <c r="AC19" i="30"/>
  <c r="AG20" i="30"/>
  <c r="AF20" i="30"/>
  <c r="V16" i="31"/>
  <c r="X19" i="31"/>
  <c r="V6" i="31"/>
  <c r="Y7" i="31"/>
  <c r="Z7" i="31" s="1"/>
  <c r="W20" i="31"/>
  <c r="X20" i="31"/>
  <c r="Y20" i="31"/>
  <c r="AA11" i="31"/>
  <c r="AB11" i="31" s="1"/>
  <c r="AC11" i="31" s="1"/>
  <c r="Z17" i="31"/>
  <c r="V15" i="31"/>
  <c r="V12" i="31"/>
  <c r="Y21" i="31"/>
  <c r="Z21" i="31" s="1"/>
  <c r="AA21" i="31" s="1"/>
  <c r="V8" i="31"/>
  <c r="W8" i="31" s="1"/>
  <c r="W5" i="31"/>
  <c r="X10" i="31"/>
  <c r="U12" i="31"/>
  <c r="X7" i="31"/>
  <c r="J6" i="29"/>
  <c r="K9" i="29"/>
  <c r="J5" i="28"/>
  <c r="M28" i="29"/>
  <c r="I24" i="28"/>
  <c r="P27" i="27"/>
  <c r="N54" i="27"/>
  <c r="G10" i="28"/>
  <c r="H13" i="28"/>
  <c r="P53" i="27"/>
  <c r="I6" i="28"/>
  <c r="I27" i="28"/>
  <c r="J21" i="28"/>
  <c r="Q35" i="27"/>
  <c r="I8" i="29"/>
  <c r="G44" i="28"/>
  <c r="N43" i="27"/>
  <c r="J17" i="29"/>
  <c r="H27" i="28"/>
  <c r="Y15" i="12" l="1"/>
  <c r="V16" i="12"/>
  <c r="AB20" i="12"/>
  <c r="AD20" i="12" s="1"/>
  <c r="AA20" i="12"/>
  <c r="AC20" i="12" s="1"/>
  <c r="Y3" i="12"/>
  <c r="Y5" i="12"/>
  <c r="X8" i="12"/>
  <c r="Z8" i="12" s="1"/>
  <c r="AF4" i="30"/>
  <c r="Z9" i="30"/>
  <c r="AB9" i="30" s="1"/>
  <c r="AA9" i="30"/>
  <c r="AD9" i="30" s="1"/>
  <c r="AB18" i="30"/>
  <c r="AD18" i="30" s="1"/>
  <c r="AG2" i="30"/>
  <c r="AG4" i="30"/>
  <c r="AC12" i="30"/>
  <c r="AE12" i="30" s="1"/>
  <c r="AG12" i="30" s="1"/>
  <c r="AA14" i="30"/>
  <c r="AD14" i="30"/>
  <c r="AD12" i="30"/>
  <c r="AB21" i="30"/>
  <c r="AE21" i="30" s="1"/>
  <c r="AE8" i="30"/>
  <c r="AG8" i="30" s="1"/>
  <c r="AA9" i="31"/>
  <c r="AB9" i="31" s="1"/>
  <c r="W4" i="31"/>
  <c r="X22" i="31"/>
  <c r="Y22" i="31" s="1"/>
  <c r="Z14" i="31"/>
  <c r="AA14" i="31" s="1"/>
  <c r="Y10" i="12"/>
  <c r="X17" i="12"/>
  <c r="W21" i="12"/>
  <c r="X21" i="12" s="1"/>
  <c r="W18" i="12"/>
  <c r="Z3" i="12"/>
  <c r="Y4" i="12"/>
  <c r="Y17" i="12"/>
  <c r="Z17" i="12" s="1"/>
  <c r="Y6" i="12"/>
  <c r="AA7" i="12"/>
  <c r="Z22" i="12"/>
  <c r="W11" i="12"/>
  <c r="AC14" i="12"/>
  <c r="X19" i="12"/>
  <c r="Y2" i="12"/>
  <c r="AB14" i="12"/>
  <c r="Z12" i="12"/>
  <c r="AA12" i="12" s="1"/>
  <c r="Z10" i="12"/>
  <c r="AA10" i="12" s="1"/>
  <c r="Z4" i="12"/>
  <c r="Y8" i="12"/>
  <c r="AG13" i="30"/>
  <c r="AE22" i="30"/>
  <c r="AG16" i="30"/>
  <c r="AD21" i="30"/>
  <c r="AF21" i="30" s="1"/>
  <c r="AF17" i="30"/>
  <c r="AG19" i="30"/>
  <c r="AB3" i="30"/>
  <c r="AF15" i="30"/>
  <c r="AG15" i="30"/>
  <c r="AE6" i="30"/>
  <c r="AE17" i="30"/>
  <c r="AA3" i="30"/>
  <c r="AF6" i="30"/>
  <c r="AF12" i="30"/>
  <c r="AF19" i="30"/>
  <c r="AF13" i="30"/>
  <c r="AA5" i="30"/>
  <c r="AD5" i="30" s="1"/>
  <c r="Y8" i="31"/>
  <c r="W6" i="31"/>
  <c r="AA17" i="31"/>
  <c r="AB17" i="31" s="1"/>
  <c r="Y19" i="31"/>
  <c r="W16" i="31"/>
  <c r="X5" i="31"/>
  <c r="AB7" i="31"/>
  <c r="W15" i="31"/>
  <c r="Y18" i="31"/>
  <c r="Y10" i="31"/>
  <c r="X8" i="31"/>
  <c r="AD11" i="31"/>
  <c r="Z20" i="31"/>
  <c r="AA7" i="31"/>
  <c r="AB21" i="31"/>
  <c r="AC21" i="31" s="1"/>
  <c r="AD21" i="31" s="1"/>
  <c r="W12" i="31"/>
  <c r="X12" i="31" s="1"/>
  <c r="J6" i="28"/>
  <c r="Q53" i="27"/>
  <c r="H28" i="28"/>
  <c r="P28" i="27" s="1"/>
  <c r="H10" i="30" s="1"/>
  <c r="H29" i="28"/>
  <c r="I28" i="28"/>
  <c r="Q28" i="27" s="1"/>
  <c r="I10" i="30" s="1"/>
  <c r="I29" i="28"/>
  <c r="O54" i="27"/>
  <c r="H10" i="28"/>
  <c r="J24" i="28"/>
  <c r="Q27" i="27"/>
  <c r="N28" i="29"/>
  <c r="O28" i="29" s="1"/>
  <c r="I31" i="29"/>
  <c r="J31" i="29"/>
  <c r="K31" i="29"/>
  <c r="L31" i="29"/>
  <c r="H44" i="28"/>
  <c r="O43" i="27"/>
  <c r="K5" i="28"/>
  <c r="J14" i="28"/>
  <c r="J13" i="28" s="1"/>
  <c r="I46" i="28"/>
  <c r="I45" i="28" s="1"/>
  <c r="K6" i="29"/>
  <c r="L9" i="29"/>
  <c r="K17" i="29"/>
  <c r="K21" i="28"/>
  <c r="J27" i="28"/>
  <c r="J8" i="29"/>
  <c r="R35" i="27"/>
  <c r="Z5" i="12" l="1"/>
  <c r="AA5" i="12" s="1"/>
  <c r="W16" i="12"/>
  <c r="AB12" i="12"/>
  <c r="Z15" i="12"/>
  <c r="AA15" i="12" s="1"/>
  <c r="Y19" i="12"/>
  <c r="Z19" i="12" s="1"/>
  <c r="AC5" i="30"/>
  <c r="AC14" i="30"/>
  <c r="AE18" i="30"/>
  <c r="AG18" i="30" s="1"/>
  <c r="AC9" i="30"/>
  <c r="AE9" i="30" s="1"/>
  <c r="AG9" i="30" s="1"/>
  <c r="AF18" i="30"/>
  <c r="AB14" i="31"/>
  <c r="AA22" i="31"/>
  <c r="X4" i="31"/>
  <c r="AC9" i="31"/>
  <c r="AD9" i="31" s="1"/>
  <c r="AE9" i="31" s="1"/>
  <c r="AC17" i="31"/>
  <c r="Z22" i="31"/>
  <c r="AC14" i="31"/>
  <c r="AD14" i="31" s="1"/>
  <c r="AB10" i="12"/>
  <c r="AC10" i="12" s="1"/>
  <c r="AC12" i="12"/>
  <c r="AA22" i="12"/>
  <c r="AA3" i="12"/>
  <c r="Y21" i="12"/>
  <c r="X11" i="12"/>
  <c r="Y11" i="12" s="1"/>
  <c r="AA17" i="12"/>
  <c r="AB17" i="12" s="1"/>
  <c r="Z6" i="12"/>
  <c r="AB7" i="12"/>
  <c r="AE20" i="12"/>
  <c r="AD14" i="12"/>
  <c r="AA2" i="12"/>
  <c r="Z2" i="12"/>
  <c r="X18" i="12"/>
  <c r="Y18" i="12" s="1"/>
  <c r="AA8" i="12"/>
  <c r="AD12" i="12"/>
  <c r="AA4" i="12"/>
  <c r="AG6" i="30"/>
  <c r="AG22" i="30"/>
  <c r="AD3" i="30"/>
  <c r="AE5" i="30"/>
  <c r="AG21" i="30"/>
  <c r="AF5" i="30"/>
  <c r="AC3" i="30"/>
  <c r="AG17" i="30"/>
  <c r="Y12" i="31"/>
  <c r="Z12" i="31"/>
  <c r="Z8" i="31"/>
  <c r="AE11" i="31"/>
  <c r="AE21" i="31"/>
  <c r="Z18" i="31"/>
  <c r="AA8" i="31"/>
  <c r="Z10" i="31"/>
  <c r="Z19" i="31"/>
  <c r="AC7" i="31"/>
  <c r="X16" i="31"/>
  <c r="AA20" i="31"/>
  <c r="X6" i="31"/>
  <c r="Y5" i="31"/>
  <c r="X15" i="31"/>
  <c r="AB8" i="31"/>
  <c r="Y16" i="31"/>
  <c r="J28" i="28"/>
  <c r="R28" i="27" s="1"/>
  <c r="J10" i="30" s="1"/>
  <c r="J29" i="28"/>
  <c r="L21" i="28"/>
  <c r="K24" i="28"/>
  <c r="R27" i="27"/>
  <c r="L6" i="29"/>
  <c r="M9" i="29"/>
  <c r="P54" i="27"/>
  <c r="I10" i="28"/>
  <c r="L17" i="29"/>
  <c r="K8" i="29"/>
  <c r="S35" i="27"/>
  <c r="L5" i="28"/>
  <c r="J46" i="28"/>
  <c r="J45" i="28" s="1"/>
  <c r="I12" i="28"/>
  <c r="I11" i="28" s="1"/>
  <c r="J12" i="28"/>
  <c r="J11" i="28" s="1"/>
  <c r="I14" i="28"/>
  <c r="I13" i="28" s="1"/>
  <c r="P43" i="27"/>
  <c r="I44" i="28"/>
  <c r="K6" i="28"/>
  <c r="R53" i="27"/>
  <c r="AA19" i="12" l="1"/>
  <c r="AB19" i="12" s="1"/>
  <c r="AC19" i="12" s="1"/>
  <c r="AB5" i="12"/>
  <c r="AC5" i="12" s="1"/>
  <c r="AD5" i="12" s="1"/>
  <c r="X16" i="12"/>
  <c r="AE12" i="12"/>
  <c r="AF12" i="12" s="1"/>
  <c r="AG12" i="12" s="1"/>
  <c r="AB15" i="12"/>
  <c r="AF9" i="30"/>
  <c r="AF14" i="30"/>
  <c r="AG14" i="30"/>
  <c r="AE14" i="30"/>
  <c r="AE14" i="31"/>
  <c r="AF14" i="31" s="1"/>
  <c r="AG14" i="31" s="1"/>
  <c r="AF17" i="31"/>
  <c r="Y4" i="31"/>
  <c r="AD17" i="31"/>
  <c r="AE17" i="31" s="1"/>
  <c r="AB22" i="31"/>
  <c r="Z18" i="12"/>
  <c r="AE14" i="12"/>
  <c r="AB8" i="12"/>
  <c r="AD10" i="12"/>
  <c r="Z11" i="12"/>
  <c r="AB3" i="12"/>
  <c r="AB4" i="12"/>
  <c r="AB2" i="12"/>
  <c r="AA6" i="12"/>
  <c r="Z21" i="12"/>
  <c r="AC2" i="12"/>
  <c r="AC7" i="12"/>
  <c r="AA18" i="12"/>
  <c r="AB22" i="12"/>
  <c r="AD7" i="12"/>
  <c r="AF20" i="12"/>
  <c r="AC17" i="12"/>
  <c r="AE3" i="30"/>
  <c r="AG3" i="30" s="1"/>
  <c r="AG5" i="30"/>
  <c r="AF3" i="30"/>
  <c r="Y6" i="31"/>
  <c r="AA18" i="31"/>
  <c r="AB18" i="31"/>
  <c r="AF21" i="31"/>
  <c r="AD7" i="31"/>
  <c r="AB20" i="31"/>
  <c r="AA10" i="31"/>
  <c r="AF11" i="31"/>
  <c r="Z5" i="31"/>
  <c r="Z16" i="31"/>
  <c r="AC8" i="31"/>
  <c r="AA19" i="31"/>
  <c r="Y15" i="31"/>
  <c r="Z15" i="31"/>
  <c r="AA12" i="31"/>
  <c r="AF9" i="31"/>
  <c r="AE7" i="31"/>
  <c r="M5" i="28"/>
  <c r="L60" i="28" s="1"/>
  <c r="K13" i="28"/>
  <c r="L6" i="28"/>
  <c r="S53" i="27"/>
  <c r="M6" i="29"/>
  <c r="N9" i="29"/>
  <c r="L8" i="29"/>
  <c r="T35" i="27"/>
  <c r="L24" i="28"/>
  <c r="L27" i="28" s="1"/>
  <c r="S27" i="27"/>
  <c r="Q43" i="27"/>
  <c r="J44" i="28"/>
  <c r="K27" i="28"/>
  <c r="M21" i="28"/>
  <c r="M17" i="29"/>
  <c r="Q54" i="27"/>
  <c r="J10" i="28"/>
  <c r="Y16" i="12" l="1"/>
  <c r="AA16" i="12" s="1"/>
  <c r="Z16" i="12"/>
  <c r="AC15" i="12"/>
  <c r="AD15" i="12" s="1"/>
  <c r="Z4" i="31"/>
  <c r="AA4" i="31"/>
  <c r="AA15" i="31"/>
  <c r="AB15" i="31" s="1"/>
  <c r="AC22" i="31"/>
  <c r="AG17" i="31"/>
  <c r="AE10" i="12"/>
  <c r="AD17" i="12"/>
  <c r="AC4" i="12"/>
  <c r="AD4" i="12"/>
  <c r="AC3" i="12"/>
  <c r="AF14" i="12"/>
  <c r="AA21" i="12"/>
  <c r="AG20" i="12"/>
  <c r="AC22" i="12"/>
  <c r="AB6" i="12"/>
  <c r="AE7" i="12"/>
  <c r="AD2" i="12"/>
  <c r="AB18" i="12"/>
  <c r="AC8" i="12"/>
  <c r="AD19" i="12"/>
  <c r="AA11" i="12"/>
  <c r="AE5" i="12"/>
  <c r="AG21" i="31"/>
  <c r="AC20" i="31"/>
  <c r="AC18" i="31"/>
  <c r="AA16" i="31"/>
  <c r="AB19" i="31"/>
  <c r="AA5" i="31"/>
  <c r="Z6" i="31"/>
  <c r="AG9" i="31"/>
  <c r="AB10" i="31"/>
  <c r="AB12" i="31"/>
  <c r="AD8" i="31"/>
  <c r="AE8" i="31" s="1"/>
  <c r="AF7" i="31"/>
  <c r="AG11" i="31"/>
  <c r="L28" i="28"/>
  <c r="T28" i="27" s="1"/>
  <c r="L10" i="30" s="1"/>
  <c r="L29" i="28"/>
  <c r="R54" i="27"/>
  <c r="K10" i="28"/>
  <c r="K28" i="28"/>
  <c r="S28" i="27" s="1"/>
  <c r="K10" i="30" s="1"/>
  <c r="K29" i="28"/>
  <c r="R43" i="27"/>
  <c r="K44" i="28"/>
  <c r="M24" i="28"/>
  <c r="T27" i="27"/>
  <c r="N6" i="29"/>
  <c r="O9" i="29"/>
  <c r="O6" i="29" s="1"/>
  <c r="M8" i="29"/>
  <c r="U35" i="27"/>
  <c r="M6" i="28"/>
  <c r="T53" i="27"/>
  <c r="N17" i="29"/>
  <c r="N21" i="28"/>
  <c r="N5" i="28"/>
  <c r="F60" i="28"/>
  <c r="G60" i="28"/>
  <c r="H60" i="28"/>
  <c r="I60" i="28"/>
  <c r="J60" i="28"/>
  <c r="K60" i="28"/>
  <c r="AB16" i="12" l="1"/>
  <c r="AE15" i="12"/>
  <c r="AD22" i="31"/>
  <c r="AB4" i="31"/>
  <c r="AC4" i="31" s="1"/>
  <c r="AE22" i="31"/>
  <c r="AF22" i="31" s="1"/>
  <c r="AD8" i="12"/>
  <c r="AF5" i="12"/>
  <c r="AB11" i="12"/>
  <c r="AE19" i="12"/>
  <c r="AD22" i="12"/>
  <c r="AB21" i="12"/>
  <c r="AD3" i="12"/>
  <c r="AE4" i="12"/>
  <c r="AC18" i="12"/>
  <c r="AE17" i="12"/>
  <c r="AC6" i="12"/>
  <c r="AG14" i="12"/>
  <c r="AF7" i="12"/>
  <c r="AE2" i="12"/>
  <c r="AF10" i="12"/>
  <c r="AD20" i="31"/>
  <c r="AB5" i="31"/>
  <c r="AD18" i="31"/>
  <c r="AA6" i="31"/>
  <c r="AC10" i="31"/>
  <c r="AC19" i="31"/>
  <c r="AG7" i="31"/>
  <c r="AF8" i="31"/>
  <c r="AC12" i="31"/>
  <c r="AB16" i="31"/>
  <c r="AC15" i="31"/>
  <c r="N24" i="28"/>
  <c r="U27" i="27"/>
  <c r="S43" i="27"/>
  <c r="O5" i="28"/>
  <c r="N43" i="28" s="1"/>
  <c r="N42" i="28" s="1"/>
  <c r="V46" i="27" s="1"/>
  <c r="N14" i="28"/>
  <c r="O8" i="29"/>
  <c r="W35" i="27"/>
  <c r="N22" i="29"/>
  <c r="N21" i="29" s="1"/>
  <c r="O17" i="29"/>
  <c r="P22" i="29" s="1"/>
  <c r="N8" i="29"/>
  <c r="V35" i="27"/>
  <c r="M27" i="28"/>
  <c r="O21" i="28"/>
  <c r="N27" i="28"/>
  <c r="S54" i="27"/>
  <c r="N6" i="28"/>
  <c r="U53" i="27"/>
  <c r="AF15" i="12" l="1"/>
  <c r="AG15" i="12" s="1"/>
  <c r="AC16" i="12"/>
  <c r="AE16" i="12" s="1"/>
  <c r="AF16" i="12" s="1"/>
  <c r="AD16" i="12"/>
  <c r="AG22" i="31"/>
  <c r="AD4" i="31"/>
  <c r="AE4" i="31" s="1"/>
  <c r="AC21" i="12"/>
  <c r="AE8" i="12"/>
  <c r="AD18" i="12"/>
  <c r="AD6" i="12"/>
  <c r="AG10" i="12"/>
  <c r="AF4" i="12"/>
  <c r="AF2" i="12"/>
  <c r="AG5" i="12"/>
  <c r="AE22" i="12"/>
  <c r="AF19" i="12"/>
  <c r="AG7" i="12"/>
  <c r="AF17" i="12"/>
  <c r="AE3" i="12"/>
  <c r="AC11" i="12"/>
  <c r="AB6" i="31"/>
  <c r="AD15" i="31"/>
  <c r="AC5" i="31"/>
  <c r="AD10" i="31"/>
  <c r="AD19" i="31"/>
  <c r="AG8" i="31"/>
  <c r="AC16" i="31"/>
  <c r="AD12" i="31"/>
  <c r="AE18" i="31"/>
  <c r="AE20" i="31"/>
  <c r="N13" i="28"/>
  <c r="N46" i="28"/>
  <c r="N45" i="28" s="1"/>
  <c r="F22" i="29"/>
  <c r="F21" i="29" s="1"/>
  <c r="F19" i="29" s="1"/>
  <c r="G22" i="29"/>
  <c r="G21" i="29" s="1"/>
  <c r="H22" i="29"/>
  <c r="H21" i="29" s="1"/>
  <c r="I22" i="29"/>
  <c r="I21" i="29" s="1"/>
  <c r="J22" i="29"/>
  <c r="J21" i="29" s="1"/>
  <c r="K22" i="29"/>
  <c r="K21" i="29" s="1"/>
  <c r="L22" i="29"/>
  <c r="L21" i="29" s="1"/>
  <c r="M22" i="29"/>
  <c r="M21" i="29" s="1"/>
  <c r="N28" i="28"/>
  <c r="V28" i="27" s="1"/>
  <c r="N10" i="30" s="1"/>
  <c r="N29" i="28"/>
  <c r="P34" i="28"/>
  <c r="F34" i="28" s="1"/>
  <c r="P51" i="28"/>
  <c r="F51" i="28" s="1"/>
  <c r="F43" i="28"/>
  <c r="F42" i="28" s="1"/>
  <c r="P56" i="28"/>
  <c r="F56" i="28" s="1"/>
  <c r="M12" i="28"/>
  <c r="M11" i="28" s="1"/>
  <c r="N12" i="28"/>
  <c r="N11" i="28" s="1"/>
  <c r="L12" i="28"/>
  <c r="L11" i="28" s="1"/>
  <c r="L10" i="28" s="1"/>
  <c r="G43" i="28"/>
  <c r="G42" i="28" s="1"/>
  <c r="O46" i="27" s="1"/>
  <c r="H43" i="28"/>
  <c r="H42" i="28" s="1"/>
  <c r="P46" i="27" s="1"/>
  <c r="I43" i="28"/>
  <c r="I42" i="28" s="1"/>
  <c r="Q46" i="27" s="1"/>
  <c r="J43" i="28"/>
  <c r="J42" i="28" s="1"/>
  <c r="R46" i="27" s="1"/>
  <c r="K43" i="28"/>
  <c r="K42" i="28" s="1"/>
  <c r="S46" i="27" s="1"/>
  <c r="L43" i="28"/>
  <c r="L42" i="28" s="1"/>
  <c r="T46" i="27" s="1"/>
  <c r="L46" i="28"/>
  <c r="L45" i="28" s="1"/>
  <c r="L44" i="28" s="1"/>
  <c r="L14" i="28"/>
  <c r="L13" i="28" s="1"/>
  <c r="M43" i="28"/>
  <c r="M42" i="28" s="1"/>
  <c r="U46" i="27" s="1"/>
  <c r="M46" i="28"/>
  <c r="M45" i="28" s="1"/>
  <c r="M14" i="28"/>
  <c r="M13" i="28" s="1"/>
  <c r="O6" i="28"/>
  <c r="V53" i="27"/>
  <c r="M28" i="28"/>
  <c r="U28" i="27" s="1"/>
  <c r="M10" i="30" s="1"/>
  <c r="M29" i="28"/>
  <c r="O24" i="28"/>
  <c r="W27" i="27" s="1"/>
  <c r="V27" i="27"/>
  <c r="AG16" i="12" l="1"/>
  <c r="P10" i="30"/>
  <c r="AF4" i="31"/>
  <c r="AG4" i="31"/>
  <c r="AG4" i="12"/>
  <c r="AG17" i="12"/>
  <c r="AE6" i="12"/>
  <c r="AE18" i="12"/>
  <c r="AG19" i="12"/>
  <c r="AF22" i="12"/>
  <c r="AD11" i="12"/>
  <c r="AF3" i="12"/>
  <c r="AG2" i="12"/>
  <c r="AF8" i="12"/>
  <c r="AD21" i="12"/>
  <c r="AD16" i="31"/>
  <c r="AC6" i="31"/>
  <c r="AE12" i="31"/>
  <c r="AD5" i="31"/>
  <c r="AE10" i="31"/>
  <c r="AF20" i="31"/>
  <c r="AF18" i="31"/>
  <c r="AE19" i="31"/>
  <c r="AE15" i="31"/>
  <c r="O27" i="28"/>
  <c r="T43" i="27"/>
  <c r="M44" i="28"/>
  <c r="G56" i="28"/>
  <c r="F55" i="28"/>
  <c r="F59" i="28" s="1"/>
  <c r="N62" i="27" s="1"/>
  <c r="N46" i="27"/>
  <c r="F41" i="28"/>
  <c r="O29" i="28"/>
  <c r="O28" i="28"/>
  <c r="W28" i="27" s="1"/>
  <c r="O10" i="30" s="1"/>
  <c r="W53" i="27"/>
  <c r="O13" i="28"/>
  <c r="F33" i="28"/>
  <c r="F32" i="28" s="1"/>
  <c r="G34" i="28"/>
  <c r="M10" i="28"/>
  <c r="T54" i="27"/>
  <c r="F18" i="29"/>
  <c r="F9" i="12" s="1"/>
  <c r="G19" i="29"/>
  <c r="N23" i="27"/>
  <c r="G51" i="28"/>
  <c r="F50" i="28"/>
  <c r="R10" i="30" l="1"/>
  <c r="Q10" i="30"/>
  <c r="AF18" i="12"/>
  <c r="AE11" i="12"/>
  <c r="AG8" i="12"/>
  <c r="AG3" i="12"/>
  <c r="AE21" i="12"/>
  <c r="AG22" i="12"/>
  <c r="AF6" i="12"/>
  <c r="AF12" i="31"/>
  <c r="AE16" i="31"/>
  <c r="AE5" i="31"/>
  <c r="AF19" i="31"/>
  <c r="AF10" i="31"/>
  <c r="AD6" i="31"/>
  <c r="AG18" i="31"/>
  <c r="AG20" i="31"/>
  <c r="AF15" i="31"/>
  <c r="G41" i="28"/>
  <c r="F48" i="28"/>
  <c r="N45" i="27" s="1"/>
  <c r="N10" i="28"/>
  <c r="U54" i="27"/>
  <c r="G33" i="28"/>
  <c r="G32" i="28" s="1"/>
  <c r="H34" i="28"/>
  <c r="F30" i="29"/>
  <c r="F29" i="29" s="1"/>
  <c r="N39" i="27" s="1"/>
  <c r="F37" i="28"/>
  <c r="U43" i="27"/>
  <c r="N44" i="28"/>
  <c r="G50" i="28"/>
  <c r="H51" i="28"/>
  <c r="G18" i="29"/>
  <c r="G9" i="12" s="1"/>
  <c r="O23" i="27"/>
  <c r="H19" i="29"/>
  <c r="G55" i="28"/>
  <c r="G59" i="28" s="1"/>
  <c r="O62" i="27" s="1"/>
  <c r="H56" i="28"/>
  <c r="T10" i="30" l="1"/>
  <c r="S10" i="30"/>
  <c r="AG18" i="12"/>
  <c r="AF21" i="12"/>
  <c r="AG6" i="12"/>
  <c r="AF11" i="12"/>
  <c r="AG19" i="31"/>
  <c r="AF5" i="31"/>
  <c r="AE6" i="31"/>
  <c r="AF16" i="31"/>
  <c r="AG15" i="31"/>
  <c r="AG12" i="31"/>
  <c r="AG10" i="31"/>
  <c r="F13" i="31"/>
  <c r="F13" i="12"/>
  <c r="G30" i="29"/>
  <c r="G29" i="29" s="1"/>
  <c r="O39" i="27" s="1"/>
  <c r="G37" i="28"/>
  <c r="I51" i="28"/>
  <c r="H50" i="28"/>
  <c r="V43" i="27"/>
  <c r="O44" i="28"/>
  <c r="F39" i="28"/>
  <c r="F38" i="28"/>
  <c r="N32" i="27" s="1"/>
  <c r="F11" i="30" s="1"/>
  <c r="H33" i="28"/>
  <c r="H32" i="28" s="1"/>
  <c r="I34" i="28"/>
  <c r="H55" i="28"/>
  <c r="H59" i="28" s="1"/>
  <c r="P62" i="27" s="1"/>
  <c r="I56" i="28"/>
  <c r="O10" i="28"/>
  <c r="W54" i="27" s="1"/>
  <c r="V54" i="27"/>
  <c r="H18" i="29"/>
  <c r="H9" i="12" s="1"/>
  <c r="P23" i="27"/>
  <c r="I19" i="29"/>
  <c r="F47" i="28"/>
  <c r="N44" i="27" s="1"/>
  <c r="H41" i="28"/>
  <c r="G48" i="28"/>
  <c r="O45" i="27" s="1"/>
  <c r="U10" i="30" l="1"/>
  <c r="V10" i="30"/>
  <c r="X10" i="30" s="1"/>
  <c r="AG11" i="12"/>
  <c r="AG21" i="12"/>
  <c r="AG16" i="31"/>
  <c r="AG5" i="31"/>
  <c r="AF6" i="31"/>
  <c r="G13" i="12"/>
  <c r="G13" i="31"/>
  <c r="G47" i="28"/>
  <c r="O44" i="27" s="1"/>
  <c r="H37" i="28"/>
  <c r="H30" i="29"/>
  <c r="H29" i="29" s="1"/>
  <c r="P39" i="27" s="1"/>
  <c r="I33" i="28"/>
  <c r="I32" i="28" s="1"/>
  <c r="J34" i="28"/>
  <c r="I41" i="28"/>
  <c r="H48" i="28"/>
  <c r="P45" i="27" s="1"/>
  <c r="I55" i="28"/>
  <c r="I59" i="28" s="1"/>
  <c r="Q62" i="27" s="1"/>
  <c r="J56" i="28"/>
  <c r="W43" i="27"/>
  <c r="I18" i="29"/>
  <c r="I9" i="12" s="1"/>
  <c r="J19" i="29"/>
  <c r="Q23" i="27"/>
  <c r="G39" i="28"/>
  <c r="G38" i="28"/>
  <c r="O32" i="27" s="1"/>
  <c r="G11" i="30" s="1"/>
  <c r="J51" i="28"/>
  <c r="I50" i="28"/>
  <c r="W10" i="30" l="1"/>
  <c r="Y10" i="30"/>
  <c r="AA10" i="30"/>
  <c r="AG6" i="31"/>
  <c r="H13" i="12"/>
  <c r="H13" i="31"/>
  <c r="I37" i="28"/>
  <c r="I30" i="29"/>
  <c r="I29" i="29" s="1"/>
  <c r="Q39" i="27" s="1"/>
  <c r="J55" i="28"/>
  <c r="J59" i="28" s="1"/>
  <c r="R62" i="27" s="1"/>
  <c r="K56" i="28"/>
  <c r="J18" i="29"/>
  <c r="J9" i="12" s="1"/>
  <c r="R23" i="27"/>
  <c r="K19" i="29"/>
  <c r="H47" i="28"/>
  <c r="P44" i="27" s="1"/>
  <c r="J50" i="28"/>
  <c r="K51" i="28"/>
  <c r="J41" i="28"/>
  <c r="I48" i="28"/>
  <c r="Q45" i="27" s="1"/>
  <c r="J33" i="28"/>
  <c r="J32" i="28" s="1"/>
  <c r="K34" i="28"/>
  <c r="H39" i="28"/>
  <c r="H38" i="28"/>
  <c r="P32" i="27" s="1"/>
  <c r="H11" i="30" s="1"/>
  <c r="Z10" i="30" l="1"/>
  <c r="AC10" i="30" s="1"/>
  <c r="I13" i="31"/>
  <c r="I13" i="12"/>
  <c r="J37" i="28"/>
  <c r="J30" i="29"/>
  <c r="J29" i="29" s="1"/>
  <c r="R39" i="27" s="1"/>
  <c r="I47" i="28"/>
  <c r="Q44" i="27" s="1"/>
  <c r="K50" i="28"/>
  <c r="L51" i="28"/>
  <c r="K18" i="29"/>
  <c r="K9" i="12" s="1"/>
  <c r="S23" i="27"/>
  <c r="L19" i="29"/>
  <c r="K41" i="28"/>
  <c r="J48" i="28"/>
  <c r="R45" i="27" s="1"/>
  <c r="J47" i="28"/>
  <c r="R44" i="27" s="1"/>
  <c r="K33" i="28"/>
  <c r="K32" i="28" s="1"/>
  <c r="L34" i="28"/>
  <c r="K55" i="28"/>
  <c r="K59" i="28" s="1"/>
  <c r="S62" i="27" s="1"/>
  <c r="L56" i="28"/>
  <c r="I38" i="28"/>
  <c r="Q32" i="27" s="1"/>
  <c r="I11" i="30" s="1"/>
  <c r="I39" i="28"/>
  <c r="AB10" i="30" l="1"/>
  <c r="AD10" i="30" s="1"/>
  <c r="AF10" i="30"/>
  <c r="J13" i="31"/>
  <c r="J13" i="12"/>
  <c r="K37" i="28"/>
  <c r="K30" i="29"/>
  <c r="K29" i="29" s="1"/>
  <c r="S39" i="27" s="1"/>
  <c r="L55" i="28"/>
  <c r="L59" i="28" s="1"/>
  <c r="T62" i="27" s="1"/>
  <c r="M56" i="28"/>
  <c r="L41" i="28"/>
  <c r="K48" i="28"/>
  <c r="S45" i="27" s="1"/>
  <c r="L50" i="28"/>
  <c r="M51" i="28"/>
  <c r="M34" i="28"/>
  <c r="L33" i="28"/>
  <c r="L32" i="28" s="1"/>
  <c r="L18" i="29"/>
  <c r="L9" i="12" s="1"/>
  <c r="T23" i="27"/>
  <c r="M19" i="29"/>
  <c r="J39" i="28"/>
  <c r="J38" i="28"/>
  <c r="R32" i="27" s="1"/>
  <c r="J11" i="30" s="1"/>
  <c r="AE10" i="30" l="1"/>
  <c r="AG10" i="30" s="1"/>
  <c r="K13" i="31"/>
  <c r="K13" i="12"/>
  <c r="L30" i="29"/>
  <c r="L29" i="29" s="1"/>
  <c r="T39" i="27" s="1"/>
  <c r="L37" i="28"/>
  <c r="M18" i="29"/>
  <c r="M9" i="12" s="1"/>
  <c r="U23" i="27"/>
  <c r="N19" i="29"/>
  <c r="N34" i="28"/>
  <c r="N33" i="28" s="1"/>
  <c r="M33" i="28"/>
  <c r="M32" i="28" s="1"/>
  <c r="M50" i="28"/>
  <c r="N51" i="28"/>
  <c r="N50" i="28" s="1"/>
  <c r="K47" i="28"/>
  <c r="S44" i="27" s="1"/>
  <c r="M41" i="28"/>
  <c r="L48" i="28"/>
  <c r="T45" i="27" s="1"/>
  <c r="L47" i="28"/>
  <c r="T44" i="27" s="1"/>
  <c r="M55" i="28"/>
  <c r="M59" i="28" s="1"/>
  <c r="U62" i="27" s="1"/>
  <c r="N56" i="28"/>
  <c r="N55" i="28" s="1"/>
  <c r="N59" i="28" s="1"/>
  <c r="V62" i="27" s="1"/>
  <c r="K39" i="28"/>
  <c r="K38" i="28"/>
  <c r="S32" i="27" s="1"/>
  <c r="K11" i="30" s="1"/>
  <c r="L13" i="31" l="1"/>
  <c r="L13" i="12"/>
  <c r="M30" i="29"/>
  <c r="M29" i="29" s="1"/>
  <c r="U39" i="27" s="1"/>
  <c r="N32" i="28"/>
  <c r="M37" i="28"/>
  <c r="L38" i="28"/>
  <c r="T32" i="27" s="1"/>
  <c r="L11" i="30" s="1"/>
  <c r="L39" i="28"/>
  <c r="O19" i="29"/>
  <c r="N18" i="29"/>
  <c r="N9" i="12" s="1"/>
  <c r="V23" i="27"/>
  <c r="N41" i="28"/>
  <c r="M48" i="28"/>
  <c r="U45" i="27" s="1"/>
  <c r="M47" i="28"/>
  <c r="U44" i="27" s="1"/>
  <c r="M13" i="31" l="1"/>
  <c r="M13" i="12"/>
  <c r="O41" i="28"/>
  <c r="N48" i="28"/>
  <c r="V45" i="27" s="1"/>
  <c r="N47" i="28"/>
  <c r="V44" i="27" s="1"/>
  <c r="W23" i="27"/>
  <c r="O18" i="29"/>
  <c r="O9" i="12" s="1"/>
  <c r="M39" i="28"/>
  <c r="M38" i="28"/>
  <c r="U32" i="27" s="1"/>
  <c r="M11" i="30" s="1"/>
  <c r="O32" i="28"/>
  <c r="N30" i="29"/>
  <c r="N29" i="29" s="1"/>
  <c r="V39" i="27" s="1"/>
  <c r="N37" i="28"/>
  <c r="P9" i="12" l="1"/>
  <c r="N13" i="12"/>
  <c r="N13" i="31"/>
  <c r="N39" i="28"/>
  <c r="N38" i="28"/>
  <c r="V32" i="27" s="1"/>
  <c r="N11" i="30" s="1"/>
  <c r="O30" i="29"/>
  <c r="O29" i="29" s="1"/>
  <c r="W39" i="27" s="1"/>
  <c r="O37" i="28"/>
  <c r="O48" i="28"/>
  <c r="W45" i="27" s="1"/>
  <c r="O47" i="28"/>
  <c r="W44" i="27" s="1"/>
  <c r="Q9" i="12" l="1"/>
  <c r="P11" i="30"/>
  <c r="O13" i="12"/>
  <c r="O13" i="31"/>
  <c r="O39" i="28"/>
  <c r="O38" i="28"/>
  <c r="W32" i="27" s="1"/>
  <c r="O11" i="30" s="1"/>
  <c r="P13" i="12" l="1"/>
  <c r="R9" i="12"/>
  <c r="Q11" i="30"/>
  <c r="R11" i="30"/>
  <c r="P13" i="31"/>
  <c r="S9" i="12" l="1"/>
  <c r="Q13" i="12"/>
  <c r="T11" i="30"/>
  <c r="S11" i="30"/>
  <c r="U11" i="30" s="1"/>
  <c r="W11" i="30" s="1"/>
  <c r="Q13" i="31"/>
  <c r="T9" i="12" l="1"/>
  <c r="R13" i="12"/>
  <c r="V11" i="30"/>
  <c r="X11" i="30" s="1"/>
  <c r="Z11" i="30" s="1"/>
  <c r="Y11" i="30"/>
  <c r="AA11" i="30"/>
  <c r="AC11" i="30"/>
  <c r="AB11" i="30"/>
  <c r="R13" i="31"/>
  <c r="S13" i="12" l="1"/>
  <c r="U9" i="12"/>
  <c r="AD11" i="30"/>
  <c r="AF11" i="30" s="1"/>
  <c r="AE11" i="30"/>
  <c r="AG11" i="30" s="1"/>
  <c r="S13" i="31"/>
  <c r="V9" i="12" l="1"/>
  <c r="T13" i="12"/>
  <c r="T13" i="31"/>
  <c r="U13" i="12" l="1"/>
  <c r="W9" i="12"/>
  <c r="U13" i="31"/>
  <c r="X9" i="12" l="1"/>
  <c r="Y9" i="12" s="1"/>
  <c r="Z9" i="12" s="1"/>
  <c r="AA9" i="12" s="1"/>
  <c r="AB9" i="12" s="1"/>
  <c r="AC9" i="12" s="1"/>
  <c r="AD9" i="12" s="1"/>
  <c r="V13" i="12"/>
  <c r="V13" i="31"/>
  <c r="W13" i="31" s="1"/>
  <c r="X13" i="31" s="1"/>
  <c r="Y13" i="31" s="1"/>
  <c r="Z13" i="31" s="1"/>
  <c r="AA13" i="31" s="1"/>
  <c r="AB13" i="31"/>
  <c r="W13" i="12" l="1"/>
  <c r="AE9" i="12"/>
  <c r="AF9" i="12" s="1"/>
  <c r="AG9" i="12" s="1"/>
  <c r="AC13" i="31"/>
  <c r="AD13" i="31"/>
  <c r="AE13" i="31" s="1"/>
  <c r="X13" i="12" l="1"/>
  <c r="AF13" i="31"/>
  <c r="AG13" i="31"/>
  <c r="Y13" i="12" l="1"/>
  <c r="Z13" i="12" s="1"/>
  <c r="AA13" i="12" s="1"/>
  <c r="AB13" i="12" s="1"/>
  <c r="AC13" i="12" s="1"/>
  <c r="AD13" i="12" s="1"/>
  <c r="AE13" i="12" s="1"/>
  <c r="AF13" i="12" s="1"/>
  <c r="AG13" i="12" l="1"/>
</calcChain>
</file>

<file path=xl/sharedStrings.xml><?xml version="1.0" encoding="utf-8"?>
<sst xmlns="http://schemas.openxmlformats.org/spreadsheetml/2006/main" count="761" uniqueCount="216">
  <si>
    <t>BFPIaE BAU Fuel Production</t>
  </si>
  <si>
    <t>BFPIaE BAU Fuel Imports</t>
  </si>
  <si>
    <t>BFPIaE BAU Fuel Exports</t>
  </si>
  <si>
    <t>Source:</t>
  </si>
  <si>
    <t>National Energy Balance - BEN 2023</t>
  </si>
  <si>
    <t>Empresa de Pesquisa Energética - official Energy Research Office</t>
  </si>
  <si>
    <t>all fuels</t>
  </si>
  <si>
    <t>2023 edition with data up to 2022</t>
  </si>
  <si>
    <t>https://www.epe.gov.br/pt/publicacoes-dados-abertos/publicacoes/balanco-energetico-nacional-2023</t>
  </si>
  <si>
    <t>Area: Brazil, Period: Annual 2023</t>
  </si>
  <si>
    <t>Ten-Year Energy Expansion Plan - PDE 2023-32</t>
  </si>
  <si>
    <t>2023 edition with projections up to 2032</t>
  </si>
  <si>
    <t>https://www.epe.gov.br/pt/publicacoes-dados-abertos/publicacoes/plano-decenal-de-expansao-de-energia-2032</t>
  </si>
  <si>
    <t>natural gas</t>
  </si>
  <si>
    <t>see Caderno de Previsão da Produção de Petróleo e Gás Natural</t>
  </si>
  <si>
    <t>biomass</t>
  </si>
  <si>
    <t>calculated from bagasse, its main component</t>
  </si>
  <si>
    <t>bagasse</t>
  </si>
  <si>
    <t>see Oferta de Biocombustiveis</t>
  </si>
  <si>
    <t>petroleum gasoline</t>
  </si>
  <si>
    <t>see Caderno de Abastecimento de Derivados</t>
  </si>
  <si>
    <t>petroleum diesel</t>
  </si>
  <si>
    <t>biofuel gasoline</t>
  </si>
  <si>
    <t>biofuel diesel</t>
  </si>
  <si>
    <t>jet fuel</t>
  </si>
  <si>
    <t>crude oil</t>
  </si>
  <si>
    <t>heavy fuel oil</t>
  </si>
  <si>
    <t>LPG propane or butane</t>
  </si>
  <si>
    <t>Unit Conversions for hard coal, natural gas, petroleum fuels, LPG, liquid biofuels, lignite, biomass</t>
  </si>
  <si>
    <t>Annex VIII - Tables 1 - 10</t>
  </si>
  <si>
    <t>Notes</t>
  </si>
  <si>
    <t>Collect Export, Import, and Production Data for Each Fuel</t>
  </si>
  <si>
    <t>The consolidated data in this variable (production, imports, exports, and domestic use of each fuel)</t>
  </si>
  <si>
    <t>is used in the variable fuels/CiFIaEpUDFS.  Therefore, even though this variable only outputs</t>
  </si>
  <si>
    <t>production and exports, you should also collect data on fuel imports.  (Domestic use data</t>
  </si>
  <si>
    <t>can be calculated from production, imports, and exports.  We ignore changes in fuel stocks,</t>
  </si>
  <si>
    <t>which should average to zero over multi-year timeframes.)</t>
  </si>
  <si>
    <t>Time Series</t>
  </si>
  <si>
    <t>This variable contains time series data.</t>
  </si>
  <si>
    <t>However, only data from the first year are used in variable fuels/CiFIaEpUDFS.</t>
  </si>
  <si>
    <t>In the future, fuels/CiFIaEpUDFS may be replaced with internal Vensim calculations,</t>
  </si>
  <si>
    <t>making those values sensitive to changes over time.</t>
  </si>
  <si>
    <t>Units</t>
  </si>
  <si>
    <t>In this variable, units are standardized to BTU, the internal working energy unit of the model.</t>
  </si>
  <si>
    <t>Variable fuels/CiFIaEpUDFS is not sensitive to the units used, as long as the same unit is used</t>
  </si>
  <si>
    <t>for all quantities associated with the same fuel (imports, exports, production, use).</t>
  </si>
  <si>
    <t>Included Fuels</t>
  </si>
  <si>
    <t>Hydro, wind, solar, and geothermal are neither fuels nor energy carriers</t>
  </si>
  <si>
    <t>and should always contain zeroes in this variable.</t>
  </si>
  <si>
    <t>Electricity and heat are energy carriers and are not handled in this</t>
  </si>
  <si>
    <t>part of the model.  (Electricity imports/exports are exogenous</t>
  </si>
  <si>
    <t>and handled in the power sector.  District heat imports/exports are assumed to be negligible.)</t>
  </si>
  <si>
    <t>Hydrogen is an energy carrier, but can theoretically be imported</t>
  </si>
  <si>
    <t>or exported in bulk, so is included here.</t>
  </si>
  <si>
    <t>Brazil specifics</t>
  </si>
  <si>
    <t>hard coal</t>
  </si>
  <si>
    <t>No plans for new steel plants, the only consumer of hard coal. Demand to remain constant</t>
  </si>
  <si>
    <t>nuclear</t>
  </si>
  <si>
    <t>Third nuclear plant still unfinished with low likelyhood of running. Demand to remain constant</t>
  </si>
  <si>
    <t>lignite</t>
  </si>
  <si>
    <t>No new plants in the pipeline. Demand to remain constant.</t>
  </si>
  <si>
    <t>MSW</t>
  </si>
  <si>
    <t>No plants using residues in operations nor forecasted in the National Plan</t>
  </si>
  <si>
    <t>hydrogen</t>
  </si>
  <si>
    <t>No plants using H2 in operations nor forecasted in the National Plan</t>
  </si>
  <si>
    <t>DECENAL ENERGY PLAN 2023-2032</t>
  </si>
  <si>
    <t>Forecast of Oil and Natural Gas Production Notes</t>
  </si>
  <si>
    <t>Petroleum Products Supply Notes</t>
  </si>
  <si>
    <t>petroleo</t>
  </si>
  <si>
    <t>1000 m3</t>
  </si>
  <si>
    <t>keep proportion</t>
  </si>
  <si>
    <t>Mbbl</t>
  </si>
  <si>
    <t>production</t>
  </si>
  <si>
    <t>Mbbl/d</t>
  </si>
  <si>
    <t>import</t>
  </si>
  <si>
    <t>export</t>
  </si>
  <si>
    <t>Relação entre exportação de petróleo e produção nacional</t>
  </si>
  <si>
    <t>nat gas</t>
  </si>
  <si>
    <t>10^6 m3</t>
  </si>
  <si>
    <t>Mm3/d</t>
  </si>
  <si>
    <t>pet gasoline</t>
  </si>
  <si>
    <t>demand</t>
  </si>
  <si>
    <t>imp+exp</t>
  </si>
  <si>
    <t>imp</t>
  </si>
  <si>
    <t>exp</t>
  </si>
  <si>
    <t>pet diesel</t>
  </si>
  <si>
    <t>ktoe</t>
  </si>
  <si>
    <t>km3/ktoe</t>
  </si>
  <si>
    <t>LPG</t>
  </si>
  <si>
    <t>importação</t>
  </si>
  <si>
    <t>relação produção satisfaz demanda</t>
  </si>
  <si>
    <t>Biofuels Supply Notes</t>
  </si>
  <si>
    <t>Biofuel Gasoline (Ethanol)</t>
  </si>
  <si>
    <t>total</t>
  </si>
  <si>
    <t>oferta</t>
  </si>
  <si>
    <t>cana</t>
  </si>
  <si>
    <t>milho</t>
  </si>
  <si>
    <t>1000 t</t>
  </si>
  <si>
    <t>GWmed</t>
  </si>
  <si>
    <t>MWh/t bagaço</t>
  </si>
  <si>
    <t>https://www.epe.gov.br/sites-pt/publicacoes-dados-abertos/publicacoes/PublicacoesArquivos/publicacao-251/topico-311/DEA%20025-17%20-%20%20Indicadores%20de%20Eficiência%20Energética.pdf</t>
  </si>
  <si>
    <t>kWh/t cana</t>
  </si>
  <si>
    <t>https://www.novacana.com/noticias/cogeracao-como-funciona-producao-energia-eletrica</t>
  </si>
  <si>
    <t>t bagaço / t cana</t>
  </si>
  <si>
    <t>https://www.prp.unicamp.br/inscricao-congresso/resumos/2020P17452A35250O2884.pdf</t>
  </si>
  <si>
    <t>biodiesel</t>
  </si>
  <si>
    <t>ratio</t>
  </si>
  <si>
    <t>https://g1.globo.com/politica/noticia/2024/03/13/camara-aprova-texto-base-de-projeto-que-estabelece-mistura-de-ate-25percent-de-biodiesel-no-diesel-entenda.ghtml</t>
  </si>
  <si>
    <t>BRAZILIAN ENERGY BALANCE 2023 | year 2022 (BEN - BALANÇO ENERGÉTICO NACIONAL)</t>
  </si>
  <si>
    <t>Table 2.5 Hard coal</t>
  </si>
  <si>
    <t>PRODUÇÃO</t>
  </si>
  <si>
    <t>IMPORTAÇÃO</t>
  </si>
  <si>
    <t>BTU/1000 t</t>
  </si>
  <si>
    <t>EXPORTAÇÃO</t>
  </si>
  <si>
    <t>Table 2.3 Natural Gas</t>
  </si>
  <si>
    <t>BTU/10^6 m3</t>
  </si>
  <si>
    <t>PRODUÇÃO BRUTA</t>
  </si>
  <si>
    <t>não-aproveitada e reinjeção</t>
  </si>
  <si>
    <t>Tabel 2.10 Nuclear</t>
  </si>
  <si>
    <t>t</t>
  </si>
  <si>
    <t>manter 2022</t>
  </si>
  <si>
    <t>BTU/t</t>
  </si>
  <si>
    <t>GWh</t>
  </si>
  <si>
    <t>biomass total</t>
  </si>
  <si>
    <t>firewood</t>
  </si>
  <si>
    <t>charcoal</t>
  </si>
  <si>
    <t>Table 2.11 Firewood + Table 2.14 Bagasse + Table 2.31 Charcoal</t>
  </si>
  <si>
    <t>bagasse/biomass total</t>
  </si>
  <si>
    <t>Table 2.23 Pet Gasoline</t>
  </si>
  <si>
    <t>BTU/1000 m3</t>
  </si>
  <si>
    <t>Table 2.20 Pet Diesel</t>
  </si>
  <si>
    <t>Table 3.32 Biofuel Gasoline (Ethanol)</t>
  </si>
  <si>
    <t>Table 2.21 Biodiesel</t>
  </si>
  <si>
    <t>Table 5.1 Refineries</t>
  </si>
  <si>
    <t>1000 toe</t>
  </si>
  <si>
    <t>Jet Fuel - calulated Imports</t>
  </si>
  <si>
    <t>Table 4.4 Exports</t>
  </si>
  <si>
    <t>MBTU/1000 toe</t>
  </si>
  <si>
    <t>Table 3.6.3.a Consumption</t>
  </si>
  <si>
    <t>CONSUMO</t>
  </si>
  <si>
    <t>Table 2.4 Lignite</t>
  </si>
  <si>
    <t>manter média (2017-22)</t>
  </si>
  <si>
    <t>Table 2.2 Crude Oil</t>
  </si>
  <si>
    <t>PRODUÇÃO1</t>
  </si>
  <si>
    <t>IMPORTAÇÃO2</t>
  </si>
  <si>
    <t>Table 2.22 Heavy Fuel Oil</t>
  </si>
  <si>
    <t>Table 2.24 LPG</t>
  </si>
  <si>
    <t>HYDROGEN</t>
  </si>
  <si>
    <t>Fuel (BTU)</t>
  </si>
  <si>
    <t>electricity (not used in this variable)</t>
  </si>
  <si>
    <t>hydro (is not a fuel)</t>
  </si>
  <si>
    <t>wind (is not a fuel)</t>
  </si>
  <si>
    <t>solar (is not a fuel)</t>
  </si>
  <si>
    <t>jet fuel or kerosene</t>
  </si>
  <si>
    <t>heat (not used in this variable)</t>
  </si>
  <si>
    <t>geothermal (is not a fuel)</t>
  </si>
  <si>
    <t>municipal solid waste</t>
  </si>
  <si>
    <t>ACCOUNT</t>
  </si>
  <si>
    <t>CRUDE OIL</t>
  </si>
  <si>
    <t>NATURAL GAS</t>
  </si>
  <si>
    <t>STEAM COAL</t>
  </si>
  <si>
    <t>METALLURGICAL COAL</t>
  </si>
  <si>
    <t>URANIUM U₃O₈</t>
  </si>
  <si>
    <t>HYDRAULIC ENERGY</t>
  </si>
  <si>
    <t>FIREWOOD</t>
  </si>
  <si>
    <t>SUGARCANE PRODUCTS</t>
  </si>
  <si>
    <t>OTHER PRIMARY SOURCES</t>
  </si>
  <si>
    <t>TOTAL PRIMARY ENERGY</t>
  </si>
  <si>
    <t>BIODIESEL</t>
  </si>
  <si>
    <t>DIESEL OIL</t>
  </si>
  <si>
    <t>FUEL OIL</t>
  </si>
  <si>
    <t>GASOLINE</t>
  </si>
  <si>
    <t>NAPHTHA</t>
  </si>
  <si>
    <t>KEROSENE</t>
  </si>
  <si>
    <t>CITY &amp; COKE OVEN GAS</t>
  </si>
  <si>
    <t>MINERAL COAL COKE</t>
  </si>
  <si>
    <t>URANIUM IN UO₂</t>
  </si>
  <si>
    <t>ELECTRICITY</t>
  </si>
  <si>
    <t>CHARCOAL</t>
  </si>
  <si>
    <t>ETHANOL (ANHYDROUS &amp; HYDRATED)</t>
  </si>
  <si>
    <t>OTHER PETROLEUM PRODUCTS</t>
  </si>
  <si>
    <t>NON-ENERGETIC PETROLEUM PRODUCTS</t>
  </si>
  <si>
    <t>TAR</t>
  </si>
  <si>
    <t>Production</t>
  </si>
  <si>
    <t>Import</t>
  </si>
  <si>
    <t>Stock Variation</t>
  </si>
  <si>
    <t>Total Supply</t>
  </si>
  <si>
    <t>Export</t>
  </si>
  <si>
    <t>OIL</t>
  </si>
  <si>
    <t>URANIUM U3O8</t>
  </si>
  <si>
    <t>TOWN AND COKE OVEN GAS</t>
  </si>
  <si>
    <t>URANIUM IN UO2</t>
  </si>
  <si>
    <t>OTHER SECONDARY PETROLEUM</t>
  </si>
  <si>
    <t>PRODUCTION</t>
  </si>
  <si>
    <t>IMPORT</t>
  </si>
  <si>
    <t>STOCK VARIATION</t>
  </si>
  <si>
    <t>TOTAL SUPPLY</t>
  </si>
  <si>
    <t>EXPORT</t>
  </si>
  <si>
    <t>UNUSED</t>
  </si>
  <si>
    <t>REINJECTION</t>
  </si>
  <si>
    <t>HYDROPOWER</t>
  </si>
  <si>
    <t>COAL COKE</t>
  </si>
  <si>
    <t>ETHANOL (ANHYDROUS + HYDRATED)</t>
  </si>
  <si>
    <t>NON-ENERGY PETROLEUM PRODUCTS</t>
  </si>
  <si>
    <t>IMPORTS</t>
  </si>
  <si>
    <t>EXPORTS</t>
  </si>
  <si>
    <t>NOT USED</t>
  </si>
  <si>
    <t>TOWN &amp; COKE OVEN GAS</t>
  </si>
  <si>
    <t>OTHER PETROLEUM SECONDARIES</t>
  </si>
  <si>
    <t>TOWN/COKE OVEN GAS</t>
  </si>
  <si>
    <t>Fuel Production (BTU)</t>
  </si>
  <si>
    <t>Imports (BTU)</t>
  </si>
  <si>
    <t>Exports (BTU)</t>
  </si>
  <si>
    <t>Conversion</t>
  </si>
  <si>
    <t>10^3 tep to BTU</t>
  </si>
  <si>
    <t>10^3 toe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</si>
</sst>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#,##0.0"/>
    <numFmt numFmtId="166" formatCode="0.0"/>
    <numFmt numFmtId="167" formatCode="#,##0.000"/>
    <numFmt numFmtId="168" formatCode="0.000"/>
    <numFmt numFmtId="169" formatCode="0.000%"/>
  </numFmts>
  <fonts count="1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</font>
    <font>
      <sz val="11"/>
      <color indexed="64"/>
      <name val="Calibri"/>
      <family val="2"/>
      <scheme val="minor"/>
    </font>
    <font>
      <sz val="9"/>
      <color indexed="64"/>
      <name val="Calibri"/>
      <family val="2"/>
      <scheme val="minor"/>
    </font>
    <font>
      <u/>
      <sz val="9"/>
      <color theme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6" fillId="0" borderId="0" applyNumberFormat="0" applyProtection="0">
      <alignment horizontal="left"/>
    </xf>
    <xf numFmtId="0" fontId="5" fillId="0" borderId="2" applyNumberFormat="0" applyProtection="0">
      <alignment wrapText="1"/>
    </xf>
    <xf numFmtId="0" fontId="4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6" fillId="0" borderId="0" applyNumberFormat="0" applyProtection="0">
      <alignment horizontal="left"/>
    </xf>
    <xf numFmtId="0" fontId="5" fillId="0" borderId="2" applyNumberFormat="0" applyProtection="0">
      <alignment wrapText="1"/>
    </xf>
    <xf numFmtId="0" fontId="4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7" fillId="0" borderId="0" applyNumberFormat="0" applyProtection="0">
      <alignment vertical="top" wrapText="1"/>
    </xf>
    <xf numFmtId="0" fontId="8" fillId="0" borderId="5" applyNumberFormat="0" applyProtection="0">
      <alignment horizontal="left" wrapText="1"/>
    </xf>
    <xf numFmtId="0" fontId="7" fillId="0" borderId="6" applyNumberFormat="0" applyFont="0" applyFill="0" applyProtection="0">
      <alignment wrapText="1"/>
    </xf>
    <xf numFmtId="0" fontId="8" fillId="0" borderId="7" applyNumberFormat="0" applyFill="0" applyProtection="0">
      <alignment wrapText="1"/>
    </xf>
    <xf numFmtId="0" fontId="4" fillId="0" borderId="4">
      <alignment wrapText="1"/>
    </xf>
    <xf numFmtId="0" fontId="4" fillId="0" borderId="3">
      <alignment wrapText="1"/>
    </xf>
    <xf numFmtId="0" fontId="5" fillId="0" borderId="2">
      <alignment wrapText="1"/>
    </xf>
    <xf numFmtId="0" fontId="5" fillId="0" borderId="1">
      <alignment wrapText="1"/>
    </xf>
    <xf numFmtId="0" fontId="4" fillId="0" borderId="0"/>
    <xf numFmtId="0" fontId="6" fillId="0" borderId="0">
      <alignment horizontal="left"/>
    </xf>
    <xf numFmtId="9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0" fillId="0" borderId="0"/>
    <xf numFmtId="0" fontId="12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0" fillId="0" borderId="0" xfId="0" applyAlignment="1">
      <alignment horizontal="right"/>
    </xf>
    <xf numFmtId="0" fontId="2" fillId="0" borderId="0" xfId="0" applyFont="1" applyAlignment="1">
      <alignment wrapText="1"/>
    </xf>
    <xf numFmtId="0" fontId="1" fillId="0" borderId="0" xfId="26" applyAlignment="1">
      <alignment vertical="center"/>
    </xf>
    <xf numFmtId="0" fontId="1" fillId="0" borderId="0" xfId="26" applyAlignment="1">
      <alignment horizontal="center" vertical="center"/>
    </xf>
    <xf numFmtId="0" fontId="1" fillId="0" borderId="0" xfId="26" applyAlignment="1">
      <alignment horizontal="right" vertical="center"/>
    </xf>
    <xf numFmtId="165" fontId="1" fillId="0" borderId="0" xfId="26" applyNumberFormat="1" applyAlignment="1">
      <alignment vertical="center"/>
    </xf>
    <xf numFmtId="1" fontId="1" fillId="5" borderId="0" xfId="26" applyNumberFormat="1" applyFill="1" applyAlignment="1">
      <alignment vertical="center"/>
    </xf>
    <xf numFmtId="0" fontId="1" fillId="6" borderId="0" xfId="26" applyFill="1" applyAlignment="1">
      <alignment vertical="center"/>
    </xf>
    <xf numFmtId="3" fontId="1" fillId="0" borderId="0" xfId="26" applyNumberFormat="1" applyAlignment="1">
      <alignment vertical="center"/>
    </xf>
    <xf numFmtId="0" fontId="9" fillId="0" borderId="0" xfId="26" applyFont="1" applyAlignment="1">
      <alignment horizontal="right" vertical="center"/>
    </xf>
    <xf numFmtId="3" fontId="9" fillId="0" borderId="0" xfId="26" applyNumberFormat="1" applyFont="1" applyAlignment="1">
      <alignment vertical="center"/>
    </xf>
    <xf numFmtId="9" fontId="0" fillId="0" borderId="0" xfId="27" applyFont="1" applyAlignment="1">
      <alignment horizontal="right" vertical="center"/>
    </xf>
    <xf numFmtId="9" fontId="0" fillId="0" borderId="0" xfId="27" applyFont="1" applyAlignment="1">
      <alignment vertical="center"/>
    </xf>
    <xf numFmtId="0" fontId="1" fillId="3" borderId="0" xfId="26" applyFill="1" applyAlignment="1">
      <alignment horizontal="right" vertical="center"/>
    </xf>
    <xf numFmtId="166" fontId="1" fillId="0" borderId="0" xfId="26" applyNumberFormat="1" applyAlignment="1">
      <alignment vertical="center"/>
    </xf>
    <xf numFmtId="1" fontId="1" fillId="0" borderId="0" xfId="26" applyNumberFormat="1" applyAlignment="1">
      <alignment vertical="center"/>
    </xf>
    <xf numFmtId="168" fontId="1" fillId="0" borderId="0" xfId="26" applyNumberFormat="1" applyAlignment="1">
      <alignment vertical="center"/>
    </xf>
    <xf numFmtId="0" fontId="1" fillId="7" borderId="0" xfId="26" applyFill="1" applyAlignment="1">
      <alignment horizontal="right" vertical="center"/>
    </xf>
    <xf numFmtId="164" fontId="0" fillId="0" borderId="0" xfId="27" applyNumberFormat="1" applyFont="1" applyAlignment="1">
      <alignment vertical="center"/>
    </xf>
    <xf numFmtId="169" fontId="0" fillId="0" borderId="0" xfId="27" applyNumberFormat="1" applyFont="1" applyAlignment="1">
      <alignment vertical="center"/>
    </xf>
    <xf numFmtId="167" fontId="1" fillId="0" borderId="0" xfId="26" applyNumberFormat="1" applyAlignment="1">
      <alignment vertical="center"/>
    </xf>
    <xf numFmtId="0" fontId="1" fillId="7" borderId="0" xfId="26" applyFill="1" applyAlignment="1">
      <alignment vertical="center"/>
    </xf>
    <xf numFmtId="165" fontId="0" fillId="0" borderId="0" xfId="27" applyNumberFormat="1" applyFont="1" applyAlignment="1">
      <alignment vertical="center"/>
    </xf>
    <xf numFmtId="2" fontId="11" fillId="0" borderId="0" xfId="28" applyNumberFormat="1" applyFont="1" applyAlignment="1">
      <alignment vertical="center"/>
    </xf>
    <xf numFmtId="0" fontId="11" fillId="0" borderId="0" xfId="28" applyFont="1" applyAlignment="1">
      <alignment vertical="center"/>
    </xf>
    <xf numFmtId="0" fontId="12" fillId="0" borderId="0" xfId="29" applyAlignment="1">
      <alignment vertical="center"/>
    </xf>
    <xf numFmtId="3" fontId="9" fillId="0" borderId="0" xfId="26" applyNumberFormat="1" applyFont="1" applyAlignment="1">
      <alignment horizontal="right" vertical="center"/>
    </xf>
    <xf numFmtId="9" fontId="7" fillId="0" borderId="0" xfId="27" applyFont="1" applyAlignment="1">
      <alignment vertical="center"/>
    </xf>
    <xf numFmtId="11" fontId="0" fillId="0" borderId="0" xfId="0" applyNumberFormat="1"/>
    <xf numFmtId="11" fontId="0" fillId="4" borderId="0" xfId="0" applyNumberFormat="1" applyFill="1"/>
    <xf numFmtId="3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4" borderId="0" xfId="0" applyFont="1" applyFill="1"/>
  </cellXfs>
  <cellStyles count="30">
    <cellStyle name="Body: normal cell" xfId="7" xr:uid="{00000000-0005-0000-0000-000000000000}"/>
    <cellStyle name="Body: normal cell 2" xfId="13" xr:uid="{00000000-0005-0000-0000-000001000000}"/>
    <cellStyle name="Body: normal cell 3" xfId="20" xr:uid="{B1293A1F-F4C6-4A3E-BD91-9A34733FCCAD}"/>
    <cellStyle name="Font: Calibri, 9pt regular" xfId="3" xr:uid="{00000000-0005-0000-0000-000003000000}"/>
    <cellStyle name="Font: Calibri, 9pt regular 2" xfId="9" xr:uid="{00000000-0005-0000-0000-000004000000}"/>
    <cellStyle name="Font: Calibri, 9pt regular 3" xfId="23" xr:uid="{8475CEE1-2C32-49A6-8FA4-42C33F4120AF}"/>
    <cellStyle name="Footnotes: all except top row" xfId="15" xr:uid="{00000000-0005-0000-0000-000005000000}"/>
    <cellStyle name="Footnotes: top row" xfId="8" xr:uid="{00000000-0005-0000-0000-000006000000}"/>
    <cellStyle name="Footnotes: top row 2" xfId="14" xr:uid="{00000000-0005-0000-0000-000007000000}"/>
    <cellStyle name="Footnotes: top row 3" xfId="19" xr:uid="{8A775C82-5C61-4D7B-A6D8-70CEAAAC375B}"/>
    <cellStyle name="Header: bottom row" xfId="4" xr:uid="{00000000-0005-0000-0000-000008000000}"/>
    <cellStyle name="Header: bottom row 2" xfId="10" xr:uid="{00000000-0005-0000-0000-000009000000}"/>
    <cellStyle name="Header: bottom row 3" xfId="22" xr:uid="{AE126B05-B4CF-4974-9AFE-DDCD45802937}"/>
    <cellStyle name="Header: top rows" xfId="16" xr:uid="{00000000-0005-0000-0000-00000A000000}"/>
    <cellStyle name="Hiperlink 2" xfId="29" xr:uid="{33EA1847-7C53-4B7D-80A3-ACCE05962832}"/>
    <cellStyle name="Hyperlink" xfId="1" builtinId="8"/>
    <cellStyle name="Normal" xfId="0" builtinId="0"/>
    <cellStyle name="Normal 2" xfId="2" xr:uid="{00000000-0005-0000-0000-00000D000000}"/>
    <cellStyle name="Normal 2 2" xfId="28" xr:uid="{4FB238CE-9FB0-415F-815A-5E8D0C8C4F19}"/>
    <cellStyle name="Normal 3" xfId="26" xr:uid="{DC510B78-2D81-4B54-9AD4-594447DCBCBE}"/>
    <cellStyle name="Parent row" xfId="6" xr:uid="{00000000-0005-0000-0000-00000E000000}"/>
    <cellStyle name="Parent row 2" xfId="12" xr:uid="{00000000-0005-0000-0000-00000F000000}"/>
    <cellStyle name="Parent row 3" xfId="21" xr:uid="{331FC99C-93DD-42D6-8CB1-F9333C05A143}"/>
    <cellStyle name="Percent 2" xfId="25" xr:uid="{9E1DDFDA-DFF4-4D40-BF83-8294F9197DDF}"/>
    <cellStyle name="Porcentagem 2" xfId="27" xr:uid="{E124B50E-57CB-4B71-9D21-E3317747CA17}"/>
    <cellStyle name="Section Break" xfId="17" xr:uid="{00000000-0005-0000-0000-000011000000}"/>
    <cellStyle name="Section Break: parent row" xfId="18" xr:uid="{00000000-0005-0000-0000-000012000000}"/>
    <cellStyle name="Table title" xfId="5" xr:uid="{00000000-0005-0000-0000-000013000000}"/>
    <cellStyle name="Table title 2" xfId="11" xr:uid="{00000000-0005-0000-0000-000014000000}"/>
    <cellStyle name="Table title 3" xfId="24" xr:uid="{CE97C44B-4CC0-45E6-AB97-7B8144BE63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higu/Documents/_swj/_Talanoa/CPSA%20Fletcher/dados/InputData%20(BR)%202024/d18%20web-app/BCF/BTU%20Conversion%20Facto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TU Conversion Factors"/>
      <sheetName val="About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pe.gov.br/pt/publicacoes-dados-abertos/publicacoes/balanco-energetico-nacional-2023" TargetMode="External"/><Relationship Id="rId2" Type="http://schemas.openxmlformats.org/officeDocument/2006/relationships/hyperlink" Target="https://www.epe.gov.br/pt/publicacoes-dados-abertos/publicacoes/plano-decenal-de-expansao-de-energia-2032" TargetMode="External"/><Relationship Id="rId1" Type="http://schemas.openxmlformats.org/officeDocument/2006/relationships/hyperlink" Target="https://www.epe.gov.br/pt/publicacoes-dados-abertos/publicacoes/balanco-energetico-nacional-2023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rp.unicamp.br/inscricao-congresso/resumos/2020P17452A35250O2884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20.6640625" customWidth="1"/>
    <col min="2" max="2" width="82.6640625" customWidth="1"/>
  </cols>
  <sheetData>
    <row r="1" spans="1:2" x14ac:dyDescent="0.2">
      <c r="A1" s="1" t="s">
        <v>0</v>
      </c>
    </row>
    <row r="2" spans="1:2" x14ac:dyDescent="0.2">
      <c r="A2" s="1" t="s">
        <v>1</v>
      </c>
    </row>
    <row r="3" spans="1:2" x14ac:dyDescent="0.2">
      <c r="A3" s="1" t="s">
        <v>2</v>
      </c>
    </row>
    <row r="5" spans="1:2" x14ac:dyDescent="0.2">
      <c r="A5" s="1" t="s">
        <v>3</v>
      </c>
      <c r="B5" s="2" t="s">
        <v>4</v>
      </c>
    </row>
    <row r="6" spans="1:2" x14ac:dyDescent="0.2">
      <c r="B6" t="s">
        <v>5</v>
      </c>
    </row>
    <row r="7" spans="1:2" x14ac:dyDescent="0.2">
      <c r="B7" t="s">
        <v>6</v>
      </c>
    </row>
    <row r="8" spans="1:2" x14ac:dyDescent="0.2">
      <c r="B8" s="3" t="s">
        <v>7</v>
      </c>
    </row>
    <row r="9" spans="1:2" x14ac:dyDescent="0.2">
      <c r="B9" s="4" t="s">
        <v>8</v>
      </c>
    </row>
    <row r="10" spans="1:2" x14ac:dyDescent="0.2">
      <c r="B10" t="s">
        <v>9</v>
      </c>
    </row>
    <row r="12" spans="1:2" x14ac:dyDescent="0.2">
      <c r="B12" s="2" t="s">
        <v>10</v>
      </c>
    </row>
    <row r="13" spans="1:2" x14ac:dyDescent="0.2">
      <c r="B13" t="s">
        <v>5</v>
      </c>
    </row>
    <row r="14" spans="1:2" x14ac:dyDescent="0.2">
      <c r="B14" s="3" t="s">
        <v>11</v>
      </c>
    </row>
    <row r="15" spans="1:2" x14ac:dyDescent="0.2">
      <c r="B15" t="s">
        <v>6</v>
      </c>
    </row>
    <row r="16" spans="1:2" x14ac:dyDescent="0.2">
      <c r="B16" s="4" t="s">
        <v>12</v>
      </c>
    </row>
    <row r="17" spans="1:2" x14ac:dyDescent="0.2">
      <c r="A17" t="s">
        <v>13</v>
      </c>
      <c r="B17" t="s">
        <v>14</v>
      </c>
    </row>
    <row r="18" spans="1:2" x14ac:dyDescent="0.2">
      <c r="A18" t="s">
        <v>15</v>
      </c>
      <c r="B18" t="s">
        <v>16</v>
      </c>
    </row>
    <row r="19" spans="1:2" x14ac:dyDescent="0.2">
      <c r="A19" t="s">
        <v>17</v>
      </c>
      <c r="B19" t="s">
        <v>18</v>
      </c>
    </row>
    <row r="20" spans="1:2" x14ac:dyDescent="0.2">
      <c r="A20" t="s">
        <v>19</v>
      </c>
      <c r="B20" t="s">
        <v>20</v>
      </c>
    </row>
    <row r="21" spans="1:2" x14ac:dyDescent="0.2">
      <c r="A21" t="s">
        <v>21</v>
      </c>
      <c r="B21" t="s">
        <v>20</v>
      </c>
    </row>
    <row r="22" spans="1:2" x14ac:dyDescent="0.2">
      <c r="A22" t="s">
        <v>22</v>
      </c>
      <c r="B22" t="s">
        <v>18</v>
      </c>
    </row>
    <row r="23" spans="1:2" x14ac:dyDescent="0.2">
      <c r="A23" t="s">
        <v>23</v>
      </c>
      <c r="B23" t="s">
        <v>18</v>
      </c>
    </row>
    <row r="24" spans="1:2" x14ac:dyDescent="0.2">
      <c r="A24" t="s">
        <v>24</v>
      </c>
      <c r="B24" t="s">
        <v>20</v>
      </c>
    </row>
    <row r="25" spans="1:2" x14ac:dyDescent="0.2">
      <c r="A25" t="s">
        <v>25</v>
      </c>
      <c r="B25" t="s">
        <v>14</v>
      </c>
    </row>
    <row r="26" spans="1:2" x14ac:dyDescent="0.2">
      <c r="A26" t="s">
        <v>26</v>
      </c>
      <c r="B26" t="s">
        <v>14</v>
      </c>
    </row>
    <row r="27" spans="1:2" x14ac:dyDescent="0.2">
      <c r="A27" t="s">
        <v>27</v>
      </c>
      <c r="B27" t="s">
        <v>20</v>
      </c>
    </row>
    <row r="29" spans="1:2" x14ac:dyDescent="0.2">
      <c r="B29" s="2" t="s">
        <v>28</v>
      </c>
    </row>
    <row r="30" spans="1:2" x14ac:dyDescent="0.2">
      <c r="B30" t="s">
        <v>4</v>
      </c>
    </row>
    <row r="31" spans="1:2" x14ac:dyDescent="0.2">
      <c r="B31" s="3" t="s">
        <v>5</v>
      </c>
    </row>
    <row r="32" spans="1:2" x14ac:dyDescent="0.2">
      <c r="B32" t="s">
        <v>29</v>
      </c>
    </row>
    <row r="33" spans="1:2" x14ac:dyDescent="0.2">
      <c r="B33" s="4" t="s">
        <v>8</v>
      </c>
    </row>
    <row r="35" spans="1:2" x14ac:dyDescent="0.2">
      <c r="A35" s="1" t="s">
        <v>30</v>
      </c>
    </row>
    <row r="37" spans="1:2" x14ac:dyDescent="0.2">
      <c r="A37" s="1" t="s">
        <v>31</v>
      </c>
    </row>
    <row r="38" spans="1:2" x14ac:dyDescent="0.2">
      <c r="A38" t="s">
        <v>32</v>
      </c>
    </row>
    <row r="39" spans="1:2" x14ac:dyDescent="0.2">
      <c r="A39" t="s">
        <v>33</v>
      </c>
    </row>
    <row r="40" spans="1:2" x14ac:dyDescent="0.2">
      <c r="A40" t="s">
        <v>34</v>
      </c>
    </row>
    <row r="41" spans="1:2" x14ac:dyDescent="0.2">
      <c r="A41" t="s">
        <v>35</v>
      </c>
    </row>
    <row r="42" spans="1:2" x14ac:dyDescent="0.2">
      <c r="A42" t="s">
        <v>36</v>
      </c>
    </row>
    <row r="44" spans="1:2" x14ac:dyDescent="0.2">
      <c r="A44" s="1" t="s">
        <v>37</v>
      </c>
    </row>
    <row r="45" spans="1:2" x14ac:dyDescent="0.2">
      <c r="A45" t="s">
        <v>38</v>
      </c>
    </row>
    <row r="46" spans="1:2" x14ac:dyDescent="0.2">
      <c r="A46" t="s">
        <v>39</v>
      </c>
    </row>
    <row r="47" spans="1:2" x14ac:dyDescent="0.2">
      <c r="A47" t="s">
        <v>40</v>
      </c>
    </row>
    <row r="48" spans="1:2" x14ac:dyDescent="0.2">
      <c r="A48" t="s">
        <v>41</v>
      </c>
    </row>
    <row r="50" spans="1:1" x14ac:dyDescent="0.2">
      <c r="A50" s="1" t="s">
        <v>42</v>
      </c>
    </row>
    <row r="51" spans="1:1" x14ac:dyDescent="0.2">
      <c r="A51" t="s">
        <v>43</v>
      </c>
    </row>
    <row r="52" spans="1:1" x14ac:dyDescent="0.2">
      <c r="A52" t="s">
        <v>44</v>
      </c>
    </row>
    <row r="53" spans="1:1" x14ac:dyDescent="0.2">
      <c r="A53" t="s">
        <v>45</v>
      </c>
    </row>
    <row r="55" spans="1:1" x14ac:dyDescent="0.2">
      <c r="A55" s="1" t="s">
        <v>46</v>
      </c>
    </row>
    <row r="56" spans="1:1" x14ac:dyDescent="0.2">
      <c r="A56" t="s">
        <v>47</v>
      </c>
    </row>
    <row r="57" spans="1:1" x14ac:dyDescent="0.2">
      <c r="A57" t="s">
        <v>48</v>
      </c>
    </row>
    <row r="58" spans="1:1" x14ac:dyDescent="0.2">
      <c r="A58" t="s">
        <v>49</v>
      </c>
    </row>
    <row r="59" spans="1:1" x14ac:dyDescent="0.2">
      <c r="A59" t="s">
        <v>50</v>
      </c>
    </row>
    <row r="60" spans="1:1" x14ac:dyDescent="0.2">
      <c r="A60" t="s">
        <v>51</v>
      </c>
    </row>
    <row r="61" spans="1:1" x14ac:dyDescent="0.2">
      <c r="A61" t="s">
        <v>52</v>
      </c>
    </row>
    <row r="62" spans="1:1" x14ac:dyDescent="0.2">
      <c r="A62" t="s">
        <v>53</v>
      </c>
    </row>
    <row r="64" spans="1:1" x14ac:dyDescent="0.2">
      <c r="A64" s="1" t="s">
        <v>54</v>
      </c>
    </row>
    <row r="65" spans="1:2" x14ac:dyDescent="0.2">
      <c r="A65" t="s">
        <v>55</v>
      </c>
      <c r="B65" t="s">
        <v>56</v>
      </c>
    </row>
    <row r="66" spans="1:2" x14ac:dyDescent="0.2">
      <c r="A66" t="s">
        <v>57</v>
      </c>
      <c r="B66" t="s">
        <v>58</v>
      </c>
    </row>
    <row r="67" spans="1:2" x14ac:dyDescent="0.2">
      <c r="A67" t="s">
        <v>59</v>
      </c>
      <c r="B67" t="s">
        <v>60</v>
      </c>
    </row>
    <row r="68" spans="1:2" x14ac:dyDescent="0.2">
      <c r="A68" t="s">
        <v>61</v>
      </c>
      <c r="B68" t="s">
        <v>62</v>
      </c>
    </row>
    <row r="69" spans="1:2" x14ac:dyDescent="0.2">
      <c r="A69" t="s">
        <v>63</v>
      </c>
      <c r="B69" t="s">
        <v>64</v>
      </c>
    </row>
  </sheetData>
  <hyperlinks>
    <hyperlink ref="B9" r:id="rId1" xr:uid="{00000000-0004-0000-0000-000001000000}"/>
    <hyperlink ref="B16" r:id="rId2" xr:uid="{00000000-0004-0000-0000-000002000000}"/>
    <hyperlink ref="B33" r:id="rId3" xr:uid="{76283F47-F1A3-4232-8A14-56D5B74E6114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77FC2-8940-4B3D-8875-9D3ABAD52CA3}">
  <dimension ref="A2:Q60"/>
  <sheetViews>
    <sheetView workbookViewId="0">
      <selection activeCell="P48" sqref="P48"/>
    </sheetView>
  </sheetViews>
  <sheetFormatPr baseColWidth="10" defaultColWidth="8.83203125" defaultRowHeight="12" x14ac:dyDescent="0.2"/>
  <cols>
    <col min="1" max="1" width="8.83203125" style="7"/>
    <col min="2" max="2" width="10.33203125" style="9" bestFit="1" customWidth="1"/>
    <col min="3" max="15" width="8.83203125" style="7"/>
    <col min="16" max="16" width="7.33203125" style="7" bestFit="1" customWidth="1"/>
    <col min="17" max="16384" width="8.83203125" style="7"/>
  </cols>
  <sheetData>
    <row r="2" spans="1:17" x14ac:dyDescent="0.2">
      <c r="B2" s="7" t="s">
        <v>65</v>
      </c>
    </row>
    <row r="3" spans="1:17" x14ac:dyDescent="0.2">
      <c r="B3" s="7" t="s">
        <v>66</v>
      </c>
    </row>
    <row r="4" spans="1:17" x14ac:dyDescent="0.2">
      <c r="B4" s="7" t="s">
        <v>67</v>
      </c>
    </row>
    <row r="5" spans="1:17" x14ac:dyDescent="0.2">
      <c r="D5" s="7">
        <v>2021</v>
      </c>
      <c r="E5" s="7">
        <f>1+D5</f>
        <v>2022</v>
      </c>
      <c r="F5" s="7">
        <f t="shared" ref="F5:O5" si="0">1+E5</f>
        <v>2023</v>
      </c>
      <c r="G5" s="7">
        <f t="shared" si="0"/>
        <v>2024</v>
      </c>
      <c r="H5" s="7">
        <f t="shared" si="0"/>
        <v>2025</v>
      </c>
      <c r="I5" s="7">
        <f t="shared" si="0"/>
        <v>2026</v>
      </c>
      <c r="J5" s="7">
        <f t="shared" si="0"/>
        <v>2027</v>
      </c>
      <c r="K5" s="7">
        <f t="shared" si="0"/>
        <v>2028</v>
      </c>
      <c r="L5" s="7">
        <f t="shared" si="0"/>
        <v>2029</v>
      </c>
      <c r="M5" s="7">
        <f t="shared" si="0"/>
        <v>2030</v>
      </c>
      <c r="N5" s="7">
        <f t="shared" si="0"/>
        <v>2031</v>
      </c>
      <c r="O5" s="7">
        <f t="shared" si="0"/>
        <v>2032</v>
      </c>
    </row>
    <row r="6" spans="1:17" x14ac:dyDescent="0.2">
      <c r="B6" s="9" t="s">
        <v>68</v>
      </c>
      <c r="C6" s="7" t="s">
        <v>69</v>
      </c>
      <c r="D6" s="13">
        <f>BEN!L53</f>
        <v>168784</v>
      </c>
      <c r="E6" s="13">
        <f>BEN!M53</f>
        <v>175531</v>
      </c>
      <c r="F6" s="13">
        <f>E6*F7/E7</f>
        <v>193084.1</v>
      </c>
      <c r="G6" s="13">
        <f t="shared" ref="G6:O6" si="1">F6*G7/F7</f>
        <v>222339.26666666663</v>
      </c>
      <c r="H6" s="13">
        <f t="shared" si="1"/>
        <v>239892.36666666661</v>
      </c>
      <c r="I6" s="13">
        <f t="shared" si="1"/>
        <v>263296.49999999994</v>
      </c>
      <c r="J6" s="13">
        <f t="shared" si="1"/>
        <v>274998.56666666665</v>
      </c>
      <c r="K6" s="13">
        <f t="shared" si="1"/>
        <v>298402.69999999995</v>
      </c>
      <c r="L6" s="13">
        <f t="shared" si="1"/>
        <v>315955.8</v>
      </c>
      <c r="M6" s="13">
        <f t="shared" si="1"/>
        <v>310104.7666666666</v>
      </c>
      <c r="N6" s="13">
        <f t="shared" si="1"/>
        <v>304253.73333333328</v>
      </c>
      <c r="O6" s="13">
        <f t="shared" si="1"/>
        <v>286700.6333333333</v>
      </c>
    </row>
    <row r="7" spans="1:17" x14ac:dyDescent="0.2">
      <c r="A7" s="13">
        <f>BEN!M53</f>
        <v>175531</v>
      </c>
      <c r="B7" s="7"/>
      <c r="C7" s="9" t="s">
        <v>70</v>
      </c>
      <c r="D7" s="13"/>
      <c r="E7" s="13">
        <f t="shared" ref="E7:O7" si="2">365*E9/$P$7*1000</f>
        <v>174091.10927039132</v>
      </c>
      <c r="F7" s="13">
        <f t="shared" si="2"/>
        <v>191500.22019743046</v>
      </c>
      <c r="G7" s="13">
        <f t="shared" si="2"/>
        <v>220515.40507582898</v>
      </c>
      <c r="H7" s="13">
        <f t="shared" si="2"/>
        <v>237924.5160028681</v>
      </c>
      <c r="I7" s="13">
        <f t="shared" si="2"/>
        <v>261136.66390558693</v>
      </c>
      <c r="J7" s="13">
        <f t="shared" si="2"/>
        <v>272742.73785694642</v>
      </c>
      <c r="K7" s="13">
        <f t="shared" si="2"/>
        <v>295954.88575966522</v>
      </c>
      <c r="L7" s="13">
        <f t="shared" si="2"/>
        <v>313363.9966867044</v>
      </c>
      <c r="M7" s="13">
        <f t="shared" si="2"/>
        <v>307560.95971102465</v>
      </c>
      <c r="N7" s="13">
        <f t="shared" si="2"/>
        <v>301757.92273534497</v>
      </c>
      <c r="O7" s="13">
        <f t="shared" si="2"/>
        <v>284348.81180830585</v>
      </c>
      <c r="P7" s="7">
        <v>6.2898100000000001</v>
      </c>
      <c r="Q7" s="7" t="s">
        <v>66</v>
      </c>
    </row>
    <row r="8" spans="1:17" x14ac:dyDescent="0.2">
      <c r="C8" s="7" t="s">
        <v>71</v>
      </c>
      <c r="D8" s="13"/>
      <c r="E8" s="13">
        <f t="shared" ref="E8:O8" si="3">365*E9</f>
        <v>1095</v>
      </c>
      <c r="F8" s="13">
        <f t="shared" si="3"/>
        <v>1204.5</v>
      </c>
      <c r="G8" s="13">
        <f t="shared" si="3"/>
        <v>1387</v>
      </c>
      <c r="H8" s="13">
        <f t="shared" si="3"/>
        <v>1496.4999999999998</v>
      </c>
      <c r="I8" s="13">
        <f t="shared" si="3"/>
        <v>1642.5</v>
      </c>
      <c r="J8" s="13">
        <f t="shared" si="3"/>
        <v>1715.5</v>
      </c>
      <c r="K8" s="13">
        <f t="shared" si="3"/>
        <v>1861.4999999999998</v>
      </c>
      <c r="L8" s="13">
        <f t="shared" si="3"/>
        <v>1971.0000000000002</v>
      </c>
      <c r="M8" s="13">
        <f t="shared" si="3"/>
        <v>1934.5</v>
      </c>
      <c r="N8" s="13">
        <f t="shared" si="3"/>
        <v>1898</v>
      </c>
      <c r="O8" s="13">
        <f t="shared" si="3"/>
        <v>1788.5000000000002</v>
      </c>
    </row>
    <row r="9" spans="1:17" x14ac:dyDescent="0.2">
      <c r="B9" s="9" t="s">
        <v>72</v>
      </c>
      <c r="C9" s="7" t="s">
        <v>73</v>
      </c>
      <c r="D9" s="19"/>
      <c r="E9" s="19">
        <v>3</v>
      </c>
      <c r="F9" s="19">
        <v>3.3</v>
      </c>
      <c r="G9" s="19">
        <v>3.8</v>
      </c>
      <c r="H9" s="19">
        <v>4.0999999999999996</v>
      </c>
      <c r="I9" s="19">
        <v>4.5</v>
      </c>
      <c r="J9" s="19">
        <v>4.7</v>
      </c>
      <c r="K9" s="19">
        <v>5.0999999999999996</v>
      </c>
      <c r="L9" s="19">
        <v>5.4</v>
      </c>
      <c r="M9" s="19">
        <v>5.3</v>
      </c>
      <c r="N9" s="19">
        <v>5.2</v>
      </c>
      <c r="O9" s="19">
        <v>4.9000000000000004</v>
      </c>
    </row>
    <row r="10" spans="1:17" x14ac:dyDescent="0.2">
      <c r="B10" s="9" t="s">
        <v>74</v>
      </c>
      <c r="C10" s="7" t="s">
        <v>69</v>
      </c>
      <c r="D10" s="19"/>
      <c r="E10" s="13">
        <f>BEN!M54</f>
        <v>14280</v>
      </c>
      <c r="F10" s="13">
        <f>E10*F11/E11</f>
        <v>13016.28318584071</v>
      </c>
      <c r="G10" s="13">
        <f t="shared" ref="G10:O10" si="4">F10*G11/F11</f>
        <v>11752.566371681418</v>
      </c>
      <c r="H10" s="13">
        <f t="shared" si="4"/>
        <v>10488.849557522128</v>
      </c>
      <c r="I10" s="13">
        <f t="shared" si="4"/>
        <v>10320.353982300889</v>
      </c>
      <c r="J10" s="13">
        <f t="shared" si="4"/>
        <v>10151.858407079648</v>
      </c>
      <c r="K10" s="13">
        <f t="shared" si="4"/>
        <v>9983.3628318584088</v>
      </c>
      <c r="L10" s="13">
        <f t="shared" si="4"/>
        <v>10109.734513274339</v>
      </c>
      <c r="M10" s="13">
        <f t="shared" si="4"/>
        <v>10236.106194690268</v>
      </c>
      <c r="N10" s="13">
        <f t="shared" si="4"/>
        <v>10362.477876106197</v>
      </c>
      <c r="O10" s="13">
        <f t="shared" si="4"/>
        <v>10488.849557522126</v>
      </c>
    </row>
    <row r="11" spans="1:17" x14ac:dyDescent="0.2">
      <c r="B11" s="7"/>
      <c r="C11" s="9" t="s">
        <v>70</v>
      </c>
      <c r="D11" s="13"/>
      <c r="E11" s="13">
        <f>365*E12/$P$7</f>
        <v>13114.863565036145</v>
      </c>
      <c r="F11" s="13">
        <f t="shared" ref="F11:O11" si="5">365*F12/$P$7</f>
        <v>11954.256169900204</v>
      </c>
      <c r="G11" s="13">
        <f t="shared" si="5"/>
        <v>10793.64877476426</v>
      </c>
      <c r="H11" s="13">
        <f t="shared" si="5"/>
        <v>9633.0413796283192</v>
      </c>
      <c r="I11" s="13">
        <f t="shared" si="5"/>
        <v>9478.2937269435279</v>
      </c>
      <c r="J11" s="13">
        <f t="shared" si="5"/>
        <v>9323.5460742587347</v>
      </c>
      <c r="K11" s="13">
        <f t="shared" si="5"/>
        <v>9168.7984215739416</v>
      </c>
      <c r="L11" s="13">
        <f t="shared" si="5"/>
        <v>9284.8591610875374</v>
      </c>
      <c r="M11" s="13">
        <f t="shared" si="5"/>
        <v>9400.9199006011313</v>
      </c>
      <c r="N11" s="13">
        <f t="shared" si="5"/>
        <v>9516.9806401147252</v>
      </c>
      <c r="O11" s="13">
        <f t="shared" si="5"/>
        <v>9633.0413796283192</v>
      </c>
    </row>
    <row r="12" spans="1:17" x14ac:dyDescent="0.2">
      <c r="C12" s="7" t="s">
        <v>73</v>
      </c>
      <c r="D12" s="20"/>
      <c r="E12" s="20">
        <f>145+81</f>
        <v>226</v>
      </c>
      <c r="F12" s="20">
        <f>E12+1*(H12-E12)/(H$5-E$5)</f>
        <v>206</v>
      </c>
      <c r="G12" s="20">
        <f>E12+2*(H12-E12)/(H$5-E$5)</f>
        <v>186</v>
      </c>
      <c r="H12" s="20">
        <f>91+75</f>
        <v>166</v>
      </c>
      <c r="I12" s="20">
        <f>H12+1*(K12-H12)/(K$5-H$5)</f>
        <v>163.33333333333334</v>
      </c>
      <c r="J12" s="20">
        <f>H12+2*(K12-H12)/(K$5-H$5)</f>
        <v>160.66666666666666</v>
      </c>
      <c r="K12" s="20">
        <f>83+75</f>
        <v>158</v>
      </c>
      <c r="L12" s="20">
        <f>K12+1*(O12-K12)/(O5-K5)</f>
        <v>160</v>
      </c>
      <c r="M12" s="20">
        <f>K12+2*(O12-K12)/(O5-K5)</f>
        <v>162</v>
      </c>
      <c r="N12" s="20">
        <f>K12+3*(O12-K12)/(O5-K5)</f>
        <v>164</v>
      </c>
      <c r="O12" s="20">
        <f>91+75</f>
        <v>166</v>
      </c>
    </row>
    <row r="13" spans="1:17" x14ac:dyDescent="0.2">
      <c r="B13" s="9" t="s">
        <v>75</v>
      </c>
      <c r="C13" s="7" t="s">
        <v>69</v>
      </c>
      <c r="D13" s="20"/>
      <c r="E13" s="13">
        <f>E14*E6</f>
        <v>71967.709999999992</v>
      </c>
      <c r="F13" s="13">
        <f t="shared" ref="F13:O13" si="6">F14*F6</f>
        <v>89462.299666666673</v>
      </c>
      <c r="G13" s="13">
        <f t="shared" si="6"/>
        <v>114875.28777777775</v>
      </c>
      <c r="H13" s="13">
        <f t="shared" si="6"/>
        <v>136738.64899999995</v>
      </c>
      <c r="I13" s="13">
        <f t="shared" si="6"/>
        <v>154467.27999999997</v>
      </c>
      <c r="J13" s="13">
        <f t="shared" si="6"/>
        <v>165915.80188888888</v>
      </c>
      <c r="K13" s="13">
        <f t="shared" si="6"/>
        <v>185009.67399999997</v>
      </c>
      <c r="L13" s="13">
        <f t="shared" si="6"/>
        <v>195102.70649999997</v>
      </c>
      <c r="M13" s="13">
        <f t="shared" si="6"/>
        <v>190714.43149999995</v>
      </c>
      <c r="N13" s="13">
        <f t="shared" si="6"/>
        <v>186355.41166666665</v>
      </c>
      <c r="O13" s="13">
        <f t="shared" si="6"/>
        <v>174887.3863333333</v>
      </c>
    </row>
    <row r="14" spans="1:17" ht="15" x14ac:dyDescent="0.2">
      <c r="C14" s="9" t="s">
        <v>76</v>
      </c>
      <c r="D14" s="19"/>
      <c r="E14" s="17">
        <v>0.41</v>
      </c>
      <c r="F14" s="17">
        <f>$E14+(F5-$E5)*($H14-$E14)/($H5-$E5)</f>
        <v>0.46333333333333332</v>
      </c>
      <c r="G14" s="17">
        <f>$E14+(G5-$E5)*($H14-$E14)/($H5-$E5)</f>
        <v>0.51666666666666661</v>
      </c>
      <c r="H14" s="17">
        <v>0.56999999999999995</v>
      </c>
      <c r="I14" s="17">
        <f>$H14+(I5-$H5)*($K14-$H14)/($K5-$H5)</f>
        <v>0.58666666666666667</v>
      </c>
      <c r="J14" s="17">
        <f>$H14+(J5-$H5)*($K14-$H14)/($K5-$H5)</f>
        <v>0.60333333333333328</v>
      </c>
      <c r="K14" s="17">
        <v>0.62</v>
      </c>
      <c r="L14" s="17">
        <f>$K14+(L5-$K5)*($O14-$K14)/($O5-$K5)</f>
        <v>0.61749999999999994</v>
      </c>
      <c r="M14" s="17">
        <f>$K14+(M5-$K5)*($O14-$K14)/($O5-$K5)</f>
        <v>0.61499999999999999</v>
      </c>
      <c r="N14" s="17">
        <f>$K14+(N5-$K5)*($O14-$K14)/($O5-$K5)</f>
        <v>0.61250000000000004</v>
      </c>
      <c r="O14" s="17">
        <v>0.61</v>
      </c>
    </row>
    <row r="15" spans="1:17" x14ac:dyDescent="0.2">
      <c r="D15" s="13"/>
      <c r="E15" s="13"/>
    </row>
    <row r="16" spans="1:17" x14ac:dyDescent="0.2">
      <c r="B16" s="9" t="s">
        <v>77</v>
      </c>
      <c r="C16" s="7" t="s">
        <v>78</v>
      </c>
      <c r="D16" s="13">
        <f>365*D17</f>
        <v>20440</v>
      </c>
      <c r="E16" s="13">
        <f t="shared" ref="E16:O16" si="7">365*E17</f>
        <v>24820</v>
      </c>
      <c r="F16" s="13">
        <f t="shared" si="7"/>
        <v>26280</v>
      </c>
      <c r="G16" s="13">
        <f t="shared" si="7"/>
        <v>27375</v>
      </c>
      <c r="H16" s="13">
        <f t="shared" si="7"/>
        <v>27740</v>
      </c>
      <c r="I16" s="13">
        <f t="shared" si="7"/>
        <v>28470</v>
      </c>
      <c r="J16" s="13">
        <f t="shared" si="7"/>
        <v>34675</v>
      </c>
      <c r="K16" s="13">
        <f t="shared" si="7"/>
        <v>40150</v>
      </c>
      <c r="L16" s="13">
        <f t="shared" si="7"/>
        <v>42340</v>
      </c>
      <c r="M16" s="13">
        <f t="shared" si="7"/>
        <v>44165</v>
      </c>
      <c r="N16" s="13">
        <f t="shared" si="7"/>
        <v>47085</v>
      </c>
      <c r="O16" s="13">
        <f t="shared" si="7"/>
        <v>48910</v>
      </c>
      <c r="Q16" s="7" t="s">
        <v>66</v>
      </c>
    </row>
    <row r="17" spans="2:17" x14ac:dyDescent="0.2">
      <c r="B17" s="9" t="s">
        <v>72</v>
      </c>
      <c r="C17" s="7" t="s">
        <v>79</v>
      </c>
      <c r="D17" s="7">
        <v>56</v>
      </c>
      <c r="E17" s="7">
        <v>68</v>
      </c>
      <c r="F17" s="7">
        <v>72</v>
      </c>
      <c r="G17" s="7">
        <v>75</v>
      </c>
      <c r="H17" s="7">
        <v>76</v>
      </c>
      <c r="I17" s="7">
        <v>78</v>
      </c>
      <c r="J17" s="7">
        <v>95</v>
      </c>
      <c r="K17" s="7">
        <v>110</v>
      </c>
      <c r="L17" s="7">
        <v>116</v>
      </c>
      <c r="M17" s="7">
        <v>121</v>
      </c>
      <c r="N17" s="7">
        <v>129</v>
      </c>
      <c r="O17" s="7">
        <v>134</v>
      </c>
    </row>
    <row r="18" spans="2:17" x14ac:dyDescent="0.2">
      <c r="B18" s="9" t="s">
        <v>74</v>
      </c>
      <c r="C18" s="7" t="s">
        <v>78</v>
      </c>
      <c r="E18" s="13">
        <f>365*(-E17+E19)</f>
        <v>17520</v>
      </c>
      <c r="F18" s="13">
        <f t="shared" ref="F18:O18" si="8">365*(-F17+F19)</f>
        <v>22630</v>
      </c>
      <c r="G18" s="13">
        <f t="shared" si="8"/>
        <v>27375</v>
      </c>
      <c r="H18" s="13">
        <f t="shared" si="8"/>
        <v>26645</v>
      </c>
      <c r="I18" s="13">
        <f t="shared" si="8"/>
        <v>26280</v>
      </c>
      <c r="J18" s="13">
        <f t="shared" si="8"/>
        <v>23725</v>
      </c>
      <c r="K18" s="13">
        <f t="shared" si="8"/>
        <v>21900</v>
      </c>
      <c r="L18" s="13">
        <f t="shared" si="8"/>
        <v>19710</v>
      </c>
      <c r="M18" s="13">
        <f t="shared" si="8"/>
        <v>18980</v>
      </c>
      <c r="N18" s="13">
        <f t="shared" si="8"/>
        <v>17885</v>
      </c>
      <c r="O18" s="13">
        <f t="shared" si="8"/>
        <v>17520</v>
      </c>
    </row>
    <row r="19" spans="2:17" x14ac:dyDescent="0.2">
      <c r="E19" s="7">
        <v>116</v>
      </c>
      <c r="F19" s="7">
        <v>134</v>
      </c>
      <c r="G19" s="7">
        <v>150</v>
      </c>
      <c r="H19" s="7">
        <v>149</v>
      </c>
      <c r="I19" s="7">
        <v>150</v>
      </c>
      <c r="J19" s="7">
        <v>160</v>
      </c>
      <c r="K19" s="7">
        <v>170</v>
      </c>
      <c r="L19" s="7">
        <v>170</v>
      </c>
      <c r="M19" s="7">
        <v>173</v>
      </c>
      <c r="N19" s="7">
        <v>178</v>
      </c>
      <c r="O19" s="7">
        <v>182</v>
      </c>
    </row>
    <row r="21" spans="2:17" x14ac:dyDescent="0.2">
      <c r="B21" s="9" t="s">
        <v>80</v>
      </c>
      <c r="C21" s="7" t="s">
        <v>69</v>
      </c>
      <c r="E21" s="13">
        <f>BEN!M27+BEN!M28+BEN!M30</f>
        <v>32820</v>
      </c>
      <c r="F21" s="13">
        <f>E21*F22/E22</f>
        <v>30560.879541108992</v>
      </c>
      <c r="G21" s="13">
        <f t="shared" ref="G21:O21" si="9">F21*G22/F22</f>
        <v>28364.512428298287</v>
      </c>
      <c r="H21" s="13">
        <f t="shared" si="9"/>
        <v>25917.131931166354</v>
      </c>
      <c r="I21" s="13">
        <f t="shared" si="9"/>
        <v>23909.024856596559</v>
      </c>
      <c r="J21" s="13">
        <f t="shared" si="9"/>
        <v>23030.478011472285</v>
      </c>
      <c r="K21" s="13">
        <f t="shared" si="9"/>
        <v>23030.478011472285</v>
      </c>
      <c r="L21" s="13">
        <f t="shared" si="9"/>
        <v>23469.751434034413</v>
      </c>
      <c r="M21" s="13">
        <f t="shared" si="9"/>
        <v>25289.598470363289</v>
      </c>
      <c r="N21" s="13">
        <f t="shared" si="9"/>
        <v>27485.965583173995</v>
      </c>
      <c r="O21" s="13">
        <f t="shared" si="9"/>
        <v>29682.332695984704</v>
      </c>
    </row>
    <row r="22" spans="2:17" x14ac:dyDescent="0.2">
      <c r="B22" s="7"/>
      <c r="C22" s="9" t="s">
        <v>70</v>
      </c>
      <c r="D22" s="13"/>
      <c r="E22" s="13">
        <f>365*E23</f>
        <v>29579.541538537647</v>
      </c>
      <c r="F22" s="13">
        <f t="shared" ref="F22:O22" si="10">365*F23</f>
        <v>27543.473669728177</v>
      </c>
      <c r="G22" s="13">
        <f t="shared" si="10"/>
        <v>25563.963241718964</v>
      </c>
      <c r="H22" s="13">
        <f t="shared" si="10"/>
        <v>23358.223050508699</v>
      </c>
      <c r="I22" s="13">
        <f t="shared" si="10"/>
        <v>21548.384944900274</v>
      </c>
      <c r="J22" s="13">
        <f t="shared" si="10"/>
        <v>20756.580773696598</v>
      </c>
      <c r="K22" s="13">
        <f t="shared" si="10"/>
        <v>20756.580773696598</v>
      </c>
      <c r="L22" s="13">
        <f t="shared" si="10"/>
        <v>21152.48285929843</v>
      </c>
      <c r="M22" s="13">
        <f t="shared" si="10"/>
        <v>22792.648642506068</v>
      </c>
      <c r="N22" s="13">
        <f t="shared" si="10"/>
        <v>24772.159070515278</v>
      </c>
      <c r="O22" s="13">
        <f t="shared" si="10"/>
        <v>26751.66949852449</v>
      </c>
      <c r="Q22" s="7" t="s">
        <v>67</v>
      </c>
    </row>
    <row r="23" spans="2:17" x14ac:dyDescent="0.2">
      <c r="B23" s="9" t="s">
        <v>81</v>
      </c>
      <c r="C23" s="7" t="s">
        <v>79</v>
      </c>
      <c r="E23" s="20">
        <v>81.039839831609996</v>
      </c>
      <c r="F23" s="20">
        <v>75.461571697885418</v>
      </c>
      <c r="G23" s="20">
        <v>70.03825545676429</v>
      </c>
      <c r="H23" s="20">
        <v>63.995131645229314</v>
      </c>
      <c r="I23" s="20">
        <v>59.036671081918563</v>
      </c>
      <c r="J23" s="20">
        <v>56.867344585470128</v>
      </c>
      <c r="K23" s="20">
        <v>56.867344585470128</v>
      </c>
      <c r="L23" s="20">
        <v>57.952007833694331</v>
      </c>
      <c r="M23" s="20">
        <v>62.445612719194706</v>
      </c>
      <c r="N23" s="20">
        <v>67.868928960315827</v>
      </c>
      <c r="O23" s="20">
        <v>73.292245201436955</v>
      </c>
      <c r="P23" s="20"/>
    </row>
    <row r="24" spans="2:17" x14ac:dyDescent="0.2">
      <c r="B24" s="9" t="s">
        <v>72</v>
      </c>
      <c r="C24" s="7" t="s">
        <v>69</v>
      </c>
      <c r="E24" s="13">
        <f>BEN!M27</f>
        <v>28674</v>
      </c>
      <c r="F24" s="13">
        <f>E24*F25/E25</f>
        <v>27860.028387096776</v>
      </c>
      <c r="G24" s="13">
        <f t="shared" ref="G24:O24" si="11">F24*G25/F25</f>
        <v>27046.056774193556</v>
      </c>
      <c r="H24" s="13">
        <f t="shared" si="11"/>
        <v>26232.085161290328</v>
      </c>
      <c r="I24" s="13">
        <f t="shared" si="11"/>
        <v>26540.407741935484</v>
      </c>
      <c r="J24" s="13">
        <f t="shared" si="11"/>
        <v>26848.730322580646</v>
      </c>
      <c r="K24" s="13">
        <f t="shared" si="11"/>
        <v>27157.052903225809</v>
      </c>
      <c r="L24" s="13">
        <f t="shared" si="11"/>
        <v>27009.058064516124</v>
      </c>
      <c r="M24" s="13">
        <f t="shared" si="11"/>
        <v>26861.063225806443</v>
      </c>
      <c r="N24" s="13">
        <f t="shared" si="11"/>
        <v>26713.06838709677</v>
      </c>
      <c r="O24" s="13">
        <f t="shared" si="11"/>
        <v>26565.073548387092</v>
      </c>
    </row>
    <row r="25" spans="2:17" x14ac:dyDescent="0.2">
      <c r="C25" s="9" t="s">
        <v>70</v>
      </c>
      <c r="E25" s="13">
        <f>365*E26</f>
        <v>28287.5</v>
      </c>
      <c r="F25" s="13">
        <f t="shared" ref="F25:O25" si="12">365*F26</f>
        <v>27484.5</v>
      </c>
      <c r="G25" s="13">
        <f t="shared" si="12"/>
        <v>26681.500000000004</v>
      </c>
      <c r="H25" s="13">
        <f t="shared" si="12"/>
        <v>25878.500000000004</v>
      </c>
      <c r="I25" s="13">
        <f t="shared" si="12"/>
        <v>26182.666666666668</v>
      </c>
      <c r="J25" s="13">
        <f t="shared" si="12"/>
        <v>26486.833333333336</v>
      </c>
      <c r="K25" s="13">
        <f t="shared" si="12"/>
        <v>26791.000000000004</v>
      </c>
      <c r="L25" s="13">
        <f t="shared" si="12"/>
        <v>26645</v>
      </c>
      <c r="M25" s="13">
        <f t="shared" si="12"/>
        <v>26498.999999999996</v>
      </c>
      <c r="N25" s="13">
        <f t="shared" si="12"/>
        <v>26353</v>
      </c>
      <c r="O25" s="13">
        <f t="shared" si="12"/>
        <v>26207</v>
      </c>
    </row>
    <row r="26" spans="2:17" x14ac:dyDescent="0.2">
      <c r="B26" s="7"/>
      <c r="C26" s="7" t="s">
        <v>79</v>
      </c>
      <c r="E26" s="20">
        <v>77.5</v>
      </c>
      <c r="F26" s="20">
        <v>75.3</v>
      </c>
      <c r="G26" s="20">
        <v>73.100000000000009</v>
      </c>
      <c r="H26" s="20">
        <v>70.900000000000006</v>
      </c>
      <c r="I26" s="20">
        <v>71.733333333333334</v>
      </c>
      <c r="J26" s="20">
        <v>72.566666666666677</v>
      </c>
      <c r="K26" s="20">
        <v>73.400000000000006</v>
      </c>
      <c r="L26" s="20">
        <v>73</v>
      </c>
      <c r="M26" s="20">
        <v>72.599999999999994</v>
      </c>
      <c r="N26" s="20">
        <v>72.2</v>
      </c>
      <c r="O26" s="20">
        <v>71.8</v>
      </c>
    </row>
    <row r="27" spans="2:17" x14ac:dyDescent="0.2">
      <c r="B27" s="9" t="s">
        <v>82</v>
      </c>
      <c r="C27" s="7" t="s">
        <v>69</v>
      </c>
      <c r="E27" s="13">
        <f t="shared" ref="E27:O27" si="13">E21-E24</f>
        <v>4146</v>
      </c>
      <c r="F27" s="13">
        <f t="shared" si="13"/>
        <v>2700.8511540122163</v>
      </c>
      <c r="G27" s="13">
        <f t="shared" si="13"/>
        <v>1318.4556541047314</v>
      </c>
      <c r="H27" s="13">
        <f t="shared" si="13"/>
        <v>-314.95323012397421</v>
      </c>
      <c r="I27" s="13">
        <f t="shared" si="13"/>
        <v>-2631.3828853389241</v>
      </c>
      <c r="J27" s="13">
        <f t="shared" si="13"/>
        <v>-3818.252311108361</v>
      </c>
      <c r="K27" s="13">
        <f t="shared" si="13"/>
        <v>-4126.5748917535238</v>
      </c>
      <c r="L27" s="13">
        <f t="shared" si="13"/>
        <v>-3539.3066304817112</v>
      </c>
      <c r="M27" s="13">
        <f t="shared" si="13"/>
        <v>-1571.464755443154</v>
      </c>
      <c r="N27" s="13">
        <f t="shared" si="13"/>
        <v>772.89719607722509</v>
      </c>
      <c r="O27" s="13">
        <f t="shared" si="13"/>
        <v>3117.2591475976114</v>
      </c>
      <c r="P27" s="19"/>
    </row>
    <row r="28" spans="2:17" ht="15" x14ac:dyDescent="0.2">
      <c r="B28" s="9" t="s">
        <v>83</v>
      </c>
      <c r="E28" s="13">
        <f>IF(E27&lt;0,0,$P28*E27)</f>
        <v>3190.7277367999823</v>
      </c>
      <c r="F28" s="13">
        <f>IF(F27&lt;0,0,$P28*F27)</f>
        <v>2078.5529884406706</v>
      </c>
      <c r="G28" s="13">
        <f t="shared" ref="G28:O28" si="14">IF(G27&lt;0,0,$P28*G27)</f>
        <v>1014.6727026755258</v>
      </c>
      <c r="H28" s="13">
        <f t="shared" si="14"/>
        <v>0</v>
      </c>
      <c r="I28" s="13">
        <f t="shared" si="14"/>
        <v>0</v>
      </c>
      <c r="J28" s="13">
        <f t="shared" si="14"/>
        <v>0</v>
      </c>
      <c r="K28" s="13">
        <f t="shared" si="14"/>
        <v>0</v>
      </c>
      <c r="L28" s="13">
        <f t="shared" si="14"/>
        <v>0</v>
      </c>
      <c r="M28" s="13">
        <f t="shared" si="14"/>
        <v>0</v>
      </c>
      <c r="N28" s="13">
        <f t="shared" si="14"/>
        <v>594.81536932429731</v>
      </c>
      <c r="O28" s="13">
        <f t="shared" si="14"/>
        <v>2399.0171792168762</v>
      </c>
      <c r="P28" s="17">
        <f>AVERAGE(BEN!D28:M28)/(AVERAGE(BEN!D28:M28)+AVERAGE(BEN!D29:M29))</f>
        <v>0.76959183232030448</v>
      </c>
    </row>
    <row r="29" spans="2:17" ht="15" x14ac:dyDescent="0.2">
      <c r="B29" s="9" t="s">
        <v>84</v>
      </c>
      <c r="E29" s="13">
        <f>IF(E27&lt;0,E27,$P29*E27)</f>
        <v>955.27226320001728</v>
      </c>
      <c r="F29" s="13">
        <f>IF(F27&lt;0,F27,$P29*F27)</f>
        <v>622.29816557154561</v>
      </c>
      <c r="G29" s="13">
        <f t="shared" ref="G29:O29" si="15">IF(G27&lt;0,G27,$P29*G27)</f>
        <v>303.78295142920547</v>
      </c>
      <c r="H29" s="13">
        <f t="shared" si="15"/>
        <v>-314.95323012397421</v>
      </c>
      <c r="I29" s="13">
        <f t="shared" si="15"/>
        <v>-2631.3828853389241</v>
      </c>
      <c r="J29" s="13">
        <f t="shared" si="15"/>
        <v>-3818.252311108361</v>
      </c>
      <c r="K29" s="13">
        <f t="shared" si="15"/>
        <v>-4126.5748917535238</v>
      </c>
      <c r="L29" s="13">
        <f t="shared" si="15"/>
        <v>-3539.3066304817112</v>
      </c>
      <c r="M29" s="13">
        <f t="shared" si="15"/>
        <v>-1571.464755443154</v>
      </c>
      <c r="N29" s="13">
        <f t="shared" si="15"/>
        <v>178.08182675292773</v>
      </c>
      <c r="O29" s="13">
        <f t="shared" si="15"/>
        <v>718.24196838073487</v>
      </c>
      <c r="P29" s="17">
        <f>AVERAGE(BEN!D29:M29)/(AVERAGE(BEN!D28:M28)+AVERAGE(BEN!D29:M29))</f>
        <v>0.23040816767969544</v>
      </c>
    </row>
    <row r="30" spans="2:17" x14ac:dyDescent="0.2">
      <c r="B30" s="7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</row>
    <row r="32" spans="2:17" x14ac:dyDescent="0.2">
      <c r="B32" s="9" t="s">
        <v>85</v>
      </c>
      <c r="C32" s="7" t="s">
        <v>69</v>
      </c>
      <c r="E32" s="13">
        <f>(BEN!M31+BEN!M32+BEN!M33)</f>
        <v>59900</v>
      </c>
      <c r="F32" s="13">
        <f>E32*F33/E33</f>
        <v>61135.437500000007</v>
      </c>
      <c r="G32" s="13">
        <f t="shared" ref="G32:O32" si="16">F32*G33/F33</f>
        <v>62370.875000000007</v>
      </c>
      <c r="H32" s="13">
        <f t="shared" si="16"/>
        <v>63606.312500000015</v>
      </c>
      <c r="I32" s="13">
        <f t="shared" si="16"/>
        <v>64841.750000000015</v>
      </c>
      <c r="J32" s="13">
        <f t="shared" si="16"/>
        <v>66077.187500000029</v>
      </c>
      <c r="K32" s="13">
        <f t="shared" si="16"/>
        <v>67312.625000000044</v>
      </c>
      <c r="L32" s="13">
        <f t="shared" si="16"/>
        <v>68548.062500000044</v>
      </c>
      <c r="M32" s="13">
        <f t="shared" si="16"/>
        <v>69783.500000000044</v>
      </c>
      <c r="N32" s="13">
        <f t="shared" si="16"/>
        <v>71018.937500000058</v>
      </c>
      <c r="O32" s="13">
        <f t="shared" si="16"/>
        <v>72254.375000000015</v>
      </c>
    </row>
    <row r="33" spans="1:17" x14ac:dyDescent="0.2">
      <c r="A33" s="13"/>
      <c r="B33" s="7"/>
      <c r="C33" s="9" t="s">
        <v>70</v>
      </c>
      <c r="E33" s="13">
        <f>365*E34</f>
        <v>58400</v>
      </c>
      <c r="F33" s="13">
        <f t="shared" ref="F33:O33" si="17">365*F34</f>
        <v>59604.500000000007</v>
      </c>
      <c r="G33" s="13">
        <f t="shared" si="17"/>
        <v>60809.000000000007</v>
      </c>
      <c r="H33" s="13">
        <f t="shared" si="17"/>
        <v>62013.500000000015</v>
      </c>
      <c r="I33" s="13">
        <f t="shared" si="17"/>
        <v>63218.000000000015</v>
      </c>
      <c r="J33" s="13">
        <f t="shared" si="17"/>
        <v>64422.500000000022</v>
      </c>
      <c r="K33" s="13">
        <f t="shared" si="17"/>
        <v>65627.000000000029</v>
      </c>
      <c r="L33" s="13">
        <f t="shared" si="17"/>
        <v>66831.500000000029</v>
      </c>
      <c r="M33" s="13">
        <f t="shared" si="17"/>
        <v>68036.000000000029</v>
      </c>
      <c r="N33" s="13">
        <f t="shared" si="17"/>
        <v>69240.500000000044</v>
      </c>
      <c r="O33" s="13">
        <f t="shared" si="17"/>
        <v>70445</v>
      </c>
      <c r="Q33" s="7" t="s">
        <v>67</v>
      </c>
    </row>
    <row r="34" spans="1:17" x14ac:dyDescent="0.2">
      <c r="B34" s="9" t="s">
        <v>81</v>
      </c>
      <c r="C34" s="7" t="s">
        <v>79</v>
      </c>
      <c r="E34" s="7">
        <v>160</v>
      </c>
      <c r="F34" s="20">
        <f t="shared" ref="F34:N34" si="18">E34+$P34</f>
        <v>163.30000000000001</v>
      </c>
      <c r="G34" s="20">
        <f t="shared" si="18"/>
        <v>166.60000000000002</v>
      </c>
      <c r="H34" s="20">
        <f t="shared" si="18"/>
        <v>169.90000000000003</v>
      </c>
      <c r="I34" s="20">
        <f t="shared" si="18"/>
        <v>173.20000000000005</v>
      </c>
      <c r="J34" s="20">
        <f t="shared" si="18"/>
        <v>176.50000000000006</v>
      </c>
      <c r="K34" s="20">
        <f t="shared" si="18"/>
        <v>179.80000000000007</v>
      </c>
      <c r="L34" s="20">
        <f t="shared" si="18"/>
        <v>183.10000000000008</v>
      </c>
      <c r="M34" s="20">
        <f t="shared" si="18"/>
        <v>186.40000000000009</v>
      </c>
      <c r="N34" s="20">
        <f t="shared" si="18"/>
        <v>189.7000000000001</v>
      </c>
      <c r="O34" s="7">
        <v>193</v>
      </c>
      <c r="P34" s="19">
        <f>(O34-E34)/(O$5-E$5)</f>
        <v>3.3</v>
      </c>
    </row>
    <row r="35" spans="1:17" x14ac:dyDescent="0.2">
      <c r="B35" s="9" t="s">
        <v>72</v>
      </c>
      <c r="C35" s="7" t="s">
        <v>69</v>
      </c>
      <c r="E35" s="13">
        <f>365*E36</f>
        <v>45625</v>
      </c>
      <c r="F35" s="13">
        <f t="shared" ref="F35:O35" si="19">365*F36</f>
        <v>45369.5</v>
      </c>
      <c r="G35" s="13">
        <f t="shared" si="19"/>
        <v>45114</v>
      </c>
      <c r="H35" s="13">
        <f t="shared" si="19"/>
        <v>44858.5</v>
      </c>
      <c r="I35" s="13">
        <f t="shared" si="19"/>
        <v>46367.166666666672</v>
      </c>
      <c r="J35" s="13">
        <f t="shared" si="19"/>
        <v>47875.833333333343</v>
      </c>
      <c r="K35" s="13">
        <f t="shared" si="19"/>
        <v>49384.500000000007</v>
      </c>
      <c r="L35" s="13">
        <f t="shared" si="19"/>
        <v>49886.375000000007</v>
      </c>
      <c r="M35" s="13">
        <f t="shared" si="19"/>
        <v>50388.250000000007</v>
      </c>
      <c r="N35" s="13">
        <f t="shared" si="19"/>
        <v>50890.125000000007</v>
      </c>
      <c r="O35" s="13">
        <f t="shared" si="19"/>
        <v>51392.000000000007</v>
      </c>
      <c r="P35" s="19"/>
    </row>
    <row r="36" spans="1:17" x14ac:dyDescent="0.2">
      <c r="B36" s="7"/>
      <c r="C36" s="7" t="s">
        <v>79</v>
      </c>
      <c r="E36" s="20">
        <v>125</v>
      </c>
      <c r="F36" s="20">
        <v>124.3</v>
      </c>
      <c r="G36" s="20">
        <v>123.60000000000001</v>
      </c>
      <c r="H36" s="20">
        <v>122.9</v>
      </c>
      <c r="I36" s="20">
        <v>127.03333333333335</v>
      </c>
      <c r="J36" s="20">
        <v>131.16666666666669</v>
      </c>
      <c r="K36" s="20">
        <v>135.30000000000001</v>
      </c>
      <c r="L36" s="20">
        <v>136.67500000000001</v>
      </c>
      <c r="M36" s="20">
        <v>138.05000000000001</v>
      </c>
      <c r="N36" s="20">
        <v>139.42500000000001</v>
      </c>
      <c r="O36" s="20">
        <v>140.80000000000001</v>
      </c>
      <c r="P36" s="19"/>
    </row>
    <row r="37" spans="1:17" x14ac:dyDescent="0.2">
      <c r="B37" s="9" t="s">
        <v>82</v>
      </c>
      <c r="C37" s="7" t="s">
        <v>69</v>
      </c>
      <c r="E37" s="13">
        <f>E32-E35</f>
        <v>14275</v>
      </c>
      <c r="F37" s="13">
        <f t="shared" ref="F37:O37" si="20">F32-F35</f>
        <v>15765.937500000007</v>
      </c>
      <c r="G37" s="13">
        <f t="shared" si="20"/>
        <v>17256.875000000007</v>
      </c>
      <c r="H37" s="13">
        <f t="shared" si="20"/>
        <v>18747.812500000015</v>
      </c>
      <c r="I37" s="13">
        <f t="shared" si="20"/>
        <v>18474.583333333343</v>
      </c>
      <c r="J37" s="13">
        <f t="shared" si="20"/>
        <v>18201.354166666686</v>
      </c>
      <c r="K37" s="13">
        <f t="shared" si="20"/>
        <v>17928.125000000036</v>
      </c>
      <c r="L37" s="13">
        <f t="shared" si="20"/>
        <v>18661.687500000036</v>
      </c>
      <c r="M37" s="13">
        <f t="shared" si="20"/>
        <v>19395.250000000036</v>
      </c>
      <c r="N37" s="13">
        <f t="shared" si="20"/>
        <v>20128.812500000051</v>
      </c>
      <c r="O37" s="13">
        <f t="shared" si="20"/>
        <v>20862.375000000007</v>
      </c>
      <c r="P37" s="19"/>
    </row>
    <row r="38" spans="1:17" ht="15" x14ac:dyDescent="0.2">
      <c r="E38" s="13">
        <f>$P38*E37</f>
        <v>13297.155859390801</v>
      </c>
      <c r="F38" s="13">
        <f t="shared" ref="F38:O38" si="21">$P38*F37</f>
        <v>14685.963447069298</v>
      </c>
      <c r="G38" s="13">
        <f t="shared" si="21"/>
        <v>16074.771034747791</v>
      </c>
      <c r="H38" s="13">
        <f t="shared" si="21"/>
        <v>17463.578622426288</v>
      </c>
      <c r="I38" s="13">
        <f t="shared" si="21"/>
        <v>17209.06578078018</v>
      </c>
      <c r="J38" s="13">
        <f t="shared" si="21"/>
        <v>16954.552939134086</v>
      </c>
      <c r="K38" s="13">
        <f t="shared" si="21"/>
        <v>16700.040097487999</v>
      </c>
      <c r="L38" s="13">
        <f t="shared" si="21"/>
        <v>17383.353224990929</v>
      </c>
      <c r="M38" s="13">
        <f t="shared" si="21"/>
        <v>18066.666352493863</v>
      </c>
      <c r="N38" s="13">
        <f t="shared" si="21"/>
        <v>18749.979479996811</v>
      </c>
      <c r="O38" s="13">
        <f t="shared" si="21"/>
        <v>19433.292607499701</v>
      </c>
      <c r="P38" s="17">
        <f>AVERAGE(BEN!D32:M32)/AVERAGE(AVERAGE(BEN!D32:M32)+AVERAGE(BEN!D$33:M$33))</f>
        <v>0.93149953480846237</v>
      </c>
    </row>
    <row r="39" spans="1:17" ht="15" x14ac:dyDescent="0.2">
      <c r="E39" s="13">
        <f>$P39*E37</f>
        <v>977.84414060919869</v>
      </c>
      <c r="F39" s="13">
        <f t="shared" ref="F39:O39" si="22">$P39*F37</f>
        <v>1079.9740529307071</v>
      </c>
      <c r="G39" s="13">
        <f t="shared" si="22"/>
        <v>1182.1039652522152</v>
      </c>
      <c r="H39" s="13">
        <f t="shared" si="22"/>
        <v>1284.2338775737237</v>
      </c>
      <c r="I39" s="13">
        <f t="shared" si="22"/>
        <v>1265.5175525531606</v>
      </c>
      <c r="J39" s="13">
        <f t="shared" si="22"/>
        <v>1246.8012275325984</v>
      </c>
      <c r="K39" s="13">
        <f t="shared" si="22"/>
        <v>1228.0849025120367</v>
      </c>
      <c r="L39" s="13">
        <f t="shared" si="22"/>
        <v>1278.334275009104</v>
      </c>
      <c r="M39" s="13">
        <f t="shared" si="22"/>
        <v>1328.5836475061712</v>
      </c>
      <c r="N39" s="13">
        <f t="shared" si="22"/>
        <v>1378.8330200032397</v>
      </c>
      <c r="O39" s="13">
        <f t="shared" si="22"/>
        <v>1429.082392500304</v>
      </c>
      <c r="P39" s="17">
        <f>AVERAGE(BEN!D33:M33)/AVERAGE(AVERAGE(BEN!D32:M32)+AVERAGE(BEN!D$33:M$33))</f>
        <v>6.850046519153756E-2</v>
      </c>
    </row>
    <row r="40" spans="1:17" x14ac:dyDescent="0.2">
      <c r="B40" s="7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19"/>
    </row>
    <row r="41" spans="1:17" x14ac:dyDescent="0.2">
      <c r="B41" s="9" t="s">
        <v>24</v>
      </c>
      <c r="C41" s="7" t="s">
        <v>86</v>
      </c>
      <c r="D41" s="13">
        <f>BEN!L43</f>
        <v>3392</v>
      </c>
      <c r="E41" s="13">
        <f>BEN!M43</f>
        <v>4032</v>
      </c>
      <c r="F41" s="13">
        <f>E41*F42/E42</f>
        <v>4258.7999999999993</v>
      </c>
      <c r="G41" s="13">
        <f t="shared" ref="G41:O41" si="23">F41*G42/F42</f>
        <v>4485.5999999999995</v>
      </c>
      <c r="H41" s="13">
        <f t="shared" si="23"/>
        <v>4712.3999999999996</v>
      </c>
      <c r="I41" s="13">
        <f t="shared" si="23"/>
        <v>4939.1999999999989</v>
      </c>
      <c r="J41" s="13">
        <f t="shared" si="23"/>
        <v>5165.9999999999991</v>
      </c>
      <c r="K41" s="13">
        <f t="shared" si="23"/>
        <v>5392.7999999999984</v>
      </c>
      <c r="L41" s="13">
        <f t="shared" si="23"/>
        <v>5619.5999999999995</v>
      </c>
      <c r="M41" s="13">
        <f t="shared" si="23"/>
        <v>5846.3999999999987</v>
      </c>
      <c r="N41" s="13">
        <f t="shared" si="23"/>
        <v>6073.2</v>
      </c>
      <c r="O41" s="13">
        <f t="shared" si="23"/>
        <v>6299.9999999999991</v>
      </c>
      <c r="P41" s="19"/>
      <c r="Q41" s="7" t="s">
        <v>67</v>
      </c>
    </row>
    <row r="42" spans="1:17" x14ac:dyDescent="0.2">
      <c r="C42" s="9" t="s">
        <v>70</v>
      </c>
      <c r="E42" s="13">
        <f>365*$P$42*E43</f>
        <v>4800.4799999999996</v>
      </c>
      <c r="F42" s="13">
        <f t="shared" ref="F42:O42" si="24">365*$P$42*F43</f>
        <v>5070.5069999999987</v>
      </c>
      <c r="G42" s="13">
        <f t="shared" si="24"/>
        <v>5340.5339999999997</v>
      </c>
      <c r="H42" s="13">
        <f t="shared" si="24"/>
        <v>5610.5609999999997</v>
      </c>
      <c r="I42" s="13">
        <f t="shared" si="24"/>
        <v>5880.5879999999997</v>
      </c>
      <c r="J42" s="13">
        <f t="shared" si="24"/>
        <v>6150.6149999999998</v>
      </c>
      <c r="K42" s="13">
        <f t="shared" si="24"/>
        <v>6420.6419999999989</v>
      </c>
      <c r="L42" s="13">
        <f t="shared" si="24"/>
        <v>6690.6689999999999</v>
      </c>
      <c r="M42" s="13">
        <f t="shared" si="24"/>
        <v>6960.695999999999</v>
      </c>
      <c r="N42" s="13">
        <f t="shared" si="24"/>
        <v>7230.723</v>
      </c>
      <c r="O42" s="13">
        <f t="shared" si="24"/>
        <v>7500.7499999999991</v>
      </c>
      <c r="P42" s="21">
        <v>0.82199999999999995</v>
      </c>
      <c r="Q42" s="7" t="s">
        <v>87</v>
      </c>
    </row>
    <row r="43" spans="1:17" x14ac:dyDescent="0.2">
      <c r="B43" s="9" t="s">
        <v>81</v>
      </c>
      <c r="C43" s="7" t="s">
        <v>79</v>
      </c>
      <c r="E43" s="7">
        <v>16</v>
      </c>
      <c r="F43" s="20">
        <f>$E43+(F5-$E5)*($O43-$E43)/($O5-$E5)</f>
        <v>16.899999999999999</v>
      </c>
      <c r="G43" s="20">
        <f t="shared" ref="G43:N43" si="25">$E43+(G5-$E5)*($O43-$E43)/($O5-$E5)</f>
        <v>17.8</v>
      </c>
      <c r="H43" s="20">
        <f t="shared" si="25"/>
        <v>18.7</v>
      </c>
      <c r="I43" s="20">
        <f t="shared" si="25"/>
        <v>19.600000000000001</v>
      </c>
      <c r="J43" s="20">
        <f t="shared" si="25"/>
        <v>20.5</v>
      </c>
      <c r="K43" s="20">
        <f t="shared" si="25"/>
        <v>21.4</v>
      </c>
      <c r="L43" s="20">
        <f t="shared" si="25"/>
        <v>22.3</v>
      </c>
      <c r="M43" s="20">
        <f t="shared" si="25"/>
        <v>23.2</v>
      </c>
      <c r="N43" s="20">
        <f t="shared" si="25"/>
        <v>24.1</v>
      </c>
      <c r="O43" s="7">
        <v>25</v>
      </c>
      <c r="P43" s="19"/>
    </row>
    <row r="44" spans="1:17" x14ac:dyDescent="0.2">
      <c r="B44" s="9" t="s">
        <v>72</v>
      </c>
      <c r="C44" s="7" t="s">
        <v>86</v>
      </c>
      <c r="D44" s="13">
        <f>BEN!L43</f>
        <v>3392</v>
      </c>
      <c r="E44" s="13">
        <f>BEN!M43</f>
        <v>4032</v>
      </c>
      <c r="F44" s="13">
        <f>E44*F45/E45</f>
        <v>4315.9436619718308</v>
      </c>
      <c r="G44" s="13">
        <f t="shared" ref="G44:O44" si="26">F44*G45/F45</f>
        <v>4599.8873239436616</v>
      </c>
      <c r="H44" s="13">
        <f t="shared" si="26"/>
        <v>4883.8309859154933</v>
      </c>
      <c r="I44" s="13">
        <f t="shared" si="26"/>
        <v>5262.4225352112671</v>
      </c>
      <c r="J44" s="13">
        <f t="shared" si="26"/>
        <v>5451.7183098591549</v>
      </c>
      <c r="K44" s="13">
        <f t="shared" si="26"/>
        <v>5451.7183098591549</v>
      </c>
      <c r="L44" s="13">
        <f t="shared" si="26"/>
        <v>5494.3098591549306</v>
      </c>
      <c r="M44" s="13">
        <f t="shared" si="26"/>
        <v>5536.9014084507044</v>
      </c>
      <c r="N44" s="13">
        <f t="shared" si="26"/>
        <v>5579.4929577464791</v>
      </c>
      <c r="O44" s="13">
        <f t="shared" si="26"/>
        <v>5622.0845070422547</v>
      </c>
      <c r="P44" s="19"/>
    </row>
    <row r="45" spans="1:17" x14ac:dyDescent="0.2">
      <c r="C45" s="9" t="s">
        <v>70</v>
      </c>
      <c r="E45" s="13">
        <f>365*$P$42*E46</f>
        <v>4260.4259999999995</v>
      </c>
      <c r="F45" s="13">
        <f t="shared" ref="F45:O45" si="27">365*$P$42*F46</f>
        <v>4560.4559999999992</v>
      </c>
      <c r="G45" s="13">
        <f t="shared" si="27"/>
        <v>4860.485999999999</v>
      </c>
      <c r="H45" s="13">
        <f t="shared" si="27"/>
        <v>5160.5159999999996</v>
      </c>
      <c r="I45" s="13">
        <f t="shared" si="27"/>
        <v>5560.5559999999987</v>
      </c>
      <c r="J45" s="13">
        <f t="shared" si="27"/>
        <v>5760.5759999999991</v>
      </c>
      <c r="K45" s="13">
        <f t="shared" si="27"/>
        <v>5760.5759999999991</v>
      </c>
      <c r="L45" s="13">
        <f t="shared" si="27"/>
        <v>5805.5805</v>
      </c>
      <c r="M45" s="13">
        <f t="shared" si="27"/>
        <v>5850.5849999999991</v>
      </c>
      <c r="N45" s="13">
        <f t="shared" si="27"/>
        <v>5895.5894999999991</v>
      </c>
      <c r="O45" s="13">
        <f t="shared" si="27"/>
        <v>5940.5940000000001</v>
      </c>
      <c r="P45" s="19"/>
    </row>
    <row r="46" spans="1:17" x14ac:dyDescent="0.2">
      <c r="B46" s="7"/>
      <c r="C46" s="7" t="s">
        <v>79</v>
      </c>
      <c r="E46" s="20">
        <v>14.2</v>
      </c>
      <c r="F46" s="20">
        <f>$E46+(F5-$E5)*($H46-$E46)/($H5-$E5)</f>
        <v>15.2</v>
      </c>
      <c r="G46" s="20">
        <f>$E46+(G5-$E5)*($H46-$E46)/($H5-$E5)</f>
        <v>16.2</v>
      </c>
      <c r="H46" s="20">
        <v>17.2</v>
      </c>
      <c r="I46" s="20">
        <f>$H46+(J5-$H5)*($K46-$H46)/($K5-$H5)</f>
        <v>18.533333333333331</v>
      </c>
      <c r="J46" s="20">
        <f t="shared" ref="J46" si="28">$H46+(K5-$H5)*($K46-$H46)/($K5-$H5)</f>
        <v>19.2</v>
      </c>
      <c r="K46" s="20">
        <v>19.2</v>
      </c>
      <c r="L46" s="20">
        <f>$K46+(L5-$K5)*($O46-$K46)/($O5-$K5)</f>
        <v>19.350000000000001</v>
      </c>
      <c r="M46" s="20">
        <f t="shared" ref="M46:N46" si="29">$K46+(M5-$K5)*($O46-$K46)/($O5-$K5)</f>
        <v>19.5</v>
      </c>
      <c r="N46" s="20">
        <f t="shared" si="29"/>
        <v>19.649999999999999</v>
      </c>
      <c r="O46" s="20">
        <v>19.8</v>
      </c>
    </row>
    <row r="47" spans="1:17" ht="15" x14ac:dyDescent="0.2">
      <c r="B47" s="9" t="s">
        <v>83</v>
      </c>
      <c r="D47" s="13">
        <f>BEN!M44</f>
        <v>841</v>
      </c>
      <c r="E47" s="13">
        <f>IF(E44&lt;E41,E41-E44,E44+E48-E41)</f>
        <v>0</v>
      </c>
      <c r="F47" s="13">
        <f t="shared" ref="F47:O47" si="30">IF(F44&lt;F41,F41-F44,F44+F48-F41)</f>
        <v>152.62472401379728</v>
      </c>
      <c r="G47" s="13">
        <f t="shared" si="30"/>
        <v>305.24944802759273</v>
      </c>
      <c r="H47" s="13">
        <f t="shared" si="30"/>
        <v>457.87417204139001</v>
      </c>
      <c r="I47" s="13">
        <f t="shared" si="30"/>
        <v>863.29346999107929</v>
      </c>
      <c r="J47" s="13">
        <f t="shared" si="30"/>
        <v>763.12362006898275</v>
      </c>
      <c r="K47" s="13">
        <f t="shared" si="30"/>
        <v>157.36462227509855</v>
      </c>
      <c r="L47" s="13">
        <f t="shared" si="30"/>
        <v>125.29014084506889</v>
      </c>
      <c r="M47" s="13">
        <f t="shared" si="30"/>
        <v>309.49859154929436</v>
      </c>
      <c r="N47" s="13">
        <f t="shared" si="30"/>
        <v>493.70704225352074</v>
      </c>
      <c r="O47" s="13">
        <f t="shared" si="30"/>
        <v>677.91549295774439</v>
      </c>
      <c r="P47" s="17"/>
    </row>
    <row r="48" spans="1:17" x14ac:dyDescent="0.2">
      <c r="B48" s="9" t="s">
        <v>84</v>
      </c>
      <c r="D48" s="13">
        <f>BEN!M45</f>
        <v>1772</v>
      </c>
      <c r="E48" s="20">
        <f>IF(E44&lt;E41,0,$P$48*(E44-E41))</f>
        <v>0</v>
      </c>
      <c r="F48" s="20">
        <f t="shared" ref="F48:O48" si="31">IF(F44&lt;F41,0,$P$48*(F44-F41))</f>
        <v>95.481062041965913</v>
      </c>
      <c r="G48" s="20">
        <f t="shared" si="31"/>
        <v>190.96212408393029</v>
      </c>
      <c r="H48" s="20">
        <f t="shared" si="31"/>
        <v>286.4431861258962</v>
      </c>
      <c r="I48" s="20">
        <f t="shared" si="31"/>
        <v>540.0709347798113</v>
      </c>
      <c r="J48" s="20">
        <f t="shared" si="31"/>
        <v>477.4053102098265</v>
      </c>
      <c r="K48" s="20">
        <f t="shared" si="31"/>
        <v>98.446312415941819</v>
      </c>
      <c r="L48" s="20">
        <f t="shared" si="31"/>
        <v>0</v>
      </c>
      <c r="M48" s="20">
        <f t="shared" si="31"/>
        <v>0</v>
      </c>
      <c r="N48" s="20">
        <f t="shared" si="31"/>
        <v>0</v>
      </c>
      <c r="O48" s="20">
        <f t="shared" si="31"/>
        <v>0</v>
      </c>
      <c r="P48" s="32">
        <f>SUM(BEN!D45:M45)/(SUM(BEN!D43:M43)-SUM(BEN!D46:M46))</f>
        <v>1.6708950520012606</v>
      </c>
    </row>
    <row r="49" spans="2:17" x14ac:dyDescent="0.2">
      <c r="P49" s="19"/>
    </row>
    <row r="50" spans="2:17" x14ac:dyDescent="0.2">
      <c r="B50" s="9" t="s">
        <v>26</v>
      </c>
      <c r="C50" s="7" t="s">
        <v>69</v>
      </c>
      <c r="E50" s="13">
        <f>365*E51</f>
        <v>6935</v>
      </c>
      <c r="F50" s="13">
        <f t="shared" ref="F50:O50" si="32">365*F51</f>
        <v>7190.5</v>
      </c>
      <c r="G50" s="13">
        <f t="shared" si="32"/>
        <v>7445.9999999999991</v>
      </c>
      <c r="H50" s="13">
        <f t="shared" si="32"/>
        <v>7701.4999999999991</v>
      </c>
      <c r="I50" s="13">
        <f t="shared" si="32"/>
        <v>7956.9999999999991</v>
      </c>
      <c r="J50" s="13">
        <f t="shared" si="32"/>
        <v>8212.4999999999982</v>
      </c>
      <c r="K50" s="13">
        <f t="shared" si="32"/>
        <v>8467.9999999999982</v>
      </c>
      <c r="L50" s="13">
        <f t="shared" si="32"/>
        <v>8723.4999999999982</v>
      </c>
      <c r="M50" s="13">
        <f t="shared" si="32"/>
        <v>8978.9999999999982</v>
      </c>
      <c r="N50" s="13">
        <f t="shared" si="32"/>
        <v>9234.4999999999982</v>
      </c>
      <c r="O50" s="13">
        <f t="shared" si="32"/>
        <v>9490</v>
      </c>
      <c r="P50" s="19"/>
      <c r="Q50" s="7" t="s">
        <v>67</v>
      </c>
    </row>
    <row r="51" spans="2:17" x14ac:dyDescent="0.2">
      <c r="B51" s="9" t="s">
        <v>81</v>
      </c>
      <c r="C51" s="7" t="s">
        <v>79</v>
      </c>
      <c r="E51" s="7">
        <v>19</v>
      </c>
      <c r="F51" s="20">
        <f t="shared" ref="F51:N51" si="33">E51+$P51</f>
        <v>19.7</v>
      </c>
      <c r="G51" s="20">
        <f t="shared" si="33"/>
        <v>20.399999999999999</v>
      </c>
      <c r="H51" s="20">
        <f t="shared" si="33"/>
        <v>21.099999999999998</v>
      </c>
      <c r="I51" s="20">
        <f t="shared" si="33"/>
        <v>21.799999999999997</v>
      </c>
      <c r="J51" s="20">
        <f t="shared" si="33"/>
        <v>22.499999999999996</v>
      </c>
      <c r="K51" s="20">
        <f t="shared" si="33"/>
        <v>23.199999999999996</v>
      </c>
      <c r="L51" s="20">
        <f t="shared" si="33"/>
        <v>23.899999999999995</v>
      </c>
      <c r="M51" s="20">
        <f t="shared" si="33"/>
        <v>24.599999999999994</v>
      </c>
      <c r="N51" s="20">
        <f t="shared" si="33"/>
        <v>25.299999999999994</v>
      </c>
      <c r="O51" s="7">
        <v>26</v>
      </c>
      <c r="P51" s="19">
        <f>(O51-E51)/(O$5-E$5)</f>
        <v>0.7</v>
      </c>
    </row>
    <row r="52" spans="2:17" x14ac:dyDescent="0.2">
      <c r="B52" s="9" t="s">
        <v>72</v>
      </c>
      <c r="C52" s="7" t="s">
        <v>69</v>
      </c>
      <c r="E52" s="13">
        <f>365*E53</f>
        <v>18213.5</v>
      </c>
      <c r="F52" s="13">
        <f t="shared" ref="F52:O52" si="34">365*F53</f>
        <v>18408.166666666664</v>
      </c>
      <c r="G52" s="13">
        <f t="shared" si="34"/>
        <v>18602.833333333336</v>
      </c>
      <c r="H52" s="13">
        <f t="shared" si="34"/>
        <v>18797.5</v>
      </c>
      <c r="I52" s="13">
        <f t="shared" si="34"/>
        <v>18481.166666666668</v>
      </c>
      <c r="J52" s="13">
        <f t="shared" si="34"/>
        <v>18164.833333333332</v>
      </c>
      <c r="K52" s="13">
        <f t="shared" si="34"/>
        <v>17848.5</v>
      </c>
      <c r="L52" s="13">
        <f t="shared" si="34"/>
        <v>17282.75</v>
      </c>
      <c r="M52" s="13">
        <f t="shared" si="34"/>
        <v>16717</v>
      </c>
      <c r="N52" s="13">
        <f t="shared" si="34"/>
        <v>16151.25</v>
      </c>
      <c r="O52" s="13">
        <f t="shared" si="34"/>
        <v>15585.500000000002</v>
      </c>
    </row>
    <row r="53" spans="2:17" x14ac:dyDescent="0.2">
      <c r="B53" s="7"/>
      <c r="C53" s="7" t="s">
        <v>79</v>
      </c>
      <c r="E53" s="20">
        <v>49.9</v>
      </c>
      <c r="F53" s="20">
        <v>50.43333333333333</v>
      </c>
      <c r="G53" s="20">
        <v>50.966666666666669</v>
      </c>
      <c r="H53" s="20">
        <v>51.5</v>
      </c>
      <c r="I53" s="20">
        <v>50.633333333333333</v>
      </c>
      <c r="J53" s="20">
        <v>49.766666666666666</v>
      </c>
      <c r="K53" s="20">
        <v>48.9</v>
      </c>
      <c r="L53" s="20">
        <v>47.35</v>
      </c>
      <c r="M53" s="20">
        <v>45.8</v>
      </c>
      <c r="N53" s="20">
        <v>44.25</v>
      </c>
      <c r="O53" s="20">
        <v>42.7</v>
      </c>
    </row>
    <row r="55" spans="2:17" x14ac:dyDescent="0.2">
      <c r="B55" s="9" t="s">
        <v>88</v>
      </c>
      <c r="C55" s="7" t="s">
        <v>69</v>
      </c>
      <c r="E55" s="13">
        <f>365*E56</f>
        <v>13870</v>
      </c>
      <c r="F55" s="13">
        <f t="shared" ref="F55:O55" si="35">365*F56</f>
        <v>14016</v>
      </c>
      <c r="G55" s="13">
        <f t="shared" si="35"/>
        <v>14161.999999999998</v>
      </c>
      <c r="H55" s="13">
        <f t="shared" si="35"/>
        <v>14307.999999999998</v>
      </c>
      <c r="I55" s="13">
        <f t="shared" si="35"/>
        <v>14453.999999999998</v>
      </c>
      <c r="J55" s="13">
        <f t="shared" si="35"/>
        <v>14599.999999999998</v>
      </c>
      <c r="K55" s="13">
        <f t="shared" si="35"/>
        <v>14745.999999999996</v>
      </c>
      <c r="L55" s="13">
        <f t="shared" si="35"/>
        <v>14891.999999999996</v>
      </c>
      <c r="M55" s="13">
        <f t="shared" si="35"/>
        <v>15037.999999999996</v>
      </c>
      <c r="N55" s="13">
        <f t="shared" si="35"/>
        <v>15183.999999999995</v>
      </c>
      <c r="O55" s="13">
        <f t="shared" si="35"/>
        <v>15330</v>
      </c>
      <c r="Q55" s="7" t="s">
        <v>67</v>
      </c>
    </row>
    <row r="56" spans="2:17" x14ac:dyDescent="0.2">
      <c r="B56" s="9" t="s">
        <v>81</v>
      </c>
      <c r="C56" s="7" t="s">
        <v>79</v>
      </c>
      <c r="E56" s="7">
        <v>38</v>
      </c>
      <c r="F56" s="20">
        <f t="shared" ref="F56:N56" si="36">E56+$P56</f>
        <v>38.4</v>
      </c>
      <c r="G56" s="20">
        <f t="shared" si="36"/>
        <v>38.799999999999997</v>
      </c>
      <c r="H56" s="20">
        <f t="shared" si="36"/>
        <v>39.199999999999996</v>
      </c>
      <c r="I56" s="20">
        <f t="shared" si="36"/>
        <v>39.599999999999994</v>
      </c>
      <c r="J56" s="20">
        <f t="shared" si="36"/>
        <v>39.999999999999993</v>
      </c>
      <c r="K56" s="20">
        <f t="shared" si="36"/>
        <v>40.399999999999991</v>
      </c>
      <c r="L56" s="20">
        <f t="shared" si="36"/>
        <v>40.79999999999999</v>
      </c>
      <c r="M56" s="20">
        <f t="shared" si="36"/>
        <v>41.199999999999989</v>
      </c>
      <c r="N56" s="20">
        <f t="shared" si="36"/>
        <v>41.599999999999987</v>
      </c>
      <c r="O56" s="7">
        <v>42</v>
      </c>
      <c r="P56" s="19">
        <f>(O56-E56)/(O$5-E$5)</f>
        <v>0.4</v>
      </c>
    </row>
    <row r="57" spans="2:17" x14ac:dyDescent="0.2">
      <c r="B57" s="9" t="s">
        <v>72</v>
      </c>
      <c r="C57" s="7" t="s">
        <v>69</v>
      </c>
      <c r="E57" s="13">
        <f>365*E58</f>
        <v>10110.5</v>
      </c>
      <c r="F57" s="13">
        <f t="shared" ref="F57:O57" si="37">365*F58</f>
        <v>11096</v>
      </c>
      <c r="G57" s="13">
        <f t="shared" si="37"/>
        <v>12081.499999999998</v>
      </c>
      <c r="H57" s="13">
        <f t="shared" si="37"/>
        <v>13066.999999999998</v>
      </c>
      <c r="I57" s="13">
        <f t="shared" si="37"/>
        <v>13298.166666666666</v>
      </c>
      <c r="J57" s="13">
        <f t="shared" si="37"/>
        <v>13529.333333333334</v>
      </c>
      <c r="K57" s="13">
        <f t="shared" si="37"/>
        <v>13760.500000000002</v>
      </c>
      <c r="L57" s="13">
        <f t="shared" si="37"/>
        <v>14235</v>
      </c>
      <c r="M57" s="13">
        <f t="shared" si="37"/>
        <v>14709.499999999998</v>
      </c>
      <c r="N57" s="13">
        <f t="shared" si="37"/>
        <v>15184</v>
      </c>
      <c r="O57" s="13">
        <f t="shared" si="37"/>
        <v>15658.5</v>
      </c>
    </row>
    <row r="58" spans="2:17" x14ac:dyDescent="0.2">
      <c r="B58" s="7"/>
      <c r="C58" s="7" t="s">
        <v>79</v>
      </c>
      <c r="E58" s="20">
        <v>27.7</v>
      </c>
      <c r="F58" s="20">
        <v>30.4</v>
      </c>
      <c r="G58" s="20">
        <v>33.099999999999994</v>
      </c>
      <c r="H58" s="20">
        <v>35.799999999999997</v>
      </c>
      <c r="I58" s="20">
        <v>36.43333333333333</v>
      </c>
      <c r="J58" s="20">
        <v>37.06666666666667</v>
      </c>
      <c r="K58" s="20">
        <v>37.700000000000003</v>
      </c>
      <c r="L58" s="20">
        <v>39</v>
      </c>
      <c r="M58" s="20">
        <v>40.299999999999997</v>
      </c>
      <c r="N58" s="20">
        <v>41.6</v>
      </c>
      <c r="O58" s="20">
        <v>42.9</v>
      </c>
    </row>
    <row r="59" spans="2:17" x14ac:dyDescent="0.2">
      <c r="C59" s="9" t="s">
        <v>89</v>
      </c>
      <c r="E59" s="13">
        <f>BEN!M62</f>
        <v>3509</v>
      </c>
      <c r="F59" s="13">
        <f>F55*F60</f>
        <v>4292.7058354114715</v>
      </c>
      <c r="G59" s="13">
        <f t="shared" ref="G59:O59" si="38">G55*G60</f>
        <v>3717.7898753117202</v>
      </c>
      <c r="H59" s="13">
        <f t="shared" si="38"/>
        <v>3130.0980049875307</v>
      </c>
      <c r="I59" s="13">
        <f t="shared" si="38"/>
        <v>2529.6302244389026</v>
      </c>
      <c r="J59" s="13">
        <f t="shared" si="38"/>
        <v>1916.386533665835</v>
      </c>
      <c r="K59" s="13">
        <f t="shared" si="38"/>
        <v>1290.3669326683291</v>
      </c>
      <c r="L59" s="13">
        <f t="shared" si="38"/>
        <v>651.57142144638397</v>
      </c>
      <c r="M59" s="13">
        <f t="shared" si="38"/>
        <v>0</v>
      </c>
      <c r="N59" s="13">
        <f t="shared" si="38"/>
        <v>0</v>
      </c>
      <c r="O59" s="13">
        <f t="shared" si="38"/>
        <v>0</v>
      </c>
    </row>
    <row r="60" spans="2:17" ht="15" x14ac:dyDescent="0.2">
      <c r="C60" s="9" t="s">
        <v>90</v>
      </c>
      <c r="E60" s="17">
        <f>BEN!M62/BEN!M61</f>
        <v>0.35002493765586035</v>
      </c>
      <c r="F60" s="17">
        <f t="shared" ref="F60:L60" si="39">$E60+(F5-$E5)*($M60-$E60)/($M5-$E5)</f>
        <v>0.3062718204488778</v>
      </c>
      <c r="G60" s="17">
        <f t="shared" si="39"/>
        <v>0.26251870324189525</v>
      </c>
      <c r="H60" s="17">
        <f t="shared" si="39"/>
        <v>0.21876558603491272</v>
      </c>
      <c r="I60" s="17">
        <f t="shared" si="39"/>
        <v>0.17501246882793017</v>
      </c>
      <c r="J60" s="17">
        <f t="shared" si="39"/>
        <v>0.13125935162094762</v>
      </c>
      <c r="K60" s="17">
        <f t="shared" si="39"/>
        <v>8.75062344139651E-2</v>
      </c>
      <c r="L60" s="17">
        <f t="shared" si="39"/>
        <v>4.375311720698255E-2</v>
      </c>
      <c r="M60" s="17">
        <v>0</v>
      </c>
      <c r="N60" s="17">
        <f>$M60</f>
        <v>0</v>
      </c>
      <c r="O60" s="17">
        <f>$M60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0C7EF-3A9D-41C5-A0C5-9F66A63C160E}">
  <dimension ref="B2:P32"/>
  <sheetViews>
    <sheetView workbookViewId="0">
      <selection activeCell="E32" sqref="E32"/>
    </sheetView>
  </sheetViews>
  <sheetFormatPr baseColWidth="10" defaultColWidth="8.83203125" defaultRowHeight="12" x14ac:dyDescent="0.2"/>
  <cols>
    <col min="1" max="3" width="8.83203125" style="7"/>
    <col min="4" max="4" width="7.1640625" style="13" customWidth="1"/>
    <col min="5" max="16" width="8.83203125" style="13"/>
    <col min="17" max="16384" width="8.83203125" style="7"/>
  </cols>
  <sheetData>
    <row r="2" spans="2:16" x14ac:dyDescent="0.2">
      <c r="B2" s="7" t="s">
        <v>65</v>
      </c>
    </row>
    <row r="3" spans="2:16" x14ac:dyDescent="0.2">
      <c r="B3" s="7" t="s">
        <v>91</v>
      </c>
    </row>
    <row r="5" spans="2:16" x14ac:dyDescent="0.2">
      <c r="C5" s="7" t="s">
        <v>69</v>
      </c>
      <c r="D5" s="20">
        <v>2021</v>
      </c>
      <c r="E5" s="20">
        <f>1+D5</f>
        <v>2022</v>
      </c>
      <c r="F5" s="20">
        <f t="shared" ref="F5:O5" si="0">1+E5</f>
        <v>2023</v>
      </c>
      <c r="G5" s="20">
        <f t="shared" si="0"/>
        <v>2024</v>
      </c>
      <c r="H5" s="20">
        <f t="shared" si="0"/>
        <v>2025</v>
      </c>
      <c r="I5" s="20">
        <f t="shared" si="0"/>
        <v>2026</v>
      </c>
      <c r="J5" s="20">
        <f t="shared" si="0"/>
        <v>2027</v>
      </c>
      <c r="K5" s="20">
        <f t="shared" si="0"/>
        <v>2028</v>
      </c>
      <c r="L5" s="20">
        <f t="shared" si="0"/>
        <v>2029</v>
      </c>
      <c r="M5" s="20">
        <f t="shared" si="0"/>
        <v>2030</v>
      </c>
      <c r="N5" s="20">
        <f t="shared" si="0"/>
        <v>2031</v>
      </c>
      <c r="O5" s="20">
        <f t="shared" si="0"/>
        <v>2032</v>
      </c>
      <c r="P5" s="20"/>
    </row>
    <row r="6" spans="2:16" x14ac:dyDescent="0.2">
      <c r="B6" s="22" t="s">
        <v>92</v>
      </c>
      <c r="C6" s="9" t="s">
        <v>72</v>
      </c>
      <c r="D6" s="13">
        <f>BEN!L35</f>
        <v>29898</v>
      </c>
      <c r="E6" s="13">
        <f>BEN!M35</f>
        <v>32485</v>
      </c>
      <c r="F6" s="13">
        <f t="shared" ref="F6:O6" si="1">F$9*F10</f>
        <v>33074.140946021398</v>
      </c>
      <c r="G6" s="13">
        <f t="shared" si="1"/>
        <v>34954.927825333871</v>
      </c>
      <c r="H6" s="13">
        <f t="shared" si="1"/>
        <v>35771.332749796755</v>
      </c>
      <c r="I6" s="13">
        <f t="shared" si="1"/>
        <v>37112.682514851156</v>
      </c>
      <c r="J6" s="13">
        <f t="shared" si="1"/>
        <v>39146.632006673201</v>
      </c>
      <c r="K6" s="13">
        <f t="shared" si="1"/>
        <v>40227.565127971444</v>
      </c>
      <c r="L6" s="13">
        <f t="shared" si="1"/>
        <v>42105.155104875208</v>
      </c>
      <c r="M6" s="13">
        <f t="shared" si="1"/>
        <v>43468.681091565755</v>
      </c>
      <c r="N6" s="13">
        <f t="shared" si="1"/>
        <v>45762.784991617686</v>
      </c>
      <c r="O6" s="13">
        <f t="shared" si="1"/>
        <v>47146.999780717277</v>
      </c>
    </row>
    <row r="7" spans="2:16" x14ac:dyDescent="0.2">
      <c r="B7" s="9"/>
      <c r="C7" s="9" t="s">
        <v>74</v>
      </c>
      <c r="D7" s="13">
        <f>BEN!L36</f>
        <v>432</v>
      </c>
      <c r="E7" s="13">
        <f>BEN!M36</f>
        <v>99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</row>
    <row r="8" spans="2:16" x14ac:dyDescent="0.2">
      <c r="B8" s="9"/>
      <c r="C8" s="9" t="s">
        <v>75</v>
      </c>
      <c r="D8" s="13">
        <f>BEN!L37</f>
        <v>1868</v>
      </c>
      <c r="E8" s="13">
        <f>BEN!M37</f>
        <v>2358</v>
      </c>
      <c r="F8" s="13">
        <f>F6-F9</f>
        <v>-742.74405397859664</v>
      </c>
      <c r="G8" s="13">
        <f t="shared" ref="G8:O8" si="2">G6-G9</f>
        <v>-248.44945966612431</v>
      </c>
      <c r="H8" s="13">
        <f t="shared" si="2"/>
        <v>-875.383003888237</v>
      </c>
      <c r="I8" s="13">
        <f t="shared" si="2"/>
        <v>-1036.5485847349191</v>
      </c>
      <c r="J8" s="13">
        <f t="shared" si="2"/>
        <v>-566.71756799590366</v>
      </c>
      <c r="K8" s="13">
        <f t="shared" si="2"/>
        <v>-1114.031779259094</v>
      </c>
      <c r="L8" s="13">
        <f t="shared" si="2"/>
        <v>-931.44727555177815</v>
      </c>
      <c r="M8" s="13">
        <f t="shared" si="2"/>
        <v>-1332.4219864587358</v>
      </c>
      <c r="N8" s="13">
        <f t="shared" si="2"/>
        <v>-875.16331260580773</v>
      </c>
      <c r="O8" s="13">
        <f t="shared" si="2"/>
        <v>-1403.1044039793778</v>
      </c>
    </row>
    <row r="9" spans="2:16" x14ac:dyDescent="0.2">
      <c r="C9" s="9" t="s">
        <v>93</v>
      </c>
      <c r="D9" s="13">
        <f>BEN!L35</f>
        <v>29898</v>
      </c>
      <c r="E9" s="13">
        <f>BEN!M35</f>
        <v>32485</v>
      </c>
      <c r="F9" s="13">
        <f>E9*(1+$D$10)</f>
        <v>33816.884999999995</v>
      </c>
      <c r="G9" s="13">
        <f t="shared" ref="G9:O9" si="3">F9*(1+$D$10)</f>
        <v>35203.377284999995</v>
      </c>
      <c r="H9" s="13">
        <f t="shared" si="3"/>
        <v>36646.715753684992</v>
      </c>
      <c r="I9" s="13">
        <f t="shared" si="3"/>
        <v>38149.231099586075</v>
      </c>
      <c r="J9" s="13">
        <f t="shared" si="3"/>
        <v>39713.349574669104</v>
      </c>
      <c r="K9" s="13">
        <f t="shared" si="3"/>
        <v>41341.596907230538</v>
      </c>
      <c r="L9" s="13">
        <f t="shared" si="3"/>
        <v>43036.602380426986</v>
      </c>
      <c r="M9" s="13">
        <f t="shared" si="3"/>
        <v>44801.103078024491</v>
      </c>
      <c r="N9" s="13">
        <f t="shared" si="3"/>
        <v>46637.948304223493</v>
      </c>
      <c r="O9" s="13">
        <f t="shared" si="3"/>
        <v>48550.104184696655</v>
      </c>
    </row>
    <row r="10" spans="2:16" ht="15" x14ac:dyDescent="0.2">
      <c r="C10" s="9"/>
      <c r="D10" s="23">
        <f>4.1%</f>
        <v>4.0999999999999995E-2</v>
      </c>
      <c r="E10" s="23">
        <f>E6/E$9</f>
        <v>1</v>
      </c>
      <c r="F10" s="23">
        <f t="shared" ref="F10:O10" si="4">$E10*(F11/$E11)</f>
        <v>0.97803629595160535</v>
      </c>
      <c r="G10" s="23">
        <f t="shared" si="4"/>
        <v>0.99294245385450586</v>
      </c>
      <c r="H10" s="23">
        <f t="shared" si="4"/>
        <v>0.976112920738328</v>
      </c>
      <c r="I10" s="23">
        <f t="shared" si="4"/>
        <v>0.9728291093985858</v>
      </c>
      <c r="J10" s="23">
        <f t="shared" si="4"/>
        <v>0.98572979680471529</v>
      </c>
      <c r="K10" s="23">
        <f t="shared" si="4"/>
        <v>0.9730530056262956</v>
      </c>
      <c r="L10" s="23">
        <f t="shared" si="4"/>
        <v>0.97835685848715148</v>
      </c>
      <c r="M10" s="23">
        <f t="shared" si="4"/>
        <v>0.97025917008922258</v>
      </c>
      <c r="N10" s="23">
        <f t="shared" si="4"/>
        <v>0.98123495255629511</v>
      </c>
      <c r="O10" s="23">
        <f t="shared" si="4"/>
        <v>0.97109986832074302</v>
      </c>
    </row>
    <row r="11" spans="2:16" ht="15" x14ac:dyDescent="0.2">
      <c r="C11" s="9"/>
      <c r="D11" s="24"/>
      <c r="E11" s="23">
        <f t="shared" ref="E11:O11" si="5">(E13+E14)/E$12</f>
        <v>0.99032258064516132</v>
      </c>
      <c r="F11" s="23">
        <f t="shared" si="5"/>
        <v>0.96857142857142853</v>
      </c>
      <c r="G11" s="23">
        <f t="shared" si="5"/>
        <v>0.98333333333333328</v>
      </c>
      <c r="H11" s="23">
        <f t="shared" si="5"/>
        <v>0.96666666666666679</v>
      </c>
      <c r="I11" s="23">
        <f t="shared" si="5"/>
        <v>0.96341463414634143</v>
      </c>
      <c r="J11" s="23">
        <f t="shared" si="5"/>
        <v>0.97619047619047616</v>
      </c>
      <c r="K11" s="23">
        <f t="shared" si="5"/>
        <v>0.96363636363636374</v>
      </c>
      <c r="L11" s="23">
        <f t="shared" si="5"/>
        <v>0.9688888888888888</v>
      </c>
      <c r="M11" s="23">
        <f t="shared" si="5"/>
        <v>0.96086956521739142</v>
      </c>
      <c r="N11" s="23">
        <f t="shared" si="5"/>
        <v>0.97173913043478266</v>
      </c>
      <c r="O11" s="23">
        <f t="shared" si="5"/>
        <v>0.96170212765957452</v>
      </c>
    </row>
    <row r="12" spans="2:16" ht="15" x14ac:dyDescent="0.2">
      <c r="D12" s="17" t="s">
        <v>94</v>
      </c>
      <c r="E12" s="10">
        <v>31</v>
      </c>
      <c r="F12" s="10">
        <v>35</v>
      </c>
      <c r="G12" s="10">
        <v>36</v>
      </c>
      <c r="H12" s="10">
        <v>39</v>
      </c>
      <c r="I12" s="10">
        <v>41</v>
      </c>
      <c r="J12" s="10">
        <v>42</v>
      </c>
      <c r="K12" s="10">
        <v>44</v>
      </c>
      <c r="L12" s="10">
        <v>45</v>
      </c>
      <c r="M12" s="10">
        <v>46</v>
      </c>
      <c r="N12" s="10">
        <v>46</v>
      </c>
      <c r="O12" s="10">
        <v>47</v>
      </c>
    </row>
    <row r="13" spans="2:16" x14ac:dyDescent="0.2">
      <c r="D13" s="13" t="s">
        <v>95</v>
      </c>
      <c r="E13" s="10">
        <v>26.4</v>
      </c>
      <c r="F13" s="10">
        <v>29</v>
      </c>
      <c r="G13" s="10">
        <v>30</v>
      </c>
      <c r="H13" s="10">
        <v>31.2</v>
      </c>
      <c r="I13" s="10">
        <v>32.200000000000003</v>
      </c>
      <c r="J13" s="10">
        <v>33.1</v>
      </c>
      <c r="K13" s="10">
        <v>34.1</v>
      </c>
      <c r="L13" s="10">
        <v>34.9</v>
      </c>
      <c r="M13" s="10">
        <v>35.200000000000003</v>
      </c>
      <c r="N13" s="10">
        <v>35.6</v>
      </c>
      <c r="O13" s="10">
        <v>36.1</v>
      </c>
    </row>
    <row r="14" spans="2:16" x14ac:dyDescent="0.2">
      <c r="D14" s="13" t="s">
        <v>96</v>
      </c>
      <c r="E14" s="7">
        <v>4.3</v>
      </c>
      <c r="F14" s="7">
        <v>4.9000000000000004</v>
      </c>
      <c r="G14" s="7">
        <v>5.4</v>
      </c>
      <c r="H14" s="7">
        <v>6.5</v>
      </c>
      <c r="I14" s="10">
        <v>7.3</v>
      </c>
      <c r="J14" s="10">
        <v>7.9</v>
      </c>
      <c r="K14" s="10">
        <v>8.3000000000000007</v>
      </c>
      <c r="L14" s="10">
        <v>8.6999999999999993</v>
      </c>
      <c r="M14" s="10">
        <v>9</v>
      </c>
      <c r="N14" s="10">
        <v>9.1</v>
      </c>
      <c r="O14" s="10">
        <v>9.1</v>
      </c>
    </row>
    <row r="15" spans="2:16" x14ac:dyDescent="0.2">
      <c r="D15" s="13" t="s">
        <v>83</v>
      </c>
      <c r="E15" s="10">
        <f>E12-(E13+E14)</f>
        <v>0.30000000000000071</v>
      </c>
      <c r="F15" s="10">
        <f t="shared" ref="F15:O15" si="6">F12-(F13+F14)</f>
        <v>1.1000000000000014</v>
      </c>
      <c r="G15" s="10">
        <f t="shared" si="6"/>
        <v>0.60000000000000142</v>
      </c>
      <c r="H15" s="10">
        <f t="shared" si="6"/>
        <v>1.2999999999999972</v>
      </c>
      <c r="I15" s="10">
        <f t="shared" si="6"/>
        <v>1.5</v>
      </c>
      <c r="J15" s="10">
        <f t="shared" si="6"/>
        <v>1</v>
      </c>
      <c r="K15" s="10">
        <f t="shared" si="6"/>
        <v>1.5999999999999943</v>
      </c>
      <c r="L15" s="10">
        <f t="shared" si="6"/>
        <v>1.4000000000000057</v>
      </c>
      <c r="M15" s="10">
        <f t="shared" si="6"/>
        <v>1.7999999999999972</v>
      </c>
      <c r="N15" s="10">
        <f t="shared" si="6"/>
        <v>1.2999999999999972</v>
      </c>
      <c r="O15" s="10">
        <f t="shared" si="6"/>
        <v>1.7999999999999972</v>
      </c>
    </row>
    <row r="16" spans="2:16" x14ac:dyDescent="0.2">
      <c r="D16" s="25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2:16" x14ac:dyDescent="0.2">
      <c r="C17" s="7" t="s">
        <v>97</v>
      </c>
      <c r="D17" s="20">
        <v>2021</v>
      </c>
      <c r="E17" s="20">
        <f>1+D17</f>
        <v>2022</v>
      </c>
      <c r="F17" s="20">
        <f t="shared" ref="F17:O17" si="7">1+E17</f>
        <v>2023</v>
      </c>
      <c r="G17" s="20">
        <f t="shared" si="7"/>
        <v>2024</v>
      </c>
      <c r="H17" s="20">
        <f t="shared" si="7"/>
        <v>2025</v>
      </c>
      <c r="I17" s="20">
        <f t="shared" si="7"/>
        <v>2026</v>
      </c>
      <c r="J17" s="20">
        <f t="shared" si="7"/>
        <v>2027</v>
      </c>
      <c r="K17" s="20">
        <f t="shared" si="7"/>
        <v>2028</v>
      </c>
      <c r="L17" s="20">
        <f t="shared" si="7"/>
        <v>2029</v>
      </c>
      <c r="M17" s="20">
        <f t="shared" si="7"/>
        <v>2030</v>
      </c>
      <c r="N17" s="20">
        <f t="shared" si="7"/>
        <v>2031</v>
      </c>
      <c r="O17" s="20">
        <f t="shared" si="7"/>
        <v>2032</v>
      </c>
    </row>
    <row r="18" spans="2:16" x14ac:dyDescent="0.2">
      <c r="B18" s="26" t="s">
        <v>15</v>
      </c>
      <c r="D18" s="13">
        <f>BEN!D19</f>
        <v>249890</v>
      </c>
      <c r="E18" s="13">
        <f>BEN!E19</f>
        <v>249326</v>
      </c>
      <c r="F18" s="13">
        <f>F19/$P$19</f>
        <v>258651.18819250978</v>
      </c>
      <c r="G18" s="13">
        <f t="shared" ref="G18:O18" si="8">G19/$P$19</f>
        <v>274209.15439957794</v>
      </c>
      <c r="H18" s="13">
        <f t="shared" si="8"/>
        <v>289767.12060664623</v>
      </c>
      <c r="I18" s="13">
        <f t="shared" si="8"/>
        <v>305325.08681371441</v>
      </c>
      <c r="J18" s="13">
        <f t="shared" si="8"/>
        <v>320883.05302078271</v>
      </c>
      <c r="K18" s="13">
        <f t="shared" si="8"/>
        <v>336441.01922785095</v>
      </c>
      <c r="L18" s="13">
        <f t="shared" si="8"/>
        <v>351998.98543491919</v>
      </c>
      <c r="M18" s="13">
        <f t="shared" si="8"/>
        <v>367556.95164198737</v>
      </c>
      <c r="N18" s="13">
        <f t="shared" si="8"/>
        <v>383114.91784905561</v>
      </c>
      <c r="O18" s="13">
        <f t="shared" si="8"/>
        <v>398672.88405612396</v>
      </c>
    </row>
    <row r="19" spans="2:16" ht="15" x14ac:dyDescent="0.2">
      <c r="B19" s="26" t="s">
        <v>17</v>
      </c>
      <c r="D19" s="13">
        <f>BEN!L23</f>
        <v>159922</v>
      </c>
      <c r="E19" s="13">
        <f>BEN!M23</f>
        <v>157053</v>
      </c>
      <c r="F19" s="13">
        <f>E19*F21/E21</f>
        <v>167104.39200000005</v>
      </c>
      <c r="G19" s="13">
        <f t="shared" ref="G19:O19" si="9">F19*G21/F21</f>
        <v>177155.78399999999</v>
      </c>
      <c r="H19" s="13">
        <f t="shared" si="9"/>
        <v>187207.17600000001</v>
      </c>
      <c r="I19" s="13">
        <f t="shared" si="9"/>
        <v>197258.56799999997</v>
      </c>
      <c r="J19" s="13">
        <f t="shared" si="9"/>
        <v>207309.96</v>
      </c>
      <c r="K19" s="13">
        <f t="shared" si="9"/>
        <v>217361.35199999998</v>
      </c>
      <c r="L19" s="13">
        <f t="shared" si="9"/>
        <v>227412.74399999998</v>
      </c>
      <c r="M19" s="13">
        <f t="shared" si="9"/>
        <v>237464.13599999994</v>
      </c>
      <c r="N19" s="13">
        <f t="shared" si="9"/>
        <v>247515.52799999993</v>
      </c>
      <c r="O19" s="13">
        <f t="shared" si="9"/>
        <v>257566.91999999998</v>
      </c>
      <c r="P19" s="17">
        <f>BEN!C25</f>
        <v>0.64606079395091365</v>
      </c>
    </row>
    <row r="20" spans="2:16" ht="15" x14ac:dyDescent="0.2">
      <c r="D20" s="17"/>
      <c r="E20" s="17"/>
    </row>
    <row r="21" spans="2:16" x14ac:dyDescent="0.2">
      <c r="C21" s="7" t="s">
        <v>97</v>
      </c>
      <c r="E21" s="13">
        <f>8760*E22/$B$23</f>
        <v>153274.42016324084</v>
      </c>
      <c r="F21" s="13">
        <f t="shared" ref="F21:O21" si="10">8760*F22/$B$23</f>
        <v>163083.98305368828</v>
      </c>
      <c r="G21" s="13">
        <f t="shared" si="10"/>
        <v>172893.54594413564</v>
      </c>
      <c r="H21" s="13">
        <f t="shared" si="10"/>
        <v>182703.10883458308</v>
      </c>
      <c r="I21" s="13">
        <f t="shared" si="10"/>
        <v>192512.67172503046</v>
      </c>
      <c r="J21" s="13">
        <f t="shared" si="10"/>
        <v>202322.23461547791</v>
      </c>
      <c r="K21" s="13">
        <f t="shared" si="10"/>
        <v>212131.79750592532</v>
      </c>
      <c r="L21" s="13">
        <f t="shared" si="10"/>
        <v>221941.36039637274</v>
      </c>
      <c r="M21" s="13">
        <f t="shared" si="10"/>
        <v>231750.92328682012</v>
      </c>
      <c r="N21" s="13">
        <f t="shared" si="10"/>
        <v>241560.48617726751</v>
      </c>
      <c r="O21" s="13">
        <f t="shared" si="10"/>
        <v>251370.04906771498</v>
      </c>
    </row>
    <row r="22" spans="2:16" ht="15" x14ac:dyDescent="0.2">
      <c r="C22" s="7" t="s">
        <v>98</v>
      </c>
      <c r="E22" s="27">
        <v>2.5</v>
      </c>
      <c r="F22" s="27">
        <f t="shared" ref="F22:N22" si="11">$E22+(F$17-$E$17)*$P$22</f>
        <v>2.66</v>
      </c>
      <c r="G22" s="27">
        <f t="shared" si="11"/>
        <v>2.82</v>
      </c>
      <c r="H22" s="27">
        <f t="shared" si="11"/>
        <v>2.98</v>
      </c>
      <c r="I22" s="27">
        <f t="shared" si="11"/>
        <v>3.1399999999999997</v>
      </c>
      <c r="J22" s="27">
        <f t="shared" si="11"/>
        <v>3.3</v>
      </c>
      <c r="K22" s="27">
        <f t="shared" si="11"/>
        <v>3.46</v>
      </c>
      <c r="L22" s="27">
        <f t="shared" si="11"/>
        <v>3.62</v>
      </c>
      <c r="M22" s="27">
        <f t="shared" si="11"/>
        <v>3.78</v>
      </c>
      <c r="N22" s="27">
        <f t="shared" si="11"/>
        <v>3.9399999999999995</v>
      </c>
      <c r="O22" s="27">
        <v>4.0999999999999996</v>
      </c>
      <c r="P22" s="25">
        <f>(O22-E22)/(O17-E17)</f>
        <v>0.15999999999999998</v>
      </c>
    </row>
    <row r="23" spans="2:16" x14ac:dyDescent="0.2">
      <c r="B23" s="21">
        <f>B24/B25/1000</f>
        <v>0.14288098416341088</v>
      </c>
      <c r="C23" s="7" t="s">
        <v>99</v>
      </c>
      <c r="E23" s="7" t="s">
        <v>100</v>
      </c>
    </row>
    <row r="24" spans="2:16" x14ac:dyDescent="0.2">
      <c r="B24" s="7">
        <v>40</v>
      </c>
      <c r="C24" s="7" t="s">
        <v>101</v>
      </c>
      <c r="E24" s="13" t="s">
        <v>102</v>
      </c>
    </row>
    <row r="25" spans="2:16" x14ac:dyDescent="0.2">
      <c r="B25" s="28">
        <v>0.27995327883696958</v>
      </c>
      <c r="C25" s="29" t="s">
        <v>103</v>
      </c>
      <c r="E25" s="30" t="s">
        <v>104</v>
      </c>
    </row>
    <row r="26" spans="2:16" x14ac:dyDescent="0.2">
      <c r="B26" s="28"/>
      <c r="C26" s="29"/>
      <c r="E26" s="30"/>
    </row>
    <row r="27" spans="2:16" x14ac:dyDescent="0.2">
      <c r="B27" s="28"/>
      <c r="C27" s="29"/>
      <c r="E27" s="30"/>
    </row>
    <row r="28" spans="2:16" x14ac:dyDescent="0.2">
      <c r="C28" s="7" t="s">
        <v>69</v>
      </c>
      <c r="D28" s="20">
        <v>2021</v>
      </c>
      <c r="E28" s="20">
        <f>1+D28</f>
        <v>2022</v>
      </c>
      <c r="F28" s="20">
        <f t="shared" ref="F28:O28" si="12">1+E28</f>
        <v>2023</v>
      </c>
      <c r="G28" s="20">
        <f t="shared" si="12"/>
        <v>2024</v>
      </c>
      <c r="H28" s="20">
        <f t="shared" si="12"/>
        <v>2025</v>
      </c>
      <c r="I28" s="20">
        <f t="shared" si="12"/>
        <v>2026</v>
      </c>
      <c r="J28" s="20">
        <f t="shared" si="12"/>
        <v>2027</v>
      </c>
      <c r="K28" s="20">
        <f t="shared" si="12"/>
        <v>2028</v>
      </c>
      <c r="L28" s="20">
        <f t="shared" si="12"/>
        <v>2029</v>
      </c>
      <c r="M28" s="20">
        <f t="shared" si="12"/>
        <v>2030</v>
      </c>
      <c r="N28" s="20">
        <f t="shared" si="12"/>
        <v>2031</v>
      </c>
      <c r="O28" s="20">
        <f t="shared" si="12"/>
        <v>2032</v>
      </c>
    </row>
    <row r="29" spans="2:16" x14ac:dyDescent="0.2">
      <c r="B29" s="26" t="s">
        <v>105</v>
      </c>
      <c r="D29" s="13">
        <f>BEN!L39</f>
        <v>6766</v>
      </c>
      <c r="E29" s="13">
        <f>BEN!M39</f>
        <v>6766</v>
      </c>
      <c r="F29" s="13">
        <f t="shared" ref="F29:O29" si="13">F30*F31</f>
        <v>7336.2525000000005</v>
      </c>
      <c r="G29" s="13">
        <f t="shared" si="13"/>
        <v>8731.9225000000024</v>
      </c>
      <c r="H29" s="13">
        <f t="shared" si="13"/>
        <v>9540.9468750000015</v>
      </c>
      <c r="I29" s="13">
        <f t="shared" si="13"/>
        <v>10374.680000000002</v>
      </c>
      <c r="J29" s="13">
        <f t="shared" si="13"/>
        <v>11233.121875000006</v>
      </c>
      <c r="K29" s="13">
        <f t="shared" si="13"/>
        <v>12116.272500000008</v>
      </c>
      <c r="L29" s="13">
        <f t="shared" si="13"/>
        <v>13024.131875000008</v>
      </c>
      <c r="M29" s="13">
        <f t="shared" si="13"/>
        <v>13956.70000000001</v>
      </c>
      <c r="N29" s="13">
        <f t="shared" si="13"/>
        <v>14203.787500000013</v>
      </c>
      <c r="O29" s="13">
        <f t="shared" si="13"/>
        <v>14450.875000000004</v>
      </c>
    </row>
    <row r="30" spans="2:16" x14ac:dyDescent="0.2">
      <c r="C30" s="7" t="s">
        <v>85</v>
      </c>
      <c r="D30" s="13">
        <f>BEN!L31+BEN!L32+BEN!L33</f>
        <v>57880</v>
      </c>
      <c r="E30" s="13">
        <f>BEN!M31+BEN!M32+BEN!M33</f>
        <v>59900</v>
      </c>
      <c r="F30" s="13">
        <f>'PDE-O&amp;G'!F32</f>
        <v>61135.437500000007</v>
      </c>
      <c r="G30" s="13">
        <f>'PDE-O&amp;G'!G32</f>
        <v>62370.875000000007</v>
      </c>
      <c r="H30" s="13">
        <f>'PDE-O&amp;G'!H32</f>
        <v>63606.312500000015</v>
      </c>
      <c r="I30" s="13">
        <f>'PDE-O&amp;G'!I32</f>
        <v>64841.750000000015</v>
      </c>
      <c r="J30" s="13">
        <f>'PDE-O&amp;G'!J32</f>
        <v>66077.187500000029</v>
      </c>
      <c r="K30" s="13">
        <f>'PDE-O&amp;G'!K32</f>
        <v>67312.625000000044</v>
      </c>
      <c r="L30" s="13">
        <f>'PDE-O&amp;G'!L32</f>
        <v>68548.062500000044</v>
      </c>
      <c r="M30" s="13">
        <f>'PDE-O&amp;G'!M32</f>
        <v>69783.500000000044</v>
      </c>
      <c r="N30" s="13">
        <f>'PDE-O&amp;G'!N32</f>
        <v>71018.937500000058</v>
      </c>
      <c r="O30" s="13">
        <f>'PDE-O&amp;G'!O32</f>
        <v>72254.375000000015</v>
      </c>
    </row>
    <row r="31" spans="2:16" ht="15" x14ac:dyDescent="0.2">
      <c r="C31" s="7" t="s">
        <v>106</v>
      </c>
      <c r="D31" s="17">
        <f>D29/D30</f>
        <v>0.11689702833448515</v>
      </c>
      <c r="E31" s="17">
        <f>E29/E30</f>
        <v>0.11295492487479132</v>
      </c>
      <c r="F31" s="17">
        <v>0.12</v>
      </c>
      <c r="G31" s="17">
        <v>0.14000000000000001</v>
      </c>
      <c r="H31" s="17">
        <v>0.15</v>
      </c>
      <c r="I31" s="17">
        <f>$H31+(I28-$H28)*($M$31-$H$31)/($M$28-$H$28)</f>
        <v>0.16</v>
      </c>
      <c r="J31" s="17">
        <f>$H31+(J28-$H28)*($M$31-$H$31)/($M$28-$H$28)</f>
        <v>0.17</v>
      </c>
      <c r="K31" s="17">
        <f>$H31+(K28-$H28)*($M$31-$H$31)/($M$28-$H$28)</f>
        <v>0.18</v>
      </c>
      <c r="L31" s="17">
        <f>$H31+(L28-$H28)*($M$31-$H$31)/($M$28-$H$28)</f>
        <v>0.19</v>
      </c>
      <c r="M31" s="17">
        <v>0.2</v>
      </c>
      <c r="N31" s="17">
        <f>$M31</f>
        <v>0.2</v>
      </c>
      <c r="O31" s="17">
        <f>$M31</f>
        <v>0.2</v>
      </c>
    </row>
    <row r="32" spans="2:16" x14ac:dyDescent="0.2">
      <c r="E32" s="13" t="s">
        <v>107</v>
      </c>
    </row>
  </sheetData>
  <hyperlinks>
    <hyperlink ref="E25" r:id="rId1" xr:uid="{321605A3-34A3-477E-9542-936F710FE965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FAA1-B348-4587-B120-01D5BFC1F0ED}">
  <dimension ref="A1:BI66"/>
  <sheetViews>
    <sheetView zoomScale="84" zoomScaleNormal="115" workbookViewId="0">
      <selection activeCell="B4" sqref="B4"/>
    </sheetView>
  </sheetViews>
  <sheetFormatPr baseColWidth="10" defaultColWidth="8.83203125" defaultRowHeight="12" x14ac:dyDescent="0.2"/>
  <cols>
    <col min="1" max="1" width="19.6640625" style="13" customWidth="1"/>
    <col min="2" max="2" width="9.33203125" style="8" customWidth="1"/>
    <col min="3" max="3" width="8.83203125" style="9"/>
    <col min="4" max="9" width="8.83203125" style="10" customWidth="1"/>
    <col min="10" max="13" width="8.83203125" style="10"/>
    <col min="14" max="16384" width="8.83203125" style="7"/>
  </cols>
  <sheetData>
    <row r="1" spans="1:61" x14ac:dyDescent="0.2">
      <c r="A1" s="13" t="s">
        <v>108</v>
      </c>
    </row>
    <row r="3" spans="1:61" x14ac:dyDescent="0.2">
      <c r="D3" s="11">
        <v>2013</v>
      </c>
      <c r="E3" s="11">
        <v>2014</v>
      </c>
      <c r="F3" s="11">
        <v>2015</v>
      </c>
      <c r="G3" s="11">
        <v>2016</v>
      </c>
      <c r="H3" s="11">
        <v>2017</v>
      </c>
      <c r="I3" s="11">
        <v>2018</v>
      </c>
      <c r="J3" s="11">
        <v>2019</v>
      </c>
      <c r="K3" s="11">
        <v>2020</v>
      </c>
      <c r="L3" s="11">
        <v>2021</v>
      </c>
      <c r="M3" s="11">
        <v>2022</v>
      </c>
      <c r="N3" s="12">
        <f t="shared" ref="N3:W3" si="0">1+M3</f>
        <v>2023</v>
      </c>
      <c r="O3" s="12">
        <f t="shared" si="0"/>
        <v>2024</v>
      </c>
      <c r="P3" s="12">
        <f t="shared" si="0"/>
        <v>2025</v>
      </c>
      <c r="Q3" s="12">
        <f t="shared" si="0"/>
        <v>2026</v>
      </c>
      <c r="R3" s="12">
        <f t="shared" si="0"/>
        <v>2027</v>
      </c>
      <c r="S3" s="12">
        <f t="shared" si="0"/>
        <v>2028</v>
      </c>
      <c r="T3" s="12">
        <f t="shared" si="0"/>
        <v>2029</v>
      </c>
      <c r="U3" s="12">
        <f t="shared" si="0"/>
        <v>2030</v>
      </c>
      <c r="V3" s="12">
        <f t="shared" si="0"/>
        <v>2031</v>
      </c>
      <c r="W3" s="12">
        <f t="shared" si="0"/>
        <v>2032</v>
      </c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</row>
    <row r="4" spans="1:61" x14ac:dyDescent="0.2">
      <c r="A4" s="13" t="s">
        <v>109</v>
      </c>
      <c r="B4" s="8" t="s">
        <v>97</v>
      </c>
      <c r="C4" s="9" t="s">
        <v>110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</row>
    <row r="5" spans="1:61" x14ac:dyDescent="0.2">
      <c r="A5" s="15">
        <f>29.37*1000000/1000</f>
        <v>29370</v>
      </c>
      <c r="C5" s="9" t="s">
        <v>111</v>
      </c>
      <c r="D5" s="13">
        <v>10592</v>
      </c>
      <c r="E5" s="13">
        <v>10960</v>
      </c>
      <c r="F5" s="13">
        <v>10304</v>
      </c>
      <c r="G5" s="13">
        <v>10698</v>
      </c>
      <c r="H5" s="13">
        <v>11595</v>
      </c>
      <c r="I5" s="13">
        <v>11088</v>
      </c>
      <c r="J5" s="13">
        <v>10184</v>
      </c>
      <c r="K5" s="13">
        <v>9209</v>
      </c>
      <c r="L5" s="13">
        <v>10667</v>
      </c>
      <c r="M5" s="13">
        <v>10007</v>
      </c>
      <c r="N5" s="13">
        <f>AVERAGE(D5:M5)</f>
        <v>10530.4</v>
      </c>
      <c r="O5" s="13">
        <f>$N5</f>
        <v>10530.4</v>
      </c>
      <c r="P5" s="13">
        <f t="shared" ref="P5:W5" si="1">$N5</f>
        <v>10530.4</v>
      </c>
      <c r="Q5" s="13">
        <f t="shared" si="1"/>
        <v>10530.4</v>
      </c>
      <c r="R5" s="13">
        <f t="shared" si="1"/>
        <v>10530.4</v>
      </c>
      <c r="S5" s="13">
        <f t="shared" si="1"/>
        <v>10530.4</v>
      </c>
      <c r="T5" s="13">
        <f t="shared" si="1"/>
        <v>10530.4</v>
      </c>
      <c r="U5" s="13">
        <f t="shared" si="1"/>
        <v>10530.4</v>
      </c>
      <c r="V5" s="13">
        <f t="shared" si="1"/>
        <v>10530.4</v>
      </c>
      <c r="W5" s="13">
        <f t="shared" si="1"/>
        <v>10530.4</v>
      </c>
    </row>
    <row r="6" spans="1:61" x14ac:dyDescent="0.2">
      <c r="A6" s="31" t="s">
        <v>112</v>
      </c>
      <c r="C6" s="9" t="s">
        <v>113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</row>
    <row r="8" spans="1:61" x14ac:dyDescent="0.2">
      <c r="A8" s="13" t="s">
        <v>114</v>
      </c>
      <c r="B8" s="8" t="s">
        <v>78</v>
      </c>
      <c r="C8" s="9" t="s">
        <v>110</v>
      </c>
      <c r="D8" s="13">
        <f t="shared" ref="D8:M8" si="2">D12+D11</f>
        <v>22523</v>
      </c>
      <c r="E8" s="13">
        <f t="shared" si="2"/>
        <v>23911</v>
      </c>
      <c r="F8" s="13">
        <f t="shared" si="2"/>
        <v>24103</v>
      </c>
      <c r="G8" s="13">
        <f t="shared" si="2"/>
        <v>25307</v>
      </c>
      <c r="H8" s="13">
        <f t="shared" si="2"/>
        <v>28128</v>
      </c>
      <c r="I8" s="13">
        <f t="shared" si="2"/>
        <v>26454</v>
      </c>
      <c r="J8" s="13">
        <f t="shared" si="2"/>
        <v>26935</v>
      </c>
      <c r="K8" s="13">
        <f t="shared" si="2"/>
        <v>24936</v>
      </c>
      <c r="L8" s="13">
        <f t="shared" si="2"/>
        <v>25379</v>
      </c>
      <c r="M8" s="13">
        <f t="shared" si="2"/>
        <v>24314</v>
      </c>
      <c r="N8" s="13">
        <f>'PDE-O&amp;G'!F16</f>
        <v>26280</v>
      </c>
      <c r="O8" s="13">
        <f>'PDE-O&amp;G'!G16</f>
        <v>27375</v>
      </c>
      <c r="P8" s="13">
        <f>'PDE-O&amp;G'!H16</f>
        <v>27740</v>
      </c>
      <c r="Q8" s="13">
        <f>'PDE-O&amp;G'!I16</f>
        <v>28470</v>
      </c>
      <c r="R8" s="13">
        <f>'PDE-O&amp;G'!J16</f>
        <v>34675</v>
      </c>
      <c r="S8" s="13">
        <f>'PDE-O&amp;G'!K16</f>
        <v>40150</v>
      </c>
      <c r="T8" s="13">
        <f>'PDE-O&amp;G'!L16</f>
        <v>42340</v>
      </c>
      <c r="U8" s="13">
        <f>'PDE-O&amp;G'!M16</f>
        <v>44165</v>
      </c>
      <c r="V8" s="13">
        <f>'PDE-O&amp;G'!N16</f>
        <v>47085</v>
      </c>
      <c r="W8" s="13">
        <f>'PDE-O&amp;G'!O16</f>
        <v>48910</v>
      </c>
    </row>
    <row r="9" spans="1:61" x14ac:dyDescent="0.2">
      <c r="A9" s="15">
        <f>39.4*1000000/1000000</f>
        <v>39.4</v>
      </c>
      <c r="C9" s="9" t="s">
        <v>111</v>
      </c>
      <c r="D9" s="13">
        <v>16962</v>
      </c>
      <c r="E9" s="13">
        <v>19319</v>
      </c>
      <c r="F9" s="13">
        <v>18407</v>
      </c>
      <c r="G9" s="13">
        <v>11727</v>
      </c>
      <c r="H9" s="13">
        <v>10720</v>
      </c>
      <c r="I9" s="13">
        <v>10596</v>
      </c>
      <c r="J9" s="13">
        <v>9805</v>
      </c>
      <c r="K9" s="13">
        <v>9611</v>
      </c>
      <c r="L9" s="13">
        <v>16856</v>
      </c>
      <c r="M9" s="13">
        <v>8775</v>
      </c>
      <c r="N9" s="13">
        <f>'PDE-O&amp;G'!F18</f>
        <v>22630</v>
      </c>
      <c r="O9" s="13">
        <f>'PDE-O&amp;G'!G18</f>
        <v>27375</v>
      </c>
      <c r="P9" s="13">
        <f>'PDE-O&amp;G'!H18</f>
        <v>26645</v>
      </c>
      <c r="Q9" s="13">
        <f>'PDE-O&amp;G'!I18</f>
        <v>26280</v>
      </c>
      <c r="R9" s="13">
        <f>'PDE-O&amp;G'!J18</f>
        <v>23725</v>
      </c>
      <c r="S9" s="13">
        <f>'PDE-O&amp;G'!K18</f>
        <v>21900</v>
      </c>
      <c r="T9" s="13">
        <f>'PDE-O&amp;G'!L18</f>
        <v>19710</v>
      </c>
      <c r="U9" s="13">
        <f>'PDE-O&amp;G'!M18</f>
        <v>18980</v>
      </c>
      <c r="V9" s="13">
        <f>'PDE-O&amp;G'!N18</f>
        <v>17885</v>
      </c>
      <c r="W9" s="13">
        <f>'PDE-O&amp;G'!O18</f>
        <v>17520</v>
      </c>
    </row>
    <row r="10" spans="1:61" x14ac:dyDescent="0.2">
      <c r="A10" s="31" t="s">
        <v>115</v>
      </c>
      <c r="C10" s="9" t="s">
        <v>113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</row>
    <row r="11" spans="1:61" x14ac:dyDescent="0.2">
      <c r="C11" s="9" t="s">
        <v>116</v>
      </c>
      <c r="D11" s="13">
        <v>28174</v>
      </c>
      <c r="E11" s="13">
        <v>31894</v>
      </c>
      <c r="F11" s="13">
        <v>35128</v>
      </c>
      <c r="G11" s="13">
        <v>37887</v>
      </c>
      <c r="H11" s="13">
        <v>40103</v>
      </c>
      <c r="I11" s="13">
        <v>40858</v>
      </c>
      <c r="J11" s="13">
        <v>44724</v>
      </c>
      <c r="K11" s="13">
        <v>46639</v>
      </c>
      <c r="L11" s="13">
        <v>48819</v>
      </c>
      <c r="M11" s="13">
        <v>50338</v>
      </c>
    </row>
    <row r="12" spans="1:61" x14ac:dyDescent="0.2">
      <c r="C12" s="9" t="s">
        <v>117</v>
      </c>
      <c r="D12" s="13">
        <v>-5651</v>
      </c>
      <c r="E12" s="13">
        <v>-7983</v>
      </c>
      <c r="F12" s="13">
        <v>-11025</v>
      </c>
      <c r="G12" s="13">
        <v>-12580</v>
      </c>
      <c r="H12" s="13">
        <v>-11975</v>
      </c>
      <c r="I12" s="13">
        <v>-14404</v>
      </c>
      <c r="J12" s="13">
        <v>-17789</v>
      </c>
      <c r="K12" s="13">
        <v>-21703</v>
      </c>
      <c r="L12" s="13">
        <v>-23440</v>
      </c>
      <c r="M12" s="13">
        <v>-26024</v>
      </c>
    </row>
    <row r="14" spans="1:61" x14ac:dyDescent="0.2">
      <c r="A14" s="13" t="s">
        <v>118</v>
      </c>
      <c r="B14" s="8" t="s">
        <v>119</v>
      </c>
      <c r="C14" s="9" t="s">
        <v>110</v>
      </c>
      <c r="D14" s="10">
        <v>234.2</v>
      </c>
      <c r="E14" s="10">
        <v>67.2</v>
      </c>
      <c r="F14" s="10">
        <v>50.5</v>
      </c>
      <c r="G14" s="10">
        <v>0</v>
      </c>
      <c r="H14" s="10">
        <v>0</v>
      </c>
      <c r="I14" s="10">
        <v>0</v>
      </c>
      <c r="J14" s="10">
        <v>0</v>
      </c>
      <c r="K14" s="10">
        <v>20.3</v>
      </c>
      <c r="L14" s="10">
        <v>33.799999999999997</v>
      </c>
      <c r="M14" s="10">
        <v>50.9</v>
      </c>
      <c r="N14" s="13">
        <f>M14</f>
        <v>50.9</v>
      </c>
      <c r="O14" s="13">
        <f>$N14</f>
        <v>50.9</v>
      </c>
      <c r="P14" s="13">
        <f t="shared" ref="P14:W15" si="3">$N14</f>
        <v>50.9</v>
      </c>
      <c r="Q14" s="13">
        <f t="shared" si="3"/>
        <v>50.9</v>
      </c>
      <c r="R14" s="13">
        <f t="shared" si="3"/>
        <v>50.9</v>
      </c>
      <c r="S14" s="13">
        <f t="shared" si="3"/>
        <v>50.9</v>
      </c>
      <c r="T14" s="13">
        <f t="shared" si="3"/>
        <v>50.9</v>
      </c>
      <c r="U14" s="13">
        <f t="shared" si="3"/>
        <v>50.9</v>
      </c>
      <c r="V14" s="13">
        <f t="shared" si="3"/>
        <v>50.9</v>
      </c>
      <c r="W14" s="13">
        <f t="shared" si="3"/>
        <v>50.9</v>
      </c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</row>
    <row r="15" spans="1:61" x14ac:dyDescent="0.2">
      <c r="A15" s="15">
        <f>137985.406215726</f>
        <v>137985.40621572599</v>
      </c>
      <c r="B15" s="9" t="s">
        <v>120</v>
      </c>
      <c r="C15" s="9" t="s">
        <v>111</v>
      </c>
      <c r="D15" s="10">
        <v>59.3</v>
      </c>
      <c r="E15" s="10">
        <v>284.39999999999998</v>
      </c>
      <c r="F15" s="10">
        <v>213</v>
      </c>
      <c r="G15" s="10">
        <v>411.6</v>
      </c>
      <c r="H15" s="10">
        <v>513.5</v>
      </c>
      <c r="I15" s="10">
        <v>504.6</v>
      </c>
      <c r="J15" s="10">
        <v>303.10000000000002</v>
      </c>
      <c r="K15" s="10">
        <v>463.4</v>
      </c>
      <c r="L15" s="10">
        <v>465.8</v>
      </c>
      <c r="M15" s="10">
        <v>311.60000000000002</v>
      </c>
      <c r="N15" s="13">
        <f>M15</f>
        <v>311.60000000000002</v>
      </c>
      <c r="O15" s="13">
        <f t="shared" ref="O15" si="4">$N15</f>
        <v>311.60000000000002</v>
      </c>
      <c r="P15" s="13">
        <f t="shared" si="3"/>
        <v>311.60000000000002</v>
      </c>
      <c r="Q15" s="13">
        <f t="shared" si="3"/>
        <v>311.60000000000002</v>
      </c>
      <c r="R15" s="13">
        <f t="shared" si="3"/>
        <v>311.60000000000002</v>
      </c>
      <c r="S15" s="13">
        <f t="shared" si="3"/>
        <v>311.60000000000002</v>
      </c>
      <c r="T15" s="13">
        <f t="shared" si="3"/>
        <v>311.60000000000002</v>
      </c>
      <c r="U15" s="13">
        <f t="shared" si="3"/>
        <v>311.60000000000002</v>
      </c>
      <c r="V15" s="13">
        <f t="shared" si="3"/>
        <v>311.60000000000002</v>
      </c>
      <c r="W15" s="13">
        <f t="shared" si="3"/>
        <v>311.60000000000002</v>
      </c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</row>
    <row r="16" spans="1:61" x14ac:dyDescent="0.2">
      <c r="A16" s="31" t="s">
        <v>121</v>
      </c>
      <c r="C16" s="9" t="s">
        <v>113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</row>
    <row r="17" spans="1:23" x14ac:dyDescent="0.2">
      <c r="A17" s="31"/>
      <c r="C17" s="9" t="s">
        <v>122</v>
      </c>
      <c r="D17" s="13">
        <v>15450</v>
      </c>
      <c r="E17" s="13">
        <v>15378</v>
      </c>
      <c r="F17" s="13">
        <v>14734</v>
      </c>
      <c r="G17" s="13">
        <v>15864</v>
      </c>
      <c r="H17" s="13">
        <v>15739</v>
      </c>
      <c r="I17" s="13">
        <v>15674</v>
      </c>
      <c r="J17" s="13">
        <v>16129</v>
      </c>
      <c r="K17" s="13">
        <v>14053</v>
      </c>
      <c r="L17" s="13">
        <v>14705</v>
      </c>
      <c r="M17" s="13">
        <v>14559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9" spans="1:23" x14ac:dyDescent="0.2">
      <c r="A19" s="13" t="s">
        <v>123</v>
      </c>
      <c r="B19" s="8" t="s">
        <v>97</v>
      </c>
      <c r="C19" s="9" t="s">
        <v>110</v>
      </c>
      <c r="D19" s="13">
        <f t="shared" ref="D19:I19" si="5">SUM(D22:D24)</f>
        <v>249890</v>
      </c>
      <c r="E19" s="13">
        <f t="shared" si="5"/>
        <v>249326</v>
      </c>
      <c r="F19" s="13">
        <f t="shared" si="5"/>
        <v>250149</v>
      </c>
      <c r="G19" s="13">
        <f t="shared" si="5"/>
        <v>251168</v>
      </c>
      <c r="H19" s="13">
        <f t="shared" si="5"/>
        <v>252605</v>
      </c>
      <c r="I19" s="13">
        <f t="shared" si="5"/>
        <v>249228</v>
      </c>
      <c r="J19" s="13">
        <f>SUM(J22:J24)</f>
        <v>254208</v>
      </c>
      <c r="K19" s="13">
        <f t="shared" ref="K19:W19" si="6">SUM(K22:K24)</f>
        <v>273754</v>
      </c>
      <c r="L19" s="13">
        <f t="shared" si="6"/>
        <v>255119</v>
      </c>
      <c r="M19" s="13">
        <f t="shared" si="6"/>
        <v>251852</v>
      </c>
      <c r="N19" s="13">
        <f t="shared" si="6"/>
        <v>167104.39200000005</v>
      </c>
      <c r="O19" s="13">
        <f t="shared" si="6"/>
        <v>177155.78399999999</v>
      </c>
      <c r="P19" s="13">
        <f t="shared" si="6"/>
        <v>187207.17600000001</v>
      </c>
      <c r="Q19" s="13">
        <f t="shared" si="6"/>
        <v>197258.56799999997</v>
      </c>
      <c r="R19" s="13">
        <f t="shared" si="6"/>
        <v>207309.96</v>
      </c>
      <c r="S19" s="13">
        <f t="shared" si="6"/>
        <v>217361.35199999998</v>
      </c>
      <c r="T19" s="13">
        <f t="shared" si="6"/>
        <v>227412.74399999998</v>
      </c>
      <c r="U19" s="13">
        <f t="shared" si="6"/>
        <v>237464.13599999994</v>
      </c>
      <c r="V19" s="13">
        <f t="shared" si="6"/>
        <v>247515.52799999993</v>
      </c>
      <c r="W19" s="13">
        <f t="shared" si="6"/>
        <v>257566.91999999998</v>
      </c>
    </row>
    <row r="20" spans="1:23" x14ac:dyDescent="0.2">
      <c r="A20" s="15">
        <f>8.45*1000000/1000</f>
        <v>8450</v>
      </c>
      <c r="C20" s="9" t="s">
        <v>111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</row>
    <row r="21" spans="1:23" x14ac:dyDescent="0.2">
      <c r="A21" s="31" t="s">
        <v>112</v>
      </c>
      <c r="C21" s="9" t="s">
        <v>113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</row>
    <row r="22" spans="1:23" x14ac:dyDescent="0.2">
      <c r="A22" s="13" t="s">
        <v>124</v>
      </c>
      <c r="C22" s="9" t="s">
        <v>110</v>
      </c>
      <c r="D22" s="13">
        <v>79960</v>
      </c>
      <c r="E22" s="13">
        <v>81364</v>
      </c>
      <c r="F22" s="13">
        <v>80887</v>
      </c>
      <c r="G22" s="13">
        <v>75813</v>
      </c>
      <c r="H22" s="13">
        <v>80205</v>
      </c>
      <c r="I22" s="13">
        <v>84676</v>
      </c>
      <c r="J22" s="13">
        <v>85197</v>
      </c>
      <c r="K22" s="13">
        <v>85344</v>
      </c>
      <c r="L22" s="13">
        <v>88409</v>
      </c>
      <c r="M22" s="13">
        <v>88011</v>
      </c>
    </row>
    <row r="23" spans="1:23" x14ac:dyDescent="0.2">
      <c r="A23" s="13" t="s">
        <v>17</v>
      </c>
      <c r="C23" s="9" t="s">
        <v>110</v>
      </c>
      <c r="D23" s="13">
        <v>163142</v>
      </c>
      <c r="E23" s="13">
        <v>161174</v>
      </c>
      <c r="F23" s="13">
        <v>162474</v>
      </c>
      <c r="G23" s="13">
        <v>168567</v>
      </c>
      <c r="H23" s="13">
        <v>165612</v>
      </c>
      <c r="I23" s="13">
        <v>157764</v>
      </c>
      <c r="J23" s="13">
        <v>162223</v>
      </c>
      <c r="K23" s="13">
        <v>181622</v>
      </c>
      <c r="L23" s="13">
        <v>159922</v>
      </c>
      <c r="M23" s="13">
        <v>157053</v>
      </c>
      <c r="N23" s="13">
        <f>'PDE Bio'!F19</f>
        <v>167104.39200000005</v>
      </c>
      <c r="O23" s="13">
        <f>'PDE Bio'!G19</f>
        <v>177155.78399999999</v>
      </c>
      <c r="P23" s="13">
        <f>'PDE Bio'!H19</f>
        <v>187207.17600000001</v>
      </c>
      <c r="Q23" s="13">
        <f>'PDE Bio'!I19</f>
        <v>197258.56799999997</v>
      </c>
      <c r="R23" s="13">
        <f>'PDE Bio'!J19</f>
        <v>207309.96</v>
      </c>
      <c r="S23" s="13">
        <f>'PDE Bio'!K19</f>
        <v>217361.35199999998</v>
      </c>
      <c r="T23" s="13">
        <f>'PDE Bio'!L19</f>
        <v>227412.74399999998</v>
      </c>
      <c r="U23" s="13">
        <f>'PDE Bio'!M19</f>
        <v>237464.13599999994</v>
      </c>
      <c r="V23" s="13">
        <f>'PDE Bio'!N19</f>
        <v>247515.52799999993</v>
      </c>
      <c r="W23" s="13">
        <f>'PDE Bio'!O19</f>
        <v>257566.91999999998</v>
      </c>
    </row>
    <row r="24" spans="1:23" x14ac:dyDescent="0.2">
      <c r="A24" s="13" t="s">
        <v>125</v>
      </c>
      <c r="C24" s="9" t="s">
        <v>110</v>
      </c>
      <c r="D24" s="13">
        <v>6788</v>
      </c>
      <c r="E24" s="13">
        <v>6788</v>
      </c>
      <c r="F24" s="13">
        <v>6788</v>
      </c>
      <c r="G24" s="13">
        <v>6788</v>
      </c>
      <c r="H24" s="13">
        <v>6788</v>
      </c>
      <c r="I24" s="13">
        <v>6788</v>
      </c>
      <c r="J24" s="13">
        <v>6788</v>
      </c>
      <c r="K24" s="13">
        <v>6788</v>
      </c>
      <c r="L24" s="13">
        <v>6788</v>
      </c>
      <c r="M24" s="13">
        <v>6788</v>
      </c>
    </row>
    <row r="25" spans="1:23" ht="15" x14ac:dyDescent="0.2">
      <c r="A25" s="13" t="s">
        <v>126</v>
      </c>
      <c r="C25" s="16">
        <f>AVERAGE(D23/D19,E23/E19,F23/F19,G23/G19,H23/H19,I23/I19,J23/J19,K23/K19,L23/L19,M23/M19)</f>
        <v>0.64606079395091365</v>
      </c>
      <c r="D25" s="10" t="s">
        <v>127</v>
      </c>
    </row>
    <row r="27" spans="1:23" x14ac:dyDescent="0.2">
      <c r="A27" s="13" t="s">
        <v>128</v>
      </c>
      <c r="B27" s="8" t="s">
        <v>69</v>
      </c>
      <c r="C27" s="9" t="s">
        <v>110</v>
      </c>
      <c r="D27" s="13">
        <v>28514</v>
      </c>
      <c r="E27" s="13">
        <v>30972</v>
      </c>
      <c r="F27" s="13">
        <v>27946</v>
      </c>
      <c r="G27" s="13">
        <v>28187</v>
      </c>
      <c r="H27" s="13">
        <v>28338</v>
      </c>
      <c r="I27" s="13">
        <v>26011</v>
      </c>
      <c r="J27" s="13">
        <v>25395</v>
      </c>
      <c r="K27" s="13">
        <v>23547</v>
      </c>
      <c r="L27" s="13">
        <v>28100</v>
      </c>
      <c r="M27" s="13">
        <v>28674</v>
      </c>
      <c r="N27" s="13">
        <f>'PDE-O&amp;G'!F24</f>
        <v>27860.028387096776</v>
      </c>
      <c r="O27" s="13">
        <f>'PDE-O&amp;G'!G24</f>
        <v>27046.056774193556</v>
      </c>
      <c r="P27" s="13">
        <f>'PDE-O&amp;G'!H24</f>
        <v>26232.085161290328</v>
      </c>
      <c r="Q27" s="13">
        <f>'PDE-O&amp;G'!I24</f>
        <v>26540.407741935484</v>
      </c>
      <c r="R27" s="13">
        <f>'PDE-O&amp;G'!J24</f>
        <v>26848.730322580646</v>
      </c>
      <c r="S27" s="13">
        <f>'PDE-O&amp;G'!K24</f>
        <v>27157.052903225809</v>
      </c>
      <c r="T27" s="13">
        <f>'PDE-O&amp;G'!L24</f>
        <v>27009.058064516124</v>
      </c>
      <c r="U27" s="13">
        <f>'PDE-O&amp;G'!M24</f>
        <v>26861.063225806443</v>
      </c>
      <c r="V27" s="13">
        <f>'PDE-O&amp;G'!N24</f>
        <v>26713.06838709677</v>
      </c>
      <c r="W27" s="13">
        <f>'PDE-O&amp;G'!O24</f>
        <v>26565.073548387092</v>
      </c>
    </row>
    <row r="28" spans="1:23" x14ac:dyDescent="0.2">
      <c r="A28" s="15">
        <f>30.556*1000000/1000</f>
        <v>30556</v>
      </c>
      <c r="C28" s="9" t="s">
        <v>111</v>
      </c>
      <c r="D28" s="13">
        <v>2265</v>
      </c>
      <c r="E28" s="13">
        <v>2111</v>
      </c>
      <c r="F28" s="13">
        <v>2935</v>
      </c>
      <c r="G28" s="13">
        <v>3810</v>
      </c>
      <c r="H28" s="13">
        <v>4489</v>
      </c>
      <c r="I28" s="13">
        <v>3238</v>
      </c>
      <c r="J28" s="13">
        <v>4888</v>
      </c>
      <c r="K28" s="13">
        <v>4942</v>
      </c>
      <c r="L28" s="13">
        <v>2755</v>
      </c>
      <c r="M28" s="13">
        <v>4146</v>
      </c>
      <c r="N28" s="13">
        <f>'PDE-O&amp;G'!F28</f>
        <v>2078.5529884406706</v>
      </c>
      <c r="O28" s="13">
        <f>'PDE-O&amp;G'!G28</f>
        <v>1014.6727026755258</v>
      </c>
      <c r="P28" s="13">
        <f>'PDE-O&amp;G'!H28</f>
        <v>0</v>
      </c>
      <c r="Q28" s="13">
        <f>'PDE-O&amp;G'!I28</f>
        <v>0</v>
      </c>
      <c r="R28" s="13">
        <f>'PDE-O&amp;G'!J28</f>
        <v>0</v>
      </c>
      <c r="S28" s="13">
        <f>'PDE-O&amp;G'!K28</f>
        <v>0</v>
      </c>
      <c r="T28" s="13">
        <f>'PDE-O&amp;G'!L28</f>
        <v>0</v>
      </c>
      <c r="U28" s="13">
        <f>'PDE-O&amp;G'!M28</f>
        <v>0</v>
      </c>
      <c r="V28" s="13">
        <f>'PDE-O&amp;G'!N28</f>
        <v>594.81536932429731</v>
      </c>
      <c r="W28" s="13">
        <f>'PDE-O&amp;G'!O28</f>
        <v>2399.0171792168762</v>
      </c>
    </row>
    <row r="29" spans="1:23" x14ac:dyDescent="0.2">
      <c r="A29" s="31" t="s">
        <v>129</v>
      </c>
      <c r="C29" s="9" t="s">
        <v>113</v>
      </c>
      <c r="D29" s="13">
        <v>347</v>
      </c>
      <c r="E29" s="13">
        <v>365</v>
      </c>
      <c r="F29" s="13">
        <v>616</v>
      </c>
      <c r="G29" s="13">
        <v>728</v>
      </c>
      <c r="H29" s="13">
        <v>478</v>
      </c>
      <c r="I29" s="13">
        <v>1394</v>
      </c>
      <c r="J29" s="13">
        <v>2014</v>
      </c>
      <c r="K29" s="13">
        <v>2369</v>
      </c>
      <c r="L29" s="13">
        <v>1795</v>
      </c>
      <c r="M29" s="13">
        <v>546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</row>
    <row r="30" spans="1:23" x14ac:dyDescent="0.2"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spans="1:23" x14ac:dyDescent="0.2">
      <c r="A31" s="13" t="s">
        <v>130</v>
      </c>
      <c r="B31" s="8" t="s">
        <v>69</v>
      </c>
      <c r="C31" s="9" t="s">
        <v>110</v>
      </c>
      <c r="D31" s="13">
        <v>49201</v>
      </c>
      <c r="E31" s="13">
        <v>49350</v>
      </c>
      <c r="F31" s="13">
        <v>49154</v>
      </c>
      <c r="G31" s="13">
        <v>44805</v>
      </c>
      <c r="H31" s="13">
        <v>39993</v>
      </c>
      <c r="I31" s="13">
        <v>41278</v>
      </c>
      <c r="J31" s="13">
        <v>40679</v>
      </c>
      <c r="K31" s="13">
        <v>41549</v>
      </c>
      <c r="L31" s="13">
        <v>42853</v>
      </c>
      <c r="M31" s="13">
        <v>44870</v>
      </c>
      <c r="N31" s="13">
        <f>'PDE-O&amp;G'!F35</f>
        <v>45369.5</v>
      </c>
      <c r="O31" s="13">
        <f>'PDE-O&amp;G'!G35</f>
        <v>45114</v>
      </c>
      <c r="P31" s="13">
        <f>'PDE-O&amp;G'!H35</f>
        <v>44858.5</v>
      </c>
      <c r="Q31" s="13">
        <f>'PDE-O&amp;G'!I35</f>
        <v>46367.166666666672</v>
      </c>
      <c r="R31" s="13">
        <f>'PDE-O&amp;G'!J35</f>
        <v>47875.833333333343</v>
      </c>
      <c r="S31" s="13">
        <f>'PDE-O&amp;G'!K35</f>
        <v>49384.500000000007</v>
      </c>
      <c r="T31" s="13">
        <f>'PDE-O&amp;G'!L35</f>
        <v>49886.375000000007</v>
      </c>
      <c r="U31" s="13">
        <f>'PDE-O&amp;G'!M35</f>
        <v>50388.250000000007</v>
      </c>
      <c r="V31" s="13">
        <f>'PDE-O&amp;G'!N35</f>
        <v>50890.125000000007</v>
      </c>
      <c r="W31" s="13">
        <f>'PDE-O&amp;G'!O35</f>
        <v>51392.000000000007</v>
      </c>
    </row>
    <row r="32" spans="1:23" x14ac:dyDescent="0.2">
      <c r="A32" s="15">
        <f>33651100/1000</f>
        <v>33651.1</v>
      </c>
      <c r="C32" s="9" t="s">
        <v>111</v>
      </c>
      <c r="D32" s="13">
        <v>10024</v>
      </c>
      <c r="E32" s="13">
        <v>11275</v>
      </c>
      <c r="F32" s="13">
        <v>6940</v>
      </c>
      <c r="G32" s="13">
        <v>8469</v>
      </c>
      <c r="H32" s="13">
        <v>12955</v>
      </c>
      <c r="I32" s="13">
        <v>11650</v>
      </c>
      <c r="J32" s="13">
        <v>13008</v>
      </c>
      <c r="K32" s="13">
        <v>11995</v>
      </c>
      <c r="L32" s="13">
        <v>14437</v>
      </c>
      <c r="M32" s="13">
        <v>14385</v>
      </c>
      <c r="N32" s="13">
        <f>'PDE-O&amp;G'!F38</f>
        <v>14685.963447069298</v>
      </c>
      <c r="O32" s="13">
        <f>'PDE-O&amp;G'!G38</f>
        <v>16074.771034747791</v>
      </c>
      <c r="P32" s="13">
        <f>'PDE-O&amp;G'!H38</f>
        <v>17463.578622426288</v>
      </c>
      <c r="Q32" s="13">
        <f>'PDE-O&amp;G'!I38</f>
        <v>17209.06578078018</v>
      </c>
      <c r="R32" s="13">
        <f>'PDE-O&amp;G'!J38</f>
        <v>16954.552939134086</v>
      </c>
      <c r="S32" s="13">
        <f>'PDE-O&amp;G'!K38</f>
        <v>16700.040097487999</v>
      </c>
      <c r="T32" s="13">
        <f>'PDE-O&amp;G'!L38</f>
        <v>17383.353224990929</v>
      </c>
      <c r="U32" s="13">
        <f>'PDE-O&amp;G'!M38</f>
        <v>18066.666352493863</v>
      </c>
      <c r="V32" s="13">
        <f>'PDE-O&amp;G'!N38</f>
        <v>18749.979479996811</v>
      </c>
      <c r="W32" s="13">
        <f>'PDE-O&amp;G'!O38</f>
        <v>19433.292607499701</v>
      </c>
    </row>
    <row r="33" spans="1:24" x14ac:dyDescent="0.2">
      <c r="A33" s="31" t="s">
        <v>129</v>
      </c>
      <c r="C33" s="9" t="s">
        <v>113</v>
      </c>
      <c r="D33" s="13">
        <v>1030</v>
      </c>
      <c r="E33" s="13">
        <v>936</v>
      </c>
      <c r="F33" s="13">
        <v>768</v>
      </c>
      <c r="G33" s="13">
        <v>832</v>
      </c>
      <c r="H33" s="13">
        <v>687</v>
      </c>
      <c r="I33" s="13">
        <v>1429</v>
      </c>
      <c r="J33" s="13">
        <v>600</v>
      </c>
      <c r="K33" s="13">
        <v>950</v>
      </c>
      <c r="L33" s="13">
        <v>590</v>
      </c>
      <c r="M33" s="13">
        <v>645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4" x14ac:dyDescent="0.2"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</row>
    <row r="35" spans="1:24" x14ac:dyDescent="0.2">
      <c r="A35" s="13" t="s">
        <v>131</v>
      </c>
      <c r="B35" s="8" t="s">
        <v>69</v>
      </c>
      <c r="C35" s="9" t="s">
        <v>110</v>
      </c>
      <c r="D35" s="13">
        <v>27608</v>
      </c>
      <c r="E35" s="13">
        <v>28526</v>
      </c>
      <c r="F35" s="13">
        <v>30249</v>
      </c>
      <c r="G35" s="13">
        <v>28276</v>
      </c>
      <c r="H35" s="13">
        <v>27694</v>
      </c>
      <c r="I35" s="13">
        <v>33198</v>
      </c>
      <c r="J35" s="13">
        <v>35156</v>
      </c>
      <c r="K35" s="13">
        <v>32599</v>
      </c>
      <c r="L35" s="13">
        <v>29898</v>
      </c>
      <c r="M35" s="13">
        <v>32485</v>
      </c>
      <c r="N35" s="13">
        <f>'PDE Bio'!F6</f>
        <v>33074.140946021398</v>
      </c>
      <c r="O35" s="13">
        <f>'PDE Bio'!G6</f>
        <v>34954.927825333871</v>
      </c>
      <c r="P35" s="13">
        <f>'PDE Bio'!H6</f>
        <v>35771.332749796755</v>
      </c>
      <c r="Q35" s="13">
        <f>'PDE Bio'!I6</f>
        <v>37112.682514851156</v>
      </c>
      <c r="R35" s="13">
        <f>'PDE Bio'!J6</f>
        <v>39146.632006673201</v>
      </c>
      <c r="S35" s="13">
        <f>'PDE Bio'!K6</f>
        <v>40227.565127971444</v>
      </c>
      <c r="T35" s="13">
        <f>'PDE Bio'!L6</f>
        <v>42105.155104875208</v>
      </c>
      <c r="U35" s="13">
        <f>'PDE Bio'!M6</f>
        <v>43468.681091565755</v>
      </c>
      <c r="V35" s="13">
        <f>'PDE Bio'!N6</f>
        <v>45762.784991617686</v>
      </c>
      <c r="W35" s="13">
        <f>'PDE Bio'!O6</f>
        <v>47146.999780717277</v>
      </c>
    </row>
    <row r="36" spans="1:24" x14ac:dyDescent="0.2">
      <c r="A36" s="15">
        <f>21552100/1000</f>
        <v>21552.1</v>
      </c>
      <c r="C36" s="9" t="s">
        <v>111</v>
      </c>
      <c r="D36" s="13">
        <v>132</v>
      </c>
      <c r="E36" s="13">
        <v>984</v>
      </c>
      <c r="F36" s="13">
        <v>828</v>
      </c>
      <c r="G36" s="13">
        <v>835</v>
      </c>
      <c r="H36" s="13">
        <v>1826</v>
      </c>
      <c r="I36" s="13">
        <v>1775</v>
      </c>
      <c r="J36" s="13">
        <v>1437</v>
      </c>
      <c r="K36" s="13">
        <v>958</v>
      </c>
      <c r="L36" s="13">
        <v>432</v>
      </c>
      <c r="M36" s="13">
        <v>99</v>
      </c>
      <c r="N36" s="13">
        <f>'PDE Bio'!F7</f>
        <v>0</v>
      </c>
      <c r="O36" s="13">
        <f>'PDE Bio'!G7</f>
        <v>0</v>
      </c>
      <c r="P36" s="13">
        <f>'PDE Bio'!H7</f>
        <v>0</v>
      </c>
      <c r="Q36" s="13">
        <f>'PDE Bio'!I7</f>
        <v>0</v>
      </c>
      <c r="R36" s="13">
        <f>'PDE Bio'!J7</f>
        <v>0</v>
      </c>
      <c r="S36" s="13">
        <f>'PDE Bio'!K7</f>
        <v>0</v>
      </c>
      <c r="T36" s="13">
        <f>'PDE Bio'!L7</f>
        <v>0</v>
      </c>
      <c r="U36" s="13">
        <f>'PDE Bio'!M7</f>
        <v>0</v>
      </c>
      <c r="V36" s="13">
        <f>'PDE Bio'!N7</f>
        <v>0</v>
      </c>
      <c r="W36" s="13">
        <f>'PDE Bio'!O7</f>
        <v>0</v>
      </c>
    </row>
    <row r="37" spans="1:24" x14ac:dyDescent="0.2">
      <c r="A37" s="31" t="s">
        <v>129</v>
      </c>
      <c r="C37" s="9" t="s">
        <v>113</v>
      </c>
      <c r="D37" s="13">
        <v>2940</v>
      </c>
      <c r="E37" s="13">
        <v>1469</v>
      </c>
      <c r="F37" s="13">
        <v>2121</v>
      </c>
      <c r="G37" s="13">
        <v>1789</v>
      </c>
      <c r="H37" s="13">
        <v>1380</v>
      </c>
      <c r="I37" s="13">
        <v>1682</v>
      </c>
      <c r="J37" s="13">
        <v>1933</v>
      </c>
      <c r="K37" s="13">
        <v>2026</v>
      </c>
      <c r="L37" s="13">
        <v>1868</v>
      </c>
      <c r="M37" s="13">
        <v>2358</v>
      </c>
      <c r="N37" s="13">
        <v>-33816.884999999995</v>
      </c>
      <c r="O37" s="13">
        <v>-35203.377284999995</v>
      </c>
      <c r="P37" s="13">
        <v>-36646.715753684992</v>
      </c>
      <c r="Q37" s="13">
        <v>-38149.231099586075</v>
      </c>
      <c r="R37" s="13">
        <v>-39713.349574669104</v>
      </c>
      <c r="S37" s="13">
        <v>-41341.596907230538</v>
      </c>
      <c r="T37" s="13">
        <v>-43036.602380426986</v>
      </c>
      <c r="U37" s="13">
        <v>-44801.103078024491</v>
      </c>
      <c r="V37" s="13">
        <v>-46637.948304223493</v>
      </c>
      <c r="W37" s="13">
        <v>-48550.104184696655</v>
      </c>
    </row>
    <row r="38" spans="1:24" x14ac:dyDescent="0.2"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</row>
    <row r="39" spans="1:24" x14ac:dyDescent="0.2">
      <c r="A39" s="13" t="s">
        <v>132</v>
      </c>
      <c r="B39" s="8" t="s">
        <v>69</v>
      </c>
      <c r="C39" s="9" t="s">
        <v>110</v>
      </c>
      <c r="D39" s="13">
        <v>2917</v>
      </c>
      <c r="E39" s="13">
        <v>3420</v>
      </c>
      <c r="F39" s="13">
        <v>3937</v>
      </c>
      <c r="G39" s="13">
        <v>3801</v>
      </c>
      <c r="H39" s="13">
        <v>4291</v>
      </c>
      <c r="I39" s="13">
        <v>5350</v>
      </c>
      <c r="J39" s="13">
        <v>5924</v>
      </c>
      <c r="K39" s="13">
        <v>6432</v>
      </c>
      <c r="L39" s="13">
        <v>6766</v>
      </c>
      <c r="M39" s="13">
        <v>6766</v>
      </c>
      <c r="N39" s="13">
        <f>'PDE Bio'!F29</f>
        <v>7336.2525000000005</v>
      </c>
      <c r="O39" s="13">
        <f>'PDE Bio'!G29</f>
        <v>8731.9225000000024</v>
      </c>
      <c r="P39" s="13">
        <f>'PDE Bio'!H29</f>
        <v>9540.9468750000015</v>
      </c>
      <c r="Q39" s="13">
        <f>'PDE Bio'!I29</f>
        <v>10374.680000000002</v>
      </c>
      <c r="R39" s="13">
        <f>'PDE Bio'!J29</f>
        <v>11233.121875000006</v>
      </c>
      <c r="S39" s="13">
        <f>'PDE Bio'!K29</f>
        <v>12116.272500000008</v>
      </c>
      <c r="T39" s="13">
        <f>'PDE Bio'!L29</f>
        <v>13024.131875000008</v>
      </c>
      <c r="U39" s="13">
        <f>'PDE Bio'!M29</f>
        <v>13956.70000000001</v>
      </c>
      <c r="V39" s="13">
        <f>'PDE Bio'!N29</f>
        <v>14203.787500000013</v>
      </c>
      <c r="W39" s="13">
        <f>'PDE Bio'!O29</f>
        <v>14450.875000000004</v>
      </c>
    </row>
    <row r="40" spans="1:24" x14ac:dyDescent="0.2">
      <c r="A40" s="31">
        <f>29252892.5581395/1000</f>
        <v>29252.892558139498</v>
      </c>
      <c r="C40" s="9" t="s">
        <v>111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</row>
    <row r="41" spans="1:24" x14ac:dyDescent="0.2">
      <c r="A41" s="31" t="s">
        <v>129</v>
      </c>
      <c r="C41" s="9" t="s">
        <v>113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</row>
    <row r="43" spans="1:24" x14ac:dyDescent="0.2">
      <c r="A43" s="13" t="s">
        <v>133</v>
      </c>
      <c r="B43" s="8" t="s">
        <v>134</v>
      </c>
      <c r="C43" s="9" t="s">
        <v>110</v>
      </c>
      <c r="D43" s="13">
        <f>4566+71</f>
        <v>4637</v>
      </c>
      <c r="E43" s="13">
        <f>4997+72</f>
        <v>5069</v>
      </c>
      <c r="F43" s="13">
        <f>4650+55</f>
        <v>4705</v>
      </c>
      <c r="G43" s="13">
        <f>4759+41</f>
        <v>4800</v>
      </c>
      <c r="H43" s="13">
        <f>5071+46</f>
        <v>5117</v>
      </c>
      <c r="I43" s="13">
        <f>5241+35</f>
        <v>5276</v>
      </c>
      <c r="J43" s="13">
        <f>4987+0</f>
        <v>4987</v>
      </c>
      <c r="K43" s="13">
        <f>2740+2</f>
        <v>2742</v>
      </c>
      <c r="L43" s="13">
        <f>3349+43</f>
        <v>3392</v>
      </c>
      <c r="M43" s="13">
        <f>3990+42</f>
        <v>4032</v>
      </c>
      <c r="N43" s="13">
        <f>'PDE-O&amp;G'!F44</f>
        <v>4315.9436619718308</v>
      </c>
      <c r="O43" s="13">
        <f>'PDE-O&amp;G'!G44</f>
        <v>4599.8873239436616</v>
      </c>
      <c r="P43" s="13">
        <f>'PDE-O&amp;G'!H44</f>
        <v>4883.8309859154933</v>
      </c>
      <c r="Q43" s="13">
        <f>'PDE-O&amp;G'!I44</f>
        <v>5262.4225352112671</v>
      </c>
      <c r="R43" s="13">
        <f>'PDE-O&amp;G'!J44</f>
        <v>5451.7183098591549</v>
      </c>
      <c r="S43" s="13">
        <f>'PDE-O&amp;G'!K44</f>
        <v>5451.7183098591549</v>
      </c>
      <c r="T43" s="13">
        <f>'PDE-O&amp;G'!L44</f>
        <v>5494.3098591549306</v>
      </c>
      <c r="U43" s="13">
        <f>'PDE-O&amp;G'!M44</f>
        <v>5536.9014084507044</v>
      </c>
      <c r="V43" s="13">
        <f>'PDE-O&amp;G'!N44</f>
        <v>5579.4929577464791</v>
      </c>
      <c r="W43" s="13">
        <f>'PDE-O&amp;G'!O44</f>
        <v>5622.0845070422547</v>
      </c>
    </row>
    <row r="44" spans="1:24" ht="15" x14ac:dyDescent="0.2">
      <c r="A44" s="13" t="s">
        <v>135</v>
      </c>
      <c r="B44" s="15">
        <f>32.619/'PDE-O&amp;G'!P42*1000000/1000</f>
        <v>39682.481751824816</v>
      </c>
      <c r="C44" s="9" t="s">
        <v>111</v>
      </c>
      <c r="D44" s="13">
        <f>D46+D45-D43</f>
        <v>1424</v>
      </c>
      <c r="E44" s="13">
        <f t="shared" ref="E44:M44" si="7">E46+E45-E43</f>
        <v>1159</v>
      </c>
      <c r="F44" s="13">
        <f t="shared" si="7"/>
        <v>1398</v>
      </c>
      <c r="G44" s="13">
        <f t="shared" si="7"/>
        <v>833</v>
      </c>
      <c r="H44" s="13">
        <f t="shared" si="7"/>
        <v>557</v>
      </c>
      <c r="I44" s="13">
        <f t="shared" si="7"/>
        <v>947</v>
      </c>
      <c r="J44" s="13">
        <f t="shared" si="7"/>
        <v>790</v>
      </c>
      <c r="K44" s="13">
        <f t="shared" si="7"/>
        <v>317</v>
      </c>
      <c r="L44" s="13">
        <f t="shared" si="7"/>
        <v>249</v>
      </c>
      <c r="M44" s="13">
        <f t="shared" si="7"/>
        <v>841</v>
      </c>
      <c r="N44" s="13">
        <f>'PDE-O&amp;G'!F47</f>
        <v>152.62472401379728</v>
      </c>
      <c r="O44" s="13">
        <f>'PDE-O&amp;G'!G47</f>
        <v>305.24944802759273</v>
      </c>
      <c r="P44" s="13">
        <f>'PDE-O&amp;G'!H47</f>
        <v>457.87417204139001</v>
      </c>
      <c r="Q44" s="13">
        <f>'PDE-O&amp;G'!I47</f>
        <v>863.29346999107929</v>
      </c>
      <c r="R44" s="13">
        <f>'PDE-O&amp;G'!J47</f>
        <v>763.12362006898275</v>
      </c>
      <c r="S44" s="13">
        <f>'PDE-O&amp;G'!K47</f>
        <v>157.36462227509855</v>
      </c>
      <c r="T44" s="13">
        <f>'PDE-O&amp;G'!L47</f>
        <v>125.29014084506889</v>
      </c>
      <c r="U44" s="13">
        <f>'PDE-O&amp;G'!M47</f>
        <v>309.49859154929436</v>
      </c>
      <c r="V44" s="13">
        <f>'PDE-O&amp;G'!N47</f>
        <v>493.70704225352074</v>
      </c>
      <c r="W44" s="13">
        <f>'PDE-O&amp;G'!O47</f>
        <v>677.91549295774439</v>
      </c>
      <c r="X44" s="17"/>
    </row>
    <row r="45" spans="1:24" x14ac:dyDescent="0.2">
      <c r="A45" s="13" t="s">
        <v>136</v>
      </c>
      <c r="B45" s="14" t="s">
        <v>137</v>
      </c>
      <c r="C45" s="9" t="s">
        <v>113</v>
      </c>
      <c r="D45" s="13">
        <f>2383+11</f>
        <v>2394</v>
      </c>
      <c r="E45" s="13">
        <f>2506+13</f>
        <v>2519</v>
      </c>
      <c r="F45" s="13">
        <f>2440+5</f>
        <v>2445</v>
      </c>
      <c r="G45" s="13">
        <f>2281+5</f>
        <v>2286</v>
      </c>
      <c r="H45" s="13">
        <f>2334+5</f>
        <v>2339</v>
      </c>
      <c r="I45" s="13">
        <f>2796+3</f>
        <v>2799</v>
      </c>
      <c r="J45" s="13">
        <f>2429+0</f>
        <v>2429</v>
      </c>
      <c r="K45" s="13">
        <f>1135+0</f>
        <v>1135</v>
      </c>
      <c r="L45" s="13">
        <f>1089+0</f>
        <v>1089</v>
      </c>
      <c r="M45" s="13">
        <f>1772+0</f>
        <v>1772</v>
      </c>
      <c r="N45" s="13">
        <f>'PDE-O&amp;G'!F48</f>
        <v>95.481062041965913</v>
      </c>
      <c r="O45" s="13">
        <f>'PDE-O&amp;G'!G48</f>
        <v>190.96212408393029</v>
      </c>
      <c r="P45" s="13">
        <f>'PDE-O&amp;G'!H48</f>
        <v>286.4431861258962</v>
      </c>
      <c r="Q45" s="13">
        <f>'PDE-O&amp;G'!I48</f>
        <v>540.0709347798113</v>
      </c>
      <c r="R45" s="13">
        <f>'PDE-O&amp;G'!J48</f>
        <v>477.4053102098265</v>
      </c>
      <c r="S45" s="13">
        <f>'PDE-O&amp;G'!K48</f>
        <v>98.446312415941819</v>
      </c>
      <c r="T45" s="13">
        <f>'PDE-O&amp;G'!L48</f>
        <v>0</v>
      </c>
      <c r="U45" s="13">
        <f>'PDE-O&amp;G'!M48</f>
        <v>0</v>
      </c>
      <c r="V45" s="13">
        <f>'PDE-O&amp;G'!N48</f>
        <v>0</v>
      </c>
      <c r="W45" s="13">
        <f>'PDE-O&amp;G'!O48</f>
        <v>0</v>
      </c>
    </row>
    <row r="46" spans="1:24" x14ac:dyDescent="0.2">
      <c r="A46" s="13" t="s">
        <v>138</v>
      </c>
      <c r="C46" s="9" t="s">
        <v>139</v>
      </c>
      <c r="D46" s="13">
        <v>3667</v>
      </c>
      <c r="E46" s="13">
        <v>3709</v>
      </c>
      <c r="F46" s="13">
        <v>3658</v>
      </c>
      <c r="G46" s="13">
        <v>3347</v>
      </c>
      <c r="H46" s="13">
        <v>3335</v>
      </c>
      <c r="I46" s="13">
        <v>3424</v>
      </c>
      <c r="J46" s="13">
        <v>3348</v>
      </c>
      <c r="K46" s="13">
        <v>1924</v>
      </c>
      <c r="L46" s="13">
        <v>2552</v>
      </c>
      <c r="M46" s="13">
        <v>3101</v>
      </c>
      <c r="N46" s="13">
        <f>'PDE-O&amp;G'!F42</f>
        <v>5070.5069999999987</v>
      </c>
      <c r="O46" s="13">
        <f>'PDE-O&amp;G'!G42</f>
        <v>5340.5339999999997</v>
      </c>
      <c r="P46" s="13">
        <f>'PDE-O&amp;G'!H42</f>
        <v>5610.5609999999997</v>
      </c>
      <c r="Q46" s="13">
        <f>'PDE-O&amp;G'!I42</f>
        <v>5880.5879999999997</v>
      </c>
      <c r="R46" s="13">
        <f>'PDE-O&amp;G'!J42</f>
        <v>6150.6149999999998</v>
      </c>
      <c r="S46" s="13">
        <f>'PDE-O&amp;G'!K42</f>
        <v>6420.6419999999989</v>
      </c>
      <c r="T46" s="13">
        <f>'PDE-O&amp;G'!L42</f>
        <v>6690.6689999999999</v>
      </c>
      <c r="U46" s="13">
        <f>'PDE-O&amp;G'!M42</f>
        <v>6960.695999999999</v>
      </c>
      <c r="V46" s="13">
        <f>'PDE-O&amp;G'!N42</f>
        <v>7230.723</v>
      </c>
      <c r="W46" s="13">
        <f>'PDE-O&amp;G'!O42</f>
        <v>7500.7499999999991</v>
      </c>
    </row>
    <row r="47" spans="1:24" x14ac:dyDescent="0.2">
      <c r="D47" s="13"/>
      <c r="E47" s="13"/>
      <c r="F47" s="13"/>
      <c r="G47" s="13"/>
      <c r="H47" s="13"/>
      <c r="I47" s="13"/>
      <c r="J47" s="13"/>
      <c r="K47" s="13"/>
      <c r="L47" s="13"/>
      <c r="M47" s="13"/>
    </row>
    <row r="48" spans="1:24" x14ac:dyDescent="0.2">
      <c r="A48" s="15"/>
      <c r="B48" s="14"/>
      <c r="D48" s="13"/>
      <c r="E48" s="13"/>
      <c r="F48" s="13"/>
      <c r="G48" s="13"/>
      <c r="H48" s="13"/>
      <c r="I48" s="13"/>
      <c r="J48" s="13"/>
      <c r="K48" s="13"/>
      <c r="L48" s="13"/>
      <c r="M48" s="13"/>
    </row>
    <row r="49" spans="1:23" x14ac:dyDescent="0.2">
      <c r="A49" s="13" t="s">
        <v>140</v>
      </c>
      <c r="B49" s="8" t="s">
        <v>97</v>
      </c>
      <c r="C49" s="9" t="s">
        <v>110</v>
      </c>
      <c r="D49" s="13">
        <v>8594</v>
      </c>
      <c r="E49" s="13">
        <v>7936</v>
      </c>
      <c r="F49" s="13">
        <v>6354</v>
      </c>
      <c r="G49" s="13">
        <v>7006</v>
      </c>
      <c r="H49" s="13">
        <v>4819</v>
      </c>
      <c r="I49" s="13">
        <v>4838</v>
      </c>
      <c r="J49" s="13">
        <v>5410</v>
      </c>
      <c r="K49" s="13">
        <v>5481</v>
      </c>
      <c r="L49" s="13">
        <v>6665</v>
      </c>
      <c r="M49" s="13">
        <v>6122</v>
      </c>
      <c r="N49" s="13">
        <f>AVERAGE(H49:M49)</f>
        <v>5555.833333333333</v>
      </c>
      <c r="O49" s="13">
        <f>$N49</f>
        <v>5555.833333333333</v>
      </c>
      <c r="P49" s="13">
        <f t="shared" ref="P49:W49" si="8">$N49</f>
        <v>5555.833333333333</v>
      </c>
      <c r="Q49" s="13">
        <f t="shared" si="8"/>
        <v>5555.833333333333</v>
      </c>
      <c r="R49" s="13">
        <f t="shared" si="8"/>
        <v>5555.833333333333</v>
      </c>
      <c r="S49" s="13">
        <f t="shared" si="8"/>
        <v>5555.833333333333</v>
      </c>
      <c r="T49" s="13">
        <f t="shared" si="8"/>
        <v>5555.833333333333</v>
      </c>
      <c r="U49" s="13">
        <f t="shared" si="8"/>
        <v>5555.833333333333</v>
      </c>
      <c r="V49" s="13">
        <f t="shared" si="8"/>
        <v>5555.833333333333</v>
      </c>
      <c r="W49" s="13">
        <f t="shared" si="8"/>
        <v>5555.833333333333</v>
      </c>
    </row>
    <row r="50" spans="1:23" x14ac:dyDescent="0.2">
      <c r="A50" s="15">
        <f>23.86*1000000/1000</f>
        <v>23860</v>
      </c>
      <c r="C50" s="9" t="s">
        <v>111</v>
      </c>
      <c r="D50" s="13">
        <v>7449</v>
      </c>
      <c r="E50" s="13">
        <v>9391</v>
      </c>
      <c r="F50" s="13">
        <v>9968</v>
      </c>
      <c r="G50" s="13">
        <v>8805</v>
      </c>
      <c r="H50" s="13">
        <v>9611</v>
      </c>
      <c r="I50" s="13">
        <v>9898</v>
      </c>
      <c r="J50" s="13">
        <v>8675</v>
      </c>
      <c r="K50" s="13">
        <v>6857</v>
      </c>
      <c r="L50" s="13">
        <v>9445</v>
      </c>
      <c r="M50" s="13">
        <v>5735</v>
      </c>
      <c r="N50" s="13">
        <f>AVERAGE(H50:M50)</f>
        <v>8370.1666666666661</v>
      </c>
      <c r="O50" s="13">
        <f>$N50</f>
        <v>8370.1666666666661</v>
      </c>
      <c r="P50" s="13">
        <f t="shared" ref="P50:W50" si="9">$N50</f>
        <v>8370.1666666666661</v>
      </c>
      <c r="Q50" s="13">
        <f t="shared" si="9"/>
        <v>8370.1666666666661</v>
      </c>
      <c r="R50" s="13">
        <f t="shared" si="9"/>
        <v>8370.1666666666661</v>
      </c>
      <c r="S50" s="13">
        <f t="shared" si="9"/>
        <v>8370.1666666666661</v>
      </c>
      <c r="T50" s="13">
        <f t="shared" si="9"/>
        <v>8370.1666666666661</v>
      </c>
      <c r="U50" s="13">
        <f t="shared" si="9"/>
        <v>8370.1666666666661</v>
      </c>
      <c r="V50" s="13">
        <f t="shared" si="9"/>
        <v>8370.1666666666661</v>
      </c>
      <c r="W50" s="13">
        <f t="shared" si="9"/>
        <v>8370.1666666666661</v>
      </c>
    </row>
    <row r="51" spans="1:23" x14ac:dyDescent="0.2">
      <c r="A51" s="31" t="s">
        <v>112</v>
      </c>
      <c r="B51" s="18" t="s">
        <v>141</v>
      </c>
      <c r="C51" s="9" t="s">
        <v>113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</row>
    <row r="53" spans="1:23" x14ac:dyDescent="0.2">
      <c r="A53" s="13" t="s">
        <v>142</v>
      </c>
      <c r="B53" s="8" t="s">
        <v>69</v>
      </c>
      <c r="C53" s="9" t="s">
        <v>143</v>
      </c>
      <c r="D53" s="13">
        <v>117711</v>
      </c>
      <c r="E53" s="13">
        <v>131129</v>
      </c>
      <c r="F53" s="13">
        <v>141716</v>
      </c>
      <c r="G53" s="13">
        <v>146322</v>
      </c>
      <c r="H53" s="13">
        <v>152533</v>
      </c>
      <c r="I53" s="13">
        <v>150468</v>
      </c>
      <c r="J53" s="13">
        <v>161956</v>
      </c>
      <c r="K53" s="13">
        <v>171307</v>
      </c>
      <c r="L53" s="13">
        <v>168784</v>
      </c>
      <c r="M53" s="13">
        <v>175531</v>
      </c>
      <c r="N53" s="13">
        <f>'PDE-O&amp;G'!F6</f>
        <v>193084.1</v>
      </c>
      <c r="O53" s="13">
        <f>'PDE-O&amp;G'!G6</f>
        <v>222339.26666666663</v>
      </c>
      <c r="P53" s="13">
        <f>'PDE-O&amp;G'!H6</f>
        <v>239892.36666666661</v>
      </c>
      <c r="Q53" s="13">
        <f>'PDE-O&amp;G'!I6</f>
        <v>263296.49999999994</v>
      </c>
      <c r="R53" s="13">
        <f>'PDE-O&amp;G'!J6</f>
        <v>274998.56666666665</v>
      </c>
      <c r="S53" s="13">
        <f>'PDE-O&amp;G'!K6</f>
        <v>298402.69999999995</v>
      </c>
      <c r="T53" s="13">
        <f>'PDE-O&amp;G'!L6</f>
        <v>315955.8</v>
      </c>
      <c r="U53" s="13">
        <f>'PDE-O&amp;G'!M6</f>
        <v>310104.7666666666</v>
      </c>
      <c r="V53" s="13">
        <f>'PDE-O&amp;G'!N6</f>
        <v>304253.73333333328</v>
      </c>
      <c r="W53" s="13">
        <f>'PDE-O&amp;G'!O6</f>
        <v>286700.6333333333</v>
      </c>
    </row>
    <row r="54" spans="1:23" x14ac:dyDescent="0.2">
      <c r="A54" s="15">
        <f>35.318*1000000/1000</f>
        <v>35318</v>
      </c>
      <c r="C54" s="9" t="s">
        <v>144</v>
      </c>
      <c r="D54" s="13">
        <v>22891</v>
      </c>
      <c r="E54" s="13">
        <v>20317</v>
      </c>
      <c r="F54" s="13">
        <v>17277</v>
      </c>
      <c r="G54" s="13">
        <v>8988</v>
      </c>
      <c r="H54" s="13">
        <v>8407</v>
      </c>
      <c r="I54" s="13">
        <v>10805</v>
      </c>
      <c r="J54" s="13">
        <v>9972</v>
      </c>
      <c r="K54" s="13">
        <v>9747</v>
      </c>
      <c r="L54" s="13">
        <v>8134</v>
      </c>
      <c r="M54" s="13">
        <v>14280</v>
      </c>
      <c r="N54" s="13">
        <f>'PDE-O&amp;G'!F10</f>
        <v>13016.28318584071</v>
      </c>
      <c r="O54" s="13">
        <f>'PDE-O&amp;G'!G10</f>
        <v>11752.566371681418</v>
      </c>
      <c r="P54" s="13">
        <f>'PDE-O&amp;G'!H10</f>
        <v>10488.849557522128</v>
      </c>
      <c r="Q54" s="13">
        <f>'PDE-O&amp;G'!I10</f>
        <v>10320.353982300889</v>
      </c>
      <c r="R54" s="13">
        <f>'PDE-O&amp;G'!J10</f>
        <v>10151.858407079648</v>
      </c>
      <c r="S54" s="13">
        <f>'PDE-O&amp;G'!K10</f>
        <v>9983.3628318584088</v>
      </c>
      <c r="T54" s="13">
        <f>'PDE-O&amp;G'!L10</f>
        <v>10109.734513274339</v>
      </c>
      <c r="U54" s="13">
        <f>'PDE-O&amp;G'!M10</f>
        <v>10236.106194690268</v>
      </c>
      <c r="V54" s="13">
        <f>'PDE-O&amp;G'!N10</f>
        <v>10362.477876106197</v>
      </c>
      <c r="W54" s="13">
        <f>'PDE-O&amp;G'!O10</f>
        <v>10488.849557522126</v>
      </c>
    </row>
    <row r="55" spans="1:23" x14ac:dyDescent="0.2">
      <c r="A55" s="31" t="s">
        <v>129</v>
      </c>
      <c r="C55" s="9" t="s">
        <v>113</v>
      </c>
      <c r="D55" s="13">
        <v>23046</v>
      </c>
      <c r="E55" s="13">
        <v>30112</v>
      </c>
      <c r="F55" s="13">
        <v>42753</v>
      </c>
      <c r="G55" s="13">
        <v>49172</v>
      </c>
      <c r="H55" s="13">
        <v>60473</v>
      </c>
      <c r="I55" s="13">
        <v>62544</v>
      </c>
      <c r="J55" s="13">
        <v>71277</v>
      </c>
      <c r="K55" s="13">
        <v>79557</v>
      </c>
      <c r="L55" s="13">
        <v>72640</v>
      </c>
      <c r="M55" s="13">
        <v>78092</v>
      </c>
      <c r="N55" s="13">
        <v>0.41</v>
      </c>
      <c r="O55" s="13">
        <v>0.46333333333333332</v>
      </c>
      <c r="P55" s="13">
        <v>0.51666666666666661</v>
      </c>
      <c r="Q55" s="13">
        <v>0.56999999999999995</v>
      </c>
      <c r="R55" s="13">
        <v>0.58666666666666667</v>
      </c>
      <c r="S55" s="13">
        <v>0.60333333333333328</v>
      </c>
      <c r="T55" s="13">
        <v>0.62</v>
      </c>
      <c r="U55" s="13">
        <v>0.61749999999999994</v>
      </c>
      <c r="V55" s="13">
        <v>0.61499999999999999</v>
      </c>
      <c r="W55" s="13">
        <v>0.61250000000000004</v>
      </c>
    </row>
    <row r="56" spans="1:23" x14ac:dyDescent="0.2"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</row>
    <row r="57" spans="1:23" x14ac:dyDescent="0.2">
      <c r="A57" s="13" t="s">
        <v>145</v>
      </c>
      <c r="B57" s="8" t="s">
        <v>69</v>
      </c>
      <c r="C57" s="9" t="s">
        <v>110</v>
      </c>
      <c r="D57" s="13">
        <v>15385</v>
      </c>
      <c r="E57" s="13">
        <v>16226</v>
      </c>
      <c r="F57" s="13">
        <v>14826</v>
      </c>
      <c r="G57" s="13">
        <v>11989</v>
      </c>
      <c r="H57" s="13">
        <v>12240</v>
      </c>
      <c r="I57" s="13">
        <v>11154</v>
      </c>
      <c r="J57" s="13">
        <v>12236</v>
      </c>
      <c r="K57" s="13">
        <v>17517</v>
      </c>
      <c r="L57" s="13">
        <v>17219</v>
      </c>
      <c r="M57" s="13">
        <v>18444</v>
      </c>
      <c r="N57" s="13">
        <f>'PDE-O&amp;G'!E52</f>
        <v>18213.5</v>
      </c>
      <c r="O57" s="13">
        <f>'PDE-O&amp;G'!F52</f>
        <v>18408.166666666664</v>
      </c>
      <c r="P57" s="13">
        <f>'PDE-O&amp;G'!G52</f>
        <v>18602.833333333336</v>
      </c>
      <c r="Q57" s="13">
        <f>'PDE-O&amp;G'!H52</f>
        <v>18797.5</v>
      </c>
      <c r="R57" s="13">
        <f>'PDE-O&amp;G'!I52</f>
        <v>18481.166666666668</v>
      </c>
      <c r="S57" s="13">
        <f>'PDE-O&amp;G'!J52</f>
        <v>18164.833333333332</v>
      </c>
      <c r="T57" s="13">
        <f>'PDE-O&amp;G'!K52</f>
        <v>17848.5</v>
      </c>
      <c r="U57" s="13">
        <f>'PDE-O&amp;G'!L52</f>
        <v>17282.75</v>
      </c>
      <c r="V57" s="13">
        <f>'PDE-O&amp;G'!M52</f>
        <v>16717</v>
      </c>
      <c r="W57" s="13">
        <f>'PDE-O&amp;G'!N52</f>
        <v>16151.25</v>
      </c>
    </row>
    <row r="58" spans="1:23" x14ac:dyDescent="0.2">
      <c r="A58" s="15">
        <f>37.977*1000000/1000</f>
        <v>37977</v>
      </c>
      <c r="C58" s="9" t="s">
        <v>111</v>
      </c>
      <c r="D58" s="13">
        <v>96</v>
      </c>
      <c r="E58" s="13">
        <v>399</v>
      </c>
      <c r="F58" s="13">
        <v>355</v>
      </c>
      <c r="G58" s="13">
        <v>65</v>
      </c>
      <c r="H58" s="13">
        <v>75</v>
      </c>
      <c r="I58" s="13">
        <v>319</v>
      </c>
      <c r="J58" s="13">
        <v>56</v>
      </c>
      <c r="K58" s="13">
        <v>39</v>
      </c>
      <c r="L58" s="13">
        <v>622</v>
      </c>
      <c r="M58" s="13">
        <v>211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</row>
    <row r="59" spans="1:23" x14ac:dyDescent="0.2">
      <c r="A59" s="31" t="s">
        <v>129</v>
      </c>
      <c r="C59" s="9" t="s">
        <v>113</v>
      </c>
      <c r="D59" s="13">
        <v>8864</v>
      </c>
      <c r="E59" s="13">
        <v>8474</v>
      </c>
      <c r="F59" s="13">
        <v>8069</v>
      </c>
      <c r="G59" s="13">
        <v>7000</v>
      </c>
      <c r="H59" s="13">
        <v>7297</v>
      </c>
      <c r="I59" s="13">
        <v>8106</v>
      </c>
      <c r="J59" s="13">
        <v>9233</v>
      </c>
      <c r="K59" s="13">
        <v>14508</v>
      </c>
      <c r="L59" s="13">
        <v>12787</v>
      </c>
      <c r="M59" s="13">
        <v>15248</v>
      </c>
      <c r="N59" s="13">
        <v>-19.7</v>
      </c>
      <c r="O59" s="13">
        <v>-20.399999999999999</v>
      </c>
      <c r="P59" s="13">
        <v>-21.099999999999998</v>
      </c>
      <c r="Q59" s="13">
        <v>-21.799999999999997</v>
      </c>
      <c r="R59" s="13">
        <v>-22.499999999999996</v>
      </c>
      <c r="S59" s="13">
        <v>-23.199999999999996</v>
      </c>
      <c r="T59" s="13">
        <v>-23.899999999999995</v>
      </c>
      <c r="U59" s="13">
        <v>-24.599999999999994</v>
      </c>
      <c r="V59" s="13">
        <v>-25.299999999999994</v>
      </c>
      <c r="W59" s="13">
        <v>-26</v>
      </c>
    </row>
    <row r="60" spans="1:23" x14ac:dyDescent="0.2"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</row>
    <row r="61" spans="1:23" x14ac:dyDescent="0.2">
      <c r="A61" s="13" t="s">
        <v>146</v>
      </c>
      <c r="B61" s="8" t="s">
        <v>69</v>
      </c>
      <c r="C61" s="9" t="s">
        <v>110</v>
      </c>
      <c r="D61" s="13">
        <v>10351</v>
      </c>
      <c r="E61" s="13">
        <v>10085</v>
      </c>
      <c r="F61" s="13">
        <v>10420</v>
      </c>
      <c r="G61" s="13">
        <v>10211</v>
      </c>
      <c r="H61" s="13">
        <v>10371</v>
      </c>
      <c r="I61" s="13">
        <v>10092</v>
      </c>
      <c r="J61" s="13">
        <v>9749</v>
      </c>
      <c r="K61" s="13">
        <v>9913</v>
      </c>
      <c r="L61" s="13">
        <v>9610</v>
      </c>
      <c r="M61" s="13">
        <v>10025</v>
      </c>
      <c r="N61" s="13">
        <f>'PDE-O&amp;G'!F57</f>
        <v>11096</v>
      </c>
      <c r="O61" s="13">
        <f>'PDE-O&amp;G'!G57</f>
        <v>12081.499999999998</v>
      </c>
      <c r="P61" s="13">
        <f>'PDE-O&amp;G'!H57</f>
        <v>13066.999999999998</v>
      </c>
      <c r="Q61" s="13">
        <f>'PDE-O&amp;G'!I57</f>
        <v>13298.166666666666</v>
      </c>
      <c r="R61" s="13">
        <f>'PDE-O&amp;G'!J57</f>
        <v>13529.333333333334</v>
      </c>
      <c r="S61" s="13">
        <f>'PDE-O&amp;G'!K57</f>
        <v>13760.500000000002</v>
      </c>
      <c r="T61" s="13">
        <f>'PDE-O&amp;G'!L57</f>
        <v>14235</v>
      </c>
      <c r="U61" s="13">
        <f>'PDE-O&amp;G'!M57</f>
        <v>14709.499999999998</v>
      </c>
      <c r="V61" s="13">
        <f>'PDE-O&amp;G'!N57</f>
        <v>15184</v>
      </c>
      <c r="W61" s="13">
        <f>'PDE-O&amp;G'!O57</f>
        <v>15658.5</v>
      </c>
    </row>
    <row r="62" spans="1:23" x14ac:dyDescent="0.2">
      <c r="A62" s="15">
        <f>25.58*1000000/1000</f>
        <v>25580</v>
      </c>
      <c r="C62" s="9" t="s">
        <v>111</v>
      </c>
      <c r="D62" s="13">
        <v>3372</v>
      </c>
      <c r="E62" s="13">
        <v>3726</v>
      </c>
      <c r="F62" s="13">
        <v>3191</v>
      </c>
      <c r="G62" s="13">
        <v>3455</v>
      </c>
      <c r="H62" s="13">
        <v>3293</v>
      </c>
      <c r="I62" s="13">
        <v>3487</v>
      </c>
      <c r="J62" s="13">
        <v>3555</v>
      </c>
      <c r="K62" s="13">
        <v>3657</v>
      </c>
      <c r="L62" s="13">
        <v>4017</v>
      </c>
      <c r="M62" s="13">
        <v>3509</v>
      </c>
      <c r="N62" s="13">
        <f>'PDE-O&amp;G'!F59</f>
        <v>4292.7058354114715</v>
      </c>
      <c r="O62" s="13">
        <f>'PDE-O&amp;G'!G59</f>
        <v>3717.7898753117202</v>
      </c>
      <c r="P62" s="13">
        <f>'PDE-O&amp;G'!H59</f>
        <v>3130.0980049875307</v>
      </c>
      <c r="Q62" s="13">
        <f>'PDE-O&amp;G'!I59</f>
        <v>2529.6302244389026</v>
      </c>
      <c r="R62" s="13">
        <f>'PDE-O&amp;G'!J59</f>
        <v>1916.386533665835</v>
      </c>
      <c r="S62" s="13">
        <f>'PDE-O&amp;G'!K59</f>
        <v>1290.3669326683291</v>
      </c>
      <c r="T62" s="13">
        <f>'PDE-O&amp;G'!L59</f>
        <v>651.57142144638397</v>
      </c>
      <c r="U62" s="13">
        <f>'PDE-O&amp;G'!M59</f>
        <v>0</v>
      </c>
      <c r="V62" s="13">
        <f>'PDE-O&amp;G'!N59</f>
        <v>0</v>
      </c>
      <c r="W62" s="13">
        <f>'PDE-O&amp;G'!O59</f>
        <v>0</v>
      </c>
    </row>
    <row r="63" spans="1:23" x14ac:dyDescent="0.2">
      <c r="A63" s="31" t="s">
        <v>129</v>
      </c>
      <c r="C63" s="9" t="s">
        <v>113</v>
      </c>
      <c r="D63" s="13">
        <v>90</v>
      </c>
      <c r="E63" s="13">
        <v>18</v>
      </c>
      <c r="F63" s="13">
        <v>27</v>
      </c>
      <c r="G63" s="13">
        <v>0</v>
      </c>
      <c r="H63" s="13">
        <v>2</v>
      </c>
      <c r="I63" s="13">
        <v>1</v>
      </c>
      <c r="J63" s="13">
        <v>1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</row>
    <row r="64" spans="1:23" x14ac:dyDescent="0.2"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</row>
    <row r="65" spans="1:23" x14ac:dyDescent="0.2">
      <c r="A65" s="13" t="s">
        <v>61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</row>
    <row r="66" spans="1:23" x14ac:dyDescent="0.2">
      <c r="A66" s="13" t="s">
        <v>147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22"/>
  <sheetViews>
    <sheetView workbookViewId="0">
      <selection activeCell="B1" sqref="B1:AG1"/>
    </sheetView>
  </sheetViews>
  <sheetFormatPr baseColWidth="10" defaultColWidth="8.83203125" defaultRowHeight="15" x14ac:dyDescent="0.2"/>
  <cols>
    <col min="1" max="1" width="36.33203125" customWidth="1"/>
    <col min="2" max="33" width="13" customWidth="1"/>
  </cols>
  <sheetData>
    <row r="1" spans="1:33" ht="16" x14ac:dyDescent="0.2">
      <c r="A1" s="6" t="s">
        <v>148</v>
      </c>
      <c r="B1" s="5">
        <v>2019</v>
      </c>
      <c r="C1">
        <v>2020</v>
      </c>
      <c r="D1" s="5">
        <v>2021</v>
      </c>
      <c r="E1">
        <v>2022</v>
      </c>
      <c r="F1" s="5">
        <v>2023</v>
      </c>
      <c r="G1">
        <v>2024</v>
      </c>
      <c r="H1" s="5">
        <v>2025</v>
      </c>
      <c r="I1">
        <v>2026</v>
      </c>
      <c r="J1" s="5">
        <v>2027</v>
      </c>
      <c r="K1">
        <v>2028</v>
      </c>
      <c r="L1" s="5">
        <v>2029</v>
      </c>
      <c r="M1">
        <v>2030</v>
      </c>
      <c r="N1" s="5">
        <v>2031</v>
      </c>
      <c r="O1">
        <v>2032</v>
      </c>
      <c r="P1" s="5">
        <v>2033</v>
      </c>
      <c r="Q1" s="5">
        <v>2034</v>
      </c>
      <c r="R1" s="5">
        <v>2035</v>
      </c>
      <c r="S1" s="5">
        <v>2036</v>
      </c>
      <c r="T1" s="5">
        <v>2037</v>
      </c>
      <c r="U1" s="5">
        <v>2038</v>
      </c>
      <c r="V1" s="5">
        <v>2039</v>
      </c>
      <c r="W1" s="5">
        <v>2040</v>
      </c>
      <c r="X1" s="5">
        <v>2041</v>
      </c>
      <c r="Y1" s="5">
        <v>2042</v>
      </c>
      <c r="Z1" s="5">
        <v>2043</v>
      </c>
      <c r="AA1" s="5">
        <v>2044</v>
      </c>
      <c r="AB1" s="5">
        <v>2045</v>
      </c>
      <c r="AC1" s="5">
        <v>2046</v>
      </c>
      <c r="AD1" s="5">
        <v>2047</v>
      </c>
      <c r="AE1" s="5">
        <v>2048</v>
      </c>
      <c r="AF1" s="5">
        <v>2049</v>
      </c>
      <c r="AG1" s="5">
        <v>2050</v>
      </c>
    </row>
    <row r="2" spans="1:33" ht="16" x14ac:dyDescent="0.2">
      <c r="A2" s="6" t="s">
        <v>149</v>
      </c>
      <c r="B2" s="33">
        <v>0</v>
      </c>
      <c r="C2" s="33">
        <v>0</v>
      </c>
      <c r="D2" s="33">
        <v>0</v>
      </c>
      <c r="E2" s="33">
        <v>0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0</v>
      </c>
      <c r="M2" s="33">
        <v>0</v>
      </c>
      <c r="N2" s="33">
        <v>0</v>
      </c>
      <c r="O2" s="33">
        <v>0</v>
      </c>
      <c r="P2" s="33">
        <f>AVERAGE(B2:O2)</f>
        <v>0</v>
      </c>
      <c r="Q2" s="33">
        <f t="shared" ref="Q2:AG8" si="0">AVERAGE(C2:P2)</f>
        <v>0</v>
      </c>
      <c r="R2" s="33">
        <f t="shared" si="0"/>
        <v>0</v>
      </c>
      <c r="S2" s="33">
        <f t="shared" si="0"/>
        <v>0</v>
      </c>
      <c r="T2" s="33">
        <f t="shared" si="0"/>
        <v>0</v>
      </c>
      <c r="U2" s="33">
        <f t="shared" si="0"/>
        <v>0</v>
      </c>
      <c r="V2" s="33">
        <f t="shared" si="0"/>
        <v>0</v>
      </c>
      <c r="W2" s="33">
        <f t="shared" si="0"/>
        <v>0</v>
      </c>
      <c r="X2" s="33">
        <f t="shared" si="0"/>
        <v>0</v>
      </c>
      <c r="Y2" s="33">
        <f t="shared" si="0"/>
        <v>0</v>
      </c>
      <c r="Z2" s="33">
        <f t="shared" si="0"/>
        <v>0</v>
      </c>
      <c r="AA2" s="33">
        <f t="shared" si="0"/>
        <v>0</v>
      </c>
      <c r="AB2" s="33">
        <f t="shared" si="0"/>
        <v>0</v>
      </c>
      <c r="AC2" s="33">
        <f t="shared" si="0"/>
        <v>0</v>
      </c>
      <c r="AD2" s="33">
        <f t="shared" si="0"/>
        <v>0</v>
      </c>
      <c r="AE2" s="33">
        <f t="shared" si="0"/>
        <v>0</v>
      </c>
      <c r="AF2" s="33">
        <f t="shared" si="0"/>
        <v>0</v>
      </c>
      <c r="AG2" s="33">
        <f t="shared" si="0"/>
        <v>0</v>
      </c>
    </row>
    <row r="3" spans="1:33" x14ac:dyDescent="0.2">
      <c r="A3" s="1" t="s">
        <v>55</v>
      </c>
      <c r="B3" s="33">
        <f>BEN!$A$5*BEN!J4</f>
        <v>0</v>
      </c>
      <c r="C3" s="33">
        <f>BEN!$A$5*BEN!K4</f>
        <v>0</v>
      </c>
      <c r="D3" s="33">
        <f>BEN!$A$5*BEN!L4</f>
        <v>0</v>
      </c>
      <c r="E3" s="33">
        <f>BEN!$A$5*BEN!M4</f>
        <v>0</v>
      </c>
      <c r="F3" s="33">
        <f>BEN!$A$5*BEN!N4</f>
        <v>0</v>
      </c>
      <c r="G3" s="33">
        <f>BEN!$A$5*BEN!O4</f>
        <v>0</v>
      </c>
      <c r="H3" s="33">
        <f>BEN!$A$5*BEN!P4</f>
        <v>0</v>
      </c>
      <c r="I3" s="33">
        <f>BEN!$A$5*BEN!Q4</f>
        <v>0</v>
      </c>
      <c r="J3" s="33">
        <f>BEN!$A$5*BEN!R4</f>
        <v>0</v>
      </c>
      <c r="K3" s="33">
        <f>BEN!$A$5*BEN!S4</f>
        <v>0</v>
      </c>
      <c r="L3" s="33">
        <f>BEN!$A$5*BEN!T4</f>
        <v>0</v>
      </c>
      <c r="M3" s="33">
        <f>BEN!$A$5*BEN!U4</f>
        <v>0</v>
      </c>
      <c r="N3" s="33">
        <f>BEN!$A$5*BEN!V4</f>
        <v>0</v>
      </c>
      <c r="O3" s="33">
        <f>BEN!$A$5*BEN!W4</f>
        <v>0</v>
      </c>
      <c r="P3" s="33">
        <f t="shared" ref="P3:P22" si="1">AVERAGE(B3:O3)</f>
        <v>0</v>
      </c>
      <c r="Q3" s="33">
        <f t="shared" si="0"/>
        <v>0</v>
      </c>
      <c r="R3" s="33">
        <f t="shared" si="0"/>
        <v>0</v>
      </c>
      <c r="S3" s="33">
        <f t="shared" si="0"/>
        <v>0</v>
      </c>
      <c r="T3" s="33">
        <f t="shared" si="0"/>
        <v>0</v>
      </c>
      <c r="U3" s="33">
        <f t="shared" si="0"/>
        <v>0</v>
      </c>
      <c r="V3" s="33">
        <f t="shared" si="0"/>
        <v>0</v>
      </c>
      <c r="W3" s="33">
        <f t="shared" si="0"/>
        <v>0</v>
      </c>
      <c r="X3" s="33">
        <f t="shared" si="0"/>
        <v>0</v>
      </c>
      <c r="Y3" s="33">
        <f t="shared" si="0"/>
        <v>0</v>
      </c>
      <c r="Z3" s="33">
        <f t="shared" si="0"/>
        <v>0</v>
      </c>
      <c r="AA3" s="33">
        <f t="shared" si="0"/>
        <v>0</v>
      </c>
      <c r="AB3" s="33">
        <f t="shared" si="0"/>
        <v>0</v>
      </c>
      <c r="AC3" s="33">
        <f t="shared" si="0"/>
        <v>0</v>
      </c>
      <c r="AD3" s="33">
        <f t="shared" si="0"/>
        <v>0</v>
      </c>
      <c r="AE3" s="33">
        <f t="shared" si="0"/>
        <v>0</v>
      </c>
      <c r="AF3" s="33">
        <f t="shared" si="0"/>
        <v>0</v>
      </c>
      <c r="AG3" s="33">
        <f t="shared" si="0"/>
        <v>0</v>
      </c>
    </row>
    <row r="4" spans="1:33" x14ac:dyDescent="0.2">
      <c r="A4" s="1" t="s">
        <v>13</v>
      </c>
      <c r="B4" s="34">
        <f>BEN!$A$9*BEN!J8</f>
        <v>1061239</v>
      </c>
      <c r="C4" s="34">
        <f>BEN!$A$9*BEN!K8</f>
        <v>982478.39999999991</v>
      </c>
      <c r="D4" s="34">
        <f>BEN!$A$9*BEN!L8</f>
        <v>999932.6</v>
      </c>
      <c r="E4" s="34">
        <f>BEN!$A$9*BEN!M8</f>
        <v>957971.6</v>
      </c>
      <c r="F4" s="34">
        <f>BEN!$A$9*BEN!N8</f>
        <v>1035432</v>
      </c>
      <c r="G4" s="34">
        <f>BEN!$A$9*BEN!O8</f>
        <v>1078575</v>
      </c>
      <c r="H4" s="34">
        <f>BEN!$A$9*BEN!P8</f>
        <v>1092956</v>
      </c>
      <c r="I4" s="34">
        <f>BEN!$A$9*BEN!Q8</f>
        <v>1121718</v>
      </c>
      <c r="J4" s="34">
        <f>BEN!$A$9*BEN!R8</f>
        <v>1366195</v>
      </c>
      <c r="K4" s="34">
        <f>BEN!$A$9*BEN!S8</f>
        <v>1581910</v>
      </c>
      <c r="L4" s="34">
        <f>BEN!$A$9*BEN!T8</f>
        <v>1668196</v>
      </c>
      <c r="M4" s="34">
        <f>BEN!$A$9*BEN!U8</f>
        <v>1740101</v>
      </c>
      <c r="N4" s="34">
        <f>BEN!$A$9*BEN!V8</f>
        <v>1855149</v>
      </c>
      <c r="O4" s="34">
        <f>BEN!$A$9*BEN!W8</f>
        <v>1927054</v>
      </c>
      <c r="P4" s="33">
        <f t="shared" si="1"/>
        <v>1319207.6857142858</v>
      </c>
      <c r="Q4" s="33">
        <f t="shared" si="0"/>
        <v>1337634.0204081633</v>
      </c>
      <c r="R4" s="33">
        <f t="shared" si="0"/>
        <v>1363002.2790087464</v>
      </c>
      <c r="S4" s="33">
        <f t="shared" si="0"/>
        <v>1388935.8275093711</v>
      </c>
      <c r="T4" s="33">
        <f t="shared" si="0"/>
        <v>1419718.9866171833</v>
      </c>
      <c r="U4" s="33">
        <f t="shared" si="0"/>
        <v>1447168.0570898391</v>
      </c>
      <c r="V4" s="33">
        <f t="shared" si="0"/>
        <v>1473496.1325962562</v>
      </c>
      <c r="W4" s="33">
        <f t="shared" si="0"/>
        <v>1500677.5706388461</v>
      </c>
      <c r="X4" s="33">
        <f t="shared" si="0"/>
        <v>1527746.1113987637</v>
      </c>
      <c r="Y4" s="33">
        <f t="shared" si="0"/>
        <v>1539285.4764986753</v>
      </c>
      <c r="Z4" s="33">
        <f t="shared" si="0"/>
        <v>1536240.8676771522</v>
      </c>
      <c r="AA4" s="33">
        <f t="shared" si="0"/>
        <v>1526815.501082663</v>
      </c>
      <c r="AB4" s="33">
        <f t="shared" si="0"/>
        <v>1511580.8225885674</v>
      </c>
      <c r="AC4" s="33">
        <f t="shared" si="0"/>
        <v>1487040.2384877508</v>
      </c>
      <c r="AD4" s="33">
        <f t="shared" si="0"/>
        <v>1455610.6840940188</v>
      </c>
      <c r="AE4" s="33">
        <f t="shared" si="0"/>
        <v>1465353.7554068568</v>
      </c>
      <c r="AF4" s="33">
        <f t="shared" si="0"/>
        <v>1474476.5936210493</v>
      </c>
      <c r="AG4" s="33">
        <f t="shared" si="0"/>
        <v>1482439.044664785</v>
      </c>
    </row>
    <row r="5" spans="1:33" x14ac:dyDescent="0.2">
      <c r="A5" s="1" t="s">
        <v>57</v>
      </c>
      <c r="B5" s="33">
        <f>BEN!$A$15*BEN!J14</f>
        <v>0</v>
      </c>
      <c r="C5" s="33">
        <f>BEN!$A$15*BEN!K14</f>
        <v>2801103.7461792375</v>
      </c>
      <c r="D5" s="33">
        <f>BEN!$A$15*BEN!L14</f>
        <v>4663906.7300915383</v>
      </c>
      <c r="E5" s="33">
        <f>BEN!$A$15*BEN!M14</f>
        <v>7023457.1763804527</v>
      </c>
      <c r="F5" s="33">
        <f>BEN!$A$15*BEN!N14</f>
        <v>7023457.1763804527</v>
      </c>
      <c r="G5" s="33">
        <f>BEN!$A$15*BEN!O14</f>
        <v>7023457.1763804527</v>
      </c>
      <c r="H5" s="33">
        <f>BEN!$A$15*BEN!P14</f>
        <v>7023457.1763804527</v>
      </c>
      <c r="I5" s="33">
        <f>BEN!$A$15*BEN!Q14</f>
        <v>7023457.1763804527</v>
      </c>
      <c r="J5" s="33">
        <f>BEN!$A$15*BEN!R14</f>
        <v>7023457.1763804527</v>
      </c>
      <c r="K5" s="33">
        <f>BEN!$A$15*BEN!S14</f>
        <v>7023457.1763804527</v>
      </c>
      <c r="L5" s="33">
        <f>BEN!$A$15*BEN!T14</f>
        <v>7023457.1763804527</v>
      </c>
      <c r="M5" s="33">
        <f>BEN!$A$15*BEN!U14</f>
        <v>7023457.1763804527</v>
      </c>
      <c r="N5" s="33">
        <f>BEN!$A$15*BEN!V14</f>
        <v>7023457.1763804527</v>
      </c>
      <c r="O5" s="33">
        <f>BEN!$A$15*BEN!W14</f>
        <v>7023457.1763804527</v>
      </c>
      <c r="P5" s="33">
        <f t="shared" si="1"/>
        <v>6051645.6726039844</v>
      </c>
      <c r="Q5" s="33">
        <f t="shared" si="0"/>
        <v>6483906.0777899828</v>
      </c>
      <c r="R5" s="33">
        <f t="shared" si="0"/>
        <v>6746963.3871907489</v>
      </c>
      <c r="S5" s="33">
        <f t="shared" si="0"/>
        <v>6895753.1484121215</v>
      </c>
      <c r="T5" s="33">
        <f t="shared" si="0"/>
        <v>6886631.4321286688</v>
      </c>
      <c r="U5" s="33">
        <f t="shared" si="0"/>
        <v>6876858.1646821126</v>
      </c>
      <c r="V5" s="33">
        <f t="shared" si="0"/>
        <v>6866386.8067036616</v>
      </c>
      <c r="W5" s="33">
        <f t="shared" si="0"/>
        <v>6855167.4945838898</v>
      </c>
      <c r="X5" s="33">
        <f t="shared" si="0"/>
        <v>6843146.8030269919</v>
      </c>
      <c r="Y5" s="33">
        <f t="shared" si="0"/>
        <v>6830267.4906446021</v>
      </c>
      <c r="Z5" s="33">
        <f t="shared" si="0"/>
        <v>6816468.2273777556</v>
      </c>
      <c r="AA5" s="33">
        <f t="shared" si="0"/>
        <v>6801683.3024489908</v>
      </c>
      <c r="AB5" s="33">
        <f t="shared" si="0"/>
        <v>6785842.3114538873</v>
      </c>
      <c r="AC5" s="33">
        <f t="shared" si="0"/>
        <v>6768869.8211019905</v>
      </c>
      <c r="AD5" s="33">
        <f t="shared" si="0"/>
        <v>6750685.0100106718</v>
      </c>
      <c r="AE5" s="33">
        <f t="shared" si="0"/>
        <v>6800616.391254006</v>
      </c>
      <c r="AF5" s="33">
        <f t="shared" si="0"/>
        <v>6823238.556501436</v>
      </c>
      <c r="AG5" s="33">
        <f t="shared" si="0"/>
        <v>6828686.782880771</v>
      </c>
    </row>
    <row r="6" spans="1:33" x14ac:dyDescent="0.2">
      <c r="A6" s="1" t="s">
        <v>150</v>
      </c>
      <c r="B6" s="33">
        <v>0</v>
      </c>
      <c r="C6" s="33">
        <v>0</v>
      </c>
      <c r="D6" s="33">
        <v>0</v>
      </c>
      <c r="E6" s="33">
        <v>0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0</v>
      </c>
      <c r="M6" s="33">
        <v>0</v>
      </c>
      <c r="N6" s="33">
        <v>0</v>
      </c>
      <c r="O6" s="33">
        <v>0</v>
      </c>
      <c r="P6" s="33">
        <f t="shared" si="1"/>
        <v>0</v>
      </c>
      <c r="Q6" s="33">
        <f t="shared" si="0"/>
        <v>0</v>
      </c>
      <c r="R6" s="33">
        <f t="shared" si="0"/>
        <v>0</v>
      </c>
      <c r="S6" s="33">
        <f t="shared" si="0"/>
        <v>0</v>
      </c>
      <c r="T6" s="33">
        <f t="shared" si="0"/>
        <v>0</v>
      </c>
      <c r="U6" s="33">
        <f t="shared" si="0"/>
        <v>0</v>
      </c>
      <c r="V6" s="33">
        <f t="shared" si="0"/>
        <v>0</v>
      </c>
      <c r="W6" s="33">
        <f t="shared" si="0"/>
        <v>0</v>
      </c>
      <c r="X6" s="33">
        <f t="shared" si="0"/>
        <v>0</v>
      </c>
      <c r="Y6" s="33">
        <f t="shared" si="0"/>
        <v>0</v>
      </c>
      <c r="Z6" s="33">
        <f t="shared" si="0"/>
        <v>0</v>
      </c>
      <c r="AA6" s="33">
        <f t="shared" si="0"/>
        <v>0</v>
      </c>
      <c r="AB6" s="33">
        <f t="shared" si="0"/>
        <v>0</v>
      </c>
      <c r="AC6" s="33">
        <f t="shared" si="0"/>
        <v>0</v>
      </c>
      <c r="AD6" s="33">
        <f t="shared" si="0"/>
        <v>0</v>
      </c>
      <c r="AE6" s="33">
        <f t="shared" si="0"/>
        <v>0</v>
      </c>
      <c r="AF6" s="33">
        <f t="shared" si="0"/>
        <v>0</v>
      </c>
      <c r="AG6" s="33">
        <f t="shared" si="0"/>
        <v>0</v>
      </c>
    </row>
    <row r="7" spans="1:33" x14ac:dyDescent="0.2">
      <c r="A7" s="1" t="s">
        <v>151</v>
      </c>
      <c r="B7" s="33">
        <v>0</v>
      </c>
      <c r="C7" s="33">
        <v>0</v>
      </c>
      <c r="D7" s="33">
        <v>0</v>
      </c>
      <c r="E7" s="33">
        <v>0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0</v>
      </c>
      <c r="M7" s="33">
        <v>0</v>
      </c>
      <c r="N7" s="33">
        <v>0</v>
      </c>
      <c r="O7" s="33">
        <v>0</v>
      </c>
      <c r="P7" s="33">
        <f t="shared" si="1"/>
        <v>0</v>
      </c>
      <c r="Q7" s="33">
        <f t="shared" si="0"/>
        <v>0</v>
      </c>
      <c r="R7" s="33">
        <f t="shared" si="0"/>
        <v>0</v>
      </c>
      <c r="S7" s="33">
        <f t="shared" si="0"/>
        <v>0</v>
      </c>
      <c r="T7" s="33">
        <f t="shared" si="0"/>
        <v>0</v>
      </c>
      <c r="U7" s="33">
        <f t="shared" si="0"/>
        <v>0</v>
      </c>
      <c r="V7" s="33">
        <f t="shared" si="0"/>
        <v>0</v>
      </c>
      <c r="W7" s="33">
        <f t="shared" si="0"/>
        <v>0</v>
      </c>
      <c r="X7" s="33">
        <f t="shared" si="0"/>
        <v>0</v>
      </c>
      <c r="Y7" s="33">
        <f t="shared" si="0"/>
        <v>0</v>
      </c>
      <c r="Z7" s="33">
        <f t="shared" si="0"/>
        <v>0</v>
      </c>
      <c r="AA7" s="33">
        <f t="shared" si="0"/>
        <v>0</v>
      </c>
      <c r="AB7" s="33">
        <f t="shared" si="0"/>
        <v>0</v>
      </c>
      <c r="AC7" s="33">
        <f t="shared" si="0"/>
        <v>0</v>
      </c>
      <c r="AD7" s="33">
        <f t="shared" si="0"/>
        <v>0</v>
      </c>
      <c r="AE7" s="33">
        <f t="shared" si="0"/>
        <v>0</v>
      </c>
      <c r="AF7" s="33">
        <f t="shared" si="0"/>
        <v>0</v>
      </c>
      <c r="AG7" s="33">
        <f t="shared" si="0"/>
        <v>0</v>
      </c>
    </row>
    <row r="8" spans="1:33" x14ac:dyDescent="0.2">
      <c r="A8" s="1" t="s">
        <v>152</v>
      </c>
      <c r="B8" s="33">
        <v>0</v>
      </c>
      <c r="C8" s="33">
        <v>0</v>
      </c>
      <c r="D8" s="33">
        <v>0</v>
      </c>
      <c r="E8" s="33">
        <v>0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0</v>
      </c>
      <c r="M8" s="33">
        <v>0</v>
      </c>
      <c r="N8" s="33">
        <v>0</v>
      </c>
      <c r="O8" s="33">
        <v>0</v>
      </c>
      <c r="P8" s="33">
        <f t="shared" si="1"/>
        <v>0</v>
      </c>
      <c r="Q8" s="33">
        <f t="shared" si="0"/>
        <v>0</v>
      </c>
      <c r="R8" s="33">
        <f t="shared" si="0"/>
        <v>0</v>
      </c>
      <c r="S8" s="33">
        <f t="shared" si="0"/>
        <v>0</v>
      </c>
      <c r="T8" s="33">
        <f t="shared" si="0"/>
        <v>0</v>
      </c>
      <c r="U8" s="33">
        <f t="shared" si="0"/>
        <v>0</v>
      </c>
      <c r="V8" s="33">
        <f t="shared" si="0"/>
        <v>0</v>
      </c>
      <c r="W8" s="33">
        <f t="shared" si="0"/>
        <v>0</v>
      </c>
      <c r="X8" s="33">
        <f t="shared" si="0"/>
        <v>0</v>
      </c>
      <c r="Y8" s="33">
        <f t="shared" si="0"/>
        <v>0</v>
      </c>
      <c r="Z8" s="33">
        <f t="shared" si="0"/>
        <v>0</v>
      </c>
      <c r="AA8" s="33">
        <f t="shared" si="0"/>
        <v>0</v>
      </c>
      <c r="AB8" s="33">
        <f t="shared" si="0"/>
        <v>0</v>
      </c>
      <c r="AC8" s="33">
        <f t="shared" si="0"/>
        <v>0</v>
      </c>
      <c r="AD8" s="33">
        <f t="shared" si="0"/>
        <v>0</v>
      </c>
      <c r="AE8" s="33">
        <f t="shared" si="0"/>
        <v>0</v>
      </c>
      <c r="AF8" s="33">
        <f t="shared" si="0"/>
        <v>0</v>
      </c>
      <c r="AG8" s="33">
        <f t="shared" si="0"/>
        <v>0</v>
      </c>
    </row>
    <row r="9" spans="1:33" x14ac:dyDescent="0.2">
      <c r="A9" s="1" t="s">
        <v>15</v>
      </c>
      <c r="B9" s="33">
        <f>BEN!$A$20*BEN!J19</f>
        <v>2148057600</v>
      </c>
      <c r="C9" s="33">
        <f>BEN!$A$20*BEN!K19</f>
        <v>2313221300</v>
      </c>
      <c r="D9" s="33">
        <f>BEN!$A$20*BEN!L19</f>
        <v>2155755550</v>
      </c>
      <c r="E9" s="33">
        <f>BEN!$A$20*BEN!M19</f>
        <v>2128149400</v>
      </c>
      <c r="F9" s="33">
        <f>BEN!$A$20*BEN!N19</f>
        <v>1412032112.4000003</v>
      </c>
      <c r="G9" s="33">
        <f>BEN!$A$20*BEN!O19</f>
        <v>1496966374.8</v>
      </c>
      <c r="H9" s="33">
        <f>BEN!$A$20*BEN!P19</f>
        <v>1581900637.2</v>
      </c>
      <c r="I9" s="33">
        <f>BEN!$A$20*BEN!Q19</f>
        <v>1666834899.5999997</v>
      </c>
      <c r="J9" s="33">
        <f>BEN!$A$20*BEN!R19</f>
        <v>1751769162</v>
      </c>
      <c r="K9" s="33">
        <f>BEN!$A$20*BEN!S19</f>
        <v>1836703424.3999999</v>
      </c>
      <c r="L9" s="33">
        <f>BEN!$A$20*BEN!T19</f>
        <v>1921637686.7999997</v>
      </c>
      <c r="M9" s="33">
        <f>BEN!$A$20*BEN!U19</f>
        <v>2006571949.1999996</v>
      </c>
      <c r="N9" s="33">
        <f>BEN!$A$20*BEN!V19</f>
        <v>2091506211.5999994</v>
      </c>
      <c r="O9" s="33">
        <f>BEN!$A$20*BEN!W19</f>
        <v>2176440474</v>
      </c>
      <c r="P9" s="33">
        <f t="shared" si="1"/>
        <v>1906253341.5714285</v>
      </c>
      <c r="Q9" s="33">
        <f t="shared" ref="Q9:Q22" si="2">AVERAGE(C9:P9)</f>
        <v>1888981608.8265307</v>
      </c>
      <c r="R9" s="33">
        <f t="shared" ref="R9:R22" si="3">AVERAGE(D9:Q9)</f>
        <v>1858678773.7427115</v>
      </c>
      <c r="S9" s="33">
        <f t="shared" ref="S9:S22" si="4">AVERAGE(E9:R9)</f>
        <v>1837459004.0100477</v>
      </c>
      <c r="T9" s="33">
        <f t="shared" ref="T9:T22" si="5">AVERAGE(F9:S9)</f>
        <v>1816695404.2964797</v>
      </c>
      <c r="U9" s="33">
        <f t="shared" ref="U9:U22" si="6">AVERAGE(G9:T9)</f>
        <v>1845599925.1462283</v>
      </c>
      <c r="V9" s="33">
        <f t="shared" ref="V9:V22" si="7">AVERAGE(H9:U9)</f>
        <v>1870502321.59953</v>
      </c>
      <c r="W9" s="33">
        <f t="shared" ref="W9:W22" si="8">AVERAGE(I9:V9)</f>
        <v>1891116727.6280682</v>
      </c>
      <c r="X9" s="33">
        <f t="shared" ref="X9:X22" si="9">AVERAGE(J9:W9)</f>
        <v>1907136858.2015014</v>
      </c>
      <c r="Y9" s="33">
        <f t="shared" ref="Y9:Y22" si="10">AVERAGE(K9:X9)</f>
        <v>1918234550.787323</v>
      </c>
      <c r="Z9" s="33">
        <f t="shared" ref="Z9:Z22" si="11">AVERAGE(L9:Y9)</f>
        <v>1924058202.6721318</v>
      </c>
      <c r="AA9" s="33">
        <f t="shared" ref="AA9:AA22" si="12">AVERAGE(M9:Z9)</f>
        <v>1924231096.6629982</v>
      </c>
      <c r="AB9" s="33">
        <f t="shared" ref="AB9:AB22" si="13">AVERAGE(N9:AA9)</f>
        <v>1918349607.1960697</v>
      </c>
      <c r="AC9" s="33">
        <f t="shared" ref="AC9:AC22" si="14">AVERAGE(O9:AB9)</f>
        <v>1905981278.310075</v>
      </c>
      <c r="AD9" s="33">
        <f t="shared" ref="AD9:AD22" si="15">AVERAGE(P9:AC9)</f>
        <v>1886662764.3322232</v>
      </c>
      <c r="AE9" s="33">
        <f t="shared" ref="AE9:AE22" si="16">AVERAGE(Q9:AD9)</f>
        <v>1885263437.3865657</v>
      </c>
      <c r="AF9" s="33">
        <f t="shared" ref="AF9:AF22" si="17">AVERAGE(R9:AE9)</f>
        <v>1884997853.7122824</v>
      </c>
      <c r="AG9" s="33">
        <f t="shared" ref="AG9:AG22" si="18">AVERAGE(S9:AF9)</f>
        <v>1886877787.9958231</v>
      </c>
    </row>
    <row r="10" spans="1:33" x14ac:dyDescent="0.2">
      <c r="A10" s="1" t="s">
        <v>19</v>
      </c>
      <c r="B10" s="33">
        <f>BEN!$A$28*BEN!J27</f>
        <v>775969620</v>
      </c>
      <c r="C10" s="33">
        <f>BEN!$A$28*BEN!K27</f>
        <v>719502132</v>
      </c>
      <c r="D10" s="33">
        <f>BEN!$A$28*BEN!L27</f>
        <v>858623600</v>
      </c>
      <c r="E10" s="33">
        <f>BEN!$A$28*BEN!M27</f>
        <v>876162744</v>
      </c>
      <c r="F10" s="33">
        <f>BEN!$A$28*BEN!N27</f>
        <v>851291027.39612913</v>
      </c>
      <c r="G10" s="33">
        <f>BEN!$A$28*BEN!O27</f>
        <v>826419310.79225826</v>
      </c>
      <c r="H10" s="33">
        <f>BEN!$A$28*BEN!P27</f>
        <v>801547594.18838727</v>
      </c>
      <c r="I10" s="33">
        <f>BEN!$A$28*BEN!Q27</f>
        <v>810968698.96258068</v>
      </c>
      <c r="J10" s="33">
        <f>BEN!$A$28*BEN!R27</f>
        <v>820389803.73677421</v>
      </c>
      <c r="K10" s="33">
        <f>BEN!$A$28*BEN!S27</f>
        <v>829810908.51096785</v>
      </c>
      <c r="L10" s="33">
        <f>BEN!$A$28*BEN!T27</f>
        <v>825288778.21935475</v>
      </c>
      <c r="M10" s="33">
        <f>BEN!$A$28*BEN!U27</f>
        <v>820766647.92774165</v>
      </c>
      <c r="N10" s="33">
        <f>BEN!$A$28*BEN!V27</f>
        <v>816244517.6361289</v>
      </c>
      <c r="O10" s="33">
        <f>BEN!$A$28*BEN!W27</f>
        <v>811722387.34451604</v>
      </c>
      <c r="P10" s="33">
        <f t="shared" si="1"/>
        <v>817479126.47963142</v>
      </c>
      <c r="Q10" s="33">
        <f t="shared" si="2"/>
        <v>820444091.22817647</v>
      </c>
      <c r="R10" s="33">
        <f t="shared" si="3"/>
        <v>827654231.17304623</v>
      </c>
      <c r="S10" s="33">
        <f t="shared" si="4"/>
        <v>825442133.39969242</v>
      </c>
      <c r="T10" s="33">
        <f t="shared" si="5"/>
        <v>821819232.64252746</v>
      </c>
      <c r="U10" s="33">
        <f t="shared" si="6"/>
        <v>819714104.44584167</v>
      </c>
      <c r="V10" s="33">
        <f t="shared" si="7"/>
        <v>819235161.13538325</v>
      </c>
      <c r="W10" s="33">
        <f t="shared" si="8"/>
        <v>820498558.77445424</v>
      </c>
      <c r="X10" s="33">
        <f t="shared" si="9"/>
        <v>821179263.04673111</v>
      </c>
      <c r="Y10" s="33">
        <f t="shared" si="10"/>
        <v>821235652.99744236</v>
      </c>
      <c r="Z10" s="33">
        <f t="shared" si="11"/>
        <v>820623134.74647629</v>
      </c>
      <c r="AA10" s="33">
        <f t="shared" si="12"/>
        <v>820289874.4984138</v>
      </c>
      <c r="AB10" s="33">
        <f t="shared" si="13"/>
        <v>820255819.2534616</v>
      </c>
      <c r="AC10" s="33">
        <f t="shared" si="14"/>
        <v>820542340.79755676</v>
      </c>
      <c r="AD10" s="33">
        <f t="shared" si="15"/>
        <v>821172337.47277379</v>
      </c>
      <c r="AE10" s="33">
        <f t="shared" si="16"/>
        <v>821436138.25799835</v>
      </c>
      <c r="AF10" s="33">
        <f t="shared" si="17"/>
        <v>821506998.76012838</v>
      </c>
      <c r="AG10" s="33">
        <f t="shared" si="18"/>
        <v>821067910.73063433</v>
      </c>
    </row>
    <row r="11" spans="1:33" x14ac:dyDescent="0.2">
      <c r="A11" s="1" t="s">
        <v>21</v>
      </c>
      <c r="B11" s="33">
        <f>BEN!$A$32*BEN!J31</f>
        <v>1368893096.8999999</v>
      </c>
      <c r="C11" s="33">
        <f>BEN!$A$32*BEN!K31</f>
        <v>1398169553.8999999</v>
      </c>
      <c r="D11" s="33">
        <f>BEN!$A$32*BEN!L31</f>
        <v>1442050588.3</v>
      </c>
      <c r="E11" s="33">
        <f>BEN!$A$32*BEN!M31</f>
        <v>1509924857</v>
      </c>
      <c r="F11" s="33">
        <f>BEN!$A$32*BEN!N31</f>
        <v>1526733581.45</v>
      </c>
      <c r="G11" s="33">
        <f>BEN!$A$32*BEN!O31</f>
        <v>1518135725.3999999</v>
      </c>
      <c r="H11" s="33">
        <f>BEN!$A$32*BEN!P31</f>
        <v>1509537869.3499999</v>
      </c>
      <c r="I11" s="33">
        <f>BEN!$A$32*BEN!Q31</f>
        <v>1560306162.2166667</v>
      </c>
      <c r="J11" s="33">
        <f>BEN!$A$32*BEN!R31</f>
        <v>1611074455.0833335</v>
      </c>
      <c r="K11" s="33">
        <f>BEN!$A$32*BEN!S31</f>
        <v>1661842747.9500003</v>
      </c>
      <c r="L11" s="33">
        <f>BEN!$A$32*BEN!T31</f>
        <v>1678731393.7625003</v>
      </c>
      <c r="M11" s="33">
        <f>BEN!$A$32*BEN!U31</f>
        <v>1695620039.5750003</v>
      </c>
      <c r="N11" s="33">
        <f>BEN!$A$32*BEN!V31</f>
        <v>1712508685.3875003</v>
      </c>
      <c r="O11" s="33">
        <f>BEN!$A$32*BEN!W31</f>
        <v>1729397331.2000003</v>
      </c>
      <c r="P11" s="33">
        <f t="shared" si="1"/>
        <v>1565923291.9625001</v>
      </c>
      <c r="Q11" s="33">
        <f t="shared" si="2"/>
        <v>1579996877.3241076</v>
      </c>
      <c r="R11" s="33">
        <f t="shared" si="3"/>
        <v>1592984543.2829723</v>
      </c>
      <c r="S11" s="33">
        <f t="shared" si="4"/>
        <v>1603765540.0674706</v>
      </c>
      <c r="T11" s="33">
        <f t="shared" si="5"/>
        <v>1610468446.0008614</v>
      </c>
      <c r="U11" s="33">
        <f t="shared" si="6"/>
        <v>1616449507.754494</v>
      </c>
      <c r="V11" s="33">
        <f t="shared" si="7"/>
        <v>1623471920.779815</v>
      </c>
      <c r="W11" s="33">
        <f t="shared" si="8"/>
        <v>1631610067.3105161</v>
      </c>
      <c r="X11" s="33">
        <f t="shared" si="9"/>
        <v>1636703203.3886483</v>
      </c>
      <c r="Y11" s="33">
        <f t="shared" si="10"/>
        <v>1638533828.2675993</v>
      </c>
      <c r="Z11" s="33">
        <f t="shared" si="11"/>
        <v>1636868905.4331419</v>
      </c>
      <c r="AA11" s="33">
        <f t="shared" si="12"/>
        <v>1633878727.6953309</v>
      </c>
      <c r="AB11" s="33">
        <f t="shared" si="13"/>
        <v>1629468633.9896405</v>
      </c>
      <c r="AC11" s="33">
        <f t="shared" si="14"/>
        <v>1623537201.7469361</v>
      </c>
      <c r="AD11" s="33">
        <f t="shared" si="15"/>
        <v>1615975763.9288597</v>
      </c>
      <c r="AE11" s="33">
        <f t="shared" si="16"/>
        <v>1619550940.4978852</v>
      </c>
      <c r="AF11" s="33">
        <f t="shared" si="17"/>
        <v>1622376230.7245839</v>
      </c>
      <c r="AG11" s="33">
        <f t="shared" si="18"/>
        <v>1624475636.9704132</v>
      </c>
    </row>
    <row r="12" spans="1:33" x14ac:dyDescent="0.2">
      <c r="A12" s="1" t="s">
        <v>22</v>
      </c>
      <c r="B12" s="33">
        <f>BEN!$A$36*BEN!J35</f>
        <v>757685627.5999999</v>
      </c>
      <c r="C12" s="33">
        <f>BEN!$A$36*BEN!K35</f>
        <v>702576907.89999998</v>
      </c>
      <c r="D12" s="33">
        <f>BEN!$A$36*BEN!L35</f>
        <v>644364685.79999995</v>
      </c>
      <c r="E12" s="33">
        <f>BEN!$A$36*BEN!M35</f>
        <v>700119968.5</v>
      </c>
      <c r="F12" s="33">
        <f>BEN!$A$36*BEN!N35</f>
        <v>712817193.0827477</v>
      </c>
      <c r="G12" s="33">
        <f>BEN!$A$36*BEN!O35</f>
        <v>753352099.9843781</v>
      </c>
      <c r="H12" s="33">
        <f>BEN!$A$36*BEN!P35</f>
        <v>770947340.55689454</v>
      </c>
      <c r="I12" s="33">
        <f>BEN!$A$36*BEN!Q35</f>
        <v>799856244.8283236</v>
      </c>
      <c r="J12" s="33">
        <f>BEN!$A$36*BEN!R35</f>
        <v>843692127.67102146</v>
      </c>
      <c r="K12" s="33">
        <f>BEN!$A$36*BEN!S35</f>
        <v>866988506.3945533</v>
      </c>
      <c r="L12" s="33">
        <f>BEN!$A$36*BEN!T35</f>
        <v>907454513.33578086</v>
      </c>
      <c r="M12" s="33">
        <f>BEN!$A$36*BEN!U35</f>
        <v>936841361.7535342</v>
      </c>
      <c r="N12" s="33">
        <f>BEN!$A$36*BEN!V35</f>
        <v>986284118.41784346</v>
      </c>
      <c r="O12" s="33">
        <f>BEN!$A$36*BEN!W35</f>
        <v>1016116853.9739968</v>
      </c>
      <c r="P12" s="33">
        <f t="shared" si="1"/>
        <v>814221253.55707657</v>
      </c>
      <c r="Q12" s="33">
        <f t="shared" si="2"/>
        <v>818259512.55401063</v>
      </c>
      <c r="R12" s="33">
        <f t="shared" si="3"/>
        <v>826522555.74358296</v>
      </c>
      <c r="S12" s="33">
        <f t="shared" si="4"/>
        <v>839533832.16812479</v>
      </c>
      <c r="T12" s="33">
        <f t="shared" si="5"/>
        <v>849491965.28727651</v>
      </c>
      <c r="U12" s="33">
        <f t="shared" si="6"/>
        <v>859254449.01617146</v>
      </c>
      <c r="V12" s="33">
        <f t="shared" si="7"/>
        <v>866818902.51844239</v>
      </c>
      <c r="W12" s="33">
        <f t="shared" si="8"/>
        <v>873666871.22998142</v>
      </c>
      <c r="X12" s="33">
        <f t="shared" si="9"/>
        <v>878939058.83009994</v>
      </c>
      <c r="Y12" s="33">
        <f t="shared" si="10"/>
        <v>881456696.77003384</v>
      </c>
      <c r="Z12" s="33">
        <f t="shared" si="11"/>
        <v>882490138.93971086</v>
      </c>
      <c r="AA12" s="33">
        <f t="shared" si="12"/>
        <v>880706969.33999157</v>
      </c>
      <c r="AB12" s="33">
        <f t="shared" si="13"/>
        <v>876697369.88188148</v>
      </c>
      <c r="AC12" s="33">
        <f t="shared" si="14"/>
        <v>868869744.98645568</v>
      </c>
      <c r="AD12" s="33">
        <f t="shared" si="15"/>
        <v>858352094.3444885</v>
      </c>
      <c r="AE12" s="33">
        <f t="shared" si="16"/>
        <v>861504297.2578752</v>
      </c>
      <c r="AF12" s="33">
        <f t="shared" si="17"/>
        <v>864593210.4510082</v>
      </c>
      <c r="AG12" s="33">
        <f t="shared" si="18"/>
        <v>867312542.9301101</v>
      </c>
    </row>
    <row r="13" spans="1:33" x14ac:dyDescent="0.2">
      <c r="A13" s="1" t="s">
        <v>23</v>
      </c>
      <c r="B13" s="33">
        <f>BEN!$A$40*BEN!J39</f>
        <v>173294135.51441839</v>
      </c>
      <c r="C13" s="33">
        <f>BEN!$A$40*BEN!K39</f>
        <v>188154604.93395326</v>
      </c>
      <c r="D13" s="33">
        <f>BEN!$A$40*BEN!L39</f>
        <v>197925071.04837185</v>
      </c>
      <c r="E13" s="33">
        <f>BEN!$A$40*BEN!M39</f>
        <v>197925071.04837185</v>
      </c>
      <c r="F13" s="33">
        <f>BEN!$A$40*BEN!N39</f>
        <v>214606606.16188231</v>
      </c>
      <c r="G13" s="33">
        <f>BEN!$A$40*BEN!O39</f>
        <v>255433990.71850091</v>
      </c>
      <c r="H13" s="33">
        <f>BEN!$A$40*BEN!P39</f>
        <v>279100293.83729184</v>
      </c>
      <c r="I13" s="33">
        <f>BEN!$A$40*BEN!Q39</f>
        <v>303489399.36507875</v>
      </c>
      <c r="J13" s="33">
        <f>BEN!$A$40*BEN!R39</f>
        <v>328601307.3018617</v>
      </c>
      <c r="K13" s="33">
        <f>BEN!$A$40*BEN!S39</f>
        <v>354436017.64764047</v>
      </c>
      <c r="L13" s="33">
        <f>BEN!$A$40*BEN!T39</f>
        <v>380993530.40241516</v>
      </c>
      <c r="M13" s="33">
        <f>BEN!$A$40*BEN!U39</f>
        <v>408273845.56618583</v>
      </c>
      <c r="N13" s="33">
        <f>BEN!$A$40*BEN!V39</f>
        <v>415501869.65614522</v>
      </c>
      <c r="O13" s="33">
        <f>BEN!$A$40*BEN!W39</f>
        <v>422729893.74610424</v>
      </c>
      <c r="P13" s="33">
        <f t="shared" si="1"/>
        <v>294318974.06773013</v>
      </c>
      <c r="Q13" s="33">
        <f t="shared" si="2"/>
        <v>302963605.39296669</v>
      </c>
      <c r="R13" s="33">
        <f t="shared" si="3"/>
        <v>311164248.28289616</v>
      </c>
      <c r="S13" s="33">
        <f t="shared" si="4"/>
        <v>319252760.94250506</v>
      </c>
      <c r="T13" s="33">
        <f t="shared" si="5"/>
        <v>327919024.5063718</v>
      </c>
      <c r="U13" s="33">
        <f t="shared" si="6"/>
        <v>336012768.67383528</v>
      </c>
      <c r="V13" s="33">
        <f t="shared" si="7"/>
        <v>341768395.67064488</v>
      </c>
      <c r="W13" s="33">
        <f t="shared" si="8"/>
        <v>346244688.65874153</v>
      </c>
      <c r="X13" s="33">
        <f t="shared" si="9"/>
        <v>349298637.89400321</v>
      </c>
      <c r="Y13" s="33">
        <f t="shared" si="10"/>
        <v>350777018.65058464</v>
      </c>
      <c r="Z13" s="33">
        <f t="shared" si="11"/>
        <v>350515661.57936633</v>
      </c>
      <c r="AA13" s="33">
        <f t="shared" si="12"/>
        <v>348338670.94914865</v>
      </c>
      <c r="AB13" s="33">
        <f t="shared" si="13"/>
        <v>344057587.04793167</v>
      </c>
      <c r="AC13" s="33">
        <f t="shared" si="14"/>
        <v>338954424.00448787</v>
      </c>
      <c r="AD13" s="33">
        <f t="shared" si="15"/>
        <v>332970461.88008678</v>
      </c>
      <c r="AE13" s="33">
        <f t="shared" si="16"/>
        <v>335731282.4381122</v>
      </c>
      <c r="AF13" s="33">
        <f t="shared" si="17"/>
        <v>338071830.79847968</v>
      </c>
      <c r="AG13" s="33">
        <f t="shared" si="18"/>
        <v>339993800.97816426</v>
      </c>
    </row>
    <row r="14" spans="1:33" x14ac:dyDescent="0.2">
      <c r="A14" s="1" t="s">
        <v>153</v>
      </c>
      <c r="B14" s="33">
        <f>BEN!$B$44*BEN!J43</f>
        <v>197896536.49635035</v>
      </c>
      <c r="C14" s="33">
        <f>BEN!$B$44*BEN!K43</f>
        <v>108809364.96350364</v>
      </c>
      <c r="D14" s="33">
        <f>BEN!$B$44*BEN!L43</f>
        <v>134602978.10218978</v>
      </c>
      <c r="E14" s="33">
        <f>BEN!$B$44*BEN!M43</f>
        <v>159999766.42335767</v>
      </c>
      <c r="F14" s="33">
        <f>BEN!$B$44*BEN!N43</f>
        <v>171267355.60810116</v>
      </c>
      <c r="G14" s="33">
        <f>BEN!$B$44*BEN!O43</f>
        <v>182534944.79284465</v>
      </c>
      <c r="H14" s="33">
        <f>BEN!$B$44*BEN!P43</f>
        <v>193802533.97758818</v>
      </c>
      <c r="I14" s="33">
        <f>BEN!$B$44*BEN!Q43</f>
        <v>208825986.22391281</v>
      </c>
      <c r="J14" s="33">
        <f>BEN!$B$44*BEN!R43</f>
        <v>216337712.34707513</v>
      </c>
      <c r="K14" s="33">
        <f>BEN!$B$44*BEN!S43</f>
        <v>216337712.34707513</v>
      </c>
      <c r="L14" s="33">
        <f>BEN!$B$44*BEN!T43</f>
        <v>218027850.7247867</v>
      </c>
      <c r="M14" s="33">
        <f>BEN!$B$44*BEN!U43</f>
        <v>219717989.1024982</v>
      </c>
      <c r="N14" s="33">
        <f>BEN!$B$44*BEN!V43</f>
        <v>221408127.48020974</v>
      </c>
      <c r="O14" s="33">
        <f>BEN!$B$44*BEN!W43</f>
        <v>223098265.8579213</v>
      </c>
      <c r="P14" s="33">
        <f t="shared" si="1"/>
        <v>190904794.60338673</v>
      </c>
      <c r="Q14" s="33">
        <f t="shared" si="2"/>
        <v>190405384.46817508</v>
      </c>
      <c r="R14" s="33">
        <f t="shared" si="3"/>
        <v>196233671.57565162</v>
      </c>
      <c r="S14" s="33">
        <f t="shared" si="4"/>
        <v>200635863.9666132</v>
      </c>
      <c r="T14" s="33">
        <f t="shared" si="5"/>
        <v>203538442.36256</v>
      </c>
      <c r="U14" s="33">
        <f t="shared" si="6"/>
        <v>205843519.98787847</v>
      </c>
      <c r="V14" s="33">
        <f t="shared" si="7"/>
        <v>207508418.21609515</v>
      </c>
      <c r="W14" s="33">
        <f t="shared" si="8"/>
        <v>208487409.94741705</v>
      </c>
      <c r="X14" s="33">
        <f t="shared" si="9"/>
        <v>208463225.92766738</v>
      </c>
      <c r="Y14" s="33">
        <f t="shared" si="10"/>
        <v>207900762.61199543</v>
      </c>
      <c r="Z14" s="33">
        <f t="shared" si="11"/>
        <v>207298123.34520406</v>
      </c>
      <c r="AA14" s="33">
        <f t="shared" si="12"/>
        <v>206531714.24666241</v>
      </c>
      <c r="AB14" s="33">
        <f t="shared" si="13"/>
        <v>205589837.47124553</v>
      </c>
      <c r="AC14" s="33">
        <f t="shared" si="14"/>
        <v>204459959.61346239</v>
      </c>
      <c r="AD14" s="33">
        <f t="shared" si="15"/>
        <v>203128652.02457252</v>
      </c>
      <c r="AE14" s="33">
        <f t="shared" si="16"/>
        <v>204001784.69751433</v>
      </c>
      <c r="AF14" s="33">
        <f t="shared" si="17"/>
        <v>204972956.14246711</v>
      </c>
      <c r="AG14" s="33">
        <f t="shared" si="18"/>
        <v>205597190.75438252</v>
      </c>
    </row>
    <row r="15" spans="1:33" x14ac:dyDescent="0.2">
      <c r="A15" s="1" t="s">
        <v>154</v>
      </c>
      <c r="B15" s="33">
        <v>0</v>
      </c>
      <c r="C15" s="33">
        <v>0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0</v>
      </c>
      <c r="M15" s="33">
        <v>0</v>
      </c>
      <c r="N15" s="33">
        <v>0</v>
      </c>
      <c r="O15" s="33">
        <v>0</v>
      </c>
      <c r="P15" s="33">
        <f t="shared" si="1"/>
        <v>0</v>
      </c>
      <c r="Q15" s="33">
        <f t="shared" si="2"/>
        <v>0</v>
      </c>
      <c r="R15" s="33">
        <f t="shared" si="3"/>
        <v>0</v>
      </c>
      <c r="S15" s="33">
        <f t="shared" si="4"/>
        <v>0</v>
      </c>
      <c r="T15" s="33">
        <f t="shared" si="5"/>
        <v>0</v>
      </c>
      <c r="U15" s="33">
        <f t="shared" si="6"/>
        <v>0</v>
      </c>
      <c r="V15" s="33">
        <f t="shared" si="7"/>
        <v>0</v>
      </c>
      <c r="W15" s="33">
        <f t="shared" si="8"/>
        <v>0</v>
      </c>
      <c r="X15" s="33">
        <f t="shared" si="9"/>
        <v>0</v>
      </c>
      <c r="Y15" s="33">
        <f t="shared" si="10"/>
        <v>0</v>
      </c>
      <c r="Z15" s="33">
        <f t="shared" si="11"/>
        <v>0</v>
      </c>
      <c r="AA15" s="33">
        <f t="shared" si="12"/>
        <v>0</v>
      </c>
      <c r="AB15" s="33">
        <f t="shared" si="13"/>
        <v>0</v>
      </c>
      <c r="AC15" s="33">
        <f t="shared" si="14"/>
        <v>0</v>
      </c>
      <c r="AD15" s="33">
        <f t="shared" si="15"/>
        <v>0</v>
      </c>
      <c r="AE15" s="33">
        <f t="shared" si="16"/>
        <v>0</v>
      </c>
      <c r="AF15" s="33">
        <f t="shared" si="17"/>
        <v>0</v>
      </c>
      <c r="AG15" s="33">
        <f t="shared" si="18"/>
        <v>0</v>
      </c>
    </row>
    <row r="16" spans="1:33" x14ac:dyDescent="0.2">
      <c r="A16" s="1" t="s">
        <v>155</v>
      </c>
      <c r="B16" s="33">
        <v>0</v>
      </c>
      <c r="C16" s="33">
        <v>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f t="shared" si="1"/>
        <v>0</v>
      </c>
      <c r="Q16" s="33">
        <f t="shared" si="2"/>
        <v>0</v>
      </c>
      <c r="R16" s="33">
        <f t="shared" si="3"/>
        <v>0</v>
      </c>
      <c r="S16" s="33">
        <f t="shared" si="4"/>
        <v>0</v>
      </c>
      <c r="T16" s="33">
        <f t="shared" si="5"/>
        <v>0</v>
      </c>
      <c r="U16" s="33">
        <f t="shared" si="6"/>
        <v>0</v>
      </c>
      <c r="V16" s="33">
        <f t="shared" si="7"/>
        <v>0</v>
      </c>
      <c r="W16" s="33">
        <f t="shared" si="8"/>
        <v>0</v>
      </c>
      <c r="X16" s="33">
        <f t="shared" si="9"/>
        <v>0</v>
      </c>
      <c r="Y16" s="33">
        <f t="shared" si="10"/>
        <v>0</v>
      </c>
      <c r="Z16" s="33">
        <f t="shared" si="11"/>
        <v>0</v>
      </c>
      <c r="AA16" s="33">
        <f t="shared" si="12"/>
        <v>0</v>
      </c>
      <c r="AB16" s="33">
        <f t="shared" si="13"/>
        <v>0</v>
      </c>
      <c r="AC16" s="33">
        <f t="shared" si="14"/>
        <v>0</v>
      </c>
      <c r="AD16" s="33">
        <f t="shared" si="15"/>
        <v>0</v>
      </c>
      <c r="AE16" s="33">
        <f t="shared" si="16"/>
        <v>0</v>
      </c>
      <c r="AF16" s="33">
        <f t="shared" si="17"/>
        <v>0</v>
      </c>
      <c r="AG16" s="33">
        <f t="shared" si="18"/>
        <v>0</v>
      </c>
    </row>
    <row r="17" spans="1:33" x14ac:dyDescent="0.2">
      <c r="A17" s="1" t="s">
        <v>59</v>
      </c>
      <c r="B17" s="33">
        <f>BEN!$A$50*BEN!J49</f>
        <v>129082600</v>
      </c>
      <c r="C17" s="33">
        <f>BEN!$A$50*BEN!K49</f>
        <v>130776660</v>
      </c>
      <c r="D17" s="33">
        <f>BEN!$A$50*BEN!L49</f>
        <v>159026900</v>
      </c>
      <c r="E17" s="33">
        <f>BEN!$A$50*BEN!M49</f>
        <v>146070920</v>
      </c>
      <c r="F17" s="33">
        <f>BEN!$A$50*BEN!N49</f>
        <v>132562183.33333333</v>
      </c>
      <c r="G17" s="33">
        <f>BEN!$A$50*BEN!O49</f>
        <v>132562183.33333333</v>
      </c>
      <c r="H17" s="33">
        <f>BEN!$A$50*BEN!P49</f>
        <v>132562183.33333333</v>
      </c>
      <c r="I17" s="33">
        <f>BEN!$A$50*BEN!Q49</f>
        <v>132562183.33333333</v>
      </c>
      <c r="J17" s="33">
        <f>BEN!$A$50*BEN!R49</f>
        <v>132562183.33333333</v>
      </c>
      <c r="K17" s="33">
        <f>BEN!$A$50*BEN!S49</f>
        <v>132562183.33333333</v>
      </c>
      <c r="L17" s="33">
        <f>BEN!$A$50*BEN!T49</f>
        <v>132562183.33333333</v>
      </c>
      <c r="M17" s="33">
        <f>BEN!$A$50*BEN!U49</f>
        <v>132562183.33333333</v>
      </c>
      <c r="N17" s="33">
        <f>BEN!$A$50*BEN!V49</f>
        <v>132562183.33333333</v>
      </c>
      <c r="O17" s="33">
        <f>BEN!$A$50*BEN!W49</f>
        <v>132562183.33333333</v>
      </c>
      <c r="P17" s="33">
        <f t="shared" si="1"/>
        <v>135041350.95238093</v>
      </c>
      <c r="Q17" s="33">
        <f t="shared" si="2"/>
        <v>135466976.02040812</v>
      </c>
      <c r="R17" s="33">
        <f t="shared" si="3"/>
        <v>135801998.59329444</v>
      </c>
      <c r="S17" s="33">
        <f t="shared" si="4"/>
        <v>134143077.06424405</v>
      </c>
      <c r="T17" s="33">
        <f t="shared" si="5"/>
        <v>133291088.28311862</v>
      </c>
      <c r="U17" s="33">
        <f t="shared" si="6"/>
        <v>133343152.92238902</v>
      </c>
      <c r="V17" s="33">
        <f t="shared" si="7"/>
        <v>133398936.46446443</v>
      </c>
      <c r="W17" s="33">
        <f t="shared" si="8"/>
        <v>133458704.54525949</v>
      </c>
      <c r="X17" s="33">
        <f t="shared" si="9"/>
        <v>133522741.77468279</v>
      </c>
      <c r="Y17" s="33">
        <f t="shared" si="10"/>
        <v>133591353.09192204</v>
      </c>
      <c r="Z17" s="33">
        <f t="shared" si="11"/>
        <v>133664865.21753553</v>
      </c>
      <c r="AA17" s="33">
        <f t="shared" si="12"/>
        <v>133743628.20926423</v>
      </c>
      <c r="AB17" s="33">
        <f t="shared" si="13"/>
        <v>133828017.12897359</v>
      </c>
      <c r="AC17" s="33">
        <f t="shared" si="14"/>
        <v>133918433.82866219</v>
      </c>
      <c r="AD17" s="33">
        <f t="shared" si="15"/>
        <v>134015308.8640428</v>
      </c>
      <c r="AE17" s="33">
        <f t="shared" si="16"/>
        <v>133942020.14344721</v>
      </c>
      <c r="AF17" s="33">
        <f t="shared" si="17"/>
        <v>133833094.7236643</v>
      </c>
      <c r="AG17" s="33">
        <f t="shared" si="18"/>
        <v>133692458.73297642</v>
      </c>
    </row>
    <row r="18" spans="1:33" x14ac:dyDescent="0.2">
      <c r="A18" s="1" t="s">
        <v>25</v>
      </c>
      <c r="B18" s="34">
        <f>BEN!$A$54*BEN!J53</f>
        <v>5719962008</v>
      </c>
      <c r="C18" s="34">
        <f>BEN!$A$54*BEN!K53</f>
        <v>6050220626</v>
      </c>
      <c r="D18" s="34">
        <f>BEN!$A$54*BEN!L53</f>
        <v>5961113312</v>
      </c>
      <c r="E18" s="34">
        <f>BEN!$A$54*BEN!M53</f>
        <v>6199403858</v>
      </c>
      <c r="F18" s="34">
        <f>BEN!$A$54*BEN!N53</f>
        <v>6819344243.8000002</v>
      </c>
      <c r="G18" s="34">
        <f>BEN!$A$54*BEN!O53</f>
        <v>7852578220.1333323</v>
      </c>
      <c r="H18" s="34">
        <f>BEN!$A$54*BEN!P53</f>
        <v>8472518605.9333315</v>
      </c>
      <c r="I18" s="34">
        <f>BEN!$A$54*BEN!Q53</f>
        <v>9299105786.9999981</v>
      </c>
      <c r="J18" s="34">
        <f>BEN!$A$54*BEN!R53</f>
        <v>9712399377.5333328</v>
      </c>
      <c r="K18" s="34">
        <f>BEN!$A$54*BEN!S53</f>
        <v>10538986558.599998</v>
      </c>
      <c r="L18" s="34">
        <f>BEN!$A$54*BEN!T53</f>
        <v>11158926944.4</v>
      </c>
      <c r="M18" s="34">
        <f>BEN!$A$54*BEN!U53</f>
        <v>10952280149.133331</v>
      </c>
      <c r="N18" s="34">
        <f>BEN!$A$54*BEN!V53</f>
        <v>10745633353.866665</v>
      </c>
      <c r="O18" s="34">
        <f>BEN!$A$54*BEN!W53</f>
        <v>10125692968.066666</v>
      </c>
      <c r="P18" s="33">
        <f t="shared" si="1"/>
        <v>8543440429.4619045</v>
      </c>
      <c r="Q18" s="33">
        <f t="shared" si="2"/>
        <v>8745117459.5663261</v>
      </c>
      <c r="R18" s="33">
        <f t="shared" si="3"/>
        <v>8937610090.5353489</v>
      </c>
      <c r="S18" s="33">
        <f t="shared" si="4"/>
        <v>9150217003.2878742</v>
      </c>
      <c r="T18" s="33">
        <f t="shared" si="5"/>
        <v>9360989370.8084373</v>
      </c>
      <c r="U18" s="33">
        <f t="shared" si="6"/>
        <v>9542535451.3090401</v>
      </c>
      <c r="V18" s="33">
        <f t="shared" si="7"/>
        <v>9663246682.1073036</v>
      </c>
      <c r="W18" s="33">
        <f t="shared" si="8"/>
        <v>9748298687.5483017</v>
      </c>
      <c r="X18" s="33">
        <f t="shared" si="9"/>
        <v>9780383894.7303219</v>
      </c>
      <c r="Y18" s="33">
        <f t="shared" si="10"/>
        <v>9785239931.6729641</v>
      </c>
      <c r="Z18" s="33">
        <f t="shared" si="11"/>
        <v>9731400886.8924618</v>
      </c>
      <c r="AA18" s="33">
        <f t="shared" si="12"/>
        <v>9629434739.9276371</v>
      </c>
      <c r="AB18" s="33">
        <f t="shared" si="13"/>
        <v>9534945782.1272316</v>
      </c>
      <c r="AC18" s="33">
        <f t="shared" si="14"/>
        <v>9448468098.4315567</v>
      </c>
      <c r="AD18" s="33">
        <f t="shared" si="15"/>
        <v>9400094893.4576206</v>
      </c>
      <c r="AE18" s="33">
        <f t="shared" si="16"/>
        <v>9461284498.0287437</v>
      </c>
      <c r="AF18" s="33">
        <f t="shared" si="17"/>
        <v>9512439286.4903469</v>
      </c>
      <c r="AG18" s="33">
        <f t="shared" si="18"/>
        <v>9553498514.7728462</v>
      </c>
    </row>
    <row r="19" spans="1:33" x14ac:dyDescent="0.2">
      <c r="A19" s="1" t="s">
        <v>26</v>
      </c>
      <c r="B19" s="33">
        <f>BEN!$A$58*BEN!J57</f>
        <v>464686572</v>
      </c>
      <c r="C19" s="33">
        <f>BEN!$A$58*BEN!K57</f>
        <v>665243109</v>
      </c>
      <c r="D19" s="33">
        <f>BEN!$A$58*BEN!L57</f>
        <v>653925963</v>
      </c>
      <c r="E19" s="33">
        <f>BEN!$A$58*BEN!M57</f>
        <v>700447788</v>
      </c>
      <c r="F19" s="33">
        <f>BEN!$A$58*BEN!N57</f>
        <v>691694089.5</v>
      </c>
      <c r="G19" s="33">
        <f>BEN!$A$58*BEN!O57</f>
        <v>699086945.49999988</v>
      </c>
      <c r="H19" s="33">
        <f>BEN!$A$58*BEN!P57</f>
        <v>706479801.50000012</v>
      </c>
      <c r="I19" s="33">
        <f>BEN!$A$58*BEN!Q57</f>
        <v>713872657.5</v>
      </c>
      <c r="J19" s="33">
        <f>BEN!$A$58*BEN!R57</f>
        <v>701859266.5</v>
      </c>
      <c r="K19" s="33">
        <f>BEN!$A$58*BEN!S57</f>
        <v>689845875.5</v>
      </c>
      <c r="L19" s="33">
        <f>BEN!$A$58*BEN!T57</f>
        <v>677832484.5</v>
      </c>
      <c r="M19" s="33">
        <f>BEN!$A$58*BEN!U57</f>
        <v>656346996.75</v>
      </c>
      <c r="N19" s="33">
        <f>BEN!$A$58*BEN!V57</f>
        <v>634861509</v>
      </c>
      <c r="O19" s="33">
        <f>BEN!$A$58*BEN!W57</f>
        <v>613376021.25</v>
      </c>
      <c r="P19" s="33">
        <f t="shared" si="1"/>
        <v>662111362.82142854</v>
      </c>
      <c r="Q19" s="33">
        <f t="shared" si="2"/>
        <v>676213133.59438777</v>
      </c>
      <c r="R19" s="33">
        <f t="shared" si="3"/>
        <v>676996706.77970111</v>
      </c>
      <c r="S19" s="33">
        <f t="shared" si="4"/>
        <v>678644617.04967976</v>
      </c>
      <c r="T19" s="33">
        <f t="shared" si="5"/>
        <v>677087247.69608557</v>
      </c>
      <c r="U19" s="33">
        <f t="shared" si="6"/>
        <v>676043901.85294878</v>
      </c>
      <c r="V19" s="33">
        <f t="shared" si="7"/>
        <v>674397970.16387367</v>
      </c>
      <c r="W19" s="33">
        <f t="shared" si="8"/>
        <v>672106410.78272176</v>
      </c>
      <c r="X19" s="33">
        <f t="shared" si="9"/>
        <v>669123107.44577348</v>
      </c>
      <c r="Y19" s="33">
        <f t="shared" si="10"/>
        <v>666784810.3704716</v>
      </c>
      <c r="Z19" s="33">
        <f t="shared" si="11"/>
        <v>665137591.43264806</v>
      </c>
      <c r="AA19" s="33">
        <f t="shared" si="12"/>
        <v>664230813.35640848</v>
      </c>
      <c r="AB19" s="33">
        <f t="shared" si="13"/>
        <v>664793943.11400926</v>
      </c>
      <c r="AC19" s="33">
        <f t="shared" si="14"/>
        <v>666931974.12215269</v>
      </c>
      <c r="AD19" s="33">
        <f t="shared" si="15"/>
        <v>670757399.32730639</v>
      </c>
      <c r="AE19" s="33">
        <f t="shared" si="16"/>
        <v>671374973.36344051</v>
      </c>
      <c r="AF19" s="33">
        <f t="shared" si="17"/>
        <v>671029390.48980141</v>
      </c>
      <c r="AG19" s="33">
        <f t="shared" si="18"/>
        <v>670603153.61195147</v>
      </c>
    </row>
    <row r="20" spans="1:33" x14ac:dyDescent="0.2">
      <c r="A20" s="1" t="s">
        <v>27</v>
      </c>
      <c r="B20" s="33">
        <f>BEN!$A$62*BEN!J61</f>
        <v>249379420</v>
      </c>
      <c r="C20" s="33">
        <f>BEN!$A$62*BEN!K61</f>
        <v>253574540</v>
      </c>
      <c r="D20" s="33">
        <f>BEN!$A$62*BEN!L61</f>
        <v>245823800</v>
      </c>
      <c r="E20" s="33">
        <f>BEN!$A$62*BEN!M61</f>
        <v>256439500</v>
      </c>
      <c r="F20" s="33">
        <f>BEN!$A$62*BEN!N61</f>
        <v>283835680</v>
      </c>
      <c r="G20" s="33">
        <f>BEN!$A$62*BEN!O61</f>
        <v>309044769.99999994</v>
      </c>
      <c r="H20" s="33">
        <f>BEN!$A$62*BEN!P61</f>
        <v>334253859.99999994</v>
      </c>
      <c r="I20" s="33">
        <f>BEN!$A$62*BEN!Q61</f>
        <v>340167103.33333331</v>
      </c>
      <c r="J20" s="33">
        <f>BEN!$A$62*BEN!R61</f>
        <v>346080346.66666669</v>
      </c>
      <c r="K20" s="33">
        <f>BEN!$A$62*BEN!S61</f>
        <v>351993590.00000006</v>
      </c>
      <c r="L20" s="33">
        <f>BEN!$A$62*BEN!T61</f>
        <v>364131300</v>
      </c>
      <c r="M20" s="33">
        <f>BEN!$A$62*BEN!U61</f>
        <v>376269009.99999994</v>
      </c>
      <c r="N20" s="33">
        <f>BEN!$A$62*BEN!V61</f>
        <v>388406720</v>
      </c>
      <c r="O20" s="33">
        <f>BEN!$A$62*BEN!W61</f>
        <v>400544430</v>
      </c>
      <c r="P20" s="33">
        <f t="shared" si="1"/>
        <v>321424576.4285714</v>
      </c>
      <c r="Q20" s="33">
        <f t="shared" si="2"/>
        <v>326570659.03061229</v>
      </c>
      <c r="R20" s="33">
        <f t="shared" si="3"/>
        <v>331784667.53279883</v>
      </c>
      <c r="S20" s="33">
        <f t="shared" si="4"/>
        <v>337924729.49942732</v>
      </c>
      <c r="T20" s="33">
        <f t="shared" si="5"/>
        <v>343745103.03510064</v>
      </c>
      <c r="U20" s="33">
        <f t="shared" si="6"/>
        <v>348024347.53760785</v>
      </c>
      <c r="V20" s="33">
        <f t="shared" si="7"/>
        <v>350808603.07600844</v>
      </c>
      <c r="W20" s="33">
        <f t="shared" si="8"/>
        <v>351991084.72429478</v>
      </c>
      <c r="X20" s="33">
        <f t="shared" si="9"/>
        <v>352835654.82364911</v>
      </c>
      <c r="Y20" s="33">
        <f t="shared" si="10"/>
        <v>353318176.83486217</v>
      </c>
      <c r="Z20" s="33">
        <f t="shared" si="11"/>
        <v>353412790.18020946</v>
      </c>
      <c r="AA20" s="33">
        <f t="shared" si="12"/>
        <v>352647182.33593863</v>
      </c>
      <c r="AB20" s="33">
        <f t="shared" si="13"/>
        <v>350959908.93136281</v>
      </c>
      <c r="AC20" s="33">
        <f t="shared" si="14"/>
        <v>348285136.71217453</v>
      </c>
      <c r="AD20" s="33">
        <f t="shared" si="15"/>
        <v>344552330.04875845</v>
      </c>
      <c r="AE20" s="33">
        <f t="shared" si="16"/>
        <v>346204312.45020038</v>
      </c>
      <c r="AF20" s="33">
        <f t="shared" si="17"/>
        <v>347606716.26588517</v>
      </c>
      <c r="AG20" s="33">
        <f t="shared" si="18"/>
        <v>348736862.60396284</v>
      </c>
    </row>
    <row r="21" spans="1:33" x14ac:dyDescent="0.2">
      <c r="A21" s="1" t="s">
        <v>156</v>
      </c>
      <c r="B21" s="33">
        <f>BEN!J65</f>
        <v>0</v>
      </c>
      <c r="C21" s="33">
        <f>BEN!K65</f>
        <v>0</v>
      </c>
      <c r="D21" s="33">
        <f>BEN!L65</f>
        <v>0</v>
      </c>
      <c r="E21" s="33">
        <f>BEN!M65</f>
        <v>0</v>
      </c>
      <c r="F21" s="33">
        <f>BEN!N65</f>
        <v>0</v>
      </c>
      <c r="G21" s="33">
        <f>BEN!O65</f>
        <v>0</v>
      </c>
      <c r="H21" s="33">
        <f>BEN!P65</f>
        <v>0</v>
      </c>
      <c r="I21" s="33">
        <f>BEN!Q65</f>
        <v>0</v>
      </c>
      <c r="J21" s="33">
        <f>BEN!R65</f>
        <v>0</v>
      </c>
      <c r="K21" s="33">
        <f>BEN!S65</f>
        <v>0</v>
      </c>
      <c r="L21" s="33">
        <f>BEN!T65</f>
        <v>0</v>
      </c>
      <c r="M21" s="33">
        <f>BEN!U65</f>
        <v>0</v>
      </c>
      <c r="N21" s="33">
        <f>BEN!V65</f>
        <v>0</v>
      </c>
      <c r="O21" s="33">
        <f>BEN!W65</f>
        <v>0</v>
      </c>
      <c r="P21" s="33">
        <f t="shared" si="1"/>
        <v>0</v>
      </c>
      <c r="Q21" s="33">
        <f t="shared" si="2"/>
        <v>0</v>
      </c>
      <c r="R21" s="33">
        <f t="shared" si="3"/>
        <v>0</v>
      </c>
      <c r="S21" s="33">
        <f t="shared" si="4"/>
        <v>0</v>
      </c>
      <c r="T21" s="33">
        <f t="shared" si="5"/>
        <v>0</v>
      </c>
      <c r="U21" s="33">
        <f t="shared" si="6"/>
        <v>0</v>
      </c>
      <c r="V21" s="33">
        <f t="shared" si="7"/>
        <v>0</v>
      </c>
      <c r="W21" s="33">
        <f t="shared" si="8"/>
        <v>0</v>
      </c>
      <c r="X21" s="33">
        <f t="shared" si="9"/>
        <v>0</v>
      </c>
      <c r="Y21" s="33">
        <f t="shared" si="10"/>
        <v>0</v>
      </c>
      <c r="Z21" s="33">
        <f t="shared" si="11"/>
        <v>0</v>
      </c>
      <c r="AA21" s="33">
        <f t="shared" si="12"/>
        <v>0</v>
      </c>
      <c r="AB21" s="33">
        <f t="shared" si="13"/>
        <v>0</v>
      </c>
      <c r="AC21" s="33">
        <f t="shared" si="14"/>
        <v>0</v>
      </c>
      <c r="AD21" s="33">
        <f t="shared" si="15"/>
        <v>0</v>
      </c>
      <c r="AE21" s="33">
        <f t="shared" si="16"/>
        <v>0</v>
      </c>
      <c r="AF21" s="33">
        <f t="shared" si="17"/>
        <v>0</v>
      </c>
      <c r="AG21" s="33">
        <f t="shared" si="18"/>
        <v>0</v>
      </c>
    </row>
    <row r="22" spans="1:33" x14ac:dyDescent="0.2">
      <c r="A22" s="1" t="s">
        <v>63</v>
      </c>
      <c r="B22" s="33">
        <f>BEN!J66</f>
        <v>0</v>
      </c>
      <c r="C22" s="33">
        <f>BEN!K66</f>
        <v>0</v>
      </c>
      <c r="D22" s="33">
        <f>BEN!L66</f>
        <v>0</v>
      </c>
      <c r="E22" s="33">
        <f>BEN!M66</f>
        <v>0</v>
      </c>
      <c r="F22" s="33">
        <f>BEN!N66</f>
        <v>0</v>
      </c>
      <c r="G22" s="33">
        <f>BEN!O66</f>
        <v>0</v>
      </c>
      <c r="H22" s="33">
        <f>BEN!P66</f>
        <v>0</v>
      </c>
      <c r="I22" s="33">
        <f>BEN!Q66</f>
        <v>0</v>
      </c>
      <c r="J22" s="33">
        <f>BEN!R66</f>
        <v>0</v>
      </c>
      <c r="K22" s="33">
        <f>BEN!S66</f>
        <v>0</v>
      </c>
      <c r="L22" s="33">
        <f>BEN!T66</f>
        <v>0</v>
      </c>
      <c r="M22" s="33">
        <f>BEN!U66</f>
        <v>0</v>
      </c>
      <c r="N22" s="33">
        <f>BEN!V66</f>
        <v>0</v>
      </c>
      <c r="O22" s="33">
        <f>BEN!W66</f>
        <v>0</v>
      </c>
      <c r="P22" s="33">
        <f t="shared" si="1"/>
        <v>0</v>
      </c>
      <c r="Q22" s="33">
        <f t="shared" si="2"/>
        <v>0</v>
      </c>
      <c r="R22" s="33">
        <f t="shared" si="3"/>
        <v>0</v>
      </c>
      <c r="S22" s="33">
        <f t="shared" si="4"/>
        <v>0</v>
      </c>
      <c r="T22" s="33">
        <f t="shared" si="5"/>
        <v>0</v>
      </c>
      <c r="U22" s="33">
        <f t="shared" si="6"/>
        <v>0</v>
      </c>
      <c r="V22" s="33">
        <f t="shared" si="7"/>
        <v>0</v>
      </c>
      <c r="W22" s="33">
        <f t="shared" si="8"/>
        <v>0</v>
      </c>
      <c r="X22" s="33">
        <f t="shared" si="9"/>
        <v>0</v>
      </c>
      <c r="Y22" s="33">
        <f t="shared" si="10"/>
        <v>0</v>
      </c>
      <c r="Z22" s="33">
        <f t="shared" si="11"/>
        <v>0</v>
      </c>
      <c r="AA22" s="33">
        <f t="shared" si="12"/>
        <v>0</v>
      </c>
      <c r="AB22" s="33">
        <f t="shared" si="13"/>
        <v>0</v>
      </c>
      <c r="AC22" s="33">
        <f t="shared" si="14"/>
        <v>0</v>
      </c>
      <c r="AD22" s="33">
        <f t="shared" si="15"/>
        <v>0</v>
      </c>
      <c r="AE22" s="33">
        <f t="shared" si="16"/>
        <v>0</v>
      </c>
      <c r="AF22" s="33">
        <f t="shared" si="17"/>
        <v>0</v>
      </c>
      <c r="AG22" s="33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1D3BB-067E-4FBD-B3B0-F70D00020EB2}">
  <dimension ref="A1:AG22"/>
  <sheetViews>
    <sheetView workbookViewId="0">
      <selection activeCell="H51" sqref="H51"/>
    </sheetView>
  </sheetViews>
  <sheetFormatPr baseColWidth="10" defaultColWidth="8.83203125" defaultRowHeight="15" x14ac:dyDescent="0.2"/>
  <cols>
    <col min="1" max="1" width="36.33203125" customWidth="1"/>
    <col min="2" max="33" width="13" customWidth="1"/>
  </cols>
  <sheetData>
    <row r="1" spans="1:33" ht="16" x14ac:dyDescent="0.2">
      <c r="A1" s="6" t="s">
        <v>148</v>
      </c>
      <c r="B1" s="5">
        <v>2019</v>
      </c>
      <c r="C1">
        <v>2020</v>
      </c>
      <c r="D1" s="5">
        <v>2021</v>
      </c>
      <c r="E1">
        <v>2022</v>
      </c>
      <c r="F1" s="5">
        <v>2023</v>
      </c>
      <c r="G1">
        <v>2024</v>
      </c>
      <c r="H1" s="5">
        <v>2025</v>
      </c>
      <c r="I1">
        <v>2026</v>
      </c>
      <c r="J1" s="5">
        <v>2027</v>
      </c>
      <c r="K1">
        <v>2028</v>
      </c>
      <c r="L1" s="5">
        <v>2029</v>
      </c>
      <c r="M1">
        <v>2030</v>
      </c>
      <c r="N1" s="5">
        <v>2031</v>
      </c>
      <c r="O1">
        <v>2032</v>
      </c>
      <c r="P1" s="5">
        <v>2033</v>
      </c>
      <c r="Q1">
        <v>2034</v>
      </c>
      <c r="R1" s="5">
        <v>2035</v>
      </c>
      <c r="S1">
        <v>2036</v>
      </c>
      <c r="T1" s="5">
        <v>2037</v>
      </c>
      <c r="U1">
        <v>2038</v>
      </c>
      <c r="V1" s="5">
        <v>2039</v>
      </c>
      <c r="W1">
        <v>2040</v>
      </c>
      <c r="X1" s="5">
        <v>2041</v>
      </c>
      <c r="Y1">
        <v>2042</v>
      </c>
      <c r="Z1" s="5">
        <v>2043</v>
      </c>
      <c r="AA1">
        <v>2044</v>
      </c>
      <c r="AB1" s="5">
        <v>2045</v>
      </c>
      <c r="AC1">
        <v>2046</v>
      </c>
      <c r="AD1" s="5">
        <v>2047</v>
      </c>
      <c r="AE1">
        <v>2048</v>
      </c>
      <c r="AF1" s="5">
        <v>2049</v>
      </c>
      <c r="AG1">
        <v>2050</v>
      </c>
    </row>
    <row r="2" spans="1:33" ht="16" x14ac:dyDescent="0.2">
      <c r="A2" s="6" t="s">
        <v>149</v>
      </c>
      <c r="B2" s="33">
        <v>0</v>
      </c>
      <c r="C2" s="33">
        <v>0</v>
      </c>
      <c r="D2" s="33">
        <v>0</v>
      </c>
      <c r="E2" s="33">
        <v>0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0</v>
      </c>
      <c r="M2" s="33">
        <v>0</v>
      </c>
      <c r="N2" s="33">
        <v>0</v>
      </c>
      <c r="O2" s="33">
        <v>0</v>
      </c>
      <c r="P2" s="33">
        <f>AVERAGE(B2:N2)</f>
        <v>0</v>
      </c>
      <c r="Q2" s="33">
        <f t="shared" ref="Q2:AG8" si="0">AVERAGE(C2:O2)</f>
        <v>0</v>
      </c>
      <c r="R2" s="33">
        <f t="shared" si="0"/>
        <v>0</v>
      </c>
      <c r="S2" s="33">
        <f t="shared" si="0"/>
        <v>0</v>
      </c>
      <c r="T2" s="33">
        <f t="shared" si="0"/>
        <v>0</v>
      </c>
      <c r="U2" s="33">
        <f t="shared" si="0"/>
        <v>0</v>
      </c>
      <c r="V2" s="33">
        <f t="shared" si="0"/>
        <v>0</v>
      </c>
      <c r="W2" s="33">
        <f t="shared" si="0"/>
        <v>0</v>
      </c>
      <c r="X2" s="33">
        <f t="shared" si="0"/>
        <v>0</v>
      </c>
      <c r="Y2" s="33">
        <f t="shared" si="0"/>
        <v>0</v>
      </c>
      <c r="Z2" s="33">
        <f t="shared" si="0"/>
        <v>0</v>
      </c>
      <c r="AA2" s="33">
        <f t="shared" si="0"/>
        <v>0</v>
      </c>
      <c r="AB2" s="33">
        <f t="shared" si="0"/>
        <v>0</v>
      </c>
      <c r="AC2" s="33">
        <f t="shared" si="0"/>
        <v>0</v>
      </c>
      <c r="AD2" s="33">
        <f t="shared" si="0"/>
        <v>0</v>
      </c>
      <c r="AE2" s="33">
        <f t="shared" si="0"/>
        <v>0</v>
      </c>
      <c r="AF2" s="33">
        <f t="shared" si="0"/>
        <v>0</v>
      </c>
      <c r="AG2" s="33">
        <f t="shared" si="0"/>
        <v>0</v>
      </c>
    </row>
    <row r="3" spans="1:33" x14ac:dyDescent="0.2">
      <c r="A3" s="1" t="s">
        <v>55</v>
      </c>
      <c r="B3" s="33">
        <f>BEN!$A$5*BEN!J5</f>
        <v>299104080</v>
      </c>
      <c r="C3" s="33">
        <f>BEN!$A$5*BEN!K5</f>
        <v>270468330</v>
      </c>
      <c r="D3" s="33">
        <f>BEN!$A$5*BEN!L5</f>
        <v>313289790</v>
      </c>
      <c r="E3" s="33">
        <f>BEN!$A$5*BEN!M5</f>
        <v>293905590</v>
      </c>
      <c r="F3" s="33">
        <f>BEN!$A$5*BEN!N5</f>
        <v>309277848</v>
      </c>
      <c r="G3" s="33">
        <f>BEN!$A$5*BEN!O5</f>
        <v>309277848</v>
      </c>
      <c r="H3" s="33">
        <f>BEN!$A$5*BEN!P5</f>
        <v>309277848</v>
      </c>
      <c r="I3" s="33">
        <f>BEN!$A$5*BEN!Q5</f>
        <v>309277848</v>
      </c>
      <c r="J3" s="33">
        <f>BEN!$A$5*BEN!R5</f>
        <v>309277848</v>
      </c>
      <c r="K3" s="33">
        <f>BEN!$A$5*BEN!S5</f>
        <v>309277848</v>
      </c>
      <c r="L3" s="33">
        <f>BEN!$A$5*BEN!T5</f>
        <v>309277848</v>
      </c>
      <c r="M3" s="33">
        <f>BEN!$A$5*BEN!U5</f>
        <v>309277848</v>
      </c>
      <c r="N3" s="33">
        <f>BEN!$A$5*BEN!V5</f>
        <v>309277848</v>
      </c>
      <c r="O3" s="33">
        <f>BEN!$A$5*BEN!W5</f>
        <v>309277848</v>
      </c>
      <c r="P3" s="33">
        <f t="shared" ref="P3:P22" si="1">AVERAGE(B3:N3)</f>
        <v>304636032.46153843</v>
      </c>
      <c r="Q3" s="33">
        <f t="shared" si="0"/>
        <v>305418630</v>
      </c>
      <c r="R3" s="33">
        <f t="shared" si="0"/>
        <v>308046914.80473369</v>
      </c>
      <c r="S3" s="33">
        <f t="shared" si="0"/>
        <v>307441440.9585799</v>
      </c>
      <c r="T3" s="33">
        <f t="shared" si="0"/>
        <v>308529235.17432863</v>
      </c>
      <c r="U3" s="33">
        <f t="shared" si="0"/>
        <v>308387973.09421939</v>
      </c>
      <c r="V3" s="33">
        <f t="shared" si="0"/>
        <v>308330387.49224466</v>
      </c>
      <c r="W3" s="33">
        <f t="shared" si="0"/>
        <v>308261935.57641542</v>
      </c>
      <c r="X3" s="33">
        <f t="shared" si="0"/>
        <v>308189053.99889576</v>
      </c>
      <c r="Y3" s="33">
        <f t="shared" si="0"/>
        <v>308110906.88938928</v>
      </c>
      <c r="Z3" s="33">
        <f t="shared" si="0"/>
        <v>308027153.50468892</v>
      </c>
      <c r="AA3" s="33">
        <f t="shared" si="0"/>
        <v>307937388.8038727</v>
      </c>
      <c r="AB3" s="33">
        <f t="shared" si="0"/>
        <v>307841181.53500259</v>
      </c>
      <c r="AC3" s="33">
        <f t="shared" si="0"/>
        <v>307738069.28914666</v>
      </c>
      <c r="AD3" s="33">
        <f t="shared" si="0"/>
        <v>307627556.48414683</v>
      </c>
      <c r="AE3" s="33">
        <f t="shared" si="0"/>
        <v>307866174.70165515</v>
      </c>
      <c r="AF3" s="33">
        <f t="shared" si="0"/>
        <v>308036092.12351263</v>
      </c>
      <c r="AG3" s="33">
        <f t="shared" si="0"/>
        <v>308022189.03866047</v>
      </c>
    </row>
    <row r="4" spans="1:33" x14ac:dyDescent="0.2">
      <c r="A4" s="1" t="s">
        <v>13</v>
      </c>
      <c r="B4" s="34">
        <f>BEN!$A$9*BEN!J9</f>
        <v>386317</v>
      </c>
      <c r="C4" s="34">
        <f>BEN!$A$9*BEN!K9</f>
        <v>378673.39999999997</v>
      </c>
      <c r="D4" s="34">
        <f>BEN!$A$9*BEN!L9</f>
        <v>664126.4</v>
      </c>
      <c r="E4" s="34">
        <f>BEN!$A$9*BEN!M9</f>
        <v>345735</v>
      </c>
      <c r="F4" s="34">
        <f>BEN!$A$9*BEN!N9</f>
        <v>891622</v>
      </c>
      <c r="G4" s="34">
        <f>BEN!$A$9*BEN!O9</f>
        <v>1078575</v>
      </c>
      <c r="H4" s="34">
        <f>BEN!$A$9*BEN!P9</f>
        <v>1049813</v>
      </c>
      <c r="I4" s="34">
        <f>BEN!$A$9*BEN!Q9</f>
        <v>1035432</v>
      </c>
      <c r="J4" s="34">
        <f>BEN!$A$9*BEN!R9</f>
        <v>934765</v>
      </c>
      <c r="K4" s="34">
        <f>BEN!$A$9*BEN!S9</f>
        <v>862860</v>
      </c>
      <c r="L4" s="34">
        <f>BEN!$A$9*BEN!T9</f>
        <v>776574</v>
      </c>
      <c r="M4" s="34">
        <f>BEN!$A$9*BEN!U9</f>
        <v>747812</v>
      </c>
      <c r="N4" s="34">
        <f>BEN!$A$9*BEN!V9</f>
        <v>704669</v>
      </c>
      <c r="O4" s="34">
        <f>BEN!$A$9*BEN!W9</f>
        <v>690288</v>
      </c>
      <c r="P4" s="33">
        <f t="shared" si="1"/>
        <v>758228.75384615385</v>
      </c>
      <c r="Q4" s="33">
        <f t="shared" si="0"/>
        <v>781611.13846153847</v>
      </c>
      <c r="R4" s="33">
        <f t="shared" si="0"/>
        <v>810807.70414201182</v>
      </c>
      <c r="S4" s="33">
        <f t="shared" si="0"/>
        <v>819844.99171597627</v>
      </c>
      <c r="T4" s="33">
        <f t="shared" si="0"/>
        <v>855619.81511151558</v>
      </c>
      <c r="U4" s="33">
        <f t="shared" si="0"/>
        <v>850098.50678197539</v>
      </c>
      <c r="V4" s="33">
        <f t="shared" si="0"/>
        <v>832948.10794439982</v>
      </c>
      <c r="W4" s="33">
        <f t="shared" si="0"/>
        <v>817585.45461993618</v>
      </c>
      <c r="X4" s="33">
        <f t="shared" si="0"/>
        <v>802009.77061565919</v>
      </c>
      <c r="Y4" s="33">
        <f t="shared" si="0"/>
        <v>792995.95943257748</v>
      </c>
      <c r="Z4" s="33">
        <f t="shared" si="0"/>
        <v>788315.17255685909</v>
      </c>
      <c r="AA4" s="33">
        <f t="shared" si="0"/>
        <v>789578.40020551893</v>
      </c>
      <c r="AB4" s="33">
        <f t="shared" si="0"/>
        <v>792694.02886373876</v>
      </c>
      <c r="AC4" s="33">
        <f t="shared" si="0"/>
        <v>799225.52118724026</v>
      </c>
      <c r="AD4" s="33">
        <f t="shared" si="0"/>
        <v>807102.90802291234</v>
      </c>
      <c r="AE4" s="33">
        <f t="shared" si="0"/>
        <v>810256.50551068829</v>
      </c>
      <c r="AF4" s="33">
        <f t="shared" si="0"/>
        <v>812217.41086156317</v>
      </c>
      <c r="AG4" s="33">
        <f t="shared" si="0"/>
        <v>812175.01096684602</v>
      </c>
    </row>
    <row r="5" spans="1:33" x14ac:dyDescent="0.2">
      <c r="A5" s="1" t="s">
        <v>57</v>
      </c>
      <c r="B5" s="33">
        <f>BEN!$A$15*BEN!J15</f>
        <v>41823376.62398655</v>
      </c>
      <c r="C5" s="33">
        <f>BEN!$A$15*BEN!K15</f>
        <v>63942437.24036742</v>
      </c>
      <c r="D5" s="33">
        <f>BEN!$A$15*BEN!L15</f>
        <v>64273602.215285167</v>
      </c>
      <c r="E5" s="33">
        <f>BEN!$A$15*BEN!M15</f>
        <v>42996252.576820225</v>
      </c>
      <c r="F5" s="33">
        <f>BEN!$A$15*BEN!N15</f>
        <v>42996252.576820225</v>
      </c>
      <c r="G5" s="33">
        <f>BEN!$A$15*BEN!O15</f>
        <v>42996252.576820225</v>
      </c>
      <c r="H5" s="33">
        <f>BEN!$A$15*BEN!P15</f>
        <v>42996252.576820225</v>
      </c>
      <c r="I5" s="33">
        <f>BEN!$A$15*BEN!Q15</f>
        <v>42996252.576820225</v>
      </c>
      <c r="J5" s="33">
        <f>BEN!$A$15*BEN!R15</f>
        <v>42996252.576820225</v>
      </c>
      <c r="K5" s="33">
        <f>BEN!$A$15*BEN!S15</f>
        <v>42996252.576820225</v>
      </c>
      <c r="L5" s="33">
        <f>BEN!$A$15*BEN!T15</f>
        <v>42996252.576820225</v>
      </c>
      <c r="M5" s="33">
        <f>BEN!$A$15*BEN!U15</f>
        <v>42996252.576820225</v>
      </c>
      <c r="N5" s="33">
        <f>BEN!$A$15*BEN!V15</f>
        <v>42996252.576820225</v>
      </c>
      <c r="O5" s="33">
        <f>BEN!$A$15*BEN!W15</f>
        <v>42996252.576820225</v>
      </c>
      <c r="P5" s="33">
        <f t="shared" si="1"/>
        <v>46153995.526757047</v>
      </c>
      <c r="Q5" s="33">
        <f t="shared" si="0"/>
        <v>46244216.753898099</v>
      </c>
      <c r="R5" s="33">
        <f t="shared" si="0"/>
        <v>44875875.083620377</v>
      </c>
      <c r="S5" s="33">
        <f t="shared" si="0"/>
        <v>43488999.278898284</v>
      </c>
      <c r="T5" s="33">
        <f t="shared" si="0"/>
        <v>43633585.625575222</v>
      </c>
      <c r="U5" s="33">
        <f t="shared" si="0"/>
        <v>43671489.218042761</v>
      </c>
      <c r="V5" s="33">
        <f t="shared" si="0"/>
        <v>43720514.837177753</v>
      </c>
      <c r="W5" s="33">
        <f t="shared" si="0"/>
        <v>43772456.117271796</v>
      </c>
      <c r="X5" s="33">
        <f t="shared" si="0"/>
        <v>43828168.598837763</v>
      </c>
      <c r="Y5" s="33">
        <f t="shared" si="0"/>
        <v>43887876.56348788</v>
      </c>
      <c r="Z5" s="33">
        <f t="shared" si="0"/>
        <v>43951870.103643075</v>
      </c>
      <c r="AA5" s="33">
        <f t="shared" si="0"/>
        <v>44020456.564155973</v>
      </c>
      <c r="AB5" s="33">
        <f t="shared" si="0"/>
        <v>44093965.604680806</v>
      </c>
      <c r="AC5" s="33">
        <f t="shared" si="0"/>
        <v>44172750.526783548</v>
      </c>
      <c r="AD5" s="33">
        <f t="shared" si="0"/>
        <v>44257189.990465149</v>
      </c>
      <c r="AE5" s="33">
        <f t="shared" si="0"/>
        <v>44104786.528928719</v>
      </c>
      <c r="AF5" s="33">
        <f t="shared" si="0"/>
        <v>43951938.31635695</v>
      </c>
      <c r="AG5" s="33">
        <f t="shared" si="0"/>
        <v>43892623.812149897</v>
      </c>
    </row>
    <row r="6" spans="1:33" x14ac:dyDescent="0.2">
      <c r="A6" s="1" t="s">
        <v>150</v>
      </c>
      <c r="B6" s="33">
        <v>0</v>
      </c>
      <c r="C6" s="33">
        <v>0</v>
      </c>
      <c r="D6" s="33">
        <v>0</v>
      </c>
      <c r="E6" s="33">
        <v>0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0</v>
      </c>
      <c r="M6" s="33">
        <v>0</v>
      </c>
      <c r="N6" s="33">
        <v>0</v>
      </c>
      <c r="O6" s="33">
        <v>0</v>
      </c>
      <c r="P6" s="33">
        <f t="shared" si="1"/>
        <v>0</v>
      </c>
      <c r="Q6" s="33">
        <f t="shared" si="0"/>
        <v>0</v>
      </c>
      <c r="R6" s="33">
        <f t="shared" si="0"/>
        <v>0</v>
      </c>
      <c r="S6" s="33">
        <f t="shared" si="0"/>
        <v>0</v>
      </c>
      <c r="T6" s="33">
        <f t="shared" si="0"/>
        <v>0</v>
      </c>
      <c r="U6" s="33">
        <f t="shared" si="0"/>
        <v>0</v>
      </c>
      <c r="V6" s="33">
        <f t="shared" si="0"/>
        <v>0</v>
      </c>
      <c r="W6" s="33">
        <f t="shared" si="0"/>
        <v>0</v>
      </c>
      <c r="X6" s="33">
        <f t="shared" si="0"/>
        <v>0</v>
      </c>
      <c r="Y6" s="33">
        <f t="shared" si="0"/>
        <v>0</v>
      </c>
      <c r="Z6" s="33">
        <f t="shared" si="0"/>
        <v>0</v>
      </c>
      <c r="AA6" s="33">
        <f t="shared" si="0"/>
        <v>0</v>
      </c>
      <c r="AB6" s="33">
        <f t="shared" si="0"/>
        <v>0</v>
      </c>
      <c r="AC6" s="33">
        <f t="shared" si="0"/>
        <v>0</v>
      </c>
      <c r="AD6" s="33">
        <f t="shared" si="0"/>
        <v>0</v>
      </c>
      <c r="AE6" s="33">
        <f t="shared" si="0"/>
        <v>0</v>
      </c>
      <c r="AF6" s="33">
        <f t="shared" si="0"/>
        <v>0</v>
      </c>
      <c r="AG6" s="33">
        <f t="shared" si="0"/>
        <v>0</v>
      </c>
    </row>
    <row r="7" spans="1:33" x14ac:dyDescent="0.2">
      <c r="A7" s="1" t="s">
        <v>151</v>
      </c>
      <c r="B7" s="33">
        <v>0</v>
      </c>
      <c r="C7" s="33">
        <v>0</v>
      </c>
      <c r="D7" s="33">
        <v>0</v>
      </c>
      <c r="E7" s="33">
        <v>0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0</v>
      </c>
      <c r="M7" s="33">
        <v>0</v>
      </c>
      <c r="N7" s="33">
        <v>0</v>
      </c>
      <c r="O7" s="33">
        <v>0</v>
      </c>
      <c r="P7" s="33">
        <f t="shared" si="1"/>
        <v>0</v>
      </c>
      <c r="Q7" s="33">
        <f t="shared" si="0"/>
        <v>0</v>
      </c>
      <c r="R7" s="33">
        <f t="shared" si="0"/>
        <v>0</v>
      </c>
      <c r="S7" s="33">
        <f t="shared" si="0"/>
        <v>0</v>
      </c>
      <c r="T7" s="33">
        <f t="shared" si="0"/>
        <v>0</v>
      </c>
      <c r="U7" s="33">
        <f t="shared" si="0"/>
        <v>0</v>
      </c>
      <c r="V7" s="33">
        <f t="shared" si="0"/>
        <v>0</v>
      </c>
      <c r="W7" s="33">
        <f t="shared" si="0"/>
        <v>0</v>
      </c>
      <c r="X7" s="33">
        <f t="shared" si="0"/>
        <v>0</v>
      </c>
      <c r="Y7" s="33">
        <f t="shared" si="0"/>
        <v>0</v>
      </c>
      <c r="Z7" s="33">
        <f t="shared" si="0"/>
        <v>0</v>
      </c>
      <c r="AA7" s="33">
        <f t="shared" si="0"/>
        <v>0</v>
      </c>
      <c r="AB7" s="33">
        <f t="shared" si="0"/>
        <v>0</v>
      </c>
      <c r="AC7" s="33">
        <f t="shared" si="0"/>
        <v>0</v>
      </c>
      <c r="AD7" s="33">
        <f t="shared" si="0"/>
        <v>0</v>
      </c>
      <c r="AE7" s="33">
        <f t="shared" si="0"/>
        <v>0</v>
      </c>
      <c r="AF7" s="33">
        <f t="shared" si="0"/>
        <v>0</v>
      </c>
      <c r="AG7" s="33">
        <f t="shared" si="0"/>
        <v>0</v>
      </c>
    </row>
    <row r="8" spans="1:33" x14ac:dyDescent="0.2">
      <c r="A8" s="1" t="s">
        <v>152</v>
      </c>
      <c r="B8" s="33">
        <v>0</v>
      </c>
      <c r="C8" s="33">
        <v>0</v>
      </c>
      <c r="D8" s="33">
        <v>0</v>
      </c>
      <c r="E8" s="33">
        <v>0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0</v>
      </c>
      <c r="M8" s="33">
        <v>0</v>
      </c>
      <c r="N8" s="33">
        <v>0</v>
      </c>
      <c r="O8" s="33">
        <v>0</v>
      </c>
      <c r="P8" s="33">
        <f t="shared" si="1"/>
        <v>0</v>
      </c>
      <c r="Q8" s="33">
        <f t="shared" si="0"/>
        <v>0</v>
      </c>
      <c r="R8" s="33">
        <f t="shared" si="0"/>
        <v>0</v>
      </c>
      <c r="S8" s="33">
        <f t="shared" si="0"/>
        <v>0</v>
      </c>
      <c r="T8" s="33">
        <f t="shared" si="0"/>
        <v>0</v>
      </c>
      <c r="U8" s="33">
        <f t="shared" si="0"/>
        <v>0</v>
      </c>
      <c r="V8" s="33">
        <f t="shared" si="0"/>
        <v>0</v>
      </c>
      <c r="W8" s="33">
        <f t="shared" si="0"/>
        <v>0</v>
      </c>
      <c r="X8" s="33">
        <f t="shared" si="0"/>
        <v>0</v>
      </c>
      <c r="Y8" s="33">
        <f t="shared" si="0"/>
        <v>0</v>
      </c>
      <c r="Z8" s="33">
        <f t="shared" si="0"/>
        <v>0</v>
      </c>
      <c r="AA8" s="33">
        <f t="shared" si="0"/>
        <v>0</v>
      </c>
      <c r="AB8" s="33">
        <f t="shared" si="0"/>
        <v>0</v>
      </c>
      <c r="AC8" s="33">
        <f t="shared" si="0"/>
        <v>0</v>
      </c>
      <c r="AD8" s="33">
        <f t="shared" si="0"/>
        <v>0</v>
      </c>
      <c r="AE8" s="33">
        <f t="shared" si="0"/>
        <v>0</v>
      </c>
      <c r="AF8" s="33">
        <f t="shared" si="0"/>
        <v>0</v>
      </c>
      <c r="AG8" s="33">
        <f t="shared" si="0"/>
        <v>0</v>
      </c>
    </row>
    <row r="9" spans="1:33" x14ac:dyDescent="0.2">
      <c r="A9" s="1" t="s">
        <v>15</v>
      </c>
      <c r="B9" s="33">
        <f>BEN!$A$20*BEN!J20</f>
        <v>0</v>
      </c>
      <c r="C9" s="33">
        <f>BEN!$A$20*BEN!K20</f>
        <v>0</v>
      </c>
      <c r="D9" s="33">
        <f>BEN!$A$20*BEN!L20</f>
        <v>0</v>
      </c>
      <c r="E9" s="33">
        <f>BEN!$A$20*BEN!M20</f>
        <v>0</v>
      </c>
      <c r="F9" s="33">
        <f>BEN!$A$20*BEN!N20</f>
        <v>0</v>
      </c>
      <c r="G9" s="33">
        <f>BEN!$A$20*BEN!O20</f>
        <v>0</v>
      </c>
      <c r="H9" s="33">
        <f>BEN!$A$20*BEN!P20</f>
        <v>0</v>
      </c>
      <c r="I9" s="33">
        <f>BEN!$A$20*BEN!Q20</f>
        <v>0</v>
      </c>
      <c r="J9" s="33">
        <f>BEN!$A$20*BEN!R20</f>
        <v>0</v>
      </c>
      <c r="K9" s="33">
        <f>BEN!$A$20*BEN!S20</f>
        <v>0</v>
      </c>
      <c r="L9" s="33">
        <f>BEN!$A$20*BEN!T20</f>
        <v>0</v>
      </c>
      <c r="M9" s="33">
        <f>BEN!$A$20*BEN!U20</f>
        <v>0</v>
      </c>
      <c r="N9" s="33">
        <f>BEN!$A$20*BEN!V20</f>
        <v>0</v>
      </c>
      <c r="O9" s="33">
        <f>BEN!$A$20*BEN!W20</f>
        <v>0</v>
      </c>
      <c r="P9" s="33">
        <f t="shared" si="1"/>
        <v>0</v>
      </c>
      <c r="Q9" s="33">
        <f t="shared" ref="Q9:Q22" si="2">AVERAGE(C9:O9)</f>
        <v>0</v>
      </c>
      <c r="R9" s="33">
        <f t="shared" ref="R9:R22" si="3">AVERAGE(D9:P9)</f>
        <v>0</v>
      </c>
      <c r="S9" s="33">
        <f t="shared" ref="S9:S22" si="4">AVERAGE(E9:Q9)</f>
        <v>0</v>
      </c>
      <c r="T9" s="33">
        <f t="shared" ref="T9:T22" si="5">AVERAGE(F9:R9)</f>
        <v>0</v>
      </c>
      <c r="U9" s="33">
        <f t="shared" ref="U9:U22" si="6">AVERAGE(G9:S9)</f>
        <v>0</v>
      </c>
      <c r="V9" s="33">
        <f t="shared" ref="V9:V22" si="7">AVERAGE(H9:T9)</f>
        <v>0</v>
      </c>
      <c r="W9" s="33">
        <f t="shared" ref="W9:W22" si="8">AVERAGE(I9:U9)</f>
        <v>0</v>
      </c>
      <c r="X9" s="33">
        <f t="shared" ref="X9:X22" si="9">AVERAGE(J9:V9)</f>
        <v>0</v>
      </c>
      <c r="Y9" s="33">
        <f t="shared" ref="Y9:Y22" si="10">AVERAGE(K9:W9)</f>
        <v>0</v>
      </c>
      <c r="Z9" s="33">
        <f t="shared" ref="Z9:Z22" si="11">AVERAGE(L9:X9)</f>
        <v>0</v>
      </c>
      <c r="AA9" s="33">
        <f t="shared" ref="AA9:AA22" si="12">AVERAGE(M9:Y9)</f>
        <v>0</v>
      </c>
      <c r="AB9" s="33">
        <f t="shared" ref="AB9:AB22" si="13">AVERAGE(N9:Z9)</f>
        <v>0</v>
      </c>
      <c r="AC9" s="33">
        <f t="shared" ref="AC9:AC22" si="14">AVERAGE(O9:AA9)</f>
        <v>0</v>
      </c>
      <c r="AD9" s="33">
        <f t="shared" ref="AD9:AD22" si="15">AVERAGE(P9:AB9)</f>
        <v>0</v>
      </c>
      <c r="AE9" s="33">
        <f t="shared" ref="AE9:AE22" si="16">AVERAGE(Q9:AC9)</f>
        <v>0</v>
      </c>
      <c r="AF9" s="33">
        <f t="shared" ref="AF9:AF22" si="17">AVERAGE(R9:AD9)</f>
        <v>0</v>
      </c>
      <c r="AG9" s="33">
        <f t="shared" ref="AG9:AG22" si="18">AVERAGE(S9:AE9)</f>
        <v>0</v>
      </c>
    </row>
    <row r="10" spans="1:33" x14ac:dyDescent="0.2">
      <c r="A10" s="1" t="s">
        <v>19</v>
      </c>
      <c r="B10" s="33">
        <f>BEN!$A$28*BEN!J28</f>
        <v>149357728</v>
      </c>
      <c r="C10" s="33">
        <f>BEN!$A$28*BEN!K28</f>
        <v>151007752</v>
      </c>
      <c r="D10" s="33">
        <f>BEN!$A$28*BEN!L28</f>
        <v>84181780</v>
      </c>
      <c r="E10" s="33">
        <f>BEN!$A$28*BEN!M28</f>
        <v>126685176</v>
      </c>
      <c r="F10" s="33">
        <f>BEN!$A$28*BEN!N28</f>
        <v>63512265.114793129</v>
      </c>
      <c r="G10" s="33">
        <f>BEN!$A$28*BEN!O28</f>
        <v>31004339.102953367</v>
      </c>
      <c r="H10" s="33">
        <f>BEN!$A$28*BEN!P28</f>
        <v>0</v>
      </c>
      <c r="I10" s="33">
        <f>BEN!$A$28*BEN!Q28</f>
        <v>0</v>
      </c>
      <c r="J10" s="33">
        <f>BEN!$A$28*BEN!R28</f>
        <v>0</v>
      </c>
      <c r="K10" s="33">
        <f>BEN!$A$28*BEN!S28</f>
        <v>0</v>
      </c>
      <c r="L10" s="33">
        <f>BEN!$A$28*BEN!T28</f>
        <v>0</v>
      </c>
      <c r="M10" s="33">
        <f>BEN!$A$28*BEN!U28</f>
        <v>0</v>
      </c>
      <c r="N10" s="33">
        <f>BEN!$A$28*BEN!V28</f>
        <v>18175178.425073229</v>
      </c>
      <c r="O10" s="33">
        <f>BEN!$A$28*BEN!W28</f>
        <v>73304368.928150877</v>
      </c>
      <c r="P10" s="33">
        <f t="shared" si="1"/>
        <v>47994170.664832287</v>
      </c>
      <c r="Q10" s="33">
        <f t="shared" si="2"/>
        <v>42143912.274690039</v>
      </c>
      <c r="R10" s="33">
        <f t="shared" si="3"/>
        <v>34219790.6335233</v>
      </c>
      <c r="S10" s="33">
        <f t="shared" si="4"/>
        <v>30986108.500807147</v>
      </c>
      <c r="T10" s="33">
        <f t="shared" si="5"/>
        <v>23873386.549539708</v>
      </c>
      <c r="U10" s="33">
        <f t="shared" si="6"/>
        <v>21371374.502310019</v>
      </c>
      <c r="V10" s="33">
        <f t="shared" si="7"/>
        <v>20822839.690508965</v>
      </c>
      <c r="W10" s="33">
        <f t="shared" si="8"/>
        <v>22466791.575302046</v>
      </c>
      <c r="X10" s="33">
        <f t="shared" si="9"/>
        <v>24068548.474571966</v>
      </c>
      <c r="Y10" s="33">
        <f t="shared" si="10"/>
        <v>25796763.211133663</v>
      </c>
      <c r="Z10" s="33">
        <f t="shared" si="11"/>
        <v>27648190.016869966</v>
      </c>
      <c r="AA10" s="33">
        <f t="shared" si="12"/>
        <v>29632556.417726401</v>
      </c>
      <c r="AB10" s="33">
        <f t="shared" si="13"/>
        <v>31759340.265177939</v>
      </c>
      <c r="AC10" s="33">
        <f t="shared" si="14"/>
        <v>32640677.033843569</v>
      </c>
      <c r="AD10" s="33">
        <f t="shared" si="15"/>
        <v>29444905.598230265</v>
      </c>
      <c r="AE10" s="33">
        <f t="shared" si="16"/>
        <v>28263867.626615748</v>
      </c>
      <c r="AF10" s="33">
        <f t="shared" si="17"/>
        <v>27287020.959195767</v>
      </c>
      <c r="AG10" s="33">
        <f t="shared" si="18"/>
        <v>26828873.03558749</v>
      </c>
    </row>
    <row r="11" spans="1:33" x14ac:dyDescent="0.2">
      <c r="A11" s="1" t="s">
        <v>21</v>
      </c>
      <c r="B11" s="33">
        <f>BEN!$A$32*BEN!J32</f>
        <v>437733508.79999995</v>
      </c>
      <c r="C11" s="33">
        <f>BEN!$A$32*BEN!K32</f>
        <v>403644944.5</v>
      </c>
      <c r="D11" s="33">
        <f>BEN!$A$32*BEN!L32</f>
        <v>485820930.69999999</v>
      </c>
      <c r="E11" s="33">
        <f>BEN!$A$32*BEN!M32</f>
        <v>484071073.5</v>
      </c>
      <c r="F11" s="33">
        <f>BEN!$A$32*BEN!N32</f>
        <v>494198824.55367362</v>
      </c>
      <c r="G11" s="33">
        <f>BEN!$A$32*BEN!O32</f>
        <v>540933727.56740141</v>
      </c>
      <c r="H11" s="33">
        <f>BEN!$A$32*BEN!P32</f>
        <v>587668630.58112919</v>
      </c>
      <c r="I11" s="33">
        <f>BEN!$A$32*BEN!Q32</f>
        <v>579103993.49561191</v>
      </c>
      <c r="J11" s="33">
        <f>BEN!$A$32*BEN!R32</f>
        <v>570539356.41009498</v>
      </c>
      <c r="K11" s="33">
        <f>BEN!$A$32*BEN!S32</f>
        <v>561974719.3245784</v>
      </c>
      <c r="L11" s="33">
        <f>BEN!$A$32*BEN!T32</f>
        <v>584968957.70949221</v>
      </c>
      <c r="M11" s="33">
        <f>BEN!$A$32*BEN!U32</f>
        <v>607963196.09440625</v>
      </c>
      <c r="N11" s="33">
        <f>BEN!$A$32*BEN!V32</f>
        <v>630957434.47932065</v>
      </c>
      <c r="O11" s="33">
        <f>BEN!$A$32*BEN!W32</f>
        <v>653951672.86423314</v>
      </c>
      <c r="P11" s="33">
        <f t="shared" si="1"/>
        <v>536121484.43966985</v>
      </c>
      <c r="Q11" s="33">
        <f t="shared" si="2"/>
        <v>552753650.90614939</v>
      </c>
      <c r="R11" s="33">
        <f t="shared" si="3"/>
        <v>562944153.97843158</v>
      </c>
      <c r="S11" s="33">
        <f t="shared" si="4"/>
        <v>568092824.76352</v>
      </c>
      <c r="T11" s="33">
        <f t="shared" si="5"/>
        <v>574159984.80032241</v>
      </c>
      <c r="U11" s="33">
        <f t="shared" si="6"/>
        <v>579844138.6626184</v>
      </c>
      <c r="V11" s="33">
        <f t="shared" si="7"/>
        <v>582400004.6036123</v>
      </c>
      <c r="W11" s="33">
        <f t="shared" si="8"/>
        <v>581798120.60988069</v>
      </c>
      <c r="X11" s="33">
        <f t="shared" si="9"/>
        <v>582051659.92588079</v>
      </c>
      <c r="Y11" s="33">
        <f t="shared" si="10"/>
        <v>582917718.71047962</v>
      </c>
      <c r="Z11" s="33">
        <f t="shared" si="11"/>
        <v>584462098.75673366</v>
      </c>
      <c r="AA11" s="33">
        <f t="shared" si="12"/>
        <v>584304311.14142501</v>
      </c>
      <c r="AB11" s="33">
        <f t="shared" si="13"/>
        <v>582496534.42314255</v>
      </c>
      <c r="AC11" s="33">
        <f t="shared" si="14"/>
        <v>578907832.62791979</v>
      </c>
      <c r="AD11" s="33">
        <f t="shared" si="15"/>
        <v>573411283.51706672</v>
      </c>
      <c r="AE11" s="33">
        <f t="shared" si="16"/>
        <v>576702541.07000899</v>
      </c>
      <c r="AF11" s="33">
        <f t="shared" si="17"/>
        <v>578291589.7323873</v>
      </c>
      <c r="AG11" s="33">
        <f t="shared" si="18"/>
        <v>579349927.20097017</v>
      </c>
    </row>
    <row r="12" spans="1:33" x14ac:dyDescent="0.2">
      <c r="A12" s="1" t="s">
        <v>22</v>
      </c>
      <c r="B12" s="33">
        <f>BEN!$A$36*BEN!J36</f>
        <v>30970367.699999999</v>
      </c>
      <c r="C12" s="33">
        <f>BEN!$A$36*BEN!K36</f>
        <v>20646911.799999997</v>
      </c>
      <c r="D12" s="33">
        <f>BEN!$A$36*BEN!L36</f>
        <v>9310507.1999999993</v>
      </c>
      <c r="E12" s="33">
        <f>BEN!$A$36*BEN!M36</f>
        <v>2133657.9</v>
      </c>
      <c r="F12" s="33">
        <f>BEN!$A$36*BEN!N36</f>
        <v>0</v>
      </c>
      <c r="G12" s="33">
        <f>BEN!$A$36*BEN!O36</f>
        <v>0</v>
      </c>
      <c r="H12" s="33">
        <f>BEN!$A$36*BEN!P36</f>
        <v>0</v>
      </c>
      <c r="I12" s="33">
        <f>BEN!$A$36*BEN!Q36</f>
        <v>0</v>
      </c>
      <c r="J12" s="33">
        <f>BEN!$A$36*BEN!R36</f>
        <v>0</v>
      </c>
      <c r="K12" s="33">
        <f>BEN!$A$36*BEN!S36</f>
        <v>0</v>
      </c>
      <c r="L12" s="33">
        <f>BEN!$A$36*BEN!T36</f>
        <v>0</v>
      </c>
      <c r="M12" s="33">
        <f>BEN!$A$36*BEN!U36</f>
        <v>0</v>
      </c>
      <c r="N12" s="33">
        <f>BEN!$A$36*BEN!V36</f>
        <v>0</v>
      </c>
      <c r="O12" s="33">
        <f>BEN!$A$36*BEN!W36</f>
        <v>0</v>
      </c>
      <c r="P12" s="33">
        <f t="shared" si="1"/>
        <v>4850880.3538461542</v>
      </c>
      <c r="Q12" s="33">
        <f t="shared" si="2"/>
        <v>2468544.3769230763</v>
      </c>
      <c r="R12" s="33">
        <f t="shared" si="3"/>
        <v>1253465.0349112425</v>
      </c>
      <c r="S12" s="33">
        <f t="shared" si="4"/>
        <v>727160.20236686384</v>
      </c>
      <c r="T12" s="33">
        <f t="shared" si="5"/>
        <v>659453.05889849795</v>
      </c>
      <c r="U12" s="33">
        <f t="shared" si="6"/>
        <v>715388.45908056444</v>
      </c>
      <c r="V12" s="33">
        <f t="shared" si="7"/>
        <v>766115.6174573719</v>
      </c>
      <c r="W12" s="33">
        <f t="shared" si="8"/>
        <v>821145.49892510765</v>
      </c>
      <c r="X12" s="33">
        <f t="shared" si="9"/>
        <v>880077.46949875157</v>
      </c>
      <c r="Y12" s="33">
        <f t="shared" si="10"/>
        <v>943242.50787760608</v>
      </c>
      <c r="Z12" s="33">
        <f t="shared" si="11"/>
        <v>1010940.7747621255</v>
      </c>
      <c r="AA12" s="33">
        <f t="shared" si="12"/>
        <v>1083497.8907527106</v>
      </c>
      <c r="AB12" s="33">
        <f t="shared" si="13"/>
        <v>1161262.5657344125</v>
      </c>
      <c r="AC12" s="33">
        <f t="shared" si="14"/>
        <v>1244608.5573307748</v>
      </c>
      <c r="AD12" s="33">
        <f t="shared" si="15"/>
        <v>1333936.4470026528</v>
      </c>
      <c r="AE12" s="33">
        <f t="shared" si="16"/>
        <v>1056530.9241937774</v>
      </c>
      <c r="AF12" s="33">
        <f t="shared" si="17"/>
        <v>969253.39112297562</v>
      </c>
      <c r="AG12" s="33">
        <f t="shared" si="18"/>
        <v>954104.61337547819</v>
      </c>
    </row>
    <row r="13" spans="1:33" x14ac:dyDescent="0.2">
      <c r="A13" s="1" t="s">
        <v>23</v>
      </c>
      <c r="B13" s="33">
        <f>BEN!$A$40*BEN!J40</f>
        <v>0</v>
      </c>
      <c r="C13" s="33">
        <f>BEN!$A$40*BEN!K40</f>
        <v>0</v>
      </c>
      <c r="D13" s="33">
        <f>BEN!$A$40*BEN!L40</f>
        <v>0</v>
      </c>
      <c r="E13" s="33">
        <f>BEN!$A$40*BEN!M40</f>
        <v>0</v>
      </c>
      <c r="F13" s="33">
        <f>BEN!$A$40*BEN!N40</f>
        <v>0</v>
      </c>
      <c r="G13" s="33">
        <f>BEN!$A$40*BEN!O40</f>
        <v>0</v>
      </c>
      <c r="H13" s="33">
        <f>BEN!$A$40*BEN!P40</f>
        <v>0</v>
      </c>
      <c r="I13" s="33">
        <f>BEN!$A$40*BEN!Q40</f>
        <v>0</v>
      </c>
      <c r="J13" s="33">
        <f>BEN!$A$40*BEN!R40</f>
        <v>0</v>
      </c>
      <c r="K13" s="33">
        <f>BEN!$A$40*BEN!S40</f>
        <v>0</v>
      </c>
      <c r="L13" s="33">
        <f>BEN!$A$40*BEN!T40</f>
        <v>0</v>
      </c>
      <c r="M13" s="33">
        <f>BEN!$A$40*BEN!U40</f>
        <v>0</v>
      </c>
      <c r="N13" s="33">
        <f>BEN!$A$40*BEN!V40</f>
        <v>0</v>
      </c>
      <c r="O13" s="33">
        <f>BEN!$A$40*BEN!W40</f>
        <v>0</v>
      </c>
      <c r="P13" s="33">
        <f t="shared" si="1"/>
        <v>0</v>
      </c>
      <c r="Q13" s="33">
        <f t="shared" si="2"/>
        <v>0</v>
      </c>
      <c r="R13" s="33">
        <f t="shared" si="3"/>
        <v>0</v>
      </c>
      <c r="S13" s="33">
        <f t="shared" si="4"/>
        <v>0</v>
      </c>
      <c r="T13" s="33">
        <f t="shared" si="5"/>
        <v>0</v>
      </c>
      <c r="U13" s="33">
        <f t="shared" si="6"/>
        <v>0</v>
      </c>
      <c r="V13" s="33">
        <f t="shared" si="7"/>
        <v>0</v>
      </c>
      <c r="W13" s="33">
        <f t="shared" si="8"/>
        <v>0</v>
      </c>
      <c r="X13" s="33">
        <f t="shared" si="9"/>
        <v>0</v>
      </c>
      <c r="Y13" s="33">
        <f t="shared" si="10"/>
        <v>0</v>
      </c>
      <c r="Z13" s="33">
        <f t="shared" si="11"/>
        <v>0</v>
      </c>
      <c r="AA13" s="33">
        <f t="shared" si="12"/>
        <v>0</v>
      </c>
      <c r="AB13" s="33">
        <f t="shared" si="13"/>
        <v>0</v>
      </c>
      <c r="AC13" s="33">
        <f t="shared" si="14"/>
        <v>0</v>
      </c>
      <c r="AD13" s="33">
        <f t="shared" si="15"/>
        <v>0</v>
      </c>
      <c r="AE13" s="33">
        <f t="shared" si="16"/>
        <v>0</v>
      </c>
      <c r="AF13" s="33">
        <f t="shared" si="17"/>
        <v>0</v>
      </c>
      <c r="AG13" s="33">
        <f t="shared" si="18"/>
        <v>0</v>
      </c>
    </row>
    <row r="14" spans="1:33" x14ac:dyDescent="0.2">
      <c r="A14" s="1" t="s">
        <v>153</v>
      </c>
      <c r="B14" s="33">
        <f>BEN!$B$44*BEN!J44</f>
        <v>31349160.583941605</v>
      </c>
      <c r="C14" s="33">
        <f>BEN!$B$44*BEN!K44</f>
        <v>12579346.715328466</v>
      </c>
      <c r="D14" s="33">
        <f>BEN!$B$44*BEN!L44</f>
        <v>9880937.956204379</v>
      </c>
      <c r="E14" s="33">
        <f>BEN!$B$44*BEN!M44</f>
        <v>33372967.153284669</v>
      </c>
      <c r="F14" s="33">
        <f>BEN!$B$44*BEN!N44</f>
        <v>6056527.8255548095</v>
      </c>
      <c r="G14" s="33">
        <f>BEN!$B$44*BEN!O44</f>
        <v>12113055.651109546</v>
      </c>
      <c r="H14" s="33">
        <f>BEN!$B$44*BEN!P44</f>
        <v>18169583.476664357</v>
      </c>
      <c r="I14" s="33">
        <f>BEN!$B$44*BEN!Q44</f>
        <v>34257627.369390532</v>
      </c>
      <c r="J14" s="33">
        <f>BEN!$B$44*BEN!R44</f>
        <v>30282639.127773903</v>
      </c>
      <c r="K14" s="33">
        <f>BEN!$B$44*BEN!S44</f>
        <v>6244618.7518144036</v>
      </c>
      <c r="L14" s="33">
        <f>BEN!$B$44*BEN!T44</f>
        <v>4971823.7277680077</v>
      </c>
      <c r="M14" s="33">
        <f>BEN!$B$44*BEN!U44</f>
        <v>12281672.211370356</v>
      </c>
      <c r="N14" s="33">
        <f>BEN!$B$44*BEN!V44</f>
        <v>19591520.694972739</v>
      </c>
      <c r="O14" s="33">
        <f>BEN!$B$44*BEN!W44</f>
        <v>26901369.178575017</v>
      </c>
      <c r="P14" s="33">
        <f t="shared" si="1"/>
        <v>17780883.172705982</v>
      </c>
      <c r="Q14" s="33">
        <f t="shared" si="2"/>
        <v>17438745.372293167</v>
      </c>
      <c r="R14" s="33">
        <f t="shared" si="3"/>
        <v>17838863.561322205</v>
      </c>
      <c r="S14" s="33">
        <f t="shared" si="4"/>
        <v>18420233.362559803</v>
      </c>
      <c r="T14" s="33">
        <f t="shared" si="5"/>
        <v>17225302.317024235</v>
      </c>
      <c r="U14" s="33">
        <f t="shared" si="6"/>
        <v>18176356.589101538</v>
      </c>
      <c r="V14" s="33">
        <f t="shared" si="7"/>
        <v>18569606.332633439</v>
      </c>
      <c r="W14" s="33">
        <f t="shared" si="8"/>
        <v>18570127.341282453</v>
      </c>
      <c r="X14" s="33">
        <f t="shared" si="9"/>
        <v>17363356.49230114</v>
      </c>
      <c r="Y14" s="33">
        <f t="shared" si="10"/>
        <v>16462394.047186408</v>
      </c>
      <c r="Z14" s="33">
        <f t="shared" si="11"/>
        <v>17317681.565685391</v>
      </c>
      <c r="AA14" s="33">
        <f t="shared" si="12"/>
        <v>18201571.590256039</v>
      </c>
      <c r="AB14" s="33">
        <f t="shared" si="13"/>
        <v>18588956.925203349</v>
      </c>
      <c r="AC14" s="33">
        <f t="shared" si="14"/>
        <v>18482037.763302062</v>
      </c>
      <c r="AD14" s="33">
        <f t="shared" si="15"/>
        <v>17842621.436119623</v>
      </c>
      <c r="AE14" s="33">
        <f t="shared" si="16"/>
        <v>17896556.404627018</v>
      </c>
      <c r="AF14" s="33">
        <f t="shared" si="17"/>
        <v>17927623.794152129</v>
      </c>
      <c r="AG14" s="33">
        <f t="shared" si="18"/>
        <v>17932061.705175575</v>
      </c>
    </row>
    <row r="15" spans="1:33" x14ac:dyDescent="0.2">
      <c r="A15" s="1" t="s">
        <v>154</v>
      </c>
      <c r="B15" s="33">
        <v>0</v>
      </c>
      <c r="C15" s="33">
        <v>0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0</v>
      </c>
      <c r="M15" s="33">
        <v>0</v>
      </c>
      <c r="N15" s="33">
        <v>0</v>
      </c>
      <c r="O15" s="33">
        <v>0</v>
      </c>
      <c r="P15" s="33">
        <f t="shared" si="1"/>
        <v>0</v>
      </c>
      <c r="Q15" s="33">
        <f t="shared" si="2"/>
        <v>0</v>
      </c>
      <c r="R15" s="33">
        <f t="shared" si="3"/>
        <v>0</v>
      </c>
      <c r="S15" s="33">
        <f t="shared" si="4"/>
        <v>0</v>
      </c>
      <c r="T15" s="33">
        <f t="shared" si="5"/>
        <v>0</v>
      </c>
      <c r="U15" s="33">
        <f t="shared" si="6"/>
        <v>0</v>
      </c>
      <c r="V15" s="33">
        <f t="shared" si="7"/>
        <v>0</v>
      </c>
      <c r="W15" s="33">
        <f t="shared" si="8"/>
        <v>0</v>
      </c>
      <c r="X15" s="33">
        <f t="shared" si="9"/>
        <v>0</v>
      </c>
      <c r="Y15" s="33">
        <f t="shared" si="10"/>
        <v>0</v>
      </c>
      <c r="Z15" s="33">
        <f t="shared" si="11"/>
        <v>0</v>
      </c>
      <c r="AA15" s="33">
        <f t="shared" si="12"/>
        <v>0</v>
      </c>
      <c r="AB15" s="33">
        <f t="shared" si="13"/>
        <v>0</v>
      </c>
      <c r="AC15" s="33">
        <f t="shared" si="14"/>
        <v>0</v>
      </c>
      <c r="AD15" s="33">
        <f t="shared" si="15"/>
        <v>0</v>
      </c>
      <c r="AE15" s="33">
        <f t="shared" si="16"/>
        <v>0</v>
      </c>
      <c r="AF15" s="33">
        <f t="shared" si="17"/>
        <v>0</v>
      </c>
      <c r="AG15" s="33">
        <f t="shared" si="18"/>
        <v>0</v>
      </c>
    </row>
    <row r="16" spans="1:33" x14ac:dyDescent="0.2">
      <c r="A16" s="1" t="s">
        <v>155</v>
      </c>
      <c r="B16" s="33">
        <v>0</v>
      </c>
      <c r="C16" s="33">
        <v>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f t="shared" si="1"/>
        <v>0</v>
      </c>
      <c r="Q16" s="33">
        <f t="shared" si="2"/>
        <v>0</v>
      </c>
      <c r="R16" s="33">
        <f t="shared" si="3"/>
        <v>0</v>
      </c>
      <c r="S16" s="33">
        <f t="shared" si="4"/>
        <v>0</v>
      </c>
      <c r="T16" s="33">
        <f t="shared" si="5"/>
        <v>0</v>
      </c>
      <c r="U16" s="33">
        <f t="shared" si="6"/>
        <v>0</v>
      </c>
      <c r="V16" s="33">
        <f t="shared" si="7"/>
        <v>0</v>
      </c>
      <c r="W16" s="33">
        <f t="shared" si="8"/>
        <v>0</v>
      </c>
      <c r="X16" s="33">
        <f t="shared" si="9"/>
        <v>0</v>
      </c>
      <c r="Y16" s="33">
        <f t="shared" si="10"/>
        <v>0</v>
      </c>
      <c r="Z16" s="33">
        <f t="shared" si="11"/>
        <v>0</v>
      </c>
      <c r="AA16" s="33">
        <f t="shared" si="12"/>
        <v>0</v>
      </c>
      <c r="AB16" s="33">
        <f t="shared" si="13"/>
        <v>0</v>
      </c>
      <c r="AC16" s="33">
        <f t="shared" si="14"/>
        <v>0</v>
      </c>
      <c r="AD16" s="33">
        <f t="shared" si="15"/>
        <v>0</v>
      </c>
      <c r="AE16" s="33">
        <f t="shared" si="16"/>
        <v>0</v>
      </c>
      <c r="AF16" s="33">
        <f t="shared" si="17"/>
        <v>0</v>
      </c>
      <c r="AG16" s="33">
        <f t="shared" si="18"/>
        <v>0</v>
      </c>
    </row>
    <row r="17" spans="1:33" x14ac:dyDescent="0.2">
      <c r="A17" s="1" t="s">
        <v>59</v>
      </c>
      <c r="B17" s="33">
        <f>BEN!$A$50*BEN!J50</f>
        <v>206985500</v>
      </c>
      <c r="C17" s="33">
        <f>BEN!$A$50*BEN!K50</f>
        <v>163608020</v>
      </c>
      <c r="D17" s="33">
        <f>BEN!$A$50*BEN!L50</f>
        <v>225357700</v>
      </c>
      <c r="E17" s="33">
        <f>BEN!$A$50*BEN!M50</f>
        <v>136837100</v>
      </c>
      <c r="F17" s="33">
        <f>BEN!$A$50*BEN!N50</f>
        <v>199712176.66666666</v>
      </c>
      <c r="G17" s="33">
        <f>BEN!$A$50*BEN!O50</f>
        <v>199712176.66666666</v>
      </c>
      <c r="H17" s="33">
        <f>BEN!$A$50*BEN!P50</f>
        <v>199712176.66666666</v>
      </c>
      <c r="I17" s="33">
        <f>BEN!$A$50*BEN!Q50</f>
        <v>199712176.66666666</v>
      </c>
      <c r="J17" s="33">
        <f>BEN!$A$50*BEN!R50</f>
        <v>199712176.66666666</v>
      </c>
      <c r="K17" s="33">
        <f>BEN!$A$50*BEN!S50</f>
        <v>199712176.66666666</v>
      </c>
      <c r="L17" s="33">
        <f>BEN!$A$50*BEN!T50</f>
        <v>199712176.66666666</v>
      </c>
      <c r="M17" s="33">
        <f>BEN!$A$50*BEN!U50</f>
        <v>199712176.66666666</v>
      </c>
      <c r="N17" s="33">
        <f>BEN!$A$50*BEN!V50</f>
        <v>199712176.66666666</v>
      </c>
      <c r="O17" s="33">
        <f>BEN!$A$50*BEN!W50</f>
        <v>199712176.66666666</v>
      </c>
      <c r="P17" s="33">
        <f t="shared" si="1"/>
        <v>194630608.46153846</v>
      </c>
      <c r="Q17" s="33">
        <f t="shared" si="2"/>
        <v>194071122.05128208</v>
      </c>
      <c r="R17" s="33">
        <f t="shared" si="3"/>
        <v>196457475.00986192</v>
      </c>
      <c r="S17" s="33">
        <f t="shared" si="4"/>
        <v>194050815.16765288</v>
      </c>
      <c r="T17" s="33">
        <f t="shared" si="5"/>
        <v>198636997.86071917</v>
      </c>
      <c r="U17" s="33">
        <f t="shared" si="6"/>
        <v>198201508.51464123</v>
      </c>
      <c r="V17" s="33">
        <f t="shared" si="7"/>
        <v>198118802.45264527</v>
      </c>
      <c r="W17" s="33">
        <f t="shared" si="8"/>
        <v>198002597.21018174</v>
      </c>
      <c r="X17" s="33">
        <f t="shared" si="9"/>
        <v>197880029.96294931</v>
      </c>
      <c r="Y17" s="33">
        <f t="shared" si="10"/>
        <v>197748523.85091203</v>
      </c>
      <c r="Z17" s="33">
        <f t="shared" si="11"/>
        <v>197607589.48908758</v>
      </c>
      <c r="AA17" s="33">
        <f t="shared" si="12"/>
        <v>197456539.2724911</v>
      </c>
      <c r="AB17" s="33">
        <f t="shared" si="13"/>
        <v>197294647.95113885</v>
      </c>
      <c r="AC17" s="33">
        <f t="shared" si="14"/>
        <v>197121137.38235611</v>
      </c>
      <c r="AD17" s="33">
        <f t="shared" si="15"/>
        <v>196935173.63500783</v>
      </c>
      <c r="AE17" s="33">
        <f t="shared" si="16"/>
        <v>197126752.78276303</v>
      </c>
      <c r="AF17" s="33">
        <f t="shared" si="17"/>
        <v>197347064.44304964</v>
      </c>
      <c r="AG17" s="33">
        <f t="shared" si="18"/>
        <v>197398547.34865743</v>
      </c>
    </row>
    <row r="18" spans="1:33" x14ac:dyDescent="0.2">
      <c r="A18" s="1" t="s">
        <v>25</v>
      </c>
      <c r="B18" s="34">
        <f>BEN!$A$54*BEN!J54</f>
        <v>352191096</v>
      </c>
      <c r="C18" s="34">
        <f>BEN!$A$54*BEN!K54</f>
        <v>344244546</v>
      </c>
      <c r="D18" s="34">
        <f>BEN!$A$54*BEN!L54</f>
        <v>287276612</v>
      </c>
      <c r="E18" s="34">
        <f>BEN!$A$54*BEN!M54</f>
        <v>504341040</v>
      </c>
      <c r="F18" s="34">
        <f>BEN!$A$54*BEN!N54</f>
        <v>459709089.55752218</v>
      </c>
      <c r="G18" s="34">
        <f>BEN!$A$54*BEN!O54</f>
        <v>415077139.1150443</v>
      </c>
      <c r="H18" s="34">
        <f>BEN!$A$54*BEN!P54</f>
        <v>370445188.67256653</v>
      </c>
      <c r="I18" s="34">
        <f>BEN!$A$54*BEN!Q54</f>
        <v>364494261.94690281</v>
      </c>
      <c r="J18" s="34">
        <f>BEN!$A$54*BEN!R54</f>
        <v>358543335.22123903</v>
      </c>
      <c r="K18" s="34">
        <f>BEN!$A$54*BEN!S54</f>
        <v>352592408.49557531</v>
      </c>
      <c r="L18" s="34">
        <f>BEN!$A$54*BEN!T54</f>
        <v>357055603.53982311</v>
      </c>
      <c r="M18" s="34">
        <f>BEN!$A$54*BEN!U54</f>
        <v>361518798.58407092</v>
      </c>
      <c r="N18" s="34">
        <f>BEN!$A$54*BEN!V54</f>
        <v>365981993.62831867</v>
      </c>
      <c r="O18" s="34">
        <f>BEN!$A$54*BEN!W54</f>
        <v>370445188.67256641</v>
      </c>
      <c r="P18" s="33">
        <f t="shared" si="1"/>
        <v>376420854.82777405</v>
      </c>
      <c r="Q18" s="33">
        <f t="shared" si="2"/>
        <v>377825015.80258691</v>
      </c>
      <c r="R18" s="33">
        <f t="shared" si="3"/>
        <v>380300116.48164648</v>
      </c>
      <c r="S18" s="33">
        <f t="shared" si="4"/>
        <v>387265378.31261456</v>
      </c>
      <c r="T18" s="33">
        <f t="shared" si="5"/>
        <v>377723768.81120276</v>
      </c>
      <c r="U18" s="33">
        <f t="shared" si="6"/>
        <v>372151175.63851762</v>
      </c>
      <c r="V18" s="33">
        <f t="shared" si="7"/>
        <v>369277839.46129906</v>
      </c>
      <c r="W18" s="33">
        <f t="shared" si="8"/>
        <v>369409069.22791064</v>
      </c>
      <c r="X18" s="33">
        <f t="shared" si="9"/>
        <v>369777036.72901809</v>
      </c>
      <c r="Y18" s="33">
        <f t="shared" si="10"/>
        <v>370612862.421839</v>
      </c>
      <c r="Z18" s="33">
        <f t="shared" si="11"/>
        <v>371934756.90133452</v>
      </c>
      <c r="AA18" s="33">
        <f t="shared" si="12"/>
        <v>372977622.9691819</v>
      </c>
      <c r="AB18" s="33">
        <f t="shared" si="13"/>
        <v>373778850.53204834</v>
      </c>
      <c r="AC18" s="33">
        <f t="shared" si="14"/>
        <v>374316975.86596096</v>
      </c>
      <c r="AD18" s="33">
        <f t="shared" si="15"/>
        <v>374573411.3936134</v>
      </c>
      <c r="AE18" s="33">
        <f t="shared" si="16"/>
        <v>374411574.55039698</v>
      </c>
      <c r="AF18" s="33">
        <f t="shared" si="17"/>
        <v>374161451.13432217</v>
      </c>
      <c r="AG18" s="33">
        <f t="shared" si="18"/>
        <v>373708486.37037987</v>
      </c>
    </row>
    <row r="19" spans="1:33" x14ac:dyDescent="0.2">
      <c r="A19" s="1" t="s">
        <v>26</v>
      </c>
      <c r="B19" s="33">
        <f>BEN!$A$58*BEN!J58</f>
        <v>2126712</v>
      </c>
      <c r="C19" s="33">
        <f>BEN!$A$58*BEN!K58</f>
        <v>1481103</v>
      </c>
      <c r="D19" s="33">
        <f>BEN!$A$58*BEN!L58</f>
        <v>23621694</v>
      </c>
      <c r="E19" s="33">
        <f>BEN!$A$58*BEN!M58</f>
        <v>8013147</v>
      </c>
      <c r="F19" s="33">
        <f>BEN!$A$58*BEN!N58</f>
        <v>0</v>
      </c>
      <c r="G19" s="33">
        <f>BEN!$A$58*BEN!O58</f>
        <v>0</v>
      </c>
      <c r="H19" s="33">
        <f>BEN!$A$58*BEN!P58</f>
        <v>0</v>
      </c>
      <c r="I19" s="33">
        <f>BEN!$A$58*BEN!Q58</f>
        <v>0</v>
      </c>
      <c r="J19" s="33">
        <f>BEN!$A$58*BEN!R58</f>
        <v>0</v>
      </c>
      <c r="K19" s="33">
        <f>BEN!$A$58*BEN!S58</f>
        <v>0</v>
      </c>
      <c r="L19" s="33">
        <f>BEN!$A$58*BEN!T58</f>
        <v>0</v>
      </c>
      <c r="M19" s="33">
        <f>BEN!$A$58*BEN!U58</f>
        <v>0</v>
      </c>
      <c r="N19" s="33">
        <f>BEN!$A$58*BEN!V58</f>
        <v>0</v>
      </c>
      <c r="O19" s="33">
        <f>BEN!$A$58*BEN!W58</f>
        <v>0</v>
      </c>
      <c r="P19" s="33">
        <f t="shared" si="1"/>
        <v>2710973.5384615385</v>
      </c>
      <c r="Q19" s="33">
        <f t="shared" si="2"/>
        <v>2547380.3076923075</v>
      </c>
      <c r="R19" s="33">
        <f t="shared" si="3"/>
        <v>2641985.7337278104</v>
      </c>
      <c r="S19" s="33">
        <f t="shared" si="4"/>
        <v>1020884.6804733728</v>
      </c>
      <c r="T19" s="33">
        <f t="shared" si="5"/>
        <v>607718.42922166595</v>
      </c>
      <c r="U19" s="33">
        <f t="shared" si="6"/>
        <v>686248.02002730989</v>
      </c>
      <c r="V19" s="33">
        <f t="shared" si="7"/>
        <v>732995.59150589956</v>
      </c>
      <c r="W19" s="33">
        <f t="shared" si="8"/>
        <v>785783.90073876956</v>
      </c>
      <c r="X19" s="33">
        <f t="shared" si="9"/>
        <v>842168.17700845422</v>
      </c>
      <c r="Y19" s="33">
        <f t="shared" si="10"/>
        <v>902613.09244989802</v>
      </c>
      <c r="Z19" s="33">
        <f t="shared" si="11"/>
        <v>967395.25991208677</v>
      </c>
      <c r="AA19" s="33">
        <f t="shared" si="12"/>
        <v>1036827.0362543867</v>
      </c>
      <c r="AB19" s="33">
        <f t="shared" si="13"/>
        <v>1111242.0562476241</v>
      </c>
      <c r="AC19" s="33">
        <f t="shared" si="14"/>
        <v>1190997.9821133462</v>
      </c>
      <c r="AD19" s="33">
        <f t="shared" si="15"/>
        <v>1276478.1402862403</v>
      </c>
      <c r="AE19" s="33">
        <f t="shared" si="16"/>
        <v>1159556.9436440717</v>
      </c>
      <c r="AF19" s="33">
        <f t="shared" si="17"/>
        <v>1061795.2384589897</v>
      </c>
      <c r="AG19" s="33">
        <f t="shared" si="18"/>
        <v>947762.25460639421</v>
      </c>
    </row>
    <row r="20" spans="1:33" x14ac:dyDescent="0.2">
      <c r="A20" s="1" t="s">
        <v>27</v>
      </c>
      <c r="B20" s="33">
        <f>BEN!$A$62*BEN!J62</f>
        <v>90936900</v>
      </c>
      <c r="C20" s="33">
        <f>BEN!$A$62*BEN!K62</f>
        <v>93546060</v>
      </c>
      <c r="D20" s="33">
        <f>BEN!$A$62*BEN!L62</f>
        <v>102754860</v>
      </c>
      <c r="E20" s="33">
        <f>BEN!$A$62*BEN!M62</f>
        <v>89760220</v>
      </c>
      <c r="F20" s="33">
        <f>BEN!$A$62*BEN!N62</f>
        <v>109807415.26982544</v>
      </c>
      <c r="G20" s="33">
        <f>BEN!$A$62*BEN!O62</f>
        <v>95101065.010473803</v>
      </c>
      <c r="H20" s="33">
        <f>BEN!$A$62*BEN!P62</f>
        <v>80067906.967581034</v>
      </c>
      <c r="I20" s="33">
        <f>BEN!$A$62*BEN!Q62</f>
        <v>64707941.141147129</v>
      </c>
      <c r="J20" s="33">
        <f>BEN!$A$62*BEN!R62</f>
        <v>49021167.531172059</v>
      </c>
      <c r="K20" s="33">
        <f>BEN!$A$62*BEN!S62</f>
        <v>33007586.137655858</v>
      </c>
      <c r="L20" s="33">
        <f>BEN!$A$62*BEN!T62</f>
        <v>16667196.960598502</v>
      </c>
      <c r="M20" s="33">
        <f>BEN!$A$62*BEN!U62</f>
        <v>0</v>
      </c>
      <c r="N20" s="33">
        <f>BEN!$A$62*BEN!V62</f>
        <v>0</v>
      </c>
      <c r="O20" s="33">
        <f>BEN!$A$62*BEN!W62</f>
        <v>0</v>
      </c>
      <c r="P20" s="33">
        <f t="shared" si="1"/>
        <v>63490639.92449645</v>
      </c>
      <c r="Q20" s="33">
        <f t="shared" si="2"/>
        <v>56495493.770650283</v>
      </c>
      <c r="R20" s="33">
        <f t="shared" si="3"/>
        <v>54183538.380226932</v>
      </c>
      <c r="S20" s="33">
        <f t="shared" si="4"/>
        <v>50625125.593353882</v>
      </c>
      <c r="T20" s="33">
        <f t="shared" si="5"/>
        <v>47888457.77644828</v>
      </c>
      <c r="U20" s="33">
        <f t="shared" si="6"/>
        <v>43335973.955181226</v>
      </c>
      <c r="V20" s="33">
        <f t="shared" si="7"/>
        <v>39704234.93717926</v>
      </c>
      <c r="W20" s="33">
        <f t="shared" si="8"/>
        <v>36878701.628533125</v>
      </c>
      <c r="X20" s="33">
        <f t="shared" si="9"/>
        <v>34955339.61284329</v>
      </c>
      <c r="Y20" s="33">
        <f t="shared" si="10"/>
        <v>34021303.774178758</v>
      </c>
      <c r="Z20" s="33">
        <f t="shared" si="11"/>
        <v>34171130.964577787</v>
      </c>
      <c r="AA20" s="33">
        <f t="shared" si="12"/>
        <v>35506062.257930115</v>
      </c>
      <c r="AB20" s="33">
        <f t="shared" si="13"/>
        <v>38134610.793666869</v>
      </c>
      <c r="AC20" s="33">
        <f t="shared" si="14"/>
        <v>40865846.35196919</v>
      </c>
      <c r="AD20" s="33">
        <f t="shared" si="15"/>
        <v>43799277.95148202</v>
      </c>
      <c r="AE20" s="33">
        <f t="shared" si="16"/>
        <v>42058909.215133771</v>
      </c>
      <c r="AF20" s="33">
        <f t="shared" si="17"/>
        <v>41082277.229043894</v>
      </c>
      <c r="AG20" s="33">
        <f t="shared" si="18"/>
        <v>40149613.447113663</v>
      </c>
    </row>
    <row r="21" spans="1:33" x14ac:dyDescent="0.2">
      <c r="A21" s="1" t="s">
        <v>156</v>
      </c>
      <c r="B21" s="33">
        <f>BEN!J65</f>
        <v>0</v>
      </c>
      <c r="C21" s="33">
        <f>BEN!K65</f>
        <v>0</v>
      </c>
      <c r="D21" s="33">
        <f>BEN!L65</f>
        <v>0</v>
      </c>
      <c r="E21" s="33">
        <f>BEN!M65</f>
        <v>0</v>
      </c>
      <c r="F21" s="33">
        <f>BEN!N65</f>
        <v>0</v>
      </c>
      <c r="G21" s="33">
        <f>BEN!O65</f>
        <v>0</v>
      </c>
      <c r="H21" s="33">
        <f>BEN!P65</f>
        <v>0</v>
      </c>
      <c r="I21" s="33">
        <f>BEN!Q65</f>
        <v>0</v>
      </c>
      <c r="J21" s="33">
        <f>BEN!R65</f>
        <v>0</v>
      </c>
      <c r="K21" s="33">
        <f>BEN!S65</f>
        <v>0</v>
      </c>
      <c r="L21" s="33">
        <f>BEN!T65</f>
        <v>0</v>
      </c>
      <c r="M21" s="33">
        <f>BEN!U65</f>
        <v>0</v>
      </c>
      <c r="N21" s="33">
        <f>BEN!V65</f>
        <v>0</v>
      </c>
      <c r="O21" s="33">
        <f>BEN!W65</f>
        <v>0</v>
      </c>
      <c r="P21" s="33">
        <f t="shared" si="1"/>
        <v>0</v>
      </c>
      <c r="Q21" s="33">
        <f t="shared" si="2"/>
        <v>0</v>
      </c>
      <c r="R21" s="33">
        <f t="shared" si="3"/>
        <v>0</v>
      </c>
      <c r="S21" s="33">
        <f t="shared" si="4"/>
        <v>0</v>
      </c>
      <c r="T21" s="33">
        <f t="shared" si="5"/>
        <v>0</v>
      </c>
      <c r="U21" s="33">
        <f t="shared" si="6"/>
        <v>0</v>
      </c>
      <c r="V21" s="33">
        <f t="shared" si="7"/>
        <v>0</v>
      </c>
      <c r="W21" s="33">
        <f t="shared" si="8"/>
        <v>0</v>
      </c>
      <c r="X21" s="33">
        <f t="shared" si="9"/>
        <v>0</v>
      </c>
      <c r="Y21" s="33">
        <f t="shared" si="10"/>
        <v>0</v>
      </c>
      <c r="Z21" s="33">
        <f t="shared" si="11"/>
        <v>0</v>
      </c>
      <c r="AA21" s="33">
        <f t="shared" si="12"/>
        <v>0</v>
      </c>
      <c r="AB21" s="33">
        <f t="shared" si="13"/>
        <v>0</v>
      </c>
      <c r="AC21" s="33">
        <f t="shared" si="14"/>
        <v>0</v>
      </c>
      <c r="AD21" s="33">
        <f t="shared" si="15"/>
        <v>0</v>
      </c>
      <c r="AE21" s="33">
        <f t="shared" si="16"/>
        <v>0</v>
      </c>
      <c r="AF21" s="33">
        <f t="shared" si="17"/>
        <v>0</v>
      </c>
      <c r="AG21" s="33">
        <f t="shared" si="18"/>
        <v>0</v>
      </c>
    </row>
    <row r="22" spans="1:33" x14ac:dyDescent="0.2">
      <c r="A22" s="1" t="s">
        <v>63</v>
      </c>
      <c r="B22" s="33">
        <f>BEN!J66</f>
        <v>0</v>
      </c>
      <c r="C22" s="33">
        <f>BEN!K66</f>
        <v>0</v>
      </c>
      <c r="D22" s="33">
        <f>BEN!L66</f>
        <v>0</v>
      </c>
      <c r="E22" s="33">
        <f>BEN!M66</f>
        <v>0</v>
      </c>
      <c r="F22" s="33">
        <f>BEN!N66</f>
        <v>0</v>
      </c>
      <c r="G22" s="33">
        <f>BEN!O66</f>
        <v>0</v>
      </c>
      <c r="H22" s="33">
        <f>BEN!P66</f>
        <v>0</v>
      </c>
      <c r="I22" s="33">
        <f>BEN!Q66</f>
        <v>0</v>
      </c>
      <c r="J22" s="33">
        <f>BEN!R66</f>
        <v>0</v>
      </c>
      <c r="K22" s="33">
        <f>BEN!S66</f>
        <v>0</v>
      </c>
      <c r="L22" s="33">
        <f>BEN!T66</f>
        <v>0</v>
      </c>
      <c r="M22" s="33">
        <f>BEN!U66</f>
        <v>0</v>
      </c>
      <c r="N22" s="33">
        <f>BEN!V66</f>
        <v>0</v>
      </c>
      <c r="O22" s="33">
        <f>BEN!W66</f>
        <v>0</v>
      </c>
      <c r="P22" s="33">
        <f t="shared" si="1"/>
        <v>0</v>
      </c>
      <c r="Q22" s="33">
        <f t="shared" si="2"/>
        <v>0</v>
      </c>
      <c r="R22" s="33">
        <f t="shared" si="3"/>
        <v>0</v>
      </c>
      <c r="S22" s="33">
        <f t="shared" si="4"/>
        <v>0</v>
      </c>
      <c r="T22" s="33">
        <f t="shared" si="5"/>
        <v>0</v>
      </c>
      <c r="U22" s="33">
        <f t="shared" si="6"/>
        <v>0</v>
      </c>
      <c r="V22" s="33">
        <f t="shared" si="7"/>
        <v>0</v>
      </c>
      <c r="W22" s="33">
        <f t="shared" si="8"/>
        <v>0</v>
      </c>
      <c r="X22" s="33">
        <f t="shared" si="9"/>
        <v>0</v>
      </c>
      <c r="Y22" s="33">
        <f t="shared" si="10"/>
        <v>0</v>
      </c>
      <c r="Z22" s="33">
        <f t="shared" si="11"/>
        <v>0</v>
      </c>
      <c r="AA22" s="33">
        <f t="shared" si="12"/>
        <v>0</v>
      </c>
      <c r="AB22" s="33">
        <f t="shared" si="13"/>
        <v>0</v>
      </c>
      <c r="AC22" s="33">
        <f t="shared" si="14"/>
        <v>0</v>
      </c>
      <c r="AD22" s="33">
        <f t="shared" si="15"/>
        <v>0</v>
      </c>
      <c r="AE22" s="33">
        <f t="shared" si="16"/>
        <v>0</v>
      </c>
      <c r="AF22" s="33">
        <f t="shared" si="17"/>
        <v>0</v>
      </c>
      <c r="AG22" s="33">
        <f t="shared" si="18"/>
        <v>0</v>
      </c>
    </row>
  </sheetData>
  <pageMargins left="0.7" right="0.7" top="0.75" bottom="0.75" header="0.3" footer="0.3"/>
  <pageSetup orientation="portrait" r:id="rId1"/>
  <ignoredErrors>
    <ignoredError sqref="P2:P22 Q2 Q6:Q8 Q15:Q16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0DDAF-A9A2-45CF-A4F8-F56EA4E1BD51}">
  <dimension ref="A1:AG22"/>
  <sheetViews>
    <sheetView workbookViewId="0">
      <selection activeCell="M44" sqref="M44"/>
    </sheetView>
  </sheetViews>
  <sheetFormatPr baseColWidth="10" defaultColWidth="8.83203125" defaultRowHeight="15" x14ac:dyDescent="0.2"/>
  <cols>
    <col min="1" max="1" width="36.33203125" customWidth="1"/>
    <col min="2" max="33" width="13" customWidth="1"/>
  </cols>
  <sheetData>
    <row r="1" spans="1:33" ht="16" x14ac:dyDescent="0.2">
      <c r="A1" s="6" t="s">
        <v>148</v>
      </c>
      <c r="B1" s="5">
        <v>2019</v>
      </c>
      <c r="C1">
        <v>2020</v>
      </c>
      <c r="D1" s="5">
        <v>2021</v>
      </c>
      <c r="E1">
        <v>2022</v>
      </c>
      <c r="F1" s="5">
        <v>2023</v>
      </c>
      <c r="G1">
        <v>2024</v>
      </c>
      <c r="H1" s="5">
        <v>2025</v>
      </c>
      <c r="I1">
        <v>2026</v>
      </c>
      <c r="J1" s="5">
        <v>2027</v>
      </c>
      <c r="K1">
        <v>2028</v>
      </c>
      <c r="L1" s="5">
        <v>2029</v>
      </c>
      <c r="M1">
        <v>2030</v>
      </c>
      <c r="N1" s="5">
        <v>2031</v>
      </c>
      <c r="O1">
        <v>2032</v>
      </c>
      <c r="P1" s="5">
        <v>2033</v>
      </c>
      <c r="Q1">
        <v>2034</v>
      </c>
      <c r="R1" s="5">
        <v>2035</v>
      </c>
      <c r="S1">
        <v>2036</v>
      </c>
      <c r="T1" s="5">
        <v>2037</v>
      </c>
      <c r="U1">
        <v>2038</v>
      </c>
      <c r="V1" s="5">
        <v>2039</v>
      </c>
      <c r="W1">
        <v>2040</v>
      </c>
      <c r="X1" s="5">
        <v>2041</v>
      </c>
      <c r="Y1">
        <v>2042</v>
      </c>
      <c r="Z1" s="5">
        <v>2043</v>
      </c>
      <c r="AA1">
        <v>2044</v>
      </c>
      <c r="AB1" s="5">
        <v>2045</v>
      </c>
      <c r="AC1">
        <v>2046</v>
      </c>
      <c r="AD1" s="5">
        <v>2047</v>
      </c>
      <c r="AE1">
        <v>2048</v>
      </c>
      <c r="AF1" s="5">
        <v>2049</v>
      </c>
      <c r="AG1">
        <v>2050</v>
      </c>
    </row>
    <row r="2" spans="1:33" ht="16" x14ac:dyDescent="0.2">
      <c r="A2" s="6" t="s">
        <v>149</v>
      </c>
      <c r="B2" s="33">
        <v>0</v>
      </c>
      <c r="C2" s="33">
        <v>0</v>
      </c>
      <c r="D2" s="33">
        <v>0</v>
      </c>
      <c r="E2" s="33">
        <v>0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0</v>
      </c>
      <c r="M2" s="33">
        <v>0</v>
      </c>
      <c r="N2" s="33">
        <v>0</v>
      </c>
      <c r="O2" s="33">
        <v>0</v>
      </c>
      <c r="P2" s="33">
        <v>0</v>
      </c>
      <c r="Q2" s="33">
        <f>P2</f>
        <v>0</v>
      </c>
      <c r="R2" s="33">
        <f t="shared" ref="R2:AG2" si="0">Q2</f>
        <v>0</v>
      </c>
      <c r="S2" s="33">
        <f t="shared" si="0"/>
        <v>0</v>
      </c>
      <c r="T2" s="33">
        <f t="shared" si="0"/>
        <v>0</v>
      </c>
      <c r="U2" s="33">
        <f t="shared" si="0"/>
        <v>0</v>
      </c>
      <c r="V2" s="33">
        <f t="shared" si="0"/>
        <v>0</v>
      </c>
      <c r="W2" s="33">
        <f t="shared" si="0"/>
        <v>0</v>
      </c>
      <c r="X2" s="33">
        <f t="shared" si="0"/>
        <v>0</v>
      </c>
      <c r="Y2" s="33">
        <f t="shared" si="0"/>
        <v>0</v>
      </c>
      <c r="Z2" s="33">
        <f t="shared" si="0"/>
        <v>0</v>
      </c>
      <c r="AA2" s="33">
        <f t="shared" si="0"/>
        <v>0</v>
      </c>
      <c r="AB2" s="33">
        <f t="shared" si="0"/>
        <v>0</v>
      </c>
      <c r="AC2" s="33">
        <f t="shared" si="0"/>
        <v>0</v>
      </c>
      <c r="AD2" s="33">
        <f t="shared" si="0"/>
        <v>0</v>
      </c>
      <c r="AE2" s="33">
        <f t="shared" si="0"/>
        <v>0</v>
      </c>
      <c r="AF2" s="33">
        <f t="shared" si="0"/>
        <v>0</v>
      </c>
      <c r="AG2" s="33">
        <f t="shared" si="0"/>
        <v>0</v>
      </c>
    </row>
    <row r="3" spans="1:33" x14ac:dyDescent="0.2">
      <c r="A3" s="1" t="s">
        <v>55</v>
      </c>
      <c r="B3" s="33">
        <f>BEN!$A$5*BEN!J6</f>
        <v>0</v>
      </c>
      <c r="C3" s="33">
        <f>BEN!$A$5*BEN!K4</f>
        <v>0</v>
      </c>
      <c r="D3" s="33">
        <f>BEN!$A$5*BEN!L4</f>
        <v>0</v>
      </c>
      <c r="E3" s="33">
        <f>BEN!$A$5*BEN!M4</f>
        <v>0</v>
      </c>
      <c r="F3" s="33">
        <f>BEN!$A$5*BEN!N4</f>
        <v>0</v>
      </c>
      <c r="G3" s="33">
        <f>BEN!$A$5*BEN!O4</f>
        <v>0</v>
      </c>
      <c r="H3" s="33">
        <f>BEN!$A$5*BEN!P4</f>
        <v>0</v>
      </c>
      <c r="I3" s="33">
        <f>BEN!$A$5*BEN!Q4</f>
        <v>0</v>
      </c>
      <c r="J3" s="33">
        <f>BEN!$A$5*BEN!R4</f>
        <v>0</v>
      </c>
      <c r="K3" s="33">
        <f>BEN!$A$5*BEN!S4</f>
        <v>0</v>
      </c>
      <c r="L3" s="33">
        <f>BEN!$A$5*BEN!T4</f>
        <v>0</v>
      </c>
      <c r="M3" s="33">
        <f>BEN!$A$5*BEN!U4</f>
        <v>0</v>
      </c>
      <c r="N3" s="33">
        <f>BEN!$A$5*BEN!V4</f>
        <v>0</v>
      </c>
      <c r="O3" s="33">
        <f>BEN!$A$5*BEN!W4</f>
        <v>0</v>
      </c>
      <c r="P3" s="33">
        <f>BEN!$A$5*BEN!X4</f>
        <v>0</v>
      </c>
      <c r="Q3" s="33">
        <f>BEN!$A$5*BEN!Y4</f>
        <v>0</v>
      </c>
      <c r="R3" s="33">
        <f>BEN!$A$5*BEN!Z4</f>
        <v>0</v>
      </c>
      <c r="S3" s="33">
        <f>BEN!$A$5*BEN!AA4</f>
        <v>0</v>
      </c>
      <c r="T3" s="33">
        <f>BEN!$A$5*BEN!AB4</f>
        <v>0</v>
      </c>
      <c r="U3" s="33">
        <f>BEN!$A$5*BEN!AC4</f>
        <v>0</v>
      </c>
      <c r="V3" s="33">
        <f>BEN!$A$5*BEN!AD4</f>
        <v>0</v>
      </c>
      <c r="W3" s="33">
        <f>BEN!$A$5*BEN!AE4</f>
        <v>0</v>
      </c>
      <c r="X3" s="33">
        <f>BEN!$A$5*BEN!AF4</f>
        <v>0</v>
      </c>
      <c r="Y3" s="33">
        <f>BEN!$A$5*BEN!AG4</f>
        <v>0</v>
      </c>
      <c r="Z3" s="33">
        <f>BEN!$A$5*BEN!AH4</f>
        <v>0</v>
      </c>
      <c r="AA3" s="33">
        <f>BEN!$A$5*BEN!AI4</f>
        <v>0</v>
      </c>
      <c r="AB3" s="33">
        <f>BEN!$A$5*BEN!AJ4</f>
        <v>0</v>
      </c>
      <c r="AC3" s="33">
        <f>BEN!$A$5*BEN!AK4</f>
        <v>0</v>
      </c>
      <c r="AD3" s="33">
        <f>BEN!$A$5*BEN!AL4</f>
        <v>0</v>
      </c>
      <c r="AE3" s="33">
        <f>BEN!$A$5*BEN!AM4</f>
        <v>0</v>
      </c>
      <c r="AF3" s="33">
        <f>BEN!$A$5*BEN!AN4</f>
        <v>0</v>
      </c>
      <c r="AG3" s="33">
        <f>BEN!$A$5*BEN!AO4</f>
        <v>0</v>
      </c>
    </row>
    <row r="4" spans="1:33" x14ac:dyDescent="0.2">
      <c r="A4" s="1" t="s">
        <v>13</v>
      </c>
      <c r="B4" s="34">
        <f>BEN!$A$9*BEN!J10</f>
        <v>0</v>
      </c>
      <c r="C4" s="34">
        <f>BEN!$A$9*BEN!K8</f>
        <v>982478.39999999991</v>
      </c>
      <c r="D4" s="34">
        <f>BEN!$A$9*BEN!L8</f>
        <v>999932.6</v>
      </c>
      <c r="E4" s="34">
        <f>BEN!$A$9*BEN!M8</f>
        <v>957971.6</v>
      </c>
      <c r="F4" s="34">
        <f>BEN!$A$9*BEN!N8</f>
        <v>1035432</v>
      </c>
      <c r="G4" s="34">
        <f>BEN!$A$9*BEN!O8</f>
        <v>1078575</v>
      </c>
      <c r="H4" s="34">
        <f>BEN!$A$9*BEN!P8</f>
        <v>1092956</v>
      </c>
      <c r="I4" s="34">
        <f>BEN!$A$9*BEN!Q8</f>
        <v>1121718</v>
      </c>
      <c r="J4" s="34">
        <f>BEN!$A$9*BEN!R8</f>
        <v>1366195</v>
      </c>
      <c r="K4" s="34">
        <f>BEN!$A$9*BEN!S8</f>
        <v>1581910</v>
      </c>
      <c r="L4" s="34">
        <f>BEN!$A$9*BEN!T8</f>
        <v>1668196</v>
      </c>
      <c r="M4" s="34">
        <f>BEN!$A$9*BEN!U8</f>
        <v>1740101</v>
      </c>
      <c r="N4" s="34">
        <f>BEN!$A$9*BEN!V8</f>
        <v>1855149</v>
      </c>
      <c r="O4" s="34">
        <f>BEN!$A$9*BEN!W8</f>
        <v>1927054</v>
      </c>
      <c r="P4" s="34">
        <f>AVERAGE(C4:O4)</f>
        <v>1339051.4307692309</v>
      </c>
      <c r="Q4" s="34">
        <f t="shared" ref="Q4:AG10" si="1">AVERAGE(D4:P4)</f>
        <v>1366480.1254437868</v>
      </c>
      <c r="R4" s="34">
        <f t="shared" si="1"/>
        <v>1394676.088939463</v>
      </c>
      <c r="S4" s="34">
        <f t="shared" si="1"/>
        <v>1428268.7419348061</v>
      </c>
      <c r="T4" s="34">
        <f t="shared" si="1"/>
        <v>1458486.952852868</v>
      </c>
      <c r="U4" s="34">
        <f t="shared" si="1"/>
        <v>1487710.9492261657</v>
      </c>
      <c r="V4" s="34">
        <f t="shared" si="1"/>
        <v>1518076.7145512553</v>
      </c>
      <c r="W4" s="34">
        <f t="shared" si="1"/>
        <v>1548565.8464398137</v>
      </c>
      <c r="X4" s="34">
        <f t="shared" si="1"/>
        <v>1562594.3730890299</v>
      </c>
      <c r="Y4" s="34">
        <f t="shared" si="1"/>
        <v>1561108.5556343398</v>
      </c>
      <c r="Z4" s="34">
        <f t="shared" si="1"/>
        <v>1552871.0599139044</v>
      </c>
      <c r="AA4" s="34">
        <f t="shared" si="1"/>
        <v>1538468.7568303584</v>
      </c>
      <c r="AB4" s="34">
        <f t="shared" si="1"/>
        <v>1514108.7381250015</v>
      </c>
      <c r="AC4" s="34">
        <f t="shared" si="1"/>
        <v>1482343.7179807709</v>
      </c>
      <c r="AD4" s="34">
        <f t="shared" si="1"/>
        <v>1493366.2016124281</v>
      </c>
      <c r="AE4" s="34">
        <f t="shared" si="1"/>
        <v>1503126.6690100159</v>
      </c>
      <c r="AF4" s="34">
        <f t="shared" si="1"/>
        <v>1511469.0213231356</v>
      </c>
      <c r="AG4" s="34">
        <f t="shared" si="1"/>
        <v>1517869.0428145453</v>
      </c>
    </row>
    <row r="5" spans="1:33" x14ac:dyDescent="0.2">
      <c r="A5" s="1" t="s">
        <v>57</v>
      </c>
      <c r="B5" s="33">
        <f>BEN!$A$15*BEN!J116</f>
        <v>0</v>
      </c>
      <c r="C5" s="33">
        <f>BEN!$A$15*BEN!K14</f>
        <v>2801103.7461792375</v>
      </c>
      <c r="D5" s="33">
        <f>BEN!$A$15*BEN!L14</f>
        <v>4663906.7300915383</v>
      </c>
      <c r="E5" s="33">
        <f>BEN!$A$15*BEN!M14</f>
        <v>7023457.1763804527</v>
      </c>
      <c r="F5" s="33">
        <f>BEN!$A$15*BEN!N14</f>
        <v>7023457.1763804527</v>
      </c>
      <c r="G5" s="33">
        <f>BEN!$A$15*BEN!O14</f>
        <v>7023457.1763804527</v>
      </c>
      <c r="H5" s="33">
        <f>BEN!$A$15*BEN!P14</f>
        <v>7023457.1763804527</v>
      </c>
      <c r="I5" s="33">
        <f>BEN!$A$15*BEN!Q14</f>
        <v>7023457.1763804527</v>
      </c>
      <c r="J5" s="33">
        <f>BEN!$A$15*BEN!R14</f>
        <v>7023457.1763804527</v>
      </c>
      <c r="K5" s="33">
        <f>BEN!$A$15*BEN!S14</f>
        <v>7023457.1763804527</v>
      </c>
      <c r="L5" s="33">
        <f>BEN!$A$15*BEN!T14</f>
        <v>7023457.1763804527</v>
      </c>
      <c r="M5" s="33">
        <f>BEN!$A$15*BEN!U14</f>
        <v>7023457.1763804527</v>
      </c>
      <c r="N5" s="33">
        <f>BEN!$A$15*BEN!V14</f>
        <v>7023457.1763804527</v>
      </c>
      <c r="O5" s="33">
        <f>BEN!$A$15*BEN!W14</f>
        <v>7023457.1763804527</v>
      </c>
      <c r="P5" s="34">
        <f t="shared" ref="P5:P22" si="2">AVERAGE(C5:O5)</f>
        <v>6517156.8781889062</v>
      </c>
      <c r="Q5" s="34">
        <f t="shared" si="1"/>
        <v>6803007.1191127254</v>
      </c>
      <c r="R5" s="34">
        <f t="shared" si="1"/>
        <v>6967553.3028835868</v>
      </c>
      <c r="S5" s="34">
        <f t="shared" si="1"/>
        <v>6963253.0049222894</v>
      </c>
      <c r="T5" s="34">
        <f t="shared" si="1"/>
        <v>6958621.914810122</v>
      </c>
      <c r="U5" s="34">
        <f t="shared" si="1"/>
        <v>6953634.5869970191</v>
      </c>
      <c r="V5" s="34">
        <f t="shared" si="1"/>
        <v>6948263.618582909</v>
      </c>
      <c r="W5" s="34">
        <f t="shared" si="1"/>
        <v>6942479.4987523276</v>
      </c>
      <c r="X5" s="34">
        <f t="shared" si="1"/>
        <v>6936250.446627087</v>
      </c>
      <c r="Y5" s="34">
        <f t="shared" si="1"/>
        <v>6929542.236646058</v>
      </c>
      <c r="Z5" s="34">
        <f t="shared" si="1"/>
        <v>6922318.0105126444</v>
      </c>
      <c r="AA5" s="34">
        <f t="shared" si="1"/>
        <v>6914538.0746766608</v>
      </c>
      <c r="AB5" s="34">
        <f t="shared" si="1"/>
        <v>6906159.6822379073</v>
      </c>
      <c r="AC5" s="34">
        <f t="shared" si="1"/>
        <v>6897136.7980730971</v>
      </c>
      <c r="AD5" s="34">
        <f t="shared" si="1"/>
        <v>6926366.022679572</v>
      </c>
      <c r="AE5" s="34">
        <f t="shared" si="1"/>
        <v>6935855.1691077901</v>
      </c>
      <c r="AF5" s="34">
        <f t="shared" si="1"/>
        <v>6933416.8511250373</v>
      </c>
      <c r="AG5" s="34">
        <f t="shared" si="1"/>
        <v>6931121.7623714013</v>
      </c>
    </row>
    <row r="6" spans="1:33" x14ac:dyDescent="0.2">
      <c r="A6" s="1" t="s">
        <v>150</v>
      </c>
      <c r="B6" s="33">
        <v>0</v>
      </c>
      <c r="C6" s="33">
        <v>0</v>
      </c>
      <c r="D6" s="33">
        <v>0</v>
      </c>
      <c r="E6" s="33">
        <v>0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0</v>
      </c>
      <c r="M6" s="33">
        <v>0</v>
      </c>
      <c r="N6" s="33">
        <v>0</v>
      </c>
      <c r="O6" s="33">
        <v>0</v>
      </c>
      <c r="P6" s="34">
        <f t="shared" si="2"/>
        <v>0</v>
      </c>
      <c r="Q6" s="34">
        <f t="shared" si="1"/>
        <v>0</v>
      </c>
      <c r="R6" s="34">
        <f t="shared" si="1"/>
        <v>0</v>
      </c>
      <c r="S6" s="34">
        <f t="shared" si="1"/>
        <v>0</v>
      </c>
      <c r="T6" s="34">
        <f t="shared" si="1"/>
        <v>0</v>
      </c>
      <c r="U6" s="34">
        <f t="shared" si="1"/>
        <v>0</v>
      </c>
      <c r="V6" s="34">
        <f t="shared" si="1"/>
        <v>0</v>
      </c>
      <c r="W6" s="34">
        <f t="shared" si="1"/>
        <v>0</v>
      </c>
      <c r="X6" s="34">
        <f t="shared" si="1"/>
        <v>0</v>
      </c>
      <c r="Y6" s="34">
        <f t="shared" si="1"/>
        <v>0</v>
      </c>
      <c r="Z6" s="34">
        <f t="shared" si="1"/>
        <v>0</v>
      </c>
      <c r="AA6" s="34">
        <f t="shared" si="1"/>
        <v>0</v>
      </c>
      <c r="AB6" s="34">
        <f t="shared" si="1"/>
        <v>0</v>
      </c>
      <c r="AC6" s="34">
        <f t="shared" si="1"/>
        <v>0</v>
      </c>
      <c r="AD6" s="34">
        <f t="shared" si="1"/>
        <v>0</v>
      </c>
      <c r="AE6" s="34">
        <f t="shared" si="1"/>
        <v>0</v>
      </c>
      <c r="AF6" s="34">
        <f t="shared" si="1"/>
        <v>0</v>
      </c>
      <c r="AG6" s="34">
        <f t="shared" si="1"/>
        <v>0</v>
      </c>
    </row>
    <row r="7" spans="1:33" x14ac:dyDescent="0.2">
      <c r="A7" s="1" t="s">
        <v>151</v>
      </c>
      <c r="B7" s="33">
        <v>0</v>
      </c>
      <c r="C7" s="33">
        <v>0</v>
      </c>
      <c r="D7" s="33">
        <v>0</v>
      </c>
      <c r="E7" s="33">
        <v>0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0</v>
      </c>
      <c r="M7" s="33">
        <v>0</v>
      </c>
      <c r="N7" s="33">
        <v>0</v>
      </c>
      <c r="O7" s="33">
        <v>0</v>
      </c>
      <c r="P7" s="34">
        <f t="shared" si="2"/>
        <v>0</v>
      </c>
      <c r="Q7" s="34">
        <f t="shared" si="1"/>
        <v>0</v>
      </c>
      <c r="R7" s="34">
        <f t="shared" si="1"/>
        <v>0</v>
      </c>
      <c r="S7" s="34">
        <f t="shared" si="1"/>
        <v>0</v>
      </c>
      <c r="T7" s="34">
        <f t="shared" si="1"/>
        <v>0</v>
      </c>
      <c r="U7" s="34">
        <f t="shared" si="1"/>
        <v>0</v>
      </c>
      <c r="V7" s="34">
        <f t="shared" si="1"/>
        <v>0</v>
      </c>
      <c r="W7" s="34">
        <f t="shared" si="1"/>
        <v>0</v>
      </c>
      <c r="X7" s="34">
        <f t="shared" si="1"/>
        <v>0</v>
      </c>
      <c r="Y7" s="34">
        <f t="shared" si="1"/>
        <v>0</v>
      </c>
      <c r="Z7" s="34">
        <f t="shared" si="1"/>
        <v>0</v>
      </c>
      <c r="AA7" s="34">
        <f t="shared" si="1"/>
        <v>0</v>
      </c>
      <c r="AB7" s="34">
        <f t="shared" si="1"/>
        <v>0</v>
      </c>
      <c r="AC7" s="34">
        <f t="shared" si="1"/>
        <v>0</v>
      </c>
      <c r="AD7" s="34">
        <f t="shared" si="1"/>
        <v>0</v>
      </c>
      <c r="AE7" s="34">
        <f t="shared" si="1"/>
        <v>0</v>
      </c>
      <c r="AF7" s="34">
        <f t="shared" si="1"/>
        <v>0</v>
      </c>
      <c r="AG7" s="34">
        <f t="shared" si="1"/>
        <v>0</v>
      </c>
    </row>
    <row r="8" spans="1:33" x14ac:dyDescent="0.2">
      <c r="A8" s="1" t="s">
        <v>152</v>
      </c>
      <c r="B8" s="33">
        <v>0</v>
      </c>
      <c r="C8" s="33">
        <v>0</v>
      </c>
      <c r="D8" s="33">
        <v>0</v>
      </c>
      <c r="E8" s="33">
        <v>0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0</v>
      </c>
      <c r="M8" s="33">
        <v>0</v>
      </c>
      <c r="N8" s="33">
        <v>0</v>
      </c>
      <c r="O8" s="33">
        <v>0</v>
      </c>
      <c r="P8" s="34">
        <f t="shared" si="2"/>
        <v>0</v>
      </c>
      <c r="Q8" s="34">
        <f t="shared" si="1"/>
        <v>0</v>
      </c>
      <c r="R8" s="34">
        <f t="shared" si="1"/>
        <v>0</v>
      </c>
      <c r="S8" s="34">
        <f t="shared" si="1"/>
        <v>0</v>
      </c>
      <c r="T8" s="34">
        <f t="shared" si="1"/>
        <v>0</v>
      </c>
      <c r="U8" s="34">
        <f t="shared" si="1"/>
        <v>0</v>
      </c>
      <c r="V8" s="34">
        <f t="shared" si="1"/>
        <v>0</v>
      </c>
      <c r="W8" s="34">
        <f t="shared" si="1"/>
        <v>0</v>
      </c>
      <c r="X8" s="34">
        <f t="shared" si="1"/>
        <v>0</v>
      </c>
      <c r="Y8" s="34">
        <f t="shared" si="1"/>
        <v>0</v>
      </c>
      <c r="Z8" s="34">
        <f t="shared" si="1"/>
        <v>0</v>
      </c>
      <c r="AA8" s="34">
        <f t="shared" si="1"/>
        <v>0</v>
      </c>
      <c r="AB8" s="34">
        <f t="shared" si="1"/>
        <v>0</v>
      </c>
      <c r="AC8" s="34">
        <f t="shared" si="1"/>
        <v>0</v>
      </c>
      <c r="AD8" s="34">
        <f t="shared" si="1"/>
        <v>0</v>
      </c>
      <c r="AE8" s="34">
        <f t="shared" si="1"/>
        <v>0</v>
      </c>
      <c r="AF8" s="34">
        <f t="shared" si="1"/>
        <v>0</v>
      </c>
      <c r="AG8" s="34">
        <f t="shared" si="1"/>
        <v>0</v>
      </c>
    </row>
    <row r="9" spans="1:33" x14ac:dyDescent="0.2">
      <c r="A9" s="1" t="s">
        <v>15</v>
      </c>
      <c r="B9" s="33">
        <f>BEN!$A$20*BEN!J21</f>
        <v>0</v>
      </c>
      <c r="C9" s="33">
        <f>BEN!$A$20*BEN!K19</f>
        <v>2313221300</v>
      </c>
      <c r="D9" s="33">
        <f>BEN!$A$20*BEN!L19</f>
        <v>2155755550</v>
      </c>
      <c r="E9" s="33">
        <f>BEN!$A$20*BEN!M19</f>
        <v>2128149400</v>
      </c>
      <c r="F9" s="33">
        <f>BEN!$A$20*BEN!N19</f>
        <v>1412032112.4000003</v>
      </c>
      <c r="G9" s="33">
        <f>BEN!$A$20*BEN!O19</f>
        <v>1496966374.8</v>
      </c>
      <c r="H9" s="33">
        <f>BEN!$A$20*BEN!P19</f>
        <v>1581900637.2</v>
      </c>
      <c r="I9" s="33">
        <f>BEN!$A$20*BEN!Q19</f>
        <v>1666834899.5999997</v>
      </c>
      <c r="J9" s="33">
        <f>BEN!$A$20*BEN!R19</f>
        <v>1751769162</v>
      </c>
      <c r="K9" s="33">
        <f>BEN!$A$20*BEN!S19</f>
        <v>1836703424.3999999</v>
      </c>
      <c r="L9" s="33">
        <f>BEN!$A$20*BEN!T19</f>
        <v>1921637686.7999997</v>
      </c>
      <c r="M9" s="33">
        <f>BEN!$A$20*BEN!U19</f>
        <v>2006571949.1999996</v>
      </c>
      <c r="N9" s="33">
        <f>BEN!$A$20*BEN!V19</f>
        <v>2091506211.5999994</v>
      </c>
      <c r="O9" s="33">
        <f>BEN!$A$20*BEN!W19</f>
        <v>2176440474</v>
      </c>
      <c r="P9" s="34">
        <f t="shared" si="2"/>
        <v>1887653014</v>
      </c>
      <c r="Q9" s="34">
        <f t="shared" si="1"/>
        <v>1854916992</v>
      </c>
      <c r="R9" s="34">
        <f t="shared" si="1"/>
        <v>1831775564.4615381</v>
      </c>
      <c r="S9" s="34">
        <f t="shared" si="1"/>
        <v>1808977577.1124256</v>
      </c>
      <c r="T9" s="34">
        <f t="shared" si="1"/>
        <v>1839511843.6287663</v>
      </c>
      <c r="U9" s="34">
        <f t="shared" si="1"/>
        <v>1865861495.0771327</v>
      </c>
      <c r="V9" s="34">
        <f t="shared" si="1"/>
        <v>1887704637.9907584</v>
      </c>
      <c r="W9" s="34">
        <f t="shared" si="1"/>
        <v>1904694617.8669705</v>
      </c>
      <c r="X9" s="34">
        <f t="shared" si="1"/>
        <v>1916458114.4721222</v>
      </c>
      <c r="Y9" s="34">
        <f t="shared" si="1"/>
        <v>1922593090.631516</v>
      </c>
      <c r="Z9" s="34">
        <f t="shared" si="1"/>
        <v>1922666583.2339404</v>
      </c>
      <c r="AA9" s="34">
        <f t="shared" si="1"/>
        <v>1916212324.3134744</v>
      </c>
      <c r="AB9" s="34">
        <f t="shared" si="1"/>
        <v>1902728179.137588</v>
      </c>
      <c r="AC9" s="34">
        <f t="shared" si="1"/>
        <v>1881673387.2250948</v>
      </c>
      <c r="AD9" s="34">
        <f t="shared" si="1"/>
        <v>1881213415.9347174</v>
      </c>
      <c r="AE9" s="34">
        <f t="shared" si="1"/>
        <v>1883236217.7758496</v>
      </c>
      <c r="AF9" s="34">
        <f t="shared" si="1"/>
        <v>1887194729.5692582</v>
      </c>
      <c r="AG9" s="34">
        <f t="shared" si="1"/>
        <v>1893211433.6043992</v>
      </c>
    </row>
    <row r="10" spans="1:33" x14ac:dyDescent="0.2">
      <c r="A10" s="1" t="s">
        <v>19</v>
      </c>
      <c r="B10" s="33">
        <f>BEN!$A$28*BEN!J29</f>
        <v>61539784</v>
      </c>
      <c r="C10" s="33">
        <f>BEN!$A$28*BEN!K27</f>
        <v>719502132</v>
      </c>
      <c r="D10" s="33">
        <f>BEN!$A$28*BEN!L27</f>
        <v>858623600</v>
      </c>
      <c r="E10" s="33">
        <f>BEN!$A$28*BEN!M27</f>
        <v>876162744</v>
      </c>
      <c r="F10" s="33">
        <f>BEN!$A$28*BEN!N27</f>
        <v>851291027.39612913</v>
      </c>
      <c r="G10" s="33">
        <f>BEN!$A$28*BEN!O27</f>
        <v>826419310.79225826</v>
      </c>
      <c r="H10" s="33">
        <f>BEN!$A$28*BEN!P27</f>
        <v>801547594.18838727</v>
      </c>
      <c r="I10" s="33">
        <f>BEN!$A$28*BEN!Q27</f>
        <v>810968698.96258068</v>
      </c>
      <c r="J10" s="33">
        <f>BEN!$A$28*BEN!R27</f>
        <v>820389803.73677421</v>
      </c>
      <c r="K10" s="33">
        <f>BEN!$A$28*BEN!S27</f>
        <v>829810908.51096785</v>
      </c>
      <c r="L10" s="33">
        <f>BEN!$A$28*BEN!T27</f>
        <v>825288778.21935475</v>
      </c>
      <c r="M10" s="33">
        <f>BEN!$A$28*BEN!U27</f>
        <v>820766647.92774165</v>
      </c>
      <c r="N10" s="33">
        <f>BEN!$A$28*BEN!V27</f>
        <v>816244517.6361289</v>
      </c>
      <c r="O10" s="33">
        <f>BEN!$A$28*BEN!W27</f>
        <v>811722387.34451604</v>
      </c>
      <c r="P10" s="34">
        <f t="shared" si="2"/>
        <v>820672165.43960309</v>
      </c>
      <c r="Q10" s="34">
        <f t="shared" si="1"/>
        <v>828454475.70418799</v>
      </c>
      <c r="R10" s="34">
        <f t="shared" si="1"/>
        <v>826133773.83527935</v>
      </c>
      <c r="S10" s="34">
        <f t="shared" si="1"/>
        <v>822285391.51491606</v>
      </c>
      <c r="T10" s="34">
        <f t="shared" si="1"/>
        <v>820054188.75482261</v>
      </c>
      <c r="U10" s="34">
        <f t="shared" si="1"/>
        <v>819564563.98271203</v>
      </c>
      <c r="V10" s="34">
        <f t="shared" si="1"/>
        <v>820950484.73612189</v>
      </c>
      <c r="W10" s="34">
        <f t="shared" si="1"/>
        <v>821718314.41100967</v>
      </c>
      <c r="X10" s="34">
        <f t="shared" si="1"/>
        <v>821820507.53979707</v>
      </c>
      <c r="Y10" s="34">
        <f t="shared" si="1"/>
        <v>821205861.31124544</v>
      </c>
      <c r="Z10" s="34">
        <f t="shared" si="1"/>
        <v>820891790.77985239</v>
      </c>
      <c r="AA10" s="34">
        <f t="shared" si="1"/>
        <v>820901417.15309167</v>
      </c>
      <c r="AB10" s="34">
        <f t="shared" si="1"/>
        <v>821259640.19285798</v>
      </c>
      <c r="AC10" s="34">
        <f t="shared" si="1"/>
        <v>821993275.0273459</v>
      </c>
      <c r="AD10" s="34">
        <f t="shared" si="1"/>
        <v>822094898.84178758</v>
      </c>
      <c r="AE10" s="34">
        <f t="shared" si="1"/>
        <v>821605700.62160301</v>
      </c>
      <c r="AF10" s="34">
        <f t="shared" si="1"/>
        <v>821257387.29747403</v>
      </c>
      <c r="AG10" s="34">
        <f t="shared" si="1"/>
        <v>821178310.04997838</v>
      </c>
    </row>
    <row r="11" spans="1:33" x14ac:dyDescent="0.2">
      <c r="A11" s="1" t="s">
        <v>21</v>
      </c>
      <c r="B11" s="33">
        <f>BEN!$A$32*BEN!J33</f>
        <v>20190660</v>
      </c>
      <c r="C11" s="33">
        <f>BEN!$A$32*BEN!K31</f>
        <v>1398169553.8999999</v>
      </c>
      <c r="D11" s="33">
        <f>BEN!$A$32*BEN!L31</f>
        <v>1442050588.3</v>
      </c>
      <c r="E11" s="33">
        <f>BEN!$A$32*BEN!M31</f>
        <v>1509924857</v>
      </c>
      <c r="F11" s="33">
        <f>BEN!$A$32*BEN!N31</f>
        <v>1526733581.45</v>
      </c>
      <c r="G11" s="33">
        <f>BEN!$A$32*BEN!O31</f>
        <v>1518135725.3999999</v>
      </c>
      <c r="H11" s="33">
        <f>BEN!$A$32*BEN!P31</f>
        <v>1509537869.3499999</v>
      </c>
      <c r="I11" s="33">
        <f>BEN!$A$32*BEN!Q31</f>
        <v>1560306162.2166667</v>
      </c>
      <c r="J11" s="33">
        <f>BEN!$A$32*BEN!R31</f>
        <v>1611074455.0833335</v>
      </c>
      <c r="K11" s="33">
        <f>BEN!$A$32*BEN!S31</f>
        <v>1661842747.9500003</v>
      </c>
      <c r="L11" s="33">
        <f>BEN!$A$32*BEN!T31</f>
        <v>1678731393.7625003</v>
      </c>
      <c r="M11" s="33">
        <f>BEN!$A$32*BEN!U31</f>
        <v>1695620039.5750003</v>
      </c>
      <c r="N11" s="33">
        <f>BEN!$A$32*BEN!V31</f>
        <v>1712508685.3875003</v>
      </c>
      <c r="O11" s="33">
        <f>BEN!$A$32*BEN!W31</f>
        <v>1729397331.2000003</v>
      </c>
      <c r="P11" s="34">
        <f t="shared" si="2"/>
        <v>1581079460.8134618</v>
      </c>
      <c r="Q11" s="34">
        <f t="shared" ref="Q11:Q22" si="3">AVERAGE(D11:P11)</f>
        <v>1595149453.6529589</v>
      </c>
      <c r="R11" s="34">
        <f t="shared" ref="R11:R22" si="4">AVERAGE(E11:Q11)</f>
        <v>1606926289.4493403</v>
      </c>
      <c r="S11" s="34">
        <f t="shared" ref="S11:S22" si="5">AVERAGE(F11:R11)</f>
        <v>1614387938.0992894</v>
      </c>
      <c r="T11" s="34">
        <f t="shared" ref="T11:T22" si="6">AVERAGE(G11:S11)</f>
        <v>1621130580.9184659</v>
      </c>
      <c r="U11" s="34">
        <f t="shared" ref="U11:U22" si="7">AVERAGE(H11:T11)</f>
        <v>1629053262.1121938</v>
      </c>
      <c r="V11" s="34">
        <f t="shared" ref="V11:V22" si="8">AVERAGE(I11:U11)</f>
        <v>1638246753.8631315</v>
      </c>
      <c r="W11" s="34">
        <f t="shared" ref="W11:W22" si="9">AVERAGE(J11:V11)</f>
        <v>1644242183.9897828</v>
      </c>
      <c r="X11" s="34">
        <f t="shared" ref="X11:X22" si="10">AVERAGE(K11:W11)</f>
        <v>1646793547.7518175</v>
      </c>
      <c r="Y11" s="34">
        <f t="shared" ref="Y11:Y22" si="11">AVERAGE(L11:X11)</f>
        <v>1645635916.9673419</v>
      </c>
      <c r="Z11" s="34">
        <f t="shared" ref="Z11:Z22" si="12">AVERAGE(M11:Y11)</f>
        <v>1643090111.0600219</v>
      </c>
      <c r="AA11" s="34">
        <f t="shared" ref="AA11:AA22" si="13">AVERAGE(N11:Z11)</f>
        <v>1639049347.3281004</v>
      </c>
      <c r="AB11" s="34">
        <f t="shared" ref="AB11:AB22" si="14">AVERAGE(O11:AA11)</f>
        <v>1633398629.0158389</v>
      </c>
      <c r="AC11" s="34">
        <f t="shared" ref="AC11:AC22" si="15">AVERAGE(P11:AB11)</f>
        <v>1626014113.4632111</v>
      </c>
      <c r="AD11" s="34">
        <f t="shared" ref="AD11:AD22" si="16">AVERAGE(Q11:AC11)</f>
        <v>1629470625.2054994</v>
      </c>
      <c r="AE11" s="34">
        <f t="shared" ref="AE11:AE22" si="17">AVERAGE(R11:AD11)</f>
        <v>1632110715.3249257</v>
      </c>
      <c r="AF11" s="34">
        <f t="shared" ref="AF11:AF22" si="18">AVERAGE(S11:AE11)</f>
        <v>1634047978.853817</v>
      </c>
      <c r="AG11" s="34">
        <f t="shared" ref="AG11:AG22" si="19">AVERAGE(T11:AF11)</f>
        <v>1635560289.681088</v>
      </c>
    </row>
    <row r="12" spans="1:33" x14ac:dyDescent="0.2">
      <c r="A12" s="1" t="s">
        <v>22</v>
      </c>
      <c r="B12" s="33">
        <f>BEN!$A$36*BEN!J37</f>
        <v>41660209.299999997</v>
      </c>
      <c r="C12" s="33">
        <f>BEN!$A$36*BEN!K35</f>
        <v>702576907.89999998</v>
      </c>
      <c r="D12" s="33">
        <f>BEN!$A$36*BEN!L35</f>
        <v>644364685.79999995</v>
      </c>
      <c r="E12" s="33">
        <f>BEN!$A$36*BEN!M35</f>
        <v>700119968.5</v>
      </c>
      <c r="F12" s="33">
        <f>BEN!$A$36*BEN!N35</f>
        <v>712817193.0827477</v>
      </c>
      <c r="G12" s="33">
        <f>BEN!$A$36*BEN!O35</f>
        <v>753352099.9843781</v>
      </c>
      <c r="H12" s="33">
        <f>BEN!$A$36*BEN!P35</f>
        <v>770947340.55689454</v>
      </c>
      <c r="I12" s="33">
        <f>BEN!$A$36*BEN!Q35</f>
        <v>799856244.8283236</v>
      </c>
      <c r="J12" s="33">
        <f>BEN!$A$36*BEN!R35</f>
        <v>843692127.67102146</v>
      </c>
      <c r="K12" s="33">
        <f>BEN!$A$36*BEN!S35</f>
        <v>866988506.3945533</v>
      </c>
      <c r="L12" s="33">
        <f>BEN!$A$36*BEN!T35</f>
        <v>907454513.33578086</v>
      </c>
      <c r="M12" s="33">
        <f>BEN!$A$36*BEN!U35</f>
        <v>936841361.7535342</v>
      </c>
      <c r="N12" s="33">
        <f>BEN!$A$36*BEN!V35</f>
        <v>986284118.41784346</v>
      </c>
      <c r="O12" s="33">
        <f>BEN!$A$36*BEN!W35</f>
        <v>1016116853.9739968</v>
      </c>
      <c r="P12" s="34">
        <f t="shared" si="2"/>
        <v>818570147.86146712</v>
      </c>
      <c r="Q12" s="34">
        <f t="shared" si="3"/>
        <v>827492704.78158009</v>
      </c>
      <c r="R12" s="34">
        <f t="shared" si="4"/>
        <v>841579475.472471</v>
      </c>
      <c r="S12" s="34">
        <f t="shared" si="5"/>
        <v>852460976.00881493</v>
      </c>
      <c r="T12" s="34">
        <f t="shared" si="6"/>
        <v>863202805.46466625</v>
      </c>
      <c r="U12" s="34">
        <f t="shared" si="7"/>
        <v>871652859.73238075</v>
      </c>
      <c r="V12" s="34">
        <f t="shared" si="8"/>
        <v>879399438.13049495</v>
      </c>
      <c r="W12" s="34">
        <f t="shared" si="9"/>
        <v>885518145.307585</v>
      </c>
      <c r="X12" s="34">
        <f t="shared" si="10"/>
        <v>888735531.27962828</v>
      </c>
      <c r="Y12" s="34">
        <f t="shared" si="11"/>
        <v>890408379.34771097</v>
      </c>
      <c r="Z12" s="34">
        <f t="shared" si="12"/>
        <v>889097138.27170575</v>
      </c>
      <c r="AA12" s="34">
        <f t="shared" si="13"/>
        <v>885424505.69618046</v>
      </c>
      <c r="AB12" s="34">
        <f t="shared" si="14"/>
        <v>877666073.9483602</v>
      </c>
      <c r="AC12" s="34">
        <f t="shared" si="15"/>
        <v>867016013.94638824</v>
      </c>
      <c r="AD12" s="34">
        <f t="shared" si="16"/>
        <v>870742619.02984369</v>
      </c>
      <c r="AE12" s="34">
        <f t="shared" si="17"/>
        <v>874069535.51047945</v>
      </c>
      <c r="AF12" s="34">
        <f t="shared" si="18"/>
        <v>876568770.89801836</v>
      </c>
      <c r="AG12" s="34">
        <f t="shared" si="19"/>
        <v>878423216.65872622</v>
      </c>
    </row>
    <row r="13" spans="1:33" x14ac:dyDescent="0.2">
      <c r="A13" s="1" t="s">
        <v>23</v>
      </c>
      <c r="B13" s="33">
        <f>BEN!$A$40*BEN!J41</f>
        <v>0</v>
      </c>
      <c r="C13" s="33">
        <f>BEN!$A$40*BEN!K39</f>
        <v>188154604.93395326</v>
      </c>
      <c r="D13" s="33">
        <f>BEN!$A$40*BEN!L39</f>
        <v>197925071.04837185</v>
      </c>
      <c r="E13" s="33">
        <f>BEN!$A$40*BEN!M39</f>
        <v>197925071.04837185</v>
      </c>
      <c r="F13" s="33">
        <f>BEN!$A$40*BEN!N39</f>
        <v>214606606.16188231</v>
      </c>
      <c r="G13" s="33">
        <f>BEN!$A$40*BEN!O39</f>
        <v>255433990.71850091</v>
      </c>
      <c r="H13" s="33">
        <f>BEN!$A$40*BEN!P39</f>
        <v>279100293.83729184</v>
      </c>
      <c r="I13" s="33">
        <f>BEN!$A$40*BEN!Q39</f>
        <v>303489399.36507875</v>
      </c>
      <c r="J13" s="33">
        <f>BEN!$A$40*BEN!R39</f>
        <v>328601307.3018617</v>
      </c>
      <c r="K13" s="33">
        <f>BEN!$A$40*BEN!S39</f>
        <v>354436017.64764047</v>
      </c>
      <c r="L13" s="33">
        <f>BEN!$A$40*BEN!T39</f>
        <v>380993530.40241516</v>
      </c>
      <c r="M13" s="33">
        <f>BEN!$A$40*BEN!U39</f>
        <v>408273845.56618583</v>
      </c>
      <c r="N13" s="33">
        <f>BEN!$A$40*BEN!V39</f>
        <v>415501869.65614522</v>
      </c>
      <c r="O13" s="33">
        <f>BEN!$A$40*BEN!W39</f>
        <v>422729893.74610424</v>
      </c>
      <c r="P13" s="34">
        <f t="shared" si="2"/>
        <v>303628577.03336948</v>
      </c>
      <c r="Q13" s="34">
        <f t="shared" si="3"/>
        <v>312511190.27178615</v>
      </c>
      <c r="R13" s="34">
        <f t="shared" si="4"/>
        <v>321325507.1351257</v>
      </c>
      <c r="S13" s="34">
        <f t="shared" si="5"/>
        <v>330817848.37256837</v>
      </c>
      <c r="T13" s="34">
        <f t="shared" si="6"/>
        <v>339757174.69646728</v>
      </c>
      <c r="U13" s="34">
        <f t="shared" si="7"/>
        <v>346243573.46400315</v>
      </c>
      <c r="V13" s="34">
        <f t="shared" si="8"/>
        <v>351408441.12759632</v>
      </c>
      <c r="W13" s="34">
        <f t="shared" si="9"/>
        <v>355094521.26317459</v>
      </c>
      <c r="X13" s="34">
        <f t="shared" si="10"/>
        <v>357132460.79866022</v>
      </c>
      <c r="Y13" s="34">
        <f t="shared" si="11"/>
        <v>357339879.50258476</v>
      </c>
      <c r="Z13" s="34">
        <f t="shared" si="12"/>
        <v>355520367.89490551</v>
      </c>
      <c r="AA13" s="34">
        <f t="shared" si="13"/>
        <v>351462408.07403779</v>
      </c>
      <c r="AB13" s="34">
        <f t="shared" si="14"/>
        <v>346536295.64464486</v>
      </c>
      <c r="AC13" s="34">
        <f t="shared" si="15"/>
        <v>340675249.63684028</v>
      </c>
      <c r="AD13" s="34">
        <f t="shared" si="16"/>
        <v>343524993.68326116</v>
      </c>
      <c r="AE13" s="34">
        <f t="shared" si="17"/>
        <v>345910670.86875921</v>
      </c>
      <c r="AF13" s="34">
        <f t="shared" si="18"/>
        <v>347801837.30980802</v>
      </c>
      <c r="AG13" s="34">
        <f t="shared" si="19"/>
        <v>349108297.99728787</v>
      </c>
    </row>
    <row r="14" spans="1:33" x14ac:dyDescent="0.2">
      <c r="A14" s="1" t="s">
        <v>153</v>
      </c>
      <c r="B14" s="33">
        <f>BEN!$B$44*BEN!J45</f>
        <v>96388748.175182477</v>
      </c>
      <c r="C14" s="33">
        <f>BEN!$B$44*BEN!K45</f>
        <v>45039616.788321167</v>
      </c>
      <c r="D14" s="33">
        <f>BEN!$B$44*BEN!L45</f>
        <v>43214222.627737224</v>
      </c>
      <c r="E14" s="33">
        <f>BEN!$B$44*BEN!M45</f>
        <v>70317357.66423358</v>
      </c>
      <c r="F14" s="33">
        <f>BEN!$B$44*BEN!N45</f>
        <v>3788925.5021251654</v>
      </c>
      <c r="G14" s="33">
        <f>BEN!$B$44*BEN!O45</f>
        <v>7577851.0042502703</v>
      </c>
      <c r="H14" s="33">
        <f>BEN!$B$44*BEN!P45</f>
        <v>11366776.506375436</v>
      </c>
      <c r="I14" s="33">
        <f>BEN!$B$44*BEN!Q45</f>
        <v>21431355.014090832</v>
      </c>
      <c r="J14" s="33">
        <f>BEN!$B$44*BEN!R45</f>
        <v>18944627.510625705</v>
      </c>
      <c r="K14" s="33">
        <f>BEN!$B$44*BEN!S45</f>
        <v>3906593.995980056</v>
      </c>
      <c r="L14" s="33">
        <f>BEN!$B$44*BEN!T45</f>
        <v>0</v>
      </c>
      <c r="M14" s="33">
        <f>BEN!$B$44*BEN!U45</f>
        <v>0</v>
      </c>
      <c r="N14" s="33">
        <f>BEN!$B$44*BEN!V45</f>
        <v>0</v>
      </c>
      <c r="O14" s="33">
        <f>BEN!$B$44*BEN!W45</f>
        <v>0</v>
      </c>
      <c r="P14" s="34">
        <f t="shared" si="2"/>
        <v>17352871.277979959</v>
      </c>
      <c r="Q14" s="34">
        <f t="shared" si="3"/>
        <v>15223121.623338325</v>
      </c>
      <c r="R14" s="34">
        <f t="shared" si="4"/>
        <v>13069960.007615332</v>
      </c>
      <c r="S14" s="34">
        <f t="shared" si="5"/>
        <v>8666314.0340293124</v>
      </c>
      <c r="T14" s="34">
        <f t="shared" si="6"/>
        <v>9041497.7672527097</v>
      </c>
      <c r="U14" s="34">
        <f t="shared" si="7"/>
        <v>9154085.97979136</v>
      </c>
      <c r="V14" s="34">
        <f t="shared" si="8"/>
        <v>8983879.0162079688</v>
      </c>
      <c r="W14" s="34">
        <f t="shared" si="9"/>
        <v>8026380.8625246715</v>
      </c>
      <c r="X14" s="34">
        <f t="shared" si="10"/>
        <v>7186515.7357476689</v>
      </c>
      <c r="Y14" s="34">
        <f t="shared" si="11"/>
        <v>7438817.4080374837</v>
      </c>
      <c r="Z14" s="34">
        <f t="shared" si="12"/>
        <v>8011034.1317326743</v>
      </c>
      <c r="AA14" s="34">
        <f t="shared" si="13"/>
        <v>8627267.5264813416</v>
      </c>
      <c r="AB14" s="34">
        <f t="shared" si="14"/>
        <v>9290903.4900568295</v>
      </c>
      <c r="AC14" s="34">
        <f t="shared" si="15"/>
        <v>10005588.373907356</v>
      </c>
      <c r="AD14" s="34">
        <f t="shared" si="16"/>
        <v>9440412.7659017704</v>
      </c>
      <c r="AE14" s="34">
        <f t="shared" si="17"/>
        <v>8995589.0076374225</v>
      </c>
      <c r="AF14" s="34">
        <f t="shared" si="18"/>
        <v>8682175.8537929673</v>
      </c>
      <c r="AG14" s="34">
        <f t="shared" si="19"/>
        <v>8683395.9937747885</v>
      </c>
    </row>
    <row r="15" spans="1:33" x14ac:dyDescent="0.2">
      <c r="A15" s="1" t="s">
        <v>154</v>
      </c>
      <c r="B15" s="33">
        <v>0</v>
      </c>
      <c r="C15" s="33">
        <v>0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0</v>
      </c>
      <c r="M15" s="33">
        <v>0</v>
      </c>
      <c r="N15" s="33">
        <v>0</v>
      </c>
      <c r="O15" s="33">
        <v>0</v>
      </c>
      <c r="P15" s="34">
        <f t="shared" si="2"/>
        <v>0</v>
      </c>
      <c r="Q15" s="34">
        <f t="shared" si="3"/>
        <v>0</v>
      </c>
      <c r="R15" s="34">
        <f t="shared" si="4"/>
        <v>0</v>
      </c>
      <c r="S15" s="34">
        <f t="shared" si="5"/>
        <v>0</v>
      </c>
      <c r="T15" s="34">
        <f t="shared" si="6"/>
        <v>0</v>
      </c>
      <c r="U15" s="34">
        <f t="shared" si="7"/>
        <v>0</v>
      </c>
      <c r="V15" s="34">
        <f t="shared" si="8"/>
        <v>0</v>
      </c>
      <c r="W15" s="34">
        <f t="shared" si="9"/>
        <v>0</v>
      </c>
      <c r="X15" s="34">
        <f t="shared" si="10"/>
        <v>0</v>
      </c>
      <c r="Y15" s="34">
        <f t="shared" si="11"/>
        <v>0</v>
      </c>
      <c r="Z15" s="34">
        <f t="shared" si="12"/>
        <v>0</v>
      </c>
      <c r="AA15" s="34">
        <f t="shared" si="13"/>
        <v>0</v>
      </c>
      <c r="AB15" s="34">
        <f t="shared" si="14"/>
        <v>0</v>
      </c>
      <c r="AC15" s="34">
        <f t="shared" si="15"/>
        <v>0</v>
      </c>
      <c r="AD15" s="34">
        <f t="shared" si="16"/>
        <v>0</v>
      </c>
      <c r="AE15" s="34">
        <f t="shared" si="17"/>
        <v>0</v>
      </c>
      <c r="AF15" s="34">
        <f t="shared" si="18"/>
        <v>0</v>
      </c>
      <c r="AG15" s="34">
        <f t="shared" si="19"/>
        <v>0</v>
      </c>
    </row>
    <row r="16" spans="1:33" x14ac:dyDescent="0.2">
      <c r="A16" s="1" t="s">
        <v>155</v>
      </c>
      <c r="B16" s="33">
        <v>0</v>
      </c>
      <c r="C16" s="33">
        <v>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4">
        <f t="shared" si="2"/>
        <v>0</v>
      </c>
      <c r="Q16" s="34">
        <f t="shared" si="3"/>
        <v>0</v>
      </c>
      <c r="R16" s="34">
        <f t="shared" si="4"/>
        <v>0</v>
      </c>
      <c r="S16" s="34">
        <f t="shared" si="5"/>
        <v>0</v>
      </c>
      <c r="T16" s="34">
        <f t="shared" si="6"/>
        <v>0</v>
      </c>
      <c r="U16" s="34">
        <f t="shared" si="7"/>
        <v>0</v>
      </c>
      <c r="V16" s="34">
        <f t="shared" si="8"/>
        <v>0</v>
      </c>
      <c r="W16" s="34">
        <f t="shared" si="9"/>
        <v>0</v>
      </c>
      <c r="X16" s="34">
        <f t="shared" si="10"/>
        <v>0</v>
      </c>
      <c r="Y16" s="34">
        <f t="shared" si="11"/>
        <v>0</v>
      </c>
      <c r="Z16" s="34">
        <f t="shared" si="12"/>
        <v>0</v>
      </c>
      <c r="AA16" s="34">
        <f t="shared" si="13"/>
        <v>0</v>
      </c>
      <c r="AB16" s="34">
        <f t="shared" si="14"/>
        <v>0</v>
      </c>
      <c r="AC16" s="34">
        <f t="shared" si="15"/>
        <v>0</v>
      </c>
      <c r="AD16" s="34">
        <f t="shared" si="16"/>
        <v>0</v>
      </c>
      <c r="AE16" s="34">
        <f t="shared" si="17"/>
        <v>0</v>
      </c>
      <c r="AF16" s="34">
        <f t="shared" si="18"/>
        <v>0</v>
      </c>
      <c r="AG16" s="34">
        <f t="shared" si="19"/>
        <v>0</v>
      </c>
    </row>
    <row r="17" spans="1:33" x14ac:dyDescent="0.2">
      <c r="A17" s="1" t="s">
        <v>59</v>
      </c>
      <c r="B17" s="33">
        <f>BEN!$A$50*BEN!J51</f>
        <v>0</v>
      </c>
      <c r="C17" s="33">
        <f>BEN!$A$50*BEN!K49</f>
        <v>130776660</v>
      </c>
      <c r="D17" s="33">
        <f>BEN!$A$50*BEN!L49</f>
        <v>159026900</v>
      </c>
      <c r="E17" s="33">
        <f>BEN!$A$50*BEN!M49</f>
        <v>146070920</v>
      </c>
      <c r="F17" s="33">
        <f>BEN!$A$50*BEN!N49</f>
        <v>132562183.33333333</v>
      </c>
      <c r="G17" s="33">
        <f>BEN!$A$50*BEN!O49</f>
        <v>132562183.33333333</v>
      </c>
      <c r="H17" s="33">
        <f>BEN!$A$50*BEN!P49</f>
        <v>132562183.33333333</v>
      </c>
      <c r="I17" s="33">
        <f>BEN!$A$50*BEN!Q49</f>
        <v>132562183.33333333</v>
      </c>
      <c r="J17" s="33">
        <f>BEN!$A$50*BEN!R49</f>
        <v>132562183.33333333</v>
      </c>
      <c r="K17" s="33">
        <f>BEN!$A$50*BEN!S49</f>
        <v>132562183.33333333</v>
      </c>
      <c r="L17" s="33">
        <f>BEN!$A$50*BEN!T49</f>
        <v>132562183.33333333</v>
      </c>
      <c r="M17" s="33">
        <f>BEN!$A$50*BEN!U49</f>
        <v>132562183.33333333</v>
      </c>
      <c r="N17" s="33">
        <f>BEN!$A$50*BEN!V49</f>
        <v>132562183.33333333</v>
      </c>
      <c r="O17" s="33">
        <f>BEN!$A$50*BEN!W49</f>
        <v>132562183.33333333</v>
      </c>
      <c r="P17" s="34">
        <f t="shared" si="2"/>
        <v>135499716.41025639</v>
      </c>
      <c r="Q17" s="34">
        <f t="shared" si="3"/>
        <v>135863028.44181457</v>
      </c>
      <c r="R17" s="34">
        <f t="shared" si="4"/>
        <v>134081192.16810802</v>
      </c>
      <c r="S17" s="34">
        <f t="shared" si="5"/>
        <v>133158905.41180864</v>
      </c>
      <c r="T17" s="34">
        <f t="shared" si="6"/>
        <v>133204807.1101529</v>
      </c>
      <c r="U17" s="34">
        <f t="shared" si="7"/>
        <v>133254239.70836981</v>
      </c>
      <c r="V17" s="34">
        <f t="shared" si="8"/>
        <v>133307474.81414182</v>
      </c>
      <c r="W17" s="34">
        <f t="shared" si="9"/>
        <v>133364804.92805018</v>
      </c>
      <c r="X17" s="34">
        <f t="shared" si="10"/>
        <v>133426545.05072069</v>
      </c>
      <c r="Y17" s="34">
        <f t="shared" si="11"/>
        <v>133493034.41359663</v>
      </c>
      <c r="Z17" s="34">
        <f t="shared" si="12"/>
        <v>133564638.34284766</v>
      </c>
      <c r="AA17" s="34">
        <f t="shared" si="13"/>
        <v>133641750.26665646</v>
      </c>
      <c r="AB17" s="34">
        <f t="shared" si="14"/>
        <v>133724793.87691209</v>
      </c>
      <c r="AC17" s="34">
        <f t="shared" si="15"/>
        <v>133814225.45718738</v>
      </c>
      <c r="AD17" s="34">
        <f t="shared" si="16"/>
        <v>133684572.3069513</v>
      </c>
      <c r="AE17" s="34">
        <f t="shared" si="17"/>
        <v>133516998.75811566</v>
      </c>
      <c r="AF17" s="34">
        <f t="shared" si="18"/>
        <v>133473599.26503934</v>
      </c>
      <c r="AG17" s="34">
        <f t="shared" si="19"/>
        <v>133497806.48451863</v>
      </c>
    </row>
    <row r="18" spans="1:33" x14ac:dyDescent="0.2">
      <c r="A18" s="1" t="s">
        <v>25</v>
      </c>
      <c r="B18" s="34">
        <f>BEN!$A$54*BEN!J55</f>
        <v>2517361086</v>
      </c>
      <c r="C18" s="34">
        <f>BEN!$A$54*BEN!K53</f>
        <v>6050220626</v>
      </c>
      <c r="D18" s="34">
        <f>BEN!$A$54*BEN!L53</f>
        <v>5961113312</v>
      </c>
      <c r="E18" s="34">
        <f>BEN!$A$54*BEN!M53</f>
        <v>6199403858</v>
      </c>
      <c r="F18" s="34">
        <f>BEN!$A$54*BEN!N53</f>
        <v>6819344243.8000002</v>
      </c>
      <c r="G18" s="34">
        <f>BEN!$A$54*BEN!O53</f>
        <v>7852578220.1333323</v>
      </c>
      <c r="H18" s="34">
        <f>BEN!$A$54*BEN!P53</f>
        <v>8472518605.9333315</v>
      </c>
      <c r="I18" s="34">
        <f>BEN!$A$54*BEN!Q53</f>
        <v>9299105786.9999981</v>
      </c>
      <c r="J18" s="34">
        <f>BEN!$A$54*BEN!R53</f>
        <v>9712399377.5333328</v>
      </c>
      <c r="K18" s="34">
        <f>BEN!$A$54*BEN!S53</f>
        <v>10538986558.599998</v>
      </c>
      <c r="L18" s="34">
        <f>BEN!$A$54*BEN!T53</f>
        <v>11158926944.4</v>
      </c>
      <c r="M18" s="34">
        <f>BEN!$A$54*BEN!U53</f>
        <v>10952280149.133331</v>
      </c>
      <c r="N18" s="34">
        <f>BEN!$A$54*BEN!V53</f>
        <v>10745633353.866665</v>
      </c>
      <c r="O18" s="34">
        <f>BEN!$A$54*BEN!W53</f>
        <v>10125692968.066666</v>
      </c>
      <c r="P18" s="34">
        <f t="shared" si="2"/>
        <v>8760631077.2666664</v>
      </c>
      <c r="Q18" s="34">
        <f t="shared" si="3"/>
        <v>8969124188.9025631</v>
      </c>
      <c r="R18" s="34">
        <f t="shared" si="4"/>
        <v>9200509640.9719906</v>
      </c>
      <c r="S18" s="34">
        <f t="shared" si="5"/>
        <v>9431363931.9698353</v>
      </c>
      <c r="T18" s="34">
        <f t="shared" si="6"/>
        <v>9632288523.3675156</v>
      </c>
      <c r="U18" s="34">
        <f t="shared" si="7"/>
        <v>9769189315.9239902</v>
      </c>
      <c r="V18" s="34">
        <f t="shared" si="8"/>
        <v>9868933216.692503</v>
      </c>
      <c r="W18" s="34">
        <f t="shared" si="9"/>
        <v>9912766095.8996201</v>
      </c>
      <c r="X18" s="34">
        <f t="shared" si="10"/>
        <v>9928178920.3893337</v>
      </c>
      <c r="Y18" s="34">
        <f t="shared" si="11"/>
        <v>9881193717.4500504</v>
      </c>
      <c r="Z18" s="34">
        <f t="shared" si="12"/>
        <v>9782906546.1462097</v>
      </c>
      <c r="AA18" s="34">
        <f t="shared" si="13"/>
        <v>9692954730.5318165</v>
      </c>
      <c r="AB18" s="34">
        <f t="shared" si="14"/>
        <v>9611979451.8137493</v>
      </c>
      <c r="AC18" s="34">
        <f t="shared" si="15"/>
        <v>9572463027.4866047</v>
      </c>
      <c r="AD18" s="34">
        <f t="shared" si="16"/>
        <v>9634911639.0419846</v>
      </c>
      <c r="AE18" s="34">
        <f t="shared" si="17"/>
        <v>9686126058.2834778</v>
      </c>
      <c r="AF18" s="34">
        <f t="shared" si="18"/>
        <v>9723481167.307436</v>
      </c>
      <c r="AG18" s="34">
        <f t="shared" si="19"/>
        <v>9745951723.8718681</v>
      </c>
    </row>
    <row r="19" spans="1:33" x14ac:dyDescent="0.2">
      <c r="A19" s="1" t="s">
        <v>26</v>
      </c>
      <c r="B19" s="33">
        <f>BEN!$A$58*BEN!J59</f>
        <v>350641641</v>
      </c>
      <c r="C19" s="33">
        <f>BEN!$A$58*BEN!K57</f>
        <v>665243109</v>
      </c>
      <c r="D19" s="33">
        <f>BEN!$A$58*BEN!L57</f>
        <v>653925963</v>
      </c>
      <c r="E19" s="33">
        <f>BEN!$A$58*BEN!M57</f>
        <v>700447788</v>
      </c>
      <c r="F19" s="33">
        <f>BEN!$A$58*BEN!N57</f>
        <v>691694089.5</v>
      </c>
      <c r="G19" s="33">
        <f>BEN!$A$58*BEN!O57</f>
        <v>699086945.49999988</v>
      </c>
      <c r="H19" s="33">
        <f>BEN!$A$58*BEN!P57</f>
        <v>706479801.50000012</v>
      </c>
      <c r="I19" s="33">
        <f>BEN!$A$58*BEN!Q57</f>
        <v>713872657.5</v>
      </c>
      <c r="J19" s="33">
        <f>BEN!$A$58*BEN!R57</f>
        <v>701859266.5</v>
      </c>
      <c r="K19" s="33">
        <f>BEN!$A$58*BEN!S57</f>
        <v>689845875.5</v>
      </c>
      <c r="L19" s="33">
        <f>BEN!$A$58*BEN!T57</f>
        <v>677832484.5</v>
      </c>
      <c r="M19" s="33">
        <f>BEN!$A$58*BEN!U57</f>
        <v>656346996.75</v>
      </c>
      <c r="N19" s="33">
        <f>BEN!$A$58*BEN!V57</f>
        <v>634861509</v>
      </c>
      <c r="O19" s="33">
        <f>BEN!$A$58*BEN!W57</f>
        <v>613376021.25</v>
      </c>
      <c r="P19" s="34">
        <f t="shared" si="2"/>
        <v>677297885.19230771</v>
      </c>
      <c r="Q19" s="34">
        <f t="shared" si="3"/>
        <v>678225175.66863906</v>
      </c>
      <c r="R19" s="34">
        <f t="shared" si="4"/>
        <v>680094345.87391901</v>
      </c>
      <c r="S19" s="34">
        <f t="shared" si="5"/>
        <v>678528696.47960496</v>
      </c>
      <c r="T19" s="34">
        <f t="shared" si="6"/>
        <v>677515973.9395746</v>
      </c>
      <c r="U19" s="34">
        <f t="shared" si="7"/>
        <v>675856668.43492651</v>
      </c>
      <c r="V19" s="34">
        <f t="shared" si="8"/>
        <v>673501042.81453621</v>
      </c>
      <c r="W19" s="34">
        <f t="shared" si="9"/>
        <v>670395533.99257743</v>
      </c>
      <c r="X19" s="34">
        <f t="shared" si="10"/>
        <v>667975246.87662184</v>
      </c>
      <c r="Y19" s="34">
        <f t="shared" si="11"/>
        <v>666292890.82866967</v>
      </c>
      <c r="Z19" s="34">
        <f t="shared" si="12"/>
        <v>665405229.77702904</v>
      </c>
      <c r="AA19" s="34">
        <f t="shared" si="13"/>
        <v>666102016.93295431</v>
      </c>
      <c r="AB19" s="34">
        <f t="shared" si="14"/>
        <v>668505132.92779708</v>
      </c>
      <c r="AC19" s="34">
        <f t="shared" si="15"/>
        <v>672745833.82608914</v>
      </c>
      <c r="AD19" s="34">
        <f t="shared" si="16"/>
        <v>672395676.02868772</v>
      </c>
      <c r="AE19" s="34">
        <f t="shared" si="17"/>
        <v>671947252.97946048</v>
      </c>
      <c r="AF19" s="34">
        <f t="shared" si="18"/>
        <v>671320553.52604055</v>
      </c>
      <c r="AG19" s="34">
        <f t="shared" si="19"/>
        <v>670766080.99115109</v>
      </c>
    </row>
    <row r="20" spans="1:33" x14ac:dyDescent="0.2">
      <c r="A20" s="1" t="s">
        <v>27</v>
      </c>
      <c r="B20" s="33">
        <f>BEN!$A$62*BEN!J63</f>
        <v>25580</v>
      </c>
      <c r="C20" s="33">
        <f>BEN!$A$62*BEN!K61</f>
        <v>253574540</v>
      </c>
      <c r="D20" s="33">
        <f>BEN!$A$62*BEN!L61</f>
        <v>245823800</v>
      </c>
      <c r="E20" s="33">
        <f>BEN!$A$62*BEN!M61</f>
        <v>256439500</v>
      </c>
      <c r="F20" s="33">
        <f>BEN!$A$62*BEN!N61</f>
        <v>283835680</v>
      </c>
      <c r="G20" s="33">
        <f>BEN!$A$62*BEN!O61</f>
        <v>309044769.99999994</v>
      </c>
      <c r="H20" s="33">
        <f>BEN!$A$62*BEN!P61</f>
        <v>334253859.99999994</v>
      </c>
      <c r="I20" s="33">
        <f>BEN!$A$62*BEN!Q61</f>
        <v>340167103.33333331</v>
      </c>
      <c r="J20" s="33">
        <f>BEN!$A$62*BEN!R61</f>
        <v>346080346.66666669</v>
      </c>
      <c r="K20" s="33">
        <f>BEN!$A$62*BEN!S61</f>
        <v>351993590.00000006</v>
      </c>
      <c r="L20" s="33">
        <f>BEN!$A$62*BEN!T61</f>
        <v>364131300</v>
      </c>
      <c r="M20" s="33">
        <f>BEN!$A$62*BEN!U61</f>
        <v>376269009.99999994</v>
      </c>
      <c r="N20" s="33">
        <f>BEN!$A$62*BEN!V61</f>
        <v>388406720</v>
      </c>
      <c r="O20" s="33">
        <f>BEN!$A$62*BEN!W61</f>
        <v>400544430</v>
      </c>
      <c r="P20" s="34">
        <f t="shared" si="2"/>
        <v>326966511.53846157</v>
      </c>
      <c r="Q20" s="34">
        <f t="shared" si="3"/>
        <v>332612047.81065089</v>
      </c>
      <c r="R20" s="34">
        <f t="shared" si="4"/>
        <v>339288066.87300867</v>
      </c>
      <c r="S20" s="34">
        <f t="shared" si="5"/>
        <v>345661033.55554777</v>
      </c>
      <c r="T20" s="34">
        <f t="shared" si="6"/>
        <v>350416829.98289764</v>
      </c>
      <c r="U20" s="34">
        <f t="shared" si="7"/>
        <v>353599296.13542819</v>
      </c>
      <c r="V20" s="34">
        <f t="shared" si="8"/>
        <v>355087406.60738426</v>
      </c>
      <c r="W20" s="34">
        <f t="shared" si="9"/>
        <v>356235122.24384975</v>
      </c>
      <c r="X20" s="34">
        <f t="shared" si="10"/>
        <v>357016258.82670987</v>
      </c>
      <c r="Y20" s="34">
        <f t="shared" si="11"/>
        <v>357402617.96722609</v>
      </c>
      <c r="Z20" s="34">
        <f t="shared" si="12"/>
        <v>356885027.04162812</v>
      </c>
      <c r="AA20" s="34">
        <f t="shared" si="13"/>
        <v>355393951.42944562</v>
      </c>
      <c r="AB20" s="34">
        <f t="shared" si="14"/>
        <v>352854507.69324911</v>
      </c>
      <c r="AC20" s="34">
        <f t="shared" si="15"/>
        <v>349186052.13119137</v>
      </c>
      <c r="AD20" s="34">
        <f t="shared" si="16"/>
        <v>350895247.56140131</v>
      </c>
      <c r="AE20" s="34">
        <f t="shared" si="17"/>
        <v>352301647.54222828</v>
      </c>
      <c r="AF20" s="34">
        <f t="shared" si="18"/>
        <v>353302692.20909142</v>
      </c>
      <c r="AG20" s="34">
        <f t="shared" si="19"/>
        <v>353890512.1055178</v>
      </c>
    </row>
    <row r="21" spans="1:33" x14ac:dyDescent="0.2">
      <c r="A21" s="1" t="s">
        <v>156</v>
      </c>
      <c r="B21" s="33">
        <f>BEN!J65</f>
        <v>0</v>
      </c>
      <c r="C21" s="33">
        <f>BEN!K65</f>
        <v>0</v>
      </c>
      <c r="D21" s="33">
        <f>BEN!L65</f>
        <v>0</v>
      </c>
      <c r="E21" s="33">
        <f>BEN!M65</f>
        <v>0</v>
      </c>
      <c r="F21" s="33">
        <f>BEN!N65</f>
        <v>0</v>
      </c>
      <c r="G21" s="33">
        <f>BEN!O65</f>
        <v>0</v>
      </c>
      <c r="H21" s="33">
        <f>BEN!P65</f>
        <v>0</v>
      </c>
      <c r="I21" s="33">
        <f>BEN!Q65</f>
        <v>0</v>
      </c>
      <c r="J21" s="33">
        <f>BEN!R65</f>
        <v>0</v>
      </c>
      <c r="K21" s="33">
        <f>BEN!S65</f>
        <v>0</v>
      </c>
      <c r="L21" s="33">
        <f>BEN!T65</f>
        <v>0</v>
      </c>
      <c r="M21" s="33">
        <f>BEN!U65</f>
        <v>0</v>
      </c>
      <c r="N21" s="33">
        <f>BEN!V65</f>
        <v>0</v>
      </c>
      <c r="O21" s="33">
        <f>BEN!W65</f>
        <v>0</v>
      </c>
      <c r="P21" s="34">
        <f t="shared" si="2"/>
        <v>0</v>
      </c>
      <c r="Q21" s="34">
        <f t="shared" si="3"/>
        <v>0</v>
      </c>
      <c r="R21" s="34">
        <f t="shared" si="4"/>
        <v>0</v>
      </c>
      <c r="S21" s="34">
        <f t="shared" si="5"/>
        <v>0</v>
      </c>
      <c r="T21" s="34">
        <f t="shared" si="6"/>
        <v>0</v>
      </c>
      <c r="U21" s="34">
        <f t="shared" si="7"/>
        <v>0</v>
      </c>
      <c r="V21" s="34">
        <f t="shared" si="8"/>
        <v>0</v>
      </c>
      <c r="W21" s="34">
        <f t="shared" si="9"/>
        <v>0</v>
      </c>
      <c r="X21" s="34">
        <f t="shared" si="10"/>
        <v>0</v>
      </c>
      <c r="Y21" s="34">
        <f t="shared" si="11"/>
        <v>0</v>
      </c>
      <c r="Z21" s="34">
        <f t="shared" si="12"/>
        <v>0</v>
      </c>
      <c r="AA21" s="34">
        <f t="shared" si="13"/>
        <v>0</v>
      </c>
      <c r="AB21" s="34">
        <f t="shared" si="14"/>
        <v>0</v>
      </c>
      <c r="AC21" s="34">
        <f t="shared" si="15"/>
        <v>0</v>
      </c>
      <c r="AD21" s="34">
        <f t="shared" si="16"/>
        <v>0</v>
      </c>
      <c r="AE21" s="34">
        <f t="shared" si="17"/>
        <v>0</v>
      </c>
      <c r="AF21" s="34">
        <f t="shared" si="18"/>
        <v>0</v>
      </c>
      <c r="AG21" s="34">
        <f t="shared" si="19"/>
        <v>0</v>
      </c>
    </row>
    <row r="22" spans="1:33" x14ac:dyDescent="0.2">
      <c r="A22" s="1" t="s">
        <v>63</v>
      </c>
      <c r="B22" s="33">
        <f>BEN!J66</f>
        <v>0</v>
      </c>
      <c r="C22" s="33">
        <f>BEN!K66</f>
        <v>0</v>
      </c>
      <c r="D22" s="33">
        <f>BEN!L66</f>
        <v>0</v>
      </c>
      <c r="E22" s="33">
        <f>BEN!M66</f>
        <v>0</v>
      </c>
      <c r="F22" s="33">
        <f>BEN!N66</f>
        <v>0</v>
      </c>
      <c r="G22" s="33">
        <f>BEN!O66</f>
        <v>0</v>
      </c>
      <c r="H22" s="33">
        <f>BEN!P66</f>
        <v>0</v>
      </c>
      <c r="I22" s="33">
        <f>BEN!Q66</f>
        <v>0</v>
      </c>
      <c r="J22" s="33">
        <f>BEN!R66</f>
        <v>0</v>
      </c>
      <c r="K22" s="33">
        <f>BEN!S66</f>
        <v>0</v>
      </c>
      <c r="L22" s="33">
        <f>BEN!T66</f>
        <v>0</v>
      </c>
      <c r="M22" s="33">
        <f>BEN!U66</f>
        <v>0</v>
      </c>
      <c r="N22" s="33">
        <f>BEN!V66</f>
        <v>0</v>
      </c>
      <c r="O22" s="33">
        <f>BEN!W66</f>
        <v>0</v>
      </c>
      <c r="P22" s="34">
        <f t="shared" si="2"/>
        <v>0</v>
      </c>
      <c r="Q22" s="34">
        <f t="shared" si="3"/>
        <v>0</v>
      </c>
      <c r="R22" s="34">
        <f t="shared" si="4"/>
        <v>0</v>
      </c>
      <c r="S22" s="34">
        <f t="shared" si="5"/>
        <v>0</v>
      </c>
      <c r="T22" s="34">
        <f t="shared" si="6"/>
        <v>0</v>
      </c>
      <c r="U22" s="34">
        <f t="shared" si="7"/>
        <v>0</v>
      </c>
      <c r="V22" s="34">
        <f t="shared" si="8"/>
        <v>0</v>
      </c>
      <c r="W22" s="34">
        <f t="shared" si="9"/>
        <v>0</v>
      </c>
      <c r="X22" s="34">
        <f t="shared" si="10"/>
        <v>0</v>
      </c>
      <c r="Y22" s="34">
        <f t="shared" si="11"/>
        <v>0</v>
      </c>
      <c r="Z22" s="34">
        <f t="shared" si="12"/>
        <v>0</v>
      </c>
      <c r="AA22" s="34">
        <f t="shared" si="13"/>
        <v>0</v>
      </c>
      <c r="AB22" s="34">
        <f t="shared" si="14"/>
        <v>0</v>
      </c>
      <c r="AC22" s="34">
        <f t="shared" si="15"/>
        <v>0</v>
      </c>
      <c r="AD22" s="34">
        <f t="shared" si="16"/>
        <v>0</v>
      </c>
      <c r="AE22" s="34">
        <f t="shared" si="17"/>
        <v>0</v>
      </c>
      <c r="AF22" s="34">
        <f t="shared" si="18"/>
        <v>0</v>
      </c>
      <c r="AG22" s="34">
        <f t="shared" si="19"/>
        <v>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37548-FC98-FA4E-B5AB-BFEB1A0DF03F}">
  <dimension ref="A1:AA82"/>
  <sheetViews>
    <sheetView workbookViewId="0">
      <selection activeCell="N15" sqref="N15"/>
    </sheetView>
  </sheetViews>
  <sheetFormatPr baseColWidth="10" defaultRowHeight="15" x14ac:dyDescent="0.2"/>
  <cols>
    <col min="1" max="1" width="18.83203125" customWidth="1"/>
    <col min="2" max="2" width="12.1640625" bestFit="1" customWidth="1"/>
  </cols>
  <sheetData>
    <row r="1" spans="1:27" x14ac:dyDescent="0.2">
      <c r="A1" s="36">
        <v>2022</v>
      </c>
      <c r="B1" s="1" t="s">
        <v>215</v>
      </c>
    </row>
    <row r="2" spans="1:27" x14ac:dyDescent="0.2">
      <c r="A2" s="1" t="s">
        <v>157</v>
      </c>
      <c r="B2" s="1" t="s">
        <v>158</v>
      </c>
      <c r="C2" s="1" t="s">
        <v>159</v>
      </c>
      <c r="D2" s="1" t="s">
        <v>160</v>
      </c>
      <c r="E2" s="1" t="s">
        <v>161</v>
      </c>
      <c r="F2" s="1" t="s">
        <v>162</v>
      </c>
      <c r="G2" s="1" t="s">
        <v>163</v>
      </c>
      <c r="H2" s="1" t="s">
        <v>164</v>
      </c>
      <c r="I2" s="1" t="s">
        <v>165</v>
      </c>
      <c r="J2" s="1" t="s">
        <v>166</v>
      </c>
      <c r="K2" s="1" t="s">
        <v>167</v>
      </c>
      <c r="L2" s="1" t="s">
        <v>168</v>
      </c>
      <c r="M2" s="1" t="s">
        <v>169</v>
      </c>
      <c r="N2" s="1" t="s">
        <v>170</v>
      </c>
      <c r="O2" s="1" t="s">
        <v>171</v>
      </c>
      <c r="P2" s="1" t="s">
        <v>88</v>
      </c>
      <c r="Q2" s="1" t="s">
        <v>172</v>
      </c>
      <c r="R2" s="1" t="s">
        <v>173</v>
      </c>
      <c r="S2" s="1" t="s">
        <v>174</v>
      </c>
      <c r="T2" s="1" t="s">
        <v>175</v>
      </c>
      <c r="U2" s="1" t="s">
        <v>176</v>
      </c>
      <c r="V2" s="1" t="s">
        <v>177</v>
      </c>
      <c r="W2" s="1" t="s">
        <v>178</v>
      </c>
      <c r="X2" s="1" t="s">
        <v>179</v>
      </c>
      <c r="Y2" s="1" t="s">
        <v>180</v>
      </c>
      <c r="Z2" s="1" t="s">
        <v>181</v>
      </c>
      <c r="AA2" s="1" t="s">
        <v>182</v>
      </c>
    </row>
    <row r="3" spans="1:27" x14ac:dyDescent="0.2">
      <c r="A3" s="38" t="s">
        <v>183</v>
      </c>
      <c r="B3" s="35">
        <v>156398</v>
      </c>
      <c r="C3" s="35">
        <v>49971</v>
      </c>
      <c r="D3" s="35">
        <v>2311</v>
      </c>
      <c r="E3">
        <v>0</v>
      </c>
      <c r="F3">
        <v>516</v>
      </c>
      <c r="G3" s="35">
        <v>36732</v>
      </c>
      <c r="H3" s="35">
        <v>27283</v>
      </c>
      <c r="I3" s="35">
        <v>47740</v>
      </c>
      <c r="J3" s="35">
        <v>33597</v>
      </c>
      <c r="K3" s="35">
        <v>354548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 s="38" t="s">
        <v>184</v>
      </c>
      <c r="B4" s="35">
        <v>12724</v>
      </c>
      <c r="C4" s="35">
        <v>7722</v>
      </c>
      <c r="D4" s="35">
        <v>3257</v>
      </c>
      <c r="E4" s="35">
        <v>7405</v>
      </c>
      <c r="F4" s="35">
        <v>3160</v>
      </c>
      <c r="G4">
        <v>0</v>
      </c>
      <c r="H4">
        <v>0</v>
      </c>
      <c r="I4">
        <v>0</v>
      </c>
      <c r="J4">
        <v>0</v>
      </c>
      <c r="K4" s="35">
        <v>34267</v>
      </c>
      <c r="L4">
        <v>0</v>
      </c>
      <c r="M4" s="35">
        <v>12198</v>
      </c>
      <c r="N4">
        <v>202</v>
      </c>
      <c r="O4" s="35">
        <v>3193</v>
      </c>
      <c r="P4" s="35">
        <v>2144</v>
      </c>
      <c r="Q4" s="35">
        <v>6451</v>
      </c>
      <c r="R4" s="35">
        <v>1064</v>
      </c>
      <c r="S4">
        <v>0</v>
      </c>
      <c r="T4" s="35">
        <v>1082</v>
      </c>
      <c r="U4" s="35">
        <v>2781</v>
      </c>
      <c r="V4" s="35">
        <v>1538</v>
      </c>
      <c r="W4">
        <v>0</v>
      </c>
      <c r="X4">
        <v>53</v>
      </c>
      <c r="Y4" s="35">
        <v>2941</v>
      </c>
      <c r="Z4" s="35">
        <v>1533</v>
      </c>
      <c r="AA4">
        <v>0</v>
      </c>
    </row>
    <row r="5" spans="1:27" x14ac:dyDescent="0.2">
      <c r="A5" s="1" t="s">
        <v>185</v>
      </c>
      <c r="B5">
        <v>-470</v>
      </c>
      <c r="C5">
        <v>0</v>
      </c>
      <c r="D5">
        <v>55</v>
      </c>
      <c r="E5">
        <v>56</v>
      </c>
      <c r="F5">
        <v>535</v>
      </c>
      <c r="G5">
        <v>0</v>
      </c>
      <c r="H5">
        <v>0</v>
      </c>
      <c r="I5">
        <v>0</v>
      </c>
      <c r="J5">
        <v>0</v>
      </c>
      <c r="K5">
        <v>175</v>
      </c>
      <c r="L5">
        <v>-14</v>
      </c>
      <c r="M5">
        <v>-507</v>
      </c>
      <c r="N5">
        <v>-567</v>
      </c>
      <c r="O5">
        <v>-568</v>
      </c>
      <c r="P5">
        <v>-38</v>
      </c>
      <c r="Q5">
        <v>-52</v>
      </c>
      <c r="R5">
        <v>-148</v>
      </c>
      <c r="S5">
        <v>0</v>
      </c>
      <c r="T5">
        <v>-180</v>
      </c>
      <c r="U5" s="35">
        <v>-3130</v>
      </c>
      <c r="V5">
        <v>0</v>
      </c>
      <c r="W5">
        <v>0</v>
      </c>
      <c r="X5">
        <v>176</v>
      </c>
      <c r="Y5">
        <v>28</v>
      </c>
      <c r="Z5">
        <v>-61</v>
      </c>
      <c r="AA5">
        <v>0</v>
      </c>
    </row>
    <row r="6" spans="1:27" x14ac:dyDescent="0.2">
      <c r="A6" s="1" t="s">
        <v>186</v>
      </c>
      <c r="B6" s="35">
        <v>168651</v>
      </c>
      <c r="C6" s="35">
        <v>57692</v>
      </c>
      <c r="D6" s="35">
        <v>5624</v>
      </c>
      <c r="E6" s="35">
        <v>7460</v>
      </c>
      <c r="F6" s="35">
        <v>4210</v>
      </c>
      <c r="G6" s="35">
        <v>36732</v>
      </c>
      <c r="H6" s="35">
        <v>27283</v>
      </c>
      <c r="I6" s="35">
        <v>47740</v>
      </c>
      <c r="J6" s="35">
        <v>33597</v>
      </c>
      <c r="K6" s="35">
        <v>388991</v>
      </c>
      <c r="L6">
        <v>-14</v>
      </c>
      <c r="M6" s="35">
        <v>11691</v>
      </c>
      <c r="N6">
        <v>-365</v>
      </c>
      <c r="O6" s="35">
        <v>2624</v>
      </c>
      <c r="P6" s="35">
        <v>2106</v>
      </c>
      <c r="Q6" s="35">
        <v>6399</v>
      </c>
      <c r="R6">
        <v>916</v>
      </c>
      <c r="S6">
        <v>0</v>
      </c>
      <c r="T6">
        <v>902</v>
      </c>
      <c r="U6">
        <v>-349</v>
      </c>
      <c r="V6" s="35">
        <v>1538</v>
      </c>
      <c r="W6">
        <v>0</v>
      </c>
      <c r="X6">
        <v>229</v>
      </c>
      <c r="Y6" s="35">
        <v>2969</v>
      </c>
      <c r="Z6" s="35">
        <v>1473</v>
      </c>
      <c r="AA6">
        <v>0</v>
      </c>
    </row>
    <row r="7" spans="1:27" x14ac:dyDescent="0.2">
      <c r="A7" s="38" t="s">
        <v>187</v>
      </c>
      <c r="B7" s="35">
        <v>-69580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s="35">
        <v>-69580</v>
      </c>
      <c r="L7">
        <v>0</v>
      </c>
      <c r="M7">
        <v>-547</v>
      </c>
      <c r="N7" s="35">
        <v>-14592</v>
      </c>
      <c r="O7">
        <v>-420</v>
      </c>
      <c r="P7">
        <v>0</v>
      </c>
      <c r="Q7">
        <v>-379</v>
      </c>
      <c r="R7" s="35">
        <v>-1772</v>
      </c>
      <c r="S7">
        <v>0</v>
      </c>
      <c r="T7">
        <v>0</v>
      </c>
      <c r="U7">
        <v>0</v>
      </c>
      <c r="V7">
        <v>-428</v>
      </c>
      <c r="W7">
        <v>0</v>
      </c>
      <c r="X7" s="35">
        <v>-1235</v>
      </c>
      <c r="Y7">
        <v>-820</v>
      </c>
      <c r="Z7">
        <v>-282</v>
      </c>
      <c r="AA7">
        <v>0</v>
      </c>
    </row>
    <row r="9" spans="1:27" x14ac:dyDescent="0.2">
      <c r="A9" s="36">
        <v>2021</v>
      </c>
      <c r="B9" s="1" t="s">
        <v>215</v>
      </c>
    </row>
    <row r="10" spans="1:27" x14ac:dyDescent="0.2">
      <c r="A10" s="1" t="s">
        <v>157</v>
      </c>
      <c r="B10" s="1" t="s">
        <v>188</v>
      </c>
      <c r="C10" s="1" t="s">
        <v>159</v>
      </c>
      <c r="D10" s="1" t="s">
        <v>160</v>
      </c>
      <c r="E10" s="1" t="s">
        <v>161</v>
      </c>
      <c r="F10" s="1" t="s">
        <v>189</v>
      </c>
      <c r="G10" s="1" t="s">
        <v>163</v>
      </c>
      <c r="H10" s="1" t="s">
        <v>164</v>
      </c>
      <c r="I10" s="1" t="s">
        <v>165</v>
      </c>
      <c r="J10" s="1" t="s">
        <v>166</v>
      </c>
      <c r="K10" s="1" t="s">
        <v>167</v>
      </c>
      <c r="L10" s="1" t="s">
        <v>168</v>
      </c>
      <c r="M10" s="1" t="s">
        <v>169</v>
      </c>
      <c r="N10" s="1" t="s">
        <v>170</v>
      </c>
      <c r="O10" s="1" t="s">
        <v>171</v>
      </c>
      <c r="P10" s="1" t="s">
        <v>88</v>
      </c>
      <c r="Q10" s="1" t="s">
        <v>172</v>
      </c>
      <c r="R10" s="1" t="s">
        <v>173</v>
      </c>
      <c r="S10" s="1" t="s">
        <v>190</v>
      </c>
      <c r="T10" s="1" t="s">
        <v>175</v>
      </c>
      <c r="U10" s="1" t="s">
        <v>191</v>
      </c>
      <c r="V10" s="1" t="s">
        <v>177</v>
      </c>
      <c r="W10" s="1" t="s">
        <v>178</v>
      </c>
      <c r="X10" s="1" t="s">
        <v>179</v>
      </c>
      <c r="Y10" s="1" t="s">
        <v>192</v>
      </c>
      <c r="Z10" s="1" t="s">
        <v>181</v>
      </c>
      <c r="AA10" s="1" t="s">
        <v>182</v>
      </c>
    </row>
    <row r="11" spans="1:27" x14ac:dyDescent="0.2">
      <c r="A11" s="38" t="s">
        <v>193</v>
      </c>
      <c r="B11">
        <v>150.386</v>
      </c>
      <c r="C11">
        <v>48.462000000000003</v>
      </c>
      <c r="D11">
        <v>2.64</v>
      </c>
      <c r="E11">
        <v>0</v>
      </c>
      <c r="F11">
        <v>343</v>
      </c>
      <c r="G11">
        <v>31.202000000000002</v>
      </c>
      <c r="H11">
        <v>27.407</v>
      </c>
      <c r="I11">
        <v>49.424999999999997</v>
      </c>
      <c r="J11">
        <v>28.437000000000001</v>
      </c>
      <c r="K11">
        <v>338.30200000000002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 s="38" t="s">
        <v>194</v>
      </c>
      <c r="B12">
        <v>7.2469999999999999</v>
      </c>
      <c r="C12">
        <v>14.833</v>
      </c>
      <c r="D12">
        <v>5.3719999999999999</v>
      </c>
      <c r="E12">
        <v>7.8929999999999998</v>
      </c>
      <c r="F12">
        <v>4.7229999999999999</v>
      </c>
      <c r="G12">
        <v>0</v>
      </c>
      <c r="H12">
        <v>0</v>
      </c>
      <c r="I12">
        <v>0</v>
      </c>
      <c r="J12">
        <v>0</v>
      </c>
      <c r="K12">
        <v>40.069000000000003</v>
      </c>
      <c r="L12">
        <v>0</v>
      </c>
      <c r="M12">
        <v>12.242000000000001</v>
      </c>
      <c r="N12">
        <v>595</v>
      </c>
      <c r="O12">
        <v>2.121</v>
      </c>
      <c r="P12">
        <v>2.4540000000000002</v>
      </c>
      <c r="Q12">
        <v>6.0519999999999996</v>
      </c>
      <c r="R12">
        <v>307</v>
      </c>
      <c r="S12">
        <v>0</v>
      </c>
      <c r="T12">
        <v>1.153</v>
      </c>
      <c r="U12">
        <v>3.129</v>
      </c>
      <c r="V12">
        <v>1.9910000000000001</v>
      </c>
      <c r="W12">
        <v>0</v>
      </c>
      <c r="X12">
        <v>231</v>
      </c>
      <c r="Y12">
        <v>2.8980000000000001</v>
      </c>
      <c r="Z12">
        <v>1.7110000000000001</v>
      </c>
      <c r="AA12">
        <v>0</v>
      </c>
    </row>
    <row r="13" spans="1:27" x14ac:dyDescent="0.2">
      <c r="A13" s="1" t="s">
        <v>195</v>
      </c>
      <c r="B13">
        <v>-308</v>
      </c>
      <c r="C13">
        <v>176</v>
      </c>
      <c r="D13">
        <v>42</v>
      </c>
      <c r="E13">
        <v>59</v>
      </c>
      <c r="F13">
        <v>-787</v>
      </c>
      <c r="G13">
        <v>0</v>
      </c>
      <c r="H13">
        <v>0</v>
      </c>
      <c r="I13">
        <v>0</v>
      </c>
      <c r="J13">
        <v>0</v>
      </c>
      <c r="K13">
        <v>-818</v>
      </c>
      <c r="L13">
        <v>-14</v>
      </c>
      <c r="M13">
        <v>-7</v>
      </c>
      <c r="N13">
        <v>-442</v>
      </c>
      <c r="O13">
        <v>-201</v>
      </c>
      <c r="P13">
        <v>-64</v>
      </c>
      <c r="Q13">
        <v>108</v>
      </c>
      <c r="R13">
        <v>-54</v>
      </c>
      <c r="S13">
        <v>0</v>
      </c>
      <c r="T13">
        <v>-214</v>
      </c>
      <c r="U13">
        <v>-3.5070000000000001</v>
      </c>
      <c r="V13">
        <v>0</v>
      </c>
      <c r="W13">
        <v>0</v>
      </c>
      <c r="X13">
        <v>755</v>
      </c>
      <c r="Y13">
        <v>-25</v>
      </c>
      <c r="Z13">
        <v>-8</v>
      </c>
      <c r="AA13">
        <v>0</v>
      </c>
    </row>
    <row r="14" spans="1:27" x14ac:dyDescent="0.2">
      <c r="A14" s="1" t="s">
        <v>196</v>
      </c>
      <c r="B14">
        <v>157.32499999999999</v>
      </c>
      <c r="C14">
        <v>63.470999999999997</v>
      </c>
      <c r="D14">
        <v>8.0540000000000003</v>
      </c>
      <c r="E14">
        <v>7.9530000000000003</v>
      </c>
      <c r="F14">
        <v>4.2789999999999999</v>
      </c>
      <c r="G14">
        <v>31.202000000000002</v>
      </c>
      <c r="H14">
        <v>27.407</v>
      </c>
      <c r="I14">
        <v>49.424999999999997</v>
      </c>
      <c r="J14">
        <v>28.437000000000001</v>
      </c>
      <c r="K14">
        <v>377.553</v>
      </c>
      <c r="L14">
        <v>-14</v>
      </c>
      <c r="M14">
        <v>12.234999999999999</v>
      </c>
      <c r="N14">
        <v>153</v>
      </c>
      <c r="O14">
        <v>1.921</v>
      </c>
      <c r="P14">
        <v>2.391</v>
      </c>
      <c r="Q14">
        <v>6.16</v>
      </c>
      <c r="R14">
        <v>254</v>
      </c>
      <c r="S14">
        <v>0</v>
      </c>
      <c r="T14">
        <v>939</v>
      </c>
      <c r="U14">
        <v>-378</v>
      </c>
      <c r="V14">
        <v>1.9910000000000001</v>
      </c>
      <c r="W14">
        <v>0</v>
      </c>
      <c r="X14">
        <v>986</v>
      </c>
      <c r="Y14">
        <v>2.8730000000000002</v>
      </c>
      <c r="Z14">
        <v>1.7030000000000001</v>
      </c>
      <c r="AA14">
        <v>0</v>
      </c>
    </row>
    <row r="15" spans="1:27" x14ac:dyDescent="0.2">
      <c r="A15" s="38" t="s">
        <v>197</v>
      </c>
      <c r="B15">
        <v>-64.721999999999994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-64.721999999999994</v>
      </c>
      <c r="L15">
        <v>0</v>
      </c>
      <c r="M15">
        <v>-501</v>
      </c>
      <c r="N15">
        <v>-12.238</v>
      </c>
      <c r="O15">
        <v>-1.3819999999999999</v>
      </c>
      <c r="P15">
        <v>0</v>
      </c>
      <c r="Q15">
        <v>-231</v>
      </c>
      <c r="R15">
        <v>-1.089</v>
      </c>
      <c r="S15">
        <v>0</v>
      </c>
      <c r="T15">
        <v>0</v>
      </c>
      <c r="U15">
        <v>0</v>
      </c>
      <c r="V15">
        <v>-4</v>
      </c>
      <c r="W15">
        <v>0</v>
      </c>
      <c r="X15">
        <v>-967</v>
      </c>
      <c r="Y15">
        <v>-841</v>
      </c>
      <c r="Z15">
        <v>-385</v>
      </c>
      <c r="AA15">
        <v>0</v>
      </c>
    </row>
    <row r="16" spans="1:27" x14ac:dyDescent="0.2">
      <c r="A16" s="1" t="s">
        <v>198</v>
      </c>
      <c r="B16">
        <v>0</v>
      </c>
      <c r="C16">
        <v>-1.2210000000000001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-1.2210000000000001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 s="1" t="s">
        <v>199</v>
      </c>
      <c r="B17">
        <v>0</v>
      </c>
      <c r="C17">
        <v>-22.024999999999999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-22.024999999999999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9" spans="1:27" x14ac:dyDescent="0.2">
      <c r="A19" s="36">
        <v>2020</v>
      </c>
      <c r="B19" s="1" t="s">
        <v>215</v>
      </c>
    </row>
    <row r="20" spans="1:27" x14ac:dyDescent="0.2">
      <c r="A20" s="1" t="s">
        <v>157</v>
      </c>
      <c r="B20" s="1" t="s">
        <v>188</v>
      </c>
      <c r="C20" s="1" t="s">
        <v>159</v>
      </c>
      <c r="D20" s="1" t="s">
        <v>160</v>
      </c>
      <c r="E20" s="1" t="s">
        <v>161</v>
      </c>
      <c r="F20" s="1" t="s">
        <v>189</v>
      </c>
      <c r="G20" s="1" t="s">
        <v>200</v>
      </c>
      <c r="H20" s="1" t="s">
        <v>164</v>
      </c>
      <c r="I20" s="1" t="s">
        <v>165</v>
      </c>
      <c r="J20" s="1" t="s">
        <v>166</v>
      </c>
      <c r="K20" s="1" t="s">
        <v>167</v>
      </c>
      <c r="L20" s="1" t="s">
        <v>168</v>
      </c>
      <c r="M20" s="1" t="s">
        <v>169</v>
      </c>
      <c r="N20" s="1" t="s">
        <v>170</v>
      </c>
      <c r="O20" s="1" t="s">
        <v>171</v>
      </c>
      <c r="P20" s="1" t="s">
        <v>88</v>
      </c>
      <c r="Q20" s="1" t="s">
        <v>172</v>
      </c>
      <c r="R20" s="1" t="s">
        <v>173</v>
      </c>
      <c r="S20" s="1" t="s">
        <v>190</v>
      </c>
      <c r="T20" s="1" t="s">
        <v>201</v>
      </c>
      <c r="U20" s="1" t="s">
        <v>176</v>
      </c>
      <c r="V20" s="1" t="s">
        <v>177</v>
      </c>
      <c r="W20" s="1" t="s">
        <v>178</v>
      </c>
      <c r="X20" s="1" t="s">
        <v>202</v>
      </c>
      <c r="Y20" s="1" t="s">
        <v>192</v>
      </c>
      <c r="Z20" s="1" t="s">
        <v>203</v>
      </c>
      <c r="AA20" s="1" t="s">
        <v>182</v>
      </c>
    </row>
    <row r="21" spans="1:27" x14ac:dyDescent="0.2">
      <c r="A21" s="38" t="s">
        <v>193</v>
      </c>
      <c r="B21" s="35">
        <v>152635</v>
      </c>
      <c r="C21" s="35">
        <v>46299</v>
      </c>
      <c r="D21" s="35">
        <v>2085</v>
      </c>
      <c r="E21">
        <v>0</v>
      </c>
      <c r="F21">
        <v>206</v>
      </c>
      <c r="G21" s="35">
        <v>34089</v>
      </c>
      <c r="H21" s="35">
        <v>26457</v>
      </c>
      <c r="I21" s="35">
        <v>55597</v>
      </c>
      <c r="J21" s="35">
        <v>25171</v>
      </c>
      <c r="K21" s="35">
        <v>342538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 s="38" t="s">
        <v>204</v>
      </c>
      <c r="B22" s="35">
        <v>8684</v>
      </c>
      <c r="C22" s="35">
        <v>8458</v>
      </c>
      <c r="D22" s="35">
        <v>3897</v>
      </c>
      <c r="E22" s="35">
        <v>6815</v>
      </c>
      <c r="F22" s="35">
        <v>4699</v>
      </c>
      <c r="G22">
        <v>0</v>
      </c>
      <c r="H22">
        <v>0</v>
      </c>
      <c r="I22">
        <v>0</v>
      </c>
      <c r="J22">
        <v>0</v>
      </c>
      <c r="K22" s="35">
        <v>32553</v>
      </c>
      <c r="L22">
        <v>0</v>
      </c>
      <c r="M22" s="35">
        <v>10171</v>
      </c>
      <c r="N22">
        <v>37</v>
      </c>
      <c r="O22" s="35">
        <v>3805</v>
      </c>
      <c r="P22" s="35">
        <v>2235</v>
      </c>
      <c r="Q22" s="35">
        <v>2932</v>
      </c>
      <c r="R22">
        <v>269</v>
      </c>
      <c r="S22">
        <v>0</v>
      </c>
      <c r="T22">
        <v>937</v>
      </c>
      <c r="U22" s="35">
        <v>2594</v>
      </c>
      <c r="V22" s="35">
        <v>2160</v>
      </c>
      <c r="W22">
        <v>0</v>
      </c>
      <c r="X22">
        <v>511</v>
      </c>
      <c r="Y22" s="35">
        <v>2057</v>
      </c>
      <c r="Z22" s="35">
        <v>1236</v>
      </c>
      <c r="AA22">
        <v>0</v>
      </c>
    </row>
    <row r="23" spans="1:27" x14ac:dyDescent="0.2">
      <c r="A23" s="1" t="s">
        <v>195</v>
      </c>
      <c r="B23">
        <v>765</v>
      </c>
      <c r="C23">
        <v>0</v>
      </c>
      <c r="D23">
        <v>72</v>
      </c>
      <c r="E23">
        <v>59</v>
      </c>
      <c r="F23">
        <v>-858</v>
      </c>
      <c r="G23">
        <v>0</v>
      </c>
      <c r="H23">
        <v>0</v>
      </c>
      <c r="I23">
        <v>0</v>
      </c>
      <c r="J23">
        <v>0</v>
      </c>
      <c r="K23">
        <v>39</v>
      </c>
      <c r="L23">
        <v>-14</v>
      </c>
      <c r="M23">
        <v>40</v>
      </c>
      <c r="N23">
        <v>-65</v>
      </c>
      <c r="O23">
        <v>63</v>
      </c>
      <c r="P23">
        <v>15</v>
      </c>
      <c r="Q23">
        <v>-52</v>
      </c>
      <c r="R23">
        <v>31</v>
      </c>
      <c r="S23">
        <v>0</v>
      </c>
      <c r="T23">
        <v>90</v>
      </c>
      <c r="U23" s="35">
        <v>-2914</v>
      </c>
      <c r="V23">
        <v>0</v>
      </c>
      <c r="W23">
        <v>0</v>
      </c>
      <c r="X23">
        <v>-113</v>
      </c>
      <c r="Y23">
        <v>-51</v>
      </c>
      <c r="Z23">
        <v>-18</v>
      </c>
      <c r="AA23">
        <v>0</v>
      </c>
    </row>
    <row r="24" spans="1:27" x14ac:dyDescent="0.2">
      <c r="A24" s="1" t="s">
        <v>196</v>
      </c>
      <c r="B24" s="35">
        <v>162085</v>
      </c>
      <c r="C24" s="35">
        <v>54757</v>
      </c>
      <c r="D24" s="35">
        <v>6055</v>
      </c>
      <c r="E24" s="35">
        <v>6874</v>
      </c>
      <c r="F24" s="35">
        <v>4047</v>
      </c>
      <c r="G24" s="35">
        <v>34089</v>
      </c>
      <c r="H24" s="35">
        <v>26457</v>
      </c>
      <c r="I24" s="35">
        <v>55597</v>
      </c>
      <c r="J24" s="35">
        <v>25171</v>
      </c>
      <c r="K24" s="35">
        <v>375131</v>
      </c>
      <c r="L24">
        <v>-14</v>
      </c>
      <c r="M24" s="35">
        <v>10212</v>
      </c>
      <c r="N24">
        <v>-28</v>
      </c>
      <c r="O24" s="35">
        <v>3868</v>
      </c>
      <c r="P24" s="35">
        <v>2249</v>
      </c>
      <c r="Q24" s="35">
        <v>2880</v>
      </c>
      <c r="R24">
        <v>299</v>
      </c>
      <c r="S24">
        <v>0</v>
      </c>
      <c r="T24" s="35">
        <v>1027</v>
      </c>
      <c r="U24">
        <v>-320</v>
      </c>
      <c r="V24" s="35">
        <v>2160</v>
      </c>
      <c r="W24">
        <v>0</v>
      </c>
      <c r="X24">
        <v>398</v>
      </c>
      <c r="Y24" s="35">
        <v>2006</v>
      </c>
      <c r="Z24" s="35">
        <v>1217</v>
      </c>
      <c r="AA24">
        <v>0</v>
      </c>
    </row>
    <row r="25" spans="1:27" x14ac:dyDescent="0.2">
      <c r="A25" s="38" t="s">
        <v>205</v>
      </c>
      <c r="B25" s="35">
        <v>-70885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s="35">
        <v>-70885</v>
      </c>
      <c r="L25">
        <v>0</v>
      </c>
      <c r="M25">
        <v>-806</v>
      </c>
      <c r="N25" s="35">
        <v>-13884</v>
      </c>
      <c r="O25" s="35">
        <v>-1824</v>
      </c>
      <c r="P25">
        <v>0</v>
      </c>
      <c r="Q25">
        <v>-59</v>
      </c>
      <c r="R25" s="35">
        <v>-1135</v>
      </c>
      <c r="S25">
        <v>0</v>
      </c>
      <c r="T25">
        <v>0</v>
      </c>
      <c r="U25">
        <v>0</v>
      </c>
      <c r="V25">
        <v>-34</v>
      </c>
      <c r="W25">
        <v>0</v>
      </c>
      <c r="X25" s="35">
        <v>-1063</v>
      </c>
      <c r="Y25">
        <v>-567</v>
      </c>
      <c r="Z25">
        <v>-382</v>
      </c>
      <c r="AA25">
        <v>0</v>
      </c>
    </row>
    <row r="26" spans="1:27" x14ac:dyDescent="0.2">
      <c r="A26" s="1" t="s">
        <v>206</v>
      </c>
      <c r="B26">
        <v>0</v>
      </c>
      <c r="C26" s="35">
        <v>-1224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s="35">
        <v>-1224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 s="1" t="s">
        <v>199</v>
      </c>
      <c r="B27">
        <v>0</v>
      </c>
      <c r="C27" s="35">
        <v>-19708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s="35">
        <v>-19708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9" spans="1:27" x14ac:dyDescent="0.2">
      <c r="A29" s="36">
        <v>2019</v>
      </c>
      <c r="B29" s="1" t="s">
        <v>215</v>
      </c>
    </row>
    <row r="30" spans="1:27" x14ac:dyDescent="0.2">
      <c r="A30" s="1" t="s">
        <v>157</v>
      </c>
      <c r="B30" s="1" t="s">
        <v>188</v>
      </c>
      <c r="C30" s="1" t="s">
        <v>159</v>
      </c>
      <c r="D30" s="1" t="s">
        <v>160</v>
      </c>
      <c r="E30" s="1" t="s">
        <v>161</v>
      </c>
      <c r="F30" s="1" t="s">
        <v>189</v>
      </c>
      <c r="G30" s="1" t="s">
        <v>200</v>
      </c>
      <c r="H30" s="1" t="s">
        <v>164</v>
      </c>
      <c r="I30" s="1" t="s">
        <v>165</v>
      </c>
      <c r="J30" s="1" t="s">
        <v>166</v>
      </c>
      <c r="K30" s="1" t="s">
        <v>167</v>
      </c>
      <c r="L30" s="1" t="s">
        <v>168</v>
      </c>
      <c r="M30" s="1" t="s">
        <v>169</v>
      </c>
      <c r="N30" s="1" t="s">
        <v>170</v>
      </c>
      <c r="O30" s="1" t="s">
        <v>171</v>
      </c>
      <c r="P30" s="1" t="s">
        <v>88</v>
      </c>
      <c r="Q30" s="1" t="s">
        <v>172</v>
      </c>
      <c r="R30" s="1" t="s">
        <v>173</v>
      </c>
      <c r="S30" s="1" t="s">
        <v>207</v>
      </c>
      <c r="T30" s="1" t="s">
        <v>201</v>
      </c>
      <c r="U30" s="1" t="s">
        <v>176</v>
      </c>
      <c r="V30" s="1" t="s">
        <v>177</v>
      </c>
      <c r="W30" s="1" t="s">
        <v>178</v>
      </c>
      <c r="X30" s="1" t="s">
        <v>202</v>
      </c>
      <c r="Y30" s="1" t="s">
        <v>208</v>
      </c>
      <c r="Z30" s="1" t="s">
        <v>203</v>
      </c>
      <c r="AA30" s="1" t="s">
        <v>182</v>
      </c>
    </row>
    <row r="31" spans="1:27" x14ac:dyDescent="0.2">
      <c r="A31" s="38" t="s">
        <v>193</v>
      </c>
      <c r="B31" s="35">
        <v>144303</v>
      </c>
      <c r="C31" s="35">
        <v>44398</v>
      </c>
      <c r="D31" s="35">
        <v>2162</v>
      </c>
      <c r="E31">
        <v>0</v>
      </c>
      <c r="F31">
        <v>0</v>
      </c>
      <c r="G31" s="35">
        <v>34217</v>
      </c>
      <c r="H31" s="35">
        <v>26411</v>
      </c>
      <c r="I31" s="35">
        <v>52861</v>
      </c>
      <c r="J31" s="35">
        <v>23320</v>
      </c>
      <c r="K31" s="35">
        <v>327672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 s="38" t="s">
        <v>204</v>
      </c>
      <c r="B32" s="35">
        <v>8885</v>
      </c>
      <c r="C32" s="35">
        <v>8628</v>
      </c>
      <c r="D32" s="35">
        <v>4901</v>
      </c>
      <c r="E32" s="35">
        <v>7536</v>
      </c>
      <c r="F32" s="35">
        <v>3073</v>
      </c>
      <c r="G32">
        <v>0</v>
      </c>
      <c r="H32">
        <v>0</v>
      </c>
      <c r="I32">
        <v>0</v>
      </c>
      <c r="J32">
        <v>0</v>
      </c>
      <c r="K32" s="35">
        <v>33023</v>
      </c>
      <c r="L32">
        <v>0</v>
      </c>
      <c r="M32" s="35">
        <v>11031</v>
      </c>
      <c r="N32">
        <v>54</v>
      </c>
      <c r="O32" s="35">
        <v>3763</v>
      </c>
      <c r="P32" s="35">
        <v>2172</v>
      </c>
      <c r="Q32" s="35">
        <v>6611</v>
      </c>
      <c r="R32">
        <v>853</v>
      </c>
      <c r="S32">
        <v>0</v>
      </c>
      <c r="T32">
        <v>902</v>
      </c>
      <c r="U32" s="35">
        <v>3269</v>
      </c>
      <c r="V32" s="35">
        <v>2163</v>
      </c>
      <c r="W32">
        <v>0</v>
      </c>
      <c r="X32">
        <v>767</v>
      </c>
      <c r="Y32" s="35">
        <v>2135</v>
      </c>
      <c r="Z32" s="35">
        <v>1142</v>
      </c>
      <c r="AA32">
        <v>0</v>
      </c>
    </row>
    <row r="33" spans="1:27" x14ac:dyDescent="0.2">
      <c r="A33" s="1" t="s">
        <v>195</v>
      </c>
      <c r="B33" s="35">
        <v>-1718</v>
      </c>
      <c r="C33">
        <v>0</v>
      </c>
      <c r="D33">
        <v>-4</v>
      </c>
      <c r="E33">
        <v>-30</v>
      </c>
      <c r="F33" s="35">
        <v>2510</v>
      </c>
      <c r="G33">
        <v>0</v>
      </c>
      <c r="H33">
        <v>0</v>
      </c>
      <c r="I33">
        <v>0</v>
      </c>
      <c r="J33">
        <v>0</v>
      </c>
      <c r="K33">
        <v>758</v>
      </c>
      <c r="L33">
        <v>-14</v>
      </c>
      <c r="M33">
        <v>-176</v>
      </c>
      <c r="N33">
        <v>-35</v>
      </c>
      <c r="O33">
        <v>-275</v>
      </c>
      <c r="P33">
        <v>19</v>
      </c>
      <c r="Q33">
        <v>18</v>
      </c>
      <c r="R33">
        <v>-84</v>
      </c>
      <c r="S33">
        <v>0</v>
      </c>
      <c r="T33">
        <v>-32</v>
      </c>
      <c r="U33" s="35">
        <v>-4560</v>
      </c>
      <c r="V33">
        <v>0</v>
      </c>
      <c r="W33">
        <v>0</v>
      </c>
      <c r="X33">
        <v>230</v>
      </c>
      <c r="Y33">
        <v>-27</v>
      </c>
      <c r="Z33">
        <v>40</v>
      </c>
      <c r="AA33">
        <v>0</v>
      </c>
    </row>
    <row r="34" spans="1:27" x14ac:dyDescent="0.2">
      <c r="A34" s="1" t="s">
        <v>196</v>
      </c>
      <c r="B34" s="35">
        <v>151470</v>
      </c>
      <c r="C34" s="35">
        <v>53026</v>
      </c>
      <c r="D34" s="35">
        <v>7059</v>
      </c>
      <c r="E34" s="35">
        <v>7506</v>
      </c>
      <c r="F34" s="35">
        <v>5583</v>
      </c>
      <c r="G34" s="35">
        <v>34217</v>
      </c>
      <c r="H34" s="35">
        <v>26411</v>
      </c>
      <c r="I34" s="35">
        <v>52861</v>
      </c>
      <c r="J34" s="35">
        <v>23320</v>
      </c>
      <c r="K34" s="35">
        <v>361454</v>
      </c>
      <c r="L34">
        <v>-14</v>
      </c>
      <c r="M34" s="35">
        <v>10854</v>
      </c>
      <c r="N34">
        <v>19</v>
      </c>
      <c r="O34" s="35">
        <v>3488</v>
      </c>
      <c r="P34" s="35">
        <v>2192</v>
      </c>
      <c r="Q34" s="35">
        <v>6629</v>
      </c>
      <c r="R34">
        <v>769</v>
      </c>
      <c r="S34">
        <v>0</v>
      </c>
      <c r="T34">
        <v>869</v>
      </c>
      <c r="U34" s="35">
        <v>-1291</v>
      </c>
      <c r="V34" s="35">
        <v>2163</v>
      </c>
      <c r="W34">
        <v>0</v>
      </c>
      <c r="X34">
        <v>997</v>
      </c>
      <c r="Y34" s="35">
        <v>2108</v>
      </c>
      <c r="Z34" s="35">
        <v>1182</v>
      </c>
      <c r="AA34">
        <v>0</v>
      </c>
    </row>
    <row r="35" spans="1:27" x14ac:dyDescent="0.2">
      <c r="A35" s="38" t="s">
        <v>205</v>
      </c>
      <c r="B35" s="35">
        <v>-63508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s="35">
        <v>-63508</v>
      </c>
      <c r="L35">
        <v>0</v>
      </c>
      <c r="M35">
        <v>-509</v>
      </c>
      <c r="N35" s="35">
        <v>-8836</v>
      </c>
      <c r="O35" s="35">
        <v>-1551</v>
      </c>
      <c r="P35">
        <v>0</v>
      </c>
      <c r="Q35">
        <v>0</v>
      </c>
      <c r="R35" s="35">
        <v>-2439</v>
      </c>
      <c r="S35">
        <v>0</v>
      </c>
      <c r="T35">
        <v>0</v>
      </c>
      <c r="U35">
        <v>0</v>
      </c>
      <c r="V35">
        <v>-17</v>
      </c>
      <c r="W35">
        <v>0</v>
      </c>
      <c r="X35" s="35">
        <v>-1018</v>
      </c>
      <c r="Y35">
        <v>-583</v>
      </c>
      <c r="Z35">
        <v>-388</v>
      </c>
      <c r="AA35">
        <v>0</v>
      </c>
    </row>
    <row r="36" spans="1:27" x14ac:dyDescent="0.2">
      <c r="A36" s="1" t="s">
        <v>206</v>
      </c>
      <c r="B36">
        <v>0</v>
      </c>
      <c r="C36" s="35">
        <v>-1546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s="35">
        <v>-1546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 s="1" t="s">
        <v>199</v>
      </c>
      <c r="B37">
        <v>0</v>
      </c>
      <c r="C37" s="35">
        <v>-15571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s="35">
        <v>-15571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9" spans="1:27" x14ac:dyDescent="0.2">
      <c r="A39" s="36">
        <v>2018</v>
      </c>
      <c r="B39" s="1" t="s">
        <v>215</v>
      </c>
    </row>
    <row r="40" spans="1:27" x14ac:dyDescent="0.2">
      <c r="A40" s="1" t="s">
        <v>157</v>
      </c>
      <c r="B40" s="1" t="s">
        <v>188</v>
      </c>
      <c r="C40" s="1" t="s">
        <v>159</v>
      </c>
      <c r="D40" s="1" t="s">
        <v>160</v>
      </c>
      <c r="E40" s="1" t="s">
        <v>161</v>
      </c>
      <c r="F40" s="1" t="s">
        <v>189</v>
      </c>
      <c r="G40" s="1" t="s">
        <v>200</v>
      </c>
      <c r="H40" s="1" t="s">
        <v>164</v>
      </c>
      <c r="I40" s="1" t="s">
        <v>165</v>
      </c>
      <c r="J40" s="1" t="s">
        <v>166</v>
      </c>
      <c r="K40" s="1" t="s">
        <v>167</v>
      </c>
      <c r="L40" s="1" t="s">
        <v>168</v>
      </c>
      <c r="M40" s="1" t="s">
        <v>169</v>
      </c>
      <c r="N40" s="1" t="s">
        <v>170</v>
      </c>
      <c r="O40" s="1" t="s">
        <v>171</v>
      </c>
      <c r="P40" s="1" t="s">
        <v>88</v>
      </c>
      <c r="Q40" s="1" t="s">
        <v>172</v>
      </c>
      <c r="R40" s="1" t="s">
        <v>173</v>
      </c>
      <c r="S40" s="1" t="s">
        <v>209</v>
      </c>
      <c r="T40" s="1" t="s">
        <v>201</v>
      </c>
      <c r="U40" s="1" t="s">
        <v>176</v>
      </c>
      <c r="V40" s="1" t="s">
        <v>177</v>
      </c>
      <c r="W40" s="1" t="s">
        <v>178</v>
      </c>
      <c r="X40" s="1" t="s">
        <v>179</v>
      </c>
      <c r="Y40" s="1" t="s">
        <v>192</v>
      </c>
      <c r="Z40" s="1" t="s">
        <v>203</v>
      </c>
      <c r="AA40" s="1" t="s">
        <v>182</v>
      </c>
    </row>
    <row r="41" spans="1:27" x14ac:dyDescent="0.2">
      <c r="A41" s="38" t="s">
        <v>193</v>
      </c>
      <c r="B41" s="35">
        <v>134067</v>
      </c>
      <c r="C41" s="35">
        <v>40560</v>
      </c>
      <c r="D41" s="35">
        <v>1930</v>
      </c>
      <c r="E41">
        <v>0</v>
      </c>
      <c r="F41">
        <v>0</v>
      </c>
      <c r="G41" s="35">
        <v>33452</v>
      </c>
      <c r="H41" s="35">
        <v>26250</v>
      </c>
      <c r="I41" s="35">
        <v>50895</v>
      </c>
      <c r="J41" s="35">
        <v>22442</v>
      </c>
      <c r="K41" s="35">
        <v>309595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 s="38" t="s">
        <v>204</v>
      </c>
      <c r="B42" s="35">
        <v>9627</v>
      </c>
      <c r="C42" s="35">
        <v>9324</v>
      </c>
      <c r="D42" s="35">
        <v>5603</v>
      </c>
      <c r="E42" s="35">
        <v>8205</v>
      </c>
      <c r="F42" s="35">
        <v>5116</v>
      </c>
      <c r="G42">
        <v>0</v>
      </c>
      <c r="H42">
        <v>0</v>
      </c>
      <c r="I42">
        <v>0</v>
      </c>
      <c r="J42">
        <v>0</v>
      </c>
      <c r="K42" s="35">
        <v>37876</v>
      </c>
      <c r="L42">
        <v>0</v>
      </c>
      <c r="M42" s="35">
        <v>9879</v>
      </c>
      <c r="N42">
        <v>305</v>
      </c>
      <c r="O42" s="35">
        <v>2493</v>
      </c>
      <c r="P42" s="35">
        <v>2130</v>
      </c>
      <c r="Q42" s="35">
        <v>6102</v>
      </c>
      <c r="R42">
        <v>737</v>
      </c>
      <c r="S42">
        <v>0</v>
      </c>
      <c r="T42" s="35">
        <v>1269</v>
      </c>
      <c r="U42" s="35">
        <v>1150</v>
      </c>
      <c r="V42" s="35">
        <v>3008</v>
      </c>
      <c r="W42">
        <v>0</v>
      </c>
      <c r="X42">
        <v>947</v>
      </c>
      <c r="Y42" s="35">
        <v>2198</v>
      </c>
      <c r="Z42" s="35">
        <v>1243</v>
      </c>
      <c r="AA42">
        <v>0</v>
      </c>
    </row>
    <row r="43" spans="1:27" x14ac:dyDescent="0.2">
      <c r="A43" s="1" t="s">
        <v>195</v>
      </c>
      <c r="B43">
        <v>-154</v>
      </c>
      <c r="C43">
        <v>0</v>
      </c>
      <c r="D43">
        <v>-259</v>
      </c>
      <c r="E43">
        <v>37</v>
      </c>
      <c r="F43">
        <v>482</v>
      </c>
      <c r="G43">
        <v>0</v>
      </c>
      <c r="H43">
        <v>0</v>
      </c>
      <c r="I43">
        <v>0</v>
      </c>
      <c r="J43">
        <v>0</v>
      </c>
      <c r="K43">
        <v>106</v>
      </c>
      <c r="L43">
        <v>25</v>
      </c>
      <c r="M43">
        <v>124</v>
      </c>
      <c r="N43">
        <v>215</v>
      </c>
      <c r="O43">
        <v>149</v>
      </c>
      <c r="P43">
        <v>-95</v>
      </c>
      <c r="Q43">
        <v>-160</v>
      </c>
      <c r="R43">
        <v>205</v>
      </c>
      <c r="S43">
        <v>0</v>
      </c>
      <c r="T43">
        <v>-364</v>
      </c>
      <c r="U43" s="35">
        <v>-2574</v>
      </c>
      <c r="V43">
        <v>0</v>
      </c>
      <c r="W43">
        <v>0</v>
      </c>
      <c r="X43">
        <v>-868</v>
      </c>
      <c r="Y43">
        <v>-19</v>
      </c>
      <c r="Z43">
        <v>-35</v>
      </c>
      <c r="AA43">
        <v>0</v>
      </c>
    </row>
    <row r="44" spans="1:27" x14ac:dyDescent="0.2">
      <c r="A44" s="1" t="s">
        <v>196</v>
      </c>
      <c r="B44" s="35">
        <v>143541</v>
      </c>
      <c r="C44" s="35">
        <v>49884</v>
      </c>
      <c r="D44" s="35">
        <v>7274</v>
      </c>
      <c r="E44" s="35">
        <v>8242</v>
      </c>
      <c r="F44" s="35">
        <v>5598</v>
      </c>
      <c r="G44" s="35">
        <v>33452</v>
      </c>
      <c r="H44" s="35">
        <v>26250</v>
      </c>
      <c r="I44" s="35">
        <v>50895</v>
      </c>
      <c r="J44" s="35">
        <v>22442</v>
      </c>
      <c r="K44" s="35">
        <v>347577</v>
      </c>
      <c r="L44">
        <v>25</v>
      </c>
      <c r="M44" s="35">
        <v>10003</v>
      </c>
      <c r="N44">
        <v>520</v>
      </c>
      <c r="O44" s="35">
        <v>2642</v>
      </c>
      <c r="P44" s="35">
        <v>2036</v>
      </c>
      <c r="Q44" s="35">
        <v>5942</v>
      </c>
      <c r="R44">
        <v>942</v>
      </c>
      <c r="S44">
        <v>0</v>
      </c>
      <c r="T44">
        <v>905</v>
      </c>
      <c r="U44" s="35">
        <v>-1424</v>
      </c>
      <c r="V44" s="35">
        <v>3008</v>
      </c>
      <c r="W44">
        <v>0</v>
      </c>
      <c r="X44">
        <v>79</v>
      </c>
      <c r="Y44" s="35">
        <v>2179</v>
      </c>
      <c r="Z44" s="35">
        <v>1208</v>
      </c>
      <c r="AA44">
        <v>0</v>
      </c>
    </row>
    <row r="45" spans="1:27" x14ac:dyDescent="0.2">
      <c r="A45" s="38" t="s">
        <v>205</v>
      </c>
      <c r="B45" s="35">
        <v>-55727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s="35">
        <v>-55727</v>
      </c>
      <c r="L45">
        <v>0</v>
      </c>
      <c r="M45" s="35">
        <v>-1212</v>
      </c>
      <c r="N45" s="35">
        <v>-7758</v>
      </c>
      <c r="O45" s="35">
        <v>-1073</v>
      </c>
      <c r="P45">
        <v>-1</v>
      </c>
      <c r="Q45">
        <v>0</v>
      </c>
      <c r="R45" s="35">
        <v>-2796</v>
      </c>
      <c r="S45">
        <v>0</v>
      </c>
      <c r="T45">
        <v>0</v>
      </c>
      <c r="U45">
        <v>0</v>
      </c>
      <c r="V45">
        <v>0</v>
      </c>
      <c r="W45">
        <v>0</v>
      </c>
      <c r="X45">
        <v>-883</v>
      </c>
      <c r="Y45">
        <v>-554</v>
      </c>
      <c r="Z45">
        <v>-487</v>
      </c>
      <c r="AA45">
        <v>0</v>
      </c>
    </row>
    <row r="46" spans="1:27" x14ac:dyDescent="0.2">
      <c r="A46" s="1" t="s">
        <v>206</v>
      </c>
      <c r="B46">
        <v>0</v>
      </c>
      <c r="C46" s="35">
        <v>-1341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s="35">
        <v>-1341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 s="1" t="s">
        <v>199</v>
      </c>
      <c r="B47">
        <v>0</v>
      </c>
      <c r="C47" s="35">
        <v>-12638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s="35">
        <v>-12638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9" spans="1:27" x14ac:dyDescent="0.2">
      <c r="A49" s="36">
        <v>2017</v>
      </c>
      <c r="B49" s="1" t="s">
        <v>215</v>
      </c>
    </row>
    <row r="50" spans="1:27" x14ac:dyDescent="0.2">
      <c r="A50" s="1" t="s">
        <v>157</v>
      </c>
      <c r="B50" s="1" t="s">
        <v>188</v>
      </c>
      <c r="C50" s="1" t="s">
        <v>159</v>
      </c>
      <c r="D50" s="1" t="s">
        <v>160</v>
      </c>
      <c r="E50" s="1" t="s">
        <v>161</v>
      </c>
      <c r="F50" s="1" t="s">
        <v>189</v>
      </c>
      <c r="G50" s="1" t="s">
        <v>200</v>
      </c>
      <c r="H50" s="1" t="s">
        <v>164</v>
      </c>
      <c r="I50" s="1" t="s">
        <v>165</v>
      </c>
      <c r="J50" s="1" t="s">
        <v>166</v>
      </c>
      <c r="K50" s="1" t="s">
        <v>167</v>
      </c>
      <c r="L50" s="1" t="s">
        <v>168</v>
      </c>
      <c r="M50" s="1" t="s">
        <v>169</v>
      </c>
      <c r="N50" s="1" t="s">
        <v>170</v>
      </c>
      <c r="O50" s="1" t="s">
        <v>171</v>
      </c>
      <c r="P50" s="1" t="s">
        <v>88</v>
      </c>
      <c r="Q50" s="1" t="s">
        <v>172</v>
      </c>
      <c r="R50" s="1" t="s">
        <v>173</v>
      </c>
      <c r="S50" s="1" t="s">
        <v>209</v>
      </c>
      <c r="T50" s="1" t="s">
        <v>201</v>
      </c>
      <c r="U50" s="1" t="s">
        <v>176</v>
      </c>
      <c r="V50" s="1" t="s">
        <v>177</v>
      </c>
      <c r="W50" s="1" t="s">
        <v>178</v>
      </c>
      <c r="X50" s="1" t="s">
        <v>179</v>
      </c>
      <c r="Y50" s="1" t="s">
        <v>208</v>
      </c>
      <c r="Z50" s="1" t="s">
        <v>203</v>
      </c>
      <c r="AA50" s="1" t="s">
        <v>182</v>
      </c>
    </row>
    <row r="51" spans="1:27" x14ac:dyDescent="0.2">
      <c r="A51" s="38" t="s">
        <v>193</v>
      </c>
      <c r="B51" s="35">
        <v>135907</v>
      </c>
      <c r="C51" s="35">
        <v>39810</v>
      </c>
      <c r="D51" s="35">
        <v>1931</v>
      </c>
      <c r="E51">
        <v>0</v>
      </c>
      <c r="F51">
        <v>0</v>
      </c>
      <c r="G51" s="35">
        <v>31898</v>
      </c>
      <c r="H51" s="35">
        <v>24864</v>
      </c>
      <c r="I51" s="35">
        <v>49725</v>
      </c>
      <c r="J51" s="35">
        <v>20044</v>
      </c>
      <c r="K51" s="35">
        <v>304177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 s="38" t="s">
        <v>204</v>
      </c>
      <c r="B52" s="35">
        <v>7491</v>
      </c>
      <c r="C52" s="35">
        <v>9434</v>
      </c>
      <c r="D52" s="35">
        <v>5453</v>
      </c>
      <c r="E52" s="35">
        <v>8580</v>
      </c>
      <c r="F52" s="35">
        <v>5206</v>
      </c>
      <c r="G52">
        <v>0</v>
      </c>
      <c r="H52">
        <v>0</v>
      </c>
      <c r="I52">
        <v>0</v>
      </c>
      <c r="J52">
        <v>0</v>
      </c>
      <c r="K52" s="35">
        <v>36164</v>
      </c>
      <c r="L52">
        <v>0</v>
      </c>
      <c r="M52" s="35">
        <v>10986</v>
      </c>
      <c r="N52">
        <v>72</v>
      </c>
      <c r="O52" s="35">
        <v>3456</v>
      </c>
      <c r="P52" s="35">
        <v>2012</v>
      </c>
      <c r="Q52" s="35">
        <v>8160</v>
      </c>
      <c r="R52">
        <v>473</v>
      </c>
      <c r="S52">
        <v>0</v>
      </c>
      <c r="T52" s="35">
        <v>1061</v>
      </c>
      <c r="U52" s="35">
        <v>3063</v>
      </c>
      <c r="V52" s="35">
        <v>3140</v>
      </c>
      <c r="W52">
        <v>0</v>
      </c>
      <c r="X52">
        <v>975</v>
      </c>
      <c r="Y52" s="35">
        <v>1738</v>
      </c>
      <c r="Z52" s="35">
        <v>1136</v>
      </c>
      <c r="AA52">
        <v>0</v>
      </c>
    </row>
    <row r="53" spans="1:27" x14ac:dyDescent="0.2">
      <c r="A53" s="1" t="s">
        <v>195</v>
      </c>
      <c r="B53">
        <v>225</v>
      </c>
      <c r="C53">
        <v>0</v>
      </c>
      <c r="D53">
        <v>65</v>
      </c>
      <c r="E53">
        <v>-222</v>
      </c>
      <c r="F53">
        <v>518</v>
      </c>
      <c r="G53">
        <v>0</v>
      </c>
      <c r="H53">
        <v>0</v>
      </c>
      <c r="I53">
        <v>0</v>
      </c>
      <c r="J53">
        <v>0</v>
      </c>
      <c r="K53">
        <v>586</v>
      </c>
      <c r="L53">
        <v>-33</v>
      </c>
      <c r="M53">
        <v>-59</v>
      </c>
      <c r="N53">
        <v>-64</v>
      </c>
      <c r="O53">
        <v>-52</v>
      </c>
      <c r="P53">
        <v>-67</v>
      </c>
      <c r="Q53">
        <v>41</v>
      </c>
      <c r="R53">
        <v>-63</v>
      </c>
      <c r="S53">
        <v>0</v>
      </c>
      <c r="T53">
        <v>-78</v>
      </c>
      <c r="U53" s="35">
        <v>-4593</v>
      </c>
      <c r="V53">
        <v>0</v>
      </c>
      <c r="W53">
        <v>0</v>
      </c>
      <c r="X53">
        <v>-213</v>
      </c>
      <c r="Y53">
        <v>4</v>
      </c>
      <c r="Z53">
        <v>-11</v>
      </c>
      <c r="AA53">
        <v>0</v>
      </c>
    </row>
    <row r="54" spans="1:27" x14ac:dyDescent="0.2">
      <c r="A54" s="1" t="s">
        <v>196</v>
      </c>
      <c r="B54" s="35">
        <v>143622</v>
      </c>
      <c r="C54" s="35">
        <v>49243</v>
      </c>
      <c r="D54" s="35">
        <v>7449</v>
      </c>
      <c r="E54" s="35">
        <v>8358</v>
      </c>
      <c r="F54" s="35">
        <v>5724</v>
      </c>
      <c r="G54" s="35">
        <v>31898</v>
      </c>
      <c r="H54" s="35">
        <v>24864</v>
      </c>
      <c r="I54" s="35">
        <v>49725</v>
      </c>
      <c r="J54" s="35">
        <v>20044</v>
      </c>
      <c r="K54" s="35">
        <v>340927</v>
      </c>
      <c r="L54">
        <v>-33</v>
      </c>
      <c r="M54" s="35">
        <v>10927</v>
      </c>
      <c r="N54">
        <v>8</v>
      </c>
      <c r="O54" s="35">
        <v>3405</v>
      </c>
      <c r="P54" s="35">
        <v>1945</v>
      </c>
      <c r="Q54" s="35">
        <v>8201</v>
      </c>
      <c r="R54">
        <v>411</v>
      </c>
      <c r="S54">
        <v>0</v>
      </c>
      <c r="T54">
        <v>983</v>
      </c>
      <c r="U54" s="35">
        <v>-1531</v>
      </c>
      <c r="V54" s="35">
        <v>3140</v>
      </c>
      <c r="W54">
        <v>0</v>
      </c>
      <c r="X54">
        <v>762</v>
      </c>
      <c r="Y54" s="35">
        <v>1743</v>
      </c>
      <c r="Z54" s="35">
        <v>1125</v>
      </c>
      <c r="AA54">
        <v>0</v>
      </c>
    </row>
    <row r="55" spans="1:27" x14ac:dyDescent="0.2">
      <c r="A55" s="38" t="s">
        <v>205</v>
      </c>
      <c r="B55" s="35">
        <v>-53882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s="35">
        <v>-53882</v>
      </c>
      <c r="L55">
        <v>0</v>
      </c>
      <c r="M55">
        <v>-582</v>
      </c>
      <c r="N55" s="35">
        <v>-6983</v>
      </c>
      <c r="O55">
        <v>-368</v>
      </c>
      <c r="P55">
        <v>-1</v>
      </c>
      <c r="Q55">
        <v>0</v>
      </c>
      <c r="R55" s="35">
        <v>-2234</v>
      </c>
      <c r="S55">
        <v>0</v>
      </c>
      <c r="T55">
        <v>0</v>
      </c>
      <c r="U55">
        <v>0</v>
      </c>
      <c r="V55">
        <v>-13</v>
      </c>
      <c r="W55">
        <v>0</v>
      </c>
      <c r="X55">
        <v>-728</v>
      </c>
      <c r="Y55">
        <v>-578</v>
      </c>
      <c r="Z55">
        <v>-682</v>
      </c>
      <c r="AA55">
        <v>0</v>
      </c>
    </row>
    <row r="56" spans="1:27" x14ac:dyDescent="0.2">
      <c r="A56" s="1" t="s">
        <v>206</v>
      </c>
      <c r="B56">
        <v>0</v>
      </c>
      <c r="C56" s="35">
        <v>-1346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s="35">
        <v>-1346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 s="1" t="s">
        <v>199</v>
      </c>
      <c r="B57">
        <v>0</v>
      </c>
      <c r="C57" s="35">
        <v>-9959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s="35">
        <v>-9959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9" spans="1:27" x14ac:dyDescent="0.2">
      <c r="A59" s="36">
        <v>2016</v>
      </c>
      <c r="B59" s="1" t="s">
        <v>215</v>
      </c>
    </row>
    <row r="60" spans="1:27" x14ac:dyDescent="0.2">
      <c r="A60" s="1" t="s">
        <v>157</v>
      </c>
      <c r="B60" s="1" t="s">
        <v>188</v>
      </c>
      <c r="C60" s="1" t="s">
        <v>159</v>
      </c>
      <c r="D60" s="1" t="s">
        <v>160</v>
      </c>
      <c r="E60" s="1" t="s">
        <v>161</v>
      </c>
      <c r="F60" s="1" t="s">
        <v>189</v>
      </c>
      <c r="G60" s="1" t="s">
        <v>200</v>
      </c>
      <c r="H60" s="1" t="s">
        <v>164</v>
      </c>
      <c r="I60" s="1" t="s">
        <v>165</v>
      </c>
      <c r="J60" s="1" t="s">
        <v>166</v>
      </c>
      <c r="K60" s="1" t="s">
        <v>167</v>
      </c>
      <c r="L60" s="1" t="s">
        <v>168</v>
      </c>
      <c r="M60" s="1" t="s">
        <v>169</v>
      </c>
      <c r="N60" s="1" t="s">
        <v>170</v>
      </c>
      <c r="O60" s="1" t="s">
        <v>171</v>
      </c>
      <c r="P60" s="1" t="s">
        <v>88</v>
      </c>
      <c r="Q60" s="1" t="s">
        <v>172</v>
      </c>
      <c r="R60" s="1" t="s">
        <v>173</v>
      </c>
      <c r="S60" s="1" t="s">
        <v>209</v>
      </c>
      <c r="T60" s="1" t="s">
        <v>201</v>
      </c>
      <c r="U60" s="1" t="s">
        <v>176</v>
      </c>
      <c r="V60" s="1" t="s">
        <v>177</v>
      </c>
      <c r="W60" s="1" t="s">
        <v>178</v>
      </c>
      <c r="X60" s="1" t="s">
        <v>179</v>
      </c>
      <c r="Y60" s="1" t="s">
        <v>208</v>
      </c>
      <c r="Z60" s="1" t="s">
        <v>203</v>
      </c>
      <c r="AA60" s="1" t="s">
        <v>182</v>
      </c>
    </row>
    <row r="61" spans="1:27" x14ac:dyDescent="0.2">
      <c r="A61" s="38" t="s">
        <v>193</v>
      </c>
      <c r="B61" s="35">
        <v>130373</v>
      </c>
      <c r="C61" s="35">
        <v>37610</v>
      </c>
      <c r="D61" s="35">
        <v>2636</v>
      </c>
      <c r="E61">
        <v>0</v>
      </c>
      <c r="F61">
        <v>0</v>
      </c>
      <c r="G61" s="35">
        <v>32758</v>
      </c>
      <c r="H61" s="35">
        <v>23502</v>
      </c>
      <c r="I61" s="35">
        <v>50658</v>
      </c>
      <c r="J61" s="35">
        <v>18324</v>
      </c>
      <c r="K61" s="35">
        <v>295862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 s="38" t="s">
        <v>204</v>
      </c>
      <c r="B62" s="35">
        <v>8009</v>
      </c>
      <c r="C62" s="35">
        <v>10320</v>
      </c>
      <c r="D62" s="35">
        <v>4992</v>
      </c>
      <c r="E62" s="35">
        <v>7917</v>
      </c>
      <c r="F62" s="35">
        <v>4173</v>
      </c>
      <c r="G62">
        <v>0</v>
      </c>
      <c r="H62">
        <v>0</v>
      </c>
      <c r="I62">
        <v>0</v>
      </c>
      <c r="J62">
        <v>0</v>
      </c>
      <c r="K62" s="35">
        <v>35411</v>
      </c>
      <c r="L62">
        <v>0</v>
      </c>
      <c r="M62" s="35">
        <v>7182</v>
      </c>
      <c r="N62">
        <v>62</v>
      </c>
      <c r="O62" s="35">
        <v>2934</v>
      </c>
      <c r="P62" s="35">
        <v>2111</v>
      </c>
      <c r="Q62" s="35">
        <v>6630</v>
      </c>
      <c r="R62">
        <v>786</v>
      </c>
      <c r="S62">
        <v>0</v>
      </c>
      <c r="T62">
        <v>764</v>
      </c>
      <c r="U62" s="35">
        <v>2180</v>
      </c>
      <c r="V62" s="35">
        <v>3553</v>
      </c>
      <c r="W62">
        <v>0</v>
      </c>
      <c r="X62">
        <v>434</v>
      </c>
      <c r="Y62" s="35">
        <v>1605</v>
      </c>
      <c r="Z62" s="35">
        <v>1042</v>
      </c>
      <c r="AA62">
        <v>0</v>
      </c>
    </row>
    <row r="63" spans="1:27" x14ac:dyDescent="0.2">
      <c r="A63" s="1" t="s">
        <v>195</v>
      </c>
      <c r="B63">
        <v>-501</v>
      </c>
      <c r="C63">
        <v>0</v>
      </c>
      <c r="D63">
        <v>-150</v>
      </c>
      <c r="E63">
        <v>-222</v>
      </c>
      <c r="F63">
        <v>648</v>
      </c>
      <c r="G63">
        <v>0</v>
      </c>
      <c r="H63">
        <v>0</v>
      </c>
      <c r="I63">
        <v>0</v>
      </c>
      <c r="J63">
        <v>0</v>
      </c>
      <c r="K63">
        <v>-226</v>
      </c>
      <c r="L63">
        <v>-1</v>
      </c>
      <c r="M63">
        <v>-212</v>
      </c>
      <c r="N63">
        <v>-2</v>
      </c>
      <c r="O63">
        <v>-29</v>
      </c>
      <c r="P63">
        <v>46</v>
      </c>
      <c r="Q63">
        <v>96</v>
      </c>
      <c r="R63">
        <v>50</v>
      </c>
      <c r="S63">
        <v>0</v>
      </c>
      <c r="T63">
        <v>-20</v>
      </c>
      <c r="U63" s="35">
        <v>-2790</v>
      </c>
      <c r="V63">
        <v>0</v>
      </c>
      <c r="W63">
        <v>0</v>
      </c>
      <c r="X63">
        <v>160</v>
      </c>
      <c r="Y63">
        <v>-7</v>
      </c>
      <c r="Z63">
        <v>64</v>
      </c>
      <c r="AA63">
        <v>0</v>
      </c>
    </row>
    <row r="64" spans="1:27" x14ac:dyDescent="0.2">
      <c r="A64" s="1" t="s">
        <v>196</v>
      </c>
      <c r="B64" s="35">
        <v>137881</v>
      </c>
      <c r="C64" s="35">
        <v>47931</v>
      </c>
      <c r="D64" s="35">
        <v>7478</v>
      </c>
      <c r="E64" s="35">
        <v>7695</v>
      </c>
      <c r="F64" s="35">
        <v>4821</v>
      </c>
      <c r="G64" s="35">
        <v>32758</v>
      </c>
      <c r="H64" s="35">
        <v>23502</v>
      </c>
      <c r="I64" s="35">
        <v>50658</v>
      </c>
      <c r="J64" s="35">
        <v>18324</v>
      </c>
      <c r="K64" s="35">
        <v>331047</v>
      </c>
      <c r="L64">
        <v>-1</v>
      </c>
      <c r="M64" s="35">
        <v>6970</v>
      </c>
      <c r="N64">
        <v>61</v>
      </c>
      <c r="O64" s="35">
        <v>2904</v>
      </c>
      <c r="P64" s="35">
        <v>2157</v>
      </c>
      <c r="Q64" s="35">
        <v>6727</v>
      </c>
      <c r="R64">
        <v>835</v>
      </c>
      <c r="S64">
        <v>0</v>
      </c>
      <c r="T64">
        <v>744</v>
      </c>
      <c r="U64">
        <v>-609</v>
      </c>
      <c r="V64" s="35">
        <v>3553</v>
      </c>
      <c r="W64">
        <v>0</v>
      </c>
      <c r="X64">
        <v>595</v>
      </c>
      <c r="Y64" s="35">
        <v>1598</v>
      </c>
      <c r="Z64" s="35">
        <v>1106</v>
      </c>
      <c r="AA64">
        <v>0</v>
      </c>
    </row>
    <row r="65" spans="1:27" x14ac:dyDescent="0.2">
      <c r="A65" s="38" t="s">
        <v>205</v>
      </c>
      <c r="B65" s="35">
        <v>-43812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 s="35">
        <v>-43812</v>
      </c>
      <c r="L65">
        <v>0</v>
      </c>
      <c r="M65">
        <v>-706</v>
      </c>
      <c r="N65" s="35">
        <v>-6699</v>
      </c>
      <c r="O65">
        <v>-561</v>
      </c>
      <c r="P65">
        <v>0</v>
      </c>
      <c r="Q65">
        <v>0</v>
      </c>
      <c r="R65" s="35">
        <v>-2281</v>
      </c>
      <c r="S65">
        <v>0</v>
      </c>
      <c r="T65">
        <v>0</v>
      </c>
      <c r="U65">
        <v>0</v>
      </c>
      <c r="V65">
        <v>-45</v>
      </c>
      <c r="W65">
        <v>0</v>
      </c>
      <c r="X65">
        <v>-935</v>
      </c>
      <c r="Y65">
        <v>-406</v>
      </c>
      <c r="Z65">
        <v>-604</v>
      </c>
      <c r="AA65">
        <v>0</v>
      </c>
    </row>
    <row r="66" spans="1:27" x14ac:dyDescent="0.2">
      <c r="A66" s="1" t="s">
        <v>206</v>
      </c>
      <c r="B66">
        <v>0</v>
      </c>
      <c r="C66" s="35">
        <v>-1459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s="35">
        <v>-1459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 s="1" t="s">
        <v>199</v>
      </c>
      <c r="B67">
        <v>0</v>
      </c>
      <c r="C67" s="35">
        <v>-10903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 s="35">
        <v>-10903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9" spans="1:27" x14ac:dyDescent="0.2">
      <c r="A69" s="36">
        <v>2015</v>
      </c>
      <c r="B69" s="1" t="s">
        <v>215</v>
      </c>
    </row>
    <row r="70" spans="1:27" x14ac:dyDescent="0.2">
      <c r="A70" s="1" t="s">
        <v>157</v>
      </c>
      <c r="B70" s="1" t="s">
        <v>188</v>
      </c>
      <c r="C70" s="1" t="s">
        <v>159</v>
      </c>
      <c r="D70" s="1" t="s">
        <v>160</v>
      </c>
      <c r="E70" s="1" t="s">
        <v>161</v>
      </c>
      <c r="F70" s="1" t="s">
        <v>189</v>
      </c>
      <c r="G70" s="1" t="s">
        <v>200</v>
      </c>
      <c r="H70" s="1" t="s">
        <v>164</v>
      </c>
      <c r="I70" s="1" t="s">
        <v>165</v>
      </c>
      <c r="J70" s="1" t="s">
        <v>166</v>
      </c>
      <c r="K70" s="1" t="s">
        <v>167</v>
      </c>
      <c r="L70" s="1" t="s">
        <v>168</v>
      </c>
      <c r="M70" s="1" t="s">
        <v>169</v>
      </c>
      <c r="N70" s="1" t="s">
        <v>170</v>
      </c>
      <c r="O70" s="1" t="s">
        <v>171</v>
      </c>
      <c r="P70" s="1" t="s">
        <v>88</v>
      </c>
      <c r="Q70" s="1" t="s">
        <v>172</v>
      </c>
      <c r="R70" s="1" t="s">
        <v>173</v>
      </c>
      <c r="S70" s="1" t="s">
        <v>209</v>
      </c>
      <c r="T70" s="1" t="s">
        <v>201</v>
      </c>
      <c r="U70" s="1" t="s">
        <v>176</v>
      </c>
      <c r="V70" s="1" t="s">
        <v>177</v>
      </c>
      <c r="W70" s="1" t="s">
        <v>178</v>
      </c>
      <c r="X70" s="1" t="s">
        <v>179</v>
      </c>
      <c r="Y70" s="1" t="s">
        <v>208</v>
      </c>
      <c r="Z70" s="1" t="s">
        <v>203</v>
      </c>
      <c r="AA70" s="1" t="s">
        <v>182</v>
      </c>
    </row>
    <row r="71" spans="1:27" x14ac:dyDescent="0.2">
      <c r="A71" s="38" t="s">
        <v>193</v>
      </c>
      <c r="B71" s="35">
        <v>126127</v>
      </c>
      <c r="C71" s="35">
        <v>34871</v>
      </c>
      <c r="D71" s="35">
        <v>2459</v>
      </c>
      <c r="E71">
        <v>0</v>
      </c>
      <c r="F71">
        <v>512</v>
      </c>
      <c r="G71" s="35">
        <v>30938</v>
      </c>
      <c r="H71" s="35">
        <v>25075</v>
      </c>
      <c r="I71" s="35">
        <v>50400</v>
      </c>
      <c r="J71" s="35">
        <v>16743</v>
      </c>
      <c r="K71" s="35">
        <v>287126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 s="38" t="s">
        <v>204</v>
      </c>
      <c r="B72" s="35">
        <v>15377</v>
      </c>
      <c r="C72" s="35">
        <v>16198</v>
      </c>
      <c r="D72" s="35">
        <v>5638</v>
      </c>
      <c r="E72" s="35">
        <v>7625</v>
      </c>
      <c r="F72" s="35">
        <v>2159</v>
      </c>
      <c r="G72">
        <v>0</v>
      </c>
      <c r="H72">
        <v>0</v>
      </c>
      <c r="I72">
        <v>0</v>
      </c>
      <c r="J72">
        <v>0</v>
      </c>
      <c r="K72" s="35">
        <v>46997</v>
      </c>
      <c r="L72">
        <v>0</v>
      </c>
      <c r="M72" s="35">
        <v>5885</v>
      </c>
      <c r="N72">
        <v>339</v>
      </c>
      <c r="O72" s="35">
        <v>2260</v>
      </c>
      <c r="P72" s="35">
        <v>1950</v>
      </c>
      <c r="Q72" s="35">
        <v>6172</v>
      </c>
      <c r="R72" s="35">
        <v>1129</v>
      </c>
      <c r="S72">
        <v>0</v>
      </c>
      <c r="T72" s="35">
        <v>1584</v>
      </c>
      <c r="U72" s="35">
        <v>2729</v>
      </c>
      <c r="V72" s="35">
        <v>2979</v>
      </c>
      <c r="W72">
        <v>0</v>
      </c>
      <c r="X72">
        <v>432</v>
      </c>
      <c r="Y72" s="35">
        <v>2350</v>
      </c>
      <c r="Z72" s="35">
        <v>1160</v>
      </c>
      <c r="AA72">
        <v>0</v>
      </c>
    </row>
    <row r="73" spans="1:27" x14ac:dyDescent="0.2">
      <c r="A73" s="1" t="s">
        <v>195</v>
      </c>
      <c r="B73" s="35">
        <v>-1165</v>
      </c>
      <c r="C73">
        <v>0</v>
      </c>
      <c r="D73">
        <v>221</v>
      </c>
      <c r="E73">
        <v>56</v>
      </c>
      <c r="F73" s="35">
        <v>-1701</v>
      </c>
      <c r="G73">
        <v>0</v>
      </c>
      <c r="H73">
        <v>0</v>
      </c>
      <c r="I73">
        <v>0</v>
      </c>
      <c r="J73">
        <v>0</v>
      </c>
      <c r="K73" s="35">
        <v>-2590</v>
      </c>
      <c r="L73">
        <v>8</v>
      </c>
      <c r="M73">
        <v>313</v>
      </c>
      <c r="N73">
        <v>-28</v>
      </c>
      <c r="O73">
        <v>-3</v>
      </c>
      <c r="P73">
        <v>-2</v>
      </c>
      <c r="Q73">
        <v>66</v>
      </c>
      <c r="R73">
        <v>26</v>
      </c>
      <c r="S73">
        <v>0</v>
      </c>
      <c r="T73">
        <v>44</v>
      </c>
      <c r="U73">
        <v>155</v>
      </c>
      <c r="V73">
        <v>0</v>
      </c>
      <c r="W73">
        <v>0</v>
      </c>
      <c r="X73">
        <v>899</v>
      </c>
      <c r="Y73">
        <v>-22</v>
      </c>
      <c r="Z73">
        <v>34</v>
      </c>
      <c r="AA73">
        <v>0</v>
      </c>
    </row>
    <row r="74" spans="1:27" x14ac:dyDescent="0.2">
      <c r="A74" s="1" t="s">
        <v>196</v>
      </c>
      <c r="B74" s="35">
        <v>140339</v>
      </c>
      <c r="C74" s="35">
        <v>51069</v>
      </c>
      <c r="D74" s="35">
        <v>8317</v>
      </c>
      <c r="E74" s="35">
        <v>7681</v>
      </c>
      <c r="F74">
        <v>971</v>
      </c>
      <c r="G74" s="35">
        <v>30938</v>
      </c>
      <c r="H74" s="35">
        <v>25075</v>
      </c>
      <c r="I74" s="35">
        <v>50400</v>
      </c>
      <c r="J74" s="35">
        <v>16743</v>
      </c>
      <c r="K74" s="35">
        <v>331533</v>
      </c>
      <c r="L74">
        <v>8</v>
      </c>
      <c r="M74" s="35">
        <v>6199</v>
      </c>
      <c r="N74">
        <v>312</v>
      </c>
      <c r="O74" s="35">
        <v>2257</v>
      </c>
      <c r="P74" s="35">
        <v>1948</v>
      </c>
      <c r="Q74" s="35">
        <v>6238</v>
      </c>
      <c r="R74" s="35">
        <v>1155</v>
      </c>
      <c r="S74">
        <v>0</v>
      </c>
      <c r="T74" s="35">
        <v>1627</v>
      </c>
      <c r="U74" s="35">
        <v>2885</v>
      </c>
      <c r="V74" s="35">
        <v>2979</v>
      </c>
      <c r="W74">
        <v>0</v>
      </c>
      <c r="X74" s="35">
        <v>1331</v>
      </c>
      <c r="Y74" s="35">
        <v>2327</v>
      </c>
      <c r="Z74" s="35">
        <v>1194</v>
      </c>
      <c r="AA74">
        <v>0</v>
      </c>
    </row>
    <row r="75" spans="1:27" x14ac:dyDescent="0.2">
      <c r="A75" s="38" t="s">
        <v>205</v>
      </c>
      <c r="B75" s="35">
        <v>-38050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 s="35">
        <v>-38050</v>
      </c>
      <c r="L75">
        <v>0</v>
      </c>
      <c r="M75">
        <v>-651</v>
      </c>
      <c r="N75" s="35">
        <v>-7722</v>
      </c>
      <c r="O75">
        <v>-474</v>
      </c>
      <c r="P75">
        <v>-17</v>
      </c>
      <c r="Q75">
        <v>0</v>
      </c>
      <c r="R75" s="35">
        <v>-2440</v>
      </c>
      <c r="S75">
        <v>0</v>
      </c>
      <c r="T75">
        <v>0</v>
      </c>
      <c r="U75">
        <v>0</v>
      </c>
      <c r="V75">
        <v>-19</v>
      </c>
      <c r="W75">
        <v>0</v>
      </c>
      <c r="X75" s="35">
        <v>-1108</v>
      </c>
      <c r="Y75">
        <v>-385</v>
      </c>
      <c r="Z75">
        <v>-627</v>
      </c>
      <c r="AA75">
        <v>0</v>
      </c>
    </row>
    <row r="76" spans="1:27" x14ac:dyDescent="0.2">
      <c r="A76" s="1" t="s">
        <v>206</v>
      </c>
      <c r="B76">
        <v>0</v>
      </c>
      <c r="C76" s="35">
        <v>-1377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 s="35">
        <v>-1377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 s="1" t="s">
        <v>199</v>
      </c>
      <c r="B77">
        <v>0</v>
      </c>
      <c r="C77" s="35">
        <v>-8722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 s="35">
        <v>-8722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80" spans="1:27" x14ac:dyDescent="0.2">
      <c r="C80" s="1"/>
    </row>
    <row r="81" spans="1:4" x14ac:dyDescent="0.2">
      <c r="A81" s="38" t="s">
        <v>213</v>
      </c>
    </row>
    <row r="82" spans="1:4" x14ac:dyDescent="0.2">
      <c r="A82" t="s">
        <v>214</v>
      </c>
      <c r="B82" s="33">
        <f>1000*39683205.411201</f>
        <v>39683205411.201004</v>
      </c>
      <c r="D82" s="3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0CA66-D1E6-5845-9D25-B05B1AEE843E}">
  <dimension ref="A1:AK70"/>
  <sheetViews>
    <sheetView topLeftCell="A21" workbookViewId="0">
      <selection activeCell="J70" sqref="J70"/>
    </sheetView>
  </sheetViews>
  <sheetFormatPr baseColWidth="10" defaultRowHeight="15" x14ac:dyDescent="0.2"/>
  <cols>
    <col min="1" max="1" width="46.83203125" customWidth="1"/>
  </cols>
  <sheetData>
    <row r="1" spans="1:37" x14ac:dyDescent="0.2">
      <c r="A1" s="1" t="s">
        <v>210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37">
        <v>2021</v>
      </c>
      <c r="I1" s="1">
        <v>2022</v>
      </c>
      <c r="J1" s="37">
        <v>2023</v>
      </c>
      <c r="K1" s="1">
        <v>2024</v>
      </c>
      <c r="L1" s="37">
        <v>2025</v>
      </c>
      <c r="M1" s="1">
        <v>2026</v>
      </c>
      <c r="N1" s="37">
        <v>2027</v>
      </c>
      <c r="O1" s="1">
        <v>2028</v>
      </c>
      <c r="P1" s="37">
        <v>2029</v>
      </c>
      <c r="Q1" s="1">
        <v>2030</v>
      </c>
      <c r="R1" s="37">
        <v>2031</v>
      </c>
      <c r="S1" s="1">
        <v>2032</v>
      </c>
      <c r="T1" s="37">
        <v>2033</v>
      </c>
      <c r="U1" s="37">
        <v>2034</v>
      </c>
      <c r="V1" s="37">
        <v>2035</v>
      </c>
      <c r="W1" s="37">
        <v>2036</v>
      </c>
      <c r="X1" s="37">
        <v>2037</v>
      </c>
      <c r="Y1" s="37">
        <v>2038</v>
      </c>
      <c r="Z1" s="37">
        <v>2039</v>
      </c>
      <c r="AA1" s="37">
        <v>2040</v>
      </c>
      <c r="AB1" s="37">
        <v>2041</v>
      </c>
      <c r="AC1" s="37">
        <v>2042</v>
      </c>
      <c r="AD1" s="37">
        <v>2043</v>
      </c>
      <c r="AE1" s="37">
        <v>2044</v>
      </c>
      <c r="AF1" s="37">
        <v>2045</v>
      </c>
      <c r="AG1" s="37">
        <v>2046</v>
      </c>
      <c r="AH1" s="37">
        <v>2047</v>
      </c>
      <c r="AI1" s="37">
        <v>2048</v>
      </c>
      <c r="AJ1" s="37">
        <v>2049</v>
      </c>
      <c r="AK1" s="37">
        <v>2050</v>
      </c>
    </row>
    <row r="2" spans="1:37" x14ac:dyDescent="0.2">
      <c r="A2" s="1" t="s">
        <v>149</v>
      </c>
      <c r="B2" s="33">
        <v>0</v>
      </c>
      <c r="C2" s="33">
        <v>0</v>
      </c>
      <c r="D2" s="33">
        <v>0</v>
      </c>
      <c r="E2" s="33">
        <v>0</v>
      </c>
      <c r="F2" s="33">
        <v>0</v>
      </c>
      <c r="G2" s="33">
        <v>0</v>
      </c>
      <c r="H2" s="33">
        <f>G2</f>
        <v>0</v>
      </c>
      <c r="I2" s="33">
        <v>0</v>
      </c>
      <c r="J2" s="33">
        <v>0</v>
      </c>
      <c r="K2" s="33">
        <v>0</v>
      </c>
      <c r="L2" s="33">
        <v>0</v>
      </c>
      <c r="M2" s="33">
        <v>0</v>
      </c>
      <c r="N2" s="33">
        <v>0</v>
      </c>
      <c r="O2" s="33">
        <v>0</v>
      </c>
      <c r="P2" s="33">
        <v>0</v>
      </c>
      <c r="Q2" s="33">
        <v>0</v>
      </c>
      <c r="R2" s="33">
        <v>0</v>
      </c>
      <c r="S2" s="33">
        <v>0</v>
      </c>
      <c r="T2" s="33">
        <v>0</v>
      </c>
      <c r="U2" s="33">
        <v>0</v>
      </c>
      <c r="V2" s="33">
        <v>0</v>
      </c>
      <c r="W2" s="33">
        <v>0</v>
      </c>
      <c r="X2" s="33">
        <v>0</v>
      </c>
      <c r="Y2" s="33">
        <v>0</v>
      </c>
      <c r="Z2" s="33">
        <v>0</v>
      </c>
      <c r="AA2" s="33">
        <v>0</v>
      </c>
      <c r="AB2" s="33">
        <v>0</v>
      </c>
      <c r="AC2" s="33">
        <v>0</v>
      </c>
      <c r="AD2" s="33">
        <v>0</v>
      </c>
      <c r="AE2" s="33">
        <v>0</v>
      </c>
      <c r="AF2" s="33">
        <v>0</v>
      </c>
      <c r="AG2" s="33">
        <v>0</v>
      </c>
      <c r="AH2" s="33">
        <v>0</v>
      </c>
      <c r="AI2" s="33">
        <v>0</v>
      </c>
      <c r="AJ2" s="33">
        <v>0</v>
      </c>
      <c r="AK2" s="33">
        <v>0</v>
      </c>
    </row>
    <row r="3" spans="1:37" x14ac:dyDescent="0.2">
      <c r="A3" s="1" t="s">
        <v>55</v>
      </c>
      <c r="B3" s="33">
        <f>'Brazil Energy Balance'!$D$71*'Brazil Energy Balance'!$B$82 + 'Brazil Energy Balance'!$T$71*'Brazil Energy Balance'!$B$82</f>
        <v>97581002106143.266</v>
      </c>
      <c r="C3" s="33">
        <f>'Brazil Energy Balance'!D61*'Brazil Energy Balance'!B82  + 'Brazil Energy Balance'!T61*'Brazil Energy Balance'!B82</f>
        <v>104604929463925.84</v>
      </c>
      <c r="D3" s="33">
        <f>'Brazil Energy Balance'!D51*'Brazil Energy Balance'!B82  + 'Brazil Energy Balance'!T51*'Brazil Energy Balance'!B82</f>
        <v>76628269649029.141</v>
      </c>
      <c r="E3" s="33">
        <f>'Brazil Energy Balance'!D41*'Brazil Energy Balance'!B82  + 'Brazil Energy Balance'!T41*'Brazil Energy Balance'!B82</f>
        <v>76588586443617.938</v>
      </c>
      <c r="F3" s="33">
        <f>'Brazil Energy Balance'!D31*'Brazil Energy Balance'!B82  + 'Brazil Energy Balance'!T31*'Brazil Energy Balance'!B82</f>
        <v>85795090099016.578</v>
      </c>
      <c r="G3" s="33">
        <f>'Brazil Energy Balance'!D21*'Brazil Energy Balance'!B82  + 'Brazil Energy Balance'!T21*'Brazil Energy Balance'!B82</f>
        <v>82739483282354.094</v>
      </c>
      <c r="H3" s="33">
        <f t="shared" ref="H3:H22" si="0">G3</f>
        <v>82739483282354.094</v>
      </c>
      <c r="I3" s="33">
        <f>'Brazil Energy Balance'!D3*'Brazil Energy Balance'!B82  + 'Brazil Energy Balance'!T3*'Brazil Energy Balance'!B82</f>
        <v>91707887705285.516</v>
      </c>
      <c r="J3" s="33">
        <f>_xlfn.FORECAST.LINEAR(J$1,$B3:$I3,$B$1:$I$1)</f>
        <v>80714222549047</v>
      </c>
      <c r="K3" s="33">
        <f t="shared" ref="K3:AK4" si="1">_xlfn.FORECAST.LINEAR(K$1,$B3:$I3,$B$1:$I$1)</f>
        <v>79251140559065</v>
      </c>
      <c r="L3" s="33">
        <f t="shared" si="1"/>
        <v>77788058569083</v>
      </c>
      <c r="M3" s="33">
        <f t="shared" si="1"/>
        <v>76324976579101</v>
      </c>
      <c r="N3" s="33">
        <f t="shared" si="1"/>
        <v>74861894589119</v>
      </c>
      <c r="O3" s="33">
        <f t="shared" si="1"/>
        <v>73398812599137</v>
      </c>
      <c r="P3" s="33">
        <f t="shared" si="1"/>
        <v>71935730609155</v>
      </c>
      <c r="Q3" s="33">
        <f t="shared" si="1"/>
        <v>70472648619173</v>
      </c>
      <c r="R3" s="33">
        <f t="shared" si="1"/>
        <v>69009566629191</v>
      </c>
      <c r="S3" s="33">
        <f t="shared" si="1"/>
        <v>67546484639209</v>
      </c>
      <c r="T3" s="33">
        <f t="shared" si="1"/>
        <v>66083402649227</v>
      </c>
      <c r="U3" s="33">
        <f t="shared" si="1"/>
        <v>64620320659244.5</v>
      </c>
      <c r="V3" s="33">
        <f t="shared" si="1"/>
        <v>63157238669262.5</v>
      </c>
      <c r="W3" s="33">
        <f t="shared" si="1"/>
        <v>61694156679280.5</v>
      </c>
      <c r="X3" s="33">
        <f t="shared" si="1"/>
        <v>60231074689298.5</v>
      </c>
      <c r="Y3" s="33">
        <f t="shared" si="1"/>
        <v>58767992699316.5</v>
      </c>
      <c r="Z3" s="33">
        <f t="shared" si="1"/>
        <v>57304910709334.5</v>
      </c>
      <c r="AA3" s="33">
        <f t="shared" si="1"/>
        <v>55841828719352.5</v>
      </c>
      <c r="AB3" s="33">
        <f t="shared" si="1"/>
        <v>54378746729370.5</v>
      </c>
      <c r="AC3" s="33">
        <f t="shared" si="1"/>
        <v>52915664739388.5</v>
      </c>
      <c r="AD3" s="33">
        <f t="shared" si="1"/>
        <v>51452582749406.5</v>
      </c>
      <c r="AE3" s="33">
        <f t="shared" si="1"/>
        <v>49989500759424.5</v>
      </c>
      <c r="AF3" s="33">
        <f t="shared" si="1"/>
        <v>48526418769442.5</v>
      </c>
      <c r="AG3" s="33">
        <f t="shared" si="1"/>
        <v>47063336779460.5</v>
      </c>
      <c r="AH3" s="33">
        <f t="shared" si="1"/>
        <v>45600254789478.5</v>
      </c>
      <c r="AI3" s="33">
        <f t="shared" si="1"/>
        <v>44137172799496.5</v>
      </c>
      <c r="AJ3" s="33">
        <f t="shared" si="1"/>
        <v>42674090809514.5</v>
      </c>
      <c r="AK3" s="33">
        <f t="shared" si="1"/>
        <v>41211008819532.5</v>
      </c>
    </row>
    <row r="4" spans="1:37" x14ac:dyDescent="0.2">
      <c r="A4" s="1" t="s">
        <v>13</v>
      </c>
      <c r="B4" s="33">
        <f>'Brazil Energy Balance'!C71*'Brazil Energy Balance'!B82</f>
        <v>1383793055893990.2</v>
      </c>
      <c r="C4" s="33">
        <f>'Brazil Energy Balance'!C61*'Brazil Energy Balance'!B82</f>
        <v>1492485355515269.8</v>
      </c>
      <c r="D4" s="33">
        <f>'Brazil Energy Balance'!C51*'Brazil Energy Balance'!B82</f>
        <v>1579788407419912</v>
      </c>
      <c r="E4" s="33">
        <f>'Brazil Energy Balance'!C41*'Brazil Energy Balance'!B82</f>
        <v>1609550811478312.8</v>
      </c>
      <c r="F4" s="33">
        <f>'Brazil Energy Balance'!C31*'Brazil Energy Balance'!B82</f>
        <v>1761854953846502.2</v>
      </c>
      <c r="G4" s="33">
        <f>'Brazil Energy Balance'!C21*'Brazil Energy Balance'!B82</f>
        <v>1837292727333195.2</v>
      </c>
      <c r="H4" s="33">
        <f t="shared" si="0"/>
        <v>1837292727333195.2</v>
      </c>
      <c r="I4" s="33">
        <f>'Brazil Energy Balance'!C3*'Brazil Energy Balance'!B82</f>
        <v>1983009457603125.2</v>
      </c>
      <c r="J4" s="33">
        <f>_xlfn.FORECAST.LINEAR(J$1,$B4:$I4,$B$1:$I$1)</f>
        <v>2052242478472288</v>
      </c>
      <c r="K4" s="33">
        <f t="shared" si="1"/>
        <v>2133711154343264</v>
      </c>
      <c r="L4" s="33">
        <f t="shared" si="1"/>
        <v>2215179830214240</v>
      </c>
      <c r="M4" s="33">
        <f t="shared" si="1"/>
        <v>2296648506085216</v>
      </c>
      <c r="N4" s="33">
        <f t="shared" si="1"/>
        <v>2378117181956192</v>
      </c>
      <c r="O4" s="33">
        <f t="shared" si="1"/>
        <v>2459585857827168</v>
      </c>
      <c r="P4" s="33">
        <f t="shared" si="1"/>
        <v>2541054533698144</v>
      </c>
      <c r="Q4" s="33">
        <f t="shared" si="1"/>
        <v>2622523209569088</v>
      </c>
      <c r="R4" s="33">
        <f t="shared" si="1"/>
        <v>2703991885440064</v>
      </c>
      <c r="S4" s="33">
        <f t="shared" si="1"/>
        <v>2785460561311040</v>
      </c>
      <c r="T4" s="33">
        <f t="shared" si="1"/>
        <v>2866929237182016</v>
      </c>
      <c r="U4" s="33">
        <f t="shared" si="1"/>
        <v>2948397913052992</v>
      </c>
      <c r="V4" s="33">
        <f t="shared" si="1"/>
        <v>3029866588923968</v>
      </c>
      <c r="W4" s="33">
        <f t="shared" si="1"/>
        <v>3111335264794944</v>
      </c>
      <c r="X4" s="33">
        <f t="shared" si="1"/>
        <v>3192803940665920</v>
      </c>
      <c r="Y4" s="33">
        <f t="shared" si="1"/>
        <v>3274272616536864</v>
      </c>
      <c r="Z4" s="33">
        <f t="shared" si="1"/>
        <v>3355741292407840</v>
      </c>
      <c r="AA4" s="33">
        <f t="shared" si="1"/>
        <v>3437209968278816</v>
      </c>
      <c r="AB4" s="33">
        <f t="shared" si="1"/>
        <v>3518678644149792</v>
      </c>
      <c r="AC4" s="33">
        <f t="shared" si="1"/>
        <v>3600147320020768</v>
      </c>
      <c r="AD4" s="33">
        <f t="shared" si="1"/>
        <v>3681615995891744</v>
      </c>
      <c r="AE4" s="33">
        <f t="shared" si="1"/>
        <v>3763084671762720</v>
      </c>
      <c r="AF4" s="33">
        <f t="shared" si="1"/>
        <v>3844553347633664</v>
      </c>
      <c r="AG4" s="33">
        <f t="shared" si="1"/>
        <v>3926022023504640</v>
      </c>
      <c r="AH4" s="33">
        <f t="shared" si="1"/>
        <v>4007490699375616</v>
      </c>
      <c r="AI4" s="33">
        <f t="shared" si="1"/>
        <v>4088959375246592</v>
      </c>
      <c r="AJ4" s="33">
        <f t="shared" si="1"/>
        <v>4170428051117568</v>
      </c>
      <c r="AK4" s="33">
        <f t="shared" si="1"/>
        <v>4251896726988544</v>
      </c>
    </row>
    <row r="5" spans="1:37" x14ac:dyDescent="0.2">
      <c r="A5" s="1" t="s">
        <v>57</v>
      </c>
      <c r="B5" s="33">
        <f>'Brazil Energy Balance'!F71*'Brazil Energy Balance'!B82 + 'Brazil Energy Balance'!U71*'Brazil Energy Balance'!B82</f>
        <v>20317801170534.914</v>
      </c>
      <c r="C5" s="33">
        <f>'Brazil Energy Balance'!F61*'Brazil Energy Balance'!B82 + 'Brazil Energy Balance'!U61*'Brazil Energy Balance'!B82</f>
        <v>0</v>
      </c>
      <c r="D5" s="33">
        <f>'Brazil Energy Balance'!F51*'Brazil Energy Balance'!B82 + 'Brazil Energy Balance'!U51*'Brazil Energy Balance'!B82</f>
        <v>0</v>
      </c>
      <c r="E5" s="33">
        <f>'Brazil Energy Balance'!F41*'Brazil Energy Balance'!B82 + 'Brazil Energy Balance'!U41*'Brazil Energy Balance'!B82</f>
        <v>0</v>
      </c>
      <c r="F5" s="33">
        <f>'Brazil Energy Balance'!F31*'Brazil Energy Balance'!B82 + 'Brazil Energy Balance'!U31*'Brazil Energy Balance'!B82</f>
        <v>0</v>
      </c>
      <c r="G5" s="33">
        <f>'Brazil Energy Balance'!F21*'Brazil Energy Balance'!B82 + 'Brazil Energy Balance'!U21*'Brazil Energy Balance'!B82</f>
        <v>8174740314707.4072</v>
      </c>
      <c r="H5" s="33">
        <f t="shared" si="0"/>
        <v>8174740314707.4072</v>
      </c>
      <c r="I5" s="33">
        <f>H5</f>
        <v>8174740314707.4072</v>
      </c>
      <c r="J5" s="33">
        <f>I5</f>
        <v>8174740314707.4072</v>
      </c>
      <c r="K5" s="33">
        <f t="shared" ref="K5:AK5" si="2">J5</f>
        <v>8174740314707.4072</v>
      </c>
      <c r="L5" s="33">
        <f t="shared" si="2"/>
        <v>8174740314707.4072</v>
      </c>
      <c r="M5" s="33">
        <f t="shared" si="2"/>
        <v>8174740314707.4072</v>
      </c>
      <c r="N5" s="33">
        <f t="shared" si="2"/>
        <v>8174740314707.4072</v>
      </c>
      <c r="O5" s="33">
        <f t="shared" si="2"/>
        <v>8174740314707.4072</v>
      </c>
      <c r="P5" s="33">
        <f t="shared" si="2"/>
        <v>8174740314707.4072</v>
      </c>
      <c r="Q5" s="33">
        <f t="shared" si="2"/>
        <v>8174740314707.4072</v>
      </c>
      <c r="R5" s="33">
        <f t="shared" si="2"/>
        <v>8174740314707.4072</v>
      </c>
      <c r="S5" s="33">
        <f t="shared" si="2"/>
        <v>8174740314707.4072</v>
      </c>
      <c r="T5" s="33">
        <f t="shared" si="2"/>
        <v>8174740314707.4072</v>
      </c>
      <c r="U5" s="33">
        <f t="shared" si="2"/>
        <v>8174740314707.4072</v>
      </c>
      <c r="V5" s="33">
        <f t="shared" si="2"/>
        <v>8174740314707.4072</v>
      </c>
      <c r="W5" s="33">
        <f t="shared" si="2"/>
        <v>8174740314707.4072</v>
      </c>
      <c r="X5" s="33">
        <f t="shared" si="2"/>
        <v>8174740314707.4072</v>
      </c>
      <c r="Y5" s="33">
        <f t="shared" si="2"/>
        <v>8174740314707.4072</v>
      </c>
      <c r="Z5" s="33">
        <f t="shared" si="2"/>
        <v>8174740314707.4072</v>
      </c>
      <c r="AA5" s="33">
        <f t="shared" si="2"/>
        <v>8174740314707.4072</v>
      </c>
      <c r="AB5" s="33">
        <f t="shared" si="2"/>
        <v>8174740314707.4072</v>
      </c>
      <c r="AC5" s="33">
        <f t="shared" si="2"/>
        <v>8174740314707.4072</v>
      </c>
      <c r="AD5" s="33">
        <f t="shared" si="2"/>
        <v>8174740314707.4072</v>
      </c>
      <c r="AE5" s="33">
        <f t="shared" si="2"/>
        <v>8174740314707.4072</v>
      </c>
      <c r="AF5" s="33">
        <f t="shared" si="2"/>
        <v>8174740314707.4072</v>
      </c>
      <c r="AG5" s="33">
        <f t="shared" si="2"/>
        <v>8174740314707.4072</v>
      </c>
      <c r="AH5" s="33">
        <f t="shared" si="2"/>
        <v>8174740314707.4072</v>
      </c>
      <c r="AI5" s="33">
        <f t="shared" si="2"/>
        <v>8174740314707.4072</v>
      </c>
      <c r="AJ5" s="33">
        <f t="shared" si="2"/>
        <v>8174740314707.4072</v>
      </c>
      <c r="AK5" s="33">
        <f t="shared" si="2"/>
        <v>8174740314707.4072</v>
      </c>
    </row>
    <row r="6" spans="1:37" x14ac:dyDescent="0.2">
      <c r="A6" s="1" t="s">
        <v>150</v>
      </c>
      <c r="B6" s="33">
        <v>0</v>
      </c>
      <c r="C6" s="33">
        <v>0</v>
      </c>
      <c r="D6" s="33">
        <v>0</v>
      </c>
      <c r="E6" s="33">
        <v>0</v>
      </c>
      <c r="F6" s="33">
        <v>0</v>
      </c>
      <c r="G6" s="33">
        <v>0</v>
      </c>
      <c r="H6" s="33">
        <f t="shared" si="0"/>
        <v>0</v>
      </c>
      <c r="I6" s="33">
        <v>0</v>
      </c>
      <c r="J6" s="33">
        <v>0</v>
      </c>
      <c r="K6" s="33">
        <v>0</v>
      </c>
      <c r="L6" s="33">
        <v>0</v>
      </c>
      <c r="M6" s="33">
        <v>0</v>
      </c>
      <c r="N6" s="33">
        <v>0</v>
      </c>
      <c r="O6" s="33">
        <v>0</v>
      </c>
      <c r="P6" s="33">
        <v>0</v>
      </c>
      <c r="Q6" s="33">
        <v>0</v>
      </c>
      <c r="R6" s="33">
        <v>0</v>
      </c>
      <c r="S6" s="33">
        <v>0</v>
      </c>
      <c r="T6" s="33">
        <v>0</v>
      </c>
      <c r="U6" s="33">
        <v>0</v>
      </c>
      <c r="V6" s="33">
        <v>0</v>
      </c>
      <c r="W6" s="33">
        <v>0</v>
      </c>
      <c r="X6" s="33">
        <v>0</v>
      </c>
      <c r="Y6" s="33">
        <v>0</v>
      </c>
      <c r="Z6" s="33">
        <v>0</v>
      </c>
      <c r="AA6" s="33">
        <v>0</v>
      </c>
      <c r="AB6" s="33">
        <v>0</v>
      </c>
      <c r="AC6" s="33">
        <v>0</v>
      </c>
      <c r="AD6" s="33">
        <v>0</v>
      </c>
      <c r="AE6" s="33">
        <v>0</v>
      </c>
      <c r="AF6" s="33">
        <v>0</v>
      </c>
      <c r="AG6" s="33">
        <v>0</v>
      </c>
      <c r="AH6" s="33">
        <v>0</v>
      </c>
      <c r="AI6" s="33">
        <v>0</v>
      </c>
      <c r="AJ6" s="33">
        <v>0</v>
      </c>
      <c r="AK6" s="33">
        <v>0</v>
      </c>
    </row>
    <row r="7" spans="1:37" x14ac:dyDescent="0.2">
      <c r="A7" s="1" t="s">
        <v>151</v>
      </c>
      <c r="B7" s="33">
        <v>0</v>
      </c>
      <c r="C7" s="33">
        <v>0</v>
      </c>
      <c r="D7" s="33">
        <v>0</v>
      </c>
      <c r="E7" s="33">
        <v>0</v>
      </c>
      <c r="F7" s="33">
        <v>0</v>
      </c>
      <c r="G7" s="33">
        <v>0</v>
      </c>
      <c r="H7" s="33">
        <f t="shared" si="0"/>
        <v>0</v>
      </c>
      <c r="I7" s="33">
        <v>0</v>
      </c>
      <c r="J7" s="33">
        <v>0</v>
      </c>
      <c r="K7" s="33">
        <v>0</v>
      </c>
      <c r="L7" s="33">
        <v>0</v>
      </c>
      <c r="M7" s="33">
        <v>0</v>
      </c>
      <c r="N7" s="33">
        <v>0</v>
      </c>
      <c r="O7" s="33">
        <v>0</v>
      </c>
      <c r="P7" s="33">
        <v>0</v>
      </c>
      <c r="Q7" s="33">
        <v>0</v>
      </c>
      <c r="R7" s="33">
        <v>0</v>
      </c>
      <c r="S7" s="33">
        <v>0</v>
      </c>
      <c r="T7" s="33">
        <v>0</v>
      </c>
      <c r="U7" s="33">
        <v>0</v>
      </c>
      <c r="V7" s="33">
        <v>0</v>
      </c>
      <c r="W7" s="33">
        <v>0</v>
      </c>
      <c r="X7" s="33">
        <v>0</v>
      </c>
      <c r="Y7" s="33">
        <v>0</v>
      </c>
      <c r="Z7" s="33">
        <v>0</v>
      </c>
      <c r="AA7" s="33">
        <v>0</v>
      </c>
      <c r="AB7" s="33">
        <v>0</v>
      </c>
      <c r="AC7" s="33">
        <v>0</v>
      </c>
      <c r="AD7" s="33">
        <v>0</v>
      </c>
      <c r="AE7" s="33">
        <v>0</v>
      </c>
      <c r="AF7" s="33">
        <v>0</v>
      </c>
      <c r="AG7" s="33">
        <v>0</v>
      </c>
      <c r="AH7" s="33">
        <v>0</v>
      </c>
      <c r="AI7" s="33">
        <v>0</v>
      </c>
      <c r="AJ7" s="33">
        <v>0</v>
      </c>
      <c r="AK7" s="33">
        <v>0</v>
      </c>
    </row>
    <row r="8" spans="1:37" x14ac:dyDescent="0.2">
      <c r="A8" s="1" t="s">
        <v>152</v>
      </c>
      <c r="B8" s="33">
        <v>0</v>
      </c>
      <c r="C8" s="33">
        <v>0</v>
      </c>
      <c r="D8" s="33">
        <v>0</v>
      </c>
      <c r="E8" s="33">
        <v>0</v>
      </c>
      <c r="F8" s="33">
        <v>0</v>
      </c>
      <c r="G8" s="33">
        <v>0</v>
      </c>
      <c r="H8" s="33">
        <f t="shared" si="0"/>
        <v>0</v>
      </c>
      <c r="I8" s="33">
        <v>0</v>
      </c>
      <c r="J8" s="33">
        <v>0</v>
      </c>
      <c r="K8" s="33">
        <v>0</v>
      </c>
      <c r="L8" s="33">
        <v>0</v>
      </c>
      <c r="M8" s="33">
        <v>0</v>
      </c>
      <c r="N8" s="33">
        <v>0</v>
      </c>
      <c r="O8" s="33">
        <v>0</v>
      </c>
      <c r="P8" s="33">
        <v>0</v>
      </c>
      <c r="Q8" s="33">
        <v>0</v>
      </c>
      <c r="R8" s="33">
        <v>0</v>
      </c>
      <c r="S8" s="33">
        <v>0</v>
      </c>
      <c r="T8" s="33">
        <v>0</v>
      </c>
      <c r="U8" s="33">
        <v>0</v>
      </c>
      <c r="V8" s="33">
        <v>0</v>
      </c>
      <c r="W8" s="33">
        <v>0</v>
      </c>
      <c r="X8" s="33">
        <v>0</v>
      </c>
      <c r="Y8" s="33">
        <v>0</v>
      </c>
      <c r="Z8" s="33">
        <v>0</v>
      </c>
      <c r="AA8" s="33">
        <v>0</v>
      </c>
      <c r="AB8" s="33">
        <v>0</v>
      </c>
      <c r="AC8" s="33">
        <v>0</v>
      </c>
      <c r="AD8" s="33">
        <v>0</v>
      </c>
      <c r="AE8" s="33">
        <v>0</v>
      </c>
      <c r="AF8" s="33">
        <v>0</v>
      </c>
      <c r="AG8" s="33">
        <v>0</v>
      </c>
      <c r="AH8" s="33">
        <v>0</v>
      </c>
      <c r="AI8" s="33">
        <v>0</v>
      </c>
      <c r="AJ8" s="33">
        <v>0</v>
      </c>
      <c r="AK8" s="33">
        <v>0</v>
      </c>
    </row>
    <row r="9" spans="1:37" x14ac:dyDescent="0.2">
      <c r="A9" s="1" t="s">
        <v>15</v>
      </c>
      <c r="B9" s="33">
        <f>'Brazil Energy Balance'!H71*'Brazil Energy Balance'!B82</f>
        <v>995056375685865.12</v>
      </c>
      <c r="C9" s="33">
        <f>'Brazil Energy Balance'!H61*'Brazil Energy Balance'!B82</f>
        <v>932634693574046</v>
      </c>
      <c r="D9" s="33">
        <f>'Brazil Energy Balance'!H51*'Brazil Energy Balance'!B82</f>
        <v>986683219344101.75</v>
      </c>
      <c r="E9" s="33">
        <f>'Brazil Energy Balance'!H41*'Brazil Energy Balance'!B82</f>
        <v>1041684142044026.4</v>
      </c>
      <c r="F9" s="33">
        <f>'Brazil Energy Balance'!H31*'Brazil Energy Balance'!B82</f>
        <v>1048073138115229.8</v>
      </c>
      <c r="G9" s="33">
        <f>'Brazil Energy Balance'!H21*'Brazil Energy Balance'!B82</f>
        <v>1049898565564145</v>
      </c>
      <c r="H9" s="33">
        <f t="shared" si="0"/>
        <v>1049898565564145</v>
      </c>
      <c r="I9" s="33">
        <f>'Brazil Energy Balance'!H3*'Brazil Energy Balance'!B82</f>
        <v>1082676893233797</v>
      </c>
      <c r="J9" s="33">
        <f>_xlfn.FORECAST.LINEAR(J$1,$B9:$I9,$B$1:$I$1)</f>
        <v>1098095235793384</v>
      </c>
      <c r="K9" s="33">
        <f t="shared" ref="K9:AK9" si="3">_xlfn.FORECAST.LINEAR(K$1,$B9:$I9,$B$1:$I$1)</f>
        <v>1114710688382876</v>
      </c>
      <c r="L9" s="33">
        <f t="shared" si="3"/>
        <v>1131326140972368</v>
      </c>
      <c r="M9" s="33">
        <f t="shared" si="3"/>
        <v>1147941593561860</v>
      </c>
      <c r="N9" s="33">
        <f t="shared" si="3"/>
        <v>1164557046151356</v>
      </c>
      <c r="O9" s="33">
        <f t="shared" si="3"/>
        <v>1181172498740848</v>
      </c>
      <c r="P9" s="33">
        <f t="shared" si="3"/>
        <v>1197787951330340</v>
      </c>
      <c r="Q9" s="33">
        <f t="shared" si="3"/>
        <v>1214403403919832</v>
      </c>
      <c r="R9" s="33">
        <f t="shared" si="3"/>
        <v>1231018856509324</v>
      </c>
      <c r="S9" s="33">
        <f t="shared" si="3"/>
        <v>1247634309098816</v>
      </c>
      <c r="T9" s="33">
        <f t="shared" si="3"/>
        <v>1264249761688308</v>
      </c>
      <c r="U9" s="33">
        <f t="shared" si="3"/>
        <v>1280865214277800</v>
      </c>
      <c r="V9" s="33">
        <f t="shared" si="3"/>
        <v>1297480666867292</v>
      </c>
      <c r="W9" s="33">
        <f t="shared" si="3"/>
        <v>1314096119456784</v>
      </c>
      <c r="X9" s="33">
        <f t="shared" si="3"/>
        <v>1330711572046276</v>
      </c>
      <c r="Y9" s="33">
        <f t="shared" si="3"/>
        <v>1347327024635768</v>
      </c>
      <c r="Z9" s="33">
        <f t="shared" si="3"/>
        <v>1363942477225260</v>
      </c>
      <c r="AA9" s="33">
        <f t="shared" si="3"/>
        <v>1380557929814752</v>
      </c>
      <c r="AB9" s="33">
        <f t="shared" si="3"/>
        <v>1397173382404248</v>
      </c>
      <c r="AC9" s="33">
        <f t="shared" si="3"/>
        <v>1413788834993740</v>
      </c>
      <c r="AD9" s="33">
        <f t="shared" si="3"/>
        <v>1430404287583232</v>
      </c>
      <c r="AE9" s="33">
        <f t="shared" si="3"/>
        <v>1447019740172724</v>
      </c>
      <c r="AF9" s="33">
        <f t="shared" si="3"/>
        <v>1463635192762216</v>
      </c>
      <c r="AG9" s="33">
        <f t="shared" si="3"/>
        <v>1480250645351708</v>
      </c>
      <c r="AH9" s="33">
        <f t="shared" si="3"/>
        <v>1496866097941200</v>
      </c>
      <c r="AI9" s="33">
        <f t="shared" si="3"/>
        <v>1513481550530692</v>
      </c>
      <c r="AJ9" s="33">
        <f t="shared" si="3"/>
        <v>1530097003120184</v>
      </c>
      <c r="AK9" s="33">
        <f t="shared" si="3"/>
        <v>1546712455709676</v>
      </c>
    </row>
    <row r="10" spans="1:37" x14ac:dyDescent="0.2">
      <c r="A10" s="1" t="s">
        <v>19</v>
      </c>
      <c r="B10" s="33">
        <f>'Brazil Energy Balance'!O71*'Brazil Energy Balance'!B82</f>
        <v>0</v>
      </c>
      <c r="C10" s="33">
        <f>'Brazil Energy Balance'!O61*'Brazil Energy Balance'!B82</f>
        <v>0</v>
      </c>
      <c r="D10" s="33">
        <f>'Brazil Energy Balance'!O51*'Brazil Energy Balance'!B82</f>
        <v>0</v>
      </c>
      <c r="E10" s="33">
        <f>'Brazil Energy Balance'!O41*'Brazil Energy Balance'!B82</f>
        <v>0</v>
      </c>
      <c r="F10" s="33">
        <f>'Brazil Energy Balance'!O31*'Brazil Energy Balance'!B82</f>
        <v>0</v>
      </c>
      <c r="G10" s="33">
        <f>'Brazil Energy Balance'!O21*'Brazil Energy Balance'!B82</f>
        <v>0</v>
      </c>
      <c r="H10" s="33">
        <f t="shared" si="0"/>
        <v>0</v>
      </c>
      <c r="I10" s="33">
        <f>'Brazil Energy Balance'!O3*'Brazil Energy Balance'!B82</f>
        <v>0</v>
      </c>
      <c r="J10" s="33">
        <f>I10</f>
        <v>0</v>
      </c>
      <c r="K10" s="33">
        <f t="shared" ref="K10:AK12" si="4">J10</f>
        <v>0</v>
      </c>
      <c r="L10" s="33">
        <f t="shared" si="4"/>
        <v>0</v>
      </c>
      <c r="M10" s="33">
        <f t="shared" si="4"/>
        <v>0</v>
      </c>
      <c r="N10" s="33">
        <f t="shared" si="4"/>
        <v>0</v>
      </c>
      <c r="O10" s="33">
        <f t="shared" si="4"/>
        <v>0</v>
      </c>
      <c r="P10" s="33">
        <f t="shared" si="4"/>
        <v>0</v>
      </c>
      <c r="Q10" s="33">
        <f t="shared" si="4"/>
        <v>0</v>
      </c>
      <c r="R10" s="33">
        <f t="shared" si="4"/>
        <v>0</v>
      </c>
      <c r="S10" s="33">
        <f t="shared" si="4"/>
        <v>0</v>
      </c>
      <c r="T10" s="33">
        <f t="shared" si="4"/>
        <v>0</v>
      </c>
      <c r="U10" s="33">
        <f t="shared" si="4"/>
        <v>0</v>
      </c>
      <c r="V10" s="33">
        <f t="shared" si="4"/>
        <v>0</v>
      </c>
      <c r="W10" s="33">
        <f t="shared" si="4"/>
        <v>0</v>
      </c>
      <c r="X10" s="33">
        <f t="shared" si="4"/>
        <v>0</v>
      </c>
      <c r="Y10" s="33">
        <f t="shared" si="4"/>
        <v>0</v>
      </c>
      <c r="Z10" s="33">
        <f t="shared" si="4"/>
        <v>0</v>
      </c>
      <c r="AA10" s="33">
        <f t="shared" si="4"/>
        <v>0</v>
      </c>
      <c r="AB10" s="33">
        <f t="shared" si="4"/>
        <v>0</v>
      </c>
      <c r="AC10" s="33">
        <f t="shared" si="4"/>
        <v>0</v>
      </c>
      <c r="AD10" s="33">
        <f t="shared" si="4"/>
        <v>0</v>
      </c>
      <c r="AE10" s="33">
        <f t="shared" si="4"/>
        <v>0</v>
      </c>
      <c r="AF10" s="33">
        <f t="shared" si="4"/>
        <v>0</v>
      </c>
      <c r="AG10" s="33">
        <f t="shared" si="4"/>
        <v>0</v>
      </c>
      <c r="AH10" s="33">
        <f t="shared" si="4"/>
        <v>0</v>
      </c>
      <c r="AI10" s="33">
        <f t="shared" si="4"/>
        <v>0</v>
      </c>
      <c r="AJ10" s="33">
        <f t="shared" si="4"/>
        <v>0</v>
      </c>
      <c r="AK10" s="33">
        <f t="shared" si="4"/>
        <v>0</v>
      </c>
    </row>
    <row r="11" spans="1:37" x14ac:dyDescent="0.2">
      <c r="A11" s="1" t="s">
        <v>21</v>
      </c>
      <c r="B11" s="33">
        <f>'Brazil Energy Balance'!M71*'Brazil Energy Balance'!B82</f>
        <v>0</v>
      </c>
      <c r="C11" s="33">
        <f>'Brazil Energy Balance'!M61*'Brazil Energy Balance'!B82</f>
        <v>0</v>
      </c>
      <c r="D11" s="33">
        <f>'Brazil Energy Balance'!M51*'Brazil Energy Balance'!B82</f>
        <v>0</v>
      </c>
      <c r="E11" s="33">
        <f>'Brazil Energy Balance'!M41*'Brazil Energy Balance'!B82</f>
        <v>0</v>
      </c>
      <c r="F11" s="33">
        <f>'Brazil Energy Balance'!M31*'Brazil Energy Balance'!B82</f>
        <v>0</v>
      </c>
      <c r="G11" s="33">
        <f>'Brazil Energy Balance'!M21*'Brazil Energy Balance'!B82</f>
        <v>0</v>
      </c>
      <c r="H11" s="33">
        <f t="shared" si="0"/>
        <v>0</v>
      </c>
      <c r="I11" s="33">
        <f>'Brazil Energy Balance'!M3*'Brazil Energy Balance'!B82</f>
        <v>0</v>
      </c>
      <c r="J11" s="33">
        <f t="shared" ref="J11:Y12" si="5">I11</f>
        <v>0</v>
      </c>
      <c r="K11" s="33">
        <f t="shared" si="5"/>
        <v>0</v>
      </c>
      <c r="L11" s="33">
        <f t="shared" si="5"/>
        <v>0</v>
      </c>
      <c r="M11" s="33">
        <f t="shared" si="5"/>
        <v>0</v>
      </c>
      <c r="N11" s="33">
        <f t="shared" si="5"/>
        <v>0</v>
      </c>
      <c r="O11" s="33">
        <f t="shared" si="5"/>
        <v>0</v>
      </c>
      <c r="P11" s="33">
        <f t="shared" si="5"/>
        <v>0</v>
      </c>
      <c r="Q11" s="33">
        <f t="shared" si="5"/>
        <v>0</v>
      </c>
      <c r="R11" s="33">
        <f t="shared" si="5"/>
        <v>0</v>
      </c>
      <c r="S11" s="33">
        <f t="shared" si="5"/>
        <v>0</v>
      </c>
      <c r="T11" s="33">
        <f t="shared" si="5"/>
        <v>0</v>
      </c>
      <c r="U11" s="33">
        <f t="shared" si="5"/>
        <v>0</v>
      </c>
      <c r="V11" s="33">
        <f t="shared" si="5"/>
        <v>0</v>
      </c>
      <c r="W11" s="33">
        <f t="shared" si="5"/>
        <v>0</v>
      </c>
      <c r="X11" s="33">
        <f t="shared" si="5"/>
        <v>0</v>
      </c>
      <c r="Y11" s="33">
        <f t="shared" si="5"/>
        <v>0</v>
      </c>
      <c r="Z11" s="33">
        <f t="shared" si="4"/>
        <v>0</v>
      </c>
      <c r="AA11" s="33">
        <f t="shared" si="4"/>
        <v>0</v>
      </c>
      <c r="AB11" s="33">
        <f t="shared" si="4"/>
        <v>0</v>
      </c>
      <c r="AC11" s="33">
        <f t="shared" si="4"/>
        <v>0</v>
      </c>
      <c r="AD11" s="33">
        <f t="shared" si="4"/>
        <v>0</v>
      </c>
      <c r="AE11" s="33">
        <f t="shared" si="4"/>
        <v>0</v>
      </c>
      <c r="AF11" s="33">
        <f t="shared" si="4"/>
        <v>0</v>
      </c>
      <c r="AG11" s="33">
        <f t="shared" si="4"/>
        <v>0</v>
      </c>
      <c r="AH11" s="33">
        <f t="shared" si="4"/>
        <v>0</v>
      </c>
      <c r="AI11" s="33">
        <f t="shared" si="4"/>
        <v>0</v>
      </c>
      <c r="AJ11" s="33">
        <f t="shared" si="4"/>
        <v>0</v>
      </c>
      <c r="AK11" s="33">
        <f t="shared" si="4"/>
        <v>0</v>
      </c>
    </row>
    <row r="12" spans="1:37" x14ac:dyDescent="0.2">
      <c r="A12" s="1" t="s">
        <v>22</v>
      </c>
      <c r="B12" s="33">
        <f>'Brazil Energy Balance'!X71*'Brazil Energy Balance'!B82</f>
        <v>0</v>
      </c>
      <c r="C12" s="33">
        <f>'Brazil Energy Balance'!X61*'Brazil Energy Balance'!B82</f>
        <v>0</v>
      </c>
      <c r="D12" s="33">
        <f>'Brazil Energy Balance'!X51*'Brazil Energy Balance'!B82</f>
        <v>0</v>
      </c>
      <c r="E12" s="33">
        <f>'Brazil Energy Balance'!X41*'Brazil Energy Balance'!B82</f>
        <v>0</v>
      </c>
      <c r="F12" s="33">
        <f>'Brazil Energy Balance'!X31*'Brazil Energy Balance'!B82</f>
        <v>0</v>
      </c>
      <c r="G12" s="33">
        <f>'Brazil Energy Balance'!X21*'Brazil Energy Balance'!B82</f>
        <v>0</v>
      </c>
      <c r="H12" s="33">
        <f t="shared" si="0"/>
        <v>0</v>
      </c>
      <c r="I12" s="33">
        <f>'Brazil Energy Balance'!X3*'Brazil Energy Balance'!B82</f>
        <v>0</v>
      </c>
      <c r="J12" s="33">
        <f t="shared" si="5"/>
        <v>0</v>
      </c>
      <c r="K12" s="33">
        <f t="shared" si="4"/>
        <v>0</v>
      </c>
      <c r="L12" s="33">
        <f t="shared" si="4"/>
        <v>0</v>
      </c>
      <c r="M12" s="33">
        <f t="shared" si="4"/>
        <v>0</v>
      </c>
      <c r="N12" s="33">
        <f t="shared" si="4"/>
        <v>0</v>
      </c>
      <c r="O12" s="33">
        <f t="shared" si="4"/>
        <v>0</v>
      </c>
      <c r="P12" s="33">
        <f t="shared" si="4"/>
        <v>0</v>
      </c>
      <c r="Q12" s="33">
        <f t="shared" si="4"/>
        <v>0</v>
      </c>
      <c r="R12" s="33">
        <f t="shared" si="4"/>
        <v>0</v>
      </c>
      <c r="S12" s="33">
        <f t="shared" si="4"/>
        <v>0</v>
      </c>
      <c r="T12" s="33">
        <f t="shared" si="4"/>
        <v>0</v>
      </c>
      <c r="U12" s="33">
        <f t="shared" si="4"/>
        <v>0</v>
      </c>
      <c r="V12" s="33">
        <f t="shared" si="4"/>
        <v>0</v>
      </c>
      <c r="W12" s="33">
        <f t="shared" si="4"/>
        <v>0</v>
      </c>
      <c r="X12" s="33">
        <f t="shared" si="4"/>
        <v>0</v>
      </c>
      <c r="Y12" s="33">
        <f t="shared" si="4"/>
        <v>0</v>
      </c>
      <c r="Z12" s="33">
        <f t="shared" si="4"/>
        <v>0</v>
      </c>
      <c r="AA12" s="33">
        <f t="shared" si="4"/>
        <v>0</v>
      </c>
      <c r="AB12" s="33">
        <f t="shared" si="4"/>
        <v>0</v>
      </c>
      <c r="AC12" s="33">
        <f t="shared" si="4"/>
        <v>0</v>
      </c>
      <c r="AD12" s="33">
        <f t="shared" si="4"/>
        <v>0</v>
      </c>
      <c r="AE12" s="33">
        <f t="shared" si="4"/>
        <v>0</v>
      </c>
      <c r="AF12" s="33">
        <f t="shared" si="4"/>
        <v>0</v>
      </c>
      <c r="AG12" s="33">
        <f t="shared" si="4"/>
        <v>0</v>
      </c>
      <c r="AH12" s="33">
        <f t="shared" si="4"/>
        <v>0</v>
      </c>
      <c r="AI12" s="33">
        <f t="shared" si="4"/>
        <v>0</v>
      </c>
      <c r="AJ12" s="33">
        <f t="shared" si="4"/>
        <v>0</v>
      </c>
      <c r="AK12" s="33">
        <f t="shared" si="4"/>
        <v>0</v>
      </c>
    </row>
    <row r="13" spans="1:37" x14ac:dyDescent="0.2">
      <c r="A13" s="1" t="s">
        <v>23</v>
      </c>
      <c r="B13" s="33">
        <f>0</f>
        <v>0</v>
      </c>
      <c r="C13" s="33">
        <f>0</f>
        <v>0</v>
      </c>
      <c r="D13" s="33">
        <f>0</f>
        <v>0</v>
      </c>
      <c r="E13" s="33">
        <f>0</f>
        <v>0</v>
      </c>
      <c r="F13" s="33">
        <f>0</f>
        <v>0</v>
      </c>
      <c r="G13" s="33">
        <f>0</f>
        <v>0</v>
      </c>
      <c r="H13" s="33">
        <f t="shared" si="0"/>
        <v>0</v>
      </c>
      <c r="I13" s="33">
        <f>0</f>
        <v>0</v>
      </c>
      <c r="J13" s="33">
        <f>0</f>
        <v>0</v>
      </c>
      <c r="K13" s="33">
        <f>0</f>
        <v>0</v>
      </c>
      <c r="L13" s="33">
        <f>0</f>
        <v>0</v>
      </c>
      <c r="M13" s="33">
        <f>0</f>
        <v>0</v>
      </c>
      <c r="N13" s="33">
        <f>0</f>
        <v>0</v>
      </c>
      <c r="O13" s="33">
        <f>0</f>
        <v>0</v>
      </c>
      <c r="P13" s="33">
        <f>0</f>
        <v>0</v>
      </c>
      <c r="Q13" s="33">
        <f>0</f>
        <v>0</v>
      </c>
      <c r="R13" s="33">
        <f>0</f>
        <v>0</v>
      </c>
      <c r="S13" s="33">
        <f>0</f>
        <v>0</v>
      </c>
      <c r="T13" s="33">
        <f>0</f>
        <v>0</v>
      </c>
      <c r="U13" s="33">
        <f>0</f>
        <v>0</v>
      </c>
      <c r="V13" s="33">
        <f>0</f>
        <v>0</v>
      </c>
      <c r="W13" s="33">
        <f>0</f>
        <v>0</v>
      </c>
      <c r="X13" s="33">
        <f>0</f>
        <v>0</v>
      </c>
      <c r="Y13" s="33">
        <f>0</f>
        <v>0</v>
      </c>
      <c r="Z13" s="33">
        <f>0</f>
        <v>0</v>
      </c>
      <c r="AA13" s="33">
        <f>0</f>
        <v>0</v>
      </c>
      <c r="AB13" s="33">
        <f>0</f>
        <v>0</v>
      </c>
      <c r="AC13" s="33">
        <f>0</f>
        <v>0</v>
      </c>
      <c r="AD13" s="33">
        <f>0</f>
        <v>0</v>
      </c>
      <c r="AE13" s="33">
        <f>0</f>
        <v>0</v>
      </c>
      <c r="AF13" s="33">
        <f>0</f>
        <v>0</v>
      </c>
      <c r="AG13" s="33">
        <f>0</f>
        <v>0</v>
      </c>
      <c r="AH13" s="33">
        <f>0</f>
        <v>0</v>
      </c>
      <c r="AI13" s="33">
        <f>0</f>
        <v>0</v>
      </c>
      <c r="AJ13" s="33">
        <f>0</f>
        <v>0</v>
      </c>
      <c r="AK13" s="33">
        <f>0</f>
        <v>0</v>
      </c>
    </row>
    <row r="14" spans="1:37" x14ac:dyDescent="0.2">
      <c r="A14" s="1" t="s">
        <v>153</v>
      </c>
      <c r="B14" s="33">
        <f>'Brazil Energy Balance'!R71*'Brazil Energy Balance'!B82</f>
        <v>0</v>
      </c>
      <c r="C14" s="33">
        <f>'Brazil Energy Balance'!R61*'Brazil Energy Balance'!B82</f>
        <v>0</v>
      </c>
      <c r="D14" s="33">
        <f>'Brazil Energy Balance'!R51*'Brazil Energy Balance'!B82</f>
        <v>0</v>
      </c>
      <c r="E14" s="33">
        <f>'Brazil Energy Balance'!R41*'Brazil Energy Balance'!B82</f>
        <v>0</v>
      </c>
      <c r="F14" s="33">
        <f>'Brazil Energy Balance'!R31*'Brazil Energy Balance'!B82</f>
        <v>0</v>
      </c>
      <c r="G14" s="33">
        <f>'Brazil Energy Balance'!R21*'Brazil Energy Balance'!B82</f>
        <v>0</v>
      </c>
      <c r="H14" s="33">
        <f t="shared" si="0"/>
        <v>0</v>
      </c>
      <c r="I14" s="33">
        <f>'Brazil Energy Balance'!R3*'Brazil Energy Balance'!B82</f>
        <v>0</v>
      </c>
      <c r="J14" s="33">
        <f>I14</f>
        <v>0</v>
      </c>
      <c r="K14" s="33">
        <f t="shared" ref="K14:AK14" si="6">J14</f>
        <v>0</v>
      </c>
      <c r="L14" s="33">
        <f t="shared" si="6"/>
        <v>0</v>
      </c>
      <c r="M14" s="33">
        <f t="shared" si="6"/>
        <v>0</v>
      </c>
      <c r="N14" s="33">
        <f t="shared" si="6"/>
        <v>0</v>
      </c>
      <c r="O14" s="33">
        <f t="shared" si="6"/>
        <v>0</v>
      </c>
      <c r="P14" s="33">
        <f t="shared" si="6"/>
        <v>0</v>
      </c>
      <c r="Q14" s="33">
        <f t="shared" si="6"/>
        <v>0</v>
      </c>
      <c r="R14" s="33">
        <f t="shared" si="6"/>
        <v>0</v>
      </c>
      <c r="S14" s="33">
        <f t="shared" si="6"/>
        <v>0</v>
      </c>
      <c r="T14" s="33">
        <f t="shared" si="6"/>
        <v>0</v>
      </c>
      <c r="U14" s="33">
        <f t="shared" si="6"/>
        <v>0</v>
      </c>
      <c r="V14" s="33">
        <f t="shared" si="6"/>
        <v>0</v>
      </c>
      <c r="W14" s="33">
        <f t="shared" si="6"/>
        <v>0</v>
      </c>
      <c r="X14" s="33">
        <f t="shared" si="6"/>
        <v>0</v>
      </c>
      <c r="Y14" s="33">
        <f t="shared" si="6"/>
        <v>0</v>
      </c>
      <c r="Z14" s="33">
        <f t="shared" si="6"/>
        <v>0</v>
      </c>
      <c r="AA14" s="33">
        <f t="shared" si="6"/>
        <v>0</v>
      </c>
      <c r="AB14" s="33">
        <f t="shared" si="6"/>
        <v>0</v>
      </c>
      <c r="AC14" s="33">
        <f t="shared" si="6"/>
        <v>0</v>
      </c>
      <c r="AD14" s="33">
        <f t="shared" si="6"/>
        <v>0</v>
      </c>
      <c r="AE14" s="33">
        <f t="shared" si="6"/>
        <v>0</v>
      </c>
      <c r="AF14" s="33">
        <f t="shared" si="6"/>
        <v>0</v>
      </c>
      <c r="AG14" s="33">
        <f t="shared" si="6"/>
        <v>0</v>
      </c>
      <c r="AH14" s="33">
        <f t="shared" si="6"/>
        <v>0</v>
      </c>
      <c r="AI14" s="33">
        <f t="shared" si="6"/>
        <v>0</v>
      </c>
      <c r="AJ14" s="33">
        <f t="shared" si="6"/>
        <v>0</v>
      </c>
      <c r="AK14" s="33">
        <f t="shared" si="6"/>
        <v>0</v>
      </c>
    </row>
    <row r="15" spans="1:37" x14ac:dyDescent="0.2">
      <c r="A15" s="1" t="s">
        <v>154</v>
      </c>
      <c r="B15" s="33">
        <v>0</v>
      </c>
      <c r="C15" s="33">
        <v>0</v>
      </c>
      <c r="D15" s="33">
        <v>0</v>
      </c>
      <c r="E15" s="33">
        <v>0</v>
      </c>
      <c r="F15" s="33">
        <v>0</v>
      </c>
      <c r="G15" s="33">
        <v>0</v>
      </c>
      <c r="H15" s="33">
        <f t="shared" si="0"/>
        <v>0</v>
      </c>
      <c r="I15" s="33">
        <v>0</v>
      </c>
      <c r="J15" s="33">
        <v>0</v>
      </c>
      <c r="K15" s="33">
        <v>0</v>
      </c>
      <c r="L15" s="33">
        <v>0</v>
      </c>
      <c r="M15" s="33">
        <v>0</v>
      </c>
      <c r="N15" s="33">
        <v>0</v>
      </c>
      <c r="O15" s="33">
        <v>0</v>
      </c>
      <c r="P15" s="33">
        <v>0</v>
      </c>
      <c r="Q15" s="33">
        <v>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33">
        <v>0</v>
      </c>
      <c r="Y15" s="33">
        <v>0</v>
      </c>
      <c r="Z15" s="33">
        <v>0</v>
      </c>
      <c r="AA15" s="33">
        <v>0</v>
      </c>
      <c r="AB15" s="33">
        <v>0</v>
      </c>
      <c r="AC15" s="33">
        <v>0</v>
      </c>
      <c r="AD15" s="33">
        <v>0</v>
      </c>
      <c r="AE15" s="33">
        <v>0</v>
      </c>
      <c r="AF15" s="33">
        <v>0</v>
      </c>
      <c r="AG15" s="33">
        <v>0</v>
      </c>
      <c r="AH15" s="33">
        <v>0</v>
      </c>
      <c r="AI15" s="33">
        <v>0</v>
      </c>
      <c r="AJ15" s="33">
        <v>0</v>
      </c>
      <c r="AK15" s="33">
        <v>0</v>
      </c>
    </row>
    <row r="16" spans="1:37" x14ac:dyDescent="0.2">
      <c r="A16" s="1" t="s">
        <v>155</v>
      </c>
      <c r="B16" s="33">
        <v>0</v>
      </c>
      <c r="C16" s="33">
        <v>0</v>
      </c>
      <c r="D16" s="33">
        <v>0</v>
      </c>
      <c r="E16" s="33">
        <v>0</v>
      </c>
      <c r="F16" s="33">
        <v>0</v>
      </c>
      <c r="G16" s="33">
        <v>0</v>
      </c>
      <c r="H16" s="33">
        <f t="shared" si="0"/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0</v>
      </c>
      <c r="AB16" s="33">
        <v>0</v>
      </c>
      <c r="AC16" s="33">
        <v>0</v>
      </c>
      <c r="AD16" s="33">
        <v>0</v>
      </c>
      <c r="AE16" s="33">
        <v>0</v>
      </c>
      <c r="AF16" s="33">
        <v>0</v>
      </c>
      <c r="AG16" s="33">
        <v>0</v>
      </c>
      <c r="AH16" s="33">
        <v>0</v>
      </c>
      <c r="AI16" s="33">
        <v>0</v>
      </c>
      <c r="AJ16" s="33">
        <v>0</v>
      </c>
      <c r="AK16" s="33">
        <v>0</v>
      </c>
    </row>
    <row r="17" spans="1:37" x14ac:dyDescent="0.2">
      <c r="A17" s="1" t="s">
        <v>59</v>
      </c>
      <c r="B17" s="33">
        <v>0</v>
      </c>
      <c r="C17" s="33">
        <f>B17</f>
        <v>0</v>
      </c>
      <c r="D17" s="33">
        <f t="shared" ref="D17:AK17" si="7">C17</f>
        <v>0</v>
      </c>
      <c r="E17" s="33">
        <f t="shared" si="7"/>
        <v>0</v>
      </c>
      <c r="F17" s="33">
        <f t="shared" si="7"/>
        <v>0</v>
      </c>
      <c r="G17" s="33">
        <f t="shared" si="7"/>
        <v>0</v>
      </c>
      <c r="H17" s="33">
        <f t="shared" si="0"/>
        <v>0</v>
      </c>
      <c r="I17" s="33">
        <f t="shared" si="7"/>
        <v>0</v>
      </c>
      <c r="J17" s="33">
        <f t="shared" si="7"/>
        <v>0</v>
      </c>
      <c r="K17" s="33">
        <f t="shared" si="7"/>
        <v>0</v>
      </c>
      <c r="L17" s="33">
        <f t="shared" si="7"/>
        <v>0</v>
      </c>
      <c r="M17" s="33">
        <f t="shared" si="7"/>
        <v>0</v>
      </c>
      <c r="N17" s="33">
        <f t="shared" si="7"/>
        <v>0</v>
      </c>
      <c r="O17" s="33">
        <f t="shared" si="7"/>
        <v>0</v>
      </c>
      <c r="P17" s="33">
        <f t="shared" si="7"/>
        <v>0</v>
      </c>
      <c r="Q17" s="33">
        <f t="shared" si="7"/>
        <v>0</v>
      </c>
      <c r="R17" s="33">
        <f t="shared" si="7"/>
        <v>0</v>
      </c>
      <c r="S17" s="33">
        <f t="shared" si="7"/>
        <v>0</v>
      </c>
      <c r="T17" s="33">
        <f t="shared" si="7"/>
        <v>0</v>
      </c>
      <c r="U17" s="33">
        <f t="shared" si="7"/>
        <v>0</v>
      </c>
      <c r="V17" s="33">
        <f t="shared" si="7"/>
        <v>0</v>
      </c>
      <c r="W17" s="33">
        <f t="shared" si="7"/>
        <v>0</v>
      </c>
      <c r="X17" s="33">
        <f t="shared" si="7"/>
        <v>0</v>
      </c>
      <c r="Y17" s="33">
        <f t="shared" si="7"/>
        <v>0</v>
      </c>
      <c r="Z17" s="33">
        <f t="shared" si="7"/>
        <v>0</v>
      </c>
      <c r="AA17" s="33">
        <f t="shared" si="7"/>
        <v>0</v>
      </c>
      <c r="AB17" s="33">
        <f t="shared" si="7"/>
        <v>0</v>
      </c>
      <c r="AC17" s="33">
        <f t="shared" si="7"/>
        <v>0</v>
      </c>
      <c r="AD17" s="33">
        <f t="shared" si="7"/>
        <v>0</v>
      </c>
      <c r="AE17" s="33">
        <f t="shared" si="7"/>
        <v>0</v>
      </c>
      <c r="AF17" s="33">
        <f t="shared" si="7"/>
        <v>0</v>
      </c>
      <c r="AG17" s="33">
        <f t="shared" si="7"/>
        <v>0</v>
      </c>
      <c r="AH17" s="33">
        <f t="shared" si="7"/>
        <v>0</v>
      </c>
      <c r="AI17" s="33">
        <f t="shared" si="7"/>
        <v>0</v>
      </c>
      <c r="AJ17" s="33">
        <f t="shared" si="7"/>
        <v>0</v>
      </c>
      <c r="AK17" s="33">
        <f t="shared" si="7"/>
        <v>0</v>
      </c>
    </row>
    <row r="18" spans="1:37" x14ac:dyDescent="0.2">
      <c r="A18" s="1" t="s">
        <v>25</v>
      </c>
      <c r="B18" s="33">
        <f>'Brazil Energy Balance'!B71*'Brazil Energy Balance'!B82</f>
        <v>5005123648898549</v>
      </c>
      <c r="C18" s="33">
        <f>'Brazil Energy Balance'!B61*'Brazil Energy Balance'!B82</f>
        <v>5173618539074508</v>
      </c>
      <c r="D18" s="33">
        <f>'Brazil Energy Balance'!B51*'Brazil Energy Balance'!B82</f>
        <v>5393225397820095</v>
      </c>
      <c r="E18" s="33">
        <f>'Brazil Energy Balance'!B41*'Brazil Energy Balance'!B82</f>
        <v>5320208299863485</v>
      </c>
      <c r="F18" s="33">
        <f>'Brazil Energy Balance'!B31*'Brazil Energy Balance'!B82</f>
        <v>5726405590452538</v>
      </c>
      <c r="G18" s="33">
        <f>'Brazil Energy Balance'!B21*'Brazil Energy Balance'!B82</f>
        <v>6057046057938665</v>
      </c>
      <c r="H18" s="33">
        <f t="shared" si="0"/>
        <v>6057046057938665</v>
      </c>
      <c r="I18" s="33">
        <f>'Brazil Energy Balance'!B3*'Brazil Energy Balance'!B82</f>
        <v>6206373959901015</v>
      </c>
      <c r="J18" s="33">
        <f>_xlfn.FORECAST.LINEAR(J$1,$B18:$I18,$B$1:$I$1)</f>
        <v>6432928214108224</v>
      </c>
      <c r="K18" s="33">
        <f t="shared" ref="K18:AK18" si="8">_xlfn.FORECAST.LINEAR(K$1,$B18:$I18,$B$1:$I$1)</f>
        <v>6614160940802048</v>
      </c>
      <c r="L18" s="33">
        <f t="shared" si="8"/>
        <v>6795393667495872</v>
      </c>
      <c r="M18" s="33">
        <f t="shared" si="8"/>
        <v>6976626394189696</v>
      </c>
      <c r="N18" s="33">
        <f t="shared" si="8"/>
        <v>7157859120883584</v>
      </c>
      <c r="O18" s="33">
        <f t="shared" si="8"/>
        <v>7339091847577408</v>
      </c>
      <c r="P18" s="33">
        <f t="shared" si="8"/>
        <v>7520324574271232</v>
      </c>
      <c r="Q18" s="33">
        <f t="shared" si="8"/>
        <v>7701557300965120</v>
      </c>
      <c r="R18" s="33">
        <f t="shared" si="8"/>
        <v>7882790027658944</v>
      </c>
      <c r="S18" s="33">
        <f t="shared" si="8"/>
        <v>8064022754352768</v>
      </c>
      <c r="T18" s="33">
        <f t="shared" si="8"/>
        <v>8245255481046656</v>
      </c>
      <c r="U18" s="33">
        <f t="shared" si="8"/>
        <v>8426488207740480</v>
      </c>
      <c r="V18" s="33">
        <f t="shared" si="8"/>
        <v>8607720934434304</v>
      </c>
      <c r="W18" s="33">
        <f t="shared" si="8"/>
        <v>8788953661128128</v>
      </c>
      <c r="X18" s="33">
        <f t="shared" si="8"/>
        <v>8970186387822016</v>
      </c>
      <c r="Y18" s="33">
        <f t="shared" si="8"/>
        <v>9151419114515840</v>
      </c>
      <c r="Z18" s="33">
        <f t="shared" si="8"/>
        <v>9332651841209664</v>
      </c>
      <c r="AA18" s="33">
        <f t="shared" si="8"/>
        <v>9513884567903552</v>
      </c>
      <c r="AB18" s="33">
        <f t="shared" si="8"/>
        <v>9695117294597376</v>
      </c>
      <c r="AC18" s="33">
        <f t="shared" si="8"/>
        <v>9876350021291200</v>
      </c>
      <c r="AD18" s="33">
        <f t="shared" si="8"/>
        <v>1.0057582747985088E+16</v>
      </c>
      <c r="AE18" s="33">
        <f t="shared" si="8"/>
        <v>1.0238815474678912E+16</v>
      </c>
      <c r="AF18" s="33">
        <f t="shared" si="8"/>
        <v>1.0420048201372736E+16</v>
      </c>
      <c r="AG18" s="33">
        <f t="shared" si="8"/>
        <v>1.060128092806656E+16</v>
      </c>
      <c r="AH18" s="33">
        <f t="shared" si="8"/>
        <v>1.0782513654760448E+16</v>
      </c>
      <c r="AI18" s="33">
        <f t="shared" si="8"/>
        <v>1.0963746381454272E+16</v>
      </c>
      <c r="AJ18" s="33">
        <f t="shared" si="8"/>
        <v>1.1144979108148096E+16</v>
      </c>
      <c r="AK18" s="33">
        <f t="shared" si="8"/>
        <v>1.1326211834841984E+16</v>
      </c>
    </row>
    <row r="19" spans="1:37" x14ac:dyDescent="0.2">
      <c r="A19" s="1" t="s">
        <v>26</v>
      </c>
      <c r="B19" s="33">
        <f>'Brazil Energy Balance'!N71*'Brazil Energy Balance'!B82</f>
        <v>0</v>
      </c>
      <c r="C19" s="33">
        <f>'Brazil Energy Balance'!N61*'Brazil Energy Balance'!B82</f>
        <v>0</v>
      </c>
      <c r="D19" s="33">
        <f>'Brazil Energy Balance'!N51*'Brazil Energy Balance'!B82</f>
        <v>0</v>
      </c>
      <c r="E19" s="33">
        <f>'Brazil Energy Balance'!N41*'Brazil Energy Balance'!B82</f>
        <v>0</v>
      </c>
      <c r="F19" s="33">
        <f>'Brazil Energy Balance'!N31*'Brazil Energy Balance'!B82</f>
        <v>0</v>
      </c>
      <c r="G19" s="33">
        <f>'Brazil Energy Balance'!N31*'Brazil Energy Balance'!B82</f>
        <v>0</v>
      </c>
      <c r="H19" s="33">
        <f t="shared" si="0"/>
        <v>0</v>
      </c>
      <c r="I19" s="33">
        <f>'Brazil Energy Balance'!N3*'Brazil Energy Balance'!B82</f>
        <v>0</v>
      </c>
      <c r="J19" s="33">
        <f>I19</f>
        <v>0</v>
      </c>
      <c r="K19" s="33">
        <f t="shared" ref="K19:AK19" si="9">J19</f>
        <v>0</v>
      </c>
      <c r="L19" s="33">
        <f t="shared" si="9"/>
        <v>0</v>
      </c>
      <c r="M19" s="33">
        <f t="shared" si="9"/>
        <v>0</v>
      </c>
      <c r="N19" s="33">
        <f t="shared" si="9"/>
        <v>0</v>
      </c>
      <c r="O19" s="33">
        <f t="shared" si="9"/>
        <v>0</v>
      </c>
      <c r="P19" s="33">
        <f t="shared" si="9"/>
        <v>0</v>
      </c>
      <c r="Q19" s="33">
        <f t="shared" si="9"/>
        <v>0</v>
      </c>
      <c r="R19" s="33">
        <f t="shared" si="9"/>
        <v>0</v>
      </c>
      <c r="S19" s="33">
        <f t="shared" si="9"/>
        <v>0</v>
      </c>
      <c r="T19" s="33">
        <f t="shared" si="9"/>
        <v>0</v>
      </c>
      <c r="U19" s="33">
        <f t="shared" si="9"/>
        <v>0</v>
      </c>
      <c r="V19" s="33">
        <f t="shared" si="9"/>
        <v>0</v>
      </c>
      <c r="W19" s="33">
        <f t="shared" si="9"/>
        <v>0</v>
      </c>
      <c r="X19" s="33">
        <f t="shared" si="9"/>
        <v>0</v>
      </c>
      <c r="Y19" s="33">
        <f t="shared" si="9"/>
        <v>0</v>
      </c>
      <c r="Z19" s="33">
        <f t="shared" si="9"/>
        <v>0</v>
      </c>
      <c r="AA19" s="33">
        <f t="shared" si="9"/>
        <v>0</v>
      </c>
      <c r="AB19" s="33">
        <f t="shared" si="9"/>
        <v>0</v>
      </c>
      <c r="AC19" s="33">
        <f t="shared" si="9"/>
        <v>0</v>
      </c>
      <c r="AD19" s="33">
        <f t="shared" si="9"/>
        <v>0</v>
      </c>
      <c r="AE19" s="33">
        <f t="shared" si="9"/>
        <v>0</v>
      </c>
      <c r="AF19" s="33">
        <f t="shared" si="9"/>
        <v>0</v>
      </c>
      <c r="AG19" s="33">
        <f t="shared" si="9"/>
        <v>0</v>
      </c>
      <c r="AH19" s="33">
        <f t="shared" si="9"/>
        <v>0</v>
      </c>
      <c r="AI19" s="33">
        <f t="shared" si="9"/>
        <v>0</v>
      </c>
      <c r="AJ19" s="33">
        <f t="shared" si="9"/>
        <v>0</v>
      </c>
      <c r="AK19" s="33">
        <f t="shared" si="9"/>
        <v>0</v>
      </c>
    </row>
    <row r="20" spans="1:37" x14ac:dyDescent="0.2">
      <c r="A20" s="1" t="s">
        <v>27</v>
      </c>
      <c r="B20" s="33">
        <f>'Brazil Energy Balance'!P71*'Brazil Energy Balance'!B82</f>
        <v>0</v>
      </c>
      <c r="C20" s="33">
        <f>'Brazil Energy Balance'!P61*'Brazil Energy Balance'!B82</f>
        <v>0</v>
      </c>
      <c r="D20" s="33">
        <f>'Brazil Energy Balance'!P51*'Brazil Energy Balance'!B82</f>
        <v>0</v>
      </c>
      <c r="E20" s="33">
        <f>'Brazil Energy Balance'!P41*'Brazil Energy Balance'!B82</f>
        <v>0</v>
      </c>
      <c r="F20" s="33">
        <f>'Brazil Energy Balance'!P31*'Brazil Energy Balance'!B82</f>
        <v>0</v>
      </c>
      <c r="G20" s="33">
        <f>'Brazil Energy Balance'!P21*'Brazil Energy Balance'!B82</f>
        <v>0</v>
      </c>
      <c r="H20" s="33">
        <f t="shared" si="0"/>
        <v>0</v>
      </c>
      <c r="I20" s="33">
        <f>'Brazil Energy Balance'!N3*'Brazil Energy Balance'!B82</f>
        <v>0</v>
      </c>
      <c r="J20" s="33">
        <f>I20</f>
        <v>0</v>
      </c>
      <c r="K20" s="33">
        <f t="shared" ref="K20:AK20" si="10">J20</f>
        <v>0</v>
      </c>
      <c r="L20" s="33">
        <f t="shared" si="10"/>
        <v>0</v>
      </c>
      <c r="M20" s="33">
        <f t="shared" si="10"/>
        <v>0</v>
      </c>
      <c r="N20" s="33">
        <f t="shared" si="10"/>
        <v>0</v>
      </c>
      <c r="O20" s="33">
        <f t="shared" si="10"/>
        <v>0</v>
      </c>
      <c r="P20" s="33">
        <f t="shared" si="10"/>
        <v>0</v>
      </c>
      <c r="Q20" s="33">
        <f t="shared" si="10"/>
        <v>0</v>
      </c>
      <c r="R20" s="33">
        <f t="shared" si="10"/>
        <v>0</v>
      </c>
      <c r="S20" s="33">
        <f t="shared" si="10"/>
        <v>0</v>
      </c>
      <c r="T20" s="33">
        <f t="shared" si="10"/>
        <v>0</v>
      </c>
      <c r="U20" s="33">
        <f t="shared" si="10"/>
        <v>0</v>
      </c>
      <c r="V20" s="33">
        <f t="shared" si="10"/>
        <v>0</v>
      </c>
      <c r="W20" s="33">
        <f t="shared" si="10"/>
        <v>0</v>
      </c>
      <c r="X20" s="33">
        <f t="shared" si="10"/>
        <v>0</v>
      </c>
      <c r="Y20" s="33">
        <f t="shared" si="10"/>
        <v>0</v>
      </c>
      <c r="Z20" s="33">
        <f t="shared" si="10"/>
        <v>0</v>
      </c>
      <c r="AA20" s="33">
        <f t="shared" si="10"/>
        <v>0</v>
      </c>
      <c r="AB20" s="33">
        <f t="shared" si="10"/>
        <v>0</v>
      </c>
      <c r="AC20" s="33">
        <f t="shared" si="10"/>
        <v>0</v>
      </c>
      <c r="AD20" s="33">
        <f t="shared" si="10"/>
        <v>0</v>
      </c>
      <c r="AE20" s="33">
        <f t="shared" si="10"/>
        <v>0</v>
      </c>
      <c r="AF20" s="33">
        <f t="shared" si="10"/>
        <v>0</v>
      </c>
      <c r="AG20" s="33">
        <f t="shared" si="10"/>
        <v>0</v>
      </c>
      <c r="AH20" s="33">
        <f t="shared" si="10"/>
        <v>0</v>
      </c>
      <c r="AI20" s="33">
        <f t="shared" si="10"/>
        <v>0</v>
      </c>
      <c r="AJ20" s="33">
        <f t="shared" si="10"/>
        <v>0</v>
      </c>
      <c r="AK20" s="33">
        <f t="shared" si="10"/>
        <v>0</v>
      </c>
    </row>
    <row r="21" spans="1:37" x14ac:dyDescent="0.2">
      <c r="A21" s="1" t="s">
        <v>156</v>
      </c>
      <c r="B21" s="33">
        <f>0</f>
        <v>0</v>
      </c>
      <c r="C21" s="33">
        <f>0</f>
        <v>0</v>
      </c>
      <c r="D21" s="33">
        <f>0</f>
        <v>0</v>
      </c>
      <c r="E21" s="33">
        <f>0</f>
        <v>0</v>
      </c>
      <c r="F21" s="33">
        <f>0</f>
        <v>0</v>
      </c>
      <c r="G21" s="33">
        <f>0</f>
        <v>0</v>
      </c>
      <c r="H21" s="33">
        <f t="shared" si="0"/>
        <v>0</v>
      </c>
      <c r="I21" s="33">
        <f>0</f>
        <v>0</v>
      </c>
      <c r="J21" s="33">
        <f>0</f>
        <v>0</v>
      </c>
      <c r="K21" s="33">
        <f>0</f>
        <v>0</v>
      </c>
      <c r="L21" s="33">
        <f>0</f>
        <v>0</v>
      </c>
      <c r="M21" s="33">
        <f>0</f>
        <v>0</v>
      </c>
      <c r="N21" s="33">
        <f>0</f>
        <v>0</v>
      </c>
      <c r="O21" s="33">
        <f>0</f>
        <v>0</v>
      </c>
      <c r="P21" s="33">
        <f>0</f>
        <v>0</v>
      </c>
      <c r="Q21" s="33">
        <f>0</f>
        <v>0</v>
      </c>
      <c r="R21" s="33">
        <f>0</f>
        <v>0</v>
      </c>
      <c r="S21" s="33">
        <f>0</f>
        <v>0</v>
      </c>
      <c r="T21" s="33">
        <f>0</f>
        <v>0</v>
      </c>
      <c r="U21" s="33">
        <f>0</f>
        <v>0</v>
      </c>
      <c r="V21" s="33">
        <f>0</f>
        <v>0</v>
      </c>
      <c r="W21" s="33">
        <f>0</f>
        <v>0</v>
      </c>
      <c r="X21" s="33">
        <f>0</f>
        <v>0</v>
      </c>
      <c r="Y21" s="33">
        <f>0</f>
        <v>0</v>
      </c>
      <c r="Z21" s="33">
        <f>0</f>
        <v>0</v>
      </c>
      <c r="AA21" s="33">
        <f>0</f>
        <v>0</v>
      </c>
      <c r="AB21" s="33">
        <f>0</f>
        <v>0</v>
      </c>
      <c r="AC21" s="33">
        <f>0</f>
        <v>0</v>
      </c>
      <c r="AD21" s="33">
        <f>0</f>
        <v>0</v>
      </c>
      <c r="AE21" s="33">
        <f>0</f>
        <v>0</v>
      </c>
      <c r="AF21" s="33">
        <f>0</f>
        <v>0</v>
      </c>
      <c r="AG21" s="33">
        <f>0</f>
        <v>0</v>
      </c>
      <c r="AH21" s="33">
        <f>0</f>
        <v>0</v>
      </c>
      <c r="AI21" s="33">
        <f>0</f>
        <v>0</v>
      </c>
      <c r="AJ21" s="33">
        <f>0</f>
        <v>0</v>
      </c>
      <c r="AK21" s="33">
        <f>0</f>
        <v>0</v>
      </c>
    </row>
    <row r="22" spans="1:37" x14ac:dyDescent="0.2">
      <c r="A22" s="1" t="s">
        <v>63</v>
      </c>
      <c r="B22" s="33">
        <f>'Brazil Energy Balance'!C90*'Brazil Energy Balance'!B101</f>
        <v>0</v>
      </c>
      <c r="C22" s="33">
        <f>0</f>
        <v>0</v>
      </c>
      <c r="D22" s="33">
        <f>0</f>
        <v>0</v>
      </c>
      <c r="E22" s="33">
        <f>0</f>
        <v>0</v>
      </c>
      <c r="F22" s="33">
        <f>0</f>
        <v>0</v>
      </c>
      <c r="G22" s="33">
        <f>0</f>
        <v>0</v>
      </c>
      <c r="H22" s="33">
        <f t="shared" si="0"/>
        <v>0</v>
      </c>
      <c r="I22" s="33">
        <f>0</f>
        <v>0</v>
      </c>
      <c r="J22" s="33">
        <f>0</f>
        <v>0</v>
      </c>
      <c r="K22" s="33">
        <f>0</f>
        <v>0</v>
      </c>
      <c r="L22" s="33">
        <f>0</f>
        <v>0</v>
      </c>
      <c r="M22" s="33">
        <f>0</f>
        <v>0</v>
      </c>
      <c r="N22" s="33">
        <f>0</f>
        <v>0</v>
      </c>
      <c r="O22" s="33">
        <f>0</f>
        <v>0</v>
      </c>
      <c r="P22" s="33">
        <f>0</f>
        <v>0</v>
      </c>
      <c r="Q22" s="33">
        <f>0</f>
        <v>0</v>
      </c>
      <c r="R22" s="33">
        <f>0</f>
        <v>0</v>
      </c>
      <c r="S22" s="33">
        <f>0</f>
        <v>0</v>
      </c>
      <c r="T22" s="33">
        <f>0</f>
        <v>0</v>
      </c>
      <c r="U22" s="33">
        <f>0</f>
        <v>0</v>
      </c>
      <c r="V22" s="33">
        <f>0</f>
        <v>0</v>
      </c>
      <c r="W22" s="33">
        <f>0</f>
        <v>0</v>
      </c>
      <c r="X22" s="33">
        <f>0</f>
        <v>0</v>
      </c>
      <c r="Y22" s="33">
        <f>0</f>
        <v>0</v>
      </c>
      <c r="Z22" s="33">
        <f>0</f>
        <v>0</v>
      </c>
      <c r="AA22" s="33">
        <f>0</f>
        <v>0</v>
      </c>
      <c r="AB22" s="33">
        <f>0</f>
        <v>0</v>
      </c>
      <c r="AC22" s="33">
        <f>0</f>
        <v>0</v>
      </c>
      <c r="AD22" s="33">
        <f>0</f>
        <v>0</v>
      </c>
      <c r="AE22" s="33">
        <f>0</f>
        <v>0</v>
      </c>
      <c r="AF22" s="33">
        <f>0</f>
        <v>0</v>
      </c>
      <c r="AG22" s="33">
        <f>0</f>
        <v>0</v>
      </c>
      <c r="AH22" s="33">
        <f>0</f>
        <v>0</v>
      </c>
      <c r="AI22" s="33">
        <f>0</f>
        <v>0</v>
      </c>
      <c r="AJ22" s="33">
        <f>0</f>
        <v>0</v>
      </c>
      <c r="AK22" s="33">
        <f>0</f>
        <v>0</v>
      </c>
    </row>
    <row r="25" spans="1:37" x14ac:dyDescent="0.2">
      <c r="A25" s="1" t="s">
        <v>211</v>
      </c>
      <c r="B25" s="1">
        <v>2015</v>
      </c>
      <c r="C25" s="1">
        <v>2016</v>
      </c>
      <c r="D25" s="1">
        <v>2017</v>
      </c>
      <c r="E25" s="1">
        <v>2018</v>
      </c>
      <c r="F25" s="1">
        <v>2019</v>
      </c>
      <c r="G25" s="1">
        <v>2020</v>
      </c>
      <c r="H25" s="37">
        <v>2021</v>
      </c>
      <c r="I25" s="1">
        <v>2022</v>
      </c>
      <c r="J25" s="37">
        <v>2023</v>
      </c>
      <c r="K25" s="1">
        <v>2024</v>
      </c>
      <c r="L25" s="37">
        <v>2025</v>
      </c>
      <c r="M25" s="1">
        <v>2026</v>
      </c>
      <c r="N25" s="37">
        <v>2027</v>
      </c>
      <c r="O25" s="1">
        <v>2028</v>
      </c>
      <c r="P25" s="37">
        <v>2029</v>
      </c>
      <c r="Q25" s="1">
        <v>2030</v>
      </c>
      <c r="R25" s="37">
        <v>2031</v>
      </c>
      <c r="S25" s="1">
        <v>2032</v>
      </c>
      <c r="T25" s="37">
        <v>2033</v>
      </c>
      <c r="U25" s="37">
        <v>2034</v>
      </c>
      <c r="V25" s="37">
        <v>2035</v>
      </c>
      <c r="W25" s="37">
        <v>2036</v>
      </c>
      <c r="X25" s="37">
        <v>2037</v>
      </c>
      <c r="Y25" s="37">
        <v>2038</v>
      </c>
      <c r="Z25" s="37">
        <v>2039</v>
      </c>
      <c r="AA25" s="37">
        <v>2040</v>
      </c>
      <c r="AB25" s="37">
        <v>2041</v>
      </c>
      <c r="AC25" s="37">
        <v>2042</v>
      </c>
      <c r="AD25" s="37">
        <v>2043</v>
      </c>
      <c r="AE25" s="37">
        <v>2044</v>
      </c>
      <c r="AF25" s="37">
        <v>2045</v>
      </c>
      <c r="AG25" s="37">
        <v>2046</v>
      </c>
      <c r="AH25" s="37">
        <v>2047</v>
      </c>
      <c r="AI25" s="37">
        <v>2048</v>
      </c>
      <c r="AJ25" s="37">
        <v>2049</v>
      </c>
      <c r="AK25" s="37">
        <v>2050</v>
      </c>
    </row>
    <row r="26" spans="1:37" x14ac:dyDescent="0.2">
      <c r="A26" s="1" t="s">
        <v>149</v>
      </c>
      <c r="B26" s="33">
        <v>0</v>
      </c>
      <c r="C26" s="33">
        <v>0</v>
      </c>
      <c r="D26" s="33">
        <v>0</v>
      </c>
      <c r="E26" s="33">
        <v>0</v>
      </c>
      <c r="F26" s="33">
        <v>0</v>
      </c>
      <c r="G26" s="33">
        <v>0</v>
      </c>
      <c r="H26" s="33">
        <f>G26</f>
        <v>0</v>
      </c>
      <c r="I26" s="33">
        <v>0</v>
      </c>
      <c r="J26" s="33">
        <v>0</v>
      </c>
      <c r="K26" s="33">
        <v>0</v>
      </c>
      <c r="L26" s="33">
        <v>0</v>
      </c>
      <c r="M26" s="33">
        <v>0</v>
      </c>
      <c r="N26" s="33">
        <v>0</v>
      </c>
      <c r="O26" s="33">
        <v>0</v>
      </c>
      <c r="P26" s="33">
        <v>0</v>
      </c>
      <c r="Q26" s="33">
        <v>0</v>
      </c>
      <c r="R26" s="33">
        <v>0</v>
      </c>
      <c r="S26" s="33">
        <v>0</v>
      </c>
      <c r="T26" s="33">
        <v>0</v>
      </c>
      <c r="U26" s="33">
        <v>0</v>
      </c>
      <c r="V26" s="33">
        <v>0</v>
      </c>
      <c r="W26" s="33">
        <v>0</v>
      </c>
      <c r="X26" s="33">
        <v>0</v>
      </c>
      <c r="Y26" s="33">
        <v>0</v>
      </c>
      <c r="Z26" s="33">
        <v>0</v>
      </c>
      <c r="AA26" s="33">
        <v>0</v>
      </c>
      <c r="AB26" s="33">
        <v>0</v>
      </c>
      <c r="AC26" s="33">
        <v>0</v>
      </c>
      <c r="AD26" s="33">
        <v>0</v>
      </c>
      <c r="AE26" s="33">
        <v>0</v>
      </c>
      <c r="AF26" s="33">
        <v>0</v>
      </c>
      <c r="AG26" s="33">
        <v>0</v>
      </c>
      <c r="AH26" s="33">
        <v>0</v>
      </c>
      <c r="AI26" s="33">
        <v>0</v>
      </c>
      <c r="AJ26" s="33">
        <v>0</v>
      </c>
      <c r="AK26" s="33">
        <v>0</v>
      </c>
    </row>
    <row r="27" spans="1:37" x14ac:dyDescent="0.2">
      <c r="A27" s="1" t="s">
        <v>55</v>
      </c>
      <c r="B27" s="33">
        <f>'Brazil Energy Balance'!D72*'Brazil Energy Balance'!B82 + 'Brazil Energy Balance'!T72*'Brazil Energy Balance'!B82</f>
        <v>286592109479693.62</v>
      </c>
      <c r="C27" s="33">
        <f>'Brazil Energy Balance'!D62*'Brazil Energy Balance'!B82  + 'Brazil Energy Balance'!T62*'Brazil Energy Balance'!B82</f>
        <v>228416530346872.97</v>
      </c>
      <c r="D27" s="33">
        <f>'Brazil Energy Balance'!D52*'Brazil Energy Balance'!B182  + 'Brazil Energy Balance'!T52*'Brazil Energy Balance'!B82</f>
        <v>42103880941284.266</v>
      </c>
      <c r="E27" s="33">
        <f>'Brazil Energy Balance'!D42*'Brazil Energy Balance'!B82  + 'Brazil Energy Balance'!T42*'Brazil Energy Balance'!B82</f>
        <v>272702987585773.28</v>
      </c>
      <c r="F27" s="33">
        <f>'Brazil Energy Balance'!D32*'Brazil Energy Balance'!B82  + 'Brazil Energy Balance'!T32*'Brazil Energy Balance'!B82</f>
        <v>230281641001199.44</v>
      </c>
      <c r="G27" s="33">
        <f>'Brazil Energy Balance'!D22*'Brazil Energy Balance'!B82  + 'Brazil Energy Balance'!T22*'Brazil Energy Balance'!B82</f>
        <v>191828614957745.66</v>
      </c>
      <c r="H27" s="33">
        <f t="shared" ref="H27:H46" si="11">G27</f>
        <v>191828614957745.66</v>
      </c>
      <c r="I27" s="33">
        <f>'Brazil Energy Balance'!D4*'Brazil Energy Balance'!B82  + 'Brazil Energy Balance'!T4*'Brazil Energy Balance'!B82</f>
        <v>172185428279201.16</v>
      </c>
      <c r="J27" s="33">
        <f>_xlfn.FORECAST.LINEAR(J$25,$B27:$I27,$B$25:$I$25)</f>
        <v>171079967557032</v>
      </c>
      <c r="K27" s="33">
        <f t="shared" ref="K27:AK29" si="12">_xlfn.FORECAST.LINEAR(K$25,$B27:$I27,$B$25:$I$25)</f>
        <v>164210521248886</v>
      </c>
      <c r="L27" s="33">
        <f t="shared" si="12"/>
        <v>157341074940740</v>
      </c>
      <c r="M27" s="33">
        <f t="shared" si="12"/>
        <v>150471628632594</v>
      </c>
      <c r="N27" s="33">
        <f t="shared" si="12"/>
        <v>143602182324448</v>
      </c>
      <c r="O27" s="33">
        <f t="shared" si="12"/>
        <v>136732736016302</v>
      </c>
      <c r="P27" s="33">
        <f t="shared" si="12"/>
        <v>129863289708156</v>
      </c>
      <c r="Q27" s="33">
        <f t="shared" si="12"/>
        <v>122993843400010</v>
      </c>
      <c r="R27" s="33">
        <f t="shared" si="12"/>
        <v>116124397091864</v>
      </c>
      <c r="S27" s="33">
        <f t="shared" si="12"/>
        <v>109254950783718</v>
      </c>
      <c r="T27" s="33">
        <f t="shared" si="12"/>
        <v>102385504475572</v>
      </c>
      <c r="U27" s="33">
        <f t="shared" si="12"/>
        <v>95516058167426</v>
      </c>
      <c r="V27" s="33">
        <f t="shared" si="12"/>
        <v>88646611859280</v>
      </c>
      <c r="W27" s="33">
        <f t="shared" si="12"/>
        <v>81777165551134</v>
      </c>
      <c r="X27" s="33">
        <f t="shared" si="12"/>
        <v>74907719242988</v>
      </c>
      <c r="Y27" s="33">
        <f t="shared" si="12"/>
        <v>68038272934842</v>
      </c>
      <c r="Z27" s="33">
        <f t="shared" si="12"/>
        <v>61168826626696</v>
      </c>
      <c r="AA27" s="33">
        <f t="shared" si="12"/>
        <v>54299380318548</v>
      </c>
      <c r="AB27" s="33">
        <f t="shared" si="12"/>
        <v>47429934010402</v>
      </c>
      <c r="AC27" s="33">
        <f t="shared" si="12"/>
        <v>40560487702256</v>
      </c>
      <c r="AD27" s="33">
        <f t="shared" si="12"/>
        <v>33691041394110</v>
      </c>
      <c r="AE27" s="33">
        <f t="shared" si="12"/>
        <v>26821595085964</v>
      </c>
      <c r="AF27" s="33">
        <f t="shared" si="12"/>
        <v>19952148777818</v>
      </c>
      <c r="AG27" s="33">
        <f t="shared" si="12"/>
        <v>13082702469672</v>
      </c>
      <c r="AH27" s="33">
        <f t="shared" si="12"/>
        <v>6213256161526</v>
      </c>
      <c r="AI27" s="33">
        <f>AH27</f>
        <v>6213256161526</v>
      </c>
      <c r="AJ27" s="33">
        <f t="shared" ref="AJ27:AK27" si="13">AI27</f>
        <v>6213256161526</v>
      </c>
      <c r="AK27" s="33">
        <f t="shared" si="13"/>
        <v>6213256161526</v>
      </c>
    </row>
    <row r="28" spans="1:37" x14ac:dyDescent="0.2">
      <c r="A28" s="1" t="s">
        <v>13</v>
      </c>
      <c r="B28" s="33">
        <f>'Brazil Energy Balance'!C72*'Brazil Energy Balance'!B82</f>
        <v>642788561250633.88</v>
      </c>
      <c r="C28" s="33">
        <f>'Brazil Energy Balance'!C62*'Brazil Energy Balance'!B82</f>
        <v>409530679843594.38</v>
      </c>
      <c r="D28" s="33">
        <f>'Brazil Energy Balance'!C52*'Brazil Energy Balance'!B82</f>
        <v>374371359849270.25</v>
      </c>
      <c r="E28" s="33">
        <f>'Brazil Energy Balance'!C42*'Brazil Energy Balance'!B82</f>
        <v>370006207254038.19</v>
      </c>
      <c r="F28" s="33">
        <f>'Brazil Energy Balance'!C32*'Brazil Energy Balance'!B82</f>
        <v>342386696287842.25</v>
      </c>
      <c r="G28" s="33">
        <f>'Brazil Energy Balance'!C22*'Brazil Energy Balance'!B82</f>
        <v>335640551367938.06</v>
      </c>
      <c r="H28" s="33">
        <f t="shared" si="11"/>
        <v>335640551367938.06</v>
      </c>
      <c r="I28" s="33">
        <f>'Brazil Energy Balance'!C4*'Brazil Energy Balance'!B82</f>
        <v>306433712185294.12</v>
      </c>
      <c r="J28" s="33">
        <f t="shared" ref="J28:Y29" si="14">_xlfn.FORECAST.LINEAR(J$25,$B28:$I28,$B$25:$I$25)</f>
        <v>235970511948360</v>
      </c>
      <c r="K28" s="33">
        <f t="shared" si="14"/>
        <v>201830672397816</v>
      </c>
      <c r="L28" s="33">
        <f t="shared" si="14"/>
        <v>167690832847264</v>
      </c>
      <c r="M28" s="33">
        <f t="shared" si="14"/>
        <v>133550993296720</v>
      </c>
      <c r="N28" s="33">
        <f t="shared" si="14"/>
        <v>99411153746176</v>
      </c>
      <c r="O28" s="33">
        <f t="shared" si="14"/>
        <v>65271314195632</v>
      </c>
      <c r="P28" s="33">
        <f t="shared" si="14"/>
        <v>31131474645080</v>
      </c>
      <c r="Q28" s="33">
        <f>$P$28</f>
        <v>31131474645080</v>
      </c>
      <c r="R28" s="33">
        <f t="shared" ref="R28:AK28" si="15">$P$28</f>
        <v>31131474645080</v>
      </c>
      <c r="S28" s="33">
        <f t="shared" si="15"/>
        <v>31131474645080</v>
      </c>
      <c r="T28" s="33">
        <f t="shared" si="15"/>
        <v>31131474645080</v>
      </c>
      <c r="U28" s="33">
        <f t="shared" si="15"/>
        <v>31131474645080</v>
      </c>
      <c r="V28" s="33">
        <f t="shared" si="15"/>
        <v>31131474645080</v>
      </c>
      <c r="W28" s="33">
        <f t="shared" si="15"/>
        <v>31131474645080</v>
      </c>
      <c r="X28" s="33">
        <f t="shared" si="15"/>
        <v>31131474645080</v>
      </c>
      <c r="Y28" s="33">
        <f t="shared" si="15"/>
        <v>31131474645080</v>
      </c>
      <c r="Z28" s="33">
        <f t="shared" si="15"/>
        <v>31131474645080</v>
      </c>
      <c r="AA28" s="33">
        <f t="shared" si="15"/>
        <v>31131474645080</v>
      </c>
      <c r="AB28" s="33">
        <f t="shared" si="15"/>
        <v>31131474645080</v>
      </c>
      <c r="AC28" s="33">
        <f t="shared" si="15"/>
        <v>31131474645080</v>
      </c>
      <c r="AD28" s="33">
        <f t="shared" si="15"/>
        <v>31131474645080</v>
      </c>
      <c r="AE28" s="33">
        <f t="shared" si="15"/>
        <v>31131474645080</v>
      </c>
      <c r="AF28" s="33">
        <f t="shared" si="15"/>
        <v>31131474645080</v>
      </c>
      <c r="AG28" s="33">
        <f t="shared" si="15"/>
        <v>31131474645080</v>
      </c>
      <c r="AH28" s="33">
        <f t="shared" si="15"/>
        <v>31131474645080</v>
      </c>
      <c r="AI28" s="33">
        <f t="shared" si="15"/>
        <v>31131474645080</v>
      </c>
      <c r="AJ28" s="33">
        <f t="shared" si="15"/>
        <v>31131474645080</v>
      </c>
      <c r="AK28" s="33">
        <f t="shared" si="15"/>
        <v>31131474645080</v>
      </c>
    </row>
    <row r="29" spans="1:37" x14ac:dyDescent="0.2">
      <c r="A29" s="1" t="s">
        <v>57</v>
      </c>
      <c r="B29" s="33">
        <f>'Brazil Energy Balance'!F72*'Brazil Energy Balance'!B82 + 'Brazil Energy Balance'!U72*'Brazil Energy Balance'!B82</f>
        <v>193971508049950.5</v>
      </c>
      <c r="C29" s="33">
        <f>'Brazil Energy Balance'!F62*'Brazil Energy Balance'!B82 + 'Brazil Energy Balance'!U62*'Brazil Energy Balance'!B82</f>
        <v>252107403977359.97</v>
      </c>
      <c r="D29" s="33">
        <f>'Brazil Energy Balance'!F52*'Brazil Energy Balance'!B82 + 'Brazil Energy Balance'!U52*'Brazil Energy Balance'!B82</f>
        <v>328140425545221.12</v>
      </c>
      <c r="E29" s="33">
        <f>'Brazil Energy Balance'!F42*'Brazil Energy Balance'!B82 + 'Brazil Energy Balance'!U42*'Brazil Energy Balance'!B82</f>
        <v>248654965106585.5</v>
      </c>
      <c r="F29" s="33">
        <f>'Brazil Energy Balance'!F32*'Brazil Energy Balance'!B82 + 'Brazil Energy Balance'!U32*'Brazil Energy Balance'!B82</f>
        <v>251670888717836.75</v>
      </c>
      <c r="G29" s="33">
        <f>'Brazil Energy Balance'!F22*'Brazil Energy Balance'!B82 + 'Brazil Energy Balance'!U22*'Brazil Energy Balance'!B82</f>
        <v>289409617063888.94</v>
      </c>
      <c r="H29" s="33">
        <f t="shared" si="11"/>
        <v>289409617063888.94</v>
      </c>
      <c r="I29" s="33">
        <f>'Brazil Energy Balance'!F4*'Brazil Energy Balance'!B82 + 'Brazil Energy Balance'!U4*'Brazil Energy Balance'!B82</f>
        <v>235757923347945.19</v>
      </c>
      <c r="J29" s="33">
        <f t="shared" si="14"/>
        <v>280738836681542</v>
      </c>
      <c r="K29" s="33">
        <f t="shared" si="12"/>
        <v>285094068475421</v>
      </c>
      <c r="L29" s="33">
        <f t="shared" si="12"/>
        <v>289449300269301</v>
      </c>
      <c r="M29" s="33">
        <f t="shared" si="12"/>
        <v>293804532063180</v>
      </c>
      <c r="N29" s="33">
        <f t="shared" si="12"/>
        <v>298159763857059</v>
      </c>
      <c r="O29" s="33">
        <f t="shared" si="12"/>
        <v>302514995650939</v>
      </c>
      <c r="P29" s="33">
        <f t="shared" si="12"/>
        <v>306870227444818</v>
      </c>
      <c r="Q29" s="33">
        <f t="shared" si="12"/>
        <v>311225459238697</v>
      </c>
      <c r="R29" s="33">
        <f t="shared" si="12"/>
        <v>315580691032577</v>
      </c>
      <c r="S29" s="33">
        <f t="shared" si="12"/>
        <v>319935922826456</v>
      </c>
      <c r="T29" s="33">
        <f t="shared" si="12"/>
        <v>324291154620335</v>
      </c>
      <c r="U29" s="33">
        <f t="shared" si="12"/>
        <v>328646386414215</v>
      </c>
      <c r="V29" s="33">
        <f t="shared" si="12"/>
        <v>333001618208094</v>
      </c>
      <c r="W29" s="33">
        <f t="shared" si="12"/>
        <v>337356850001973</v>
      </c>
      <c r="X29" s="33">
        <f t="shared" si="12"/>
        <v>341712081795853</v>
      </c>
      <c r="Y29" s="33">
        <f t="shared" si="12"/>
        <v>346067313589732</v>
      </c>
      <c r="Z29" s="33">
        <f t="shared" si="12"/>
        <v>350422545383611</v>
      </c>
      <c r="AA29" s="33">
        <f t="shared" si="12"/>
        <v>354777777177490</v>
      </c>
      <c r="AB29" s="33">
        <f t="shared" si="12"/>
        <v>359133008971370</v>
      </c>
      <c r="AC29" s="33">
        <f t="shared" si="12"/>
        <v>363488240765249</v>
      </c>
      <c r="AD29" s="33">
        <f t="shared" si="12"/>
        <v>367843472559128</v>
      </c>
      <c r="AE29" s="33">
        <f t="shared" si="12"/>
        <v>372198704353008</v>
      </c>
      <c r="AF29" s="33">
        <f t="shared" si="12"/>
        <v>376553936146887</v>
      </c>
      <c r="AG29" s="33">
        <f t="shared" si="12"/>
        <v>380909167940766</v>
      </c>
      <c r="AH29" s="33">
        <f t="shared" si="12"/>
        <v>385264399734646</v>
      </c>
      <c r="AI29" s="33">
        <f t="shared" si="12"/>
        <v>389619631528525</v>
      </c>
      <c r="AJ29" s="33">
        <f t="shared" si="12"/>
        <v>393974863322404</v>
      </c>
      <c r="AK29" s="33">
        <f t="shared" si="12"/>
        <v>398330095116284</v>
      </c>
    </row>
    <row r="30" spans="1:37" x14ac:dyDescent="0.2">
      <c r="A30" s="1" t="s">
        <v>150</v>
      </c>
      <c r="B30" s="33">
        <v>0</v>
      </c>
      <c r="C30" s="33">
        <v>0</v>
      </c>
      <c r="D30" s="33">
        <v>0</v>
      </c>
      <c r="E30" s="33">
        <v>0</v>
      </c>
      <c r="F30" s="33">
        <v>0</v>
      </c>
      <c r="G30" s="33">
        <v>0</v>
      </c>
      <c r="H30" s="33">
        <f t="shared" si="11"/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0</v>
      </c>
      <c r="P30" s="33">
        <v>0</v>
      </c>
      <c r="Q30" s="33">
        <v>0</v>
      </c>
      <c r="R30" s="33">
        <v>0</v>
      </c>
      <c r="S30" s="33">
        <v>0</v>
      </c>
      <c r="T30" s="33">
        <v>0</v>
      </c>
      <c r="U30" s="33">
        <v>0</v>
      </c>
      <c r="V30" s="33">
        <v>0</v>
      </c>
      <c r="W30" s="33">
        <v>0</v>
      </c>
      <c r="X30" s="33">
        <v>0</v>
      </c>
      <c r="Y30" s="33">
        <v>0</v>
      </c>
      <c r="Z30" s="33">
        <v>0</v>
      </c>
      <c r="AA30" s="33">
        <v>0</v>
      </c>
      <c r="AB30" s="33">
        <v>0</v>
      </c>
      <c r="AC30" s="33">
        <v>0</v>
      </c>
      <c r="AD30" s="33">
        <v>0</v>
      </c>
      <c r="AE30" s="33">
        <v>0</v>
      </c>
      <c r="AF30" s="33">
        <v>0</v>
      </c>
      <c r="AG30" s="33">
        <v>0</v>
      </c>
      <c r="AH30" s="33">
        <v>0</v>
      </c>
      <c r="AI30" s="33">
        <v>0</v>
      </c>
      <c r="AJ30" s="33">
        <v>0</v>
      </c>
      <c r="AK30" s="33">
        <v>0</v>
      </c>
    </row>
    <row r="31" spans="1:37" x14ac:dyDescent="0.2">
      <c r="A31" s="1" t="s">
        <v>151</v>
      </c>
      <c r="B31" s="33">
        <v>0</v>
      </c>
      <c r="C31" s="33">
        <v>0</v>
      </c>
      <c r="D31" s="33">
        <v>0</v>
      </c>
      <c r="E31" s="33">
        <v>0</v>
      </c>
      <c r="F31" s="33">
        <v>0</v>
      </c>
      <c r="G31" s="33">
        <v>0</v>
      </c>
      <c r="H31" s="33">
        <f t="shared" si="11"/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  <c r="AC31" s="33">
        <v>0</v>
      </c>
      <c r="AD31" s="33">
        <v>0</v>
      </c>
      <c r="AE31" s="33">
        <v>0</v>
      </c>
      <c r="AF31" s="33">
        <v>0</v>
      </c>
      <c r="AG31" s="33">
        <v>0</v>
      </c>
      <c r="AH31" s="33">
        <v>0</v>
      </c>
      <c r="AI31" s="33">
        <v>0</v>
      </c>
      <c r="AJ31" s="33">
        <v>0</v>
      </c>
      <c r="AK31" s="33">
        <v>0</v>
      </c>
    </row>
    <row r="32" spans="1:37" x14ac:dyDescent="0.2">
      <c r="A32" s="1" t="s">
        <v>152</v>
      </c>
      <c r="B32" s="33">
        <v>0</v>
      </c>
      <c r="C32" s="33">
        <v>0</v>
      </c>
      <c r="D32" s="33">
        <v>0</v>
      </c>
      <c r="E32" s="33">
        <v>0</v>
      </c>
      <c r="F32" s="33">
        <v>0</v>
      </c>
      <c r="G32" s="33">
        <v>0</v>
      </c>
      <c r="H32" s="33">
        <f t="shared" si="11"/>
        <v>0</v>
      </c>
      <c r="I32" s="33">
        <v>0</v>
      </c>
      <c r="J32" s="33">
        <v>0</v>
      </c>
      <c r="K32" s="33">
        <v>0</v>
      </c>
      <c r="L32" s="33">
        <v>0</v>
      </c>
      <c r="M32" s="33">
        <v>0</v>
      </c>
      <c r="N32" s="33">
        <v>0</v>
      </c>
      <c r="O32" s="33">
        <v>0</v>
      </c>
      <c r="P32" s="33">
        <v>0</v>
      </c>
      <c r="Q32" s="33">
        <v>0</v>
      </c>
      <c r="R32" s="33">
        <v>0</v>
      </c>
      <c r="S32" s="33">
        <v>0</v>
      </c>
      <c r="T32" s="33">
        <v>0</v>
      </c>
      <c r="U32" s="33">
        <v>0</v>
      </c>
      <c r="V32" s="33">
        <v>0</v>
      </c>
      <c r="W32" s="33">
        <v>0</v>
      </c>
      <c r="X32" s="33">
        <v>0</v>
      </c>
      <c r="Y32" s="33">
        <v>0</v>
      </c>
      <c r="Z32" s="33">
        <v>0</v>
      </c>
      <c r="AA32" s="33">
        <v>0</v>
      </c>
      <c r="AB32" s="33">
        <v>0</v>
      </c>
      <c r="AC32" s="33">
        <v>0</v>
      </c>
      <c r="AD32" s="33">
        <v>0</v>
      </c>
      <c r="AE32" s="33">
        <v>0</v>
      </c>
      <c r="AF32" s="33">
        <v>0</v>
      </c>
      <c r="AG32" s="33">
        <v>0</v>
      </c>
      <c r="AH32" s="33">
        <v>0</v>
      </c>
      <c r="AI32" s="33">
        <v>0</v>
      </c>
      <c r="AJ32" s="33">
        <v>0</v>
      </c>
      <c r="AK32" s="33">
        <v>0</v>
      </c>
    </row>
    <row r="33" spans="1:37" x14ac:dyDescent="0.2">
      <c r="A33" s="1" t="s">
        <v>15</v>
      </c>
      <c r="B33" s="33">
        <f>'Brazil Energy Balance'!H72*'Brazil Energy Balance'!B82</f>
        <v>0</v>
      </c>
      <c r="C33" s="33">
        <f>'Brazil Energy Balance'!H62*'Brazil Energy Balance'!B82</f>
        <v>0</v>
      </c>
      <c r="D33" s="33">
        <f>'Brazil Energy Balance'!H52*'Brazil Energy Balance'!B82</f>
        <v>0</v>
      </c>
      <c r="E33" s="33">
        <f>'Brazil Energy Balance'!H42*'Brazil Energy Balance'!B82</f>
        <v>0</v>
      </c>
      <c r="F33" s="33">
        <f>'Brazil Energy Balance'!H32*'Brazil Energy Balance'!B82</f>
        <v>0</v>
      </c>
      <c r="G33" s="33">
        <f>'Brazil Energy Balance'!H22*'Brazil Energy Balance'!B82</f>
        <v>0</v>
      </c>
      <c r="H33" s="33">
        <f t="shared" si="11"/>
        <v>0</v>
      </c>
      <c r="I33" s="33">
        <f>'Brazil Energy Balance'!H4*'Brazil Energy Balance'!B82</f>
        <v>0</v>
      </c>
      <c r="J33" s="33">
        <f>I33</f>
        <v>0</v>
      </c>
      <c r="K33" s="33">
        <f t="shared" ref="K33:AK33" si="16">J33</f>
        <v>0</v>
      </c>
      <c r="L33" s="33">
        <f t="shared" si="16"/>
        <v>0</v>
      </c>
      <c r="M33" s="33">
        <f t="shared" si="16"/>
        <v>0</v>
      </c>
      <c r="N33" s="33">
        <f t="shared" si="16"/>
        <v>0</v>
      </c>
      <c r="O33" s="33">
        <f t="shared" si="16"/>
        <v>0</v>
      </c>
      <c r="P33" s="33">
        <f t="shared" si="16"/>
        <v>0</v>
      </c>
      <c r="Q33" s="33">
        <f t="shared" si="16"/>
        <v>0</v>
      </c>
      <c r="R33" s="33">
        <f t="shared" si="16"/>
        <v>0</v>
      </c>
      <c r="S33" s="33">
        <f t="shared" si="16"/>
        <v>0</v>
      </c>
      <c r="T33" s="33">
        <f t="shared" si="16"/>
        <v>0</v>
      </c>
      <c r="U33" s="33">
        <f t="shared" si="16"/>
        <v>0</v>
      </c>
      <c r="V33" s="33">
        <f t="shared" si="16"/>
        <v>0</v>
      </c>
      <c r="W33" s="33">
        <f t="shared" si="16"/>
        <v>0</v>
      </c>
      <c r="X33" s="33">
        <f t="shared" si="16"/>
        <v>0</v>
      </c>
      <c r="Y33" s="33">
        <f t="shared" si="16"/>
        <v>0</v>
      </c>
      <c r="Z33" s="33">
        <f t="shared" si="16"/>
        <v>0</v>
      </c>
      <c r="AA33" s="33">
        <f t="shared" si="16"/>
        <v>0</v>
      </c>
      <c r="AB33" s="33">
        <f t="shared" si="16"/>
        <v>0</v>
      </c>
      <c r="AC33" s="33">
        <f t="shared" si="16"/>
        <v>0</v>
      </c>
      <c r="AD33" s="33">
        <f t="shared" si="16"/>
        <v>0</v>
      </c>
      <c r="AE33" s="33">
        <f t="shared" si="16"/>
        <v>0</v>
      </c>
      <c r="AF33" s="33">
        <f t="shared" si="16"/>
        <v>0</v>
      </c>
      <c r="AG33" s="33">
        <f t="shared" si="16"/>
        <v>0</v>
      </c>
      <c r="AH33" s="33">
        <f t="shared" si="16"/>
        <v>0</v>
      </c>
      <c r="AI33" s="33">
        <f t="shared" si="16"/>
        <v>0</v>
      </c>
      <c r="AJ33" s="33">
        <f t="shared" si="16"/>
        <v>0</v>
      </c>
      <c r="AK33" s="33">
        <f t="shared" si="16"/>
        <v>0</v>
      </c>
    </row>
    <row r="34" spans="1:37" x14ac:dyDescent="0.2">
      <c r="A34" s="1" t="s">
        <v>19</v>
      </c>
      <c r="B34" s="33">
        <f>'Brazil Energy Balance'!O72*'Brazil Energy Balance'!B82</f>
        <v>89684044229314.266</v>
      </c>
      <c r="C34" s="33">
        <f>'Brazil Energy Balance'!O62*'Brazil Energy Balance'!B82</f>
        <v>116430524676463.75</v>
      </c>
      <c r="D34" s="33">
        <f>'Brazil Energy Balance'!O52*'Brazil Energy Balance'!B82</f>
        <v>137145157901110.67</v>
      </c>
      <c r="E34" s="33">
        <f>'Brazil Energy Balance'!O42*'Brazil Energy Balance'!B82</f>
        <v>98930231090124.109</v>
      </c>
      <c r="F34" s="33">
        <f>'Brazil Energy Balance'!O32*'Brazil Energy Balance'!B82</f>
        <v>149327901962349.38</v>
      </c>
      <c r="G34" s="33">
        <f>'Brazil Energy Balance'!O32*'Brazil Energy Balance'!B82</f>
        <v>149327901962349.38</v>
      </c>
      <c r="H34" s="33">
        <f t="shared" si="11"/>
        <v>149327901962349.38</v>
      </c>
      <c r="I34" s="33">
        <f>'Brazil Energy Balance'!O4*'Brazil Energy Balance'!B82</f>
        <v>126708474877964.81</v>
      </c>
      <c r="J34" s="33">
        <f>_xlfn.FORECAST.LINEAR(J$25,$B34:$I34,$B$25:$I$25)</f>
        <v>154464042548428</v>
      </c>
      <c r="K34" s="33">
        <f t="shared" ref="K34:AK36" si="17">_xlfn.FORECAST.LINEAR(K$25,$B34:$I34,$B$25:$I$25)</f>
        <v>160542659263022</v>
      </c>
      <c r="L34" s="33">
        <f t="shared" si="17"/>
        <v>166621275977616</v>
      </c>
      <c r="M34" s="33">
        <f t="shared" si="17"/>
        <v>172699892692210</v>
      </c>
      <c r="N34" s="33">
        <f t="shared" si="17"/>
        <v>178778509406806</v>
      </c>
      <c r="O34" s="33">
        <f t="shared" si="17"/>
        <v>184857126121400</v>
      </c>
      <c r="P34" s="33">
        <f t="shared" si="17"/>
        <v>190935742835994</v>
      </c>
      <c r="Q34" s="33">
        <f t="shared" si="17"/>
        <v>197014359550588</v>
      </c>
      <c r="R34" s="33">
        <f t="shared" si="17"/>
        <v>203092976265182</v>
      </c>
      <c r="S34" s="33">
        <f t="shared" si="17"/>
        <v>209171592979776</v>
      </c>
      <c r="T34" s="33">
        <f t="shared" si="17"/>
        <v>215250209694372</v>
      </c>
      <c r="U34" s="33">
        <f t="shared" si="17"/>
        <v>221328826408966</v>
      </c>
      <c r="V34" s="33">
        <f t="shared" si="17"/>
        <v>227407443123560</v>
      </c>
      <c r="W34" s="33">
        <f t="shared" si="17"/>
        <v>233486059838154</v>
      </c>
      <c r="X34" s="33">
        <f t="shared" si="17"/>
        <v>239564676552748</v>
      </c>
      <c r="Y34" s="33">
        <f t="shared" si="17"/>
        <v>245643293267342</v>
      </c>
      <c r="Z34" s="33">
        <f t="shared" si="17"/>
        <v>251721909981938</v>
      </c>
      <c r="AA34" s="33">
        <f t="shared" si="17"/>
        <v>257800526696532</v>
      </c>
      <c r="AB34" s="33">
        <f t="shared" si="17"/>
        <v>263879143411126</v>
      </c>
      <c r="AC34" s="33">
        <f t="shared" si="17"/>
        <v>269957760125720</v>
      </c>
      <c r="AD34" s="33">
        <f t="shared" si="17"/>
        <v>276036376840314</v>
      </c>
      <c r="AE34" s="33">
        <f t="shared" si="17"/>
        <v>282114993554908</v>
      </c>
      <c r="AF34" s="33">
        <f t="shared" si="17"/>
        <v>288193610269504</v>
      </c>
      <c r="AG34" s="33">
        <f t="shared" si="17"/>
        <v>294272226984098</v>
      </c>
      <c r="AH34" s="33">
        <f t="shared" si="17"/>
        <v>300350843698692</v>
      </c>
      <c r="AI34" s="33">
        <f t="shared" si="17"/>
        <v>306429460413286</v>
      </c>
      <c r="AJ34" s="33">
        <f t="shared" si="17"/>
        <v>312508077127880</v>
      </c>
      <c r="AK34" s="33">
        <f t="shared" si="17"/>
        <v>318586693842474</v>
      </c>
    </row>
    <row r="35" spans="1:37" x14ac:dyDescent="0.2">
      <c r="A35" s="1" t="s">
        <v>21</v>
      </c>
      <c r="B35" s="33">
        <f>'Brazil Energy Balance'!M72*'Brazil Energy Balance'!B82</f>
        <v>233535663844917.91</v>
      </c>
      <c r="C35" s="33">
        <f>'Brazil Energy Balance'!M62*'Brazil Energy Balance'!B82</f>
        <v>285004781263245.62</v>
      </c>
      <c r="D35" s="33">
        <f>'Brazil Energy Balance'!M52*'Brazil Energy Balance'!B82</f>
        <v>435959694647454.25</v>
      </c>
      <c r="E35" s="33">
        <f>'Brazil Energy Balance'!M42*'Brazil Energy Balance'!B82</f>
        <v>392030386257254.75</v>
      </c>
      <c r="F35" s="33">
        <f>'Brazil Energy Balance'!M32*'Brazil Energy Balance'!B82</f>
        <v>437745438890958.25</v>
      </c>
      <c r="G35" s="33">
        <f>'Brazil Energy Balance'!M22*'Brazil Energy Balance'!B82</f>
        <v>403617882237325.44</v>
      </c>
      <c r="H35" s="33">
        <f t="shared" si="11"/>
        <v>403617882237325.44</v>
      </c>
      <c r="I35" s="33">
        <f>'Brazil Energy Balance'!M4*'Brazil Energy Balance'!B82</f>
        <v>484055739605829.88</v>
      </c>
      <c r="J35" s="33">
        <f>_xlfn.FORECAST.LINEAR(J$25,$B35:$I35,$B$25:$I$25)</f>
        <v>507413557762336</v>
      </c>
      <c r="K35" s="33">
        <f t="shared" si="17"/>
        <v>534739696459952</v>
      </c>
      <c r="L35" s="33">
        <f t="shared" si="17"/>
        <v>562065835157576</v>
      </c>
      <c r="M35" s="33">
        <f t="shared" si="17"/>
        <v>589391973855192</v>
      </c>
      <c r="N35" s="33">
        <f t="shared" si="17"/>
        <v>616718112552816</v>
      </c>
      <c r="O35" s="33">
        <f t="shared" si="17"/>
        <v>644044251250432</v>
      </c>
      <c r="P35" s="33">
        <f t="shared" si="17"/>
        <v>671370389948056</v>
      </c>
      <c r="Q35" s="33">
        <f t="shared" si="17"/>
        <v>698696528645672</v>
      </c>
      <c r="R35" s="33">
        <f t="shared" si="17"/>
        <v>726022667343296</v>
      </c>
      <c r="S35" s="33">
        <f t="shared" si="17"/>
        <v>753348806040920</v>
      </c>
      <c r="T35" s="33">
        <f t="shared" si="17"/>
        <v>780674944738536</v>
      </c>
      <c r="U35" s="33">
        <f t="shared" si="17"/>
        <v>808001083436160</v>
      </c>
      <c r="V35" s="33">
        <f t="shared" si="17"/>
        <v>835327222133776</v>
      </c>
      <c r="W35" s="33">
        <f t="shared" si="17"/>
        <v>862653360831400</v>
      </c>
      <c r="X35" s="33">
        <f t="shared" si="17"/>
        <v>889979499529016</v>
      </c>
      <c r="Y35" s="33">
        <f t="shared" si="17"/>
        <v>917305638226640</v>
      </c>
      <c r="Z35" s="33">
        <f t="shared" si="17"/>
        <v>944631776924256</v>
      </c>
      <c r="AA35" s="33">
        <f t="shared" si="17"/>
        <v>971957915621880</v>
      </c>
      <c r="AB35" s="33">
        <f t="shared" si="17"/>
        <v>999284054319496</v>
      </c>
      <c r="AC35" s="33">
        <f t="shared" si="17"/>
        <v>1026610193017120</v>
      </c>
      <c r="AD35" s="33">
        <f t="shared" si="17"/>
        <v>1053936331714736</v>
      </c>
      <c r="AE35" s="33">
        <f t="shared" si="17"/>
        <v>1081262470412360</v>
      </c>
      <c r="AF35" s="33">
        <f t="shared" si="17"/>
        <v>1108588609109976</v>
      </c>
      <c r="AG35" s="33">
        <f t="shared" si="17"/>
        <v>1135914747807600</v>
      </c>
      <c r="AH35" s="33">
        <f t="shared" si="17"/>
        <v>1163240886505216</v>
      </c>
      <c r="AI35" s="33">
        <f t="shared" si="17"/>
        <v>1190567025202840</v>
      </c>
      <c r="AJ35" s="33">
        <f t="shared" si="17"/>
        <v>1217893163900464</v>
      </c>
      <c r="AK35" s="33">
        <f t="shared" si="17"/>
        <v>1245219302598080</v>
      </c>
    </row>
    <row r="36" spans="1:37" x14ac:dyDescent="0.2">
      <c r="A36" s="1" t="s">
        <v>22</v>
      </c>
      <c r="B36" s="33">
        <f>'Brazil Energy Balance'!X72*'Brazil Energy Balance'!B82</f>
        <v>17143144737638.834</v>
      </c>
      <c r="C36" s="33">
        <f>'Brazil Energy Balance'!X62*'Brazil Energy Balance'!B82</f>
        <v>17222511148461.236</v>
      </c>
      <c r="D36" s="33">
        <f>'Brazil Energy Balance'!X52*'Brazil Energy Balance'!B82</f>
        <v>38691125275920.977</v>
      </c>
      <c r="E36" s="33">
        <f>'Brazil Energy Balance'!X42*'Brazil Energy Balance'!B82</f>
        <v>37579995524407.352</v>
      </c>
      <c r="F36" s="33">
        <f>'Brazil Energy Balance'!X32*'Brazil Energy Balance'!B82</f>
        <v>30437018550391.172</v>
      </c>
      <c r="G36" s="33">
        <f>'Brazil Energy Balance'!X22*'Brazil Energy Balance'!B82</f>
        <v>20278117965123.715</v>
      </c>
      <c r="H36" s="33">
        <f t="shared" si="11"/>
        <v>20278117965123.715</v>
      </c>
      <c r="I36" s="33">
        <f>'Brazil Energy Balance'!X4*'Brazil Energy Balance'!B82</f>
        <v>2103209886793.6533</v>
      </c>
      <c r="J36" s="33">
        <f>_xlfn.FORECAST.LINEAR(J$25,$B36:$I36,$B$25:$I$25)</f>
        <v>14803252875714</v>
      </c>
      <c r="K36" s="33">
        <f t="shared" si="17"/>
        <v>12989163485487.5</v>
      </c>
      <c r="L36" s="33">
        <f t="shared" si="17"/>
        <v>11175074095261</v>
      </c>
      <c r="M36" s="33">
        <f t="shared" si="17"/>
        <v>9360984705035</v>
      </c>
      <c r="N36" s="33">
        <f t="shared" si="17"/>
        <v>7546895314808.5</v>
      </c>
      <c r="O36" s="33">
        <f t="shared" si="17"/>
        <v>5732805924582</v>
      </c>
      <c r="P36" s="33">
        <f t="shared" si="17"/>
        <v>3918716534356</v>
      </c>
      <c r="Q36" s="33">
        <f t="shared" si="17"/>
        <v>2104627144129.5</v>
      </c>
      <c r="R36" s="33">
        <f t="shared" si="17"/>
        <v>290537753903</v>
      </c>
      <c r="S36" s="33">
        <f>$R$36</f>
        <v>290537753903</v>
      </c>
      <c r="T36" s="33">
        <f t="shared" ref="T36:AK36" si="18">$R$36</f>
        <v>290537753903</v>
      </c>
      <c r="U36" s="33">
        <f t="shared" si="18"/>
        <v>290537753903</v>
      </c>
      <c r="V36" s="33">
        <f t="shared" si="18"/>
        <v>290537753903</v>
      </c>
      <c r="W36" s="33">
        <f t="shared" si="18"/>
        <v>290537753903</v>
      </c>
      <c r="X36" s="33">
        <f t="shared" si="18"/>
        <v>290537753903</v>
      </c>
      <c r="Y36" s="33">
        <f t="shared" si="18"/>
        <v>290537753903</v>
      </c>
      <c r="Z36" s="33">
        <f t="shared" si="18"/>
        <v>290537753903</v>
      </c>
      <c r="AA36" s="33">
        <f t="shared" si="18"/>
        <v>290537753903</v>
      </c>
      <c r="AB36" s="33">
        <f t="shared" si="18"/>
        <v>290537753903</v>
      </c>
      <c r="AC36" s="33">
        <f t="shared" si="18"/>
        <v>290537753903</v>
      </c>
      <c r="AD36" s="33">
        <f t="shared" si="18"/>
        <v>290537753903</v>
      </c>
      <c r="AE36" s="33">
        <f t="shared" si="18"/>
        <v>290537753903</v>
      </c>
      <c r="AF36" s="33">
        <f t="shared" si="18"/>
        <v>290537753903</v>
      </c>
      <c r="AG36" s="33">
        <f t="shared" si="18"/>
        <v>290537753903</v>
      </c>
      <c r="AH36" s="33">
        <f t="shared" si="18"/>
        <v>290537753903</v>
      </c>
      <c r="AI36" s="33">
        <f t="shared" si="18"/>
        <v>290537753903</v>
      </c>
      <c r="AJ36" s="33">
        <f t="shared" si="18"/>
        <v>290537753903</v>
      </c>
      <c r="AK36" s="33">
        <f t="shared" si="18"/>
        <v>290537753903</v>
      </c>
    </row>
    <row r="37" spans="1:37" x14ac:dyDescent="0.2">
      <c r="A37" s="1" t="s">
        <v>23</v>
      </c>
      <c r="B37" s="33">
        <f>0</f>
        <v>0</v>
      </c>
      <c r="C37" s="33">
        <f>0</f>
        <v>0</v>
      </c>
      <c r="D37" s="33">
        <f>0</f>
        <v>0</v>
      </c>
      <c r="E37" s="33">
        <f>0</f>
        <v>0</v>
      </c>
      <c r="F37" s="33">
        <f>0</f>
        <v>0</v>
      </c>
      <c r="G37" s="33">
        <f>0</f>
        <v>0</v>
      </c>
      <c r="H37" s="33">
        <f t="shared" si="11"/>
        <v>0</v>
      </c>
      <c r="I37" s="33">
        <f>0</f>
        <v>0</v>
      </c>
      <c r="J37" s="33">
        <f>0</f>
        <v>0</v>
      </c>
      <c r="K37" s="33">
        <f>0</f>
        <v>0</v>
      </c>
      <c r="L37" s="33">
        <f>0</f>
        <v>0</v>
      </c>
      <c r="M37" s="33">
        <f>0</f>
        <v>0</v>
      </c>
      <c r="N37" s="33">
        <f>0</f>
        <v>0</v>
      </c>
      <c r="O37" s="33">
        <f>0</f>
        <v>0</v>
      </c>
      <c r="P37" s="33">
        <f>0</f>
        <v>0</v>
      </c>
      <c r="Q37" s="33">
        <f>0</f>
        <v>0</v>
      </c>
      <c r="R37" s="33">
        <f>0</f>
        <v>0</v>
      </c>
      <c r="S37" s="33">
        <f>0</f>
        <v>0</v>
      </c>
      <c r="T37" s="33">
        <f>0</f>
        <v>0</v>
      </c>
      <c r="U37" s="33">
        <f>0</f>
        <v>0</v>
      </c>
      <c r="V37" s="33">
        <f>0</f>
        <v>0</v>
      </c>
      <c r="W37" s="33">
        <f>0</f>
        <v>0</v>
      </c>
      <c r="X37" s="33">
        <f>0</f>
        <v>0</v>
      </c>
      <c r="Y37" s="33">
        <f>0</f>
        <v>0</v>
      </c>
      <c r="Z37" s="33">
        <f>0</f>
        <v>0</v>
      </c>
      <c r="AA37" s="33">
        <f>0</f>
        <v>0</v>
      </c>
      <c r="AB37" s="33">
        <f>0</f>
        <v>0</v>
      </c>
      <c r="AC37" s="33">
        <f>0</f>
        <v>0</v>
      </c>
      <c r="AD37" s="33">
        <f>0</f>
        <v>0</v>
      </c>
      <c r="AE37" s="33">
        <f>0</f>
        <v>0</v>
      </c>
      <c r="AF37" s="33">
        <f>0</f>
        <v>0</v>
      </c>
      <c r="AG37" s="33">
        <f>0</f>
        <v>0</v>
      </c>
      <c r="AH37" s="33">
        <f>0</f>
        <v>0</v>
      </c>
      <c r="AI37" s="33">
        <f>0</f>
        <v>0</v>
      </c>
      <c r="AJ37" s="33">
        <f>0</f>
        <v>0</v>
      </c>
      <c r="AK37" s="33">
        <f>0</f>
        <v>0</v>
      </c>
    </row>
    <row r="38" spans="1:37" x14ac:dyDescent="0.2">
      <c r="A38" s="1" t="s">
        <v>153</v>
      </c>
      <c r="B38" s="33">
        <f>'Brazil Energy Balance'!R72*'Brazil Energy Balance'!B82</f>
        <v>44802338909245.93</v>
      </c>
      <c r="C38" s="33">
        <f>'Brazil Energy Balance'!R62*'Brazil Energy Balance'!B82</f>
        <v>31190999453203.988</v>
      </c>
      <c r="D38" s="33">
        <f>'Brazil Energy Balance'!R52*'Brazil Energy Balance'!B82</f>
        <v>18770156159498.074</v>
      </c>
      <c r="E38" s="33">
        <f>'Brazil Energy Balance'!R42*'Brazil Energy Balance'!B82</f>
        <v>29246522388055.141</v>
      </c>
      <c r="F38" s="33">
        <f>'Brazil Energy Balance'!R32*'Brazil Energy Balance'!B82</f>
        <v>33849774215754.457</v>
      </c>
      <c r="G38" s="33">
        <f>'Brazil Energy Balance'!R22*'Brazil Energy Balance'!B82</f>
        <v>10674782255613.07</v>
      </c>
      <c r="H38" s="33">
        <f t="shared" si="11"/>
        <v>10674782255613.07</v>
      </c>
      <c r="I38" s="33">
        <f>'Brazil Energy Balance'!R4*'Brazil Energy Balance'!B82</f>
        <v>42222930557517.867</v>
      </c>
      <c r="J38" s="33">
        <f>_xlfn.FORECAST.LINEAR(J$25,$B38:$I38,$B$25:$I$25)</f>
        <v>20161902863562</v>
      </c>
      <c r="K38" s="33">
        <f t="shared" ref="K38:AK38" si="19">_xlfn.FORECAST.LINEAR(K$25,$B38:$I38,$B$25:$I$25)</f>
        <v>18491428883395.5</v>
      </c>
      <c r="L38" s="33">
        <f t="shared" si="19"/>
        <v>16820954903228.5</v>
      </c>
      <c r="M38" s="33">
        <f t="shared" si="19"/>
        <v>15150480923062</v>
      </c>
      <c r="N38" s="33">
        <f t="shared" si="19"/>
        <v>13480006942895</v>
      </c>
      <c r="O38" s="33">
        <f t="shared" si="19"/>
        <v>11809532962728.5</v>
      </c>
      <c r="P38" s="33">
        <f t="shared" si="19"/>
        <v>10139058982561.5</v>
      </c>
      <c r="Q38" s="33">
        <f t="shared" si="19"/>
        <v>8468585002395</v>
      </c>
      <c r="R38" s="33">
        <f t="shared" si="19"/>
        <v>6798111022228</v>
      </c>
      <c r="S38" s="33">
        <f t="shared" si="19"/>
        <v>5127637042061.5</v>
      </c>
      <c r="T38" s="33">
        <f t="shared" si="19"/>
        <v>3457163061894.5</v>
      </c>
      <c r="U38" s="33">
        <f t="shared" si="19"/>
        <v>1786689081728</v>
      </c>
      <c r="V38" s="33">
        <f t="shared" si="19"/>
        <v>116215101561</v>
      </c>
      <c r="W38" s="33">
        <f>$V$38</f>
        <v>116215101561</v>
      </c>
      <c r="X38" s="33">
        <f t="shared" ref="X38:AK38" si="20">$V$38</f>
        <v>116215101561</v>
      </c>
      <c r="Y38" s="33">
        <f t="shared" si="20"/>
        <v>116215101561</v>
      </c>
      <c r="Z38" s="33">
        <f t="shared" si="20"/>
        <v>116215101561</v>
      </c>
      <c r="AA38" s="33">
        <f t="shared" si="20"/>
        <v>116215101561</v>
      </c>
      <c r="AB38" s="33">
        <f t="shared" si="20"/>
        <v>116215101561</v>
      </c>
      <c r="AC38" s="33">
        <f t="shared" si="20"/>
        <v>116215101561</v>
      </c>
      <c r="AD38" s="33">
        <f t="shared" si="20"/>
        <v>116215101561</v>
      </c>
      <c r="AE38" s="33">
        <f t="shared" si="20"/>
        <v>116215101561</v>
      </c>
      <c r="AF38" s="33">
        <f t="shared" si="20"/>
        <v>116215101561</v>
      </c>
      <c r="AG38" s="33">
        <f t="shared" si="20"/>
        <v>116215101561</v>
      </c>
      <c r="AH38" s="33">
        <f t="shared" si="20"/>
        <v>116215101561</v>
      </c>
      <c r="AI38" s="33">
        <f t="shared" si="20"/>
        <v>116215101561</v>
      </c>
      <c r="AJ38" s="33">
        <f t="shared" si="20"/>
        <v>116215101561</v>
      </c>
      <c r="AK38" s="33">
        <f t="shared" si="20"/>
        <v>116215101561</v>
      </c>
    </row>
    <row r="39" spans="1:37" x14ac:dyDescent="0.2">
      <c r="A39" s="1" t="s">
        <v>154</v>
      </c>
      <c r="B39" s="33">
        <v>0</v>
      </c>
      <c r="C39" s="33">
        <v>0</v>
      </c>
      <c r="D39" s="33">
        <v>0</v>
      </c>
      <c r="E39" s="33">
        <v>0</v>
      </c>
      <c r="F39" s="33">
        <v>0</v>
      </c>
      <c r="G39" s="33">
        <v>0</v>
      </c>
      <c r="H39" s="33">
        <f t="shared" si="11"/>
        <v>0</v>
      </c>
      <c r="I39" s="33">
        <v>0</v>
      </c>
      <c r="J39" s="33">
        <v>0</v>
      </c>
      <c r="K39" s="33">
        <v>0</v>
      </c>
      <c r="L39" s="33">
        <v>0</v>
      </c>
      <c r="M39" s="33">
        <v>0</v>
      </c>
      <c r="N39" s="33">
        <v>0</v>
      </c>
      <c r="O39" s="33">
        <v>0</v>
      </c>
      <c r="P39" s="33">
        <v>0</v>
      </c>
      <c r="Q39" s="33">
        <v>0</v>
      </c>
      <c r="R39" s="33">
        <v>0</v>
      </c>
      <c r="S39" s="33">
        <v>0</v>
      </c>
      <c r="T39" s="33">
        <v>0</v>
      </c>
      <c r="U39" s="33">
        <v>0</v>
      </c>
      <c r="V39" s="33">
        <v>0</v>
      </c>
      <c r="W39" s="33">
        <v>0</v>
      </c>
      <c r="X39" s="33">
        <v>0</v>
      </c>
      <c r="Y39" s="33">
        <v>0</v>
      </c>
      <c r="Z39" s="33">
        <v>0</v>
      </c>
      <c r="AA39" s="33">
        <v>0</v>
      </c>
      <c r="AB39" s="33">
        <v>0</v>
      </c>
      <c r="AC39" s="33">
        <v>0</v>
      </c>
      <c r="AD39" s="33">
        <v>0</v>
      </c>
      <c r="AE39" s="33">
        <v>0</v>
      </c>
      <c r="AF39" s="33">
        <v>0</v>
      </c>
      <c r="AG39" s="33">
        <v>0</v>
      </c>
      <c r="AH39" s="33">
        <v>0</v>
      </c>
      <c r="AI39" s="33">
        <v>0</v>
      </c>
      <c r="AJ39" s="33">
        <v>0</v>
      </c>
      <c r="AK39" s="33">
        <v>0</v>
      </c>
    </row>
    <row r="40" spans="1:37" x14ac:dyDescent="0.2">
      <c r="A40" s="1" t="s">
        <v>155</v>
      </c>
      <c r="B40" s="33">
        <v>0</v>
      </c>
      <c r="C40" s="33">
        <v>0</v>
      </c>
      <c r="D40" s="33">
        <v>0</v>
      </c>
      <c r="E40" s="33">
        <v>0</v>
      </c>
      <c r="F40" s="33">
        <v>0</v>
      </c>
      <c r="G40" s="33">
        <v>0</v>
      </c>
      <c r="H40" s="33">
        <f t="shared" si="11"/>
        <v>0</v>
      </c>
      <c r="I40" s="33">
        <v>0</v>
      </c>
      <c r="J40" s="33">
        <v>0</v>
      </c>
      <c r="K40" s="33">
        <v>0</v>
      </c>
      <c r="L40" s="33">
        <v>0</v>
      </c>
      <c r="M40" s="33">
        <v>0</v>
      </c>
      <c r="N40" s="33">
        <v>0</v>
      </c>
      <c r="O40" s="33">
        <v>0</v>
      </c>
      <c r="P40" s="33">
        <v>0</v>
      </c>
      <c r="Q40" s="33">
        <v>0</v>
      </c>
      <c r="R40" s="33">
        <v>0</v>
      </c>
      <c r="S40" s="33">
        <v>0</v>
      </c>
      <c r="T40" s="33">
        <v>0</v>
      </c>
      <c r="U40" s="33">
        <v>0</v>
      </c>
      <c r="V40" s="33">
        <v>0</v>
      </c>
      <c r="W40" s="33">
        <v>0</v>
      </c>
      <c r="X40" s="33">
        <v>0</v>
      </c>
      <c r="Y40" s="33">
        <v>0</v>
      </c>
      <c r="Z40" s="33">
        <v>0</v>
      </c>
      <c r="AA40" s="33">
        <v>0</v>
      </c>
      <c r="AB40" s="33">
        <v>0</v>
      </c>
      <c r="AC40" s="33">
        <v>0</v>
      </c>
      <c r="AD40" s="33">
        <v>0</v>
      </c>
      <c r="AE40" s="33">
        <v>0</v>
      </c>
      <c r="AF40" s="33">
        <v>0</v>
      </c>
      <c r="AG40" s="33">
        <v>0</v>
      </c>
      <c r="AH40" s="33">
        <v>0</v>
      </c>
      <c r="AI40" s="33">
        <v>0</v>
      </c>
      <c r="AJ40" s="33">
        <v>0</v>
      </c>
      <c r="AK40" s="33">
        <v>0</v>
      </c>
    </row>
    <row r="41" spans="1:37" x14ac:dyDescent="0.2">
      <c r="A41" s="1" t="s">
        <v>59</v>
      </c>
      <c r="B41" s="33">
        <v>0</v>
      </c>
      <c r="C41" s="33">
        <f>B41</f>
        <v>0</v>
      </c>
      <c r="D41" s="33">
        <f t="shared" ref="D41:AK41" si="21">C41</f>
        <v>0</v>
      </c>
      <c r="E41" s="33">
        <f t="shared" si="21"/>
        <v>0</v>
      </c>
      <c r="F41" s="33">
        <f t="shared" si="21"/>
        <v>0</v>
      </c>
      <c r="G41" s="33">
        <f t="shared" si="21"/>
        <v>0</v>
      </c>
      <c r="H41" s="33">
        <f t="shared" si="11"/>
        <v>0</v>
      </c>
      <c r="I41" s="33">
        <f t="shared" si="21"/>
        <v>0</v>
      </c>
      <c r="J41" s="33">
        <f t="shared" si="21"/>
        <v>0</v>
      </c>
      <c r="K41" s="33">
        <f t="shared" si="21"/>
        <v>0</v>
      </c>
      <c r="L41" s="33">
        <f t="shared" si="21"/>
        <v>0</v>
      </c>
      <c r="M41" s="33">
        <f t="shared" si="21"/>
        <v>0</v>
      </c>
      <c r="N41" s="33">
        <f t="shared" si="21"/>
        <v>0</v>
      </c>
      <c r="O41" s="33">
        <f t="shared" si="21"/>
        <v>0</v>
      </c>
      <c r="P41" s="33">
        <f t="shared" si="21"/>
        <v>0</v>
      </c>
      <c r="Q41" s="33">
        <f t="shared" si="21"/>
        <v>0</v>
      </c>
      <c r="R41" s="33">
        <f t="shared" si="21"/>
        <v>0</v>
      </c>
      <c r="S41" s="33">
        <f t="shared" si="21"/>
        <v>0</v>
      </c>
      <c r="T41" s="33">
        <f t="shared" si="21"/>
        <v>0</v>
      </c>
      <c r="U41" s="33">
        <f t="shared" si="21"/>
        <v>0</v>
      </c>
      <c r="V41" s="33">
        <f t="shared" si="21"/>
        <v>0</v>
      </c>
      <c r="W41" s="33">
        <f t="shared" si="21"/>
        <v>0</v>
      </c>
      <c r="X41" s="33">
        <f t="shared" si="21"/>
        <v>0</v>
      </c>
      <c r="Y41" s="33">
        <f t="shared" si="21"/>
        <v>0</v>
      </c>
      <c r="Z41" s="33">
        <f t="shared" si="21"/>
        <v>0</v>
      </c>
      <c r="AA41" s="33">
        <f t="shared" si="21"/>
        <v>0</v>
      </c>
      <c r="AB41" s="33">
        <f t="shared" si="21"/>
        <v>0</v>
      </c>
      <c r="AC41" s="33">
        <f t="shared" si="21"/>
        <v>0</v>
      </c>
      <c r="AD41" s="33">
        <f t="shared" si="21"/>
        <v>0</v>
      </c>
      <c r="AE41" s="33">
        <f t="shared" si="21"/>
        <v>0</v>
      </c>
      <c r="AF41" s="33">
        <f t="shared" si="21"/>
        <v>0</v>
      </c>
      <c r="AG41" s="33">
        <f t="shared" si="21"/>
        <v>0</v>
      </c>
      <c r="AH41" s="33">
        <f t="shared" si="21"/>
        <v>0</v>
      </c>
      <c r="AI41" s="33">
        <f t="shared" si="21"/>
        <v>0</v>
      </c>
      <c r="AJ41" s="33">
        <f t="shared" si="21"/>
        <v>0</v>
      </c>
      <c r="AK41" s="33">
        <f t="shared" si="21"/>
        <v>0</v>
      </c>
    </row>
    <row r="42" spans="1:37" x14ac:dyDescent="0.2">
      <c r="A42" s="1" t="s">
        <v>25</v>
      </c>
      <c r="B42" s="33">
        <f>'Brazil Energy Balance'!B72*'Brazil Energy Balance'!B82</f>
        <v>610208649608037.88</v>
      </c>
      <c r="C42" s="33">
        <f>'Brazil Energy Balance'!B62*'Brazil Energy Balance'!B82</f>
        <v>317822792138308.81</v>
      </c>
      <c r="D42" s="33">
        <f>'Brazil Energy Balance'!B52*'Brazil Energy Balance'!B82</f>
        <v>297266891735306.75</v>
      </c>
      <c r="E42" s="33">
        <f>'Brazil Energy Balance'!B42*'Brazil Energy Balance'!B82</f>
        <v>382030218493632.06</v>
      </c>
      <c r="F42" s="33">
        <f>'Brazil Energy Balance'!B32*'Brazil Energy Balance'!B82</f>
        <v>352585280078520.94</v>
      </c>
      <c r="G42" s="33">
        <f>'Brazil Energy Balance'!B22*'Brazil Energy Balance'!B82</f>
        <v>344608955790869.5</v>
      </c>
      <c r="H42" s="33">
        <f t="shared" si="11"/>
        <v>344608955790869.5</v>
      </c>
      <c r="I42" s="33">
        <f>'Brazil Energy Balance'!B4*'Brazil Energy Balance'!B82</f>
        <v>504929105652121.56</v>
      </c>
      <c r="J42" s="33">
        <f>_xlfn.FORECAST.LINEAR(J$25,$B42:$I42,$B$25:$I$25)</f>
        <v>367983781035402</v>
      </c>
      <c r="K42" s="33">
        <f t="shared" ref="K42:AK44" si="22">_xlfn.FORECAST.LINEAR(K$25,$B42:$I42,$B$25:$I$25)</f>
        <v>362145153229724</v>
      </c>
      <c r="L42" s="33">
        <f t="shared" si="22"/>
        <v>356306525424044</v>
      </c>
      <c r="M42" s="33">
        <f t="shared" si="22"/>
        <v>350467897618366</v>
      </c>
      <c r="N42" s="33">
        <f t="shared" si="22"/>
        <v>344629269812686</v>
      </c>
      <c r="O42" s="33">
        <f t="shared" si="22"/>
        <v>338790642007008</v>
      </c>
      <c r="P42" s="33">
        <f t="shared" si="22"/>
        <v>332952014201328</v>
      </c>
      <c r="Q42" s="33">
        <f t="shared" si="22"/>
        <v>327113386395650</v>
      </c>
      <c r="R42" s="33">
        <f t="shared" si="22"/>
        <v>321274758589970</v>
      </c>
      <c r="S42" s="33">
        <f t="shared" si="22"/>
        <v>315436130784292</v>
      </c>
      <c r="T42" s="33">
        <f t="shared" si="22"/>
        <v>309597502978612</v>
      </c>
      <c r="U42" s="33">
        <f t="shared" si="22"/>
        <v>303758875172934</v>
      </c>
      <c r="V42" s="33">
        <f t="shared" si="22"/>
        <v>297920247367254</v>
      </c>
      <c r="W42" s="33">
        <f t="shared" si="22"/>
        <v>292081619561576</v>
      </c>
      <c r="X42" s="33">
        <f t="shared" si="22"/>
        <v>286242991755896</v>
      </c>
      <c r="Y42" s="33">
        <f t="shared" si="22"/>
        <v>280404363950218</v>
      </c>
      <c r="Z42" s="33">
        <f t="shared" si="22"/>
        <v>274565736144538</v>
      </c>
      <c r="AA42" s="33">
        <f t="shared" si="22"/>
        <v>268727108338860</v>
      </c>
      <c r="AB42" s="33">
        <f t="shared" si="22"/>
        <v>262888480533180</v>
      </c>
      <c r="AC42" s="33">
        <f t="shared" si="22"/>
        <v>257049852727502</v>
      </c>
      <c r="AD42" s="33">
        <f t="shared" si="22"/>
        <v>251211224921822</v>
      </c>
      <c r="AE42" s="33">
        <f t="shared" si="22"/>
        <v>245372597116144</v>
      </c>
      <c r="AF42" s="33">
        <f t="shared" si="22"/>
        <v>239533969310464</v>
      </c>
      <c r="AG42" s="33">
        <f t="shared" si="22"/>
        <v>233695341504786</v>
      </c>
      <c r="AH42" s="33">
        <f t="shared" si="22"/>
        <v>227856713699106</v>
      </c>
      <c r="AI42" s="33">
        <f t="shared" si="22"/>
        <v>222018085893428</v>
      </c>
      <c r="AJ42" s="33">
        <f t="shared" si="22"/>
        <v>216179458087750</v>
      </c>
      <c r="AK42" s="33">
        <f t="shared" si="22"/>
        <v>210340830282070</v>
      </c>
    </row>
    <row r="43" spans="1:37" x14ac:dyDescent="0.2">
      <c r="A43" s="1" t="s">
        <v>26</v>
      </c>
      <c r="B43" s="33">
        <f>'Brazil Energy Balance'!N72*'Brazil Energy Balance'!B82</f>
        <v>13452606634397.141</v>
      </c>
      <c r="C43" s="33">
        <f>'Brazil Energy Balance'!N62*'Brazil Energy Balance'!B82</f>
        <v>2460358735494.4624</v>
      </c>
      <c r="D43" s="33">
        <f>'Brazil Energy Balance'!N52*'Brazil Energy Balance'!B82</f>
        <v>2857190789606.4722</v>
      </c>
      <c r="E43" s="33">
        <f>'Brazil Energy Balance'!N42*'Brazil Energy Balance'!B82</f>
        <v>12103377650416.307</v>
      </c>
      <c r="F43" s="33">
        <f>'Brazil Energy Balance'!N32*'Brazil Energy Balance'!B82</f>
        <v>2142893092204.8542</v>
      </c>
      <c r="G43" s="33">
        <f>'Brazil Energy Balance'!N22*'Brazil Energy Balance'!B82</f>
        <v>1468278600214.4373</v>
      </c>
      <c r="H43" s="33">
        <f t="shared" si="11"/>
        <v>1468278600214.4373</v>
      </c>
      <c r="I43" s="33">
        <f>'Brazil Energy Balance'!N4*'Brazil Energy Balance'!B82</f>
        <v>8016007493062.6025</v>
      </c>
      <c r="J43" s="33">
        <f t="shared" ref="J43:Y44" si="23">_xlfn.FORECAST.LINEAR(J$25,$B43:$I43,$B$25:$I$25)</f>
        <v>2434848103444.25</v>
      </c>
      <c r="K43" s="33">
        <f t="shared" si="23"/>
        <v>1754564582109.5</v>
      </c>
      <c r="L43" s="33">
        <f t="shared" si="23"/>
        <v>1074281060774.5</v>
      </c>
      <c r="M43" s="33">
        <f t="shared" si="23"/>
        <v>393997539439.75</v>
      </c>
      <c r="N43" s="33">
        <f>$M$43</f>
        <v>393997539439.75</v>
      </c>
      <c r="O43" s="33">
        <f t="shared" ref="O43:AK43" si="24">$M$43</f>
        <v>393997539439.75</v>
      </c>
      <c r="P43" s="33">
        <f t="shared" si="24"/>
        <v>393997539439.75</v>
      </c>
      <c r="Q43" s="33">
        <f t="shared" si="24"/>
        <v>393997539439.75</v>
      </c>
      <c r="R43" s="33">
        <f t="shared" si="24"/>
        <v>393997539439.75</v>
      </c>
      <c r="S43" s="33">
        <f t="shared" si="24"/>
        <v>393997539439.75</v>
      </c>
      <c r="T43" s="33">
        <f t="shared" si="24"/>
        <v>393997539439.75</v>
      </c>
      <c r="U43" s="33">
        <f t="shared" si="24"/>
        <v>393997539439.75</v>
      </c>
      <c r="V43" s="33">
        <f t="shared" si="24"/>
        <v>393997539439.75</v>
      </c>
      <c r="W43" s="33">
        <f t="shared" si="24"/>
        <v>393997539439.75</v>
      </c>
      <c r="X43" s="33">
        <f t="shared" si="24"/>
        <v>393997539439.75</v>
      </c>
      <c r="Y43" s="33">
        <f t="shared" si="24"/>
        <v>393997539439.75</v>
      </c>
      <c r="Z43" s="33">
        <f t="shared" si="24"/>
        <v>393997539439.75</v>
      </c>
      <c r="AA43" s="33">
        <f t="shared" si="24"/>
        <v>393997539439.75</v>
      </c>
      <c r="AB43" s="33">
        <f t="shared" si="24"/>
        <v>393997539439.75</v>
      </c>
      <c r="AC43" s="33">
        <f t="shared" si="24"/>
        <v>393997539439.75</v>
      </c>
      <c r="AD43" s="33">
        <f t="shared" si="24"/>
        <v>393997539439.75</v>
      </c>
      <c r="AE43" s="33">
        <f t="shared" si="24"/>
        <v>393997539439.75</v>
      </c>
      <c r="AF43" s="33">
        <f t="shared" si="24"/>
        <v>393997539439.75</v>
      </c>
      <c r="AG43" s="33">
        <f t="shared" si="24"/>
        <v>393997539439.75</v>
      </c>
      <c r="AH43" s="33">
        <f t="shared" si="24"/>
        <v>393997539439.75</v>
      </c>
      <c r="AI43" s="33">
        <f t="shared" si="24"/>
        <v>393997539439.75</v>
      </c>
      <c r="AJ43" s="33">
        <f t="shared" si="24"/>
        <v>393997539439.75</v>
      </c>
      <c r="AK43" s="33">
        <f t="shared" si="24"/>
        <v>393997539439.75</v>
      </c>
    </row>
    <row r="44" spans="1:37" x14ac:dyDescent="0.2">
      <c r="A44" s="1" t="s">
        <v>27</v>
      </c>
      <c r="B44" s="33">
        <f>'Brazil Energy Balance'!P72*'Brazil Energy Balance'!B82</f>
        <v>77382250551841.953</v>
      </c>
      <c r="C44" s="33">
        <f>'Brazil Energy Balance'!P62*'Brazil Energy Balance'!B82</f>
        <v>83771246623045.312</v>
      </c>
      <c r="D44" s="33">
        <f>'Brazil Energy Balance'!P52*'Brazil Energy Balance'!B82</f>
        <v>79842609287336.422</v>
      </c>
      <c r="E44" s="33">
        <f>'Brazil Energy Balance'!P42*'Brazil Energy Balance'!B82</f>
        <v>84525227525858.141</v>
      </c>
      <c r="F44" s="33">
        <f>'Brazil Energy Balance'!P32*'Brazil Energy Balance'!B82</f>
        <v>86191922153128.578</v>
      </c>
      <c r="G44" s="33">
        <f>'Brazil Energy Balance'!P22*'Brazil Energy Balance'!B82</f>
        <v>88691964094034.25</v>
      </c>
      <c r="H44" s="33">
        <f t="shared" si="11"/>
        <v>88691964094034.25</v>
      </c>
      <c r="I44" s="33">
        <f>'Brazil Energy Balance'!N4*'Brazil Energy Balance'!B82</f>
        <v>8016007493062.6025</v>
      </c>
      <c r="J44" s="33">
        <f t="shared" si="23"/>
        <v>51456362102302</v>
      </c>
      <c r="K44" s="33">
        <f t="shared" si="22"/>
        <v>46304631685528</v>
      </c>
      <c r="L44" s="33">
        <f t="shared" si="22"/>
        <v>41152901268752</v>
      </c>
      <c r="M44" s="33">
        <f t="shared" si="22"/>
        <v>36001170851976</v>
      </c>
      <c r="N44" s="33">
        <f t="shared" si="22"/>
        <v>30849440435200</v>
      </c>
      <c r="O44" s="33">
        <f t="shared" si="22"/>
        <v>25697710018426</v>
      </c>
      <c r="P44" s="33">
        <f t="shared" si="22"/>
        <v>20545979601650</v>
      </c>
      <c r="Q44" s="33">
        <f t="shared" si="22"/>
        <v>15394249184874</v>
      </c>
      <c r="R44" s="33">
        <f t="shared" si="22"/>
        <v>10242518768098</v>
      </c>
      <c r="S44" s="33">
        <f t="shared" si="22"/>
        <v>5090788351322</v>
      </c>
      <c r="T44" s="33">
        <f>S44</f>
        <v>5090788351322</v>
      </c>
      <c r="U44" s="33">
        <f>T44</f>
        <v>5090788351322</v>
      </c>
      <c r="V44" s="33">
        <f t="shared" ref="V44:AK44" si="25">U44</f>
        <v>5090788351322</v>
      </c>
      <c r="W44" s="33">
        <f t="shared" si="25"/>
        <v>5090788351322</v>
      </c>
      <c r="X44" s="33">
        <f t="shared" si="25"/>
        <v>5090788351322</v>
      </c>
      <c r="Y44" s="33">
        <f t="shared" si="25"/>
        <v>5090788351322</v>
      </c>
      <c r="Z44" s="33">
        <f t="shared" si="25"/>
        <v>5090788351322</v>
      </c>
      <c r="AA44" s="33">
        <f t="shared" si="25"/>
        <v>5090788351322</v>
      </c>
      <c r="AB44" s="33">
        <f t="shared" si="25"/>
        <v>5090788351322</v>
      </c>
      <c r="AC44" s="33">
        <f t="shared" si="25"/>
        <v>5090788351322</v>
      </c>
      <c r="AD44" s="33">
        <f t="shared" si="25"/>
        <v>5090788351322</v>
      </c>
      <c r="AE44" s="33">
        <f t="shared" si="25"/>
        <v>5090788351322</v>
      </c>
      <c r="AF44" s="33">
        <f t="shared" si="25"/>
        <v>5090788351322</v>
      </c>
      <c r="AG44" s="33">
        <f t="shared" si="25"/>
        <v>5090788351322</v>
      </c>
      <c r="AH44" s="33">
        <f t="shared" si="25"/>
        <v>5090788351322</v>
      </c>
      <c r="AI44" s="33">
        <f t="shared" si="25"/>
        <v>5090788351322</v>
      </c>
      <c r="AJ44" s="33">
        <f t="shared" si="25"/>
        <v>5090788351322</v>
      </c>
      <c r="AK44" s="33">
        <f t="shared" si="25"/>
        <v>5090788351322</v>
      </c>
    </row>
    <row r="45" spans="1:37" x14ac:dyDescent="0.2">
      <c r="A45" s="1" t="s">
        <v>156</v>
      </c>
      <c r="B45" s="33">
        <f>0</f>
        <v>0</v>
      </c>
      <c r="C45" s="33">
        <f>0</f>
        <v>0</v>
      </c>
      <c r="D45" s="33">
        <f>0</f>
        <v>0</v>
      </c>
      <c r="E45" s="33">
        <f>0</f>
        <v>0</v>
      </c>
      <c r="F45" s="33">
        <f>0</f>
        <v>0</v>
      </c>
      <c r="G45" s="33">
        <f>0</f>
        <v>0</v>
      </c>
      <c r="H45" s="33">
        <f t="shared" si="11"/>
        <v>0</v>
      </c>
      <c r="I45" s="33">
        <f>0</f>
        <v>0</v>
      </c>
      <c r="J45" s="33">
        <f>I45</f>
        <v>0</v>
      </c>
      <c r="K45" s="33">
        <f t="shared" ref="K45:AK45" si="26">J45</f>
        <v>0</v>
      </c>
      <c r="L45" s="33">
        <f t="shared" si="26"/>
        <v>0</v>
      </c>
      <c r="M45" s="33">
        <f t="shared" si="26"/>
        <v>0</v>
      </c>
      <c r="N45" s="33">
        <f t="shared" si="26"/>
        <v>0</v>
      </c>
      <c r="O45" s="33">
        <f t="shared" si="26"/>
        <v>0</v>
      </c>
      <c r="P45" s="33">
        <f t="shared" si="26"/>
        <v>0</v>
      </c>
      <c r="Q45" s="33">
        <f t="shared" si="26"/>
        <v>0</v>
      </c>
      <c r="R45" s="33">
        <f t="shared" si="26"/>
        <v>0</v>
      </c>
      <c r="S45" s="33">
        <f t="shared" si="26"/>
        <v>0</v>
      </c>
      <c r="T45" s="33">
        <f t="shared" si="26"/>
        <v>0</v>
      </c>
      <c r="U45" s="33">
        <f t="shared" si="26"/>
        <v>0</v>
      </c>
      <c r="V45" s="33">
        <f t="shared" si="26"/>
        <v>0</v>
      </c>
      <c r="W45" s="33">
        <f t="shared" si="26"/>
        <v>0</v>
      </c>
      <c r="X45" s="33">
        <f t="shared" si="26"/>
        <v>0</v>
      </c>
      <c r="Y45" s="33">
        <f t="shared" si="26"/>
        <v>0</v>
      </c>
      <c r="Z45" s="33">
        <f t="shared" si="26"/>
        <v>0</v>
      </c>
      <c r="AA45" s="33">
        <f t="shared" si="26"/>
        <v>0</v>
      </c>
      <c r="AB45" s="33">
        <f t="shared" si="26"/>
        <v>0</v>
      </c>
      <c r="AC45" s="33">
        <f t="shared" si="26"/>
        <v>0</v>
      </c>
      <c r="AD45" s="33">
        <f t="shared" si="26"/>
        <v>0</v>
      </c>
      <c r="AE45" s="33">
        <f t="shared" si="26"/>
        <v>0</v>
      </c>
      <c r="AF45" s="33">
        <f t="shared" si="26"/>
        <v>0</v>
      </c>
      <c r="AG45" s="33">
        <f t="shared" si="26"/>
        <v>0</v>
      </c>
      <c r="AH45" s="33">
        <f t="shared" si="26"/>
        <v>0</v>
      </c>
      <c r="AI45" s="33">
        <f t="shared" si="26"/>
        <v>0</v>
      </c>
      <c r="AJ45" s="33">
        <f t="shared" si="26"/>
        <v>0</v>
      </c>
      <c r="AK45" s="33">
        <f t="shared" si="26"/>
        <v>0</v>
      </c>
    </row>
    <row r="46" spans="1:37" x14ac:dyDescent="0.2">
      <c r="A46" s="1" t="s">
        <v>63</v>
      </c>
      <c r="B46" s="33">
        <f>'Brazil Energy Balance'!C114*'Brazil Energy Balance'!B125</f>
        <v>0</v>
      </c>
      <c r="C46" s="33">
        <f>0</f>
        <v>0</v>
      </c>
      <c r="D46" s="33">
        <f>0</f>
        <v>0</v>
      </c>
      <c r="E46" s="33">
        <f>0</f>
        <v>0</v>
      </c>
      <c r="F46" s="33">
        <f>0</f>
        <v>0</v>
      </c>
      <c r="G46" s="33">
        <f>0</f>
        <v>0</v>
      </c>
      <c r="H46" s="33">
        <f t="shared" si="11"/>
        <v>0</v>
      </c>
      <c r="I46" s="33">
        <f>0</f>
        <v>0</v>
      </c>
      <c r="J46" s="33">
        <f>I46</f>
        <v>0</v>
      </c>
      <c r="K46" s="33">
        <f t="shared" ref="K46:AK46" si="27">J46</f>
        <v>0</v>
      </c>
      <c r="L46" s="33">
        <f t="shared" si="27"/>
        <v>0</v>
      </c>
      <c r="M46" s="33">
        <f t="shared" si="27"/>
        <v>0</v>
      </c>
      <c r="N46" s="33">
        <f t="shared" si="27"/>
        <v>0</v>
      </c>
      <c r="O46" s="33">
        <f t="shared" si="27"/>
        <v>0</v>
      </c>
      <c r="P46" s="33">
        <f t="shared" si="27"/>
        <v>0</v>
      </c>
      <c r="Q46" s="33">
        <f t="shared" si="27"/>
        <v>0</v>
      </c>
      <c r="R46" s="33">
        <f t="shared" si="27"/>
        <v>0</v>
      </c>
      <c r="S46" s="33">
        <f t="shared" si="27"/>
        <v>0</v>
      </c>
      <c r="T46" s="33">
        <f t="shared" si="27"/>
        <v>0</v>
      </c>
      <c r="U46" s="33">
        <f t="shared" si="27"/>
        <v>0</v>
      </c>
      <c r="V46" s="33">
        <f t="shared" si="27"/>
        <v>0</v>
      </c>
      <c r="W46" s="33">
        <f t="shared" si="27"/>
        <v>0</v>
      </c>
      <c r="X46" s="33">
        <f t="shared" si="27"/>
        <v>0</v>
      </c>
      <c r="Y46" s="33">
        <f t="shared" si="27"/>
        <v>0</v>
      </c>
      <c r="Z46" s="33">
        <f t="shared" si="27"/>
        <v>0</v>
      </c>
      <c r="AA46" s="33">
        <f t="shared" si="27"/>
        <v>0</v>
      </c>
      <c r="AB46" s="33">
        <f t="shared" si="27"/>
        <v>0</v>
      </c>
      <c r="AC46" s="33">
        <f t="shared" si="27"/>
        <v>0</v>
      </c>
      <c r="AD46" s="33">
        <f t="shared" si="27"/>
        <v>0</v>
      </c>
      <c r="AE46" s="33">
        <f t="shared" si="27"/>
        <v>0</v>
      </c>
      <c r="AF46" s="33">
        <f t="shared" si="27"/>
        <v>0</v>
      </c>
      <c r="AG46" s="33">
        <f t="shared" si="27"/>
        <v>0</v>
      </c>
      <c r="AH46" s="33">
        <f t="shared" si="27"/>
        <v>0</v>
      </c>
      <c r="AI46" s="33">
        <f t="shared" si="27"/>
        <v>0</v>
      </c>
      <c r="AJ46" s="33">
        <f t="shared" si="27"/>
        <v>0</v>
      </c>
      <c r="AK46" s="33">
        <f t="shared" si="27"/>
        <v>0</v>
      </c>
    </row>
    <row r="49" spans="1:37" x14ac:dyDescent="0.2">
      <c r="A49" s="1" t="s">
        <v>212</v>
      </c>
      <c r="B49" s="1">
        <v>2015</v>
      </c>
      <c r="C49" s="1">
        <v>2016</v>
      </c>
      <c r="D49" s="1">
        <v>2017</v>
      </c>
      <c r="E49" s="1">
        <v>2018</v>
      </c>
      <c r="F49" s="1">
        <v>2019</v>
      </c>
      <c r="G49" s="1">
        <v>2020</v>
      </c>
      <c r="H49" s="37">
        <v>2021</v>
      </c>
      <c r="I49" s="1">
        <v>2022</v>
      </c>
      <c r="J49" s="37">
        <v>2023</v>
      </c>
      <c r="K49" s="1">
        <v>2024</v>
      </c>
      <c r="L49" s="37">
        <v>2025</v>
      </c>
      <c r="M49" s="1">
        <v>2026</v>
      </c>
      <c r="N49" s="37">
        <v>2027</v>
      </c>
      <c r="O49" s="1">
        <v>2028</v>
      </c>
      <c r="P49" s="37">
        <v>2029</v>
      </c>
      <c r="Q49" s="1">
        <v>2030</v>
      </c>
      <c r="R49" s="37">
        <v>2031</v>
      </c>
      <c r="S49" s="1">
        <v>2032</v>
      </c>
      <c r="T49" s="37">
        <v>2033</v>
      </c>
      <c r="U49" s="37">
        <v>2034</v>
      </c>
      <c r="V49" s="37">
        <v>2035</v>
      </c>
      <c r="W49" s="37">
        <v>2036</v>
      </c>
      <c r="X49" s="37">
        <v>2037</v>
      </c>
      <c r="Y49" s="37">
        <v>2038</v>
      </c>
      <c r="Z49" s="37">
        <v>2039</v>
      </c>
      <c r="AA49" s="37">
        <v>2040</v>
      </c>
      <c r="AB49" s="37">
        <v>2041</v>
      </c>
      <c r="AC49" s="37">
        <v>2042</v>
      </c>
      <c r="AD49" s="37">
        <v>2043</v>
      </c>
      <c r="AE49" s="37">
        <v>2044</v>
      </c>
      <c r="AF49" s="37">
        <v>2045</v>
      </c>
      <c r="AG49" s="37">
        <v>2046</v>
      </c>
      <c r="AH49" s="37">
        <v>2047</v>
      </c>
      <c r="AI49" s="37">
        <v>2048</v>
      </c>
      <c r="AJ49" s="37">
        <v>2049</v>
      </c>
      <c r="AK49" s="37">
        <v>2050</v>
      </c>
    </row>
    <row r="50" spans="1:37" x14ac:dyDescent="0.2">
      <c r="A50" s="1" t="s">
        <v>149</v>
      </c>
      <c r="B50" s="33">
        <v>0</v>
      </c>
      <c r="C50" s="33">
        <v>0</v>
      </c>
      <c r="D50" s="33">
        <v>0</v>
      </c>
      <c r="E50" s="33">
        <v>0</v>
      </c>
      <c r="F50" s="33">
        <v>0</v>
      </c>
      <c r="G50" s="33">
        <v>0</v>
      </c>
      <c r="H50" s="33">
        <f>G50</f>
        <v>0</v>
      </c>
      <c r="I50" s="33">
        <v>0</v>
      </c>
      <c r="J50" s="33">
        <v>0</v>
      </c>
      <c r="K50" s="33">
        <v>0</v>
      </c>
      <c r="L50" s="33">
        <v>0</v>
      </c>
      <c r="M50" s="33">
        <v>0</v>
      </c>
      <c r="N50" s="33">
        <v>0</v>
      </c>
      <c r="O50" s="33">
        <v>0</v>
      </c>
      <c r="P50" s="33">
        <v>0</v>
      </c>
      <c r="Q50" s="33">
        <v>0</v>
      </c>
      <c r="R50" s="33">
        <v>0</v>
      </c>
      <c r="S50" s="33">
        <v>0</v>
      </c>
      <c r="T50" s="33">
        <v>0</v>
      </c>
      <c r="U50" s="33">
        <v>0</v>
      </c>
      <c r="V50" s="33">
        <v>0</v>
      </c>
      <c r="W50" s="33">
        <v>0</v>
      </c>
      <c r="X50" s="33">
        <v>0</v>
      </c>
      <c r="Y50" s="33">
        <v>0</v>
      </c>
      <c r="Z50" s="33">
        <v>0</v>
      </c>
      <c r="AA50" s="33">
        <v>0</v>
      </c>
      <c r="AB50" s="33">
        <v>0</v>
      </c>
      <c r="AC50" s="33">
        <v>0</v>
      </c>
      <c r="AD50" s="33">
        <v>0</v>
      </c>
      <c r="AE50" s="33">
        <v>0</v>
      </c>
      <c r="AF50" s="33">
        <v>0</v>
      </c>
      <c r="AG50" s="33">
        <v>0</v>
      </c>
      <c r="AH50" s="33">
        <v>0</v>
      </c>
      <c r="AI50" s="33">
        <v>0</v>
      </c>
      <c r="AJ50" s="33">
        <v>0</v>
      </c>
      <c r="AK50" s="33">
        <v>0</v>
      </c>
    </row>
    <row r="51" spans="1:37" x14ac:dyDescent="0.2">
      <c r="A51" s="1" t="s">
        <v>55</v>
      </c>
      <c r="B51" s="33">
        <f>-'Brazil Energy Balance'!D975*'Brazil Energy Balance'!B82 - 'Brazil Energy Balance'!T75*'Brazil Energy Balance'!B82</f>
        <v>0</v>
      </c>
      <c r="C51" s="33">
        <f>-'Brazil Energy Balance'!D65*'Brazil Energy Balance'!B82 - 'Brazil Energy Balance'!T65*'Brazil Energy Balance'!B82</f>
        <v>0</v>
      </c>
      <c r="D51" s="33">
        <f>-'Brazil Energy Balance'!D55*'Brazil Energy Balance'!B82  - 'Brazil Energy Balance'!T55*'Brazil Energy Balance'!B82</f>
        <v>0</v>
      </c>
      <c r="E51" s="33">
        <f>-'Brazil Energy Balance'!D45*'Brazil Energy Balance'!B82  - 'Brazil Energy Balance'!T45*'Brazil Energy Balance'!B82</f>
        <v>0</v>
      </c>
      <c r="F51" s="33">
        <f>-'Brazil Energy Balance'!D35*'Brazil Energy Balance'!B82  - 'Brazil Energy Balance'!T35*'Brazil Energy Balance'!B82</f>
        <v>0</v>
      </c>
      <c r="G51" s="33">
        <f>-'Brazil Energy Balance'!D25*'Brazil Energy Balance'!B82  - 'Brazil Energy Balance'!T25*'Brazil Energy Balance'!B82</f>
        <v>0</v>
      </c>
      <c r="H51" s="33">
        <f t="shared" ref="H51:H70" si="28">G51</f>
        <v>0</v>
      </c>
      <c r="I51" s="33">
        <f>-'Brazil Energy Balance'!D7*'Brazil Energy Balance'!B82  - 'Brazil Energy Balance'!T7*'Brazil Energy Balance'!B82</f>
        <v>0</v>
      </c>
      <c r="J51" s="33">
        <f>I51</f>
        <v>0</v>
      </c>
      <c r="K51" s="33">
        <f t="shared" ref="K51:AK51" si="29">J51</f>
        <v>0</v>
      </c>
      <c r="L51" s="33">
        <f t="shared" si="29"/>
        <v>0</v>
      </c>
      <c r="M51" s="33">
        <f t="shared" si="29"/>
        <v>0</v>
      </c>
      <c r="N51" s="33">
        <f t="shared" si="29"/>
        <v>0</v>
      </c>
      <c r="O51" s="33">
        <f t="shared" si="29"/>
        <v>0</v>
      </c>
      <c r="P51" s="33">
        <f t="shared" si="29"/>
        <v>0</v>
      </c>
      <c r="Q51" s="33">
        <f t="shared" si="29"/>
        <v>0</v>
      </c>
      <c r="R51" s="33">
        <f t="shared" si="29"/>
        <v>0</v>
      </c>
      <c r="S51" s="33">
        <f t="shared" si="29"/>
        <v>0</v>
      </c>
      <c r="T51" s="33">
        <f t="shared" si="29"/>
        <v>0</v>
      </c>
      <c r="U51" s="33">
        <f t="shared" si="29"/>
        <v>0</v>
      </c>
      <c r="V51" s="33">
        <f t="shared" si="29"/>
        <v>0</v>
      </c>
      <c r="W51" s="33">
        <f t="shared" si="29"/>
        <v>0</v>
      </c>
      <c r="X51" s="33">
        <f t="shared" si="29"/>
        <v>0</v>
      </c>
      <c r="Y51" s="33">
        <f t="shared" si="29"/>
        <v>0</v>
      </c>
      <c r="Z51" s="33">
        <f t="shared" si="29"/>
        <v>0</v>
      </c>
      <c r="AA51" s="33">
        <f t="shared" si="29"/>
        <v>0</v>
      </c>
      <c r="AB51" s="33">
        <f t="shared" si="29"/>
        <v>0</v>
      </c>
      <c r="AC51" s="33">
        <f t="shared" si="29"/>
        <v>0</v>
      </c>
      <c r="AD51" s="33">
        <f t="shared" si="29"/>
        <v>0</v>
      </c>
      <c r="AE51" s="33">
        <f t="shared" si="29"/>
        <v>0</v>
      </c>
      <c r="AF51" s="33">
        <f t="shared" si="29"/>
        <v>0</v>
      </c>
      <c r="AG51" s="33">
        <f t="shared" si="29"/>
        <v>0</v>
      </c>
      <c r="AH51" s="33">
        <f t="shared" si="29"/>
        <v>0</v>
      </c>
      <c r="AI51" s="33">
        <f t="shared" si="29"/>
        <v>0</v>
      </c>
      <c r="AJ51" s="33">
        <f t="shared" si="29"/>
        <v>0</v>
      </c>
      <c r="AK51" s="33">
        <f t="shared" si="29"/>
        <v>0</v>
      </c>
    </row>
    <row r="52" spans="1:37" x14ac:dyDescent="0.2">
      <c r="A52" s="1" t="s">
        <v>13</v>
      </c>
      <c r="B52" s="33">
        <f>-'Brazil Energy Balance'!C75*'Brazil Energy Balance'!B82</f>
        <v>0</v>
      </c>
      <c r="C52" s="33">
        <f>'Brazil Energy Balance'!C86*'Brazil Energy Balance'!B106</f>
        <v>0</v>
      </c>
      <c r="D52" s="33">
        <f>'Brazil Energy Balance'!C76*'Brazil Energy Balance'!B106</f>
        <v>0</v>
      </c>
      <c r="E52" s="33">
        <f>'Brazil Energy Balance'!C66*'Brazil Energy Balance'!B106</f>
        <v>0</v>
      </c>
      <c r="F52" s="33">
        <f>'Brazil Energy Balance'!C56*'Brazil Energy Balance'!B106</f>
        <v>0</v>
      </c>
      <c r="G52" s="33">
        <f>'Brazil Energy Balance'!C46*'Brazil Energy Balance'!B106</f>
        <v>0</v>
      </c>
      <c r="H52" s="33">
        <f t="shared" si="28"/>
        <v>0</v>
      </c>
      <c r="I52" s="33">
        <f>'Brazil Energy Balance'!C28*'Brazil Energy Balance'!B106</f>
        <v>0</v>
      </c>
      <c r="J52" s="33">
        <f>I52</f>
        <v>0</v>
      </c>
      <c r="K52" s="33">
        <f t="shared" ref="K52:AK52" si="30">J52</f>
        <v>0</v>
      </c>
      <c r="L52" s="33">
        <f t="shared" si="30"/>
        <v>0</v>
      </c>
      <c r="M52" s="33">
        <f t="shared" si="30"/>
        <v>0</v>
      </c>
      <c r="N52" s="33">
        <f t="shared" si="30"/>
        <v>0</v>
      </c>
      <c r="O52" s="33">
        <f t="shared" si="30"/>
        <v>0</v>
      </c>
      <c r="P52" s="33">
        <f t="shared" si="30"/>
        <v>0</v>
      </c>
      <c r="Q52" s="33">
        <f t="shared" si="30"/>
        <v>0</v>
      </c>
      <c r="R52" s="33">
        <f t="shared" si="30"/>
        <v>0</v>
      </c>
      <c r="S52" s="33">
        <f t="shared" si="30"/>
        <v>0</v>
      </c>
      <c r="T52" s="33">
        <f t="shared" si="30"/>
        <v>0</v>
      </c>
      <c r="U52" s="33">
        <f t="shared" si="30"/>
        <v>0</v>
      </c>
      <c r="V52" s="33">
        <f t="shared" si="30"/>
        <v>0</v>
      </c>
      <c r="W52" s="33">
        <f t="shared" si="30"/>
        <v>0</v>
      </c>
      <c r="X52" s="33">
        <f t="shared" si="30"/>
        <v>0</v>
      </c>
      <c r="Y52" s="33">
        <f t="shared" si="30"/>
        <v>0</v>
      </c>
      <c r="Z52" s="33">
        <f t="shared" si="30"/>
        <v>0</v>
      </c>
      <c r="AA52" s="33">
        <f t="shared" si="30"/>
        <v>0</v>
      </c>
      <c r="AB52" s="33">
        <f t="shared" si="30"/>
        <v>0</v>
      </c>
      <c r="AC52" s="33">
        <f t="shared" si="30"/>
        <v>0</v>
      </c>
      <c r="AD52" s="33">
        <f t="shared" si="30"/>
        <v>0</v>
      </c>
      <c r="AE52" s="33">
        <f t="shared" si="30"/>
        <v>0</v>
      </c>
      <c r="AF52" s="33">
        <f t="shared" si="30"/>
        <v>0</v>
      </c>
      <c r="AG52" s="33">
        <f t="shared" si="30"/>
        <v>0</v>
      </c>
      <c r="AH52" s="33">
        <f t="shared" si="30"/>
        <v>0</v>
      </c>
      <c r="AI52" s="33">
        <f t="shared" si="30"/>
        <v>0</v>
      </c>
      <c r="AJ52" s="33">
        <f t="shared" si="30"/>
        <v>0</v>
      </c>
      <c r="AK52" s="33">
        <f t="shared" si="30"/>
        <v>0</v>
      </c>
    </row>
    <row r="53" spans="1:37" x14ac:dyDescent="0.2">
      <c r="A53" s="1" t="s">
        <v>57</v>
      </c>
      <c r="B53" s="33">
        <f>'Brazil Energy Balance'!F96*'Brazil Energy Balance'!B106 + 'Brazil Energy Balance'!U96*'Brazil Energy Balance'!B106</f>
        <v>0</v>
      </c>
      <c r="C53" s="33">
        <f>'Brazil Energy Balance'!F86*'Brazil Energy Balance'!B106 + 'Brazil Energy Balance'!U86*'Brazil Energy Balance'!B106</f>
        <v>0</v>
      </c>
      <c r="D53" s="33">
        <f>'Brazil Energy Balance'!F76*'Brazil Energy Balance'!B106 + 'Brazil Energy Balance'!U76*'Brazil Energy Balance'!B106</f>
        <v>0</v>
      </c>
      <c r="E53" s="33">
        <f>'Brazil Energy Balance'!F66*'Brazil Energy Balance'!B106 + 'Brazil Energy Balance'!U66*'Brazil Energy Balance'!B106</f>
        <v>0</v>
      </c>
      <c r="F53" s="33">
        <f>'Brazil Energy Balance'!F56*'Brazil Energy Balance'!B106 + 'Brazil Energy Balance'!U56*'Brazil Energy Balance'!B106</f>
        <v>0</v>
      </c>
      <c r="G53" s="33">
        <f>'Brazil Energy Balance'!F46*'Brazil Energy Balance'!B106 + 'Brazil Energy Balance'!U46*'Brazil Energy Balance'!B106</f>
        <v>0</v>
      </c>
      <c r="H53" s="33">
        <f t="shared" si="28"/>
        <v>0</v>
      </c>
      <c r="I53" s="33">
        <f>'Brazil Energy Balance'!F28*'Brazil Energy Balance'!B106 + 'Brazil Energy Balance'!U28*'Brazil Energy Balance'!B106</f>
        <v>0</v>
      </c>
      <c r="J53" s="33">
        <f>I53</f>
        <v>0</v>
      </c>
      <c r="K53" s="33">
        <f t="shared" ref="K53:AK53" si="31">J53</f>
        <v>0</v>
      </c>
      <c r="L53" s="33">
        <f t="shared" si="31"/>
        <v>0</v>
      </c>
      <c r="M53" s="33">
        <f t="shared" si="31"/>
        <v>0</v>
      </c>
      <c r="N53" s="33">
        <f t="shared" si="31"/>
        <v>0</v>
      </c>
      <c r="O53" s="33">
        <f t="shared" si="31"/>
        <v>0</v>
      </c>
      <c r="P53" s="33">
        <f t="shared" si="31"/>
        <v>0</v>
      </c>
      <c r="Q53" s="33">
        <f t="shared" si="31"/>
        <v>0</v>
      </c>
      <c r="R53" s="33">
        <f t="shared" si="31"/>
        <v>0</v>
      </c>
      <c r="S53" s="33">
        <f t="shared" si="31"/>
        <v>0</v>
      </c>
      <c r="T53" s="33">
        <f t="shared" si="31"/>
        <v>0</v>
      </c>
      <c r="U53" s="33">
        <f t="shared" si="31"/>
        <v>0</v>
      </c>
      <c r="V53" s="33">
        <f t="shared" si="31"/>
        <v>0</v>
      </c>
      <c r="W53" s="33">
        <f t="shared" si="31"/>
        <v>0</v>
      </c>
      <c r="X53" s="33">
        <f t="shared" si="31"/>
        <v>0</v>
      </c>
      <c r="Y53" s="33">
        <f t="shared" si="31"/>
        <v>0</v>
      </c>
      <c r="Z53" s="33">
        <f t="shared" si="31"/>
        <v>0</v>
      </c>
      <c r="AA53" s="33">
        <f t="shared" si="31"/>
        <v>0</v>
      </c>
      <c r="AB53" s="33">
        <f t="shared" si="31"/>
        <v>0</v>
      </c>
      <c r="AC53" s="33">
        <f t="shared" si="31"/>
        <v>0</v>
      </c>
      <c r="AD53" s="33">
        <f t="shared" si="31"/>
        <v>0</v>
      </c>
      <c r="AE53" s="33">
        <f t="shared" si="31"/>
        <v>0</v>
      </c>
      <c r="AF53" s="33">
        <f t="shared" si="31"/>
        <v>0</v>
      </c>
      <c r="AG53" s="33">
        <f t="shared" si="31"/>
        <v>0</v>
      </c>
      <c r="AH53" s="33">
        <f t="shared" si="31"/>
        <v>0</v>
      </c>
      <c r="AI53" s="33">
        <f t="shared" si="31"/>
        <v>0</v>
      </c>
      <c r="AJ53" s="33">
        <f t="shared" si="31"/>
        <v>0</v>
      </c>
      <c r="AK53" s="33">
        <f t="shared" si="31"/>
        <v>0</v>
      </c>
    </row>
    <row r="54" spans="1:37" x14ac:dyDescent="0.2">
      <c r="A54" s="1" t="s">
        <v>150</v>
      </c>
      <c r="B54" s="33">
        <v>0</v>
      </c>
      <c r="C54" s="33">
        <v>0</v>
      </c>
      <c r="D54" s="33">
        <v>0</v>
      </c>
      <c r="E54" s="33">
        <v>0</v>
      </c>
      <c r="F54" s="33">
        <v>0</v>
      </c>
      <c r="G54" s="33">
        <v>0</v>
      </c>
      <c r="H54" s="33">
        <f t="shared" si="28"/>
        <v>0</v>
      </c>
      <c r="I54" s="33">
        <v>0</v>
      </c>
      <c r="J54" s="33">
        <v>0</v>
      </c>
      <c r="K54" s="33">
        <v>0</v>
      </c>
      <c r="L54" s="33">
        <v>0</v>
      </c>
      <c r="M54" s="33">
        <v>0</v>
      </c>
      <c r="N54" s="33">
        <v>0</v>
      </c>
      <c r="O54" s="33">
        <v>0</v>
      </c>
      <c r="P54" s="33">
        <v>0</v>
      </c>
      <c r="Q54" s="33">
        <v>0</v>
      </c>
      <c r="R54" s="33">
        <v>0</v>
      </c>
      <c r="S54" s="33">
        <v>0</v>
      </c>
      <c r="T54" s="33">
        <v>0</v>
      </c>
      <c r="U54" s="33">
        <v>0</v>
      </c>
      <c r="V54" s="33">
        <v>0</v>
      </c>
      <c r="W54" s="33">
        <v>0</v>
      </c>
      <c r="X54" s="33">
        <v>0</v>
      </c>
      <c r="Y54" s="33">
        <v>0</v>
      </c>
      <c r="Z54" s="33">
        <v>0</v>
      </c>
      <c r="AA54" s="33">
        <v>0</v>
      </c>
      <c r="AB54" s="33">
        <v>0</v>
      </c>
      <c r="AC54" s="33">
        <v>0</v>
      </c>
      <c r="AD54" s="33">
        <v>0</v>
      </c>
      <c r="AE54" s="33">
        <v>0</v>
      </c>
      <c r="AF54" s="33">
        <v>0</v>
      </c>
      <c r="AG54" s="33">
        <v>0</v>
      </c>
      <c r="AH54" s="33">
        <v>0</v>
      </c>
      <c r="AI54" s="33">
        <v>0</v>
      </c>
      <c r="AJ54" s="33">
        <v>0</v>
      </c>
      <c r="AK54" s="33">
        <v>0</v>
      </c>
    </row>
    <row r="55" spans="1:37" x14ac:dyDescent="0.2">
      <c r="A55" s="1" t="s">
        <v>151</v>
      </c>
      <c r="B55" s="33">
        <v>0</v>
      </c>
      <c r="C55" s="33">
        <v>0</v>
      </c>
      <c r="D55" s="33">
        <v>0</v>
      </c>
      <c r="E55" s="33">
        <v>0</v>
      </c>
      <c r="F55" s="33">
        <v>0</v>
      </c>
      <c r="G55" s="33">
        <v>0</v>
      </c>
      <c r="H55" s="33">
        <f t="shared" si="28"/>
        <v>0</v>
      </c>
      <c r="I55" s="33">
        <v>0</v>
      </c>
      <c r="J55" s="33">
        <v>0</v>
      </c>
      <c r="K55" s="33">
        <v>0</v>
      </c>
      <c r="L55" s="33">
        <v>0</v>
      </c>
      <c r="M55" s="33">
        <v>0</v>
      </c>
      <c r="N55" s="33">
        <v>0</v>
      </c>
      <c r="O55" s="33">
        <v>0</v>
      </c>
      <c r="P55" s="33">
        <v>0</v>
      </c>
      <c r="Q55" s="33">
        <v>0</v>
      </c>
      <c r="R55" s="33">
        <v>0</v>
      </c>
      <c r="S55" s="33">
        <v>0</v>
      </c>
      <c r="T55" s="33">
        <v>0</v>
      </c>
      <c r="U55" s="33">
        <v>0</v>
      </c>
      <c r="V55" s="33">
        <v>0</v>
      </c>
      <c r="W55" s="33">
        <v>0</v>
      </c>
      <c r="X55" s="33">
        <v>0</v>
      </c>
      <c r="Y55" s="33">
        <v>0</v>
      </c>
      <c r="Z55" s="33">
        <v>0</v>
      </c>
      <c r="AA55" s="33">
        <v>0</v>
      </c>
      <c r="AB55" s="33">
        <v>0</v>
      </c>
      <c r="AC55" s="33">
        <v>0</v>
      </c>
      <c r="AD55" s="33">
        <v>0</v>
      </c>
      <c r="AE55" s="33">
        <v>0</v>
      </c>
      <c r="AF55" s="33">
        <v>0</v>
      </c>
      <c r="AG55" s="33">
        <v>0</v>
      </c>
      <c r="AH55" s="33">
        <v>0</v>
      </c>
      <c r="AI55" s="33">
        <v>0</v>
      </c>
      <c r="AJ55" s="33">
        <v>0</v>
      </c>
      <c r="AK55" s="33">
        <v>0</v>
      </c>
    </row>
    <row r="56" spans="1:37" x14ac:dyDescent="0.2">
      <c r="A56" s="1" t="s">
        <v>152</v>
      </c>
      <c r="B56" s="33">
        <v>0</v>
      </c>
      <c r="C56" s="33">
        <v>0</v>
      </c>
      <c r="D56" s="33">
        <v>0</v>
      </c>
      <c r="E56" s="33">
        <v>0</v>
      </c>
      <c r="F56" s="33">
        <v>0</v>
      </c>
      <c r="G56" s="33">
        <v>0</v>
      </c>
      <c r="H56" s="33">
        <f t="shared" si="28"/>
        <v>0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3">
        <v>0</v>
      </c>
      <c r="O56" s="33">
        <v>0</v>
      </c>
      <c r="P56" s="33">
        <v>0</v>
      </c>
      <c r="Q56" s="33">
        <v>0</v>
      </c>
      <c r="R56" s="33">
        <v>0</v>
      </c>
      <c r="S56" s="33">
        <v>0</v>
      </c>
      <c r="T56" s="33">
        <v>0</v>
      </c>
      <c r="U56" s="33">
        <v>0</v>
      </c>
      <c r="V56" s="33">
        <v>0</v>
      </c>
      <c r="W56" s="33">
        <v>0</v>
      </c>
      <c r="X56" s="33">
        <v>0</v>
      </c>
      <c r="Y56" s="33">
        <v>0</v>
      </c>
      <c r="Z56" s="33">
        <v>0</v>
      </c>
      <c r="AA56" s="33">
        <v>0</v>
      </c>
      <c r="AB56" s="33">
        <v>0</v>
      </c>
      <c r="AC56" s="33">
        <v>0</v>
      </c>
      <c r="AD56" s="33">
        <v>0</v>
      </c>
      <c r="AE56" s="33">
        <v>0</v>
      </c>
      <c r="AF56" s="33">
        <v>0</v>
      </c>
      <c r="AG56" s="33">
        <v>0</v>
      </c>
      <c r="AH56" s="33">
        <v>0</v>
      </c>
      <c r="AI56" s="33">
        <v>0</v>
      </c>
      <c r="AJ56" s="33">
        <v>0</v>
      </c>
      <c r="AK56" s="33">
        <v>0</v>
      </c>
    </row>
    <row r="57" spans="1:37" x14ac:dyDescent="0.2">
      <c r="A57" s="1" t="s">
        <v>15</v>
      </c>
      <c r="B57" s="33">
        <f>'Brazil Energy Balance'!H96*'Brazil Energy Balance'!B106</f>
        <v>0</v>
      </c>
      <c r="C57" s="33">
        <f>'Brazil Energy Balance'!H86*'Brazil Energy Balance'!B106</f>
        <v>0</v>
      </c>
      <c r="D57" s="33">
        <f>'Brazil Energy Balance'!H76*'Brazil Energy Balance'!B106</f>
        <v>0</v>
      </c>
      <c r="E57" s="33">
        <f>'Brazil Energy Balance'!H66*'Brazil Energy Balance'!B106</f>
        <v>0</v>
      </c>
      <c r="F57" s="33">
        <f>'Brazil Energy Balance'!H56*'Brazil Energy Balance'!B106</f>
        <v>0</v>
      </c>
      <c r="G57" s="33">
        <f>'Brazil Energy Balance'!H46*'Brazil Energy Balance'!B106</f>
        <v>0</v>
      </c>
      <c r="H57" s="33">
        <f t="shared" si="28"/>
        <v>0</v>
      </c>
      <c r="I57" s="33">
        <f>'Brazil Energy Balance'!H28*'Brazil Energy Balance'!B106</f>
        <v>0</v>
      </c>
      <c r="J57" s="33">
        <f>I57</f>
        <v>0</v>
      </c>
      <c r="K57" s="33">
        <f t="shared" ref="K57:AK57" si="32">J57</f>
        <v>0</v>
      </c>
      <c r="L57" s="33">
        <f t="shared" si="32"/>
        <v>0</v>
      </c>
      <c r="M57" s="33">
        <f t="shared" si="32"/>
        <v>0</v>
      </c>
      <c r="N57" s="33">
        <f t="shared" si="32"/>
        <v>0</v>
      </c>
      <c r="O57" s="33">
        <f t="shared" si="32"/>
        <v>0</v>
      </c>
      <c r="P57" s="33">
        <f t="shared" si="32"/>
        <v>0</v>
      </c>
      <c r="Q57" s="33">
        <f t="shared" si="32"/>
        <v>0</v>
      </c>
      <c r="R57" s="33">
        <f t="shared" si="32"/>
        <v>0</v>
      </c>
      <c r="S57" s="33">
        <f t="shared" si="32"/>
        <v>0</v>
      </c>
      <c r="T57" s="33">
        <f t="shared" si="32"/>
        <v>0</v>
      </c>
      <c r="U57" s="33">
        <f t="shared" si="32"/>
        <v>0</v>
      </c>
      <c r="V57" s="33">
        <f t="shared" si="32"/>
        <v>0</v>
      </c>
      <c r="W57" s="33">
        <f t="shared" si="32"/>
        <v>0</v>
      </c>
      <c r="X57" s="33">
        <f t="shared" si="32"/>
        <v>0</v>
      </c>
      <c r="Y57" s="33">
        <f t="shared" si="32"/>
        <v>0</v>
      </c>
      <c r="Z57" s="33">
        <f t="shared" si="32"/>
        <v>0</v>
      </c>
      <c r="AA57" s="33">
        <f t="shared" si="32"/>
        <v>0</v>
      </c>
      <c r="AB57" s="33">
        <f t="shared" si="32"/>
        <v>0</v>
      </c>
      <c r="AC57" s="33">
        <f t="shared" si="32"/>
        <v>0</v>
      </c>
      <c r="AD57" s="33">
        <f t="shared" si="32"/>
        <v>0</v>
      </c>
      <c r="AE57" s="33">
        <f t="shared" si="32"/>
        <v>0</v>
      </c>
      <c r="AF57" s="33">
        <f t="shared" si="32"/>
        <v>0</v>
      </c>
      <c r="AG57" s="33">
        <f t="shared" si="32"/>
        <v>0</v>
      </c>
      <c r="AH57" s="33">
        <f t="shared" si="32"/>
        <v>0</v>
      </c>
      <c r="AI57" s="33">
        <f t="shared" si="32"/>
        <v>0</v>
      </c>
      <c r="AJ57" s="33">
        <f t="shared" si="32"/>
        <v>0</v>
      </c>
      <c r="AK57" s="33">
        <f t="shared" si="32"/>
        <v>0</v>
      </c>
    </row>
    <row r="58" spans="1:37" x14ac:dyDescent="0.2">
      <c r="A58" s="1" t="s">
        <v>19</v>
      </c>
      <c r="B58" s="33">
        <f>-'Brazil Energy Balance'!O75*'Brazil Energy Balance'!B82</f>
        <v>18809839364909.277</v>
      </c>
      <c r="C58" s="33">
        <f>-'Brazil Energy Balance'!O65*'Brazil Energy Balance'!B82</f>
        <v>22262278235683.762</v>
      </c>
      <c r="D58" s="33">
        <f>-'Brazil Energy Balance'!O55*'Brazil Energy Balance'!B82</f>
        <v>14603419591321.969</v>
      </c>
      <c r="E58" s="33">
        <f>-'Brazil Energy Balance'!O45*'Brazil Energy Balance'!B82</f>
        <v>42580079406218.68</v>
      </c>
      <c r="F58" s="33">
        <f>-'Brazil Energy Balance'!O35*'Brazil Energy Balance'!B82</f>
        <v>61548651592772.758</v>
      </c>
      <c r="G58" s="33">
        <f>-'Brazil Energy Balance'!O25*'Brazil Energy Balance'!B82</f>
        <v>72382166670030.625</v>
      </c>
      <c r="H58" s="33">
        <f t="shared" si="28"/>
        <v>72382166670030.625</v>
      </c>
      <c r="I58" s="33">
        <f>-'Brazil Energy Balance'!O7*'Brazil Energy Balance'!B82</f>
        <v>16666946272704.422</v>
      </c>
      <c r="J58" s="33">
        <f>_xlfn.FORECAST.LINEAR(J$49,$B58:$I58,$B$49:$I$49)</f>
        <v>63077872258442</v>
      </c>
      <c r="K58" s="33">
        <f t="shared" ref="K58:AK62" si="33">_xlfn.FORECAST.LINEAR(K$49,$B58:$I58,$B$49:$I$49)</f>
        <v>68171967543548</v>
      </c>
      <c r="L58" s="33">
        <f t="shared" si="33"/>
        <v>73266062828656</v>
      </c>
      <c r="M58" s="33">
        <f t="shared" si="33"/>
        <v>78360158113762</v>
      </c>
      <c r="N58" s="33">
        <f t="shared" si="33"/>
        <v>83454253398868</v>
      </c>
      <c r="O58" s="33">
        <f t="shared" si="33"/>
        <v>88548348683976</v>
      </c>
      <c r="P58" s="33">
        <f t="shared" si="33"/>
        <v>93642443969082</v>
      </c>
      <c r="Q58" s="33">
        <f t="shared" si="33"/>
        <v>98736539254190</v>
      </c>
      <c r="R58" s="33">
        <f t="shared" si="33"/>
        <v>103830634539296</v>
      </c>
      <c r="S58" s="33">
        <f t="shared" si="33"/>
        <v>108924729824404</v>
      </c>
      <c r="T58" s="33">
        <f t="shared" si="33"/>
        <v>114018825109510</v>
      </c>
      <c r="U58" s="33">
        <f t="shared" si="33"/>
        <v>119112920394618</v>
      </c>
      <c r="V58" s="33">
        <f t="shared" si="33"/>
        <v>124207015679724</v>
      </c>
      <c r="W58" s="33">
        <f t="shared" si="33"/>
        <v>129301110964832</v>
      </c>
      <c r="X58" s="33">
        <f t="shared" si="33"/>
        <v>134395206249938</v>
      </c>
      <c r="Y58" s="33">
        <f t="shared" si="33"/>
        <v>139489301535044</v>
      </c>
      <c r="Z58" s="33">
        <f t="shared" si="33"/>
        <v>144583396820152</v>
      </c>
      <c r="AA58" s="33">
        <f t="shared" si="33"/>
        <v>149677492105258</v>
      </c>
      <c r="AB58" s="33">
        <f t="shared" si="33"/>
        <v>154771587390366</v>
      </c>
      <c r="AC58" s="33">
        <f t="shared" si="33"/>
        <v>159865682675472</v>
      </c>
      <c r="AD58" s="33">
        <f t="shared" si="33"/>
        <v>164959777960580</v>
      </c>
      <c r="AE58" s="33">
        <f t="shared" si="33"/>
        <v>170053873245686</v>
      </c>
      <c r="AF58" s="33">
        <f t="shared" si="33"/>
        <v>175147968530794</v>
      </c>
      <c r="AG58" s="33">
        <f t="shared" si="33"/>
        <v>180242063815900</v>
      </c>
      <c r="AH58" s="33">
        <f t="shared" si="33"/>
        <v>185336159101008</v>
      </c>
      <c r="AI58" s="33">
        <f t="shared" si="33"/>
        <v>190430254386114</v>
      </c>
      <c r="AJ58" s="33">
        <f t="shared" si="33"/>
        <v>195524349671220</v>
      </c>
      <c r="AK58" s="33">
        <f t="shared" si="33"/>
        <v>200618444956328</v>
      </c>
    </row>
    <row r="59" spans="1:37" x14ac:dyDescent="0.2">
      <c r="A59" s="1" t="s">
        <v>21</v>
      </c>
      <c r="B59" s="33">
        <f>-'Brazil Energy Balance'!M75*'Brazil Energy Balance'!B82</f>
        <v>25833766722691.855</v>
      </c>
      <c r="C59" s="33">
        <f>-'Brazil Energy Balance'!M65*'Brazil Energy Balance'!B82</f>
        <v>28016343020307.91</v>
      </c>
      <c r="D59" s="33">
        <f>-'Brazil Energy Balance'!M55*'Brazil Energy Balance'!B82</f>
        <v>23095625549318.984</v>
      </c>
      <c r="E59" s="33">
        <f>-'Brazil Energy Balance'!M45*'Brazil Energy Balance'!B82</f>
        <v>48096044958375.617</v>
      </c>
      <c r="F59" s="33">
        <f>-'Brazil Energy Balance'!M35*'Brazil Energy Balance'!B82</f>
        <v>20198751554301.312</v>
      </c>
      <c r="G59" s="33">
        <f>-'Brazil Energy Balance'!M25*'Brazil Energy Balance'!B82</f>
        <v>31984663561428.008</v>
      </c>
      <c r="H59" s="33">
        <f t="shared" si="28"/>
        <v>31984663561428.008</v>
      </c>
      <c r="I59" s="33">
        <f>-'Brazil Energy Balance'!M7*'Brazil Energy Balance'!B82</f>
        <v>21706713359926.949</v>
      </c>
      <c r="J59" s="33">
        <f t="shared" ref="J59:Y60" si="34">_xlfn.FORECAST.LINEAR(J$49,$B59:$I59,$B$49:$I$49)</f>
        <v>28313967060891.906</v>
      </c>
      <c r="K59" s="33">
        <f t="shared" si="34"/>
        <v>28191610510874.031</v>
      </c>
      <c r="L59" s="33">
        <f t="shared" si="34"/>
        <v>28069253960856.156</v>
      </c>
      <c r="M59" s="33">
        <f t="shared" si="34"/>
        <v>27946897410838.312</v>
      </c>
      <c r="N59" s="33">
        <f t="shared" si="34"/>
        <v>27824540860820.438</v>
      </c>
      <c r="O59" s="33">
        <f t="shared" si="34"/>
        <v>27702184310802.562</v>
      </c>
      <c r="P59" s="33">
        <f t="shared" si="34"/>
        <v>27579827760784.688</v>
      </c>
      <c r="Q59" s="33">
        <f t="shared" si="34"/>
        <v>27457471210766.812</v>
      </c>
      <c r="R59" s="33">
        <f t="shared" si="34"/>
        <v>27335114660748.938</v>
      </c>
      <c r="S59" s="33">
        <f t="shared" si="34"/>
        <v>27212758110731.094</v>
      </c>
      <c r="T59" s="33">
        <f t="shared" si="34"/>
        <v>27090401560713.219</v>
      </c>
      <c r="U59" s="33">
        <f t="shared" si="34"/>
        <v>26968045010695.344</v>
      </c>
      <c r="V59" s="33">
        <f t="shared" si="34"/>
        <v>26845688460677.469</v>
      </c>
      <c r="W59" s="33">
        <f t="shared" si="34"/>
        <v>26723331910659.594</v>
      </c>
      <c r="X59" s="33">
        <f t="shared" si="34"/>
        <v>26600975360641.719</v>
      </c>
      <c r="Y59" s="33">
        <f t="shared" si="34"/>
        <v>26478618810623.844</v>
      </c>
      <c r="Z59" s="33">
        <f t="shared" si="33"/>
        <v>26356262260606</v>
      </c>
      <c r="AA59" s="33">
        <f t="shared" si="33"/>
        <v>26233905710588.125</v>
      </c>
      <c r="AB59" s="33">
        <f t="shared" si="33"/>
        <v>26111549160570.25</v>
      </c>
      <c r="AC59" s="33">
        <f t="shared" si="33"/>
        <v>25989192610552.375</v>
      </c>
      <c r="AD59" s="33">
        <f t="shared" si="33"/>
        <v>25866836060534.5</v>
      </c>
      <c r="AE59" s="33">
        <f t="shared" si="33"/>
        <v>25744479510516.625</v>
      </c>
      <c r="AF59" s="33">
        <f t="shared" si="33"/>
        <v>25622122960498.781</v>
      </c>
      <c r="AG59" s="33">
        <f t="shared" si="33"/>
        <v>25499766410480.906</v>
      </c>
      <c r="AH59" s="33">
        <f t="shared" si="33"/>
        <v>25377409860463.031</v>
      </c>
      <c r="AI59" s="33">
        <f t="shared" si="33"/>
        <v>25255053310445.156</v>
      </c>
      <c r="AJ59" s="33">
        <f t="shared" si="33"/>
        <v>25132696760427.281</v>
      </c>
      <c r="AK59" s="33">
        <f t="shared" si="33"/>
        <v>25010340210409.406</v>
      </c>
    </row>
    <row r="60" spans="1:37" x14ac:dyDescent="0.2">
      <c r="A60" s="1" t="s">
        <v>22</v>
      </c>
      <c r="B60" s="33">
        <f>-'Brazil Energy Balance'!X75*'Brazil Energy Balance'!B82</f>
        <v>43968991595610.711</v>
      </c>
      <c r="C60" s="33">
        <f>-'Brazil Energy Balance'!X65*'Brazil Energy Balance'!B82</f>
        <v>37103797059472.938</v>
      </c>
      <c r="D60" s="33">
        <f>-'Brazil Energy Balance'!X55*'Brazil Energy Balance'!B82</f>
        <v>28889373539354.332</v>
      </c>
      <c r="E60" s="33">
        <f>-'Brazil Energy Balance'!X45*'Brazil Energy Balance'!B82</f>
        <v>35040270378090.488</v>
      </c>
      <c r="F60" s="33">
        <f>-'Brazil Energy Balance'!X35*'Brazil Energy Balance'!B82</f>
        <v>40397503108602.625</v>
      </c>
      <c r="G60" s="33">
        <f>-'Brazil Energy Balance'!X25*'Brazil Energy Balance'!B82</f>
        <v>42183247352106.664</v>
      </c>
      <c r="H60" s="33">
        <f t="shared" si="28"/>
        <v>42183247352106.664</v>
      </c>
      <c r="I60" s="33">
        <f>-'Brazil Energy Balance'!X7*'Brazil Energy Balance'!B82</f>
        <v>49008758682833.242</v>
      </c>
      <c r="J60" s="33">
        <f t="shared" si="34"/>
        <v>45520888378656</v>
      </c>
      <c r="K60" s="33">
        <f t="shared" si="33"/>
        <v>46781774988685.5</v>
      </c>
      <c r="L60" s="33">
        <f t="shared" si="33"/>
        <v>48042661598715</v>
      </c>
      <c r="M60" s="33">
        <f t="shared" si="33"/>
        <v>49303548208745</v>
      </c>
      <c r="N60" s="33">
        <f t="shared" si="33"/>
        <v>50564434818774.5</v>
      </c>
      <c r="O60" s="33">
        <f t="shared" si="33"/>
        <v>51825321428804.5</v>
      </c>
      <c r="P60" s="33">
        <f t="shared" si="33"/>
        <v>53086208038834</v>
      </c>
      <c r="Q60" s="33">
        <f t="shared" si="33"/>
        <v>54347094648864</v>
      </c>
      <c r="R60" s="33">
        <f t="shared" si="33"/>
        <v>55607981258893.5</v>
      </c>
      <c r="S60" s="33">
        <f t="shared" si="33"/>
        <v>56868867868923</v>
      </c>
      <c r="T60" s="33">
        <f t="shared" si="33"/>
        <v>58129754478953</v>
      </c>
      <c r="U60" s="33">
        <f t="shared" si="33"/>
        <v>59390641088982.5</v>
      </c>
      <c r="V60" s="33">
        <f t="shared" si="33"/>
        <v>60651527699012.5</v>
      </c>
      <c r="W60" s="33">
        <f t="shared" si="33"/>
        <v>61912414309042</v>
      </c>
      <c r="X60" s="33">
        <f t="shared" si="33"/>
        <v>63173300919071.5</v>
      </c>
      <c r="Y60" s="33">
        <f t="shared" si="33"/>
        <v>64434187529101.5</v>
      </c>
      <c r="Z60" s="33">
        <f t="shared" si="33"/>
        <v>65695074139131</v>
      </c>
      <c r="AA60" s="33">
        <f t="shared" si="33"/>
        <v>66955960749161</v>
      </c>
      <c r="AB60" s="33">
        <f t="shared" si="33"/>
        <v>68216847359190.5</v>
      </c>
      <c r="AC60" s="33">
        <f t="shared" si="33"/>
        <v>69477733969220.5</v>
      </c>
      <c r="AD60" s="33">
        <f t="shared" si="33"/>
        <v>70738620579250</v>
      </c>
      <c r="AE60" s="33">
        <f t="shared" si="33"/>
        <v>71999507189279.5</v>
      </c>
      <c r="AF60" s="33">
        <f t="shared" si="33"/>
        <v>73260393799309.5</v>
      </c>
      <c r="AG60" s="33">
        <f t="shared" si="33"/>
        <v>74521280409339</v>
      </c>
      <c r="AH60" s="33">
        <f t="shared" si="33"/>
        <v>75782167019369</v>
      </c>
      <c r="AI60" s="33">
        <f t="shared" si="33"/>
        <v>77043053629398.5</v>
      </c>
      <c r="AJ60" s="33">
        <f t="shared" si="33"/>
        <v>78303940239428</v>
      </c>
      <c r="AK60" s="33">
        <f t="shared" si="33"/>
        <v>79564826849458</v>
      </c>
    </row>
    <row r="61" spans="1:37" x14ac:dyDescent="0.2">
      <c r="A61" s="1" t="s">
        <v>23</v>
      </c>
      <c r="B61" s="33">
        <f>0</f>
        <v>0</v>
      </c>
      <c r="C61" s="33">
        <f>0</f>
        <v>0</v>
      </c>
      <c r="D61" s="33">
        <f>0</f>
        <v>0</v>
      </c>
      <c r="E61" s="33">
        <f>0</f>
        <v>0</v>
      </c>
      <c r="F61" s="33">
        <f>0</f>
        <v>0</v>
      </c>
      <c r="G61" s="33">
        <f>0</f>
        <v>0</v>
      </c>
      <c r="H61" s="33">
        <f t="shared" si="28"/>
        <v>0</v>
      </c>
      <c r="I61" s="33">
        <f>0</f>
        <v>0</v>
      </c>
      <c r="J61" s="33">
        <f>I61</f>
        <v>0</v>
      </c>
      <c r="K61" s="33">
        <f t="shared" ref="K61:AK61" si="35">J61</f>
        <v>0</v>
      </c>
      <c r="L61" s="33">
        <f t="shared" si="35"/>
        <v>0</v>
      </c>
      <c r="M61" s="33">
        <f t="shared" si="35"/>
        <v>0</v>
      </c>
      <c r="N61" s="33">
        <f t="shared" si="35"/>
        <v>0</v>
      </c>
      <c r="O61" s="33">
        <f t="shared" si="35"/>
        <v>0</v>
      </c>
      <c r="P61" s="33">
        <f t="shared" si="35"/>
        <v>0</v>
      </c>
      <c r="Q61" s="33">
        <f t="shared" si="35"/>
        <v>0</v>
      </c>
      <c r="R61" s="33">
        <f t="shared" si="35"/>
        <v>0</v>
      </c>
      <c r="S61" s="33">
        <f t="shared" si="35"/>
        <v>0</v>
      </c>
      <c r="T61" s="33">
        <f t="shared" si="35"/>
        <v>0</v>
      </c>
      <c r="U61" s="33">
        <f t="shared" si="35"/>
        <v>0</v>
      </c>
      <c r="V61" s="33">
        <f t="shared" si="35"/>
        <v>0</v>
      </c>
      <c r="W61" s="33">
        <f t="shared" si="35"/>
        <v>0</v>
      </c>
      <c r="X61" s="33">
        <f t="shared" si="35"/>
        <v>0</v>
      </c>
      <c r="Y61" s="33">
        <f t="shared" si="35"/>
        <v>0</v>
      </c>
      <c r="Z61" s="33">
        <f t="shared" si="35"/>
        <v>0</v>
      </c>
      <c r="AA61" s="33">
        <f t="shared" si="35"/>
        <v>0</v>
      </c>
      <c r="AB61" s="33">
        <f t="shared" si="35"/>
        <v>0</v>
      </c>
      <c r="AC61" s="33">
        <f t="shared" si="35"/>
        <v>0</v>
      </c>
      <c r="AD61" s="33">
        <f t="shared" si="35"/>
        <v>0</v>
      </c>
      <c r="AE61" s="33">
        <f t="shared" si="35"/>
        <v>0</v>
      </c>
      <c r="AF61" s="33">
        <f t="shared" si="35"/>
        <v>0</v>
      </c>
      <c r="AG61" s="33">
        <f t="shared" si="35"/>
        <v>0</v>
      </c>
      <c r="AH61" s="33">
        <f t="shared" si="35"/>
        <v>0</v>
      </c>
      <c r="AI61" s="33">
        <f t="shared" si="35"/>
        <v>0</v>
      </c>
      <c r="AJ61" s="33">
        <f t="shared" si="35"/>
        <v>0</v>
      </c>
      <c r="AK61" s="33">
        <f t="shared" si="35"/>
        <v>0</v>
      </c>
    </row>
    <row r="62" spans="1:37" x14ac:dyDescent="0.2">
      <c r="A62" s="1" t="s">
        <v>153</v>
      </c>
      <c r="B62" s="33">
        <f>-'Brazil Energy Balance'!R75*'Brazil Energy Balance'!B82</f>
        <v>96827021203330.453</v>
      </c>
      <c r="C62" s="33">
        <f>-'Brazil Energy Balance'!R65*'Brazil Energy Balance'!B82</f>
        <v>90517391542949.484</v>
      </c>
      <c r="D62" s="33">
        <f>-'Brazil Energy Balance'!R55*'Brazil Energy Balance'!B82</f>
        <v>88652280888623.047</v>
      </c>
      <c r="E62" s="33">
        <f>-'Brazil Energy Balance'!R45*'Brazil Energy Balance'!B82</f>
        <v>110954242329718</v>
      </c>
      <c r="F62" s="33">
        <f>-'Brazil Energy Balance'!R35*'Brazil Energy Balance'!B82</f>
        <v>96787337997919.25</v>
      </c>
      <c r="G62" s="33">
        <f>-'Brazil Energy Balance'!R25*'Brazil Energy Balance'!B82</f>
        <v>45040438141713.141</v>
      </c>
      <c r="H62" s="33">
        <f t="shared" si="28"/>
        <v>45040438141713.141</v>
      </c>
      <c r="I62" s="33">
        <f>-'Brazil Energy Balance'!R7*'Brazil Energy Balance'!B82</f>
        <v>70318639988648.18</v>
      </c>
      <c r="J62" s="33">
        <f>_xlfn.FORECAST.LINEAR(J$49,$B62:$I62,$B$49:$I$49)</f>
        <v>50627266560674</v>
      </c>
      <c r="K62" s="33">
        <f t="shared" si="33"/>
        <v>43985053845418</v>
      </c>
      <c r="L62" s="33">
        <f t="shared" si="33"/>
        <v>37342841130164</v>
      </c>
      <c r="M62" s="33">
        <f t="shared" si="33"/>
        <v>30700628414908</v>
      </c>
      <c r="N62" s="33">
        <f t="shared" si="33"/>
        <v>24058415699652</v>
      </c>
      <c r="O62" s="33">
        <f t="shared" si="33"/>
        <v>17416202984396</v>
      </c>
      <c r="P62" s="33">
        <f t="shared" si="33"/>
        <v>10773990269140</v>
      </c>
      <c r="Q62" s="33">
        <f t="shared" si="33"/>
        <v>4131777553884</v>
      </c>
      <c r="R62" s="33">
        <f>Q62</f>
        <v>4131777553884</v>
      </c>
      <c r="S62" s="33">
        <f t="shared" ref="S62:AK62" si="36">R62</f>
        <v>4131777553884</v>
      </c>
      <c r="T62" s="33">
        <f t="shared" si="36"/>
        <v>4131777553884</v>
      </c>
      <c r="U62" s="33">
        <f t="shared" si="36"/>
        <v>4131777553884</v>
      </c>
      <c r="V62" s="33">
        <f t="shared" si="36"/>
        <v>4131777553884</v>
      </c>
      <c r="W62" s="33">
        <f t="shared" si="36"/>
        <v>4131777553884</v>
      </c>
      <c r="X62" s="33">
        <f t="shared" si="36"/>
        <v>4131777553884</v>
      </c>
      <c r="Y62" s="33">
        <f t="shared" si="36"/>
        <v>4131777553884</v>
      </c>
      <c r="Z62" s="33">
        <f t="shared" si="36"/>
        <v>4131777553884</v>
      </c>
      <c r="AA62" s="33">
        <f t="shared" si="36"/>
        <v>4131777553884</v>
      </c>
      <c r="AB62" s="33">
        <f t="shared" si="36"/>
        <v>4131777553884</v>
      </c>
      <c r="AC62" s="33">
        <f t="shared" si="36"/>
        <v>4131777553884</v>
      </c>
      <c r="AD62" s="33">
        <f t="shared" si="36"/>
        <v>4131777553884</v>
      </c>
      <c r="AE62" s="33">
        <f t="shared" si="36"/>
        <v>4131777553884</v>
      </c>
      <c r="AF62" s="33">
        <f t="shared" si="36"/>
        <v>4131777553884</v>
      </c>
      <c r="AG62" s="33">
        <f t="shared" si="36"/>
        <v>4131777553884</v>
      </c>
      <c r="AH62" s="33">
        <f t="shared" si="36"/>
        <v>4131777553884</v>
      </c>
      <c r="AI62" s="33">
        <f t="shared" si="36"/>
        <v>4131777553884</v>
      </c>
      <c r="AJ62" s="33">
        <f t="shared" si="36"/>
        <v>4131777553884</v>
      </c>
      <c r="AK62" s="33">
        <f t="shared" si="36"/>
        <v>4131777553884</v>
      </c>
    </row>
    <row r="63" spans="1:37" x14ac:dyDescent="0.2">
      <c r="A63" s="1" t="s">
        <v>154</v>
      </c>
      <c r="B63" s="33">
        <v>0</v>
      </c>
      <c r="C63" s="33">
        <v>0</v>
      </c>
      <c r="D63" s="33">
        <v>0</v>
      </c>
      <c r="E63" s="33">
        <v>0</v>
      </c>
      <c r="F63" s="33">
        <v>0</v>
      </c>
      <c r="G63" s="33">
        <v>0</v>
      </c>
      <c r="H63" s="33">
        <f t="shared" si="28"/>
        <v>0</v>
      </c>
      <c r="I63" s="33">
        <v>0</v>
      </c>
      <c r="J63" s="33">
        <v>0</v>
      </c>
      <c r="K63" s="33">
        <v>0</v>
      </c>
      <c r="L63" s="33">
        <v>0</v>
      </c>
      <c r="M63" s="33">
        <v>0</v>
      </c>
      <c r="N63" s="33">
        <v>0</v>
      </c>
      <c r="O63" s="33">
        <v>0</v>
      </c>
      <c r="P63" s="33">
        <v>0</v>
      </c>
      <c r="Q63" s="33">
        <v>0</v>
      </c>
      <c r="R63" s="33">
        <v>0</v>
      </c>
      <c r="S63" s="33">
        <v>0</v>
      </c>
      <c r="T63" s="33">
        <v>0</v>
      </c>
      <c r="U63" s="33">
        <v>0</v>
      </c>
      <c r="V63" s="33">
        <v>0</v>
      </c>
      <c r="W63" s="33">
        <v>0</v>
      </c>
      <c r="X63" s="33">
        <v>0</v>
      </c>
      <c r="Y63" s="33">
        <v>0</v>
      </c>
      <c r="Z63" s="33">
        <v>0</v>
      </c>
      <c r="AA63" s="33">
        <v>0</v>
      </c>
      <c r="AB63" s="33">
        <v>0</v>
      </c>
      <c r="AC63" s="33">
        <v>0</v>
      </c>
      <c r="AD63" s="33">
        <v>0</v>
      </c>
      <c r="AE63" s="33">
        <v>0</v>
      </c>
      <c r="AF63" s="33">
        <v>0</v>
      </c>
      <c r="AG63" s="33">
        <v>0</v>
      </c>
      <c r="AH63" s="33">
        <v>0</v>
      </c>
      <c r="AI63" s="33">
        <v>0</v>
      </c>
      <c r="AJ63" s="33">
        <v>0</v>
      </c>
      <c r="AK63" s="33">
        <v>0</v>
      </c>
    </row>
    <row r="64" spans="1:37" x14ac:dyDescent="0.2">
      <c r="A64" s="1" t="s">
        <v>155</v>
      </c>
      <c r="B64" s="33">
        <v>0</v>
      </c>
      <c r="C64" s="33">
        <v>0</v>
      </c>
      <c r="D64" s="33">
        <v>0</v>
      </c>
      <c r="E64" s="33">
        <v>0</v>
      </c>
      <c r="F64" s="33">
        <v>0</v>
      </c>
      <c r="G64" s="33">
        <v>0</v>
      </c>
      <c r="H64" s="33">
        <f t="shared" si="28"/>
        <v>0</v>
      </c>
      <c r="I64" s="33">
        <v>0</v>
      </c>
      <c r="J64" s="33">
        <v>0</v>
      </c>
      <c r="K64" s="33">
        <v>0</v>
      </c>
      <c r="L64" s="33">
        <v>0</v>
      </c>
      <c r="M64" s="33">
        <v>0</v>
      </c>
      <c r="N64" s="33">
        <v>0</v>
      </c>
      <c r="O64" s="33">
        <v>0</v>
      </c>
      <c r="P64" s="33">
        <v>0</v>
      </c>
      <c r="Q64" s="33">
        <v>0</v>
      </c>
      <c r="R64" s="33">
        <v>0</v>
      </c>
      <c r="S64" s="33">
        <v>0</v>
      </c>
      <c r="T64" s="33">
        <v>0</v>
      </c>
      <c r="U64" s="33">
        <v>0</v>
      </c>
      <c r="V64" s="33">
        <v>0</v>
      </c>
      <c r="W64" s="33">
        <v>0</v>
      </c>
      <c r="X64" s="33">
        <v>0</v>
      </c>
      <c r="Y64" s="33">
        <v>0</v>
      </c>
      <c r="Z64" s="33">
        <v>0</v>
      </c>
      <c r="AA64" s="33">
        <v>0</v>
      </c>
      <c r="AB64" s="33">
        <v>0</v>
      </c>
      <c r="AC64" s="33">
        <v>0</v>
      </c>
      <c r="AD64" s="33">
        <v>0</v>
      </c>
      <c r="AE64" s="33">
        <v>0</v>
      </c>
      <c r="AF64" s="33">
        <v>0</v>
      </c>
      <c r="AG64" s="33">
        <v>0</v>
      </c>
      <c r="AH64" s="33">
        <v>0</v>
      </c>
      <c r="AI64" s="33">
        <v>0</v>
      </c>
      <c r="AJ64" s="33">
        <v>0</v>
      </c>
      <c r="AK64" s="33">
        <v>0</v>
      </c>
    </row>
    <row r="65" spans="1:37" x14ac:dyDescent="0.2">
      <c r="A65" s="1" t="s">
        <v>59</v>
      </c>
      <c r="B65" s="33">
        <v>0</v>
      </c>
      <c r="C65" s="33">
        <f>B65</f>
        <v>0</v>
      </c>
      <c r="D65" s="33">
        <f t="shared" ref="D65:AK65" si="37">C65</f>
        <v>0</v>
      </c>
      <c r="E65" s="33">
        <f t="shared" si="37"/>
        <v>0</v>
      </c>
      <c r="F65" s="33">
        <f t="shared" si="37"/>
        <v>0</v>
      </c>
      <c r="G65" s="33">
        <f t="shared" si="37"/>
        <v>0</v>
      </c>
      <c r="H65" s="33">
        <f t="shared" si="28"/>
        <v>0</v>
      </c>
      <c r="I65" s="33">
        <f t="shared" si="37"/>
        <v>0</v>
      </c>
      <c r="J65" s="33">
        <f t="shared" si="37"/>
        <v>0</v>
      </c>
      <c r="K65" s="33">
        <f t="shared" si="37"/>
        <v>0</v>
      </c>
      <c r="L65" s="33">
        <f t="shared" si="37"/>
        <v>0</v>
      </c>
      <c r="M65" s="33">
        <f t="shared" si="37"/>
        <v>0</v>
      </c>
      <c r="N65" s="33">
        <f t="shared" si="37"/>
        <v>0</v>
      </c>
      <c r="O65" s="33">
        <f t="shared" si="37"/>
        <v>0</v>
      </c>
      <c r="P65" s="33">
        <f t="shared" si="37"/>
        <v>0</v>
      </c>
      <c r="Q65" s="33">
        <f t="shared" si="37"/>
        <v>0</v>
      </c>
      <c r="R65" s="33">
        <f t="shared" si="37"/>
        <v>0</v>
      </c>
      <c r="S65" s="33">
        <f t="shared" si="37"/>
        <v>0</v>
      </c>
      <c r="T65" s="33">
        <f t="shared" si="37"/>
        <v>0</v>
      </c>
      <c r="U65" s="33">
        <f t="shared" si="37"/>
        <v>0</v>
      </c>
      <c r="V65" s="33">
        <f t="shared" si="37"/>
        <v>0</v>
      </c>
      <c r="W65" s="33">
        <f t="shared" si="37"/>
        <v>0</v>
      </c>
      <c r="X65" s="33">
        <f t="shared" si="37"/>
        <v>0</v>
      </c>
      <c r="Y65" s="33">
        <f t="shared" si="37"/>
        <v>0</v>
      </c>
      <c r="Z65" s="33">
        <f t="shared" si="37"/>
        <v>0</v>
      </c>
      <c r="AA65" s="33">
        <f t="shared" si="37"/>
        <v>0</v>
      </c>
      <c r="AB65" s="33">
        <f t="shared" si="37"/>
        <v>0</v>
      </c>
      <c r="AC65" s="33">
        <f t="shared" si="37"/>
        <v>0</v>
      </c>
      <c r="AD65" s="33">
        <f t="shared" si="37"/>
        <v>0</v>
      </c>
      <c r="AE65" s="33">
        <f t="shared" si="37"/>
        <v>0</v>
      </c>
      <c r="AF65" s="33">
        <f t="shared" si="37"/>
        <v>0</v>
      </c>
      <c r="AG65" s="33">
        <f t="shared" si="37"/>
        <v>0</v>
      </c>
      <c r="AH65" s="33">
        <f t="shared" si="37"/>
        <v>0</v>
      </c>
      <c r="AI65" s="33">
        <f t="shared" si="37"/>
        <v>0</v>
      </c>
      <c r="AJ65" s="33">
        <f t="shared" si="37"/>
        <v>0</v>
      </c>
      <c r="AK65" s="33">
        <f t="shared" si="37"/>
        <v>0</v>
      </c>
    </row>
    <row r="66" spans="1:37" x14ac:dyDescent="0.2">
      <c r="A66" s="1" t="s">
        <v>25</v>
      </c>
      <c r="B66" s="33">
        <f>-'Brazil Energy Balance'!B75*'Brazil Energy Balance'!B82</f>
        <v>1509945965896198.2</v>
      </c>
      <c r="C66" s="33">
        <f>-'Brazil Energy Balance'!B65*'Brazil Energy Balance'!B82</f>
        <v>1738600595475538.5</v>
      </c>
      <c r="D66" s="33">
        <f>-'Brazil Energy Balance'!B55*'Brazil Energy Balance'!B82</f>
        <v>2138210473966332.5</v>
      </c>
      <c r="E66" s="33">
        <f>-'Brazil Energy Balance'!B45*'Brazil Energy Balance'!B82</f>
        <v>2211425987949998.2</v>
      </c>
      <c r="F66" s="33">
        <f>-'Brazil Energy Balance'!B35*'Brazil Energy Balance'!B82</f>
        <v>2520201009254553.5</v>
      </c>
      <c r="G66" s="33">
        <f>-'Brazil Energy Balance'!B25*'Brazil Energy Balance'!B82</f>
        <v>2812944015572983</v>
      </c>
      <c r="H66" s="33">
        <f t="shared" si="28"/>
        <v>2812944015572983</v>
      </c>
      <c r="I66" s="33">
        <f>-'Brazil Energy Balance'!B7*'Brazil Energy Balance'!B82</f>
        <v>2761157432511366</v>
      </c>
      <c r="J66" s="33">
        <f>_xlfn.FORECAST.LINEAR(J$49,$B66:$I66,$B$49:$I$49)</f>
        <v>3195134384145664</v>
      </c>
      <c r="K66" s="33">
        <f t="shared" ref="K66:AK67" si="38">_xlfn.FORECAST.LINEAR(K$49,$B66:$I66,$B$49:$I$49)</f>
        <v>3391124539061312</v>
      </c>
      <c r="L66" s="33">
        <f t="shared" si="38"/>
        <v>3587114693977024</v>
      </c>
      <c r="M66" s="33">
        <f t="shared" si="38"/>
        <v>3783104848892736</v>
      </c>
      <c r="N66" s="33">
        <f t="shared" si="38"/>
        <v>3979095003808384</v>
      </c>
      <c r="O66" s="33">
        <f t="shared" si="38"/>
        <v>4175085158724096</v>
      </c>
      <c r="P66" s="33">
        <f t="shared" si="38"/>
        <v>4371075313639808</v>
      </c>
      <c r="Q66" s="33">
        <f t="shared" si="38"/>
        <v>4567065468555456</v>
      </c>
      <c r="R66" s="33">
        <f t="shared" si="38"/>
        <v>4763055623471168</v>
      </c>
      <c r="S66" s="33">
        <f t="shared" si="38"/>
        <v>4959045778386880</v>
      </c>
      <c r="T66" s="33">
        <f t="shared" si="38"/>
        <v>5155035933302528</v>
      </c>
      <c r="U66" s="33">
        <f t="shared" si="38"/>
        <v>5351026088218240</v>
      </c>
      <c r="V66" s="33">
        <f t="shared" si="38"/>
        <v>5547016243133952</v>
      </c>
      <c r="W66" s="33">
        <f t="shared" si="38"/>
        <v>5743006398049600</v>
      </c>
      <c r="X66" s="33">
        <f t="shared" si="38"/>
        <v>5938996552965312</v>
      </c>
      <c r="Y66" s="33">
        <f t="shared" si="38"/>
        <v>6134986707881024</v>
      </c>
      <c r="Z66" s="33">
        <f t="shared" si="38"/>
        <v>6330976862796672</v>
      </c>
      <c r="AA66" s="33">
        <f t="shared" si="38"/>
        <v>6526967017712384</v>
      </c>
      <c r="AB66" s="33">
        <f t="shared" si="38"/>
        <v>6722957172628032</v>
      </c>
      <c r="AC66" s="33">
        <f t="shared" si="38"/>
        <v>6918947327543744</v>
      </c>
      <c r="AD66" s="33">
        <f t="shared" si="38"/>
        <v>7114937482459456</v>
      </c>
      <c r="AE66" s="33">
        <f t="shared" si="38"/>
        <v>7310927637375104</v>
      </c>
      <c r="AF66" s="33">
        <f t="shared" si="38"/>
        <v>7506917792290816</v>
      </c>
      <c r="AG66" s="33">
        <f t="shared" si="38"/>
        <v>7702907947206528</v>
      </c>
      <c r="AH66" s="33">
        <f t="shared" si="38"/>
        <v>7898898102122176</v>
      </c>
      <c r="AI66" s="33">
        <f t="shared" si="38"/>
        <v>8094888257037888</v>
      </c>
      <c r="AJ66" s="33">
        <f t="shared" si="38"/>
        <v>8290878411953600</v>
      </c>
      <c r="AK66" s="33">
        <f t="shared" si="38"/>
        <v>8486868566869248</v>
      </c>
    </row>
    <row r="67" spans="1:37" x14ac:dyDescent="0.2">
      <c r="A67" s="1" t="s">
        <v>26</v>
      </c>
      <c r="B67" s="33">
        <f>-'Brazil Energy Balance'!N75*'Brazil Energy Balance'!B82</f>
        <v>306433712185294.12</v>
      </c>
      <c r="C67" s="33">
        <f>-'Brazil Energy Balance'!N65*'Brazil Energy Balance'!B82</f>
        <v>265837793049635.53</v>
      </c>
      <c r="D67" s="33">
        <f>-'Brazil Energy Balance'!N55*'Brazil Energy Balance'!B82</f>
        <v>277107823386416.62</v>
      </c>
      <c r="E67" s="33">
        <f>-'Brazil Energy Balance'!N45*'Brazil Energy Balance'!B82</f>
        <v>307862307580097.38</v>
      </c>
      <c r="F67" s="33">
        <f>-'Brazil Energy Balance'!N35*'Brazil Energy Balance'!B82</f>
        <v>350640803013372.06</v>
      </c>
      <c r="G67" s="33">
        <f>-'Brazil Energy Balance'!N25*'Brazil Energy Balance'!B82</f>
        <v>550961623929114.75</v>
      </c>
      <c r="H67" s="33">
        <f t="shared" si="28"/>
        <v>550961623929114.75</v>
      </c>
      <c r="I67" s="33">
        <f>-'Brazil Energy Balance'!N7*'Brazil Energy Balance'!B82</f>
        <v>579057333360245</v>
      </c>
      <c r="J67" s="33">
        <f>_xlfn.FORECAST.LINEAR(J$49,$B67:$I67,$B$49:$I$49)</f>
        <v>623518113251488</v>
      </c>
      <c r="K67" s="33">
        <f t="shared" si="38"/>
        <v>673498165628672</v>
      </c>
      <c r="L67" s="33">
        <f t="shared" si="38"/>
        <v>723478218005856</v>
      </c>
      <c r="M67" s="33">
        <f t="shared" si="38"/>
        <v>773458270383040</v>
      </c>
      <c r="N67" s="33">
        <f t="shared" si="38"/>
        <v>823438322760224</v>
      </c>
      <c r="O67" s="33">
        <f t="shared" si="38"/>
        <v>873418375137408</v>
      </c>
      <c r="P67" s="33">
        <f t="shared" si="38"/>
        <v>923398427514576</v>
      </c>
      <c r="Q67" s="33">
        <f t="shared" si="38"/>
        <v>973378479891760</v>
      </c>
      <c r="R67" s="33">
        <f t="shared" si="38"/>
        <v>1023358532268944</v>
      </c>
      <c r="S67" s="33">
        <f t="shared" si="38"/>
        <v>1073338584646128</v>
      </c>
      <c r="T67" s="33">
        <f t="shared" si="38"/>
        <v>1123318637023312</v>
      </c>
      <c r="U67" s="33">
        <f t="shared" si="38"/>
        <v>1173298689400496</v>
      </c>
      <c r="V67" s="33">
        <f t="shared" si="38"/>
        <v>1223278741777680</v>
      </c>
      <c r="W67" s="33">
        <f t="shared" si="38"/>
        <v>1273258794154864</v>
      </c>
      <c r="X67" s="33">
        <f t="shared" si="38"/>
        <v>1323238846532048</v>
      </c>
      <c r="Y67" s="33">
        <f t="shared" si="38"/>
        <v>1373218898909232</v>
      </c>
      <c r="Z67" s="33">
        <f t="shared" si="38"/>
        <v>1423198951286416</v>
      </c>
      <c r="AA67" s="33">
        <f t="shared" si="38"/>
        <v>1473179003663600</v>
      </c>
      <c r="AB67" s="33">
        <f t="shared" si="38"/>
        <v>1523159056040784</v>
      </c>
      <c r="AC67" s="33">
        <f t="shared" si="38"/>
        <v>1573139108417968</v>
      </c>
      <c r="AD67" s="33">
        <f t="shared" si="38"/>
        <v>1623119160795152</v>
      </c>
      <c r="AE67" s="33">
        <f t="shared" si="38"/>
        <v>1673099213172336</v>
      </c>
      <c r="AF67" s="33">
        <f t="shared" si="38"/>
        <v>1723079265549520</v>
      </c>
      <c r="AG67" s="33">
        <f t="shared" si="38"/>
        <v>1773059317926704</v>
      </c>
      <c r="AH67" s="33">
        <f t="shared" si="38"/>
        <v>1823039370303888</v>
      </c>
      <c r="AI67" s="33">
        <f t="shared" si="38"/>
        <v>1873019422681072</v>
      </c>
      <c r="AJ67" s="33">
        <f t="shared" si="38"/>
        <v>1922999475058256</v>
      </c>
      <c r="AK67" s="33">
        <f t="shared" si="38"/>
        <v>1972979527435440</v>
      </c>
    </row>
    <row r="68" spans="1:37" x14ac:dyDescent="0.2">
      <c r="A68" s="1" t="s">
        <v>27</v>
      </c>
      <c r="B68" s="33">
        <f>-'Brazil Energy Balance'!P75*'Brazil Energy Balance'!B82</f>
        <v>674614491990.41711</v>
      </c>
      <c r="C68" s="33">
        <f>-'Brazil Energy Balance'!P65*'Brazil Energy Balance'!B82</f>
        <v>0</v>
      </c>
      <c r="D68" s="33">
        <f>-'Brazil Energy Balance'!P55*'Brazil Energy Balance'!B82</f>
        <v>39683205411.201004</v>
      </c>
      <c r="E68" s="33">
        <f>-'Brazil Energy Balance'!P45*'Brazil Energy Balance'!B82</f>
        <v>39683205411.201004</v>
      </c>
      <c r="F68" s="33">
        <f>-'Brazil Energy Balance'!P35*'Brazil Energy Balance'!B82</f>
        <v>0</v>
      </c>
      <c r="G68" s="33">
        <f>-'Brazil Energy Balance'!P25*'Brazil Energy Balance'!B82</f>
        <v>0</v>
      </c>
      <c r="H68" s="33">
        <f t="shared" si="28"/>
        <v>0</v>
      </c>
      <c r="I68" s="33">
        <f>-'Brazil Energy Balance'!P7*'Brazil Energy Balance'!B82</f>
        <v>0</v>
      </c>
      <c r="J68" s="33">
        <f>I68</f>
        <v>0</v>
      </c>
      <c r="K68" s="33">
        <f t="shared" ref="K68:AK68" si="39">J68</f>
        <v>0</v>
      </c>
      <c r="L68" s="33">
        <f t="shared" si="39"/>
        <v>0</v>
      </c>
      <c r="M68" s="33">
        <f t="shared" si="39"/>
        <v>0</v>
      </c>
      <c r="N68" s="33">
        <f t="shared" si="39"/>
        <v>0</v>
      </c>
      <c r="O68" s="33">
        <f t="shared" si="39"/>
        <v>0</v>
      </c>
      <c r="P68" s="33">
        <f t="shared" si="39"/>
        <v>0</v>
      </c>
      <c r="Q68" s="33">
        <f t="shared" si="39"/>
        <v>0</v>
      </c>
      <c r="R68" s="33">
        <f t="shared" si="39"/>
        <v>0</v>
      </c>
      <c r="S68" s="33">
        <f t="shared" si="39"/>
        <v>0</v>
      </c>
      <c r="T68" s="33">
        <f t="shared" si="39"/>
        <v>0</v>
      </c>
      <c r="U68" s="33">
        <f t="shared" si="39"/>
        <v>0</v>
      </c>
      <c r="V68" s="33">
        <f t="shared" si="39"/>
        <v>0</v>
      </c>
      <c r="W68" s="33">
        <f t="shared" si="39"/>
        <v>0</v>
      </c>
      <c r="X68" s="33">
        <f t="shared" si="39"/>
        <v>0</v>
      </c>
      <c r="Y68" s="33">
        <f t="shared" si="39"/>
        <v>0</v>
      </c>
      <c r="Z68" s="33">
        <f t="shared" si="39"/>
        <v>0</v>
      </c>
      <c r="AA68" s="33">
        <f t="shared" si="39"/>
        <v>0</v>
      </c>
      <c r="AB68" s="33">
        <f t="shared" si="39"/>
        <v>0</v>
      </c>
      <c r="AC68" s="33">
        <f t="shared" si="39"/>
        <v>0</v>
      </c>
      <c r="AD68" s="33">
        <f t="shared" si="39"/>
        <v>0</v>
      </c>
      <c r="AE68" s="33">
        <f t="shared" si="39"/>
        <v>0</v>
      </c>
      <c r="AF68" s="33">
        <f t="shared" si="39"/>
        <v>0</v>
      </c>
      <c r="AG68" s="33">
        <f t="shared" si="39"/>
        <v>0</v>
      </c>
      <c r="AH68" s="33">
        <f t="shared" si="39"/>
        <v>0</v>
      </c>
      <c r="AI68" s="33">
        <f t="shared" si="39"/>
        <v>0</v>
      </c>
      <c r="AJ68" s="33">
        <f t="shared" si="39"/>
        <v>0</v>
      </c>
      <c r="AK68" s="33">
        <f t="shared" si="39"/>
        <v>0</v>
      </c>
    </row>
    <row r="69" spans="1:37" x14ac:dyDescent="0.2">
      <c r="A69" s="1" t="s">
        <v>156</v>
      </c>
      <c r="B69" s="33">
        <f>0</f>
        <v>0</v>
      </c>
      <c r="C69" s="33">
        <f>0</f>
        <v>0</v>
      </c>
      <c r="D69" s="33">
        <f>0</f>
        <v>0</v>
      </c>
      <c r="E69" s="33">
        <f>0</f>
        <v>0</v>
      </c>
      <c r="F69" s="33">
        <f>0</f>
        <v>0</v>
      </c>
      <c r="G69" s="33">
        <f>0</f>
        <v>0</v>
      </c>
      <c r="H69" s="33">
        <f t="shared" si="28"/>
        <v>0</v>
      </c>
      <c r="I69" s="33">
        <f>0</f>
        <v>0</v>
      </c>
      <c r="J69" s="33">
        <f>0</f>
        <v>0</v>
      </c>
      <c r="K69" s="33">
        <f>0</f>
        <v>0</v>
      </c>
      <c r="L69" s="33">
        <f>0</f>
        <v>0</v>
      </c>
      <c r="M69" s="33">
        <f>0</f>
        <v>0</v>
      </c>
      <c r="N69" s="33">
        <f>0</f>
        <v>0</v>
      </c>
      <c r="O69" s="33">
        <f>0</f>
        <v>0</v>
      </c>
      <c r="P69" s="33">
        <f>0</f>
        <v>0</v>
      </c>
      <c r="Q69" s="33">
        <f>0</f>
        <v>0</v>
      </c>
      <c r="R69" s="33">
        <f>0</f>
        <v>0</v>
      </c>
      <c r="S69" s="33">
        <f>0</f>
        <v>0</v>
      </c>
      <c r="T69" s="33">
        <f>0</f>
        <v>0</v>
      </c>
      <c r="U69" s="33">
        <f>0</f>
        <v>0</v>
      </c>
      <c r="V69" s="33">
        <f>0</f>
        <v>0</v>
      </c>
      <c r="W69" s="33">
        <f>0</f>
        <v>0</v>
      </c>
      <c r="X69" s="33">
        <f>0</f>
        <v>0</v>
      </c>
      <c r="Y69" s="33">
        <f>0</f>
        <v>0</v>
      </c>
      <c r="Z69" s="33">
        <f>0</f>
        <v>0</v>
      </c>
      <c r="AA69" s="33">
        <f>0</f>
        <v>0</v>
      </c>
      <c r="AB69" s="33">
        <f>0</f>
        <v>0</v>
      </c>
      <c r="AC69" s="33">
        <f>0</f>
        <v>0</v>
      </c>
      <c r="AD69" s="33">
        <f>0</f>
        <v>0</v>
      </c>
      <c r="AE69" s="33">
        <f>0</f>
        <v>0</v>
      </c>
      <c r="AF69" s="33">
        <f>0</f>
        <v>0</v>
      </c>
      <c r="AG69" s="33">
        <f>0</f>
        <v>0</v>
      </c>
      <c r="AH69" s="33">
        <f>0</f>
        <v>0</v>
      </c>
      <c r="AI69" s="33">
        <f>0</f>
        <v>0</v>
      </c>
      <c r="AJ69" s="33">
        <f>0</f>
        <v>0</v>
      </c>
      <c r="AK69" s="33">
        <f>0</f>
        <v>0</v>
      </c>
    </row>
    <row r="70" spans="1:37" x14ac:dyDescent="0.2">
      <c r="A70" s="1" t="s">
        <v>63</v>
      </c>
      <c r="B70" s="33">
        <f>'Brazil Energy Balance'!C138*'Brazil Energy Balance'!B149</f>
        <v>0</v>
      </c>
      <c r="C70" s="33">
        <f>0</f>
        <v>0</v>
      </c>
      <c r="D70" s="33">
        <f>0</f>
        <v>0</v>
      </c>
      <c r="E70" s="33">
        <f>0</f>
        <v>0</v>
      </c>
      <c r="F70" s="33">
        <f>0</f>
        <v>0</v>
      </c>
      <c r="G70" s="33">
        <f>0</f>
        <v>0</v>
      </c>
      <c r="H70" s="33">
        <f t="shared" si="28"/>
        <v>0</v>
      </c>
      <c r="I70" s="33">
        <f>0</f>
        <v>0</v>
      </c>
      <c r="J70" s="33">
        <f>0</f>
        <v>0</v>
      </c>
      <c r="K70" s="33">
        <f>0</f>
        <v>0</v>
      </c>
      <c r="L70" s="33">
        <f>0</f>
        <v>0</v>
      </c>
      <c r="M70" s="33">
        <f>0</f>
        <v>0</v>
      </c>
      <c r="N70" s="33">
        <f>0</f>
        <v>0</v>
      </c>
      <c r="O70" s="33">
        <f>0</f>
        <v>0</v>
      </c>
      <c r="P70" s="33">
        <f>0</f>
        <v>0</v>
      </c>
      <c r="Q70" s="33">
        <f>0</f>
        <v>0</v>
      </c>
      <c r="R70" s="33">
        <f>0</f>
        <v>0</v>
      </c>
      <c r="S70" s="33">
        <f>0</f>
        <v>0</v>
      </c>
      <c r="T70" s="33">
        <f>0</f>
        <v>0</v>
      </c>
      <c r="U70" s="33">
        <f>0</f>
        <v>0</v>
      </c>
      <c r="V70" s="33">
        <f>0</f>
        <v>0</v>
      </c>
      <c r="W70" s="33">
        <f>0</f>
        <v>0</v>
      </c>
      <c r="X70" s="33">
        <f>0</f>
        <v>0</v>
      </c>
      <c r="Y70" s="33">
        <f>0</f>
        <v>0</v>
      </c>
      <c r="Z70" s="33">
        <f>0</f>
        <v>0</v>
      </c>
      <c r="AA70" s="33">
        <f>0</f>
        <v>0</v>
      </c>
      <c r="AB70" s="33">
        <f>0</f>
        <v>0</v>
      </c>
      <c r="AC70" s="33">
        <f>0</f>
        <v>0</v>
      </c>
      <c r="AD70" s="33">
        <f>0</f>
        <v>0</v>
      </c>
      <c r="AE70" s="33">
        <f>0</f>
        <v>0</v>
      </c>
      <c r="AF70" s="33">
        <f>0</f>
        <v>0</v>
      </c>
      <c r="AG70" s="33">
        <f>0</f>
        <v>0</v>
      </c>
      <c r="AH70" s="33">
        <f>0</f>
        <v>0</v>
      </c>
      <c r="AI70" s="33">
        <f>0</f>
        <v>0</v>
      </c>
      <c r="AJ70" s="33">
        <f>0</f>
        <v>0</v>
      </c>
      <c r="AK70" s="33">
        <f>0</f>
        <v>0</v>
      </c>
    </row>
  </sheetData>
  <pageMargins left="0.7" right="0.7" top="0.75" bottom="0.75" header="0.3" footer="0.3"/>
  <ignoredErrors>
    <ignoredError sqref="J13 K13:AK13 I19:I20 H21:H22 I14 H13 I10:I12 I33 H37 H45:H46 I45:I46 I51:I53 I57 H61:I61 H69:H70 I68 J18:AK18 Q28:AK28 J37 K37:R37 N43:AK43 J61:Q61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82E3D-76A8-B04B-A567-9E942D5C5868}">
  <sheetPr>
    <tabColor theme="3"/>
  </sheetPr>
  <dimension ref="A1:AF22"/>
  <sheetViews>
    <sheetView workbookViewId="0">
      <selection activeCell="B2" sqref="B2:AF22"/>
    </sheetView>
  </sheetViews>
  <sheetFormatPr baseColWidth="10" defaultRowHeight="15" x14ac:dyDescent="0.2"/>
  <cols>
    <col min="1" max="1" width="43.6640625" customWidth="1"/>
  </cols>
  <sheetData>
    <row r="1" spans="1:32" x14ac:dyDescent="0.2">
      <c r="A1" s="1" t="s">
        <v>148</v>
      </c>
      <c r="B1" s="1">
        <v>2020</v>
      </c>
      <c r="C1" s="37">
        <v>2021</v>
      </c>
      <c r="D1" s="1">
        <v>2022</v>
      </c>
      <c r="E1" s="37">
        <v>2023</v>
      </c>
      <c r="F1" s="1">
        <v>2024</v>
      </c>
      <c r="G1" s="37">
        <v>2025</v>
      </c>
      <c r="H1" s="1">
        <v>2026</v>
      </c>
      <c r="I1" s="37">
        <v>2027</v>
      </c>
      <c r="J1" s="1">
        <v>2028</v>
      </c>
      <c r="K1" s="37">
        <v>2029</v>
      </c>
      <c r="L1" s="1">
        <v>2030</v>
      </c>
      <c r="M1" s="37">
        <v>2031</v>
      </c>
      <c r="N1" s="1">
        <v>2032</v>
      </c>
      <c r="O1" s="37">
        <v>2033</v>
      </c>
      <c r="P1" s="37">
        <v>2034</v>
      </c>
      <c r="Q1" s="37">
        <v>2035</v>
      </c>
      <c r="R1" s="37">
        <v>2036</v>
      </c>
      <c r="S1" s="37">
        <v>2037</v>
      </c>
      <c r="T1" s="37">
        <v>2038</v>
      </c>
      <c r="U1" s="37">
        <v>2039</v>
      </c>
      <c r="V1" s="37">
        <v>2040</v>
      </c>
      <c r="W1" s="37">
        <v>2041</v>
      </c>
      <c r="X1" s="37">
        <v>2042</v>
      </c>
      <c r="Y1" s="37">
        <v>2043</v>
      </c>
      <c r="Z1" s="37">
        <v>2044</v>
      </c>
      <c r="AA1" s="37">
        <v>2045</v>
      </c>
      <c r="AB1" s="37">
        <v>2046</v>
      </c>
      <c r="AC1" s="37">
        <v>2047</v>
      </c>
      <c r="AD1" s="37">
        <v>2048</v>
      </c>
      <c r="AE1" s="37">
        <v>2049</v>
      </c>
      <c r="AF1" s="37">
        <v>2050</v>
      </c>
    </row>
    <row r="2" spans="1:32" x14ac:dyDescent="0.2">
      <c r="A2" s="1" t="s">
        <v>149</v>
      </c>
      <c r="B2" s="33">
        <f>BFPIaE!G2</f>
        <v>0</v>
      </c>
      <c r="C2" s="33">
        <f>BFPIaE!H2</f>
        <v>0</v>
      </c>
      <c r="D2" s="33">
        <f>BFPIaE!I2</f>
        <v>0</v>
      </c>
      <c r="E2" s="33">
        <f>BFPIaE!J2</f>
        <v>0</v>
      </c>
      <c r="F2" s="33">
        <f>BFPIaE!K2</f>
        <v>0</v>
      </c>
      <c r="G2" s="33">
        <f>BFPIaE!L2</f>
        <v>0</v>
      </c>
      <c r="H2" s="33">
        <f>BFPIaE!M2</f>
        <v>0</v>
      </c>
      <c r="I2" s="33">
        <f>BFPIaE!N2</f>
        <v>0</v>
      </c>
      <c r="J2" s="33">
        <f>BFPIaE!O2</f>
        <v>0</v>
      </c>
      <c r="K2" s="33">
        <f>BFPIaE!P2</f>
        <v>0</v>
      </c>
      <c r="L2" s="33">
        <f>BFPIaE!Q2</f>
        <v>0</v>
      </c>
      <c r="M2" s="33">
        <f>BFPIaE!R2</f>
        <v>0</v>
      </c>
      <c r="N2" s="33">
        <f>BFPIaE!S2</f>
        <v>0</v>
      </c>
      <c r="O2" s="33">
        <f>BFPIaE!T2</f>
        <v>0</v>
      </c>
      <c r="P2" s="33">
        <f>BFPIaE!U2</f>
        <v>0</v>
      </c>
      <c r="Q2" s="33">
        <f>BFPIaE!V2</f>
        <v>0</v>
      </c>
      <c r="R2" s="33">
        <f>BFPIaE!W2</f>
        <v>0</v>
      </c>
      <c r="S2" s="33">
        <f>BFPIaE!X2</f>
        <v>0</v>
      </c>
      <c r="T2" s="33">
        <f>BFPIaE!Y2</f>
        <v>0</v>
      </c>
      <c r="U2" s="33">
        <f>BFPIaE!Z2</f>
        <v>0</v>
      </c>
      <c r="V2" s="33">
        <f>BFPIaE!AA2</f>
        <v>0</v>
      </c>
      <c r="W2" s="33">
        <f>BFPIaE!AB2</f>
        <v>0</v>
      </c>
      <c r="X2" s="33">
        <f>BFPIaE!AC2</f>
        <v>0</v>
      </c>
      <c r="Y2" s="33">
        <f>BFPIaE!AD2</f>
        <v>0</v>
      </c>
      <c r="Z2" s="33">
        <f>BFPIaE!AE2</f>
        <v>0</v>
      </c>
      <c r="AA2" s="33">
        <f>BFPIaE!AF2</f>
        <v>0</v>
      </c>
      <c r="AB2" s="33">
        <f>BFPIaE!AG2</f>
        <v>0</v>
      </c>
      <c r="AC2" s="33">
        <f>BFPIaE!AH2</f>
        <v>0</v>
      </c>
      <c r="AD2" s="33">
        <f>BFPIaE!AI2</f>
        <v>0</v>
      </c>
      <c r="AE2" s="33">
        <f>BFPIaE!AJ2</f>
        <v>0</v>
      </c>
      <c r="AF2" s="33">
        <f>BFPIaE!AK2</f>
        <v>0</v>
      </c>
    </row>
    <row r="3" spans="1:32" x14ac:dyDescent="0.2">
      <c r="A3" s="1" t="s">
        <v>55</v>
      </c>
      <c r="B3" s="33">
        <f>BFPIaE!G3</f>
        <v>82739483282354.094</v>
      </c>
      <c r="C3" s="33">
        <f>BFPIaE!H3</f>
        <v>82739483282354.094</v>
      </c>
      <c r="D3" s="33">
        <f>BFPIaE!I3</f>
        <v>91707887705285.516</v>
      </c>
      <c r="E3" s="33">
        <f>BFPIaE!J3</f>
        <v>80714222549047</v>
      </c>
      <c r="F3" s="33">
        <f>BFPIaE!K3</f>
        <v>79251140559065</v>
      </c>
      <c r="G3" s="33">
        <f>BFPIaE!L3</f>
        <v>77788058569083</v>
      </c>
      <c r="H3" s="33">
        <f>BFPIaE!M3</f>
        <v>76324976579101</v>
      </c>
      <c r="I3" s="33">
        <f>BFPIaE!N3</f>
        <v>74861894589119</v>
      </c>
      <c r="J3" s="33">
        <f>BFPIaE!O3</f>
        <v>73398812599137</v>
      </c>
      <c r="K3" s="33">
        <f>BFPIaE!P3</f>
        <v>71935730609155</v>
      </c>
      <c r="L3" s="33">
        <f>BFPIaE!Q3</f>
        <v>70472648619173</v>
      </c>
      <c r="M3" s="33">
        <f>BFPIaE!R3</f>
        <v>69009566629191</v>
      </c>
      <c r="N3" s="33">
        <f>BFPIaE!S3</f>
        <v>67546484639209</v>
      </c>
      <c r="O3" s="33">
        <f>BFPIaE!T3</f>
        <v>66083402649227</v>
      </c>
      <c r="P3" s="33">
        <f>BFPIaE!U3</f>
        <v>64620320659244.5</v>
      </c>
      <c r="Q3" s="33">
        <f>BFPIaE!V3</f>
        <v>63157238669262.5</v>
      </c>
      <c r="R3" s="33">
        <f>BFPIaE!W3</f>
        <v>61694156679280.5</v>
      </c>
      <c r="S3" s="33">
        <f>BFPIaE!X3</f>
        <v>60231074689298.5</v>
      </c>
      <c r="T3" s="33">
        <f>BFPIaE!Y3</f>
        <v>58767992699316.5</v>
      </c>
      <c r="U3" s="33">
        <f>BFPIaE!Z3</f>
        <v>57304910709334.5</v>
      </c>
      <c r="V3" s="33">
        <f>BFPIaE!AA3</f>
        <v>55841828719352.5</v>
      </c>
      <c r="W3" s="33">
        <f>BFPIaE!AB3</f>
        <v>54378746729370.5</v>
      </c>
      <c r="X3" s="33">
        <f>BFPIaE!AC3</f>
        <v>52915664739388.5</v>
      </c>
      <c r="Y3" s="33">
        <f>BFPIaE!AD3</f>
        <v>51452582749406.5</v>
      </c>
      <c r="Z3" s="33">
        <f>BFPIaE!AE3</f>
        <v>49989500759424.5</v>
      </c>
      <c r="AA3" s="33">
        <f>BFPIaE!AF3</f>
        <v>48526418769442.5</v>
      </c>
      <c r="AB3" s="33">
        <f>BFPIaE!AG3</f>
        <v>47063336779460.5</v>
      </c>
      <c r="AC3" s="33">
        <f>BFPIaE!AH3</f>
        <v>45600254789478.5</v>
      </c>
      <c r="AD3" s="33">
        <f>BFPIaE!AI3</f>
        <v>44137172799496.5</v>
      </c>
      <c r="AE3" s="33">
        <f>BFPIaE!AJ3</f>
        <v>42674090809514.5</v>
      </c>
      <c r="AF3" s="33">
        <f>BFPIaE!AK3</f>
        <v>41211008819532.5</v>
      </c>
    </row>
    <row r="4" spans="1:32" x14ac:dyDescent="0.2">
      <c r="A4" s="1" t="s">
        <v>13</v>
      </c>
      <c r="B4" s="33">
        <f>BFPIaE!G4</f>
        <v>1837292727333195.2</v>
      </c>
      <c r="C4" s="33">
        <f>BFPIaE!H4</f>
        <v>1837292727333195.2</v>
      </c>
      <c r="D4" s="33">
        <f>BFPIaE!I4</f>
        <v>1983009457603125.2</v>
      </c>
      <c r="E4" s="33">
        <f>BFPIaE!J4</f>
        <v>2052242478472288</v>
      </c>
      <c r="F4" s="33">
        <f>BFPIaE!K4</f>
        <v>2133711154343264</v>
      </c>
      <c r="G4" s="33">
        <f>BFPIaE!L4</f>
        <v>2215179830214240</v>
      </c>
      <c r="H4" s="33">
        <f>BFPIaE!M4</f>
        <v>2296648506085216</v>
      </c>
      <c r="I4" s="33">
        <f>BFPIaE!N4</f>
        <v>2378117181956192</v>
      </c>
      <c r="J4" s="33">
        <f>BFPIaE!O4</f>
        <v>2459585857827168</v>
      </c>
      <c r="K4" s="33">
        <f>BFPIaE!P4</f>
        <v>2541054533698144</v>
      </c>
      <c r="L4" s="33">
        <f>BFPIaE!Q4</f>
        <v>2622523209569088</v>
      </c>
      <c r="M4" s="33">
        <f>BFPIaE!R4</f>
        <v>2703991885440064</v>
      </c>
      <c r="N4" s="33">
        <f>BFPIaE!S4</f>
        <v>2785460561311040</v>
      </c>
      <c r="O4" s="33">
        <f>BFPIaE!T4</f>
        <v>2866929237182016</v>
      </c>
      <c r="P4" s="33">
        <f>BFPIaE!U4</f>
        <v>2948397913052992</v>
      </c>
      <c r="Q4" s="33">
        <f>BFPIaE!V4</f>
        <v>3029866588923968</v>
      </c>
      <c r="R4" s="33">
        <f>BFPIaE!W4</f>
        <v>3111335264794944</v>
      </c>
      <c r="S4" s="33">
        <f>BFPIaE!X4</f>
        <v>3192803940665920</v>
      </c>
      <c r="T4" s="33">
        <f>BFPIaE!Y4</f>
        <v>3274272616536864</v>
      </c>
      <c r="U4" s="33">
        <f>BFPIaE!Z4</f>
        <v>3355741292407840</v>
      </c>
      <c r="V4" s="33">
        <f>BFPIaE!AA4</f>
        <v>3437209968278816</v>
      </c>
      <c r="W4" s="33">
        <f>BFPIaE!AB4</f>
        <v>3518678644149792</v>
      </c>
      <c r="X4" s="33">
        <f>BFPIaE!AC4</f>
        <v>3600147320020768</v>
      </c>
      <c r="Y4" s="33">
        <f>BFPIaE!AD4</f>
        <v>3681615995891744</v>
      </c>
      <c r="Z4" s="33">
        <f>BFPIaE!AE4</f>
        <v>3763084671762720</v>
      </c>
      <c r="AA4" s="33">
        <f>BFPIaE!AF4</f>
        <v>3844553347633664</v>
      </c>
      <c r="AB4" s="33">
        <f>BFPIaE!AG4</f>
        <v>3926022023504640</v>
      </c>
      <c r="AC4" s="33">
        <f>BFPIaE!AH4</f>
        <v>4007490699375616</v>
      </c>
      <c r="AD4" s="33">
        <f>BFPIaE!AI4</f>
        <v>4088959375246592</v>
      </c>
      <c r="AE4" s="33">
        <f>BFPIaE!AJ4</f>
        <v>4170428051117568</v>
      </c>
      <c r="AF4" s="33">
        <f>BFPIaE!AK4</f>
        <v>4251896726988544</v>
      </c>
    </row>
    <row r="5" spans="1:32" x14ac:dyDescent="0.2">
      <c r="A5" s="1" t="s">
        <v>57</v>
      </c>
      <c r="B5" s="33">
        <f>BFPIaE!G5</f>
        <v>8174740314707.4072</v>
      </c>
      <c r="C5" s="33">
        <f>BFPIaE!H5</f>
        <v>8174740314707.4072</v>
      </c>
      <c r="D5" s="33">
        <f>BFPIaE!I5</f>
        <v>8174740314707.4072</v>
      </c>
      <c r="E5" s="33">
        <f>BFPIaE!J5</f>
        <v>8174740314707.4072</v>
      </c>
      <c r="F5" s="33">
        <f>BFPIaE!K5</f>
        <v>8174740314707.4072</v>
      </c>
      <c r="G5" s="33">
        <f>BFPIaE!L5</f>
        <v>8174740314707.4072</v>
      </c>
      <c r="H5" s="33">
        <f>BFPIaE!M5</f>
        <v>8174740314707.4072</v>
      </c>
      <c r="I5" s="33">
        <f>BFPIaE!N5</f>
        <v>8174740314707.4072</v>
      </c>
      <c r="J5" s="33">
        <f>BFPIaE!O5</f>
        <v>8174740314707.4072</v>
      </c>
      <c r="K5" s="33">
        <f>BFPIaE!P5</f>
        <v>8174740314707.4072</v>
      </c>
      <c r="L5" s="33">
        <f>BFPIaE!Q5</f>
        <v>8174740314707.4072</v>
      </c>
      <c r="M5" s="33">
        <f>BFPIaE!R5</f>
        <v>8174740314707.4072</v>
      </c>
      <c r="N5" s="33">
        <f>BFPIaE!S5</f>
        <v>8174740314707.4072</v>
      </c>
      <c r="O5" s="33">
        <f>BFPIaE!T5</f>
        <v>8174740314707.4072</v>
      </c>
      <c r="P5" s="33">
        <f>BFPIaE!U5</f>
        <v>8174740314707.4072</v>
      </c>
      <c r="Q5" s="33">
        <f>BFPIaE!V5</f>
        <v>8174740314707.4072</v>
      </c>
      <c r="R5" s="33">
        <f>BFPIaE!W5</f>
        <v>8174740314707.4072</v>
      </c>
      <c r="S5" s="33">
        <f>BFPIaE!X5</f>
        <v>8174740314707.4072</v>
      </c>
      <c r="T5" s="33">
        <f>BFPIaE!Y5</f>
        <v>8174740314707.4072</v>
      </c>
      <c r="U5" s="33">
        <f>BFPIaE!Z5</f>
        <v>8174740314707.4072</v>
      </c>
      <c r="V5" s="33">
        <f>BFPIaE!AA5</f>
        <v>8174740314707.4072</v>
      </c>
      <c r="W5" s="33">
        <f>BFPIaE!AB5</f>
        <v>8174740314707.4072</v>
      </c>
      <c r="X5" s="33">
        <f>BFPIaE!AC5</f>
        <v>8174740314707.4072</v>
      </c>
      <c r="Y5" s="33">
        <f>BFPIaE!AD5</f>
        <v>8174740314707.4072</v>
      </c>
      <c r="Z5" s="33">
        <f>BFPIaE!AE5</f>
        <v>8174740314707.4072</v>
      </c>
      <c r="AA5" s="33">
        <f>BFPIaE!AF5</f>
        <v>8174740314707.4072</v>
      </c>
      <c r="AB5" s="33">
        <f>BFPIaE!AG5</f>
        <v>8174740314707.4072</v>
      </c>
      <c r="AC5" s="33">
        <f>BFPIaE!AH5</f>
        <v>8174740314707.4072</v>
      </c>
      <c r="AD5" s="33">
        <f>BFPIaE!AI5</f>
        <v>8174740314707.4072</v>
      </c>
      <c r="AE5" s="33">
        <f>BFPIaE!AJ5</f>
        <v>8174740314707.4072</v>
      </c>
      <c r="AF5" s="33">
        <f>BFPIaE!AK5</f>
        <v>8174740314707.4072</v>
      </c>
    </row>
    <row r="6" spans="1:32" x14ac:dyDescent="0.2">
      <c r="A6" s="1" t="s">
        <v>150</v>
      </c>
      <c r="B6" s="33">
        <f>BFPIaE!G6</f>
        <v>0</v>
      </c>
      <c r="C6" s="33">
        <f>BFPIaE!H6</f>
        <v>0</v>
      </c>
      <c r="D6" s="33">
        <f>BFPIaE!I6</f>
        <v>0</v>
      </c>
      <c r="E6" s="33">
        <f>BFPIaE!J6</f>
        <v>0</v>
      </c>
      <c r="F6" s="33">
        <f>BFPIaE!K6</f>
        <v>0</v>
      </c>
      <c r="G6" s="33">
        <f>BFPIaE!L6</f>
        <v>0</v>
      </c>
      <c r="H6" s="33">
        <f>BFPIaE!M6</f>
        <v>0</v>
      </c>
      <c r="I6" s="33">
        <f>BFPIaE!N6</f>
        <v>0</v>
      </c>
      <c r="J6" s="33">
        <f>BFPIaE!O6</f>
        <v>0</v>
      </c>
      <c r="K6" s="33">
        <f>BFPIaE!P6</f>
        <v>0</v>
      </c>
      <c r="L6" s="33">
        <f>BFPIaE!Q6</f>
        <v>0</v>
      </c>
      <c r="M6" s="33">
        <f>BFPIaE!R6</f>
        <v>0</v>
      </c>
      <c r="N6" s="33">
        <f>BFPIaE!S6</f>
        <v>0</v>
      </c>
      <c r="O6" s="33">
        <f>BFPIaE!T6</f>
        <v>0</v>
      </c>
      <c r="P6" s="33">
        <f>BFPIaE!U6</f>
        <v>0</v>
      </c>
      <c r="Q6" s="33">
        <f>BFPIaE!V6</f>
        <v>0</v>
      </c>
      <c r="R6" s="33">
        <f>BFPIaE!W6</f>
        <v>0</v>
      </c>
      <c r="S6" s="33">
        <f>BFPIaE!X6</f>
        <v>0</v>
      </c>
      <c r="T6" s="33">
        <f>BFPIaE!Y6</f>
        <v>0</v>
      </c>
      <c r="U6" s="33">
        <f>BFPIaE!Z6</f>
        <v>0</v>
      </c>
      <c r="V6" s="33">
        <f>BFPIaE!AA6</f>
        <v>0</v>
      </c>
      <c r="W6" s="33">
        <f>BFPIaE!AB6</f>
        <v>0</v>
      </c>
      <c r="X6" s="33">
        <f>BFPIaE!AC6</f>
        <v>0</v>
      </c>
      <c r="Y6" s="33">
        <f>BFPIaE!AD6</f>
        <v>0</v>
      </c>
      <c r="Z6" s="33">
        <f>BFPIaE!AE6</f>
        <v>0</v>
      </c>
      <c r="AA6" s="33">
        <f>BFPIaE!AF6</f>
        <v>0</v>
      </c>
      <c r="AB6" s="33">
        <f>BFPIaE!AG6</f>
        <v>0</v>
      </c>
      <c r="AC6" s="33">
        <f>BFPIaE!AH6</f>
        <v>0</v>
      </c>
      <c r="AD6" s="33">
        <f>BFPIaE!AI6</f>
        <v>0</v>
      </c>
      <c r="AE6" s="33">
        <f>BFPIaE!AJ6</f>
        <v>0</v>
      </c>
      <c r="AF6" s="33">
        <f>BFPIaE!AK6</f>
        <v>0</v>
      </c>
    </row>
    <row r="7" spans="1:32" x14ac:dyDescent="0.2">
      <c r="A7" s="1" t="s">
        <v>151</v>
      </c>
      <c r="B7" s="33">
        <f>BFPIaE!G7</f>
        <v>0</v>
      </c>
      <c r="C7" s="33">
        <f>BFPIaE!H7</f>
        <v>0</v>
      </c>
      <c r="D7" s="33">
        <f>BFPIaE!I7</f>
        <v>0</v>
      </c>
      <c r="E7" s="33">
        <f>BFPIaE!J7</f>
        <v>0</v>
      </c>
      <c r="F7" s="33">
        <f>BFPIaE!K7</f>
        <v>0</v>
      </c>
      <c r="G7" s="33">
        <f>BFPIaE!L7</f>
        <v>0</v>
      </c>
      <c r="H7" s="33">
        <f>BFPIaE!M7</f>
        <v>0</v>
      </c>
      <c r="I7" s="33">
        <f>BFPIaE!N7</f>
        <v>0</v>
      </c>
      <c r="J7" s="33">
        <f>BFPIaE!O7</f>
        <v>0</v>
      </c>
      <c r="K7" s="33">
        <f>BFPIaE!P7</f>
        <v>0</v>
      </c>
      <c r="L7" s="33">
        <f>BFPIaE!Q7</f>
        <v>0</v>
      </c>
      <c r="M7" s="33">
        <f>BFPIaE!R7</f>
        <v>0</v>
      </c>
      <c r="N7" s="33">
        <f>BFPIaE!S7</f>
        <v>0</v>
      </c>
      <c r="O7" s="33">
        <f>BFPIaE!T7</f>
        <v>0</v>
      </c>
      <c r="P7" s="33">
        <f>BFPIaE!U7</f>
        <v>0</v>
      </c>
      <c r="Q7" s="33">
        <f>BFPIaE!V7</f>
        <v>0</v>
      </c>
      <c r="R7" s="33">
        <f>BFPIaE!W7</f>
        <v>0</v>
      </c>
      <c r="S7" s="33">
        <f>BFPIaE!X7</f>
        <v>0</v>
      </c>
      <c r="T7" s="33">
        <f>BFPIaE!Y7</f>
        <v>0</v>
      </c>
      <c r="U7" s="33">
        <f>BFPIaE!Z7</f>
        <v>0</v>
      </c>
      <c r="V7" s="33">
        <f>BFPIaE!AA7</f>
        <v>0</v>
      </c>
      <c r="W7" s="33">
        <f>BFPIaE!AB7</f>
        <v>0</v>
      </c>
      <c r="X7" s="33">
        <f>BFPIaE!AC7</f>
        <v>0</v>
      </c>
      <c r="Y7" s="33">
        <f>BFPIaE!AD7</f>
        <v>0</v>
      </c>
      <c r="Z7" s="33">
        <f>BFPIaE!AE7</f>
        <v>0</v>
      </c>
      <c r="AA7" s="33">
        <f>BFPIaE!AF7</f>
        <v>0</v>
      </c>
      <c r="AB7" s="33">
        <f>BFPIaE!AG7</f>
        <v>0</v>
      </c>
      <c r="AC7" s="33">
        <f>BFPIaE!AH7</f>
        <v>0</v>
      </c>
      <c r="AD7" s="33">
        <f>BFPIaE!AI7</f>
        <v>0</v>
      </c>
      <c r="AE7" s="33">
        <f>BFPIaE!AJ7</f>
        <v>0</v>
      </c>
      <c r="AF7" s="33">
        <f>BFPIaE!AK7</f>
        <v>0</v>
      </c>
    </row>
    <row r="8" spans="1:32" x14ac:dyDescent="0.2">
      <c r="A8" s="1" t="s">
        <v>152</v>
      </c>
      <c r="B8" s="33">
        <f>BFPIaE!G8</f>
        <v>0</v>
      </c>
      <c r="C8" s="33">
        <f>BFPIaE!H8</f>
        <v>0</v>
      </c>
      <c r="D8" s="33">
        <f>BFPIaE!I8</f>
        <v>0</v>
      </c>
      <c r="E8" s="33">
        <f>BFPIaE!J8</f>
        <v>0</v>
      </c>
      <c r="F8" s="33">
        <f>BFPIaE!K8</f>
        <v>0</v>
      </c>
      <c r="G8" s="33">
        <f>BFPIaE!L8</f>
        <v>0</v>
      </c>
      <c r="H8" s="33">
        <f>BFPIaE!M8</f>
        <v>0</v>
      </c>
      <c r="I8" s="33">
        <f>BFPIaE!N8</f>
        <v>0</v>
      </c>
      <c r="J8" s="33">
        <f>BFPIaE!O8</f>
        <v>0</v>
      </c>
      <c r="K8" s="33">
        <f>BFPIaE!P8</f>
        <v>0</v>
      </c>
      <c r="L8" s="33">
        <f>BFPIaE!Q8</f>
        <v>0</v>
      </c>
      <c r="M8" s="33">
        <f>BFPIaE!R8</f>
        <v>0</v>
      </c>
      <c r="N8" s="33">
        <f>BFPIaE!S8</f>
        <v>0</v>
      </c>
      <c r="O8" s="33">
        <f>BFPIaE!T8</f>
        <v>0</v>
      </c>
      <c r="P8" s="33">
        <f>BFPIaE!U8</f>
        <v>0</v>
      </c>
      <c r="Q8" s="33">
        <f>BFPIaE!V8</f>
        <v>0</v>
      </c>
      <c r="R8" s="33">
        <f>BFPIaE!W8</f>
        <v>0</v>
      </c>
      <c r="S8" s="33">
        <f>BFPIaE!X8</f>
        <v>0</v>
      </c>
      <c r="T8" s="33">
        <f>BFPIaE!Y8</f>
        <v>0</v>
      </c>
      <c r="U8" s="33">
        <f>BFPIaE!Z8</f>
        <v>0</v>
      </c>
      <c r="V8" s="33">
        <f>BFPIaE!AA8</f>
        <v>0</v>
      </c>
      <c r="W8" s="33">
        <f>BFPIaE!AB8</f>
        <v>0</v>
      </c>
      <c r="X8" s="33">
        <f>BFPIaE!AC8</f>
        <v>0</v>
      </c>
      <c r="Y8" s="33">
        <f>BFPIaE!AD8</f>
        <v>0</v>
      </c>
      <c r="Z8" s="33">
        <f>BFPIaE!AE8</f>
        <v>0</v>
      </c>
      <c r="AA8" s="33">
        <f>BFPIaE!AF8</f>
        <v>0</v>
      </c>
      <c r="AB8" s="33">
        <f>BFPIaE!AG8</f>
        <v>0</v>
      </c>
      <c r="AC8" s="33">
        <f>BFPIaE!AH8</f>
        <v>0</v>
      </c>
      <c r="AD8" s="33">
        <f>BFPIaE!AI8</f>
        <v>0</v>
      </c>
      <c r="AE8" s="33">
        <f>BFPIaE!AJ8</f>
        <v>0</v>
      </c>
      <c r="AF8" s="33">
        <f>BFPIaE!AK8</f>
        <v>0</v>
      </c>
    </row>
    <row r="9" spans="1:32" x14ac:dyDescent="0.2">
      <c r="A9" s="1" t="s">
        <v>15</v>
      </c>
      <c r="B9" s="33">
        <f>BFPIaE!G9</f>
        <v>1049898565564145</v>
      </c>
      <c r="C9" s="33">
        <f>BFPIaE!H9</f>
        <v>1049898565564145</v>
      </c>
      <c r="D9" s="33">
        <f>BFPIaE!I9</f>
        <v>1082676893233797</v>
      </c>
      <c r="E9" s="33">
        <f>BFPIaE!J9</f>
        <v>1098095235793384</v>
      </c>
      <c r="F9" s="33">
        <f>BFPIaE!K9</f>
        <v>1114710688382876</v>
      </c>
      <c r="G9" s="33">
        <f>BFPIaE!L9</f>
        <v>1131326140972368</v>
      </c>
      <c r="H9" s="33">
        <f>BFPIaE!M9</f>
        <v>1147941593561860</v>
      </c>
      <c r="I9" s="33">
        <f>BFPIaE!N9</f>
        <v>1164557046151356</v>
      </c>
      <c r="J9" s="33">
        <f>BFPIaE!O9</f>
        <v>1181172498740848</v>
      </c>
      <c r="K9" s="33">
        <f>BFPIaE!P9</f>
        <v>1197787951330340</v>
      </c>
      <c r="L9" s="33">
        <f>BFPIaE!Q9</f>
        <v>1214403403919832</v>
      </c>
      <c r="M9" s="33">
        <f>BFPIaE!R9</f>
        <v>1231018856509324</v>
      </c>
      <c r="N9" s="33">
        <f>BFPIaE!S9</f>
        <v>1247634309098816</v>
      </c>
      <c r="O9" s="33">
        <f>BFPIaE!T9</f>
        <v>1264249761688308</v>
      </c>
      <c r="P9" s="33">
        <f>BFPIaE!U9</f>
        <v>1280865214277800</v>
      </c>
      <c r="Q9" s="33">
        <f>BFPIaE!V9</f>
        <v>1297480666867292</v>
      </c>
      <c r="R9" s="33">
        <f>BFPIaE!W9</f>
        <v>1314096119456784</v>
      </c>
      <c r="S9" s="33">
        <f>BFPIaE!X9</f>
        <v>1330711572046276</v>
      </c>
      <c r="T9" s="33">
        <f>BFPIaE!Y9</f>
        <v>1347327024635768</v>
      </c>
      <c r="U9" s="33">
        <f>BFPIaE!Z9</f>
        <v>1363942477225260</v>
      </c>
      <c r="V9" s="33">
        <f>BFPIaE!AA9</f>
        <v>1380557929814752</v>
      </c>
      <c r="W9" s="33">
        <f>BFPIaE!AB9</f>
        <v>1397173382404248</v>
      </c>
      <c r="X9" s="33">
        <f>BFPIaE!AC9</f>
        <v>1413788834993740</v>
      </c>
      <c r="Y9" s="33">
        <f>BFPIaE!AD9</f>
        <v>1430404287583232</v>
      </c>
      <c r="Z9" s="33">
        <f>BFPIaE!AE9</f>
        <v>1447019740172724</v>
      </c>
      <c r="AA9" s="33">
        <f>BFPIaE!AF9</f>
        <v>1463635192762216</v>
      </c>
      <c r="AB9" s="33">
        <f>BFPIaE!AG9</f>
        <v>1480250645351708</v>
      </c>
      <c r="AC9" s="33">
        <f>BFPIaE!AH9</f>
        <v>1496866097941200</v>
      </c>
      <c r="AD9" s="33">
        <f>BFPIaE!AI9</f>
        <v>1513481550530692</v>
      </c>
      <c r="AE9" s="33">
        <f>BFPIaE!AJ9</f>
        <v>1530097003120184</v>
      </c>
      <c r="AF9" s="33">
        <f>BFPIaE!AK9</f>
        <v>1546712455709676</v>
      </c>
    </row>
    <row r="10" spans="1:32" x14ac:dyDescent="0.2">
      <c r="A10" s="1" t="s">
        <v>19</v>
      </c>
      <c r="B10" s="33">
        <f>BFPIaE!G10</f>
        <v>0</v>
      </c>
      <c r="C10" s="33">
        <f>BFPIaE!H10</f>
        <v>0</v>
      </c>
      <c r="D10" s="33">
        <f>BFPIaE!I10</f>
        <v>0</v>
      </c>
      <c r="E10" s="33">
        <f>BFPIaE!J10</f>
        <v>0</v>
      </c>
      <c r="F10" s="33">
        <f>BFPIaE!K10</f>
        <v>0</v>
      </c>
      <c r="G10" s="33">
        <f>BFPIaE!L10</f>
        <v>0</v>
      </c>
      <c r="H10" s="33">
        <f>BFPIaE!M10</f>
        <v>0</v>
      </c>
      <c r="I10" s="33">
        <f>BFPIaE!N10</f>
        <v>0</v>
      </c>
      <c r="J10" s="33">
        <f>BFPIaE!O10</f>
        <v>0</v>
      </c>
      <c r="K10" s="33">
        <f>BFPIaE!P10</f>
        <v>0</v>
      </c>
      <c r="L10" s="33">
        <f>BFPIaE!Q10</f>
        <v>0</v>
      </c>
      <c r="M10" s="33">
        <f>BFPIaE!R10</f>
        <v>0</v>
      </c>
      <c r="N10" s="33">
        <f>BFPIaE!S10</f>
        <v>0</v>
      </c>
      <c r="O10" s="33">
        <f>BFPIaE!T10</f>
        <v>0</v>
      </c>
      <c r="P10" s="33">
        <f>BFPIaE!U10</f>
        <v>0</v>
      </c>
      <c r="Q10" s="33">
        <f>BFPIaE!V10</f>
        <v>0</v>
      </c>
      <c r="R10" s="33">
        <f>BFPIaE!W10</f>
        <v>0</v>
      </c>
      <c r="S10" s="33">
        <f>BFPIaE!X10</f>
        <v>0</v>
      </c>
      <c r="T10" s="33">
        <f>BFPIaE!Y10</f>
        <v>0</v>
      </c>
      <c r="U10" s="33">
        <f>BFPIaE!Z10</f>
        <v>0</v>
      </c>
      <c r="V10" s="33">
        <f>BFPIaE!AA10</f>
        <v>0</v>
      </c>
      <c r="W10" s="33">
        <f>BFPIaE!AB10</f>
        <v>0</v>
      </c>
      <c r="X10" s="33">
        <f>BFPIaE!AC10</f>
        <v>0</v>
      </c>
      <c r="Y10" s="33">
        <f>BFPIaE!AD10</f>
        <v>0</v>
      </c>
      <c r="Z10" s="33">
        <f>BFPIaE!AE10</f>
        <v>0</v>
      </c>
      <c r="AA10" s="33">
        <f>BFPIaE!AF10</f>
        <v>0</v>
      </c>
      <c r="AB10" s="33">
        <f>BFPIaE!AG10</f>
        <v>0</v>
      </c>
      <c r="AC10" s="33">
        <f>BFPIaE!AH10</f>
        <v>0</v>
      </c>
      <c r="AD10" s="33">
        <f>BFPIaE!AI10</f>
        <v>0</v>
      </c>
      <c r="AE10" s="33">
        <f>BFPIaE!AJ10</f>
        <v>0</v>
      </c>
      <c r="AF10" s="33">
        <f>BFPIaE!AK10</f>
        <v>0</v>
      </c>
    </row>
    <row r="11" spans="1:32" x14ac:dyDescent="0.2">
      <c r="A11" s="1" t="s">
        <v>21</v>
      </c>
      <c r="B11" s="33">
        <f>BFPIaE!G11</f>
        <v>0</v>
      </c>
      <c r="C11" s="33">
        <f>BFPIaE!H11</f>
        <v>0</v>
      </c>
      <c r="D11" s="33">
        <f>BFPIaE!I11</f>
        <v>0</v>
      </c>
      <c r="E11" s="33">
        <f>BFPIaE!J11</f>
        <v>0</v>
      </c>
      <c r="F11" s="33">
        <f>BFPIaE!K11</f>
        <v>0</v>
      </c>
      <c r="G11" s="33">
        <f>BFPIaE!L11</f>
        <v>0</v>
      </c>
      <c r="H11" s="33">
        <f>BFPIaE!M11</f>
        <v>0</v>
      </c>
      <c r="I11" s="33">
        <f>BFPIaE!N11</f>
        <v>0</v>
      </c>
      <c r="J11" s="33">
        <f>BFPIaE!O11</f>
        <v>0</v>
      </c>
      <c r="K11" s="33">
        <f>BFPIaE!P11</f>
        <v>0</v>
      </c>
      <c r="L11" s="33">
        <f>BFPIaE!Q11</f>
        <v>0</v>
      </c>
      <c r="M11" s="33">
        <f>BFPIaE!R11</f>
        <v>0</v>
      </c>
      <c r="N11" s="33">
        <f>BFPIaE!S11</f>
        <v>0</v>
      </c>
      <c r="O11" s="33">
        <f>BFPIaE!T11</f>
        <v>0</v>
      </c>
      <c r="P11" s="33">
        <f>BFPIaE!U11</f>
        <v>0</v>
      </c>
      <c r="Q11" s="33">
        <f>BFPIaE!V11</f>
        <v>0</v>
      </c>
      <c r="R11" s="33">
        <f>BFPIaE!W11</f>
        <v>0</v>
      </c>
      <c r="S11" s="33">
        <f>BFPIaE!X11</f>
        <v>0</v>
      </c>
      <c r="T11" s="33">
        <f>BFPIaE!Y11</f>
        <v>0</v>
      </c>
      <c r="U11" s="33">
        <f>BFPIaE!Z11</f>
        <v>0</v>
      </c>
      <c r="V11" s="33">
        <f>BFPIaE!AA11</f>
        <v>0</v>
      </c>
      <c r="W11" s="33">
        <f>BFPIaE!AB11</f>
        <v>0</v>
      </c>
      <c r="X11" s="33">
        <f>BFPIaE!AC11</f>
        <v>0</v>
      </c>
      <c r="Y11" s="33">
        <f>BFPIaE!AD11</f>
        <v>0</v>
      </c>
      <c r="Z11" s="33">
        <f>BFPIaE!AE11</f>
        <v>0</v>
      </c>
      <c r="AA11" s="33">
        <f>BFPIaE!AF11</f>
        <v>0</v>
      </c>
      <c r="AB11" s="33">
        <f>BFPIaE!AG11</f>
        <v>0</v>
      </c>
      <c r="AC11" s="33">
        <f>BFPIaE!AH11</f>
        <v>0</v>
      </c>
      <c r="AD11" s="33">
        <f>BFPIaE!AI11</f>
        <v>0</v>
      </c>
      <c r="AE11" s="33">
        <f>BFPIaE!AJ11</f>
        <v>0</v>
      </c>
      <c r="AF11" s="33">
        <f>BFPIaE!AK11</f>
        <v>0</v>
      </c>
    </row>
    <row r="12" spans="1:32" x14ac:dyDescent="0.2">
      <c r="A12" s="1" t="s">
        <v>22</v>
      </c>
      <c r="B12" s="33">
        <f>BFPIaE!G12</f>
        <v>0</v>
      </c>
      <c r="C12" s="33">
        <f>BFPIaE!H12</f>
        <v>0</v>
      </c>
      <c r="D12" s="33">
        <f>BFPIaE!I12</f>
        <v>0</v>
      </c>
      <c r="E12" s="33">
        <f>BFPIaE!J12</f>
        <v>0</v>
      </c>
      <c r="F12" s="33">
        <f>BFPIaE!K12</f>
        <v>0</v>
      </c>
      <c r="G12" s="33">
        <f>BFPIaE!L12</f>
        <v>0</v>
      </c>
      <c r="H12" s="33">
        <f>BFPIaE!M12</f>
        <v>0</v>
      </c>
      <c r="I12" s="33">
        <f>BFPIaE!N12</f>
        <v>0</v>
      </c>
      <c r="J12" s="33">
        <f>BFPIaE!O12</f>
        <v>0</v>
      </c>
      <c r="K12" s="33">
        <f>BFPIaE!P12</f>
        <v>0</v>
      </c>
      <c r="L12" s="33">
        <f>BFPIaE!Q12</f>
        <v>0</v>
      </c>
      <c r="M12" s="33">
        <f>BFPIaE!R12</f>
        <v>0</v>
      </c>
      <c r="N12" s="33">
        <f>BFPIaE!S12</f>
        <v>0</v>
      </c>
      <c r="O12" s="33">
        <f>BFPIaE!T12</f>
        <v>0</v>
      </c>
      <c r="P12" s="33">
        <f>BFPIaE!U12</f>
        <v>0</v>
      </c>
      <c r="Q12" s="33">
        <f>BFPIaE!V12</f>
        <v>0</v>
      </c>
      <c r="R12" s="33">
        <f>BFPIaE!W12</f>
        <v>0</v>
      </c>
      <c r="S12" s="33">
        <f>BFPIaE!X12</f>
        <v>0</v>
      </c>
      <c r="T12" s="33">
        <f>BFPIaE!Y12</f>
        <v>0</v>
      </c>
      <c r="U12" s="33">
        <f>BFPIaE!Z12</f>
        <v>0</v>
      </c>
      <c r="V12" s="33">
        <f>BFPIaE!AA12</f>
        <v>0</v>
      </c>
      <c r="W12" s="33">
        <f>BFPIaE!AB12</f>
        <v>0</v>
      </c>
      <c r="X12" s="33">
        <f>BFPIaE!AC12</f>
        <v>0</v>
      </c>
      <c r="Y12" s="33">
        <f>BFPIaE!AD12</f>
        <v>0</v>
      </c>
      <c r="Z12" s="33">
        <f>BFPIaE!AE12</f>
        <v>0</v>
      </c>
      <c r="AA12" s="33">
        <f>BFPIaE!AF12</f>
        <v>0</v>
      </c>
      <c r="AB12" s="33">
        <f>BFPIaE!AG12</f>
        <v>0</v>
      </c>
      <c r="AC12" s="33">
        <f>BFPIaE!AH12</f>
        <v>0</v>
      </c>
      <c r="AD12" s="33">
        <f>BFPIaE!AI12</f>
        <v>0</v>
      </c>
      <c r="AE12" s="33">
        <f>BFPIaE!AJ12</f>
        <v>0</v>
      </c>
      <c r="AF12" s="33">
        <f>BFPIaE!AK12</f>
        <v>0</v>
      </c>
    </row>
    <row r="13" spans="1:32" x14ac:dyDescent="0.2">
      <c r="A13" s="1" t="s">
        <v>23</v>
      </c>
      <c r="B13" s="33">
        <f>BFPIaE!G13</f>
        <v>0</v>
      </c>
      <c r="C13" s="33">
        <f>BFPIaE!H13</f>
        <v>0</v>
      </c>
      <c r="D13" s="33">
        <f>BFPIaE!I13</f>
        <v>0</v>
      </c>
      <c r="E13" s="33">
        <f>BFPIaE!J13</f>
        <v>0</v>
      </c>
      <c r="F13" s="33">
        <f>BFPIaE!K13</f>
        <v>0</v>
      </c>
      <c r="G13" s="33">
        <f>BFPIaE!L13</f>
        <v>0</v>
      </c>
      <c r="H13" s="33">
        <f>BFPIaE!M13</f>
        <v>0</v>
      </c>
      <c r="I13" s="33">
        <f>BFPIaE!N13</f>
        <v>0</v>
      </c>
      <c r="J13" s="33">
        <f>BFPIaE!O13</f>
        <v>0</v>
      </c>
      <c r="K13" s="33">
        <f>BFPIaE!P13</f>
        <v>0</v>
      </c>
      <c r="L13" s="33">
        <f>BFPIaE!Q13</f>
        <v>0</v>
      </c>
      <c r="M13" s="33">
        <f>BFPIaE!R13</f>
        <v>0</v>
      </c>
      <c r="N13" s="33">
        <f>BFPIaE!S13</f>
        <v>0</v>
      </c>
      <c r="O13" s="33">
        <f>BFPIaE!T13</f>
        <v>0</v>
      </c>
      <c r="P13" s="33">
        <f>BFPIaE!U13</f>
        <v>0</v>
      </c>
      <c r="Q13" s="33">
        <f>BFPIaE!V13</f>
        <v>0</v>
      </c>
      <c r="R13" s="33">
        <f>BFPIaE!W13</f>
        <v>0</v>
      </c>
      <c r="S13" s="33">
        <f>BFPIaE!X13</f>
        <v>0</v>
      </c>
      <c r="T13" s="33">
        <f>BFPIaE!Y13</f>
        <v>0</v>
      </c>
      <c r="U13" s="33">
        <f>BFPIaE!Z13</f>
        <v>0</v>
      </c>
      <c r="V13" s="33">
        <f>BFPIaE!AA13</f>
        <v>0</v>
      </c>
      <c r="W13" s="33">
        <f>BFPIaE!AB13</f>
        <v>0</v>
      </c>
      <c r="X13" s="33">
        <f>BFPIaE!AC13</f>
        <v>0</v>
      </c>
      <c r="Y13" s="33">
        <f>BFPIaE!AD13</f>
        <v>0</v>
      </c>
      <c r="Z13" s="33">
        <f>BFPIaE!AE13</f>
        <v>0</v>
      </c>
      <c r="AA13" s="33">
        <f>BFPIaE!AF13</f>
        <v>0</v>
      </c>
      <c r="AB13" s="33">
        <f>BFPIaE!AG13</f>
        <v>0</v>
      </c>
      <c r="AC13" s="33">
        <f>BFPIaE!AH13</f>
        <v>0</v>
      </c>
      <c r="AD13" s="33">
        <f>BFPIaE!AI13</f>
        <v>0</v>
      </c>
      <c r="AE13" s="33">
        <f>BFPIaE!AJ13</f>
        <v>0</v>
      </c>
      <c r="AF13" s="33">
        <f>BFPIaE!AK13</f>
        <v>0</v>
      </c>
    </row>
    <row r="14" spans="1:32" x14ac:dyDescent="0.2">
      <c r="A14" s="1" t="s">
        <v>153</v>
      </c>
      <c r="B14" s="33">
        <f>BFPIaE!G14</f>
        <v>0</v>
      </c>
      <c r="C14" s="33">
        <f>BFPIaE!H14</f>
        <v>0</v>
      </c>
      <c r="D14" s="33">
        <f>BFPIaE!I14</f>
        <v>0</v>
      </c>
      <c r="E14" s="33">
        <f>BFPIaE!J14</f>
        <v>0</v>
      </c>
      <c r="F14" s="33">
        <f>BFPIaE!K14</f>
        <v>0</v>
      </c>
      <c r="G14" s="33">
        <f>BFPIaE!L14</f>
        <v>0</v>
      </c>
      <c r="H14" s="33">
        <f>BFPIaE!M14</f>
        <v>0</v>
      </c>
      <c r="I14" s="33">
        <f>BFPIaE!N14</f>
        <v>0</v>
      </c>
      <c r="J14" s="33">
        <f>BFPIaE!O14</f>
        <v>0</v>
      </c>
      <c r="K14" s="33">
        <f>BFPIaE!P14</f>
        <v>0</v>
      </c>
      <c r="L14" s="33">
        <f>BFPIaE!Q14</f>
        <v>0</v>
      </c>
      <c r="M14" s="33">
        <f>BFPIaE!R14</f>
        <v>0</v>
      </c>
      <c r="N14" s="33">
        <f>BFPIaE!S14</f>
        <v>0</v>
      </c>
      <c r="O14" s="33">
        <f>BFPIaE!T14</f>
        <v>0</v>
      </c>
      <c r="P14" s="33">
        <f>BFPIaE!U14</f>
        <v>0</v>
      </c>
      <c r="Q14" s="33">
        <f>BFPIaE!V14</f>
        <v>0</v>
      </c>
      <c r="R14" s="33">
        <f>BFPIaE!W14</f>
        <v>0</v>
      </c>
      <c r="S14" s="33">
        <f>BFPIaE!X14</f>
        <v>0</v>
      </c>
      <c r="T14" s="33">
        <f>BFPIaE!Y14</f>
        <v>0</v>
      </c>
      <c r="U14" s="33">
        <f>BFPIaE!Z14</f>
        <v>0</v>
      </c>
      <c r="V14" s="33">
        <f>BFPIaE!AA14</f>
        <v>0</v>
      </c>
      <c r="W14" s="33">
        <f>BFPIaE!AB14</f>
        <v>0</v>
      </c>
      <c r="X14" s="33">
        <f>BFPIaE!AC14</f>
        <v>0</v>
      </c>
      <c r="Y14" s="33">
        <f>BFPIaE!AD14</f>
        <v>0</v>
      </c>
      <c r="Z14" s="33">
        <f>BFPIaE!AE14</f>
        <v>0</v>
      </c>
      <c r="AA14" s="33">
        <f>BFPIaE!AF14</f>
        <v>0</v>
      </c>
      <c r="AB14" s="33">
        <f>BFPIaE!AG14</f>
        <v>0</v>
      </c>
      <c r="AC14" s="33">
        <f>BFPIaE!AH14</f>
        <v>0</v>
      </c>
      <c r="AD14" s="33">
        <f>BFPIaE!AI14</f>
        <v>0</v>
      </c>
      <c r="AE14" s="33">
        <f>BFPIaE!AJ14</f>
        <v>0</v>
      </c>
      <c r="AF14" s="33">
        <f>BFPIaE!AK14</f>
        <v>0</v>
      </c>
    </row>
    <row r="15" spans="1:32" x14ac:dyDescent="0.2">
      <c r="A15" s="1" t="s">
        <v>154</v>
      </c>
      <c r="B15" s="33">
        <f>BFPIaE!G15</f>
        <v>0</v>
      </c>
      <c r="C15" s="33">
        <f>BFPIaE!H15</f>
        <v>0</v>
      </c>
      <c r="D15" s="33">
        <f>BFPIaE!I15</f>
        <v>0</v>
      </c>
      <c r="E15" s="33">
        <f>BFPIaE!J15</f>
        <v>0</v>
      </c>
      <c r="F15" s="33">
        <f>BFPIaE!K15</f>
        <v>0</v>
      </c>
      <c r="G15" s="33">
        <f>BFPIaE!L15</f>
        <v>0</v>
      </c>
      <c r="H15" s="33">
        <f>BFPIaE!M15</f>
        <v>0</v>
      </c>
      <c r="I15" s="33">
        <f>BFPIaE!N15</f>
        <v>0</v>
      </c>
      <c r="J15" s="33">
        <f>BFPIaE!O15</f>
        <v>0</v>
      </c>
      <c r="K15" s="33">
        <f>BFPIaE!P15</f>
        <v>0</v>
      </c>
      <c r="L15" s="33">
        <f>BFPIaE!Q15</f>
        <v>0</v>
      </c>
      <c r="M15" s="33">
        <f>BFPIaE!R15</f>
        <v>0</v>
      </c>
      <c r="N15" s="33">
        <f>BFPIaE!S15</f>
        <v>0</v>
      </c>
      <c r="O15" s="33">
        <f>BFPIaE!T15</f>
        <v>0</v>
      </c>
      <c r="P15" s="33">
        <f>BFPIaE!U15</f>
        <v>0</v>
      </c>
      <c r="Q15" s="33">
        <f>BFPIaE!V15</f>
        <v>0</v>
      </c>
      <c r="R15" s="33">
        <f>BFPIaE!W15</f>
        <v>0</v>
      </c>
      <c r="S15" s="33">
        <f>BFPIaE!X15</f>
        <v>0</v>
      </c>
      <c r="T15" s="33">
        <f>BFPIaE!Y15</f>
        <v>0</v>
      </c>
      <c r="U15" s="33">
        <f>BFPIaE!Z15</f>
        <v>0</v>
      </c>
      <c r="V15" s="33">
        <f>BFPIaE!AA15</f>
        <v>0</v>
      </c>
      <c r="W15" s="33">
        <f>BFPIaE!AB15</f>
        <v>0</v>
      </c>
      <c r="X15" s="33">
        <f>BFPIaE!AC15</f>
        <v>0</v>
      </c>
      <c r="Y15" s="33">
        <f>BFPIaE!AD15</f>
        <v>0</v>
      </c>
      <c r="Z15" s="33">
        <f>BFPIaE!AE15</f>
        <v>0</v>
      </c>
      <c r="AA15" s="33">
        <f>BFPIaE!AF15</f>
        <v>0</v>
      </c>
      <c r="AB15" s="33">
        <f>BFPIaE!AG15</f>
        <v>0</v>
      </c>
      <c r="AC15" s="33">
        <f>BFPIaE!AH15</f>
        <v>0</v>
      </c>
      <c r="AD15" s="33">
        <f>BFPIaE!AI15</f>
        <v>0</v>
      </c>
      <c r="AE15" s="33">
        <f>BFPIaE!AJ15</f>
        <v>0</v>
      </c>
      <c r="AF15" s="33">
        <f>BFPIaE!AK15</f>
        <v>0</v>
      </c>
    </row>
    <row r="16" spans="1:32" x14ac:dyDescent="0.2">
      <c r="A16" s="1" t="s">
        <v>155</v>
      </c>
      <c r="B16" s="33">
        <f>BFPIaE!G16</f>
        <v>0</v>
      </c>
      <c r="C16" s="33">
        <f>BFPIaE!H16</f>
        <v>0</v>
      </c>
      <c r="D16" s="33">
        <f>BFPIaE!I16</f>
        <v>0</v>
      </c>
      <c r="E16" s="33">
        <f>BFPIaE!J16</f>
        <v>0</v>
      </c>
      <c r="F16" s="33">
        <f>BFPIaE!K16</f>
        <v>0</v>
      </c>
      <c r="G16" s="33">
        <f>BFPIaE!L16</f>
        <v>0</v>
      </c>
      <c r="H16" s="33">
        <f>BFPIaE!M16</f>
        <v>0</v>
      </c>
      <c r="I16" s="33">
        <f>BFPIaE!N16</f>
        <v>0</v>
      </c>
      <c r="J16" s="33">
        <f>BFPIaE!O16</f>
        <v>0</v>
      </c>
      <c r="K16" s="33">
        <f>BFPIaE!P16</f>
        <v>0</v>
      </c>
      <c r="L16" s="33">
        <f>BFPIaE!Q16</f>
        <v>0</v>
      </c>
      <c r="M16" s="33">
        <f>BFPIaE!R16</f>
        <v>0</v>
      </c>
      <c r="N16" s="33">
        <f>BFPIaE!S16</f>
        <v>0</v>
      </c>
      <c r="O16" s="33">
        <f>BFPIaE!T16</f>
        <v>0</v>
      </c>
      <c r="P16" s="33">
        <f>BFPIaE!U16</f>
        <v>0</v>
      </c>
      <c r="Q16" s="33">
        <f>BFPIaE!V16</f>
        <v>0</v>
      </c>
      <c r="R16" s="33">
        <f>BFPIaE!W16</f>
        <v>0</v>
      </c>
      <c r="S16" s="33">
        <f>BFPIaE!X16</f>
        <v>0</v>
      </c>
      <c r="T16" s="33">
        <f>BFPIaE!Y16</f>
        <v>0</v>
      </c>
      <c r="U16" s="33">
        <f>BFPIaE!Z16</f>
        <v>0</v>
      </c>
      <c r="V16" s="33">
        <f>BFPIaE!AA16</f>
        <v>0</v>
      </c>
      <c r="W16" s="33">
        <f>BFPIaE!AB16</f>
        <v>0</v>
      </c>
      <c r="X16" s="33">
        <f>BFPIaE!AC16</f>
        <v>0</v>
      </c>
      <c r="Y16" s="33">
        <f>BFPIaE!AD16</f>
        <v>0</v>
      </c>
      <c r="Z16" s="33">
        <f>BFPIaE!AE16</f>
        <v>0</v>
      </c>
      <c r="AA16" s="33">
        <f>BFPIaE!AF16</f>
        <v>0</v>
      </c>
      <c r="AB16" s="33">
        <f>BFPIaE!AG16</f>
        <v>0</v>
      </c>
      <c r="AC16" s="33">
        <f>BFPIaE!AH16</f>
        <v>0</v>
      </c>
      <c r="AD16" s="33">
        <f>BFPIaE!AI16</f>
        <v>0</v>
      </c>
      <c r="AE16" s="33">
        <f>BFPIaE!AJ16</f>
        <v>0</v>
      </c>
      <c r="AF16" s="33">
        <f>BFPIaE!AK16</f>
        <v>0</v>
      </c>
    </row>
    <row r="17" spans="1:32" x14ac:dyDescent="0.2">
      <c r="A17" s="1" t="s">
        <v>59</v>
      </c>
      <c r="B17" s="33">
        <f>BFPIaE!G17</f>
        <v>0</v>
      </c>
      <c r="C17" s="33">
        <f>BFPIaE!H17</f>
        <v>0</v>
      </c>
      <c r="D17" s="33">
        <f>BFPIaE!I17</f>
        <v>0</v>
      </c>
      <c r="E17" s="33">
        <f>BFPIaE!J17</f>
        <v>0</v>
      </c>
      <c r="F17" s="33">
        <f>BFPIaE!K17</f>
        <v>0</v>
      </c>
      <c r="G17" s="33">
        <f>BFPIaE!L17</f>
        <v>0</v>
      </c>
      <c r="H17" s="33">
        <f>BFPIaE!M17</f>
        <v>0</v>
      </c>
      <c r="I17" s="33">
        <f>BFPIaE!N17</f>
        <v>0</v>
      </c>
      <c r="J17" s="33">
        <f>BFPIaE!O17</f>
        <v>0</v>
      </c>
      <c r="K17" s="33">
        <f>BFPIaE!P17</f>
        <v>0</v>
      </c>
      <c r="L17" s="33">
        <f>BFPIaE!Q17</f>
        <v>0</v>
      </c>
      <c r="M17" s="33">
        <f>BFPIaE!R17</f>
        <v>0</v>
      </c>
      <c r="N17" s="33">
        <f>BFPIaE!S17</f>
        <v>0</v>
      </c>
      <c r="O17" s="33">
        <f>BFPIaE!T17</f>
        <v>0</v>
      </c>
      <c r="P17" s="33">
        <f>BFPIaE!U17</f>
        <v>0</v>
      </c>
      <c r="Q17" s="33">
        <f>BFPIaE!V17</f>
        <v>0</v>
      </c>
      <c r="R17" s="33">
        <f>BFPIaE!W17</f>
        <v>0</v>
      </c>
      <c r="S17" s="33">
        <f>BFPIaE!X17</f>
        <v>0</v>
      </c>
      <c r="T17" s="33">
        <f>BFPIaE!Y17</f>
        <v>0</v>
      </c>
      <c r="U17" s="33">
        <f>BFPIaE!Z17</f>
        <v>0</v>
      </c>
      <c r="V17" s="33">
        <f>BFPIaE!AA17</f>
        <v>0</v>
      </c>
      <c r="W17" s="33">
        <f>BFPIaE!AB17</f>
        <v>0</v>
      </c>
      <c r="X17" s="33">
        <f>BFPIaE!AC17</f>
        <v>0</v>
      </c>
      <c r="Y17" s="33">
        <f>BFPIaE!AD17</f>
        <v>0</v>
      </c>
      <c r="Z17" s="33">
        <f>BFPIaE!AE17</f>
        <v>0</v>
      </c>
      <c r="AA17" s="33">
        <f>BFPIaE!AF17</f>
        <v>0</v>
      </c>
      <c r="AB17" s="33">
        <f>BFPIaE!AG17</f>
        <v>0</v>
      </c>
      <c r="AC17" s="33">
        <f>BFPIaE!AH17</f>
        <v>0</v>
      </c>
      <c r="AD17" s="33">
        <f>BFPIaE!AI17</f>
        <v>0</v>
      </c>
      <c r="AE17" s="33">
        <f>BFPIaE!AJ17</f>
        <v>0</v>
      </c>
      <c r="AF17" s="33">
        <f>BFPIaE!AK17</f>
        <v>0</v>
      </c>
    </row>
    <row r="18" spans="1:32" x14ac:dyDescent="0.2">
      <c r="A18" s="1" t="s">
        <v>25</v>
      </c>
      <c r="B18" s="33">
        <f>BFPIaE!G18</f>
        <v>6057046057938665</v>
      </c>
      <c r="C18" s="33">
        <f>BFPIaE!H18</f>
        <v>6057046057938665</v>
      </c>
      <c r="D18" s="33">
        <f>BFPIaE!I18</f>
        <v>6206373959901015</v>
      </c>
      <c r="E18" s="33">
        <f>BFPIaE!J18</f>
        <v>6432928214108224</v>
      </c>
      <c r="F18" s="33">
        <f>BFPIaE!K18</f>
        <v>6614160940802048</v>
      </c>
      <c r="G18" s="33">
        <f>BFPIaE!L18</f>
        <v>6795393667495872</v>
      </c>
      <c r="H18" s="33">
        <f>BFPIaE!M18</f>
        <v>6976626394189696</v>
      </c>
      <c r="I18" s="33">
        <f>BFPIaE!N18</f>
        <v>7157859120883584</v>
      </c>
      <c r="J18" s="33">
        <f>BFPIaE!O18</f>
        <v>7339091847577408</v>
      </c>
      <c r="K18" s="33">
        <f>BFPIaE!P18</f>
        <v>7520324574271232</v>
      </c>
      <c r="L18" s="33">
        <f>BFPIaE!Q18</f>
        <v>7701557300965120</v>
      </c>
      <c r="M18" s="33">
        <f>BFPIaE!R18</f>
        <v>7882790027658944</v>
      </c>
      <c r="N18" s="33">
        <f>BFPIaE!S18</f>
        <v>8064022754352768</v>
      </c>
      <c r="O18" s="33">
        <f>BFPIaE!T18</f>
        <v>8245255481046656</v>
      </c>
      <c r="P18" s="33">
        <f>BFPIaE!U18</f>
        <v>8426488207740480</v>
      </c>
      <c r="Q18" s="33">
        <f>BFPIaE!V18</f>
        <v>8607720934434304</v>
      </c>
      <c r="R18" s="33">
        <f>BFPIaE!W18</f>
        <v>8788953661128128</v>
      </c>
      <c r="S18" s="33">
        <f>BFPIaE!X18</f>
        <v>8970186387822016</v>
      </c>
      <c r="T18" s="33">
        <f>BFPIaE!Y18</f>
        <v>9151419114515840</v>
      </c>
      <c r="U18" s="33">
        <f>BFPIaE!Z18</f>
        <v>9332651841209664</v>
      </c>
      <c r="V18" s="33">
        <f>BFPIaE!AA18</f>
        <v>9513884567903552</v>
      </c>
      <c r="W18" s="33">
        <f>BFPIaE!AB18</f>
        <v>9695117294597376</v>
      </c>
      <c r="X18" s="33">
        <f>BFPIaE!AC18</f>
        <v>9876350021291200</v>
      </c>
      <c r="Y18" s="33">
        <f>BFPIaE!AD18</f>
        <v>1.0057582747985088E+16</v>
      </c>
      <c r="Z18" s="33">
        <f>BFPIaE!AE18</f>
        <v>1.0238815474678912E+16</v>
      </c>
      <c r="AA18" s="33">
        <f>BFPIaE!AF18</f>
        <v>1.0420048201372736E+16</v>
      </c>
      <c r="AB18" s="33">
        <f>BFPIaE!AG18</f>
        <v>1.060128092806656E+16</v>
      </c>
      <c r="AC18" s="33">
        <f>BFPIaE!AH18</f>
        <v>1.0782513654760448E+16</v>
      </c>
      <c r="AD18" s="33">
        <f>BFPIaE!AI18</f>
        <v>1.0963746381454272E+16</v>
      </c>
      <c r="AE18" s="33">
        <f>BFPIaE!AJ18</f>
        <v>1.1144979108148096E+16</v>
      </c>
      <c r="AF18" s="33">
        <f>BFPIaE!AK18</f>
        <v>1.1326211834841984E+16</v>
      </c>
    </row>
    <row r="19" spans="1:32" x14ac:dyDescent="0.2">
      <c r="A19" s="1" t="s">
        <v>26</v>
      </c>
      <c r="B19" s="33">
        <f>BFPIaE!G19</f>
        <v>0</v>
      </c>
      <c r="C19" s="33">
        <f>BFPIaE!H19</f>
        <v>0</v>
      </c>
      <c r="D19" s="33">
        <f>BFPIaE!I19</f>
        <v>0</v>
      </c>
      <c r="E19" s="33">
        <f>BFPIaE!J19</f>
        <v>0</v>
      </c>
      <c r="F19" s="33">
        <f>BFPIaE!K19</f>
        <v>0</v>
      </c>
      <c r="G19" s="33">
        <f>BFPIaE!L19</f>
        <v>0</v>
      </c>
      <c r="H19" s="33">
        <f>BFPIaE!M19</f>
        <v>0</v>
      </c>
      <c r="I19" s="33">
        <f>BFPIaE!N19</f>
        <v>0</v>
      </c>
      <c r="J19" s="33">
        <f>BFPIaE!O19</f>
        <v>0</v>
      </c>
      <c r="K19" s="33">
        <f>BFPIaE!P19</f>
        <v>0</v>
      </c>
      <c r="L19" s="33">
        <f>BFPIaE!Q19</f>
        <v>0</v>
      </c>
      <c r="M19" s="33">
        <f>BFPIaE!R19</f>
        <v>0</v>
      </c>
      <c r="N19" s="33">
        <f>BFPIaE!S19</f>
        <v>0</v>
      </c>
      <c r="O19" s="33">
        <f>BFPIaE!T19</f>
        <v>0</v>
      </c>
      <c r="P19" s="33">
        <f>BFPIaE!U19</f>
        <v>0</v>
      </c>
      <c r="Q19" s="33">
        <f>BFPIaE!V19</f>
        <v>0</v>
      </c>
      <c r="R19" s="33">
        <f>BFPIaE!W19</f>
        <v>0</v>
      </c>
      <c r="S19" s="33">
        <f>BFPIaE!X19</f>
        <v>0</v>
      </c>
      <c r="T19" s="33">
        <f>BFPIaE!Y19</f>
        <v>0</v>
      </c>
      <c r="U19" s="33">
        <f>BFPIaE!Z19</f>
        <v>0</v>
      </c>
      <c r="V19" s="33">
        <f>BFPIaE!AA19</f>
        <v>0</v>
      </c>
      <c r="W19" s="33">
        <f>BFPIaE!AB19</f>
        <v>0</v>
      </c>
      <c r="X19" s="33">
        <f>BFPIaE!AC19</f>
        <v>0</v>
      </c>
      <c r="Y19" s="33">
        <f>BFPIaE!AD19</f>
        <v>0</v>
      </c>
      <c r="Z19" s="33">
        <f>BFPIaE!AE19</f>
        <v>0</v>
      </c>
      <c r="AA19" s="33">
        <f>BFPIaE!AF19</f>
        <v>0</v>
      </c>
      <c r="AB19" s="33">
        <f>BFPIaE!AG19</f>
        <v>0</v>
      </c>
      <c r="AC19" s="33">
        <f>BFPIaE!AH19</f>
        <v>0</v>
      </c>
      <c r="AD19" s="33">
        <f>BFPIaE!AI19</f>
        <v>0</v>
      </c>
      <c r="AE19" s="33">
        <f>BFPIaE!AJ19</f>
        <v>0</v>
      </c>
      <c r="AF19" s="33">
        <f>BFPIaE!AK19</f>
        <v>0</v>
      </c>
    </row>
    <row r="20" spans="1:32" x14ac:dyDescent="0.2">
      <c r="A20" s="1" t="s">
        <v>27</v>
      </c>
      <c r="B20" s="33">
        <f>BFPIaE!G20</f>
        <v>0</v>
      </c>
      <c r="C20" s="33">
        <f>BFPIaE!H20</f>
        <v>0</v>
      </c>
      <c r="D20" s="33">
        <f>BFPIaE!I20</f>
        <v>0</v>
      </c>
      <c r="E20" s="33">
        <f>BFPIaE!J20</f>
        <v>0</v>
      </c>
      <c r="F20" s="33">
        <f>BFPIaE!K20</f>
        <v>0</v>
      </c>
      <c r="G20" s="33">
        <f>BFPIaE!L20</f>
        <v>0</v>
      </c>
      <c r="H20" s="33">
        <f>BFPIaE!M20</f>
        <v>0</v>
      </c>
      <c r="I20" s="33">
        <f>BFPIaE!N20</f>
        <v>0</v>
      </c>
      <c r="J20" s="33">
        <f>BFPIaE!O20</f>
        <v>0</v>
      </c>
      <c r="K20" s="33">
        <f>BFPIaE!P20</f>
        <v>0</v>
      </c>
      <c r="L20" s="33">
        <f>BFPIaE!Q20</f>
        <v>0</v>
      </c>
      <c r="M20" s="33">
        <f>BFPIaE!R20</f>
        <v>0</v>
      </c>
      <c r="N20" s="33">
        <f>BFPIaE!S20</f>
        <v>0</v>
      </c>
      <c r="O20" s="33">
        <f>BFPIaE!T20</f>
        <v>0</v>
      </c>
      <c r="P20" s="33">
        <f>BFPIaE!U20</f>
        <v>0</v>
      </c>
      <c r="Q20" s="33">
        <f>BFPIaE!V20</f>
        <v>0</v>
      </c>
      <c r="R20" s="33">
        <f>BFPIaE!W20</f>
        <v>0</v>
      </c>
      <c r="S20" s="33">
        <f>BFPIaE!X20</f>
        <v>0</v>
      </c>
      <c r="T20" s="33">
        <f>BFPIaE!Y20</f>
        <v>0</v>
      </c>
      <c r="U20" s="33">
        <f>BFPIaE!Z20</f>
        <v>0</v>
      </c>
      <c r="V20" s="33">
        <f>BFPIaE!AA20</f>
        <v>0</v>
      </c>
      <c r="W20" s="33">
        <f>BFPIaE!AB20</f>
        <v>0</v>
      </c>
      <c r="X20" s="33">
        <f>BFPIaE!AC20</f>
        <v>0</v>
      </c>
      <c r="Y20" s="33">
        <f>BFPIaE!AD20</f>
        <v>0</v>
      </c>
      <c r="Z20" s="33">
        <f>BFPIaE!AE20</f>
        <v>0</v>
      </c>
      <c r="AA20" s="33">
        <f>BFPIaE!AF20</f>
        <v>0</v>
      </c>
      <c r="AB20" s="33">
        <f>BFPIaE!AG20</f>
        <v>0</v>
      </c>
      <c r="AC20" s="33">
        <f>BFPIaE!AH20</f>
        <v>0</v>
      </c>
      <c r="AD20" s="33">
        <f>BFPIaE!AI20</f>
        <v>0</v>
      </c>
      <c r="AE20" s="33">
        <f>BFPIaE!AJ20</f>
        <v>0</v>
      </c>
      <c r="AF20" s="33">
        <f>BFPIaE!AK20</f>
        <v>0</v>
      </c>
    </row>
    <row r="21" spans="1:32" x14ac:dyDescent="0.2">
      <c r="A21" s="1" t="s">
        <v>156</v>
      </c>
      <c r="B21" s="33">
        <f>BFPIaE!G21</f>
        <v>0</v>
      </c>
      <c r="C21" s="33">
        <f>BFPIaE!H21</f>
        <v>0</v>
      </c>
      <c r="D21" s="33">
        <f>BFPIaE!I21</f>
        <v>0</v>
      </c>
      <c r="E21" s="33">
        <f>BFPIaE!J21</f>
        <v>0</v>
      </c>
      <c r="F21" s="33">
        <f>BFPIaE!K21</f>
        <v>0</v>
      </c>
      <c r="G21" s="33">
        <f>BFPIaE!L21</f>
        <v>0</v>
      </c>
      <c r="H21" s="33">
        <f>BFPIaE!M21</f>
        <v>0</v>
      </c>
      <c r="I21" s="33">
        <f>BFPIaE!N21</f>
        <v>0</v>
      </c>
      <c r="J21" s="33">
        <f>BFPIaE!O21</f>
        <v>0</v>
      </c>
      <c r="K21" s="33">
        <f>BFPIaE!P21</f>
        <v>0</v>
      </c>
      <c r="L21" s="33">
        <f>BFPIaE!Q21</f>
        <v>0</v>
      </c>
      <c r="M21" s="33">
        <f>BFPIaE!R21</f>
        <v>0</v>
      </c>
      <c r="N21" s="33">
        <f>BFPIaE!S21</f>
        <v>0</v>
      </c>
      <c r="O21" s="33">
        <f>BFPIaE!T21</f>
        <v>0</v>
      </c>
      <c r="P21" s="33">
        <f>BFPIaE!U21</f>
        <v>0</v>
      </c>
      <c r="Q21" s="33">
        <f>BFPIaE!V21</f>
        <v>0</v>
      </c>
      <c r="R21" s="33">
        <f>BFPIaE!W21</f>
        <v>0</v>
      </c>
      <c r="S21" s="33">
        <f>BFPIaE!X21</f>
        <v>0</v>
      </c>
      <c r="T21" s="33">
        <f>BFPIaE!Y21</f>
        <v>0</v>
      </c>
      <c r="U21" s="33">
        <f>BFPIaE!Z21</f>
        <v>0</v>
      </c>
      <c r="V21" s="33">
        <f>BFPIaE!AA21</f>
        <v>0</v>
      </c>
      <c r="W21" s="33">
        <f>BFPIaE!AB21</f>
        <v>0</v>
      </c>
      <c r="X21" s="33">
        <f>BFPIaE!AC21</f>
        <v>0</v>
      </c>
      <c r="Y21" s="33">
        <f>BFPIaE!AD21</f>
        <v>0</v>
      </c>
      <c r="Z21" s="33">
        <f>BFPIaE!AE21</f>
        <v>0</v>
      </c>
      <c r="AA21" s="33">
        <f>BFPIaE!AF21</f>
        <v>0</v>
      </c>
      <c r="AB21" s="33">
        <f>BFPIaE!AG21</f>
        <v>0</v>
      </c>
      <c r="AC21" s="33">
        <f>BFPIaE!AH21</f>
        <v>0</v>
      </c>
      <c r="AD21" s="33">
        <f>BFPIaE!AI21</f>
        <v>0</v>
      </c>
      <c r="AE21" s="33">
        <f>BFPIaE!AJ21</f>
        <v>0</v>
      </c>
      <c r="AF21" s="33">
        <f>BFPIaE!AK21</f>
        <v>0</v>
      </c>
    </row>
    <row r="22" spans="1:32" x14ac:dyDescent="0.2">
      <c r="A22" s="1" t="s">
        <v>63</v>
      </c>
      <c r="B22" s="33">
        <f>BFPIaE!G22</f>
        <v>0</v>
      </c>
      <c r="C22" s="33">
        <f>BFPIaE!H22</f>
        <v>0</v>
      </c>
      <c r="D22" s="33">
        <f>BFPIaE!I22</f>
        <v>0</v>
      </c>
      <c r="E22" s="33">
        <f>BFPIaE!J22</f>
        <v>0</v>
      </c>
      <c r="F22" s="33">
        <f>BFPIaE!K22</f>
        <v>0</v>
      </c>
      <c r="G22" s="33">
        <f>BFPIaE!L22</f>
        <v>0</v>
      </c>
      <c r="H22" s="33">
        <f>BFPIaE!M22</f>
        <v>0</v>
      </c>
      <c r="I22" s="33">
        <f>BFPIaE!N22</f>
        <v>0</v>
      </c>
      <c r="J22" s="33">
        <f>BFPIaE!O22</f>
        <v>0</v>
      </c>
      <c r="K22" s="33">
        <f>BFPIaE!P22</f>
        <v>0</v>
      </c>
      <c r="L22" s="33">
        <f>BFPIaE!Q22</f>
        <v>0</v>
      </c>
      <c r="M22" s="33">
        <f>BFPIaE!R22</f>
        <v>0</v>
      </c>
      <c r="N22" s="33">
        <f>BFPIaE!S22</f>
        <v>0</v>
      </c>
      <c r="O22" s="33">
        <f>BFPIaE!T22</f>
        <v>0</v>
      </c>
      <c r="P22" s="33">
        <f>BFPIaE!U22</f>
        <v>0</v>
      </c>
      <c r="Q22" s="33">
        <f>BFPIaE!V22</f>
        <v>0</v>
      </c>
      <c r="R22" s="33">
        <f>BFPIaE!W22</f>
        <v>0</v>
      </c>
      <c r="S22" s="33">
        <f>BFPIaE!X22</f>
        <v>0</v>
      </c>
      <c r="T22" s="33">
        <f>BFPIaE!Y22</f>
        <v>0</v>
      </c>
      <c r="U22" s="33">
        <f>BFPIaE!Z22</f>
        <v>0</v>
      </c>
      <c r="V22" s="33">
        <f>BFPIaE!AA22</f>
        <v>0</v>
      </c>
      <c r="W22" s="33">
        <f>BFPIaE!AB22</f>
        <v>0</v>
      </c>
      <c r="X22" s="33">
        <f>BFPIaE!AC22</f>
        <v>0</v>
      </c>
      <c r="Y22" s="33">
        <f>BFPIaE!AD22</f>
        <v>0</v>
      </c>
      <c r="Z22" s="33">
        <f>BFPIaE!AE22</f>
        <v>0</v>
      </c>
      <c r="AA22" s="33">
        <f>BFPIaE!AF22</f>
        <v>0</v>
      </c>
      <c r="AB22" s="33">
        <f>BFPIaE!AG22</f>
        <v>0</v>
      </c>
      <c r="AC22" s="33">
        <f>BFPIaE!AH22</f>
        <v>0</v>
      </c>
      <c r="AD22" s="33">
        <f>BFPIaE!AI22</f>
        <v>0</v>
      </c>
      <c r="AE22" s="33">
        <f>BFPIaE!AJ22</f>
        <v>0</v>
      </c>
      <c r="AF22" s="33">
        <f>BFPIaE!AK22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A05F5-8F83-B14C-8ADA-61ECC95959EC}">
  <sheetPr>
    <tabColor theme="3"/>
  </sheetPr>
  <dimension ref="A1:AF22"/>
  <sheetViews>
    <sheetView workbookViewId="0">
      <selection activeCell="B2" sqref="B2:AF22"/>
    </sheetView>
  </sheetViews>
  <sheetFormatPr baseColWidth="10" defaultRowHeight="15" x14ac:dyDescent="0.2"/>
  <cols>
    <col min="1" max="1" width="38.1640625" customWidth="1"/>
  </cols>
  <sheetData>
    <row r="1" spans="1:32" x14ac:dyDescent="0.2">
      <c r="A1" s="1" t="s">
        <v>148</v>
      </c>
      <c r="B1" s="1">
        <v>2020</v>
      </c>
      <c r="C1" s="37">
        <v>2021</v>
      </c>
      <c r="D1" s="1">
        <v>2022</v>
      </c>
      <c r="E1" s="37">
        <v>2023</v>
      </c>
      <c r="F1" s="1">
        <v>2024</v>
      </c>
      <c r="G1" s="37">
        <v>2025</v>
      </c>
      <c r="H1" s="1">
        <v>2026</v>
      </c>
      <c r="I1" s="37">
        <v>2027</v>
      </c>
      <c r="J1" s="1">
        <v>2028</v>
      </c>
      <c r="K1" s="37">
        <v>2029</v>
      </c>
      <c r="L1" s="1">
        <v>2030</v>
      </c>
      <c r="M1" s="37">
        <v>2031</v>
      </c>
      <c r="N1" s="1">
        <v>2032</v>
      </c>
      <c r="O1" s="37">
        <v>2033</v>
      </c>
      <c r="P1" s="37">
        <v>2034</v>
      </c>
      <c r="Q1" s="37">
        <v>2035</v>
      </c>
      <c r="R1" s="37">
        <v>2036</v>
      </c>
      <c r="S1" s="37">
        <v>2037</v>
      </c>
      <c r="T1" s="37">
        <v>2038</v>
      </c>
      <c r="U1" s="37">
        <v>2039</v>
      </c>
      <c r="V1" s="37">
        <v>2040</v>
      </c>
      <c r="W1" s="37">
        <v>2041</v>
      </c>
      <c r="X1" s="37">
        <v>2042</v>
      </c>
      <c r="Y1" s="37">
        <v>2043</v>
      </c>
      <c r="Z1" s="37">
        <v>2044</v>
      </c>
      <c r="AA1" s="37">
        <v>2045</v>
      </c>
      <c r="AB1" s="37">
        <v>2046</v>
      </c>
      <c r="AC1" s="37">
        <v>2047</v>
      </c>
      <c r="AD1" s="37">
        <v>2048</v>
      </c>
      <c r="AE1" s="37">
        <v>2049</v>
      </c>
      <c r="AF1" s="37">
        <v>2050</v>
      </c>
    </row>
    <row r="2" spans="1:32" x14ac:dyDescent="0.2">
      <c r="A2" s="1" t="s">
        <v>149</v>
      </c>
      <c r="B2" s="33">
        <f>BFPIaE!G26</f>
        <v>0</v>
      </c>
      <c r="C2" s="33">
        <f>BFPIaE!H26</f>
        <v>0</v>
      </c>
      <c r="D2" s="33">
        <f>BFPIaE!I26</f>
        <v>0</v>
      </c>
      <c r="E2" s="33">
        <f>BFPIaE!J26</f>
        <v>0</v>
      </c>
      <c r="F2" s="33">
        <f>BFPIaE!K26</f>
        <v>0</v>
      </c>
      <c r="G2" s="33">
        <f>BFPIaE!L26</f>
        <v>0</v>
      </c>
      <c r="H2" s="33">
        <f>BFPIaE!M26</f>
        <v>0</v>
      </c>
      <c r="I2" s="33">
        <f>BFPIaE!N26</f>
        <v>0</v>
      </c>
      <c r="J2" s="33">
        <f>BFPIaE!O26</f>
        <v>0</v>
      </c>
      <c r="K2" s="33">
        <f>BFPIaE!P26</f>
        <v>0</v>
      </c>
      <c r="L2" s="33">
        <f>BFPIaE!Q26</f>
        <v>0</v>
      </c>
      <c r="M2" s="33">
        <f>BFPIaE!R26</f>
        <v>0</v>
      </c>
      <c r="N2" s="33">
        <f>BFPIaE!S26</f>
        <v>0</v>
      </c>
      <c r="O2" s="33">
        <f>BFPIaE!T26</f>
        <v>0</v>
      </c>
      <c r="P2" s="33">
        <f>BFPIaE!U26</f>
        <v>0</v>
      </c>
      <c r="Q2" s="33">
        <f>BFPIaE!V26</f>
        <v>0</v>
      </c>
      <c r="R2" s="33">
        <f>BFPIaE!W26</f>
        <v>0</v>
      </c>
      <c r="S2" s="33">
        <f>BFPIaE!X26</f>
        <v>0</v>
      </c>
      <c r="T2" s="33">
        <f>BFPIaE!Y26</f>
        <v>0</v>
      </c>
      <c r="U2" s="33">
        <f>BFPIaE!Z26</f>
        <v>0</v>
      </c>
      <c r="V2" s="33">
        <f>BFPIaE!AA26</f>
        <v>0</v>
      </c>
      <c r="W2" s="33">
        <f>BFPIaE!AB26</f>
        <v>0</v>
      </c>
      <c r="X2" s="33">
        <f>BFPIaE!AC26</f>
        <v>0</v>
      </c>
      <c r="Y2" s="33">
        <f>BFPIaE!AD26</f>
        <v>0</v>
      </c>
      <c r="Z2" s="33">
        <f>BFPIaE!AE26</f>
        <v>0</v>
      </c>
      <c r="AA2" s="33">
        <f>BFPIaE!AF26</f>
        <v>0</v>
      </c>
      <c r="AB2" s="33">
        <f>BFPIaE!AG26</f>
        <v>0</v>
      </c>
      <c r="AC2" s="33">
        <f>BFPIaE!AH26</f>
        <v>0</v>
      </c>
      <c r="AD2" s="33">
        <f>BFPIaE!AI26</f>
        <v>0</v>
      </c>
      <c r="AE2" s="33">
        <f>BFPIaE!AJ26</f>
        <v>0</v>
      </c>
      <c r="AF2" s="33">
        <f>BFPIaE!AK26</f>
        <v>0</v>
      </c>
    </row>
    <row r="3" spans="1:32" x14ac:dyDescent="0.2">
      <c r="A3" s="1" t="s">
        <v>55</v>
      </c>
      <c r="B3" s="33">
        <f>BFPIaE!G27</f>
        <v>191828614957745.66</v>
      </c>
      <c r="C3" s="33">
        <f>BFPIaE!H27</f>
        <v>191828614957745.66</v>
      </c>
      <c r="D3" s="33">
        <f>BFPIaE!I27</f>
        <v>172185428279201.16</v>
      </c>
      <c r="E3" s="33">
        <f>BFPIaE!J27</f>
        <v>171079967557032</v>
      </c>
      <c r="F3" s="33">
        <f>BFPIaE!K27</f>
        <v>164210521248886</v>
      </c>
      <c r="G3" s="33">
        <f>BFPIaE!L27</f>
        <v>157341074940740</v>
      </c>
      <c r="H3" s="33">
        <f>BFPIaE!M27</f>
        <v>150471628632594</v>
      </c>
      <c r="I3" s="33">
        <f>BFPIaE!N27</f>
        <v>143602182324448</v>
      </c>
      <c r="J3" s="33">
        <f>BFPIaE!O27</f>
        <v>136732736016302</v>
      </c>
      <c r="K3" s="33">
        <f>BFPIaE!P27</f>
        <v>129863289708156</v>
      </c>
      <c r="L3" s="33">
        <f>BFPIaE!Q27</f>
        <v>122993843400010</v>
      </c>
      <c r="M3" s="33">
        <f>BFPIaE!R27</f>
        <v>116124397091864</v>
      </c>
      <c r="N3" s="33">
        <f>BFPIaE!S27</f>
        <v>109254950783718</v>
      </c>
      <c r="O3" s="33">
        <f>BFPIaE!T27</f>
        <v>102385504475572</v>
      </c>
      <c r="P3" s="33">
        <f>BFPIaE!U27</f>
        <v>95516058167426</v>
      </c>
      <c r="Q3" s="33">
        <f>BFPIaE!V27</f>
        <v>88646611859280</v>
      </c>
      <c r="R3" s="33">
        <f>BFPIaE!W27</f>
        <v>81777165551134</v>
      </c>
      <c r="S3" s="33">
        <f>BFPIaE!X27</f>
        <v>74907719242988</v>
      </c>
      <c r="T3" s="33">
        <f>BFPIaE!Y27</f>
        <v>68038272934842</v>
      </c>
      <c r="U3" s="33">
        <f>BFPIaE!Z27</f>
        <v>61168826626696</v>
      </c>
      <c r="V3" s="33">
        <f>BFPIaE!AA27</f>
        <v>54299380318548</v>
      </c>
      <c r="W3" s="33">
        <f>BFPIaE!AB27</f>
        <v>47429934010402</v>
      </c>
      <c r="X3" s="33">
        <f>BFPIaE!AC27</f>
        <v>40560487702256</v>
      </c>
      <c r="Y3" s="33">
        <f>BFPIaE!AD27</f>
        <v>33691041394110</v>
      </c>
      <c r="Z3" s="33">
        <f>BFPIaE!AE27</f>
        <v>26821595085964</v>
      </c>
      <c r="AA3" s="33">
        <f>BFPIaE!AF27</f>
        <v>19952148777818</v>
      </c>
      <c r="AB3" s="33">
        <f>BFPIaE!AG27</f>
        <v>13082702469672</v>
      </c>
      <c r="AC3" s="33">
        <f>BFPIaE!AH27</f>
        <v>6213256161526</v>
      </c>
      <c r="AD3" s="33">
        <f>BFPIaE!AI27</f>
        <v>6213256161526</v>
      </c>
      <c r="AE3" s="33">
        <f>BFPIaE!AJ27</f>
        <v>6213256161526</v>
      </c>
      <c r="AF3" s="33">
        <f>BFPIaE!AK27</f>
        <v>6213256161526</v>
      </c>
    </row>
    <row r="4" spans="1:32" x14ac:dyDescent="0.2">
      <c r="A4" s="1" t="s">
        <v>13</v>
      </c>
      <c r="B4" s="33">
        <f>BFPIaE!G28</f>
        <v>335640551367938.06</v>
      </c>
      <c r="C4" s="33">
        <f>BFPIaE!H28</f>
        <v>335640551367938.06</v>
      </c>
      <c r="D4" s="33">
        <f>BFPIaE!I28</f>
        <v>306433712185294.12</v>
      </c>
      <c r="E4" s="33">
        <f>BFPIaE!J28</f>
        <v>235970511948360</v>
      </c>
      <c r="F4" s="33">
        <f>BFPIaE!K28</f>
        <v>201830672397816</v>
      </c>
      <c r="G4" s="33">
        <f>BFPIaE!L28</f>
        <v>167690832847264</v>
      </c>
      <c r="H4" s="33">
        <f>BFPIaE!M28</f>
        <v>133550993296720</v>
      </c>
      <c r="I4" s="33">
        <f>BFPIaE!N28</f>
        <v>99411153746176</v>
      </c>
      <c r="J4" s="33">
        <f>BFPIaE!O28</f>
        <v>65271314195632</v>
      </c>
      <c r="K4" s="33">
        <f>BFPIaE!P28</f>
        <v>31131474645080</v>
      </c>
      <c r="L4" s="33">
        <f>BFPIaE!Q28</f>
        <v>31131474645080</v>
      </c>
      <c r="M4" s="33">
        <f>BFPIaE!R28</f>
        <v>31131474645080</v>
      </c>
      <c r="N4" s="33">
        <f>BFPIaE!S28</f>
        <v>31131474645080</v>
      </c>
      <c r="O4" s="33">
        <f>BFPIaE!T28</f>
        <v>31131474645080</v>
      </c>
      <c r="P4" s="33">
        <f>BFPIaE!U28</f>
        <v>31131474645080</v>
      </c>
      <c r="Q4" s="33">
        <f>BFPIaE!V28</f>
        <v>31131474645080</v>
      </c>
      <c r="R4" s="33">
        <f>BFPIaE!W28</f>
        <v>31131474645080</v>
      </c>
      <c r="S4" s="33">
        <f>BFPIaE!X28</f>
        <v>31131474645080</v>
      </c>
      <c r="T4" s="33">
        <f>BFPIaE!Y28</f>
        <v>31131474645080</v>
      </c>
      <c r="U4" s="33">
        <f>BFPIaE!Z28</f>
        <v>31131474645080</v>
      </c>
      <c r="V4" s="33">
        <f>BFPIaE!AA28</f>
        <v>31131474645080</v>
      </c>
      <c r="W4" s="33">
        <f>BFPIaE!AB28</f>
        <v>31131474645080</v>
      </c>
      <c r="X4" s="33">
        <f>BFPIaE!AC28</f>
        <v>31131474645080</v>
      </c>
      <c r="Y4" s="33">
        <f>BFPIaE!AD28</f>
        <v>31131474645080</v>
      </c>
      <c r="Z4" s="33">
        <f>BFPIaE!AE28</f>
        <v>31131474645080</v>
      </c>
      <c r="AA4" s="33">
        <f>BFPIaE!AF28</f>
        <v>31131474645080</v>
      </c>
      <c r="AB4" s="33">
        <f>BFPIaE!AG28</f>
        <v>31131474645080</v>
      </c>
      <c r="AC4" s="33">
        <f>BFPIaE!AH28</f>
        <v>31131474645080</v>
      </c>
      <c r="AD4" s="33">
        <f>BFPIaE!AI28</f>
        <v>31131474645080</v>
      </c>
      <c r="AE4" s="33">
        <f>BFPIaE!AJ28</f>
        <v>31131474645080</v>
      </c>
      <c r="AF4" s="33">
        <f>BFPIaE!AK28</f>
        <v>31131474645080</v>
      </c>
    </row>
    <row r="5" spans="1:32" x14ac:dyDescent="0.2">
      <c r="A5" s="1" t="s">
        <v>57</v>
      </c>
      <c r="B5" s="33">
        <f>BFPIaE!G29</f>
        <v>289409617063888.94</v>
      </c>
      <c r="C5" s="33">
        <f>BFPIaE!H29</f>
        <v>289409617063888.94</v>
      </c>
      <c r="D5" s="33">
        <f>BFPIaE!I29</f>
        <v>235757923347945.19</v>
      </c>
      <c r="E5" s="33">
        <f>BFPIaE!J29</f>
        <v>280738836681542</v>
      </c>
      <c r="F5" s="33">
        <f>BFPIaE!K29</f>
        <v>285094068475421</v>
      </c>
      <c r="G5" s="33">
        <f>BFPIaE!L29</f>
        <v>289449300269301</v>
      </c>
      <c r="H5" s="33">
        <f>BFPIaE!M29</f>
        <v>293804532063180</v>
      </c>
      <c r="I5" s="33">
        <f>BFPIaE!N29</f>
        <v>298159763857059</v>
      </c>
      <c r="J5" s="33">
        <f>BFPIaE!O29</f>
        <v>302514995650939</v>
      </c>
      <c r="K5" s="33">
        <f>BFPIaE!P29</f>
        <v>306870227444818</v>
      </c>
      <c r="L5" s="33">
        <f>BFPIaE!Q29</f>
        <v>311225459238697</v>
      </c>
      <c r="M5" s="33">
        <f>BFPIaE!R29</f>
        <v>315580691032577</v>
      </c>
      <c r="N5" s="33">
        <f>BFPIaE!S29</f>
        <v>319935922826456</v>
      </c>
      <c r="O5" s="33">
        <f>BFPIaE!T29</f>
        <v>324291154620335</v>
      </c>
      <c r="P5" s="33">
        <f>BFPIaE!U29</f>
        <v>328646386414215</v>
      </c>
      <c r="Q5" s="33">
        <f>BFPIaE!V29</f>
        <v>333001618208094</v>
      </c>
      <c r="R5" s="33">
        <f>BFPIaE!W29</f>
        <v>337356850001973</v>
      </c>
      <c r="S5" s="33">
        <f>BFPIaE!X29</f>
        <v>341712081795853</v>
      </c>
      <c r="T5" s="33">
        <f>BFPIaE!Y29</f>
        <v>346067313589732</v>
      </c>
      <c r="U5" s="33">
        <f>BFPIaE!Z29</f>
        <v>350422545383611</v>
      </c>
      <c r="V5" s="33">
        <f>BFPIaE!AA29</f>
        <v>354777777177490</v>
      </c>
      <c r="W5" s="33">
        <f>BFPIaE!AB29</f>
        <v>359133008971370</v>
      </c>
      <c r="X5" s="33">
        <f>BFPIaE!AC29</f>
        <v>363488240765249</v>
      </c>
      <c r="Y5" s="33">
        <f>BFPIaE!AD29</f>
        <v>367843472559128</v>
      </c>
      <c r="Z5" s="33">
        <f>BFPIaE!AE29</f>
        <v>372198704353008</v>
      </c>
      <c r="AA5" s="33">
        <f>BFPIaE!AF29</f>
        <v>376553936146887</v>
      </c>
      <c r="AB5" s="33">
        <f>BFPIaE!AG29</f>
        <v>380909167940766</v>
      </c>
      <c r="AC5" s="33">
        <f>BFPIaE!AH29</f>
        <v>385264399734646</v>
      </c>
      <c r="AD5" s="33">
        <f>BFPIaE!AI29</f>
        <v>389619631528525</v>
      </c>
      <c r="AE5" s="33">
        <f>BFPIaE!AJ29</f>
        <v>393974863322404</v>
      </c>
      <c r="AF5" s="33">
        <f>BFPIaE!AK29</f>
        <v>398330095116284</v>
      </c>
    </row>
    <row r="6" spans="1:32" x14ac:dyDescent="0.2">
      <c r="A6" s="1" t="s">
        <v>150</v>
      </c>
      <c r="B6" s="33">
        <f>BFPIaE!G30</f>
        <v>0</v>
      </c>
      <c r="C6" s="33">
        <f>BFPIaE!H30</f>
        <v>0</v>
      </c>
      <c r="D6" s="33">
        <f>BFPIaE!I30</f>
        <v>0</v>
      </c>
      <c r="E6" s="33">
        <f>BFPIaE!J30</f>
        <v>0</v>
      </c>
      <c r="F6" s="33">
        <f>BFPIaE!K30</f>
        <v>0</v>
      </c>
      <c r="G6" s="33">
        <f>BFPIaE!L30</f>
        <v>0</v>
      </c>
      <c r="H6" s="33">
        <f>BFPIaE!M30</f>
        <v>0</v>
      </c>
      <c r="I6" s="33">
        <f>BFPIaE!N30</f>
        <v>0</v>
      </c>
      <c r="J6" s="33">
        <f>BFPIaE!O30</f>
        <v>0</v>
      </c>
      <c r="K6" s="33">
        <f>BFPIaE!P30</f>
        <v>0</v>
      </c>
      <c r="L6" s="33">
        <f>BFPIaE!Q30</f>
        <v>0</v>
      </c>
      <c r="M6" s="33">
        <f>BFPIaE!R30</f>
        <v>0</v>
      </c>
      <c r="N6" s="33">
        <f>BFPIaE!S30</f>
        <v>0</v>
      </c>
      <c r="O6" s="33">
        <f>BFPIaE!T30</f>
        <v>0</v>
      </c>
      <c r="P6" s="33">
        <f>BFPIaE!U30</f>
        <v>0</v>
      </c>
      <c r="Q6" s="33">
        <f>BFPIaE!V30</f>
        <v>0</v>
      </c>
      <c r="R6" s="33">
        <f>BFPIaE!W30</f>
        <v>0</v>
      </c>
      <c r="S6" s="33">
        <f>BFPIaE!X30</f>
        <v>0</v>
      </c>
      <c r="T6" s="33">
        <f>BFPIaE!Y30</f>
        <v>0</v>
      </c>
      <c r="U6" s="33">
        <f>BFPIaE!Z30</f>
        <v>0</v>
      </c>
      <c r="V6" s="33">
        <f>BFPIaE!AA30</f>
        <v>0</v>
      </c>
      <c r="W6" s="33">
        <f>BFPIaE!AB30</f>
        <v>0</v>
      </c>
      <c r="X6" s="33">
        <f>BFPIaE!AC30</f>
        <v>0</v>
      </c>
      <c r="Y6" s="33">
        <f>BFPIaE!AD30</f>
        <v>0</v>
      </c>
      <c r="Z6" s="33">
        <f>BFPIaE!AE30</f>
        <v>0</v>
      </c>
      <c r="AA6" s="33">
        <f>BFPIaE!AF30</f>
        <v>0</v>
      </c>
      <c r="AB6" s="33">
        <f>BFPIaE!AG30</f>
        <v>0</v>
      </c>
      <c r="AC6" s="33">
        <f>BFPIaE!AH30</f>
        <v>0</v>
      </c>
      <c r="AD6" s="33">
        <f>BFPIaE!AI30</f>
        <v>0</v>
      </c>
      <c r="AE6" s="33">
        <f>BFPIaE!AJ30</f>
        <v>0</v>
      </c>
      <c r="AF6" s="33">
        <f>BFPIaE!AK30</f>
        <v>0</v>
      </c>
    </row>
    <row r="7" spans="1:32" x14ac:dyDescent="0.2">
      <c r="A7" s="1" t="s">
        <v>151</v>
      </c>
      <c r="B7" s="33">
        <f>BFPIaE!G31</f>
        <v>0</v>
      </c>
      <c r="C7" s="33">
        <f>BFPIaE!H31</f>
        <v>0</v>
      </c>
      <c r="D7" s="33">
        <f>BFPIaE!I31</f>
        <v>0</v>
      </c>
      <c r="E7" s="33">
        <f>BFPIaE!J31</f>
        <v>0</v>
      </c>
      <c r="F7" s="33">
        <f>BFPIaE!K31</f>
        <v>0</v>
      </c>
      <c r="G7" s="33">
        <f>BFPIaE!L31</f>
        <v>0</v>
      </c>
      <c r="H7" s="33">
        <f>BFPIaE!M31</f>
        <v>0</v>
      </c>
      <c r="I7" s="33">
        <f>BFPIaE!N31</f>
        <v>0</v>
      </c>
      <c r="J7" s="33">
        <f>BFPIaE!O31</f>
        <v>0</v>
      </c>
      <c r="K7" s="33">
        <f>BFPIaE!P31</f>
        <v>0</v>
      </c>
      <c r="L7" s="33">
        <f>BFPIaE!Q31</f>
        <v>0</v>
      </c>
      <c r="M7" s="33">
        <f>BFPIaE!R31</f>
        <v>0</v>
      </c>
      <c r="N7" s="33">
        <f>BFPIaE!S31</f>
        <v>0</v>
      </c>
      <c r="O7" s="33">
        <f>BFPIaE!T31</f>
        <v>0</v>
      </c>
      <c r="P7" s="33">
        <f>BFPIaE!U31</f>
        <v>0</v>
      </c>
      <c r="Q7" s="33">
        <f>BFPIaE!V31</f>
        <v>0</v>
      </c>
      <c r="R7" s="33">
        <f>BFPIaE!W31</f>
        <v>0</v>
      </c>
      <c r="S7" s="33">
        <f>BFPIaE!X31</f>
        <v>0</v>
      </c>
      <c r="T7" s="33">
        <f>BFPIaE!Y31</f>
        <v>0</v>
      </c>
      <c r="U7" s="33">
        <f>BFPIaE!Z31</f>
        <v>0</v>
      </c>
      <c r="V7" s="33">
        <f>BFPIaE!AA31</f>
        <v>0</v>
      </c>
      <c r="W7" s="33">
        <f>BFPIaE!AB31</f>
        <v>0</v>
      </c>
      <c r="X7" s="33">
        <f>BFPIaE!AC31</f>
        <v>0</v>
      </c>
      <c r="Y7" s="33">
        <f>BFPIaE!AD31</f>
        <v>0</v>
      </c>
      <c r="Z7" s="33">
        <f>BFPIaE!AE31</f>
        <v>0</v>
      </c>
      <c r="AA7" s="33">
        <f>BFPIaE!AF31</f>
        <v>0</v>
      </c>
      <c r="AB7" s="33">
        <f>BFPIaE!AG31</f>
        <v>0</v>
      </c>
      <c r="AC7" s="33">
        <f>BFPIaE!AH31</f>
        <v>0</v>
      </c>
      <c r="AD7" s="33">
        <f>BFPIaE!AI31</f>
        <v>0</v>
      </c>
      <c r="AE7" s="33">
        <f>BFPIaE!AJ31</f>
        <v>0</v>
      </c>
      <c r="AF7" s="33">
        <f>BFPIaE!AK31</f>
        <v>0</v>
      </c>
    </row>
    <row r="8" spans="1:32" x14ac:dyDescent="0.2">
      <c r="A8" s="1" t="s">
        <v>152</v>
      </c>
      <c r="B8" s="33">
        <f>BFPIaE!G32</f>
        <v>0</v>
      </c>
      <c r="C8" s="33">
        <f>BFPIaE!H32</f>
        <v>0</v>
      </c>
      <c r="D8" s="33">
        <f>BFPIaE!I32</f>
        <v>0</v>
      </c>
      <c r="E8" s="33">
        <f>BFPIaE!J32</f>
        <v>0</v>
      </c>
      <c r="F8" s="33">
        <f>BFPIaE!K32</f>
        <v>0</v>
      </c>
      <c r="G8" s="33">
        <f>BFPIaE!L32</f>
        <v>0</v>
      </c>
      <c r="H8" s="33">
        <f>BFPIaE!M32</f>
        <v>0</v>
      </c>
      <c r="I8" s="33">
        <f>BFPIaE!N32</f>
        <v>0</v>
      </c>
      <c r="J8" s="33">
        <f>BFPIaE!O32</f>
        <v>0</v>
      </c>
      <c r="K8" s="33">
        <f>BFPIaE!P32</f>
        <v>0</v>
      </c>
      <c r="L8" s="33">
        <f>BFPIaE!Q32</f>
        <v>0</v>
      </c>
      <c r="M8" s="33">
        <f>BFPIaE!R32</f>
        <v>0</v>
      </c>
      <c r="N8" s="33">
        <f>BFPIaE!S32</f>
        <v>0</v>
      </c>
      <c r="O8" s="33">
        <f>BFPIaE!T32</f>
        <v>0</v>
      </c>
      <c r="P8" s="33">
        <f>BFPIaE!U32</f>
        <v>0</v>
      </c>
      <c r="Q8" s="33">
        <f>BFPIaE!V32</f>
        <v>0</v>
      </c>
      <c r="R8" s="33">
        <f>BFPIaE!W32</f>
        <v>0</v>
      </c>
      <c r="S8" s="33">
        <f>BFPIaE!X32</f>
        <v>0</v>
      </c>
      <c r="T8" s="33">
        <f>BFPIaE!Y32</f>
        <v>0</v>
      </c>
      <c r="U8" s="33">
        <f>BFPIaE!Z32</f>
        <v>0</v>
      </c>
      <c r="V8" s="33">
        <f>BFPIaE!AA32</f>
        <v>0</v>
      </c>
      <c r="W8" s="33">
        <f>BFPIaE!AB32</f>
        <v>0</v>
      </c>
      <c r="X8" s="33">
        <f>BFPIaE!AC32</f>
        <v>0</v>
      </c>
      <c r="Y8" s="33">
        <f>BFPIaE!AD32</f>
        <v>0</v>
      </c>
      <c r="Z8" s="33">
        <f>BFPIaE!AE32</f>
        <v>0</v>
      </c>
      <c r="AA8" s="33">
        <f>BFPIaE!AF32</f>
        <v>0</v>
      </c>
      <c r="AB8" s="33">
        <f>BFPIaE!AG32</f>
        <v>0</v>
      </c>
      <c r="AC8" s="33">
        <f>BFPIaE!AH32</f>
        <v>0</v>
      </c>
      <c r="AD8" s="33">
        <f>BFPIaE!AI32</f>
        <v>0</v>
      </c>
      <c r="AE8" s="33">
        <f>BFPIaE!AJ32</f>
        <v>0</v>
      </c>
      <c r="AF8" s="33">
        <f>BFPIaE!AK32</f>
        <v>0</v>
      </c>
    </row>
    <row r="9" spans="1:32" x14ac:dyDescent="0.2">
      <c r="A9" s="1" t="s">
        <v>15</v>
      </c>
      <c r="B9" s="33">
        <f>BFPIaE!G33</f>
        <v>0</v>
      </c>
      <c r="C9" s="33">
        <f>BFPIaE!H33</f>
        <v>0</v>
      </c>
      <c r="D9" s="33">
        <f>BFPIaE!I33</f>
        <v>0</v>
      </c>
      <c r="E9" s="33">
        <f>BFPIaE!J33</f>
        <v>0</v>
      </c>
      <c r="F9" s="33">
        <f>BFPIaE!K33</f>
        <v>0</v>
      </c>
      <c r="G9" s="33">
        <f>BFPIaE!L33</f>
        <v>0</v>
      </c>
      <c r="H9" s="33">
        <f>BFPIaE!M33</f>
        <v>0</v>
      </c>
      <c r="I9" s="33">
        <f>BFPIaE!N33</f>
        <v>0</v>
      </c>
      <c r="J9" s="33">
        <f>BFPIaE!O33</f>
        <v>0</v>
      </c>
      <c r="K9" s="33">
        <f>BFPIaE!P33</f>
        <v>0</v>
      </c>
      <c r="L9" s="33">
        <f>BFPIaE!Q33</f>
        <v>0</v>
      </c>
      <c r="M9" s="33">
        <f>BFPIaE!R33</f>
        <v>0</v>
      </c>
      <c r="N9" s="33">
        <f>BFPIaE!S33</f>
        <v>0</v>
      </c>
      <c r="O9" s="33">
        <f>BFPIaE!T33</f>
        <v>0</v>
      </c>
      <c r="P9" s="33">
        <f>BFPIaE!U33</f>
        <v>0</v>
      </c>
      <c r="Q9" s="33">
        <f>BFPIaE!V33</f>
        <v>0</v>
      </c>
      <c r="R9" s="33">
        <f>BFPIaE!W33</f>
        <v>0</v>
      </c>
      <c r="S9" s="33">
        <f>BFPIaE!X33</f>
        <v>0</v>
      </c>
      <c r="T9" s="33">
        <f>BFPIaE!Y33</f>
        <v>0</v>
      </c>
      <c r="U9" s="33">
        <f>BFPIaE!Z33</f>
        <v>0</v>
      </c>
      <c r="V9" s="33">
        <f>BFPIaE!AA33</f>
        <v>0</v>
      </c>
      <c r="W9" s="33">
        <f>BFPIaE!AB33</f>
        <v>0</v>
      </c>
      <c r="X9" s="33">
        <f>BFPIaE!AC33</f>
        <v>0</v>
      </c>
      <c r="Y9" s="33">
        <f>BFPIaE!AD33</f>
        <v>0</v>
      </c>
      <c r="Z9" s="33">
        <f>BFPIaE!AE33</f>
        <v>0</v>
      </c>
      <c r="AA9" s="33">
        <f>BFPIaE!AF33</f>
        <v>0</v>
      </c>
      <c r="AB9" s="33">
        <f>BFPIaE!AG33</f>
        <v>0</v>
      </c>
      <c r="AC9" s="33">
        <f>BFPIaE!AH33</f>
        <v>0</v>
      </c>
      <c r="AD9" s="33">
        <f>BFPIaE!AI33</f>
        <v>0</v>
      </c>
      <c r="AE9" s="33">
        <f>BFPIaE!AJ33</f>
        <v>0</v>
      </c>
      <c r="AF9" s="33">
        <f>BFPIaE!AK33</f>
        <v>0</v>
      </c>
    </row>
    <row r="10" spans="1:32" x14ac:dyDescent="0.2">
      <c r="A10" s="1" t="s">
        <v>19</v>
      </c>
      <c r="B10" s="33">
        <f>BFPIaE!G34</f>
        <v>149327901962349.38</v>
      </c>
      <c r="C10" s="33">
        <f>BFPIaE!H34</f>
        <v>149327901962349.38</v>
      </c>
      <c r="D10" s="33">
        <f>BFPIaE!I34</f>
        <v>126708474877964.81</v>
      </c>
      <c r="E10" s="33">
        <f>BFPIaE!J34</f>
        <v>154464042548428</v>
      </c>
      <c r="F10" s="33">
        <f>BFPIaE!K34</f>
        <v>160542659263022</v>
      </c>
      <c r="G10" s="33">
        <f>BFPIaE!L34</f>
        <v>166621275977616</v>
      </c>
      <c r="H10" s="33">
        <f>BFPIaE!M34</f>
        <v>172699892692210</v>
      </c>
      <c r="I10" s="33">
        <f>BFPIaE!N34</f>
        <v>178778509406806</v>
      </c>
      <c r="J10" s="33">
        <f>BFPIaE!O34</f>
        <v>184857126121400</v>
      </c>
      <c r="K10" s="33">
        <f>BFPIaE!P34</f>
        <v>190935742835994</v>
      </c>
      <c r="L10" s="33">
        <f>BFPIaE!Q34</f>
        <v>197014359550588</v>
      </c>
      <c r="M10" s="33">
        <f>BFPIaE!R34</f>
        <v>203092976265182</v>
      </c>
      <c r="N10" s="33">
        <f>BFPIaE!S34</f>
        <v>209171592979776</v>
      </c>
      <c r="O10" s="33">
        <f>BFPIaE!T34</f>
        <v>215250209694372</v>
      </c>
      <c r="P10" s="33">
        <f>BFPIaE!U34</f>
        <v>221328826408966</v>
      </c>
      <c r="Q10" s="33">
        <f>BFPIaE!V34</f>
        <v>227407443123560</v>
      </c>
      <c r="R10" s="33">
        <f>BFPIaE!W34</f>
        <v>233486059838154</v>
      </c>
      <c r="S10" s="33">
        <f>BFPIaE!X34</f>
        <v>239564676552748</v>
      </c>
      <c r="T10" s="33">
        <f>BFPIaE!Y34</f>
        <v>245643293267342</v>
      </c>
      <c r="U10" s="33">
        <f>BFPIaE!Z34</f>
        <v>251721909981938</v>
      </c>
      <c r="V10" s="33">
        <f>BFPIaE!AA34</f>
        <v>257800526696532</v>
      </c>
      <c r="W10" s="33">
        <f>BFPIaE!AB34</f>
        <v>263879143411126</v>
      </c>
      <c r="X10" s="33">
        <f>BFPIaE!AC34</f>
        <v>269957760125720</v>
      </c>
      <c r="Y10" s="33">
        <f>BFPIaE!AD34</f>
        <v>276036376840314</v>
      </c>
      <c r="Z10" s="33">
        <f>BFPIaE!AE34</f>
        <v>282114993554908</v>
      </c>
      <c r="AA10" s="33">
        <f>BFPIaE!AF34</f>
        <v>288193610269504</v>
      </c>
      <c r="AB10" s="33">
        <f>BFPIaE!AG34</f>
        <v>294272226984098</v>
      </c>
      <c r="AC10" s="33">
        <f>BFPIaE!AH34</f>
        <v>300350843698692</v>
      </c>
      <c r="AD10" s="33">
        <f>BFPIaE!AI34</f>
        <v>306429460413286</v>
      </c>
      <c r="AE10" s="33">
        <f>BFPIaE!AJ34</f>
        <v>312508077127880</v>
      </c>
      <c r="AF10" s="33">
        <f>BFPIaE!AK34</f>
        <v>318586693842474</v>
      </c>
    </row>
    <row r="11" spans="1:32" x14ac:dyDescent="0.2">
      <c r="A11" s="1" t="s">
        <v>21</v>
      </c>
      <c r="B11" s="33">
        <f>BFPIaE!G35</f>
        <v>403617882237325.44</v>
      </c>
      <c r="C11" s="33">
        <f>BFPIaE!H35</f>
        <v>403617882237325.44</v>
      </c>
      <c r="D11" s="33">
        <f>BFPIaE!I35</f>
        <v>484055739605829.88</v>
      </c>
      <c r="E11" s="33">
        <f>BFPIaE!J35</f>
        <v>507413557762336</v>
      </c>
      <c r="F11" s="33">
        <f>BFPIaE!K35</f>
        <v>534739696459952</v>
      </c>
      <c r="G11" s="33">
        <f>BFPIaE!L35</f>
        <v>562065835157576</v>
      </c>
      <c r="H11" s="33">
        <f>BFPIaE!M35</f>
        <v>589391973855192</v>
      </c>
      <c r="I11" s="33">
        <f>BFPIaE!N35</f>
        <v>616718112552816</v>
      </c>
      <c r="J11" s="33">
        <f>BFPIaE!O35</f>
        <v>644044251250432</v>
      </c>
      <c r="K11" s="33">
        <f>BFPIaE!P35</f>
        <v>671370389948056</v>
      </c>
      <c r="L11" s="33">
        <f>BFPIaE!Q35</f>
        <v>698696528645672</v>
      </c>
      <c r="M11" s="33">
        <f>BFPIaE!R35</f>
        <v>726022667343296</v>
      </c>
      <c r="N11" s="33">
        <f>BFPIaE!S35</f>
        <v>753348806040920</v>
      </c>
      <c r="O11" s="33">
        <f>BFPIaE!T35</f>
        <v>780674944738536</v>
      </c>
      <c r="P11" s="33">
        <f>BFPIaE!U35</f>
        <v>808001083436160</v>
      </c>
      <c r="Q11" s="33">
        <f>BFPIaE!V35</f>
        <v>835327222133776</v>
      </c>
      <c r="R11" s="33">
        <f>BFPIaE!W35</f>
        <v>862653360831400</v>
      </c>
      <c r="S11" s="33">
        <f>BFPIaE!X35</f>
        <v>889979499529016</v>
      </c>
      <c r="T11" s="33">
        <f>BFPIaE!Y35</f>
        <v>917305638226640</v>
      </c>
      <c r="U11" s="33">
        <f>BFPIaE!Z35</f>
        <v>944631776924256</v>
      </c>
      <c r="V11" s="33">
        <f>BFPIaE!AA35</f>
        <v>971957915621880</v>
      </c>
      <c r="W11" s="33">
        <f>BFPIaE!AB35</f>
        <v>999284054319496</v>
      </c>
      <c r="X11" s="33">
        <f>BFPIaE!AC35</f>
        <v>1026610193017120</v>
      </c>
      <c r="Y11" s="33">
        <f>BFPIaE!AD35</f>
        <v>1053936331714736</v>
      </c>
      <c r="Z11" s="33">
        <f>BFPIaE!AE35</f>
        <v>1081262470412360</v>
      </c>
      <c r="AA11" s="33">
        <f>BFPIaE!AF35</f>
        <v>1108588609109976</v>
      </c>
      <c r="AB11" s="33">
        <f>BFPIaE!AG35</f>
        <v>1135914747807600</v>
      </c>
      <c r="AC11" s="33">
        <f>BFPIaE!AH35</f>
        <v>1163240886505216</v>
      </c>
      <c r="AD11" s="33">
        <f>BFPIaE!AI35</f>
        <v>1190567025202840</v>
      </c>
      <c r="AE11" s="33">
        <f>BFPIaE!AJ35</f>
        <v>1217893163900464</v>
      </c>
      <c r="AF11" s="33">
        <f>BFPIaE!AK35</f>
        <v>1245219302598080</v>
      </c>
    </row>
    <row r="12" spans="1:32" x14ac:dyDescent="0.2">
      <c r="A12" s="1" t="s">
        <v>22</v>
      </c>
      <c r="B12" s="33">
        <f>BFPIaE!G36</f>
        <v>20278117965123.715</v>
      </c>
      <c r="C12" s="33">
        <f>BFPIaE!H36</f>
        <v>20278117965123.715</v>
      </c>
      <c r="D12" s="33">
        <f>BFPIaE!I36</f>
        <v>2103209886793.6533</v>
      </c>
      <c r="E12" s="33">
        <f>BFPIaE!J36</f>
        <v>14803252875714</v>
      </c>
      <c r="F12" s="33">
        <f>BFPIaE!K36</f>
        <v>12989163485487.5</v>
      </c>
      <c r="G12" s="33">
        <f>BFPIaE!L36</f>
        <v>11175074095261</v>
      </c>
      <c r="H12" s="33">
        <f>BFPIaE!M36</f>
        <v>9360984705035</v>
      </c>
      <c r="I12" s="33">
        <f>BFPIaE!N36</f>
        <v>7546895314808.5</v>
      </c>
      <c r="J12" s="33">
        <f>BFPIaE!O36</f>
        <v>5732805924582</v>
      </c>
      <c r="K12" s="33">
        <f>BFPIaE!P36</f>
        <v>3918716534356</v>
      </c>
      <c r="L12" s="33">
        <f>BFPIaE!Q36</f>
        <v>2104627144129.5</v>
      </c>
      <c r="M12" s="33">
        <f>BFPIaE!R36</f>
        <v>290537753903</v>
      </c>
      <c r="N12" s="33">
        <f>BFPIaE!S36</f>
        <v>290537753903</v>
      </c>
      <c r="O12" s="33">
        <f>BFPIaE!T36</f>
        <v>290537753903</v>
      </c>
      <c r="P12" s="33">
        <f>BFPIaE!U36</f>
        <v>290537753903</v>
      </c>
      <c r="Q12" s="33">
        <f>BFPIaE!V36</f>
        <v>290537753903</v>
      </c>
      <c r="R12" s="33">
        <f>BFPIaE!W36</f>
        <v>290537753903</v>
      </c>
      <c r="S12" s="33">
        <f>BFPIaE!X36</f>
        <v>290537753903</v>
      </c>
      <c r="T12" s="33">
        <f>BFPIaE!Y36</f>
        <v>290537753903</v>
      </c>
      <c r="U12" s="33">
        <f>BFPIaE!Z36</f>
        <v>290537753903</v>
      </c>
      <c r="V12" s="33">
        <f>BFPIaE!AA36</f>
        <v>290537753903</v>
      </c>
      <c r="W12" s="33">
        <f>BFPIaE!AB36</f>
        <v>290537753903</v>
      </c>
      <c r="X12" s="33">
        <f>BFPIaE!AC36</f>
        <v>290537753903</v>
      </c>
      <c r="Y12" s="33">
        <f>BFPIaE!AD36</f>
        <v>290537753903</v>
      </c>
      <c r="Z12" s="33">
        <f>BFPIaE!AE36</f>
        <v>290537753903</v>
      </c>
      <c r="AA12" s="33">
        <f>BFPIaE!AF36</f>
        <v>290537753903</v>
      </c>
      <c r="AB12" s="33">
        <f>BFPIaE!AG36</f>
        <v>290537753903</v>
      </c>
      <c r="AC12" s="33">
        <f>BFPIaE!AH36</f>
        <v>290537753903</v>
      </c>
      <c r="AD12" s="33">
        <f>BFPIaE!AI36</f>
        <v>290537753903</v>
      </c>
      <c r="AE12" s="33">
        <f>BFPIaE!AJ36</f>
        <v>290537753903</v>
      </c>
      <c r="AF12" s="33">
        <f>BFPIaE!AK36</f>
        <v>290537753903</v>
      </c>
    </row>
    <row r="13" spans="1:32" x14ac:dyDescent="0.2">
      <c r="A13" s="1" t="s">
        <v>23</v>
      </c>
      <c r="B13" s="33">
        <f>BFPIaE!G37</f>
        <v>0</v>
      </c>
      <c r="C13" s="33">
        <f>BFPIaE!H37</f>
        <v>0</v>
      </c>
      <c r="D13" s="33">
        <f>BFPIaE!I37</f>
        <v>0</v>
      </c>
      <c r="E13" s="33">
        <f>BFPIaE!J37</f>
        <v>0</v>
      </c>
      <c r="F13" s="33">
        <f>BFPIaE!K37</f>
        <v>0</v>
      </c>
      <c r="G13" s="33">
        <f>BFPIaE!L37</f>
        <v>0</v>
      </c>
      <c r="H13" s="33">
        <f>BFPIaE!M37</f>
        <v>0</v>
      </c>
      <c r="I13" s="33">
        <f>BFPIaE!N37</f>
        <v>0</v>
      </c>
      <c r="J13" s="33">
        <f>BFPIaE!O37</f>
        <v>0</v>
      </c>
      <c r="K13" s="33">
        <f>BFPIaE!P37</f>
        <v>0</v>
      </c>
      <c r="L13" s="33">
        <f>BFPIaE!Q37</f>
        <v>0</v>
      </c>
      <c r="M13" s="33">
        <f>BFPIaE!R37</f>
        <v>0</v>
      </c>
      <c r="N13" s="33">
        <f>BFPIaE!S37</f>
        <v>0</v>
      </c>
      <c r="O13" s="33">
        <f>BFPIaE!T37</f>
        <v>0</v>
      </c>
      <c r="P13" s="33">
        <f>BFPIaE!U37</f>
        <v>0</v>
      </c>
      <c r="Q13" s="33">
        <f>BFPIaE!V37</f>
        <v>0</v>
      </c>
      <c r="R13" s="33">
        <f>BFPIaE!W37</f>
        <v>0</v>
      </c>
      <c r="S13" s="33">
        <f>BFPIaE!X37</f>
        <v>0</v>
      </c>
      <c r="T13" s="33">
        <f>BFPIaE!Y37</f>
        <v>0</v>
      </c>
      <c r="U13" s="33">
        <f>BFPIaE!Z37</f>
        <v>0</v>
      </c>
      <c r="V13" s="33">
        <f>BFPIaE!AA37</f>
        <v>0</v>
      </c>
      <c r="W13" s="33">
        <f>BFPIaE!AB37</f>
        <v>0</v>
      </c>
      <c r="X13" s="33">
        <f>BFPIaE!AC37</f>
        <v>0</v>
      </c>
      <c r="Y13" s="33">
        <f>BFPIaE!AD37</f>
        <v>0</v>
      </c>
      <c r="Z13" s="33">
        <f>BFPIaE!AE37</f>
        <v>0</v>
      </c>
      <c r="AA13" s="33">
        <f>BFPIaE!AF37</f>
        <v>0</v>
      </c>
      <c r="AB13" s="33">
        <f>BFPIaE!AG37</f>
        <v>0</v>
      </c>
      <c r="AC13" s="33">
        <f>BFPIaE!AH37</f>
        <v>0</v>
      </c>
      <c r="AD13" s="33">
        <f>BFPIaE!AI37</f>
        <v>0</v>
      </c>
      <c r="AE13" s="33">
        <f>BFPIaE!AJ37</f>
        <v>0</v>
      </c>
      <c r="AF13" s="33">
        <f>BFPIaE!AK37</f>
        <v>0</v>
      </c>
    </row>
    <row r="14" spans="1:32" x14ac:dyDescent="0.2">
      <c r="A14" s="1" t="s">
        <v>153</v>
      </c>
      <c r="B14" s="33">
        <f>BFPIaE!G38</f>
        <v>10674782255613.07</v>
      </c>
      <c r="C14" s="33">
        <f>BFPIaE!H38</f>
        <v>10674782255613.07</v>
      </c>
      <c r="D14" s="33">
        <f>BFPIaE!I38</f>
        <v>42222930557517.867</v>
      </c>
      <c r="E14" s="33">
        <f>BFPIaE!J38</f>
        <v>20161902863562</v>
      </c>
      <c r="F14" s="33">
        <f>BFPIaE!K38</f>
        <v>18491428883395.5</v>
      </c>
      <c r="G14" s="33">
        <f>BFPIaE!L38</f>
        <v>16820954903228.5</v>
      </c>
      <c r="H14" s="33">
        <f>BFPIaE!M38</f>
        <v>15150480923062</v>
      </c>
      <c r="I14" s="33">
        <f>BFPIaE!N38</f>
        <v>13480006942895</v>
      </c>
      <c r="J14" s="33">
        <f>BFPIaE!O38</f>
        <v>11809532962728.5</v>
      </c>
      <c r="K14" s="33">
        <f>BFPIaE!P38</f>
        <v>10139058982561.5</v>
      </c>
      <c r="L14" s="33">
        <f>BFPIaE!Q38</f>
        <v>8468585002395</v>
      </c>
      <c r="M14" s="33">
        <f>BFPIaE!R38</f>
        <v>6798111022228</v>
      </c>
      <c r="N14" s="33">
        <f>BFPIaE!S38</f>
        <v>5127637042061.5</v>
      </c>
      <c r="O14" s="33">
        <f>BFPIaE!T38</f>
        <v>3457163061894.5</v>
      </c>
      <c r="P14" s="33">
        <f>BFPIaE!U38</f>
        <v>1786689081728</v>
      </c>
      <c r="Q14" s="33">
        <f>BFPIaE!V38</f>
        <v>116215101561</v>
      </c>
      <c r="R14" s="33">
        <f>BFPIaE!W38</f>
        <v>116215101561</v>
      </c>
      <c r="S14" s="33">
        <f>BFPIaE!X38</f>
        <v>116215101561</v>
      </c>
      <c r="T14" s="33">
        <f>BFPIaE!Y38</f>
        <v>116215101561</v>
      </c>
      <c r="U14" s="33">
        <f>BFPIaE!Z38</f>
        <v>116215101561</v>
      </c>
      <c r="V14" s="33">
        <f>BFPIaE!AA38</f>
        <v>116215101561</v>
      </c>
      <c r="W14" s="33">
        <f>BFPIaE!AB38</f>
        <v>116215101561</v>
      </c>
      <c r="X14" s="33">
        <f>BFPIaE!AC38</f>
        <v>116215101561</v>
      </c>
      <c r="Y14" s="33">
        <f>BFPIaE!AD38</f>
        <v>116215101561</v>
      </c>
      <c r="Z14" s="33">
        <f>BFPIaE!AE38</f>
        <v>116215101561</v>
      </c>
      <c r="AA14" s="33">
        <f>BFPIaE!AF38</f>
        <v>116215101561</v>
      </c>
      <c r="AB14" s="33">
        <f>BFPIaE!AG38</f>
        <v>116215101561</v>
      </c>
      <c r="AC14" s="33">
        <f>BFPIaE!AH38</f>
        <v>116215101561</v>
      </c>
      <c r="AD14" s="33">
        <f>BFPIaE!AI38</f>
        <v>116215101561</v>
      </c>
      <c r="AE14" s="33">
        <f>BFPIaE!AJ38</f>
        <v>116215101561</v>
      </c>
      <c r="AF14" s="33">
        <f>BFPIaE!AK38</f>
        <v>116215101561</v>
      </c>
    </row>
    <row r="15" spans="1:32" x14ac:dyDescent="0.2">
      <c r="A15" s="1" t="s">
        <v>154</v>
      </c>
      <c r="B15" s="33">
        <f>BFPIaE!G39</f>
        <v>0</v>
      </c>
      <c r="C15" s="33">
        <f>BFPIaE!H39</f>
        <v>0</v>
      </c>
      <c r="D15" s="33">
        <f>BFPIaE!I39</f>
        <v>0</v>
      </c>
      <c r="E15" s="33">
        <f>BFPIaE!J39</f>
        <v>0</v>
      </c>
      <c r="F15" s="33">
        <f>BFPIaE!K39</f>
        <v>0</v>
      </c>
      <c r="G15" s="33">
        <f>BFPIaE!L39</f>
        <v>0</v>
      </c>
      <c r="H15" s="33">
        <f>BFPIaE!M39</f>
        <v>0</v>
      </c>
      <c r="I15" s="33">
        <f>BFPIaE!N39</f>
        <v>0</v>
      </c>
      <c r="J15" s="33">
        <f>BFPIaE!O39</f>
        <v>0</v>
      </c>
      <c r="K15" s="33">
        <f>BFPIaE!P39</f>
        <v>0</v>
      </c>
      <c r="L15" s="33">
        <f>BFPIaE!Q39</f>
        <v>0</v>
      </c>
      <c r="M15" s="33">
        <f>BFPIaE!R39</f>
        <v>0</v>
      </c>
      <c r="N15" s="33">
        <f>BFPIaE!S39</f>
        <v>0</v>
      </c>
      <c r="O15" s="33">
        <f>BFPIaE!T39</f>
        <v>0</v>
      </c>
      <c r="P15" s="33">
        <f>BFPIaE!U39</f>
        <v>0</v>
      </c>
      <c r="Q15" s="33">
        <f>BFPIaE!V39</f>
        <v>0</v>
      </c>
      <c r="R15" s="33">
        <f>BFPIaE!W39</f>
        <v>0</v>
      </c>
      <c r="S15" s="33">
        <f>BFPIaE!X39</f>
        <v>0</v>
      </c>
      <c r="T15" s="33">
        <f>BFPIaE!Y39</f>
        <v>0</v>
      </c>
      <c r="U15" s="33">
        <f>BFPIaE!Z39</f>
        <v>0</v>
      </c>
      <c r="V15" s="33">
        <f>BFPIaE!AA39</f>
        <v>0</v>
      </c>
      <c r="W15" s="33">
        <f>BFPIaE!AB39</f>
        <v>0</v>
      </c>
      <c r="X15" s="33">
        <f>BFPIaE!AC39</f>
        <v>0</v>
      </c>
      <c r="Y15" s="33">
        <f>BFPIaE!AD39</f>
        <v>0</v>
      </c>
      <c r="Z15" s="33">
        <f>BFPIaE!AE39</f>
        <v>0</v>
      </c>
      <c r="AA15" s="33">
        <f>BFPIaE!AF39</f>
        <v>0</v>
      </c>
      <c r="AB15" s="33">
        <f>BFPIaE!AG39</f>
        <v>0</v>
      </c>
      <c r="AC15" s="33">
        <f>BFPIaE!AH39</f>
        <v>0</v>
      </c>
      <c r="AD15" s="33">
        <f>BFPIaE!AI39</f>
        <v>0</v>
      </c>
      <c r="AE15" s="33">
        <f>BFPIaE!AJ39</f>
        <v>0</v>
      </c>
      <c r="AF15" s="33">
        <f>BFPIaE!AK39</f>
        <v>0</v>
      </c>
    </row>
    <row r="16" spans="1:32" x14ac:dyDescent="0.2">
      <c r="A16" s="1" t="s">
        <v>155</v>
      </c>
      <c r="B16" s="33">
        <f>BFPIaE!G40</f>
        <v>0</v>
      </c>
      <c r="C16" s="33">
        <f>BFPIaE!H40</f>
        <v>0</v>
      </c>
      <c r="D16" s="33">
        <f>BFPIaE!I40</f>
        <v>0</v>
      </c>
      <c r="E16" s="33">
        <f>BFPIaE!J40</f>
        <v>0</v>
      </c>
      <c r="F16" s="33">
        <f>BFPIaE!K40</f>
        <v>0</v>
      </c>
      <c r="G16" s="33">
        <f>BFPIaE!L40</f>
        <v>0</v>
      </c>
      <c r="H16" s="33">
        <f>BFPIaE!M40</f>
        <v>0</v>
      </c>
      <c r="I16" s="33">
        <f>BFPIaE!N40</f>
        <v>0</v>
      </c>
      <c r="J16" s="33">
        <f>BFPIaE!O40</f>
        <v>0</v>
      </c>
      <c r="K16" s="33">
        <f>BFPIaE!P40</f>
        <v>0</v>
      </c>
      <c r="L16" s="33">
        <f>BFPIaE!Q40</f>
        <v>0</v>
      </c>
      <c r="M16" s="33">
        <f>BFPIaE!R40</f>
        <v>0</v>
      </c>
      <c r="N16" s="33">
        <f>BFPIaE!S40</f>
        <v>0</v>
      </c>
      <c r="O16" s="33">
        <f>BFPIaE!T40</f>
        <v>0</v>
      </c>
      <c r="P16" s="33">
        <f>BFPIaE!U40</f>
        <v>0</v>
      </c>
      <c r="Q16" s="33">
        <f>BFPIaE!V40</f>
        <v>0</v>
      </c>
      <c r="R16" s="33">
        <f>BFPIaE!W40</f>
        <v>0</v>
      </c>
      <c r="S16" s="33">
        <f>BFPIaE!X40</f>
        <v>0</v>
      </c>
      <c r="T16" s="33">
        <f>BFPIaE!Y40</f>
        <v>0</v>
      </c>
      <c r="U16" s="33">
        <f>BFPIaE!Z40</f>
        <v>0</v>
      </c>
      <c r="V16" s="33">
        <f>BFPIaE!AA40</f>
        <v>0</v>
      </c>
      <c r="W16" s="33">
        <f>BFPIaE!AB40</f>
        <v>0</v>
      </c>
      <c r="X16" s="33">
        <f>BFPIaE!AC40</f>
        <v>0</v>
      </c>
      <c r="Y16" s="33">
        <f>BFPIaE!AD40</f>
        <v>0</v>
      </c>
      <c r="Z16" s="33">
        <f>BFPIaE!AE40</f>
        <v>0</v>
      </c>
      <c r="AA16" s="33">
        <f>BFPIaE!AF40</f>
        <v>0</v>
      </c>
      <c r="AB16" s="33">
        <f>BFPIaE!AG40</f>
        <v>0</v>
      </c>
      <c r="AC16" s="33">
        <f>BFPIaE!AH40</f>
        <v>0</v>
      </c>
      <c r="AD16" s="33">
        <f>BFPIaE!AI40</f>
        <v>0</v>
      </c>
      <c r="AE16" s="33">
        <f>BFPIaE!AJ40</f>
        <v>0</v>
      </c>
      <c r="AF16" s="33">
        <f>BFPIaE!AK40</f>
        <v>0</v>
      </c>
    </row>
    <row r="17" spans="1:32" x14ac:dyDescent="0.2">
      <c r="A17" s="1" t="s">
        <v>59</v>
      </c>
      <c r="B17" s="33">
        <f>BFPIaE!G41</f>
        <v>0</v>
      </c>
      <c r="C17" s="33">
        <f>BFPIaE!H41</f>
        <v>0</v>
      </c>
      <c r="D17" s="33">
        <f>BFPIaE!I41</f>
        <v>0</v>
      </c>
      <c r="E17" s="33">
        <f>BFPIaE!J41</f>
        <v>0</v>
      </c>
      <c r="F17" s="33">
        <f>BFPIaE!K41</f>
        <v>0</v>
      </c>
      <c r="G17" s="33">
        <f>BFPIaE!L41</f>
        <v>0</v>
      </c>
      <c r="H17" s="33">
        <f>BFPIaE!M41</f>
        <v>0</v>
      </c>
      <c r="I17" s="33">
        <f>BFPIaE!N41</f>
        <v>0</v>
      </c>
      <c r="J17" s="33">
        <f>BFPIaE!O41</f>
        <v>0</v>
      </c>
      <c r="K17" s="33">
        <f>BFPIaE!P41</f>
        <v>0</v>
      </c>
      <c r="L17" s="33">
        <f>BFPIaE!Q41</f>
        <v>0</v>
      </c>
      <c r="M17" s="33">
        <f>BFPIaE!R41</f>
        <v>0</v>
      </c>
      <c r="N17" s="33">
        <f>BFPIaE!S41</f>
        <v>0</v>
      </c>
      <c r="O17" s="33">
        <f>BFPIaE!T41</f>
        <v>0</v>
      </c>
      <c r="P17" s="33">
        <f>BFPIaE!U41</f>
        <v>0</v>
      </c>
      <c r="Q17" s="33">
        <f>BFPIaE!V41</f>
        <v>0</v>
      </c>
      <c r="R17" s="33">
        <f>BFPIaE!W41</f>
        <v>0</v>
      </c>
      <c r="S17" s="33">
        <f>BFPIaE!X41</f>
        <v>0</v>
      </c>
      <c r="T17" s="33">
        <f>BFPIaE!Y41</f>
        <v>0</v>
      </c>
      <c r="U17" s="33">
        <f>BFPIaE!Z41</f>
        <v>0</v>
      </c>
      <c r="V17" s="33">
        <f>BFPIaE!AA41</f>
        <v>0</v>
      </c>
      <c r="W17" s="33">
        <f>BFPIaE!AB41</f>
        <v>0</v>
      </c>
      <c r="X17" s="33">
        <f>BFPIaE!AC41</f>
        <v>0</v>
      </c>
      <c r="Y17" s="33">
        <f>BFPIaE!AD41</f>
        <v>0</v>
      </c>
      <c r="Z17" s="33">
        <f>BFPIaE!AE41</f>
        <v>0</v>
      </c>
      <c r="AA17" s="33">
        <f>BFPIaE!AF41</f>
        <v>0</v>
      </c>
      <c r="AB17" s="33">
        <f>BFPIaE!AG41</f>
        <v>0</v>
      </c>
      <c r="AC17" s="33">
        <f>BFPIaE!AH41</f>
        <v>0</v>
      </c>
      <c r="AD17" s="33">
        <f>BFPIaE!AI41</f>
        <v>0</v>
      </c>
      <c r="AE17" s="33">
        <f>BFPIaE!AJ41</f>
        <v>0</v>
      </c>
      <c r="AF17" s="33">
        <f>BFPIaE!AK41</f>
        <v>0</v>
      </c>
    </row>
    <row r="18" spans="1:32" x14ac:dyDescent="0.2">
      <c r="A18" s="1" t="s">
        <v>25</v>
      </c>
      <c r="B18" s="33">
        <f>BFPIaE!G42</f>
        <v>344608955790869.5</v>
      </c>
      <c r="C18" s="33">
        <f>BFPIaE!H42</f>
        <v>344608955790869.5</v>
      </c>
      <c r="D18" s="33">
        <f>BFPIaE!I42</f>
        <v>504929105652121.56</v>
      </c>
      <c r="E18" s="33">
        <f>BFPIaE!J42</f>
        <v>367983781035402</v>
      </c>
      <c r="F18" s="33">
        <f>BFPIaE!K42</f>
        <v>362145153229724</v>
      </c>
      <c r="G18" s="33">
        <f>BFPIaE!L42</f>
        <v>356306525424044</v>
      </c>
      <c r="H18" s="33">
        <f>BFPIaE!M42</f>
        <v>350467897618366</v>
      </c>
      <c r="I18" s="33">
        <f>BFPIaE!N42</f>
        <v>344629269812686</v>
      </c>
      <c r="J18" s="33">
        <f>BFPIaE!O42</f>
        <v>338790642007008</v>
      </c>
      <c r="K18" s="33">
        <f>BFPIaE!P42</f>
        <v>332952014201328</v>
      </c>
      <c r="L18" s="33">
        <f>BFPIaE!Q42</f>
        <v>327113386395650</v>
      </c>
      <c r="M18" s="33">
        <f>BFPIaE!R42</f>
        <v>321274758589970</v>
      </c>
      <c r="N18" s="33">
        <f>BFPIaE!S42</f>
        <v>315436130784292</v>
      </c>
      <c r="O18" s="33">
        <f>BFPIaE!T42</f>
        <v>309597502978612</v>
      </c>
      <c r="P18" s="33">
        <f>BFPIaE!U42</f>
        <v>303758875172934</v>
      </c>
      <c r="Q18" s="33">
        <f>BFPIaE!V42</f>
        <v>297920247367254</v>
      </c>
      <c r="R18" s="33">
        <f>BFPIaE!W42</f>
        <v>292081619561576</v>
      </c>
      <c r="S18" s="33">
        <f>BFPIaE!X42</f>
        <v>286242991755896</v>
      </c>
      <c r="T18" s="33">
        <f>BFPIaE!Y42</f>
        <v>280404363950218</v>
      </c>
      <c r="U18" s="33">
        <f>BFPIaE!Z42</f>
        <v>274565736144538</v>
      </c>
      <c r="V18" s="33">
        <f>BFPIaE!AA42</f>
        <v>268727108338860</v>
      </c>
      <c r="W18" s="33">
        <f>BFPIaE!AB42</f>
        <v>262888480533180</v>
      </c>
      <c r="X18" s="33">
        <f>BFPIaE!AC42</f>
        <v>257049852727502</v>
      </c>
      <c r="Y18" s="33">
        <f>BFPIaE!AD42</f>
        <v>251211224921822</v>
      </c>
      <c r="Z18" s="33">
        <f>BFPIaE!AE42</f>
        <v>245372597116144</v>
      </c>
      <c r="AA18" s="33">
        <f>BFPIaE!AF42</f>
        <v>239533969310464</v>
      </c>
      <c r="AB18" s="33">
        <f>BFPIaE!AG42</f>
        <v>233695341504786</v>
      </c>
      <c r="AC18" s="33">
        <f>BFPIaE!AH42</f>
        <v>227856713699106</v>
      </c>
      <c r="AD18" s="33">
        <f>BFPIaE!AI42</f>
        <v>222018085893428</v>
      </c>
      <c r="AE18" s="33">
        <f>BFPIaE!AJ42</f>
        <v>216179458087750</v>
      </c>
      <c r="AF18" s="33">
        <f>BFPIaE!AK42</f>
        <v>210340830282070</v>
      </c>
    </row>
    <row r="19" spans="1:32" x14ac:dyDescent="0.2">
      <c r="A19" s="1" t="s">
        <v>26</v>
      </c>
      <c r="B19" s="33">
        <f>BFPIaE!G43</f>
        <v>1468278600214.4373</v>
      </c>
      <c r="C19" s="33">
        <f>BFPIaE!H43</f>
        <v>1468278600214.4373</v>
      </c>
      <c r="D19" s="33">
        <f>BFPIaE!I43</f>
        <v>8016007493062.6025</v>
      </c>
      <c r="E19" s="33">
        <f>BFPIaE!J43</f>
        <v>2434848103444.25</v>
      </c>
      <c r="F19" s="33">
        <f>BFPIaE!K43</f>
        <v>1754564582109.5</v>
      </c>
      <c r="G19" s="33">
        <f>BFPIaE!L43</f>
        <v>1074281060774.5</v>
      </c>
      <c r="H19" s="33">
        <f>BFPIaE!M43</f>
        <v>393997539439.75</v>
      </c>
      <c r="I19" s="33">
        <f>BFPIaE!N43</f>
        <v>393997539439.75</v>
      </c>
      <c r="J19" s="33">
        <f>BFPIaE!O43</f>
        <v>393997539439.75</v>
      </c>
      <c r="K19" s="33">
        <f>BFPIaE!P43</f>
        <v>393997539439.75</v>
      </c>
      <c r="L19" s="33">
        <f>BFPIaE!Q43</f>
        <v>393997539439.75</v>
      </c>
      <c r="M19" s="33">
        <f>BFPIaE!R43</f>
        <v>393997539439.75</v>
      </c>
      <c r="N19" s="33">
        <f>BFPIaE!S43</f>
        <v>393997539439.75</v>
      </c>
      <c r="O19" s="33">
        <f>BFPIaE!T43</f>
        <v>393997539439.75</v>
      </c>
      <c r="P19" s="33">
        <f>BFPIaE!U43</f>
        <v>393997539439.75</v>
      </c>
      <c r="Q19" s="33">
        <f>BFPIaE!V43</f>
        <v>393997539439.75</v>
      </c>
      <c r="R19" s="33">
        <f>BFPIaE!W43</f>
        <v>393997539439.75</v>
      </c>
      <c r="S19" s="33">
        <f>BFPIaE!X43</f>
        <v>393997539439.75</v>
      </c>
      <c r="T19" s="33">
        <f>BFPIaE!Y43</f>
        <v>393997539439.75</v>
      </c>
      <c r="U19" s="33">
        <f>BFPIaE!Z43</f>
        <v>393997539439.75</v>
      </c>
      <c r="V19" s="33">
        <f>BFPIaE!AA43</f>
        <v>393997539439.75</v>
      </c>
      <c r="W19" s="33">
        <f>BFPIaE!AB43</f>
        <v>393997539439.75</v>
      </c>
      <c r="X19" s="33">
        <f>BFPIaE!AC43</f>
        <v>393997539439.75</v>
      </c>
      <c r="Y19" s="33">
        <f>BFPIaE!AD43</f>
        <v>393997539439.75</v>
      </c>
      <c r="Z19" s="33">
        <f>BFPIaE!AE43</f>
        <v>393997539439.75</v>
      </c>
      <c r="AA19" s="33">
        <f>BFPIaE!AF43</f>
        <v>393997539439.75</v>
      </c>
      <c r="AB19" s="33">
        <f>BFPIaE!AG43</f>
        <v>393997539439.75</v>
      </c>
      <c r="AC19" s="33">
        <f>BFPIaE!AH43</f>
        <v>393997539439.75</v>
      </c>
      <c r="AD19" s="33">
        <f>BFPIaE!AI43</f>
        <v>393997539439.75</v>
      </c>
      <c r="AE19" s="33">
        <f>BFPIaE!AJ43</f>
        <v>393997539439.75</v>
      </c>
      <c r="AF19" s="33">
        <f>BFPIaE!AK43</f>
        <v>393997539439.75</v>
      </c>
    </row>
    <row r="20" spans="1:32" x14ac:dyDescent="0.2">
      <c r="A20" s="1" t="s">
        <v>27</v>
      </c>
      <c r="B20" s="33">
        <f>BFPIaE!G44</f>
        <v>88691964094034.25</v>
      </c>
      <c r="C20" s="33">
        <f>BFPIaE!H44</f>
        <v>88691964094034.25</v>
      </c>
      <c r="D20" s="33">
        <f>BFPIaE!I44</f>
        <v>8016007493062.6025</v>
      </c>
      <c r="E20" s="33">
        <f>BFPIaE!J44</f>
        <v>51456362102302</v>
      </c>
      <c r="F20" s="33">
        <f>BFPIaE!K44</f>
        <v>46304631685528</v>
      </c>
      <c r="G20" s="33">
        <f>BFPIaE!L44</f>
        <v>41152901268752</v>
      </c>
      <c r="H20" s="33">
        <f>BFPIaE!M44</f>
        <v>36001170851976</v>
      </c>
      <c r="I20" s="33">
        <f>BFPIaE!N44</f>
        <v>30849440435200</v>
      </c>
      <c r="J20" s="33">
        <f>BFPIaE!O44</f>
        <v>25697710018426</v>
      </c>
      <c r="K20" s="33">
        <f>BFPIaE!P44</f>
        <v>20545979601650</v>
      </c>
      <c r="L20" s="33">
        <f>BFPIaE!Q44</f>
        <v>15394249184874</v>
      </c>
      <c r="M20" s="33">
        <f>BFPIaE!R44</f>
        <v>10242518768098</v>
      </c>
      <c r="N20" s="33">
        <f>BFPIaE!S44</f>
        <v>5090788351322</v>
      </c>
      <c r="O20" s="33">
        <f>BFPIaE!T44</f>
        <v>5090788351322</v>
      </c>
      <c r="P20" s="33">
        <f>BFPIaE!U44</f>
        <v>5090788351322</v>
      </c>
      <c r="Q20" s="33">
        <f>BFPIaE!V44</f>
        <v>5090788351322</v>
      </c>
      <c r="R20" s="33">
        <f>BFPIaE!W44</f>
        <v>5090788351322</v>
      </c>
      <c r="S20" s="33">
        <f>BFPIaE!X44</f>
        <v>5090788351322</v>
      </c>
      <c r="T20" s="33">
        <f>BFPIaE!Y44</f>
        <v>5090788351322</v>
      </c>
      <c r="U20" s="33">
        <f>BFPIaE!Z44</f>
        <v>5090788351322</v>
      </c>
      <c r="V20" s="33">
        <f>BFPIaE!AA44</f>
        <v>5090788351322</v>
      </c>
      <c r="W20" s="33">
        <f>BFPIaE!AB44</f>
        <v>5090788351322</v>
      </c>
      <c r="X20" s="33">
        <f>BFPIaE!AC44</f>
        <v>5090788351322</v>
      </c>
      <c r="Y20" s="33">
        <f>BFPIaE!AD44</f>
        <v>5090788351322</v>
      </c>
      <c r="Z20" s="33">
        <f>BFPIaE!AE44</f>
        <v>5090788351322</v>
      </c>
      <c r="AA20" s="33">
        <f>BFPIaE!AF44</f>
        <v>5090788351322</v>
      </c>
      <c r="AB20" s="33">
        <f>BFPIaE!AG44</f>
        <v>5090788351322</v>
      </c>
      <c r="AC20" s="33">
        <f>BFPIaE!AH44</f>
        <v>5090788351322</v>
      </c>
      <c r="AD20" s="33">
        <f>BFPIaE!AI44</f>
        <v>5090788351322</v>
      </c>
      <c r="AE20" s="33">
        <f>BFPIaE!AJ44</f>
        <v>5090788351322</v>
      </c>
      <c r="AF20" s="33">
        <f>BFPIaE!AK44</f>
        <v>5090788351322</v>
      </c>
    </row>
    <row r="21" spans="1:32" x14ac:dyDescent="0.2">
      <c r="A21" s="1" t="s">
        <v>156</v>
      </c>
      <c r="B21" s="33">
        <f>BFPIaE!G45</f>
        <v>0</v>
      </c>
      <c r="C21" s="33">
        <f>BFPIaE!H45</f>
        <v>0</v>
      </c>
      <c r="D21" s="33">
        <f>BFPIaE!I45</f>
        <v>0</v>
      </c>
      <c r="E21" s="33">
        <f>BFPIaE!J45</f>
        <v>0</v>
      </c>
      <c r="F21" s="33">
        <f>BFPIaE!K45</f>
        <v>0</v>
      </c>
      <c r="G21" s="33">
        <f>BFPIaE!L45</f>
        <v>0</v>
      </c>
      <c r="H21" s="33">
        <f>BFPIaE!M45</f>
        <v>0</v>
      </c>
      <c r="I21" s="33">
        <f>BFPIaE!N45</f>
        <v>0</v>
      </c>
      <c r="J21" s="33">
        <f>BFPIaE!O45</f>
        <v>0</v>
      </c>
      <c r="K21" s="33">
        <f>BFPIaE!P45</f>
        <v>0</v>
      </c>
      <c r="L21" s="33">
        <f>BFPIaE!Q45</f>
        <v>0</v>
      </c>
      <c r="M21" s="33">
        <f>BFPIaE!R45</f>
        <v>0</v>
      </c>
      <c r="N21" s="33">
        <f>BFPIaE!S45</f>
        <v>0</v>
      </c>
      <c r="O21" s="33">
        <f>BFPIaE!T45</f>
        <v>0</v>
      </c>
      <c r="P21" s="33">
        <f>BFPIaE!U45</f>
        <v>0</v>
      </c>
      <c r="Q21" s="33">
        <f>BFPIaE!V45</f>
        <v>0</v>
      </c>
      <c r="R21" s="33">
        <f>BFPIaE!W45</f>
        <v>0</v>
      </c>
      <c r="S21" s="33">
        <f>BFPIaE!X45</f>
        <v>0</v>
      </c>
      <c r="T21" s="33">
        <f>BFPIaE!Y45</f>
        <v>0</v>
      </c>
      <c r="U21" s="33">
        <f>BFPIaE!Z45</f>
        <v>0</v>
      </c>
      <c r="V21" s="33">
        <f>BFPIaE!AA45</f>
        <v>0</v>
      </c>
      <c r="W21" s="33">
        <f>BFPIaE!AB45</f>
        <v>0</v>
      </c>
      <c r="X21" s="33">
        <f>BFPIaE!AC45</f>
        <v>0</v>
      </c>
      <c r="Y21" s="33">
        <f>BFPIaE!AD45</f>
        <v>0</v>
      </c>
      <c r="Z21" s="33">
        <f>BFPIaE!AE45</f>
        <v>0</v>
      </c>
      <c r="AA21" s="33">
        <f>BFPIaE!AF45</f>
        <v>0</v>
      </c>
      <c r="AB21" s="33">
        <f>BFPIaE!AG45</f>
        <v>0</v>
      </c>
      <c r="AC21" s="33">
        <f>BFPIaE!AH45</f>
        <v>0</v>
      </c>
      <c r="AD21" s="33">
        <f>BFPIaE!AI45</f>
        <v>0</v>
      </c>
      <c r="AE21" s="33">
        <f>BFPIaE!AJ45</f>
        <v>0</v>
      </c>
      <c r="AF21" s="33">
        <f>BFPIaE!AK45</f>
        <v>0</v>
      </c>
    </row>
    <row r="22" spans="1:32" x14ac:dyDescent="0.2">
      <c r="A22" s="1" t="s">
        <v>63</v>
      </c>
      <c r="B22" s="33">
        <f>BFPIaE!G46</f>
        <v>0</v>
      </c>
      <c r="C22" s="33">
        <f>BFPIaE!H46</f>
        <v>0</v>
      </c>
      <c r="D22" s="33">
        <f>BFPIaE!I46</f>
        <v>0</v>
      </c>
      <c r="E22" s="33">
        <f>BFPIaE!J46</f>
        <v>0</v>
      </c>
      <c r="F22" s="33">
        <f>BFPIaE!K46</f>
        <v>0</v>
      </c>
      <c r="G22" s="33">
        <f>BFPIaE!L46</f>
        <v>0</v>
      </c>
      <c r="H22" s="33">
        <f>BFPIaE!M46</f>
        <v>0</v>
      </c>
      <c r="I22" s="33">
        <f>BFPIaE!N46</f>
        <v>0</v>
      </c>
      <c r="J22" s="33">
        <f>BFPIaE!O46</f>
        <v>0</v>
      </c>
      <c r="K22" s="33">
        <f>BFPIaE!P46</f>
        <v>0</v>
      </c>
      <c r="L22" s="33">
        <f>BFPIaE!Q46</f>
        <v>0</v>
      </c>
      <c r="M22" s="33">
        <f>BFPIaE!R46</f>
        <v>0</v>
      </c>
      <c r="N22" s="33">
        <f>BFPIaE!S46</f>
        <v>0</v>
      </c>
      <c r="O22" s="33">
        <f>BFPIaE!T46</f>
        <v>0</v>
      </c>
      <c r="P22" s="33">
        <f>BFPIaE!U46</f>
        <v>0</v>
      </c>
      <c r="Q22" s="33">
        <f>BFPIaE!V46</f>
        <v>0</v>
      </c>
      <c r="R22" s="33">
        <f>BFPIaE!W46</f>
        <v>0</v>
      </c>
      <c r="S22" s="33">
        <f>BFPIaE!X46</f>
        <v>0</v>
      </c>
      <c r="T22" s="33">
        <f>BFPIaE!Y46</f>
        <v>0</v>
      </c>
      <c r="U22" s="33">
        <f>BFPIaE!Z46</f>
        <v>0</v>
      </c>
      <c r="V22" s="33">
        <f>BFPIaE!AA46</f>
        <v>0</v>
      </c>
      <c r="W22" s="33">
        <f>BFPIaE!AB46</f>
        <v>0</v>
      </c>
      <c r="X22" s="33">
        <f>BFPIaE!AC46</f>
        <v>0</v>
      </c>
      <c r="Y22" s="33">
        <f>BFPIaE!AD46</f>
        <v>0</v>
      </c>
      <c r="Z22" s="33">
        <f>BFPIaE!AE46</f>
        <v>0</v>
      </c>
      <c r="AA22" s="33">
        <f>BFPIaE!AF46</f>
        <v>0</v>
      </c>
      <c r="AB22" s="33">
        <f>BFPIaE!AG46</f>
        <v>0</v>
      </c>
      <c r="AC22" s="33">
        <f>BFPIaE!AH46</f>
        <v>0</v>
      </c>
      <c r="AD22" s="33">
        <f>BFPIaE!AI46</f>
        <v>0</v>
      </c>
      <c r="AE22" s="33">
        <f>BFPIaE!AJ46</f>
        <v>0</v>
      </c>
      <c r="AF22" s="33">
        <f>BFPIaE!AK46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B5184-BD6B-9E48-97AC-06F9D286C523}">
  <sheetPr>
    <tabColor theme="3"/>
  </sheetPr>
  <dimension ref="A1:AF22"/>
  <sheetViews>
    <sheetView tabSelected="1" workbookViewId="0">
      <selection activeCell="B2" sqref="B2:AF22"/>
    </sheetView>
  </sheetViews>
  <sheetFormatPr baseColWidth="10" defaultRowHeight="15" x14ac:dyDescent="0.2"/>
  <cols>
    <col min="1" max="1" width="31.5" customWidth="1"/>
  </cols>
  <sheetData>
    <row r="1" spans="1:32" x14ac:dyDescent="0.2">
      <c r="A1" s="1" t="s">
        <v>148</v>
      </c>
      <c r="B1" s="1">
        <v>2020</v>
      </c>
      <c r="C1" s="37">
        <v>2021</v>
      </c>
      <c r="D1" s="1">
        <v>2022</v>
      </c>
      <c r="E1" s="37">
        <v>2023</v>
      </c>
      <c r="F1" s="1">
        <v>2024</v>
      </c>
      <c r="G1" s="37">
        <v>2025</v>
      </c>
      <c r="H1" s="1">
        <v>2026</v>
      </c>
      <c r="I1" s="37">
        <v>2027</v>
      </c>
      <c r="J1" s="1">
        <v>2028</v>
      </c>
      <c r="K1" s="37">
        <v>2029</v>
      </c>
      <c r="L1" s="1">
        <v>2030</v>
      </c>
      <c r="M1" s="37">
        <v>2031</v>
      </c>
      <c r="N1" s="1">
        <v>2032</v>
      </c>
      <c r="O1" s="37">
        <v>2033</v>
      </c>
      <c r="P1" s="37">
        <v>2034</v>
      </c>
      <c r="Q1" s="37">
        <v>2035</v>
      </c>
      <c r="R1" s="37">
        <v>2036</v>
      </c>
      <c r="S1" s="37">
        <v>2037</v>
      </c>
      <c r="T1" s="37">
        <v>2038</v>
      </c>
      <c r="U1" s="37">
        <v>2039</v>
      </c>
      <c r="V1" s="37">
        <v>2040</v>
      </c>
      <c r="W1" s="37">
        <v>2041</v>
      </c>
      <c r="X1" s="37">
        <v>2042</v>
      </c>
      <c r="Y1" s="37">
        <v>2043</v>
      </c>
      <c r="Z1" s="37">
        <v>2044</v>
      </c>
      <c r="AA1" s="37">
        <v>2045</v>
      </c>
      <c r="AB1" s="37">
        <v>2046</v>
      </c>
      <c r="AC1" s="37">
        <v>2047</v>
      </c>
      <c r="AD1" s="37">
        <v>2048</v>
      </c>
      <c r="AE1" s="37">
        <v>2049</v>
      </c>
      <c r="AF1" s="37">
        <v>2050</v>
      </c>
    </row>
    <row r="2" spans="1:32" x14ac:dyDescent="0.2">
      <c r="A2" s="1" t="s">
        <v>149</v>
      </c>
      <c r="B2" s="33">
        <f>BFPIaE!G50</f>
        <v>0</v>
      </c>
      <c r="C2" s="33">
        <f>BFPIaE!H50</f>
        <v>0</v>
      </c>
      <c r="D2" s="33">
        <f>BFPIaE!I50</f>
        <v>0</v>
      </c>
      <c r="E2" s="33">
        <f>BFPIaE!J50</f>
        <v>0</v>
      </c>
      <c r="F2" s="33">
        <f>BFPIaE!K50</f>
        <v>0</v>
      </c>
      <c r="G2" s="33">
        <f>BFPIaE!L50</f>
        <v>0</v>
      </c>
      <c r="H2" s="33">
        <f>BFPIaE!M50</f>
        <v>0</v>
      </c>
      <c r="I2" s="33">
        <f>BFPIaE!N50</f>
        <v>0</v>
      </c>
      <c r="J2" s="33">
        <f>BFPIaE!O50</f>
        <v>0</v>
      </c>
      <c r="K2" s="33">
        <f>BFPIaE!P50</f>
        <v>0</v>
      </c>
      <c r="L2" s="33">
        <f>BFPIaE!Q50</f>
        <v>0</v>
      </c>
      <c r="M2" s="33">
        <f>BFPIaE!R50</f>
        <v>0</v>
      </c>
      <c r="N2" s="33">
        <f>BFPIaE!S50</f>
        <v>0</v>
      </c>
      <c r="O2" s="33">
        <f>BFPIaE!T50</f>
        <v>0</v>
      </c>
      <c r="P2" s="33">
        <f>BFPIaE!U50</f>
        <v>0</v>
      </c>
      <c r="Q2" s="33">
        <f>BFPIaE!V50</f>
        <v>0</v>
      </c>
      <c r="R2" s="33">
        <f>BFPIaE!W50</f>
        <v>0</v>
      </c>
      <c r="S2" s="33">
        <f>BFPIaE!X50</f>
        <v>0</v>
      </c>
      <c r="T2" s="33">
        <f>BFPIaE!Y50</f>
        <v>0</v>
      </c>
      <c r="U2" s="33">
        <f>BFPIaE!Z50</f>
        <v>0</v>
      </c>
      <c r="V2" s="33">
        <f>BFPIaE!AA50</f>
        <v>0</v>
      </c>
      <c r="W2" s="33">
        <f>BFPIaE!AB50</f>
        <v>0</v>
      </c>
      <c r="X2" s="33">
        <f>BFPIaE!AC50</f>
        <v>0</v>
      </c>
      <c r="Y2" s="33">
        <f>BFPIaE!AD50</f>
        <v>0</v>
      </c>
      <c r="Z2" s="33">
        <f>BFPIaE!AE50</f>
        <v>0</v>
      </c>
      <c r="AA2" s="33">
        <f>BFPIaE!AF50</f>
        <v>0</v>
      </c>
      <c r="AB2" s="33">
        <f>BFPIaE!AG50</f>
        <v>0</v>
      </c>
      <c r="AC2" s="33">
        <f>BFPIaE!AH50</f>
        <v>0</v>
      </c>
      <c r="AD2" s="33">
        <f>BFPIaE!AI50</f>
        <v>0</v>
      </c>
      <c r="AE2" s="33">
        <f>BFPIaE!AJ50</f>
        <v>0</v>
      </c>
      <c r="AF2" s="33">
        <f>BFPIaE!AK50</f>
        <v>0</v>
      </c>
    </row>
    <row r="3" spans="1:32" x14ac:dyDescent="0.2">
      <c r="A3" s="1" t="s">
        <v>55</v>
      </c>
      <c r="B3" s="33">
        <f>BFPIaE!G51</f>
        <v>0</v>
      </c>
      <c r="C3" s="33">
        <f>BFPIaE!H51</f>
        <v>0</v>
      </c>
      <c r="D3" s="33">
        <f>BFPIaE!I51</f>
        <v>0</v>
      </c>
      <c r="E3" s="33">
        <f>BFPIaE!J51</f>
        <v>0</v>
      </c>
      <c r="F3" s="33">
        <f>BFPIaE!K51</f>
        <v>0</v>
      </c>
      <c r="G3" s="33">
        <f>BFPIaE!L51</f>
        <v>0</v>
      </c>
      <c r="H3" s="33">
        <f>BFPIaE!M51</f>
        <v>0</v>
      </c>
      <c r="I3" s="33">
        <f>BFPIaE!N51</f>
        <v>0</v>
      </c>
      <c r="J3" s="33">
        <f>BFPIaE!O51</f>
        <v>0</v>
      </c>
      <c r="K3" s="33">
        <f>BFPIaE!P51</f>
        <v>0</v>
      </c>
      <c r="L3" s="33">
        <f>BFPIaE!Q51</f>
        <v>0</v>
      </c>
      <c r="M3" s="33">
        <f>BFPIaE!R51</f>
        <v>0</v>
      </c>
      <c r="N3" s="33">
        <f>BFPIaE!S51</f>
        <v>0</v>
      </c>
      <c r="O3" s="33">
        <f>BFPIaE!T51</f>
        <v>0</v>
      </c>
      <c r="P3" s="33">
        <f>BFPIaE!U51</f>
        <v>0</v>
      </c>
      <c r="Q3" s="33">
        <f>BFPIaE!V51</f>
        <v>0</v>
      </c>
      <c r="R3" s="33">
        <f>BFPIaE!W51</f>
        <v>0</v>
      </c>
      <c r="S3" s="33">
        <f>BFPIaE!X51</f>
        <v>0</v>
      </c>
      <c r="T3" s="33">
        <f>BFPIaE!Y51</f>
        <v>0</v>
      </c>
      <c r="U3" s="33">
        <f>BFPIaE!Z51</f>
        <v>0</v>
      </c>
      <c r="V3" s="33">
        <f>BFPIaE!AA51</f>
        <v>0</v>
      </c>
      <c r="W3" s="33">
        <f>BFPIaE!AB51</f>
        <v>0</v>
      </c>
      <c r="X3" s="33">
        <f>BFPIaE!AC51</f>
        <v>0</v>
      </c>
      <c r="Y3" s="33">
        <f>BFPIaE!AD51</f>
        <v>0</v>
      </c>
      <c r="Z3" s="33">
        <f>BFPIaE!AE51</f>
        <v>0</v>
      </c>
      <c r="AA3" s="33">
        <f>BFPIaE!AF51</f>
        <v>0</v>
      </c>
      <c r="AB3" s="33">
        <f>BFPIaE!AG51</f>
        <v>0</v>
      </c>
      <c r="AC3" s="33">
        <f>BFPIaE!AH51</f>
        <v>0</v>
      </c>
      <c r="AD3" s="33">
        <f>BFPIaE!AI51</f>
        <v>0</v>
      </c>
      <c r="AE3" s="33">
        <f>BFPIaE!AJ51</f>
        <v>0</v>
      </c>
      <c r="AF3" s="33">
        <f>BFPIaE!AK51</f>
        <v>0</v>
      </c>
    </row>
    <row r="4" spans="1:32" x14ac:dyDescent="0.2">
      <c r="A4" s="1" t="s">
        <v>13</v>
      </c>
      <c r="B4" s="33">
        <f>BFPIaE!G52</f>
        <v>0</v>
      </c>
      <c r="C4" s="33">
        <f>BFPIaE!H52</f>
        <v>0</v>
      </c>
      <c r="D4" s="33">
        <f>BFPIaE!I52</f>
        <v>0</v>
      </c>
      <c r="E4" s="33">
        <f>BFPIaE!J52</f>
        <v>0</v>
      </c>
      <c r="F4" s="33">
        <f>BFPIaE!K52</f>
        <v>0</v>
      </c>
      <c r="G4" s="33">
        <f>BFPIaE!L52</f>
        <v>0</v>
      </c>
      <c r="H4" s="33">
        <f>BFPIaE!M52</f>
        <v>0</v>
      </c>
      <c r="I4" s="33">
        <f>BFPIaE!N52</f>
        <v>0</v>
      </c>
      <c r="J4" s="33">
        <f>BFPIaE!O52</f>
        <v>0</v>
      </c>
      <c r="K4" s="33">
        <f>BFPIaE!P52</f>
        <v>0</v>
      </c>
      <c r="L4" s="33">
        <f>BFPIaE!Q52</f>
        <v>0</v>
      </c>
      <c r="M4" s="33">
        <f>BFPIaE!R52</f>
        <v>0</v>
      </c>
      <c r="N4" s="33">
        <f>BFPIaE!S52</f>
        <v>0</v>
      </c>
      <c r="O4" s="33">
        <f>BFPIaE!T52</f>
        <v>0</v>
      </c>
      <c r="P4" s="33">
        <f>BFPIaE!U52</f>
        <v>0</v>
      </c>
      <c r="Q4" s="33">
        <f>BFPIaE!V52</f>
        <v>0</v>
      </c>
      <c r="R4" s="33">
        <f>BFPIaE!W52</f>
        <v>0</v>
      </c>
      <c r="S4" s="33">
        <f>BFPIaE!X52</f>
        <v>0</v>
      </c>
      <c r="T4" s="33">
        <f>BFPIaE!Y52</f>
        <v>0</v>
      </c>
      <c r="U4" s="33">
        <f>BFPIaE!Z52</f>
        <v>0</v>
      </c>
      <c r="V4" s="33">
        <f>BFPIaE!AA52</f>
        <v>0</v>
      </c>
      <c r="W4" s="33">
        <f>BFPIaE!AB52</f>
        <v>0</v>
      </c>
      <c r="X4" s="33">
        <f>BFPIaE!AC52</f>
        <v>0</v>
      </c>
      <c r="Y4" s="33">
        <f>BFPIaE!AD52</f>
        <v>0</v>
      </c>
      <c r="Z4" s="33">
        <f>BFPIaE!AE52</f>
        <v>0</v>
      </c>
      <c r="AA4" s="33">
        <f>BFPIaE!AF52</f>
        <v>0</v>
      </c>
      <c r="AB4" s="33">
        <f>BFPIaE!AG52</f>
        <v>0</v>
      </c>
      <c r="AC4" s="33">
        <f>BFPIaE!AH52</f>
        <v>0</v>
      </c>
      <c r="AD4" s="33">
        <f>BFPIaE!AI52</f>
        <v>0</v>
      </c>
      <c r="AE4" s="33">
        <f>BFPIaE!AJ52</f>
        <v>0</v>
      </c>
      <c r="AF4" s="33">
        <f>BFPIaE!AK52</f>
        <v>0</v>
      </c>
    </row>
    <row r="5" spans="1:32" x14ac:dyDescent="0.2">
      <c r="A5" s="1" t="s">
        <v>57</v>
      </c>
      <c r="B5" s="33">
        <f>BFPIaE!G53</f>
        <v>0</v>
      </c>
      <c r="C5" s="33">
        <f>BFPIaE!H53</f>
        <v>0</v>
      </c>
      <c r="D5" s="33">
        <f>BFPIaE!I53</f>
        <v>0</v>
      </c>
      <c r="E5" s="33">
        <f>BFPIaE!J53</f>
        <v>0</v>
      </c>
      <c r="F5" s="33">
        <f>BFPIaE!K53</f>
        <v>0</v>
      </c>
      <c r="G5" s="33">
        <f>BFPIaE!L53</f>
        <v>0</v>
      </c>
      <c r="H5" s="33">
        <f>BFPIaE!M53</f>
        <v>0</v>
      </c>
      <c r="I5" s="33">
        <f>BFPIaE!N53</f>
        <v>0</v>
      </c>
      <c r="J5" s="33">
        <f>BFPIaE!O53</f>
        <v>0</v>
      </c>
      <c r="K5" s="33">
        <f>BFPIaE!P53</f>
        <v>0</v>
      </c>
      <c r="L5" s="33">
        <f>BFPIaE!Q53</f>
        <v>0</v>
      </c>
      <c r="M5" s="33">
        <f>BFPIaE!R53</f>
        <v>0</v>
      </c>
      <c r="N5" s="33">
        <f>BFPIaE!S53</f>
        <v>0</v>
      </c>
      <c r="O5" s="33">
        <f>BFPIaE!T53</f>
        <v>0</v>
      </c>
      <c r="P5" s="33">
        <f>BFPIaE!U53</f>
        <v>0</v>
      </c>
      <c r="Q5" s="33">
        <f>BFPIaE!V53</f>
        <v>0</v>
      </c>
      <c r="R5" s="33">
        <f>BFPIaE!W53</f>
        <v>0</v>
      </c>
      <c r="S5" s="33">
        <f>BFPIaE!X53</f>
        <v>0</v>
      </c>
      <c r="T5" s="33">
        <f>BFPIaE!Y53</f>
        <v>0</v>
      </c>
      <c r="U5" s="33">
        <f>BFPIaE!Z53</f>
        <v>0</v>
      </c>
      <c r="V5" s="33">
        <f>BFPIaE!AA53</f>
        <v>0</v>
      </c>
      <c r="W5" s="33">
        <f>BFPIaE!AB53</f>
        <v>0</v>
      </c>
      <c r="X5" s="33">
        <f>BFPIaE!AC53</f>
        <v>0</v>
      </c>
      <c r="Y5" s="33">
        <f>BFPIaE!AD53</f>
        <v>0</v>
      </c>
      <c r="Z5" s="33">
        <f>BFPIaE!AE53</f>
        <v>0</v>
      </c>
      <c r="AA5" s="33">
        <f>BFPIaE!AF53</f>
        <v>0</v>
      </c>
      <c r="AB5" s="33">
        <f>BFPIaE!AG53</f>
        <v>0</v>
      </c>
      <c r="AC5" s="33">
        <f>BFPIaE!AH53</f>
        <v>0</v>
      </c>
      <c r="AD5" s="33">
        <f>BFPIaE!AI53</f>
        <v>0</v>
      </c>
      <c r="AE5" s="33">
        <f>BFPIaE!AJ53</f>
        <v>0</v>
      </c>
      <c r="AF5" s="33">
        <f>BFPIaE!AK53</f>
        <v>0</v>
      </c>
    </row>
    <row r="6" spans="1:32" x14ac:dyDescent="0.2">
      <c r="A6" s="1" t="s">
        <v>150</v>
      </c>
      <c r="B6" s="33">
        <f>BFPIaE!G54</f>
        <v>0</v>
      </c>
      <c r="C6" s="33">
        <f>BFPIaE!H54</f>
        <v>0</v>
      </c>
      <c r="D6" s="33">
        <f>BFPIaE!I54</f>
        <v>0</v>
      </c>
      <c r="E6" s="33">
        <f>BFPIaE!J54</f>
        <v>0</v>
      </c>
      <c r="F6" s="33">
        <f>BFPIaE!K54</f>
        <v>0</v>
      </c>
      <c r="G6" s="33">
        <f>BFPIaE!L54</f>
        <v>0</v>
      </c>
      <c r="H6" s="33">
        <f>BFPIaE!M54</f>
        <v>0</v>
      </c>
      <c r="I6" s="33">
        <f>BFPIaE!N54</f>
        <v>0</v>
      </c>
      <c r="J6" s="33">
        <f>BFPIaE!O54</f>
        <v>0</v>
      </c>
      <c r="K6" s="33">
        <f>BFPIaE!P54</f>
        <v>0</v>
      </c>
      <c r="L6" s="33">
        <f>BFPIaE!Q54</f>
        <v>0</v>
      </c>
      <c r="M6" s="33">
        <f>BFPIaE!R54</f>
        <v>0</v>
      </c>
      <c r="N6" s="33">
        <f>BFPIaE!S54</f>
        <v>0</v>
      </c>
      <c r="O6" s="33">
        <f>BFPIaE!T54</f>
        <v>0</v>
      </c>
      <c r="P6" s="33">
        <f>BFPIaE!U54</f>
        <v>0</v>
      </c>
      <c r="Q6" s="33">
        <f>BFPIaE!V54</f>
        <v>0</v>
      </c>
      <c r="R6" s="33">
        <f>BFPIaE!W54</f>
        <v>0</v>
      </c>
      <c r="S6" s="33">
        <f>BFPIaE!X54</f>
        <v>0</v>
      </c>
      <c r="T6" s="33">
        <f>BFPIaE!Y54</f>
        <v>0</v>
      </c>
      <c r="U6" s="33">
        <f>BFPIaE!Z54</f>
        <v>0</v>
      </c>
      <c r="V6" s="33">
        <f>BFPIaE!AA54</f>
        <v>0</v>
      </c>
      <c r="W6" s="33">
        <f>BFPIaE!AB54</f>
        <v>0</v>
      </c>
      <c r="X6" s="33">
        <f>BFPIaE!AC54</f>
        <v>0</v>
      </c>
      <c r="Y6" s="33">
        <f>BFPIaE!AD54</f>
        <v>0</v>
      </c>
      <c r="Z6" s="33">
        <f>BFPIaE!AE54</f>
        <v>0</v>
      </c>
      <c r="AA6" s="33">
        <f>BFPIaE!AF54</f>
        <v>0</v>
      </c>
      <c r="AB6" s="33">
        <f>BFPIaE!AG54</f>
        <v>0</v>
      </c>
      <c r="AC6" s="33">
        <f>BFPIaE!AH54</f>
        <v>0</v>
      </c>
      <c r="AD6" s="33">
        <f>BFPIaE!AI54</f>
        <v>0</v>
      </c>
      <c r="AE6" s="33">
        <f>BFPIaE!AJ54</f>
        <v>0</v>
      </c>
      <c r="AF6" s="33">
        <f>BFPIaE!AK54</f>
        <v>0</v>
      </c>
    </row>
    <row r="7" spans="1:32" x14ac:dyDescent="0.2">
      <c r="A7" s="1" t="s">
        <v>151</v>
      </c>
      <c r="B7" s="33">
        <f>BFPIaE!G55</f>
        <v>0</v>
      </c>
      <c r="C7" s="33">
        <f>BFPIaE!H55</f>
        <v>0</v>
      </c>
      <c r="D7" s="33">
        <f>BFPIaE!I55</f>
        <v>0</v>
      </c>
      <c r="E7" s="33">
        <f>BFPIaE!J55</f>
        <v>0</v>
      </c>
      <c r="F7" s="33">
        <f>BFPIaE!K55</f>
        <v>0</v>
      </c>
      <c r="G7" s="33">
        <f>BFPIaE!L55</f>
        <v>0</v>
      </c>
      <c r="H7" s="33">
        <f>BFPIaE!M55</f>
        <v>0</v>
      </c>
      <c r="I7" s="33">
        <f>BFPIaE!N55</f>
        <v>0</v>
      </c>
      <c r="J7" s="33">
        <f>BFPIaE!O55</f>
        <v>0</v>
      </c>
      <c r="K7" s="33">
        <f>BFPIaE!P55</f>
        <v>0</v>
      </c>
      <c r="L7" s="33">
        <f>BFPIaE!Q55</f>
        <v>0</v>
      </c>
      <c r="M7" s="33">
        <f>BFPIaE!R55</f>
        <v>0</v>
      </c>
      <c r="N7" s="33">
        <f>BFPIaE!S55</f>
        <v>0</v>
      </c>
      <c r="O7" s="33">
        <f>BFPIaE!T55</f>
        <v>0</v>
      </c>
      <c r="P7" s="33">
        <f>BFPIaE!U55</f>
        <v>0</v>
      </c>
      <c r="Q7" s="33">
        <f>BFPIaE!V55</f>
        <v>0</v>
      </c>
      <c r="R7" s="33">
        <f>BFPIaE!W55</f>
        <v>0</v>
      </c>
      <c r="S7" s="33">
        <f>BFPIaE!X55</f>
        <v>0</v>
      </c>
      <c r="T7" s="33">
        <f>BFPIaE!Y55</f>
        <v>0</v>
      </c>
      <c r="U7" s="33">
        <f>BFPIaE!Z55</f>
        <v>0</v>
      </c>
      <c r="V7" s="33">
        <f>BFPIaE!AA55</f>
        <v>0</v>
      </c>
      <c r="W7" s="33">
        <f>BFPIaE!AB55</f>
        <v>0</v>
      </c>
      <c r="X7" s="33">
        <f>BFPIaE!AC55</f>
        <v>0</v>
      </c>
      <c r="Y7" s="33">
        <f>BFPIaE!AD55</f>
        <v>0</v>
      </c>
      <c r="Z7" s="33">
        <f>BFPIaE!AE55</f>
        <v>0</v>
      </c>
      <c r="AA7" s="33">
        <f>BFPIaE!AF55</f>
        <v>0</v>
      </c>
      <c r="AB7" s="33">
        <f>BFPIaE!AG55</f>
        <v>0</v>
      </c>
      <c r="AC7" s="33">
        <f>BFPIaE!AH55</f>
        <v>0</v>
      </c>
      <c r="AD7" s="33">
        <f>BFPIaE!AI55</f>
        <v>0</v>
      </c>
      <c r="AE7" s="33">
        <f>BFPIaE!AJ55</f>
        <v>0</v>
      </c>
      <c r="AF7" s="33">
        <f>BFPIaE!AK55</f>
        <v>0</v>
      </c>
    </row>
    <row r="8" spans="1:32" x14ac:dyDescent="0.2">
      <c r="A8" s="1" t="s">
        <v>152</v>
      </c>
      <c r="B8" s="33">
        <f>BFPIaE!G56</f>
        <v>0</v>
      </c>
      <c r="C8" s="33">
        <f>BFPIaE!H56</f>
        <v>0</v>
      </c>
      <c r="D8" s="33">
        <f>BFPIaE!I56</f>
        <v>0</v>
      </c>
      <c r="E8" s="33">
        <f>BFPIaE!J56</f>
        <v>0</v>
      </c>
      <c r="F8" s="33">
        <f>BFPIaE!K56</f>
        <v>0</v>
      </c>
      <c r="G8" s="33">
        <f>BFPIaE!L56</f>
        <v>0</v>
      </c>
      <c r="H8" s="33">
        <f>BFPIaE!M56</f>
        <v>0</v>
      </c>
      <c r="I8" s="33">
        <f>BFPIaE!N56</f>
        <v>0</v>
      </c>
      <c r="J8" s="33">
        <f>BFPIaE!O56</f>
        <v>0</v>
      </c>
      <c r="K8" s="33">
        <f>BFPIaE!P56</f>
        <v>0</v>
      </c>
      <c r="L8" s="33">
        <f>BFPIaE!Q56</f>
        <v>0</v>
      </c>
      <c r="M8" s="33">
        <f>BFPIaE!R56</f>
        <v>0</v>
      </c>
      <c r="N8" s="33">
        <f>BFPIaE!S56</f>
        <v>0</v>
      </c>
      <c r="O8" s="33">
        <f>BFPIaE!T56</f>
        <v>0</v>
      </c>
      <c r="P8" s="33">
        <f>BFPIaE!U56</f>
        <v>0</v>
      </c>
      <c r="Q8" s="33">
        <f>BFPIaE!V56</f>
        <v>0</v>
      </c>
      <c r="R8" s="33">
        <f>BFPIaE!W56</f>
        <v>0</v>
      </c>
      <c r="S8" s="33">
        <f>BFPIaE!X56</f>
        <v>0</v>
      </c>
      <c r="T8" s="33">
        <f>BFPIaE!Y56</f>
        <v>0</v>
      </c>
      <c r="U8" s="33">
        <f>BFPIaE!Z56</f>
        <v>0</v>
      </c>
      <c r="V8" s="33">
        <f>BFPIaE!AA56</f>
        <v>0</v>
      </c>
      <c r="W8" s="33">
        <f>BFPIaE!AB56</f>
        <v>0</v>
      </c>
      <c r="X8" s="33">
        <f>BFPIaE!AC56</f>
        <v>0</v>
      </c>
      <c r="Y8" s="33">
        <f>BFPIaE!AD56</f>
        <v>0</v>
      </c>
      <c r="Z8" s="33">
        <f>BFPIaE!AE56</f>
        <v>0</v>
      </c>
      <c r="AA8" s="33">
        <f>BFPIaE!AF56</f>
        <v>0</v>
      </c>
      <c r="AB8" s="33">
        <f>BFPIaE!AG56</f>
        <v>0</v>
      </c>
      <c r="AC8" s="33">
        <f>BFPIaE!AH56</f>
        <v>0</v>
      </c>
      <c r="AD8" s="33">
        <f>BFPIaE!AI56</f>
        <v>0</v>
      </c>
      <c r="AE8" s="33">
        <f>BFPIaE!AJ56</f>
        <v>0</v>
      </c>
      <c r="AF8" s="33">
        <f>BFPIaE!AK56</f>
        <v>0</v>
      </c>
    </row>
    <row r="9" spans="1:32" x14ac:dyDescent="0.2">
      <c r="A9" s="1" t="s">
        <v>15</v>
      </c>
      <c r="B9" s="33">
        <f>BFPIaE!G57</f>
        <v>0</v>
      </c>
      <c r="C9" s="33">
        <f>BFPIaE!H57</f>
        <v>0</v>
      </c>
      <c r="D9" s="33">
        <f>BFPIaE!I57</f>
        <v>0</v>
      </c>
      <c r="E9" s="33">
        <f>BFPIaE!J57</f>
        <v>0</v>
      </c>
      <c r="F9" s="33">
        <f>BFPIaE!K57</f>
        <v>0</v>
      </c>
      <c r="G9" s="33">
        <f>BFPIaE!L57</f>
        <v>0</v>
      </c>
      <c r="H9" s="33">
        <f>BFPIaE!M57</f>
        <v>0</v>
      </c>
      <c r="I9" s="33">
        <f>BFPIaE!N57</f>
        <v>0</v>
      </c>
      <c r="J9" s="33">
        <f>BFPIaE!O57</f>
        <v>0</v>
      </c>
      <c r="K9" s="33">
        <f>BFPIaE!P57</f>
        <v>0</v>
      </c>
      <c r="L9" s="33">
        <f>BFPIaE!Q57</f>
        <v>0</v>
      </c>
      <c r="M9" s="33">
        <f>BFPIaE!R57</f>
        <v>0</v>
      </c>
      <c r="N9" s="33">
        <f>BFPIaE!S57</f>
        <v>0</v>
      </c>
      <c r="O9" s="33">
        <f>BFPIaE!T57</f>
        <v>0</v>
      </c>
      <c r="P9" s="33">
        <f>BFPIaE!U57</f>
        <v>0</v>
      </c>
      <c r="Q9" s="33">
        <f>BFPIaE!V57</f>
        <v>0</v>
      </c>
      <c r="R9" s="33">
        <f>BFPIaE!W57</f>
        <v>0</v>
      </c>
      <c r="S9" s="33">
        <f>BFPIaE!X57</f>
        <v>0</v>
      </c>
      <c r="T9" s="33">
        <f>BFPIaE!Y57</f>
        <v>0</v>
      </c>
      <c r="U9" s="33">
        <f>BFPIaE!Z57</f>
        <v>0</v>
      </c>
      <c r="V9" s="33">
        <f>BFPIaE!AA57</f>
        <v>0</v>
      </c>
      <c r="W9" s="33">
        <f>BFPIaE!AB57</f>
        <v>0</v>
      </c>
      <c r="X9" s="33">
        <f>BFPIaE!AC57</f>
        <v>0</v>
      </c>
      <c r="Y9" s="33">
        <f>BFPIaE!AD57</f>
        <v>0</v>
      </c>
      <c r="Z9" s="33">
        <f>BFPIaE!AE57</f>
        <v>0</v>
      </c>
      <c r="AA9" s="33">
        <f>BFPIaE!AF57</f>
        <v>0</v>
      </c>
      <c r="AB9" s="33">
        <f>BFPIaE!AG57</f>
        <v>0</v>
      </c>
      <c r="AC9" s="33">
        <f>BFPIaE!AH57</f>
        <v>0</v>
      </c>
      <c r="AD9" s="33">
        <f>BFPIaE!AI57</f>
        <v>0</v>
      </c>
      <c r="AE9" s="33">
        <f>BFPIaE!AJ57</f>
        <v>0</v>
      </c>
      <c r="AF9" s="33">
        <f>BFPIaE!AK57</f>
        <v>0</v>
      </c>
    </row>
    <row r="10" spans="1:32" x14ac:dyDescent="0.2">
      <c r="A10" s="1" t="s">
        <v>19</v>
      </c>
      <c r="B10" s="33">
        <f>BFPIaE!G58</f>
        <v>72382166670030.625</v>
      </c>
      <c r="C10" s="33">
        <f>BFPIaE!H58</f>
        <v>72382166670030.625</v>
      </c>
      <c r="D10" s="33">
        <f>BFPIaE!I58</f>
        <v>16666946272704.422</v>
      </c>
      <c r="E10" s="33">
        <f>BFPIaE!J58</f>
        <v>63077872258442</v>
      </c>
      <c r="F10" s="33">
        <f>BFPIaE!K58</f>
        <v>68171967543548</v>
      </c>
      <c r="G10" s="33">
        <f>BFPIaE!L58</f>
        <v>73266062828656</v>
      </c>
      <c r="H10" s="33">
        <f>BFPIaE!M58</f>
        <v>78360158113762</v>
      </c>
      <c r="I10" s="33">
        <f>BFPIaE!N58</f>
        <v>83454253398868</v>
      </c>
      <c r="J10" s="33">
        <f>BFPIaE!O58</f>
        <v>88548348683976</v>
      </c>
      <c r="K10" s="33">
        <f>BFPIaE!P58</f>
        <v>93642443969082</v>
      </c>
      <c r="L10" s="33">
        <f>BFPIaE!Q58</f>
        <v>98736539254190</v>
      </c>
      <c r="M10" s="33">
        <f>BFPIaE!R58</f>
        <v>103830634539296</v>
      </c>
      <c r="N10" s="33">
        <f>BFPIaE!S58</f>
        <v>108924729824404</v>
      </c>
      <c r="O10" s="33">
        <f>BFPIaE!T58</f>
        <v>114018825109510</v>
      </c>
      <c r="P10" s="33">
        <f>BFPIaE!U58</f>
        <v>119112920394618</v>
      </c>
      <c r="Q10" s="33">
        <f>BFPIaE!V58</f>
        <v>124207015679724</v>
      </c>
      <c r="R10" s="33">
        <f>BFPIaE!W58</f>
        <v>129301110964832</v>
      </c>
      <c r="S10" s="33">
        <f>BFPIaE!X58</f>
        <v>134395206249938</v>
      </c>
      <c r="T10" s="33">
        <f>BFPIaE!Y58</f>
        <v>139489301535044</v>
      </c>
      <c r="U10" s="33">
        <f>BFPIaE!Z58</f>
        <v>144583396820152</v>
      </c>
      <c r="V10" s="33">
        <f>BFPIaE!AA58</f>
        <v>149677492105258</v>
      </c>
      <c r="W10" s="33">
        <f>BFPIaE!AB58</f>
        <v>154771587390366</v>
      </c>
      <c r="X10" s="33">
        <f>BFPIaE!AC58</f>
        <v>159865682675472</v>
      </c>
      <c r="Y10" s="33">
        <f>BFPIaE!AD58</f>
        <v>164959777960580</v>
      </c>
      <c r="Z10" s="33">
        <f>BFPIaE!AE58</f>
        <v>170053873245686</v>
      </c>
      <c r="AA10" s="33">
        <f>BFPIaE!AF58</f>
        <v>175147968530794</v>
      </c>
      <c r="AB10" s="33">
        <f>BFPIaE!AG58</f>
        <v>180242063815900</v>
      </c>
      <c r="AC10" s="33">
        <f>BFPIaE!AH58</f>
        <v>185336159101008</v>
      </c>
      <c r="AD10" s="33">
        <f>BFPIaE!AI58</f>
        <v>190430254386114</v>
      </c>
      <c r="AE10" s="33">
        <f>BFPIaE!AJ58</f>
        <v>195524349671220</v>
      </c>
      <c r="AF10" s="33">
        <f>BFPIaE!AK58</f>
        <v>200618444956328</v>
      </c>
    </row>
    <row r="11" spans="1:32" x14ac:dyDescent="0.2">
      <c r="A11" s="1" t="s">
        <v>21</v>
      </c>
      <c r="B11" s="33">
        <f>BFPIaE!G59</f>
        <v>31984663561428.008</v>
      </c>
      <c r="C11" s="33">
        <f>BFPIaE!H59</f>
        <v>31984663561428.008</v>
      </c>
      <c r="D11" s="33">
        <f>BFPIaE!I59</f>
        <v>21706713359926.949</v>
      </c>
      <c r="E11" s="33">
        <f>BFPIaE!J59</f>
        <v>28313967060891.906</v>
      </c>
      <c r="F11" s="33">
        <f>BFPIaE!K59</f>
        <v>28191610510874.031</v>
      </c>
      <c r="G11" s="33">
        <f>BFPIaE!L59</f>
        <v>28069253960856.156</v>
      </c>
      <c r="H11" s="33">
        <f>BFPIaE!M59</f>
        <v>27946897410838.312</v>
      </c>
      <c r="I11" s="33">
        <f>BFPIaE!N59</f>
        <v>27824540860820.438</v>
      </c>
      <c r="J11" s="33">
        <f>BFPIaE!O59</f>
        <v>27702184310802.562</v>
      </c>
      <c r="K11" s="33">
        <f>BFPIaE!P59</f>
        <v>27579827760784.688</v>
      </c>
      <c r="L11" s="33">
        <f>BFPIaE!Q59</f>
        <v>27457471210766.812</v>
      </c>
      <c r="M11" s="33">
        <f>BFPIaE!R59</f>
        <v>27335114660748.938</v>
      </c>
      <c r="N11" s="33">
        <f>BFPIaE!S59</f>
        <v>27212758110731.094</v>
      </c>
      <c r="O11" s="33">
        <f>BFPIaE!T59</f>
        <v>27090401560713.219</v>
      </c>
      <c r="P11" s="33">
        <f>BFPIaE!U59</f>
        <v>26968045010695.344</v>
      </c>
      <c r="Q11" s="33">
        <f>BFPIaE!V59</f>
        <v>26845688460677.469</v>
      </c>
      <c r="R11" s="33">
        <f>BFPIaE!W59</f>
        <v>26723331910659.594</v>
      </c>
      <c r="S11" s="33">
        <f>BFPIaE!X59</f>
        <v>26600975360641.719</v>
      </c>
      <c r="T11" s="33">
        <f>BFPIaE!Y59</f>
        <v>26478618810623.844</v>
      </c>
      <c r="U11" s="33">
        <f>BFPIaE!Z59</f>
        <v>26356262260606</v>
      </c>
      <c r="V11" s="33">
        <f>BFPIaE!AA59</f>
        <v>26233905710588.125</v>
      </c>
      <c r="W11" s="33">
        <f>BFPIaE!AB59</f>
        <v>26111549160570.25</v>
      </c>
      <c r="X11" s="33">
        <f>BFPIaE!AC59</f>
        <v>25989192610552.375</v>
      </c>
      <c r="Y11" s="33">
        <f>BFPIaE!AD59</f>
        <v>25866836060534.5</v>
      </c>
      <c r="Z11" s="33">
        <f>BFPIaE!AE59</f>
        <v>25744479510516.625</v>
      </c>
      <c r="AA11" s="33">
        <f>BFPIaE!AF59</f>
        <v>25622122960498.781</v>
      </c>
      <c r="AB11" s="33">
        <f>BFPIaE!AG59</f>
        <v>25499766410480.906</v>
      </c>
      <c r="AC11" s="33">
        <f>BFPIaE!AH59</f>
        <v>25377409860463.031</v>
      </c>
      <c r="AD11" s="33">
        <f>BFPIaE!AI59</f>
        <v>25255053310445.156</v>
      </c>
      <c r="AE11" s="33">
        <f>BFPIaE!AJ59</f>
        <v>25132696760427.281</v>
      </c>
      <c r="AF11" s="33">
        <f>BFPIaE!AK59</f>
        <v>25010340210409.406</v>
      </c>
    </row>
    <row r="12" spans="1:32" x14ac:dyDescent="0.2">
      <c r="A12" s="1" t="s">
        <v>22</v>
      </c>
      <c r="B12" s="33">
        <f>BFPIaE!G60</f>
        <v>42183247352106.664</v>
      </c>
      <c r="C12" s="33">
        <f>BFPIaE!H60</f>
        <v>42183247352106.664</v>
      </c>
      <c r="D12" s="33">
        <f>BFPIaE!I60</f>
        <v>49008758682833.242</v>
      </c>
      <c r="E12" s="33">
        <f>BFPIaE!J60</f>
        <v>45520888378656</v>
      </c>
      <c r="F12" s="33">
        <f>BFPIaE!K60</f>
        <v>46781774988685.5</v>
      </c>
      <c r="G12" s="33">
        <f>BFPIaE!L60</f>
        <v>48042661598715</v>
      </c>
      <c r="H12" s="33">
        <f>BFPIaE!M60</f>
        <v>49303548208745</v>
      </c>
      <c r="I12" s="33">
        <f>BFPIaE!N60</f>
        <v>50564434818774.5</v>
      </c>
      <c r="J12" s="33">
        <f>BFPIaE!O60</f>
        <v>51825321428804.5</v>
      </c>
      <c r="K12" s="33">
        <f>BFPIaE!P60</f>
        <v>53086208038834</v>
      </c>
      <c r="L12" s="33">
        <f>BFPIaE!Q60</f>
        <v>54347094648864</v>
      </c>
      <c r="M12" s="33">
        <f>BFPIaE!R60</f>
        <v>55607981258893.5</v>
      </c>
      <c r="N12" s="33">
        <f>BFPIaE!S60</f>
        <v>56868867868923</v>
      </c>
      <c r="O12" s="33">
        <f>BFPIaE!T60</f>
        <v>58129754478953</v>
      </c>
      <c r="P12" s="33">
        <f>BFPIaE!U60</f>
        <v>59390641088982.5</v>
      </c>
      <c r="Q12" s="33">
        <f>BFPIaE!V60</f>
        <v>60651527699012.5</v>
      </c>
      <c r="R12" s="33">
        <f>BFPIaE!W60</f>
        <v>61912414309042</v>
      </c>
      <c r="S12" s="33">
        <f>BFPIaE!X60</f>
        <v>63173300919071.5</v>
      </c>
      <c r="T12" s="33">
        <f>BFPIaE!Y60</f>
        <v>64434187529101.5</v>
      </c>
      <c r="U12" s="33">
        <f>BFPIaE!Z60</f>
        <v>65695074139131</v>
      </c>
      <c r="V12" s="33">
        <f>BFPIaE!AA60</f>
        <v>66955960749161</v>
      </c>
      <c r="W12" s="33">
        <f>BFPIaE!AB60</f>
        <v>68216847359190.5</v>
      </c>
      <c r="X12" s="33">
        <f>BFPIaE!AC60</f>
        <v>69477733969220.5</v>
      </c>
      <c r="Y12" s="33">
        <f>BFPIaE!AD60</f>
        <v>70738620579250</v>
      </c>
      <c r="Z12" s="33">
        <f>BFPIaE!AE60</f>
        <v>71999507189279.5</v>
      </c>
      <c r="AA12" s="33">
        <f>BFPIaE!AF60</f>
        <v>73260393799309.5</v>
      </c>
      <c r="AB12" s="33">
        <f>BFPIaE!AG60</f>
        <v>74521280409339</v>
      </c>
      <c r="AC12" s="33">
        <f>BFPIaE!AH60</f>
        <v>75782167019369</v>
      </c>
      <c r="AD12" s="33">
        <f>BFPIaE!AI60</f>
        <v>77043053629398.5</v>
      </c>
      <c r="AE12" s="33">
        <f>BFPIaE!AJ60</f>
        <v>78303940239428</v>
      </c>
      <c r="AF12" s="33">
        <f>BFPIaE!AK60</f>
        <v>79564826849458</v>
      </c>
    </row>
    <row r="13" spans="1:32" x14ac:dyDescent="0.2">
      <c r="A13" s="1" t="s">
        <v>23</v>
      </c>
      <c r="B13" s="33">
        <f>BFPIaE!G61</f>
        <v>0</v>
      </c>
      <c r="C13" s="33">
        <f>BFPIaE!H61</f>
        <v>0</v>
      </c>
      <c r="D13" s="33">
        <f>BFPIaE!I61</f>
        <v>0</v>
      </c>
      <c r="E13" s="33">
        <f>BFPIaE!J61</f>
        <v>0</v>
      </c>
      <c r="F13" s="33">
        <f>BFPIaE!K61</f>
        <v>0</v>
      </c>
      <c r="G13" s="33">
        <f>BFPIaE!L61</f>
        <v>0</v>
      </c>
      <c r="H13" s="33">
        <f>BFPIaE!M61</f>
        <v>0</v>
      </c>
      <c r="I13" s="33">
        <f>BFPIaE!N61</f>
        <v>0</v>
      </c>
      <c r="J13" s="33">
        <f>BFPIaE!O61</f>
        <v>0</v>
      </c>
      <c r="K13" s="33">
        <f>BFPIaE!P61</f>
        <v>0</v>
      </c>
      <c r="L13" s="33">
        <f>BFPIaE!Q61</f>
        <v>0</v>
      </c>
      <c r="M13" s="33">
        <f>BFPIaE!R61</f>
        <v>0</v>
      </c>
      <c r="N13" s="33">
        <f>BFPIaE!S61</f>
        <v>0</v>
      </c>
      <c r="O13" s="33">
        <f>BFPIaE!T61</f>
        <v>0</v>
      </c>
      <c r="P13" s="33">
        <f>BFPIaE!U61</f>
        <v>0</v>
      </c>
      <c r="Q13" s="33">
        <f>BFPIaE!V61</f>
        <v>0</v>
      </c>
      <c r="R13" s="33">
        <f>BFPIaE!W61</f>
        <v>0</v>
      </c>
      <c r="S13" s="33">
        <f>BFPIaE!X61</f>
        <v>0</v>
      </c>
      <c r="T13" s="33">
        <f>BFPIaE!Y61</f>
        <v>0</v>
      </c>
      <c r="U13" s="33">
        <f>BFPIaE!Z61</f>
        <v>0</v>
      </c>
      <c r="V13" s="33">
        <f>BFPIaE!AA61</f>
        <v>0</v>
      </c>
      <c r="W13" s="33">
        <f>BFPIaE!AB61</f>
        <v>0</v>
      </c>
      <c r="X13" s="33">
        <f>BFPIaE!AC61</f>
        <v>0</v>
      </c>
      <c r="Y13" s="33">
        <f>BFPIaE!AD61</f>
        <v>0</v>
      </c>
      <c r="Z13" s="33">
        <f>BFPIaE!AE61</f>
        <v>0</v>
      </c>
      <c r="AA13" s="33">
        <f>BFPIaE!AF61</f>
        <v>0</v>
      </c>
      <c r="AB13" s="33">
        <f>BFPIaE!AG61</f>
        <v>0</v>
      </c>
      <c r="AC13" s="33">
        <f>BFPIaE!AH61</f>
        <v>0</v>
      </c>
      <c r="AD13" s="33">
        <f>BFPIaE!AI61</f>
        <v>0</v>
      </c>
      <c r="AE13" s="33">
        <f>BFPIaE!AJ61</f>
        <v>0</v>
      </c>
      <c r="AF13" s="33">
        <f>BFPIaE!AK61</f>
        <v>0</v>
      </c>
    </row>
    <row r="14" spans="1:32" x14ac:dyDescent="0.2">
      <c r="A14" s="1" t="s">
        <v>153</v>
      </c>
      <c r="B14" s="33">
        <f>BFPIaE!G62</f>
        <v>45040438141713.141</v>
      </c>
      <c r="C14" s="33">
        <f>BFPIaE!H62</f>
        <v>45040438141713.141</v>
      </c>
      <c r="D14" s="33">
        <f>BFPIaE!I62</f>
        <v>70318639988648.18</v>
      </c>
      <c r="E14" s="33">
        <f>BFPIaE!J62</f>
        <v>50627266560674</v>
      </c>
      <c r="F14" s="33">
        <f>BFPIaE!K62</f>
        <v>43985053845418</v>
      </c>
      <c r="G14" s="33">
        <f>BFPIaE!L62</f>
        <v>37342841130164</v>
      </c>
      <c r="H14" s="33">
        <f>BFPIaE!M62</f>
        <v>30700628414908</v>
      </c>
      <c r="I14" s="33">
        <f>BFPIaE!N62</f>
        <v>24058415699652</v>
      </c>
      <c r="J14" s="33">
        <f>BFPIaE!O62</f>
        <v>17416202984396</v>
      </c>
      <c r="K14" s="33">
        <f>BFPIaE!P62</f>
        <v>10773990269140</v>
      </c>
      <c r="L14" s="33">
        <f>BFPIaE!Q62</f>
        <v>4131777553884</v>
      </c>
      <c r="M14" s="33">
        <f>BFPIaE!R62</f>
        <v>4131777553884</v>
      </c>
      <c r="N14" s="33">
        <f>BFPIaE!S62</f>
        <v>4131777553884</v>
      </c>
      <c r="O14" s="33">
        <f>BFPIaE!T62</f>
        <v>4131777553884</v>
      </c>
      <c r="P14" s="33">
        <f>BFPIaE!U62</f>
        <v>4131777553884</v>
      </c>
      <c r="Q14" s="33">
        <f>BFPIaE!V62</f>
        <v>4131777553884</v>
      </c>
      <c r="R14" s="33">
        <f>BFPIaE!W62</f>
        <v>4131777553884</v>
      </c>
      <c r="S14" s="33">
        <f>BFPIaE!X62</f>
        <v>4131777553884</v>
      </c>
      <c r="T14" s="33">
        <f>BFPIaE!Y62</f>
        <v>4131777553884</v>
      </c>
      <c r="U14" s="33">
        <f>BFPIaE!Z62</f>
        <v>4131777553884</v>
      </c>
      <c r="V14" s="33">
        <f>BFPIaE!AA62</f>
        <v>4131777553884</v>
      </c>
      <c r="W14" s="33">
        <f>BFPIaE!AB62</f>
        <v>4131777553884</v>
      </c>
      <c r="X14" s="33">
        <f>BFPIaE!AC62</f>
        <v>4131777553884</v>
      </c>
      <c r="Y14" s="33">
        <f>BFPIaE!AD62</f>
        <v>4131777553884</v>
      </c>
      <c r="Z14" s="33">
        <f>BFPIaE!AE62</f>
        <v>4131777553884</v>
      </c>
      <c r="AA14" s="33">
        <f>BFPIaE!AF62</f>
        <v>4131777553884</v>
      </c>
      <c r="AB14" s="33">
        <f>BFPIaE!AG62</f>
        <v>4131777553884</v>
      </c>
      <c r="AC14" s="33">
        <f>BFPIaE!AH62</f>
        <v>4131777553884</v>
      </c>
      <c r="AD14" s="33">
        <f>BFPIaE!AI62</f>
        <v>4131777553884</v>
      </c>
      <c r="AE14" s="33">
        <f>BFPIaE!AJ62</f>
        <v>4131777553884</v>
      </c>
      <c r="AF14" s="33">
        <f>BFPIaE!AK62</f>
        <v>4131777553884</v>
      </c>
    </row>
    <row r="15" spans="1:32" x14ac:dyDescent="0.2">
      <c r="A15" s="1" t="s">
        <v>154</v>
      </c>
      <c r="B15" s="33">
        <f>BFPIaE!G63</f>
        <v>0</v>
      </c>
      <c r="C15" s="33">
        <f>BFPIaE!H63</f>
        <v>0</v>
      </c>
      <c r="D15" s="33">
        <f>BFPIaE!I63</f>
        <v>0</v>
      </c>
      <c r="E15" s="33">
        <f>BFPIaE!J63</f>
        <v>0</v>
      </c>
      <c r="F15" s="33">
        <f>BFPIaE!K63</f>
        <v>0</v>
      </c>
      <c r="G15" s="33">
        <f>BFPIaE!L63</f>
        <v>0</v>
      </c>
      <c r="H15" s="33">
        <f>BFPIaE!M63</f>
        <v>0</v>
      </c>
      <c r="I15" s="33">
        <f>BFPIaE!N63</f>
        <v>0</v>
      </c>
      <c r="J15" s="33">
        <f>BFPIaE!O63</f>
        <v>0</v>
      </c>
      <c r="K15" s="33">
        <f>BFPIaE!P63</f>
        <v>0</v>
      </c>
      <c r="L15" s="33">
        <f>BFPIaE!Q63</f>
        <v>0</v>
      </c>
      <c r="M15" s="33">
        <f>BFPIaE!R63</f>
        <v>0</v>
      </c>
      <c r="N15" s="33">
        <f>BFPIaE!S63</f>
        <v>0</v>
      </c>
      <c r="O15" s="33">
        <f>BFPIaE!T63</f>
        <v>0</v>
      </c>
      <c r="P15" s="33">
        <f>BFPIaE!U63</f>
        <v>0</v>
      </c>
      <c r="Q15" s="33">
        <f>BFPIaE!V63</f>
        <v>0</v>
      </c>
      <c r="R15" s="33">
        <f>BFPIaE!W63</f>
        <v>0</v>
      </c>
      <c r="S15" s="33">
        <f>BFPIaE!X63</f>
        <v>0</v>
      </c>
      <c r="T15" s="33">
        <f>BFPIaE!Y63</f>
        <v>0</v>
      </c>
      <c r="U15" s="33">
        <f>BFPIaE!Z63</f>
        <v>0</v>
      </c>
      <c r="V15" s="33">
        <f>BFPIaE!AA63</f>
        <v>0</v>
      </c>
      <c r="W15" s="33">
        <f>BFPIaE!AB63</f>
        <v>0</v>
      </c>
      <c r="X15" s="33">
        <f>BFPIaE!AC63</f>
        <v>0</v>
      </c>
      <c r="Y15" s="33">
        <f>BFPIaE!AD63</f>
        <v>0</v>
      </c>
      <c r="Z15" s="33">
        <f>BFPIaE!AE63</f>
        <v>0</v>
      </c>
      <c r="AA15" s="33">
        <f>BFPIaE!AF63</f>
        <v>0</v>
      </c>
      <c r="AB15" s="33">
        <f>BFPIaE!AG63</f>
        <v>0</v>
      </c>
      <c r="AC15" s="33">
        <f>BFPIaE!AH63</f>
        <v>0</v>
      </c>
      <c r="AD15" s="33">
        <f>BFPIaE!AI63</f>
        <v>0</v>
      </c>
      <c r="AE15" s="33">
        <f>BFPIaE!AJ63</f>
        <v>0</v>
      </c>
      <c r="AF15" s="33">
        <f>BFPIaE!AK63</f>
        <v>0</v>
      </c>
    </row>
    <row r="16" spans="1:32" x14ac:dyDescent="0.2">
      <c r="A16" s="1" t="s">
        <v>155</v>
      </c>
      <c r="B16" s="33">
        <f>BFPIaE!G64</f>
        <v>0</v>
      </c>
      <c r="C16" s="33">
        <f>BFPIaE!H64</f>
        <v>0</v>
      </c>
      <c r="D16" s="33">
        <f>BFPIaE!I64</f>
        <v>0</v>
      </c>
      <c r="E16" s="33">
        <f>BFPIaE!J64</f>
        <v>0</v>
      </c>
      <c r="F16" s="33">
        <f>BFPIaE!K64</f>
        <v>0</v>
      </c>
      <c r="G16" s="33">
        <f>BFPIaE!L64</f>
        <v>0</v>
      </c>
      <c r="H16" s="33">
        <f>BFPIaE!M64</f>
        <v>0</v>
      </c>
      <c r="I16" s="33">
        <f>BFPIaE!N64</f>
        <v>0</v>
      </c>
      <c r="J16" s="33">
        <f>BFPIaE!O64</f>
        <v>0</v>
      </c>
      <c r="K16" s="33">
        <f>BFPIaE!P64</f>
        <v>0</v>
      </c>
      <c r="L16" s="33">
        <f>BFPIaE!Q64</f>
        <v>0</v>
      </c>
      <c r="M16" s="33">
        <f>BFPIaE!R64</f>
        <v>0</v>
      </c>
      <c r="N16" s="33">
        <f>BFPIaE!S64</f>
        <v>0</v>
      </c>
      <c r="O16" s="33">
        <f>BFPIaE!T64</f>
        <v>0</v>
      </c>
      <c r="P16" s="33">
        <f>BFPIaE!U64</f>
        <v>0</v>
      </c>
      <c r="Q16" s="33">
        <f>BFPIaE!V64</f>
        <v>0</v>
      </c>
      <c r="R16" s="33">
        <f>BFPIaE!W64</f>
        <v>0</v>
      </c>
      <c r="S16" s="33">
        <f>BFPIaE!X64</f>
        <v>0</v>
      </c>
      <c r="T16" s="33">
        <f>BFPIaE!Y64</f>
        <v>0</v>
      </c>
      <c r="U16" s="33">
        <f>BFPIaE!Z64</f>
        <v>0</v>
      </c>
      <c r="V16" s="33">
        <f>BFPIaE!AA64</f>
        <v>0</v>
      </c>
      <c r="W16" s="33">
        <f>BFPIaE!AB64</f>
        <v>0</v>
      </c>
      <c r="X16" s="33">
        <f>BFPIaE!AC64</f>
        <v>0</v>
      </c>
      <c r="Y16" s="33">
        <f>BFPIaE!AD64</f>
        <v>0</v>
      </c>
      <c r="Z16" s="33">
        <f>BFPIaE!AE64</f>
        <v>0</v>
      </c>
      <c r="AA16" s="33">
        <f>BFPIaE!AF64</f>
        <v>0</v>
      </c>
      <c r="AB16" s="33">
        <f>BFPIaE!AG64</f>
        <v>0</v>
      </c>
      <c r="AC16" s="33">
        <f>BFPIaE!AH64</f>
        <v>0</v>
      </c>
      <c r="AD16" s="33">
        <f>BFPIaE!AI64</f>
        <v>0</v>
      </c>
      <c r="AE16" s="33">
        <f>BFPIaE!AJ64</f>
        <v>0</v>
      </c>
      <c r="AF16" s="33">
        <f>BFPIaE!AK64</f>
        <v>0</v>
      </c>
    </row>
    <row r="17" spans="1:32" x14ac:dyDescent="0.2">
      <c r="A17" s="1" t="s">
        <v>59</v>
      </c>
      <c r="B17" s="33">
        <f>BFPIaE!G65</f>
        <v>0</v>
      </c>
      <c r="C17" s="33">
        <f>BFPIaE!H65</f>
        <v>0</v>
      </c>
      <c r="D17" s="33">
        <f>BFPIaE!I65</f>
        <v>0</v>
      </c>
      <c r="E17" s="33">
        <f>BFPIaE!J65</f>
        <v>0</v>
      </c>
      <c r="F17" s="33">
        <f>BFPIaE!K65</f>
        <v>0</v>
      </c>
      <c r="G17" s="33">
        <f>BFPIaE!L65</f>
        <v>0</v>
      </c>
      <c r="H17" s="33">
        <f>BFPIaE!M65</f>
        <v>0</v>
      </c>
      <c r="I17" s="33">
        <f>BFPIaE!N65</f>
        <v>0</v>
      </c>
      <c r="J17" s="33">
        <f>BFPIaE!O65</f>
        <v>0</v>
      </c>
      <c r="K17" s="33">
        <f>BFPIaE!P65</f>
        <v>0</v>
      </c>
      <c r="L17" s="33">
        <f>BFPIaE!Q65</f>
        <v>0</v>
      </c>
      <c r="M17" s="33">
        <f>BFPIaE!R65</f>
        <v>0</v>
      </c>
      <c r="N17" s="33">
        <f>BFPIaE!S65</f>
        <v>0</v>
      </c>
      <c r="O17" s="33">
        <f>BFPIaE!T65</f>
        <v>0</v>
      </c>
      <c r="P17" s="33">
        <f>BFPIaE!U65</f>
        <v>0</v>
      </c>
      <c r="Q17" s="33">
        <f>BFPIaE!V65</f>
        <v>0</v>
      </c>
      <c r="R17" s="33">
        <f>BFPIaE!W65</f>
        <v>0</v>
      </c>
      <c r="S17" s="33">
        <f>BFPIaE!X65</f>
        <v>0</v>
      </c>
      <c r="T17" s="33">
        <f>BFPIaE!Y65</f>
        <v>0</v>
      </c>
      <c r="U17" s="33">
        <f>BFPIaE!Z65</f>
        <v>0</v>
      </c>
      <c r="V17" s="33">
        <f>BFPIaE!AA65</f>
        <v>0</v>
      </c>
      <c r="W17" s="33">
        <f>BFPIaE!AB65</f>
        <v>0</v>
      </c>
      <c r="X17" s="33">
        <f>BFPIaE!AC65</f>
        <v>0</v>
      </c>
      <c r="Y17" s="33">
        <f>BFPIaE!AD65</f>
        <v>0</v>
      </c>
      <c r="Z17" s="33">
        <f>BFPIaE!AE65</f>
        <v>0</v>
      </c>
      <c r="AA17" s="33">
        <f>BFPIaE!AF65</f>
        <v>0</v>
      </c>
      <c r="AB17" s="33">
        <f>BFPIaE!AG65</f>
        <v>0</v>
      </c>
      <c r="AC17" s="33">
        <f>BFPIaE!AH65</f>
        <v>0</v>
      </c>
      <c r="AD17" s="33">
        <f>BFPIaE!AI65</f>
        <v>0</v>
      </c>
      <c r="AE17" s="33">
        <f>BFPIaE!AJ65</f>
        <v>0</v>
      </c>
      <c r="AF17" s="33">
        <f>BFPIaE!AK65</f>
        <v>0</v>
      </c>
    </row>
    <row r="18" spans="1:32" x14ac:dyDescent="0.2">
      <c r="A18" s="1" t="s">
        <v>25</v>
      </c>
      <c r="B18" s="33">
        <f>BFPIaE!G66</f>
        <v>2812944015572983</v>
      </c>
      <c r="C18" s="33">
        <f>BFPIaE!H66</f>
        <v>2812944015572983</v>
      </c>
      <c r="D18" s="33">
        <f>BFPIaE!I66</f>
        <v>2761157432511366</v>
      </c>
      <c r="E18" s="33">
        <f>BFPIaE!J66</f>
        <v>3195134384145664</v>
      </c>
      <c r="F18" s="33">
        <f>BFPIaE!K66</f>
        <v>3391124539061312</v>
      </c>
      <c r="G18" s="33">
        <f>BFPIaE!L66</f>
        <v>3587114693977024</v>
      </c>
      <c r="H18" s="33">
        <f>BFPIaE!M66</f>
        <v>3783104848892736</v>
      </c>
      <c r="I18" s="33">
        <f>BFPIaE!N66</f>
        <v>3979095003808384</v>
      </c>
      <c r="J18" s="33">
        <f>BFPIaE!O66</f>
        <v>4175085158724096</v>
      </c>
      <c r="K18" s="33">
        <f>BFPIaE!P66</f>
        <v>4371075313639808</v>
      </c>
      <c r="L18" s="33">
        <f>BFPIaE!Q66</f>
        <v>4567065468555456</v>
      </c>
      <c r="M18" s="33">
        <f>BFPIaE!R66</f>
        <v>4763055623471168</v>
      </c>
      <c r="N18" s="33">
        <f>BFPIaE!S66</f>
        <v>4959045778386880</v>
      </c>
      <c r="O18" s="33">
        <f>BFPIaE!T66</f>
        <v>5155035933302528</v>
      </c>
      <c r="P18" s="33">
        <f>BFPIaE!U66</f>
        <v>5351026088218240</v>
      </c>
      <c r="Q18" s="33">
        <f>BFPIaE!V66</f>
        <v>5547016243133952</v>
      </c>
      <c r="R18" s="33">
        <f>BFPIaE!W66</f>
        <v>5743006398049600</v>
      </c>
      <c r="S18" s="33">
        <f>BFPIaE!X66</f>
        <v>5938996552965312</v>
      </c>
      <c r="T18" s="33">
        <f>BFPIaE!Y66</f>
        <v>6134986707881024</v>
      </c>
      <c r="U18" s="33">
        <f>BFPIaE!Z66</f>
        <v>6330976862796672</v>
      </c>
      <c r="V18" s="33">
        <f>BFPIaE!AA66</f>
        <v>6526967017712384</v>
      </c>
      <c r="W18" s="33">
        <f>BFPIaE!AB66</f>
        <v>6722957172628032</v>
      </c>
      <c r="X18" s="33">
        <f>BFPIaE!AC66</f>
        <v>6918947327543744</v>
      </c>
      <c r="Y18" s="33">
        <f>BFPIaE!AD66</f>
        <v>7114937482459456</v>
      </c>
      <c r="Z18" s="33">
        <f>BFPIaE!AE66</f>
        <v>7310927637375104</v>
      </c>
      <c r="AA18" s="33">
        <f>BFPIaE!AF66</f>
        <v>7506917792290816</v>
      </c>
      <c r="AB18" s="33">
        <f>BFPIaE!AG66</f>
        <v>7702907947206528</v>
      </c>
      <c r="AC18" s="33">
        <f>BFPIaE!AH66</f>
        <v>7898898102122176</v>
      </c>
      <c r="AD18" s="33">
        <f>BFPIaE!AI66</f>
        <v>8094888257037888</v>
      </c>
      <c r="AE18" s="33">
        <f>BFPIaE!AJ66</f>
        <v>8290878411953600</v>
      </c>
      <c r="AF18" s="33">
        <f>BFPIaE!AK66</f>
        <v>8486868566869248</v>
      </c>
    </row>
    <row r="19" spans="1:32" x14ac:dyDescent="0.2">
      <c r="A19" s="1" t="s">
        <v>26</v>
      </c>
      <c r="B19" s="33">
        <f>BFPIaE!G67</f>
        <v>550961623929114.75</v>
      </c>
      <c r="C19" s="33">
        <f>BFPIaE!H67</f>
        <v>550961623929114.75</v>
      </c>
      <c r="D19" s="33">
        <f>BFPIaE!I67</f>
        <v>579057333360245</v>
      </c>
      <c r="E19" s="33">
        <f>BFPIaE!J67</f>
        <v>623518113251488</v>
      </c>
      <c r="F19" s="33">
        <f>BFPIaE!K67</f>
        <v>673498165628672</v>
      </c>
      <c r="G19" s="33">
        <f>BFPIaE!L67</f>
        <v>723478218005856</v>
      </c>
      <c r="H19" s="33">
        <f>BFPIaE!M67</f>
        <v>773458270383040</v>
      </c>
      <c r="I19" s="33">
        <f>BFPIaE!N67</f>
        <v>823438322760224</v>
      </c>
      <c r="J19" s="33">
        <f>BFPIaE!O67</f>
        <v>873418375137408</v>
      </c>
      <c r="K19" s="33">
        <f>BFPIaE!P67</f>
        <v>923398427514576</v>
      </c>
      <c r="L19" s="33">
        <f>BFPIaE!Q67</f>
        <v>973378479891760</v>
      </c>
      <c r="M19" s="33">
        <f>BFPIaE!R67</f>
        <v>1023358532268944</v>
      </c>
      <c r="N19" s="33">
        <f>BFPIaE!S67</f>
        <v>1073338584646128</v>
      </c>
      <c r="O19" s="33">
        <f>BFPIaE!T67</f>
        <v>1123318637023312</v>
      </c>
      <c r="P19" s="33">
        <f>BFPIaE!U67</f>
        <v>1173298689400496</v>
      </c>
      <c r="Q19" s="33">
        <f>BFPIaE!V67</f>
        <v>1223278741777680</v>
      </c>
      <c r="R19" s="33">
        <f>BFPIaE!W67</f>
        <v>1273258794154864</v>
      </c>
      <c r="S19" s="33">
        <f>BFPIaE!X67</f>
        <v>1323238846532048</v>
      </c>
      <c r="T19" s="33">
        <f>BFPIaE!Y67</f>
        <v>1373218898909232</v>
      </c>
      <c r="U19" s="33">
        <f>BFPIaE!Z67</f>
        <v>1423198951286416</v>
      </c>
      <c r="V19" s="33">
        <f>BFPIaE!AA67</f>
        <v>1473179003663600</v>
      </c>
      <c r="W19" s="33">
        <f>BFPIaE!AB67</f>
        <v>1523159056040784</v>
      </c>
      <c r="X19" s="33">
        <f>BFPIaE!AC67</f>
        <v>1573139108417968</v>
      </c>
      <c r="Y19" s="33">
        <f>BFPIaE!AD67</f>
        <v>1623119160795152</v>
      </c>
      <c r="Z19" s="33">
        <f>BFPIaE!AE67</f>
        <v>1673099213172336</v>
      </c>
      <c r="AA19" s="33">
        <f>BFPIaE!AF67</f>
        <v>1723079265549520</v>
      </c>
      <c r="AB19" s="33">
        <f>BFPIaE!AG67</f>
        <v>1773059317926704</v>
      </c>
      <c r="AC19" s="33">
        <f>BFPIaE!AH67</f>
        <v>1823039370303888</v>
      </c>
      <c r="AD19" s="33">
        <f>BFPIaE!AI67</f>
        <v>1873019422681072</v>
      </c>
      <c r="AE19" s="33">
        <f>BFPIaE!AJ67</f>
        <v>1922999475058256</v>
      </c>
      <c r="AF19" s="33">
        <f>BFPIaE!AK67</f>
        <v>1972979527435440</v>
      </c>
    </row>
    <row r="20" spans="1:32" x14ac:dyDescent="0.2">
      <c r="A20" s="1" t="s">
        <v>27</v>
      </c>
      <c r="B20" s="33">
        <f>BFPIaE!G68</f>
        <v>0</v>
      </c>
      <c r="C20" s="33">
        <f>BFPIaE!H68</f>
        <v>0</v>
      </c>
      <c r="D20" s="33">
        <f>BFPIaE!I68</f>
        <v>0</v>
      </c>
      <c r="E20" s="33">
        <f>BFPIaE!J68</f>
        <v>0</v>
      </c>
      <c r="F20" s="33">
        <f>BFPIaE!K68</f>
        <v>0</v>
      </c>
      <c r="G20" s="33">
        <f>BFPIaE!L68</f>
        <v>0</v>
      </c>
      <c r="H20" s="33">
        <f>BFPIaE!M68</f>
        <v>0</v>
      </c>
      <c r="I20" s="33">
        <f>BFPIaE!N68</f>
        <v>0</v>
      </c>
      <c r="J20" s="33">
        <f>BFPIaE!O68</f>
        <v>0</v>
      </c>
      <c r="K20" s="33">
        <f>BFPIaE!P68</f>
        <v>0</v>
      </c>
      <c r="L20" s="33">
        <f>BFPIaE!Q68</f>
        <v>0</v>
      </c>
      <c r="M20" s="33">
        <f>BFPIaE!R68</f>
        <v>0</v>
      </c>
      <c r="N20" s="33">
        <f>BFPIaE!S68</f>
        <v>0</v>
      </c>
      <c r="O20" s="33">
        <f>BFPIaE!T68</f>
        <v>0</v>
      </c>
      <c r="P20" s="33">
        <f>BFPIaE!U68</f>
        <v>0</v>
      </c>
      <c r="Q20" s="33">
        <f>BFPIaE!V68</f>
        <v>0</v>
      </c>
      <c r="R20" s="33">
        <f>BFPIaE!W68</f>
        <v>0</v>
      </c>
      <c r="S20" s="33">
        <f>BFPIaE!X68</f>
        <v>0</v>
      </c>
      <c r="T20" s="33">
        <f>BFPIaE!Y68</f>
        <v>0</v>
      </c>
      <c r="U20" s="33">
        <f>BFPIaE!Z68</f>
        <v>0</v>
      </c>
      <c r="V20" s="33">
        <f>BFPIaE!AA68</f>
        <v>0</v>
      </c>
      <c r="W20" s="33">
        <f>BFPIaE!AB68</f>
        <v>0</v>
      </c>
      <c r="X20" s="33">
        <f>BFPIaE!AC68</f>
        <v>0</v>
      </c>
      <c r="Y20" s="33">
        <f>BFPIaE!AD68</f>
        <v>0</v>
      </c>
      <c r="Z20" s="33">
        <f>BFPIaE!AE68</f>
        <v>0</v>
      </c>
      <c r="AA20" s="33">
        <f>BFPIaE!AF68</f>
        <v>0</v>
      </c>
      <c r="AB20" s="33">
        <f>BFPIaE!AG68</f>
        <v>0</v>
      </c>
      <c r="AC20" s="33">
        <f>BFPIaE!AH68</f>
        <v>0</v>
      </c>
      <c r="AD20" s="33">
        <f>BFPIaE!AI68</f>
        <v>0</v>
      </c>
      <c r="AE20" s="33">
        <f>BFPIaE!AJ68</f>
        <v>0</v>
      </c>
      <c r="AF20" s="33">
        <f>BFPIaE!AK68</f>
        <v>0</v>
      </c>
    </row>
    <row r="21" spans="1:32" x14ac:dyDescent="0.2">
      <c r="A21" s="1" t="s">
        <v>156</v>
      </c>
      <c r="B21" s="33">
        <f>BFPIaE!G69</f>
        <v>0</v>
      </c>
      <c r="C21" s="33">
        <f>BFPIaE!H69</f>
        <v>0</v>
      </c>
      <c r="D21" s="33">
        <f>BFPIaE!I69</f>
        <v>0</v>
      </c>
      <c r="E21" s="33">
        <f>BFPIaE!J69</f>
        <v>0</v>
      </c>
      <c r="F21" s="33">
        <f>BFPIaE!K69</f>
        <v>0</v>
      </c>
      <c r="G21" s="33">
        <f>BFPIaE!L69</f>
        <v>0</v>
      </c>
      <c r="H21" s="33">
        <f>BFPIaE!M69</f>
        <v>0</v>
      </c>
      <c r="I21" s="33">
        <f>BFPIaE!N69</f>
        <v>0</v>
      </c>
      <c r="J21" s="33">
        <f>BFPIaE!O69</f>
        <v>0</v>
      </c>
      <c r="K21" s="33">
        <f>BFPIaE!P69</f>
        <v>0</v>
      </c>
      <c r="L21" s="33">
        <f>BFPIaE!Q69</f>
        <v>0</v>
      </c>
      <c r="M21" s="33">
        <f>BFPIaE!R69</f>
        <v>0</v>
      </c>
      <c r="N21" s="33">
        <f>BFPIaE!S69</f>
        <v>0</v>
      </c>
      <c r="O21" s="33">
        <f>BFPIaE!T69</f>
        <v>0</v>
      </c>
      <c r="P21" s="33">
        <f>BFPIaE!U69</f>
        <v>0</v>
      </c>
      <c r="Q21" s="33">
        <f>BFPIaE!V69</f>
        <v>0</v>
      </c>
      <c r="R21" s="33">
        <f>BFPIaE!W69</f>
        <v>0</v>
      </c>
      <c r="S21" s="33">
        <f>BFPIaE!X69</f>
        <v>0</v>
      </c>
      <c r="T21" s="33">
        <f>BFPIaE!Y69</f>
        <v>0</v>
      </c>
      <c r="U21" s="33">
        <f>BFPIaE!Z69</f>
        <v>0</v>
      </c>
      <c r="V21" s="33">
        <f>BFPIaE!AA69</f>
        <v>0</v>
      </c>
      <c r="W21" s="33">
        <f>BFPIaE!AB69</f>
        <v>0</v>
      </c>
      <c r="X21" s="33">
        <f>BFPIaE!AC69</f>
        <v>0</v>
      </c>
      <c r="Y21" s="33">
        <f>BFPIaE!AD69</f>
        <v>0</v>
      </c>
      <c r="Z21" s="33">
        <f>BFPIaE!AE69</f>
        <v>0</v>
      </c>
      <c r="AA21" s="33">
        <f>BFPIaE!AF69</f>
        <v>0</v>
      </c>
      <c r="AB21" s="33">
        <f>BFPIaE!AG69</f>
        <v>0</v>
      </c>
      <c r="AC21" s="33">
        <f>BFPIaE!AH69</f>
        <v>0</v>
      </c>
      <c r="AD21" s="33">
        <f>BFPIaE!AI69</f>
        <v>0</v>
      </c>
      <c r="AE21" s="33">
        <f>BFPIaE!AJ69</f>
        <v>0</v>
      </c>
      <c r="AF21" s="33">
        <f>BFPIaE!AK69</f>
        <v>0</v>
      </c>
    </row>
    <row r="22" spans="1:32" x14ac:dyDescent="0.2">
      <c r="A22" s="1" t="s">
        <v>63</v>
      </c>
      <c r="B22" s="33">
        <f>BFPIaE!G70</f>
        <v>0</v>
      </c>
      <c r="C22" s="33">
        <f>BFPIaE!H70</f>
        <v>0</v>
      </c>
      <c r="D22" s="33">
        <f>BFPIaE!I70</f>
        <v>0</v>
      </c>
      <c r="E22" s="33">
        <f>BFPIaE!J70</f>
        <v>0</v>
      </c>
      <c r="F22" s="33">
        <f>BFPIaE!K70</f>
        <v>0</v>
      </c>
      <c r="G22" s="33">
        <f>BFPIaE!L70</f>
        <v>0</v>
      </c>
      <c r="H22" s="33">
        <f>BFPIaE!M70</f>
        <v>0</v>
      </c>
      <c r="I22" s="33">
        <f>BFPIaE!N70</f>
        <v>0</v>
      </c>
      <c r="J22" s="33">
        <f>BFPIaE!O70</f>
        <v>0</v>
      </c>
      <c r="K22" s="33">
        <f>BFPIaE!P70</f>
        <v>0</v>
      </c>
      <c r="L22" s="33">
        <f>BFPIaE!Q70</f>
        <v>0</v>
      </c>
      <c r="M22" s="33">
        <f>BFPIaE!R70</f>
        <v>0</v>
      </c>
      <c r="N22" s="33">
        <f>BFPIaE!S70</f>
        <v>0</v>
      </c>
      <c r="O22" s="33">
        <f>BFPIaE!T70</f>
        <v>0</v>
      </c>
      <c r="P22" s="33">
        <f>BFPIaE!U70</f>
        <v>0</v>
      </c>
      <c r="Q22" s="33">
        <f>BFPIaE!V70</f>
        <v>0</v>
      </c>
      <c r="R22" s="33">
        <f>BFPIaE!W70</f>
        <v>0</v>
      </c>
      <c r="S22" s="33">
        <f>BFPIaE!X70</f>
        <v>0</v>
      </c>
      <c r="T22" s="33">
        <f>BFPIaE!Y70</f>
        <v>0</v>
      </c>
      <c r="U22" s="33">
        <f>BFPIaE!Z70</f>
        <v>0</v>
      </c>
      <c r="V22" s="33">
        <f>BFPIaE!AA70</f>
        <v>0</v>
      </c>
      <c r="W22" s="33">
        <f>BFPIaE!AB70</f>
        <v>0</v>
      </c>
      <c r="X22" s="33">
        <f>BFPIaE!AC70</f>
        <v>0</v>
      </c>
      <c r="Y22" s="33">
        <f>BFPIaE!AD70</f>
        <v>0</v>
      </c>
      <c r="Z22" s="33">
        <f>BFPIaE!AE70</f>
        <v>0</v>
      </c>
      <c r="AA22" s="33">
        <f>BFPIaE!AF70</f>
        <v>0</v>
      </c>
      <c r="AB22" s="33">
        <f>BFPIaE!AG70</f>
        <v>0</v>
      </c>
      <c r="AC22" s="33">
        <f>BFPIaE!AH70</f>
        <v>0</v>
      </c>
      <c r="AD22" s="33">
        <f>BFPIaE!AI70</f>
        <v>0</v>
      </c>
      <c r="AE22" s="33">
        <f>BFPIaE!AJ70</f>
        <v>0</v>
      </c>
      <c r="AF22" s="33">
        <f>BFPIaE!AK70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About</vt:lpstr>
      <vt:lpstr>PDE-O&amp;G</vt:lpstr>
      <vt:lpstr>PDE Bio</vt:lpstr>
      <vt:lpstr>BEN</vt:lpstr>
      <vt:lpstr>BFPIaE-production-f</vt:lpstr>
      <vt:lpstr>BFPIaE-imports-f</vt:lpstr>
      <vt:lpstr>BFPIaE-exports-f</vt:lpstr>
      <vt:lpstr>Brazil Energy Balance</vt:lpstr>
      <vt:lpstr>BFPIaE</vt:lpstr>
      <vt:lpstr>BFPIaE-production</vt:lpstr>
      <vt:lpstr>BFPIaE-imports</vt:lpstr>
      <vt:lpstr>BFPIaE-exports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Sy, Saidou Abdoulaye</cp:lastModifiedBy>
  <cp:revision/>
  <dcterms:created xsi:type="dcterms:W3CDTF">2019-07-26T21:45:06Z</dcterms:created>
  <dcterms:modified xsi:type="dcterms:W3CDTF">2025-06-25T04:43:01Z</dcterms:modified>
  <cp:category/>
  <cp:contentStatus/>
</cp:coreProperties>
</file>