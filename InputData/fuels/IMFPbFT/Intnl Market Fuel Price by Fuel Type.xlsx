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ido\OneDrive\Documents\eps-brazil-cpl\InputData\fuels\IMFPbFT\"/>
    </mc:Choice>
  </mc:AlternateContent>
  <bookViews>
    <workbookView xWindow="-105" yWindow="-105" windowWidth="21795" windowHeight="12975" tabRatio="991" firstSheet="8" activeTab="14"/>
  </bookViews>
  <sheets>
    <sheet name="About" sheetId="1" r:id="rId1"/>
    <sheet name="AEO21 Table13" sheetId="10" r:id="rId2"/>
    <sheet name="AEO22 Table13" sheetId="19" r:id="rId3"/>
    <sheet name="AEO21 Table60" sheetId="8" r:id="rId4"/>
    <sheet name="AEO22 Table60" sheetId="20" r:id="rId5"/>
    <sheet name="Historical Monthly Gas Cons" sheetId="24" r:id="rId6"/>
    <sheet name="EIA Henry Hub Nat Gas Spot" sheetId="12" r:id="rId7"/>
    <sheet name="NG Sector Price Historicals" sheetId="22" r:id="rId8"/>
    <sheet name="NG Calcs" sheetId="23" r:id="rId9"/>
    <sheet name="Natural Gas Prices" sheetId="11" r:id="rId10"/>
    <sheet name="Pretax Fuel Prices" sheetId="5" r:id="rId11"/>
    <sheet name="Fuel Taxes" sheetId="4" r:id="rId12"/>
    <sheet name="BAU Fuel Use by Sector" sheetId="7" r:id="rId13"/>
    <sheet name="Fuel Price Data" sheetId="3" r:id="rId14"/>
    <sheet name="IMFPbFT" sheetId="2" r:id="rId15"/>
  </sheets>
  <externalReferences>
    <externalReference r:id="rId16"/>
    <externalReference r:id="rId17"/>
  </externalReferences>
  <definedNames>
    <definedName name="dollars_2020_2012">[1]About!$A$104</definedName>
    <definedName name="dollars_2021_2012">[1]About!$A$103</definedName>
    <definedName name="lignite_multiplier">'[1]Hard Coal and Lig Multipliers'!$N$15</definedName>
    <definedName name="nonlignite_multiplier" localSheetId="5">'[1]Hard Coal and Lig Multipliers'!$N$16</definedName>
    <definedName name="nonlignite_multiplier" localSheetId="8">'[1]Hard Coal and Lig Multipliers'!$N$16</definedName>
    <definedName name="nonlignite_multiplier" localSheetId="7">'[1]Hard Coal and Lig Multipliers'!$N$16</definedName>
    <definedName name="nonlignite_multiplier">'[2]Hard Coal and Lig Multipliers'!$N$15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31" i="4" l="1"/>
  <c r="AW131" i="4"/>
  <c r="AJ131" i="4"/>
  <c r="AX131" i="4"/>
  <c r="AK131" i="4"/>
  <c r="AY131" i="4"/>
  <c r="AL131" i="4"/>
  <c r="AZ131" i="4"/>
  <c r="AM131" i="4"/>
  <c r="AN131" i="4"/>
  <c r="AO131" i="4"/>
  <c r="AP131" i="4"/>
  <c r="AV131" i="4"/>
  <c r="AQ131" i="4"/>
  <c r="AR131" i="4"/>
  <c r="AS131" i="4"/>
  <c r="AT131" i="4"/>
  <c r="AU131" i="4"/>
  <c r="AH131" i="4"/>
  <c r="AG131" i="4"/>
  <c r="AG128" i="4"/>
  <c r="AH128" i="4"/>
  <c r="AV128" i="4"/>
  <c r="AI128" i="4"/>
  <c r="AW128" i="4"/>
  <c r="AJ128" i="4"/>
  <c r="AX128" i="4"/>
  <c r="AK128" i="4"/>
  <c r="AY128" i="4"/>
  <c r="AL128" i="4"/>
  <c r="AZ128" i="4"/>
  <c r="AM128" i="4"/>
  <c r="AN128" i="4"/>
  <c r="AO128" i="4"/>
  <c r="AP128" i="4"/>
  <c r="AQ128" i="4"/>
  <c r="AR128" i="4"/>
  <c r="AS128" i="4"/>
  <c r="AT128" i="4"/>
  <c r="AU128" i="4"/>
  <c r="AO14" i="4"/>
  <c r="AG4" i="2"/>
  <c r="D60" i="11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AH20" i="2"/>
  <c r="AL20" i="2"/>
  <c r="AN20" i="2"/>
  <c r="AO20" i="2"/>
  <c r="AP20" i="2"/>
  <c r="AS20" i="2"/>
  <c r="AT20" i="2"/>
  <c r="AU20" i="2"/>
  <c r="AV20" i="2"/>
  <c r="AW20" i="2"/>
  <c r="AZ20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T22" i="2"/>
  <c r="AU22" i="2"/>
  <c r="AV22" i="2"/>
  <c r="AW22" i="2"/>
  <c r="AX22" i="2"/>
  <c r="AY22" i="2"/>
  <c r="AZ22" i="2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AG123" i="3"/>
  <c r="AH123" i="3"/>
  <c r="AI123" i="3"/>
  <c r="AJ123" i="3"/>
  <c r="AK123" i="3"/>
  <c r="AL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AG127" i="3"/>
  <c r="AG20" i="2" s="1"/>
  <c r="AH127" i="3"/>
  <c r="AI127" i="3"/>
  <c r="AI20" i="2" s="1"/>
  <c r="AJ127" i="3"/>
  <c r="AJ20" i="2" s="1"/>
  <c r="AK127" i="3"/>
  <c r="AK20" i="2" s="1"/>
  <c r="AL127" i="3"/>
  <c r="AM127" i="3"/>
  <c r="AN127" i="3"/>
  <c r="AO127" i="3"/>
  <c r="AP127" i="3"/>
  <c r="AQ127" i="3"/>
  <c r="AQ20" i="2" s="1"/>
  <c r="AR127" i="3"/>
  <c r="AR20" i="2" s="1"/>
  <c r="AS127" i="3"/>
  <c r="AT127" i="3"/>
  <c r="AU127" i="3"/>
  <c r="AV127" i="3"/>
  <c r="AW127" i="3"/>
  <c r="AX127" i="3"/>
  <c r="AX20" i="2" s="1"/>
  <c r="AY127" i="3"/>
  <c r="AY20" i="2" s="1"/>
  <c r="AZ127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T143" i="3"/>
  <c r="AU143" i="3"/>
  <c r="AV143" i="3"/>
  <c r="AW143" i="3"/>
  <c r="AX143" i="3"/>
  <c r="AY143" i="3"/>
  <c r="AZ143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AN55" i="4"/>
  <c r="AZ151" i="4"/>
  <c r="AL151" i="4"/>
  <c r="AR149" i="4"/>
  <c r="AX148" i="4"/>
  <c r="AJ148" i="4"/>
  <c r="AP147" i="4"/>
  <c r="AV146" i="4"/>
  <c r="AH146" i="4"/>
  <c r="AN144" i="4"/>
  <c r="AR127" i="4"/>
  <c r="AX126" i="4"/>
  <c r="AJ126" i="4"/>
  <c r="AP124" i="4"/>
  <c r="AZ95" i="4"/>
  <c r="AL95" i="4"/>
  <c r="AR87" i="4"/>
  <c r="AX86" i="4"/>
  <c r="AJ86" i="4"/>
  <c r="AP84" i="4"/>
  <c r="AV74" i="4"/>
  <c r="AH74" i="4"/>
  <c r="AN64" i="4"/>
  <c r="AT61" i="4"/>
  <c r="AZ59" i="4"/>
  <c r="AL59" i="4"/>
  <c r="AR58" i="4"/>
  <c r="AX57" i="4"/>
  <c r="AJ57" i="4"/>
  <c r="AP56" i="4"/>
  <c r="AV55" i="4"/>
  <c r="AH55" i="4"/>
  <c r="AN54" i="4"/>
  <c r="AT44" i="4"/>
  <c r="AZ25" i="4"/>
  <c r="AL25" i="4"/>
  <c r="AR21" i="4"/>
  <c r="AX19" i="4"/>
  <c r="AJ19" i="4"/>
  <c r="AP18" i="4"/>
  <c r="AV17" i="4"/>
  <c r="AH17" i="4"/>
  <c r="AN16" i="4"/>
  <c r="AT15" i="4"/>
  <c r="AR11" i="4"/>
  <c r="AX9" i="4"/>
  <c r="AJ9" i="4"/>
  <c r="AP8" i="4"/>
  <c r="AV5" i="4"/>
  <c r="AH5" i="4"/>
  <c r="AY151" i="4"/>
  <c r="AK151" i="4"/>
  <c r="AQ149" i="4"/>
  <c r="AW148" i="4"/>
  <c r="AI148" i="4"/>
  <c r="AO147" i="4"/>
  <c r="AU146" i="4"/>
  <c r="AG146" i="4"/>
  <c r="AM144" i="4"/>
  <c r="AQ127" i="4"/>
  <c r="AW126" i="4"/>
  <c r="AI126" i="4"/>
  <c r="AO124" i="4"/>
  <c r="AY95" i="4"/>
  <c r="AK95" i="4"/>
  <c r="AQ87" i="4"/>
  <c r="AW86" i="4"/>
  <c r="AI86" i="4"/>
  <c r="AO84" i="4"/>
  <c r="AU74" i="4"/>
  <c r="AG74" i="4"/>
  <c r="AM64" i="4"/>
  <c r="AS61" i="4"/>
  <c r="AY59" i="4"/>
  <c r="AK59" i="4"/>
  <c r="AQ58" i="4"/>
  <c r="AW57" i="4"/>
  <c r="AI57" i="4"/>
  <c r="AO56" i="4"/>
  <c r="AU55" i="4"/>
  <c r="AG55" i="4"/>
  <c r="AM54" i="4"/>
  <c r="AS44" i="4"/>
  <c r="AY25" i="4"/>
  <c r="AK25" i="4"/>
  <c r="AQ21" i="4"/>
  <c r="AW19" i="4"/>
  <c r="AI19" i="4"/>
  <c r="AO18" i="4"/>
  <c r="AU17" i="4"/>
  <c r="AG17" i="4"/>
  <c r="AM16" i="4"/>
  <c r="AX151" i="4"/>
  <c r="AH151" i="4"/>
  <c r="AL149" i="4"/>
  <c r="AP148" i="4"/>
  <c r="AT147" i="4"/>
  <c r="AX146" i="4"/>
  <c r="AZ144" i="4"/>
  <c r="AJ144" i="4"/>
  <c r="AV127" i="4"/>
  <c r="AZ126" i="4"/>
  <c r="AH126" i="4"/>
  <c r="AL124" i="4"/>
  <c r="AT95" i="4"/>
  <c r="AX87" i="4"/>
  <c r="AH87" i="4"/>
  <c r="AL86" i="4"/>
  <c r="AN84" i="4"/>
  <c r="AR74" i="4"/>
  <c r="AV64" i="4"/>
  <c r="AZ61" i="4"/>
  <c r="AJ61" i="4"/>
  <c r="AN59" i="4"/>
  <c r="AP58" i="4"/>
  <c r="AT57" i="4"/>
  <c r="AX56" i="4"/>
  <c r="AH56" i="4"/>
  <c r="AL55" i="4"/>
  <c r="AP54" i="4"/>
  <c r="AR44" i="4"/>
  <c r="AV25" i="4"/>
  <c r="AZ21" i="4"/>
  <c r="AJ21" i="4"/>
  <c r="AN19" i="4"/>
  <c r="AR18" i="4"/>
  <c r="AT17" i="4"/>
  <c r="AX16" i="4"/>
  <c r="AH16" i="4"/>
  <c r="AM15" i="4"/>
  <c r="AW11" i="4"/>
  <c r="AH11" i="4"/>
  <c r="AM9" i="4"/>
  <c r="AR8" i="4"/>
  <c r="AW5" i="4"/>
  <c r="AG5" i="4"/>
  <c r="AW151" i="4"/>
  <c r="AG151" i="4"/>
  <c r="AK149" i="4"/>
  <c r="AO148" i="4"/>
  <c r="AS147" i="4"/>
  <c r="AW146" i="4"/>
  <c r="AY144" i="4"/>
  <c r="AI144" i="4"/>
  <c r="AU127" i="4"/>
  <c r="AY126" i="4"/>
  <c r="AG126" i="4"/>
  <c r="AK124" i="4"/>
  <c r="AS95" i="4"/>
  <c r="AW87" i="4"/>
  <c r="AG87" i="4"/>
  <c r="AK86" i="4"/>
  <c r="AM84" i="4"/>
  <c r="AQ74" i="4"/>
  <c r="AU64" i="4"/>
  <c r="AY61" i="4"/>
  <c r="AI61" i="4"/>
  <c r="AM59" i="4"/>
  <c r="AO58" i="4"/>
  <c r="AS57" i="4"/>
  <c r="AW56" i="4"/>
  <c r="AG56" i="4"/>
  <c r="AK55" i="4"/>
  <c r="AO54" i="4"/>
  <c r="AQ44" i="4"/>
  <c r="AU25" i="4"/>
  <c r="AY21" i="4"/>
  <c r="AI21" i="4"/>
  <c r="AM19" i="4"/>
  <c r="AQ18" i="4"/>
  <c r="AS17" i="4"/>
  <c r="AW16" i="4"/>
  <c r="AG16" i="4"/>
  <c r="AL15" i="4"/>
  <c r="AV11" i="4"/>
  <c r="AG11" i="4"/>
  <c r="AL9" i="4"/>
  <c r="AQ8" i="4"/>
  <c r="AU5" i="4"/>
  <c r="AV151" i="4"/>
  <c r="AZ149" i="4"/>
  <c r="AJ149" i="4"/>
  <c r="AN148" i="4"/>
  <c r="AR147" i="4"/>
  <c r="AT146" i="4"/>
  <c r="AX144" i="4"/>
  <c r="AH144" i="4"/>
  <c r="AT127" i="4"/>
  <c r="AV126" i="4"/>
  <c r="AZ124" i="4"/>
  <c r="AJ124" i="4"/>
  <c r="AR95" i="4"/>
  <c r="AV87" i="4"/>
  <c r="AZ86" i="4"/>
  <c r="AH86" i="4"/>
  <c r="AL84" i="4"/>
  <c r="AP74" i="4"/>
  <c r="AT64" i="4"/>
  <c r="AX61" i="4"/>
  <c r="AH61" i="4"/>
  <c r="AJ59" i="4"/>
  <c r="AN58" i="4"/>
  <c r="AR57" i="4"/>
  <c r="AV56" i="4"/>
  <c r="AZ55" i="4"/>
  <c r="AJ55" i="4"/>
  <c r="AL54" i="4"/>
  <c r="AP44" i="4"/>
  <c r="AX21" i="4"/>
  <c r="AH21" i="4"/>
  <c r="AL19" i="4"/>
  <c r="AN18" i="4"/>
  <c r="AR17" i="4"/>
  <c r="AV16" i="4"/>
  <c r="AZ15" i="4"/>
  <c r="AK15" i="4"/>
  <c r="AU11" i="4"/>
  <c r="AZ9" i="4"/>
  <c r="AK9" i="4"/>
  <c r="AO8" i="4"/>
  <c r="AT5" i="4"/>
  <c r="AU151" i="4"/>
  <c r="AY149" i="4"/>
  <c r="AI149" i="4"/>
  <c r="AM148" i="4"/>
  <c r="AQ147" i="4"/>
  <c r="AS146" i="4"/>
  <c r="AW144" i="4"/>
  <c r="AG144" i="4"/>
  <c r="AS127" i="4"/>
  <c r="AU126" i="4"/>
  <c r="AY124" i="4"/>
  <c r="AI124" i="4"/>
  <c r="AQ95" i="4"/>
  <c r="AU87" i="4"/>
  <c r="AY86" i="4"/>
  <c r="AG86" i="4"/>
  <c r="AK84" i="4"/>
  <c r="AO74" i="4"/>
  <c r="AS64" i="4"/>
  <c r="AW61" i="4"/>
  <c r="AG61" i="4"/>
  <c r="AI59" i="4"/>
  <c r="AM58" i="4"/>
  <c r="AQ57" i="4"/>
  <c r="AU56" i="4"/>
  <c r="AY55" i="4"/>
  <c r="AI55" i="4"/>
  <c r="AK54" i="4"/>
  <c r="AO44" i="4"/>
  <c r="AS25" i="4"/>
  <c r="AW21" i="4"/>
  <c r="AG21" i="4"/>
  <c r="AK19" i="4"/>
  <c r="AM18" i="4"/>
  <c r="AQ17" i="4"/>
  <c r="AU16" i="4"/>
  <c r="AY15" i="4"/>
  <c r="AJ15" i="4"/>
  <c r="AT11" i="4"/>
  <c r="AI9" i="4"/>
  <c r="AS5" i="4"/>
  <c r="AT151" i="4"/>
  <c r="AH149" i="4"/>
  <c r="AL148" i="4"/>
  <c r="AN147" i="4"/>
  <c r="AR146" i="4"/>
  <c r="AV144" i="4"/>
  <c r="AP127" i="4"/>
  <c r="AT126" i="4"/>
  <c r="AX124" i="4"/>
  <c r="AH124" i="4"/>
  <c r="AP95" i="4"/>
  <c r="AY9" i="4"/>
  <c r="AT25" i="4"/>
  <c r="AN8" i="4"/>
  <c r="AX149" i="4"/>
  <c r="AQ151" i="4"/>
  <c r="AU149" i="4"/>
  <c r="AY148" i="4"/>
  <c r="AG148" i="4"/>
  <c r="AK147" i="4"/>
  <c r="AO146" i="4"/>
  <c r="AM127" i="4"/>
  <c r="AQ126" i="4"/>
  <c r="AU124" i="4"/>
  <c r="AM95" i="4"/>
  <c r="AO87" i="4"/>
  <c r="AS86" i="4"/>
  <c r="AW84" i="4"/>
  <c r="AG84" i="4"/>
  <c r="AK74" i="4"/>
  <c r="AO64" i="4"/>
  <c r="AQ61" i="4"/>
  <c r="AU59" i="4"/>
  <c r="AY58" i="4"/>
  <c r="AI58" i="4"/>
  <c r="AM57" i="4"/>
  <c r="AQ56" i="4"/>
  <c r="AS55" i="4"/>
  <c r="AW54" i="4"/>
  <c r="AG54" i="4"/>
  <c r="AK44" i="4"/>
  <c r="AO25" i="4"/>
  <c r="AS21" i="4"/>
  <c r="AU19" i="4"/>
  <c r="AY18" i="4"/>
  <c r="AI18" i="4"/>
  <c r="AM17" i="4"/>
  <c r="AQ16" i="4"/>
  <c r="AU15" i="4"/>
  <c r="AO11" i="4"/>
  <c r="AT9" i="4"/>
  <c r="AY8" i="4"/>
  <c r="AJ8" i="4"/>
  <c r="AO5" i="4"/>
  <c r="AP151" i="4"/>
  <c r="AT149" i="4"/>
  <c r="AV148" i="4"/>
  <c r="AZ147" i="4"/>
  <c r="AJ147" i="4"/>
  <c r="AN146" i="4"/>
  <c r="AR144" i="4"/>
  <c r="AL127" i="4"/>
  <c r="AP126" i="4"/>
  <c r="AT124" i="4"/>
  <c r="AJ95" i="4"/>
  <c r="AN87" i="4"/>
  <c r="AR86" i="4"/>
  <c r="AI151" i="4"/>
  <c r="AQ148" i="4"/>
  <c r="AY146" i="4"/>
  <c r="AK144" i="4"/>
  <c r="AG127" i="4"/>
  <c r="AM124" i="4"/>
  <c r="AZ87" i="4"/>
  <c r="AP86" i="4"/>
  <c r="AI84" i="4"/>
  <c r="AY64" i="4"/>
  <c r="AR61" i="4"/>
  <c r="AP59" i="4"/>
  <c r="AH58" i="4"/>
  <c r="AY56" i="4"/>
  <c r="AQ55" i="4"/>
  <c r="AJ54" i="4"/>
  <c r="AH44" i="4"/>
  <c r="AU21" i="4"/>
  <c r="AQ19" i="4"/>
  <c r="AJ18" i="4"/>
  <c r="AZ16" i="4"/>
  <c r="AS15" i="4"/>
  <c r="AM11" i="4"/>
  <c r="AH9" i="4"/>
  <c r="AG8" i="4"/>
  <c r="AW149" i="4"/>
  <c r="AK148" i="4"/>
  <c r="AQ146" i="4"/>
  <c r="AS126" i="4"/>
  <c r="AG124" i="4"/>
  <c r="AY87" i="4"/>
  <c r="AO86" i="4"/>
  <c r="AH84" i="4"/>
  <c r="AX64" i="4"/>
  <c r="AP61" i="4"/>
  <c r="AO59" i="4"/>
  <c r="AG58" i="4"/>
  <c r="AT56" i="4"/>
  <c r="AP55" i="4"/>
  <c r="AI54" i="4"/>
  <c r="AG44" i="4"/>
  <c r="AT21" i="4"/>
  <c r="AP19" i="4"/>
  <c r="AH18" i="4"/>
  <c r="AY16" i="4"/>
  <c r="AR15" i="4"/>
  <c r="AL11" i="4"/>
  <c r="AG9" i="4"/>
  <c r="AZ5" i="4"/>
  <c r="AV149" i="4"/>
  <c r="AH148" i="4"/>
  <c r="AP146" i="4"/>
  <c r="AR126" i="4"/>
  <c r="AT87" i="4"/>
  <c r="AN86" i="4"/>
  <c r="AZ74" i="4"/>
  <c r="AW64" i="4"/>
  <c r="AO61" i="4"/>
  <c r="AH59" i="4"/>
  <c r="AZ57" i="4"/>
  <c r="AS56" i="4"/>
  <c r="AO55" i="4"/>
  <c r="AH54" i="4"/>
  <c r="AX25" i="4"/>
  <c r="AP21" i="4"/>
  <c r="AO19" i="4"/>
  <c r="AG18" i="4"/>
  <c r="AT16" i="4"/>
  <c r="AQ15" i="4"/>
  <c r="AK11" i="4"/>
  <c r="AZ8" i="4"/>
  <c r="AY5" i="4"/>
  <c r="AS149" i="4"/>
  <c r="AY147" i="4"/>
  <c r="AM146" i="4"/>
  <c r="AO126" i="4"/>
  <c r="AS87" i="4"/>
  <c r="AM86" i="4"/>
  <c r="AY74" i="4"/>
  <c r="AR64" i="4"/>
  <c r="AN61" i="4"/>
  <c r="AG59" i="4"/>
  <c r="AY57" i="4"/>
  <c r="AR56" i="4"/>
  <c r="AZ44" i="4"/>
  <c r="AW25" i="4"/>
  <c r="AO21" i="4"/>
  <c r="AH19" i="4"/>
  <c r="AZ17" i="4"/>
  <c r="AS16" i="4"/>
  <c r="AO151" i="4"/>
  <c r="AX147" i="4"/>
  <c r="AU144" i="4"/>
  <c r="AL126" i="4"/>
  <c r="AW95" i="4"/>
  <c r="AV86" i="4"/>
  <c r="AX74" i="4"/>
  <c r="AJ64" i="4"/>
  <c r="AR59" i="4"/>
  <c r="AP57" i="4"/>
  <c r="AX55" i="4"/>
  <c r="AY44" i="4"/>
  <c r="AM25" i="4"/>
  <c r="AS19" i="4"/>
  <c r="AW17" i="4"/>
  <c r="AI16" i="4"/>
  <c r="AW9" i="4"/>
  <c r="AS8" i="4"/>
  <c r="AJ5" i="4"/>
  <c r="AN151" i="4"/>
  <c r="AW147" i="4"/>
  <c r="AT144" i="4"/>
  <c r="AK126" i="4"/>
  <c r="AO149" i="4"/>
  <c r="AL147" i="4"/>
  <c r="AL144" i="4"/>
  <c r="AW127" i="4"/>
  <c r="AR124" i="4"/>
  <c r="AI95" i="4"/>
  <c r="AY84" i="4"/>
  <c r="AM74" i="4"/>
  <c r="AU61" i="4"/>
  <c r="AV58" i="4"/>
  <c r="AH57" i="4"/>
  <c r="AZ54" i="4"/>
  <c r="AN44" i="4"/>
  <c r="AV21" i="4"/>
  <c r="AW18" i="4"/>
  <c r="AK17" i="4"/>
  <c r="AO15" i="4"/>
  <c r="AZ11" i="4"/>
  <c r="AQ9" i="4"/>
  <c r="AH8" i="4"/>
  <c r="AN149" i="4"/>
  <c r="AI147" i="4"/>
  <c r="AO127" i="4"/>
  <c r="AQ124" i="4"/>
  <c r="AH95" i="4"/>
  <c r="AX84" i="4"/>
  <c r="AL74" i="4"/>
  <c r="AM61" i="4"/>
  <c r="AU58" i="4"/>
  <c r="AG57" i="4"/>
  <c r="AY54" i="4"/>
  <c r="AM44" i="4"/>
  <c r="AN21" i="4"/>
  <c r="AV18" i="4"/>
  <c r="AJ17" i="4"/>
  <c r="AN15" i="4"/>
  <c r="AY11" i="4"/>
  <c r="AP9" i="4"/>
  <c r="AX5" i="4"/>
  <c r="AM149" i="4"/>
  <c r="AH147" i="4"/>
  <c r="AN127" i="4"/>
  <c r="AN124" i="4"/>
  <c r="AG95" i="4"/>
  <c r="AV84" i="4"/>
  <c r="AJ74" i="4"/>
  <c r="AL61" i="4"/>
  <c r="AT58" i="4"/>
  <c r="AZ56" i="4"/>
  <c r="AX54" i="4"/>
  <c r="AL44" i="4"/>
  <c r="AM21" i="4"/>
  <c r="AU18" i="4"/>
  <c r="AI17" i="4"/>
  <c r="AI15" i="4"/>
  <c r="AX11" i="4"/>
  <c r="AO9" i="4"/>
  <c r="AR5" i="4"/>
  <c r="AG149" i="4"/>
  <c r="AG147" i="4"/>
  <c r="AK127" i="4"/>
  <c r="AP87" i="4"/>
  <c r="AU84" i="4"/>
  <c r="AI74" i="4"/>
  <c r="AK61" i="4"/>
  <c r="AS58" i="4"/>
  <c r="AN56" i="4"/>
  <c r="AV54" i="4"/>
  <c r="AJ44" i="4"/>
  <c r="AL21" i="4"/>
  <c r="AT18" i="4"/>
  <c r="AR16" i="4"/>
  <c r="AH15" i="4"/>
  <c r="AS11" i="4"/>
  <c r="AN9" i="4"/>
  <c r="AQ5" i="4"/>
  <c r="AZ148" i="4"/>
  <c r="AZ146" i="4"/>
  <c r="AJ127" i="4"/>
  <c r="AM87" i="4"/>
  <c r="AT84" i="4"/>
  <c r="AZ64" i="4"/>
  <c r="AX59" i="4"/>
  <c r="AL58" i="4"/>
  <c r="AM56" i="4"/>
  <c r="AU54" i="4"/>
  <c r="AI44" i="4"/>
  <c r="AK21" i="4"/>
  <c r="AS18" i="4"/>
  <c r="AP16" i="4"/>
  <c r="AG15" i="4"/>
  <c r="AQ11" i="4"/>
  <c r="AX8" i="4"/>
  <c r="AP5" i="4"/>
  <c r="AU148" i="4"/>
  <c r="AL146" i="4"/>
  <c r="AI127" i="4"/>
  <c r="AR148" i="4"/>
  <c r="AY127" i="4"/>
  <c r="AN95" i="4"/>
  <c r="AT74" i="4"/>
  <c r="AS59" i="4"/>
  <c r="AK56" i="4"/>
  <c r="AU44" i="4"/>
  <c r="AG19" i="4"/>
  <c r="AJ16" i="4"/>
  <c r="AN11" i="4"/>
  <c r="AI8" i="4"/>
  <c r="AV147" i="4"/>
  <c r="AX127" i="4"/>
  <c r="AL87" i="4"/>
  <c r="AS74" i="4"/>
  <c r="AQ59" i="4"/>
  <c r="AJ56" i="4"/>
  <c r="AR25" i="4"/>
  <c r="AZ18" i="4"/>
  <c r="AX15" i="4"/>
  <c r="AJ11" i="4"/>
  <c r="AN5" i="4"/>
  <c r="AU147" i="4"/>
  <c r="AH127" i="4"/>
  <c r="AK87" i="4"/>
  <c r="AN74" i="4"/>
  <c r="AZ58" i="4"/>
  <c r="AI56" i="4"/>
  <c r="AQ25" i="4"/>
  <c r="AX18" i="4"/>
  <c r="AW15" i="4"/>
  <c r="AI11" i="4"/>
  <c r="AM5" i="4"/>
  <c r="AM147" i="4"/>
  <c r="AN126" i="4"/>
  <c r="AJ87" i="4"/>
  <c r="AQ64" i="4"/>
  <c r="AX58" i="4"/>
  <c r="AW55" i="4"/>
  <c r="AP25" i="4"/>
  <c r="AL18" i="4"/>
  <c r="AV15" i="4"/>
  <c r="AV9" i="4"/>
  <c r="AL5" i="4"/>
  <c r="AK146" i="4"/>
  <c r="AM126" i="4"/>
  <c r="AI87" i="4"/>
  <c r="AP64" i="4"/>
  <c r="AW58" i="4"/>
  <c r="AT55" i="4"/>
  <c r="AN25" i="4"/>
  <c r="AK18" i="4"/>
  <c r="AP15" i="4"/>
  <c r="AU9" i="4"/>
  <c r="AK5" i="4"/>
  <c r="AJ146" i="4"/>
  <c r="AW124" i="4"/>
  <c r="AU86" i="4"/>
  <c r="AL64" i="4"/>
  <c r="AK58" i="4"/>
  <c r="AR55" i="4"/>
  <c r="AJ25" i="4"/>
  <c r="AY17" i="4"/>
  <c r="AS9" i="4"/>
  <c r="AI5" i="4"/>
  <c r="AI146" i="4"/>
  <c r="AV124" i="4"/>
  <c r="AT86" i="4"/>
  <c r="AK64" i="4"/>
  <c r="AJ58" i="4"/>
  <c r="AM55" i="4"/>
  <c r="AI25" i="4"/>
  <c r="AX17" i="4"/>
  <c r="AR9" i="4"/>
  <c r="AS151" i="4"/>
  <c r="AQ144" i="4"/>
  <c r="AS124" i="4"/>
  <c r="AQ86" i="4"/>
  <c r="AI64" i="4"/>
  <c r="AV57" i="4"/>
  <c r="AT54" i="4"/>
  <c r="AH25" i="4"/>
  <c r="AP17" i="4"/>
  <c r="AW8" i="4"/>
  <c r="AR151" i="4"/>
  <c r="AP144" i="4"/>
  <c r="AZ84" i="4"/>
  <c r="AH64" i="4"/>
  <c r="AU57" i="4"/>
  <c r="AS54" i="4"/>
  <c r="AG25" i="4"/>
  <c r="AO17" i="4"/>
  <c r="AV8" i="4"/>
  <c r="AM151" i="4"/>
  <c r="AO144" i="4"/>
  <c r="AS84" i="4"/>
  <c r="AG64" i="4"/>
  <c r="AO57" i="4"/>
  <c r="AR54" i="4"/>
  <c r="AZ19" i="4"/>
  <c r="AN17" i="4"/>
  <c r="AU8" i="4"/>
  <c r="AJ151" i="4"/>
  <c r="AX95" i="4"/>
  <c r="AR84" i="4"/>
  <c r="AV61" i="4"/>
  <c r="AN57" i="4"/>
  <c r="AQ54" i="4"/>
  <c r="AY19" i="4"/>
  <c r="AL17" i="4"/>
  <c r="AT8" i="4"/>
  <c r="AP149" i="4"/>
  <c r="AV95" i="4"/>
  <c r="AQ84" i="4"/>
  <c r="AW59" i="4"/>
  <c r="AL57" i="4"/>
  <c r="AX44" i="4"/>
  <c r="AV19" i="4"/>
  <c r="AO16" i="4"/>
  <c r="AM8" i="4"/>
  <c r="AT148" i="4"/>
  <c r="AU95" i="4"/>
  <c r="AJ84" i="4"/>
  <c r="AV59" i="4"/>
  <c r="AK57" i="4"/>
  <c r="AW44" i="4"/>
  <c r="AT19" i="4"/>
  <c r="AL16" i="4"/>
  <c r="AL8" i="4"/>
  <c r="AS148" i="4"/>
  <c r="AZ127" i="4"/>
  <c r="AO95" i="4"/>
  <c r="AW74" i="4"/>
  <c r="AT59" i="4"/>
  <c r="AL56" i="4"/>
  <c r="AV44" i="4"/>
  <c r="AR19" i="4"/>
  <c r="AK16" i="4"/>
  <c r="AP11" i="4"/>
  <c r="AK8" i="4"/>
  <c r="AL144" i="5"/>
  <c r="AZ144" i="5"/>
  <c r="AV146" i="5"/>
  <c r="AR147" i="5"/>
  <c r="AN148" i="5"/>
  <c r="AJ149" i="5"/>
  <c r="AX149" i="5"/>
  <c r="AT151" i="5"/>
  <c r="AM144" i="5"/>
  <c r="AI146" i="5"/>
  <c r="AW146" i="5"/>
  <c r="AS147" i="5"/>
  <c r="AO148" i="5"/>
  <c r="AK149" i="5"/>
  <c r="AY149" i="5"/>
  <c r="AU151" i="5"/>
  <c r="AN144" i="5"/>
  <c r="AJ146" i="5"/>
  <c r="AX146" i="5"/>
  <c r="AT147" i="5"/>
  <c r="AP148" i="5"/>
  <c r="AL149" i="5"/>
  <c r="AZ149" i="5"/>
  <c r="AV151" i="5"/>
  <c r="AO144" i="5"/>
  <c r="AK146" i="5"/>
  <c r="AY146" i="5"/>
  <c r="AU147" i="5"/>
  <c r="AQ148" i="5"/>
  <c r="AM149" i="5"/>
  <c r="AI151" i="5"/>
  <c r="AW151" i="5"/>
  <c r="AP144" i="5"/>
  <c r="AL146" i="5"/>
  <c r="AZ146" i="5"/>
  <c r="AV147" i="5"/>
  <c r="AR148" i="5"/>
  <c r="AN149" i="5"/>
  <c r="AJ151" i="5"/>
  <c r="AX151" i="5"/>
  <c r="AQ144" i="5"/>
  <c r="AM146" i="5"/>
  <c r="AI147" i="5"/>
  <c r="AW147" i="5"/>
  <c r="AS148" i="5"/>
  <c r="AO149" i="5"/>
  <c r="AK151" i="5"/>
  <c r="AY151" i="5"/>
  <c r="AR144" i="5"/>
  <c r="AN146" i="5"/>
  <c r="AJ147" i="5"/>
  <c r="AX147" i="5"/>
  <c r="AT148" i="5"/>
  <c r="AP149" i="5"/>
  <c r="AL151" i="5"/>
  <c r="AZ151" i="5"/>
  <c r="AS144" i="5"/>
  <c r="AO146" i="5"/>
  <c r="AK147" i="5"/>
  <c r="AY147" i="5"/>
  <c r="AU148" i="5"/>
  <c r="AQ149" i="5"/>
  <c r="AM151" i="5"/>
  <c r="AT144" i="5"/>
  <c r="AP146" i="5"/>
  <c r="AL147" i="5"/>
  <c r="AZ147" i="5"/>
  <c r="AV148" i="5"/>
  <c r="AR149" i="5"/>
  <c r="AN151" i="5"/>
  <c r="AU144" i="5"/>
  <c r="AQ146" i="5"/>
  <c r="AM147" i="5"/>
  <c r="AI148" i="5"/>
  <c r="AW148" i="5"/>
  <c r="AS149" i="5"/>
  <c r="AO151" i="5"/>
  <c r="AV144" i="5"/>
  <c r="AR146" i="5"/>
  <c r="AN147" i="5"/>
  <c r="AJ148" i="5"/>
  <c r="AX148" i="5"/>
  <c r="AT149" i="5"/>
  <c r="AP151" i="5"/>
  <c r="AI144" i="5"/>
  <c r="AW144" i="5"/>
  <c r="AS146" i="5"/>
  <c r="AO147" i="5"/>
  <c r="AK148" i="5"/>
  <c r="AY148" i="5"/>
  <c r="AU149" i="5"/>
  <c r="AQ151" i="5"/>
  <c r="AJ144" i="5"/>
  <c r="AX144" i="5"/>
  <c r="AT146" i="5"/>
  <c r="AP147" i="5"/>
  <c r="AL148" i="5"/>
  <c r="AZ148" i="5"/>
  <c r="AV149" i="5"/>
  <c r="AR151" i="5"/>
  <c r="AK144" i="5"/>
  <c r="AY144" i="5"/>
  <c r="AU146" i="5"/>
  <c r="AQ147" i="5"/>
  <c r="AM148" i="5"/>
  <c r="AI149" i="5"/>
  <c r="AW149" i="5"/>
  <c r="AS151" i="5"/>
  <c r="AH151" i="5"/>
  <c r="AH146" i="5"/>
  <c r="AH147" i="5"/>
  <c r="AH148" i="5"/>
  <c r="AH149" i="5"/>
  <c r="AH144" i="5"/>
  <c r="AG151" i="5"/>
  <c r="AG149" i="5"/>
  <c r="AG148" i="5"/>
  <c r="AG147" i="5"/>
  <c r="AG146" i="5"/>
  <c r="AG144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AS144" i="4"/>
  <c r="AM124" i="5"/>
  <c r="AG14" i="5"/>
  <c r="AH14" i="4"/>
  <c r="AV14" i="4"/>
  <c r="AI14" i="4"/>
  <c r="AW14" i="4"/>
  <c r="AJ14" i="4"/>
  <c r="AX14" i="4"/>
  <c r="AK14" i="4"/>
  <c r="AY14" i="4"/>
  <c r="AL14" i="4"/>
  <c r="AZ14" i="4"/>
  <c r="AM14" i="4"/>
  <c r="AN14" i="4"/>
  <c r="AP14" i="4"/>
  <c r="AQ14" i="4"/>
  <c r="AR14" i="4"/>
  <c r="AS14" i="4"/>
  <c r="AT14" i="4"/>
  <c r="AU14" i="4"/>
  <c r="AG14" i="4"/>
  <c r="AH115" i="5"/>
  <c r="AV115" i="5"/>
  <c r="AI115" i="5"/>
  <c r="AW115" i="5"/>
  <c r="AQ115" i="5"/>
  <c r="AJ115" i="5"/>
  <c r="AX115" i="5"/>
  <c r="AK115" i="5"/>
  <c r="AY115" i="5"/>
  <c r="AL115" i="5"/>
  <c r="AZ115" i="5"/>
  <c r="AT115" i="5"/>
  <c r="AM115" i="5"/>
  <c r="AN115" i="5"/>
  <c r="AO115" i="5"/>
  <c r="AP115" i="5"/>
  <c r="AR115" i="5"/>
  <c r="AS115" i="5"/>
  <c r="AU115" i="5"/>
  <c r="AG115" i="5"/>
  <c r="AH114" i="5"/>
  <c r="AV114" i="5"/>
  <c r="AI114" i="5"/>
  <c r="AW114" i="5"/>
  <c r="AJ114" i="5"/>
  <c r="AX114" i="5"/>
  <c r="AK114" i="5"/>
  <c r="AY114" i="5"/>
  <c r="AL114" i="5"/>
  <c r="AZ114" i="5"/>
  <c r="AM114" i="5"/>
  <c r="AN114" i="5"/>
  <c r="AO114" i="5"/>
  <c r="AP114" i="5"/>
  <c r="AQ114" i="5"/>
  <c r="AR114" i="5"/>
  <c r="AS114" i="5"/>
  <c r="AT114" i="5"/>
  <c r="AU114" i="5"/>
  <c r="AG114" i="5"/>
  <c r="AU13" i="3" l="1"/>
  <c r="AT13" i="3"/>
  <c r="AS13" i="3"/>
  <c r="AR13" i="3"/>
  <c r="AQ13" i="3"/>
  <c r="AP13" i="3"/>
  <c r="AO13" i="3"/>
  <c r="AN13" i="3"/>
  <c r="AM13" i="3"/>
  <c r="AZ13" i="3"/>
  <c r="AL13" i="3"/>
  <c r="AY13" i="3"/>
  <c r="AK13" i="3"/>
  <c r="AX13" i="3"/>
  <c r="AJ13" i="3"/>
  <c r="AW13" i="3"/>
  <c r="AI13" i="3"/>
  <c r="AV13" i="3"/>
  <c r="AH13" i="3"/>
  <c r="AU114" i="3"/>
  <c r="AS114" i="3"/>
  <c r="AR114" i="3"/>
  <c r="AP114" i="3"/>
  <c r="AO114" i="3"/>
  <c r="AN114" i="3"/>
  <c r="AM114" i="3"/>
  <c r="AT114" i="3"/>
  <c r="AZ114" i="3"/>
  <c r="AL114" i="3"/>
  <c r="AY114" i="3"/>
  <c r="AK114" i="3"/>
  <c r="AX114" i="3"/>
  <c r="AJ114" i="3"/>
  <c r="AQ114" i="3"/>
  <c r="AW114" i="3"/>
  <c r="AI114" i="3"/>
  <c r="AV114" i="3"/>
  <c r="AH114" i="3"/>
  <c r="AG114" i="3"/>
  <c r="AU113" i="3"/>
  <c r="AU19" i="2" s="1"/>
  <c r="AT113" i="3"/>
  <c r="AT19" i="2" s="1"/>
  <c r="AS113" i="3"/>
  <c r="AS19" i="2" s="1"/>
  <c r="AR113" i="3"/>
  <c r="AR19" i="2" s="1"/>
  <c r="AQ113" i="3"/>
  <c r="AQ19" i="2" s="1"/>
  <c r="AP113" i="3"/>
  <c r="AP19" i="2" s="1"/>
  <c r="AO113" i="3"/>
  <c r="AO19" i="2" s="1"/>
  <c r="AN113" i="3"/>
  <c r="AN19" i="2" s="1"/>
  <c r="AM113" i="3"/>
  <c r="AM19" i="2" s="1"/>
  <c r="AZ113" i="3"/>
  <c r="AZ19" i="2" s="1"/>
  <c r="AL113" i="3"/>
  <c r="AL19" i="2" s="1"/>
  <c r="AY113" i="3"/>
  <c r="AY19" i="2" s="1"/>
  <c r="AK113" i="3"/>
  <c r="AK19" i="2" s="1"/>
  <c r="AX113" i="3"/>
  <c r="AX19" i="2" s="1"/>
  <c r="AJ113" i="3"/>
  <c r="AJ19" i="2" s="1"/>
  <c r="AW113" i="3"/>
  <c r="AW19" i="2" s="1"/>
  <c r="AI113" i="3"/>
  <c r="AI19" i="2" s="1"/>
  <c r="AV113" i="3"/>
  <c r="AV19" i="2" s="1"/>
  <c r="AH113" i="3"/>
  <c r="AH19" i="2" s="1"/>
  <c r="AG113" i="3"/>
  <c r="AG19" i="2" s="1"/>
  <c r="AS143" i="3"/>
  <c r="AS22" i="2" s="1"/>
  <c r="AM123" i="3"/>
  <c r="AM20" i="2" s="1"/>
  <c r="AG13" i="3"/>
  <c r="AG2" i="3"/>
  <c r="AG1" i="2" s="1"/>
  <c r="AH2" i="3"/>
  <c r="AH1" i="2" s="1"/>
  <c r="AI2" i="3"/>
  <c r="AI1" i="2" s="1"/>
  <c r="AJ2" i="3"/>
  <c r="AK2" i="3"/>
  <c r="AL2" i="3"/>
  <c r="AM2" i="3"/>
  <c r="AN2" i="3"/>
  <c r="AO2" i="3"/>
  <c r="AP2" i="3"/>
  <c r="AQ2" i="3"/>
  <c r="AR2" i="3"/>
  <c r="AR1" i="2" s="1"/>
  <c r="AS2" i="3"/>
  <c r="AS1" i="2" s="1"/>
  <c r="AT2" i="3"/>
  <c r="AT1" i="2" s="1"/>
  <c r="AU2" i="3"/>
  <c r="AU1" i="2" s="1"/>
  <c r="AV2" i="3"/>
  <c r="AV1" i="2" s="1"/>
  <c r="AW2" i="3"/>
  <c r="AW1" i="2" s="1"/>
  <c r="AX2" i="3"/>
  <c r="AY2" i="3"/>
  <c r="AZ2" i="3"/>
  <c r="AZ1" i="2" s="1"/>
  <c r="AJ1" i="2"/>
  <c r="AK1" i="2"/>
  <c r="AL1" i="2"/>
  <c r="AM1" i="2"/>
  <c r="AN1" i="2"/>
  <c r="AO1" i="2"/>
  <c r="AP1" i="2"/>
  <c r="AQ1" i="2"/>
  <c r="AX1" i="2"/>
  <c r="AY1" i="2"/>
  <c r="B3" i="23" a="1"/>
  <c r="B3" i="23" s="1"/>
  <c r="B4" i="23" a="1"/>
  <c r="B4" i="23" s="1"/>
  <c r="B5" i="23" a="1"/>
  <c r="B5" i="23" s="1"/>
  <c r="B6" i="23" a="1"/>
  <c r="B6" i="23" s="1"/>
  <c r="B7" i="23" a="1"/>
  <c r="B7" i="23" s="1"/>
  <c r="B8" i="23" a="1"/>
  <c r="B8" i="23" s="1"/>
  <c r="B9" i="23" a="1"/>
  <c r="B9" i="23" s="1"/>
  <c r="B10" i="23" a="1"/>
  <c r="B10" i="23" s="1"/>
  <c r="B11" i="23" a="1"/>
  <c r="B11" i="23" s="1"/>
  <c r="B12" i="23" a="1"/>
  <c r="B12" i="23" s="1"/>
  <c r="B13" i="23" a="1"/>
  <c r="B13" i="23" s="1"/>
  <c r="B2" i="23" a="1"/>
  <c r="B2" i="23" s="1"/>
  <c r="C4" i="24"/>
  <c r="D4" i="24"/>
  <c r="C5" i="24"/>
  <c r="D5" i="24"/>
  <c r="C6" i="24"/>
  <c r="D6" i="24"/>
  <c r="C7" i="24"/>
  <c r="D7" i="24"/>
  <c r="C8" i="24"/>
  <c r="D8" i="24"/>
  <c r="C9" i="24"/>
  <c r="D9" i="24"/>
  <c r="C10" i="24"/>
  <c r="D10" i="24"/>
  <c r="C11" i="24"/>
  <c r="D11" i="24"/>
  <c r="C12" i="24"/>
  <c r="D12" i="24"/>
  <c r="C13" i="24"/>
  <c r="D13" i="24"/>
  <c r="C14" i="24"/>
  <c r="D14" i="24"/>
  <c r="C15" i="24"/>
  <c r="D15" i="24"/>
  <c r="C16" i="24"/>
  <c r="D16" i="24"/>
  <c r="C17" i="24"/>
  <c r="D17" i="24"/>
  <c r="C18" i="24"/>
  <c r="D18" i="24"/>
  <c r="C19" i="24"/>
  <c r="D19" i="24"/>
  <c r="C20" i="24"/>
  <c r="D20" i="24"/>
  <c r="C21" i="24"/>
  <c r="D21" i="24"/>
  <c r="C22" i="24"/>
  <c r="D22" i="24"/>
  <c r="C23" i="24"/>
  <c r="D23" i="24"/>
  <c r="C24" i="24"/>
  <c r="D24" i="24"/>
  <c r="C25" i="24"/>
  <c r="D25" i="24"/>
  <c r="C26" i="24"/>
  <c r="D26" i="24"/>
  <c r="C27" i="24"/>
  <c r="D27" i="24"/>
  <c r="C28" i="24"/>
  <c r="D28" i="24"/>
  <c r="C29" i="24"/>
  <c r="D29" i="24"/>
  <c r="C30" i="24"/>
  <c r="D30" i="24"/>
  <c r="C31" i="24"/>
  <c r="D31" i="24"/>
  <c r="C32" i="24"/>
  <c r="D32" i="24"/>
  <c r="C33" i="24"/>
  <c r="D33" i="24"/>
  <c r="C34" i="24"/>
  <c r="D34" i="24"/>
  <c r="C35" i="24"/>
  <c r="D35" i="24"/>
  <c r="C36" i="24"/>
  <c r="D36" i="24"/>
  <c r="C37" i="24"/>
  <c r="D37" i="24"/>
  <c r="C38" i="24"/>
  <c r="D38" i="24"/>
  <c r="C39" i="24"/>
  <c r="D39" i="24"/>
  <c r="C40" i="24"/>
  <c r="D40" i="24"/>
  <c r="C41" i="24"/>
  <c r="D41" i="24"/>
  <c r="C42" i="24"/>
  <c r="D42" i="24"/>
  <c r="C43" i="24"/>
  <c r="D43" i="24"/>
  <c r="C44" i="24"/>
  <c r="D44" i="24"/>
  <c r="C45" i="24"/>
  <c r="D45" i="24"/>
  <c r="C46" i="24"/>
  <c r="D46" i="24"/>
  <c r="C47" i="24"/>
  <c r="D47" i="24"/>
  <c r="C48" i="24"/>
  <c r="D48" i="24"/>
  <c r="C49" i="24"/>
  <c r="D49" i="24"/>
  <c r="C50" i="24"/>
  <c r="D50" i="24"/>
  <c r="C51" i="24"/>
  <c r="D51" i="24"/>
  <c r="C52" i="24"/>
  <c r="D52" i="24"/>
  <c r="C53" i="24"/>
  <c r="D53" i="24"/>
  <c r="C54" i="24"/>
  <c r="D54" i="24"/>
  <c r="C55" i="24"/>
  <c r="D55" i="24"/>
  <c r="C56" i="24"/>
  <c r="D56" i="24"/>
  <c r="C57" i="24"/>
  <c r="D57" i="24"/>
  <c r="C58" i="24"/>
  <c r="D58" i="24"/>
  <c r="C59" i="24"/>
  <c r="D59" i="24"/>
  <c r="C60" i="24"/>
  <c r="D60" i="24"/>
  <c r="C61" i="24"/>
  <c r="D61" i="24"/>
  <c r="C62" i="24"/>
  <c r="D62" i="24"/>
  <c r="C63" i="24"/>
  <c r="D63" i="24"/>
  <c r="C64" i="24"/>
  <c r="D64" i="24"/>
  <c r="C65" i="24"/>
  <c r="D65" i="24"/>
  <c r="C66" i="24"/>
  <c r="D66" i="24"/>
  <c r="C67" i="24"/>
  <c r="D67" i="24"/>
  <c r="C68" i="24"/>
  <c r="D68" i="24"/>
  <c r="C69" i="24"/>
  <c r="D69" i="24"/>
  <c r="C70" i="24"/>
  <c r="D70" i="24"/>
  <c r="C71" i="24"/>
  <c r="D71" i="24"/>
  <c r="C72" i="24"/>
  <c r="D72" i="24"/>
  <c r="C73" i="24"/>
  <c r="D73" i="24"/>
  <c r="C74" i="24"/>
  <c r="D74" i="24"/>
  <c r="C75" i="24"/>
  <c r="D75" i="24"/>
  <c r="C76" i="24"/>
  <c r="D76" i="24"/>
  <c r="C77" i="24"/>
  <c r="D77" i="24"/>
  <c r="C78" i="24"/>
  <c r="D78" i="24"/>
  <c r="C79" i="24"/>
  <c r="D79" i="24"/>
  <c r="C80" i="24"/>
  <c r="D80" i="24"/>
  <c r="C81" i="24"/>
  <c r="D81" i="24"/>
  <c r="C82" i="24"/>
  <c r="D82" i="24"/>
  <c r="C83" i="24"/>
  <c r="D83" i="24"/>
  <c r="C84" i="24"/>
  <c r="D84" i="24"/>
  <c r="C85" i="24"/>
  <c r="D85" i="24"/>
  <c r="C86" i="24"/>
  <c r="D86" i="24"/>
  <c r="C87" i="24"/>
  <c r="D87" i="24"/>
  <c r="C88" i="24"/>
  <c r="D88" i="24"/>
  <c r="C89" i="24"/>
  <c r="D89" i="24"/>
  <c r="C90" i="24"/>
  <c r="D90" i="24"/>
  <c r="C91" i="24"/>
  <c r="D91" i="24"/>
  <c r="C92" i="24"/>
  <c r="D92" i="24"/>
  <c r="C93" i="24"/>
  <c r="D93" i="24"/>
  <c r="C94" i="24"/>
  <c r="D94" i="24"/>
  <c r="C95" i="24"/>
  <c r="D95" i="24"/>
  <c r="C96" i="24"/>
  <c r="D96" i="24"/>
  <c r="C97" i="24"/>
  <c r="D97" i="24"/>
  <c r="C98" i="24"/>
  <c r="D98" i="24"/>
  <c r="C99" i="24"/>
  <c r="D99" i="24"/>
  <c r="C100" i="24"/>
  <c r="D100" i="24"/>
  <c r="C101" i="24"/>
  <c r="D101" i="24"/>
  <c r="C102" i="24"/>
  <c r="D102" i="24"/>
  <c r="C103" i="24"/>
  <c r="D103" i="24"/>
  <c r="C104" i="24"/>
  <c r="D104" i="24"/>
  <c r="C105" i="24"/>
  <c r="D105" i="24"/>
  <c r="C106" i="24"/>
  <c r="D106" i="24"/>
  <c r="C107" i="24"/>
  <c r="D107" i="24"/>
  <c r="C108" i="24"/>
  <c r="D108" i="24"/>
  <c r="C109" i="24"/>
  <c r="D109" i="24"/>
  <c r="C110" i="24"/>
  <c r="D110" i="24"/>
  <c r="C111" i="24"/>
  <c r="D111" i="24"/>
  <c r="C112" i="24"/>
  <c r="D112" i="24"/>
  <c r="C113" i="24"/>
  <c r="D113" i="24"/>
  <c r="C114" i="24"/>
  <c r="D114" i="24"/>
  <c r="C115" i="24"/>
  <c r="D115" i="24"/>
  <c r="C116" i="24"/>
  <c r="D116" i="24"/>
  <c r="C117" i="24"/>
  <c r="D117" i="24"/>
  <c r="C118" i="24"/>
  <c r="D118" i="24"/>
  <c r="C119" i="24"/>
  <c r="D119" i="24"/>
  <c r="C120" i="24"/>
  <c r="D120" i="24"/>
  <c r="C121" i="24"/>
  <c r="D121" i="24"/>
  <c r="C122" i="24"/>
  <c r="D122" i="24"/>
  <c r="C123" i="24"/>
  <c r="D123" i="24"/>
  <c r="C124" i="24"/>
  <c r="D124" i="24"/>
  <c r="C125" i="24"/>
  <c r="D125" i="24"/>
  <c r="C126" i="24"/>
  <c r="D126" i="24"/>
  <c r="C127" i="24"/>
  <c r="D127" i="24"/>
  <c r="C128" i="24"/>
  <c r="D128" i="24"/>
  <c r="C129" i="24"/>
  <c r="D129" i="24"/>
  <c r="C130" i="24"/>
  <c r="D130" i="24"/>
  <c r="C131" i="24"/>
  <c r="D131" i="24"/>
  <c r="C132" i="24"/>
  <c r="D132" i="24"/>
  <c r="C133" i="24"/>
  <c r="D133" i="24"/>
  <c r="C134" i="24"/>
  <c r="D134" i="24"/>
  <c r="C135" i="24"/>
  <c r="D135" i="24"/>
  <c r="C136" i="24"/>
  <c r="D136" i="24"/>
  <c r="C137" i="24"/>
  <c r="D137" i="24"/>
  <c r="C138" i="24"/>
  <c r="D138" i="24"/>
  <c r="C139" i="24"/>
  <c r="D139" i="24"/>
  <c r="C140" i="24"/>
  <c r="D140" i="24"/>
  <c r="C141" i="24"/>
  <c r="D141" i="24"/>
  <c r="C142" i="24"/>
  <c r="D142" i="24"/>
  <c r="C143" i="24"/>
  <c r="D143" i="24"/>
  <c r="C144" i="24"/>
  <c r="D144" i="24"/>
  <c r="C145" i="24"/>
  <c r="D145" i="24"/>
  <c r="C146" i="24"/>
  <c r="D146" i="24"/>
  <c r="C147" i="24"/>
  <c r="D147" i="24"/>
  <c r="C148" i="24"/>
  <c r="D148" i="24"/>
  <c r="C149" i="24"/>
  <c r="D149" i="24"/>
  <c r="C150" i="24"/>
  <c r="D150" i="24"/>
  <c r="C151" i="24"/>
  <c r="D151" i="24"/>
  <c r="C152" i="24"/>
  <c r="D152" i="24"/>
  <c r="C153" i="24"/>
  <c r="D153" i="24"/>
  <c r="C154" i="24"/>
  <c r="D154" i="24"/>
  <c r="C155" i="24"/>
  <c r="D155" i="24"/>
  <c r="C156" i="24"/>
  <c r="D156" i="24"/>
  <c r="C157" i="24"/>
  <c r="D157" i="24"/>
  <c r="C158" i="24"/>
  <c r="D158" i="24"/>
  <c r="C159" i="24"/>
  <c r="D159" i="24"/>
  <c r="C160" i="24"/>
  <c r="D160" i="24"/>
  <c r="C161" i="24"/>
  <c r="D161" i="24"/>
  <c r="C162" i="24"/>
  <c r="D162" i="24"/>
  <c r="C163" i="24"/>
  <c r="D163" i="24"/>
  <c r="C164" i="24"/>
  <c r="D164" i="24"/>
  <c r="C165" i="24"/>
  <c r="D165" i="24"/>
  <c r="C166" i="24"/>
  <c r="D166" i="24"/>
  <c r="C167" i="24"/>
  <c r="D167" i="24"/>
  <c r="C168" i="24"/>
  <c r="D168" i="24"/>
  <c r="C169" i="24"/>
  <c r="D169" i="24"/>
  <c r="C170" i="24"/>
  <c r="D170" i="24"/>
  <c r="C171" i="24"/>
  <c r="D171" i="24"/>
  <c r="C172" i="24"/>
  <c r="D172" i="24"/>
  <c r="C173" i="24"/>
  <c r="D173" i="24"/>
  <c r="C174" i="24"/>
  <c r="D174" i="24"/>
  <c r="C175" i="24"/>
  <c r="D175" i="24"/>
  <c r="C176" i="24"/>
  <c r="D176" i="24"/>
  <c r="C177" i="24"/>
  <c r="D177" i="24"/>
  <c r="C178" i="24"/>
  <c r="D178" i="24"/>
  <c r="C179" i="24"/>
  <c r="D179" i="24"/>
  <c r="C180" i="24"/>
  <c r="D180" i="24"/>
  <c r="C181" i="24"/>
  <c r="D181" i="24"/>
  <c r="C182" i="24"/>
  <c r="D182" i="24"/>
  <c r="C183" i="24"/>
  <c r="D183" i="24"/>
  <c r="C184" i="24"/>
  <c r="D184" i="24"/>
  <c r="C185" i="24"/>
  <c r="D185" i="24"/>
  <c r="C186" i="24"/>
  <c r="D186" i="24"/>
  <c r="C187" i="24"/>
  <c r="D187" i="24"/>
  <c r="C188" i="24"/>
  <c r="D188" i="24"/>
  <c r="C189" i="24"/>
  <c r="D189" i="24"/>
  <c r="C190" i="24"/>
  <c r="D190" i="24"/>
  <c r="C191" i="24"/>
  <c r="D191" i="24"/>
  <c r="C192" i="24"/>
  <c r="D192" i="24"/>
  <c r="C193" i="24"/>
  <c r="D193" i="24"/>
  <c r="C194" i="24"/>
  <c r="D194" i="24"/>
  <c r="C195" i="24"/>
  <c r="D195" i="24"/>
  <c r="C196" i="24"/>
  <c r="D196" i="24"/>
  <c r="C197" i="24"/>
  <c r="D197" i="24"/>
  <c r="C198" i="24"/>
  <c r="D198" i="24"/>
  <c r="C199" i="24"/>
  <c r="D199" i="24"/>
  <c r="C200" i="24"/>
  <c r="D200" i="24"/>
  <c r="C201" i="24"/>
  <c r="D201" i="24"/>
  <c r="C202" i="24"/>
  <c r="D202" i="24"/>
  <c r="C203" i="24"/>
  <c r="D203" i="24"/>
  <c r="C204" i="24"/>
  <c r="D204" i="24"/>
  <c r="C205" i="24"/>
  <c r="D205" i="24"/>
  <c r="C206" i="24"/>
  <c r="D206" i="24"/>
  <c r="C207" i="24"/>
  <c r="D207" i="24"/>
  <c r="C208" i="24"/>
  <c r="D208" i="24"/>
  <c r="C209" i="24"/>
  <c r="D209" i="24"/>
  <c r="C210" i="24"/>
  <c r="D210" i="24"/>
  <c r="C211" i="24"/>
  <c r="D211" i="24"/>
  <c r="C212" i="24"/>
  <c r="D212" i="24"/>
  <c r="C213" i="24"/>
  <c r="D213" i="24"/>
  <c r="C214" i="24"/>
  <c r="D214" i="24"/>
  <c r="C215" i="24"/>
  <c r="D215" i="24"/>
  <c r="C216" i="24"/>
  <c r="D216" i="24"/>
  <c r="C217" i="24"/>
  <c r="D217" i="24"/>
  <c r="C218" i="24"/>
  <c r="D218" i="24"/>
  <c r="C219" i="24"/>
  <c r="D219" i="24"/>
  <c r="C220" i="24"/>
  <c r="D220" i="24"/>
  <c r="C221" i="24"/>
  <c r="D221" i="24"/>
  <c r="C222" i="24"/>
  <c r="D222" i="24"/>
  <c r="C223" i="24"/>
  <c r="D223" i="24"/>
  <c r="C224" i="24"/>
  <c r="D224" i="24"/>
  <c r="C225" i="24"/>
  <c r="D225" i="24"/>
  <c r="C226" i="24"/>
  <c r="D226" i="24"/>
  <c r="C227" i="24"/>
  <c r="D227" i="24"/>
  <c r="C228" i="24"/>
  <c r="D228" i="24"/>
  <c r="C229" i="24"/>
  <c r="D229" i="24"/>
  <c r="C230" i="24"/>
  <c r="D230" i="24"/>
  <c r="C231" i="24"/>
  <c r="D231" i="24"/>
  <c r="C232" i="24"/>
  <c r="D232" i="24"/>
  <c r="C233" i="24"/>
  <c r="D233" i="24"/>
  <c r="C234" i="24"/>
  <c r="D234" i="24"/>
  <c r="C235" i="24"/>
  <c r="D235" i="24"/>
  <c r="C236" i="24"/>
  <c r="D236" i="24"/>
  <c r="C237" i="24"/>
  <c r="D237" i="24"/>
  <c r="C238" i="24"/>
  <c r="D238" i="24"/>
  <c r="C239" i="24"/>
  <c r="D239" i="24"/>
  <c r="C240" i="24"/>
  <c r="D240" i="24"/>
  <c r="C241" i="24"/>
  <c r="D241" i="24"/>
  <c r="C242" i="24"/>
  <c r="D242" i="24"/>
  <c r="C243" i="24"/>
  <c r="D243" i="24"/>
  <c r="C244" i="24"/>
  <c r="D244" i="24"/>
  <c r="C245" i="24"/>
  <c r="D245" i="24"/>
  <c r="C246" i="24"/>
  <c r="D246" i="24"/>
  <c r="C247" i="24"/>
  <c r="D247" i="24"/>
  <c r="C248" i="24"/>
  <c r="D248" i="24"/>
  <c r="C249" i="24"/>
  <c r="D249" i="24"/>
  <c r="C250" i="24"/>
  <c r="D250" i="24"/>
  <c r="C251" i="24"/>
  <c r="D251" i="24"/>
  <c r="C252" i="24"/>
  <c r="D252" i="24"/>
  <c r="C253" i="24"/>
  <c r="D253" i="24"/>
  <c r="C254" i="24"/>
  <c r="D254" i="24"/>
  <c r="C255" i="24"/>
  <c r="D255" i="24"/>
  <c r="C256" i="24"/>
  <c r="D256" i="24"/>
  <c r="C257" i="24"/>
  <c r="D257" i="24"/>
  <c r="AM14" i="5"/>
  <c r="AN14" i="5"/>
  <c r="AY14" i="5"/>
  <c r="AO14" i="5"/>
  <c r="AP14" i="5"/>
  <c r="AQ14" i="5"/>
  <c r="AR14" i="5"/>
  <c r="AS14" i="5"/>
  <c r="AT14" i="5"/>
  <c r="AU14" i="5"/>
  <c r="AH14" i="5"/>
  <c r="AV14" i="5"/>
  <c r="AI14" i="5"/>
  <c r="AW14" i="5"/>
  <c r="AJ14" i="5"/>
  <c r="AX14" i="5"/>
  <c r="AK14" i="5"/>
  <c r="AL14" i="5"/>
  <c r="AZ14" i="5"/>
  <c r="AH16" i="5"/>
  <c r="AV16" i="5"/>
  <c r="AI16" i="5"/>
  <c r="AW16" i="5"/>
  <c r="AJ16" i="5"/>
  <c r="AX16" i="5"/>
  <c r="AK16" i="5"/>
  <c r="AY16" i="5"/>
  <c r="AL16" i="5"/>
  <c r="AZ16" i="5"/>
  <c r="AM16" i="5"/>
  <c r="AN16" i="5"/>
  <c r="AO16" i="5"/>
  <c r="AP16" i="5"/>
  <c r="AQ16" i="5"/>
  <c r="AR16" i="5"/>
  <c r="AS16" i="5"/>
  <c r="AT16" i="5"/>
  <c r="AU16" i="5"/>
  <c r="AG16" i="5"/>
  <c r="AH15" i="5"/>
  <c r="AV15" i="5"/>
  <c r="AI15" i="5"/>
  <c r="AW15" i="5"/>
  <c r="AJ15" i="5"/>
  <c r="AX15" i="5"/>
  <c r="AK15" i="5"/>
  <c r="AY15" i="5"/>
  <c r="AL15" i="5"/>
  <c r="AZ15" i="5"/>
  <c r="AM15" i="5"/>
  <c r="AN15" i="5"/>
  <c r="AO15" i="5"/>
  <c r="AP15" i="5"/>
  <c r="AQ15" i="5"/>
  <c r="AT15" i="5"/>
  <c r="AU15" i="5"/>
  <c r="AR15" i="5"/>
  <c r="AS15" i="5"/>
  <c r="AG15" i="5"/>
  <c r="AO86" i="5"/>
  <c r="AJ87" i="5"/>
  <c r="AX87" i="5"/>
  <c r="AP86" i="5"/>
  <c r="AK87" i="5"/>
  <c r="AY87" i="5"/>
  <c r="AQ86" i="5"/>
  <c r="AL87" i="5"/>
  <c r="AZ87" i="5"/>
  <c r="AR86" i="5"/>
  <c r="AM87" i="5"/>
  <c r="AS86" i="5"/>
  <c r="AN87" i="5"/>
  <c r="AT86" i="5"/>
  <c r="AO87" i="5"/>
  <c r="AU86" i="5"/>
  <c r="AP87" i="5"/>
  <c r="AH86" i="5"/>
  <c r="AV86" i="5"/>
  <c r="AQ87" i="5"/>
  <c r="AI86" i="5"/>
  <c r="AW86" i="5"/>
  <c r="AR87" i="5"/>
  <c r="AJ86" i="5"/>
  <c r="AX86" i="5"/>
  <c r="AS87" i="5"/>
  <c r="AK86" i="5"/>
  <c r="AY86" i="5"/>
  <c r="AT87" i="5"/>
  <c r="AL86" i="5"/>
  <c r="AZ86" i="5"/>
  <c r="AU87" i="5"/>
  <c r="AM86" i="5"/>
  <c r="AH87" i="5"/>
  <c r="AV87" i="5"/>
  <c r="AN86" i="5"/>
  <c r="AI87" i="5"/>
  <c r="AW87" i="5"/>
  <c r="AG87" i="5"/>
  <c r="AG86" i="5"/>
  <c r="AL84" i="5"/>
  <c r="AZ84" i="5"/>
  <c r="AM84" i="5"/>
  <c r="AO84" i="5"/>
  <c r="AP84" i="5"/>
  <c r="AQ84" i="5"/>
  <c r="AR84" i="5"/>
  <c r="AS84" i="5"/>
  <c r="AT84" i="5"/>
  <c r="AU84" i="5"/>
  <c r="AH84" i="5"/>
  <c r="AV84" i="5"/>
  <c r="AI84" i="5"/>
  <c r="AW84" i="5"/>
  <c r="AJ84" i="5"/>
  <c r="AX84" i="5"/>
  <c r="AK84" i="5"/>
  <c r="AY84" i="5"/>
  <c r="AN84" i="5"/>
  <c r="AG84" i="5"/>
  <c r="AH74" i="5"/>
  <c r="AV74" i="5"/>
  <c r="AI74" i="5"/>
  <c r="AW74" i="5"/>
  <c r="AJ74" i="5"/>
  <c r="AX74" i="5"/>
  <c r="AY74" i="5"/>
  <c r="AK74" i="5"/>
  <c r="AL74" i="5"/>
  <c r="AZ74" i="5"/>
  <c r="AM74" i="5"/>
  <c r="AN74" i="5"/>
  <c r="AP74" i="5"/>
  <c r="AT74" i="5"/>
  <c r="AO74" i="5"/>
  <c r="AQ74" i="5"/>
  <c r="AR74" i="5"/>
  <c r="AS74" i="5"/>
  <c r="AU74" i="5"/>
  <c r="AG74" i="5"/>
  <c r="AG64" i="5"/>
  <c r="AL64" i="5"/>
  <c r="AZ64" i="5"/>
  <c r="AM64" i="5"/>
  <c r="AN64" i="5"/>
  <c r="AO64" i="5"/>
  <c r="AP64" i="5"/>
  <c r="AQ64" i="5"/>
  <c r="AS64" i="5"/>
  <c r="AT64" i="5"/>
  <c r="AU64" i="5"/>
  <c r="AH64" i="5"/>
  <c r="AI64" i="5"/>
  <c r="AX64" i="5"/>
  <c r="AY64" i="5"/>
  <c r="AR64" i="5"/>
  <c r="AV64" i="5"/>
  <c r="AW64" i="5"/>
  <c r="AJ64" i="5"/>
  <c r="AK64" i="5"/>
  <c r="AH61" i="5"/>
  <c r="AV61" i="5"/>
  <c r="AI61" i="5"/>
  <c r="AW61" i="5"/>
  <c r="AJ61" i="5"/>
  <c r="AX61" i="5"/>
  <c r="AK61" i="5"/>
  <c r="AY61" i="5"/>
  <c r="AL61" i="5"/>
  <c r="AZ61" i="5"/>
  <c r="AM61" i="5"/>
  <c r="AN61" i="5"/>
  <c r="AO61" i="5"/>
  <c r="AP61" i="5"/>
  <c r="AQ61" i="5"/>
  <c r="AR61" i="5"/>
  <c r="AS61" i="5"/>
  <c r="AT61" i="5"/>
  <c r="AU61" i="5"/>
  <c r="AK56" i="5"/>
  <c r="AY56" i="5"/>
  <c r="AT57" i="5"/>
  <c r="AO58" i="5"/>
  <c r="AJ59" i="5"/>
  <c r="AX59" i="5"/>
  <c r="AM56" i="5"/>
  <c r="AH57" i="5"/>
  <c r="AV57" i="5"/>
  <c r="AQ58" i="5"/>
  <c r="AL59" i="5"/>
  <c r="AJ57" i="5"/>
  <c r="AX57" i="5"/>
  <c r="AS58" i="5"/>
  <c r="AN59" i="5"/>
  <c r="AK57" i="5"/>
  <c r="AY57" i="5"/>
  <c r="AT58" i="5"/>
  <c r="AT56" i="5"/>
  <c r="AU56" i="5"/>
  <c r="AK58" i="5"/>
  <c r="AT59" i="5"/>
  <c r="AH56" i="5"/>
  <c r="AZ58" i="5"/>
  <c r="AI56" i="5"/>
  <c r="AJ56" i="5"/>
  <c r="AL56" i="5"/>
  <c r="AZ56" i="5"/>
  <c r="AU57" i="5"/>
  <c r="AP58" i="5"/>
  <c r="AK59" i="5"/>
  <c r="AY59" i="5"/>
  <c r="AZ59" i="5"/>
  <c r="AO59" i="5"/>
  <c r="AR57" i="5"/>
  <c r="AN58" i="5"/>
  <c r="AN56" i="5"/>
  <c r="AI57" i="5"/>
  <c r="AW57" i="5"/>
  <c r="AR58" i="5"/>
  <c r="AM59" i="5"/>
  <c r="AO56" i="5"/>
  <c r="AX58" i="5"/>
  <c r="AQ57" i="5"/>
  <c r="AH59" i="5"/>
  <c r="AI59" i="5"/>
  <c r="AP56" i="5"/>
  <c r="AQ56" i="5"/>
  <c r="AL57" i="5"/>
  <c r="AZ57" i="5"/>
  <c r="AU58" i="5"/>
  <c r="AP59" i="5"/>
  <c r="AR56" i="5"/>
  <c r="AM57" i="5"/>
  <c r="AH58" i="5"/>
  <c r="AV58" i="5"/>
  <c r="AQ59" i="5"/>
  <c r="AS56" i="5"/>
  <c r="AN57" i="5"/>
  <c r="AI58" i="5"/>
  <c r="AW58" i="5"/>
  <c r="AR59" i="5"/>
  <c r="AO57" i="5"/>
  <c r="AS59" i="5"/>
  <c r="AP57" i="5"/>
  <c r="AY58" i="5"/>
  <c r="AV56" i="5"/>
  <c r="AL58" i="5"/>
  <c r="AU59" i="5"/>
  <c r="AW56" i="5"/>
  <c r="AV59" i="5"/>
  <c r="AX56" i="5"/>
  <c r="AW59" i="5"/>
  <c r="AJ58" i="5"/>
  <c r="AM58" i="5"/>
  <c r="AS57" i="5"/>
  <c r="AG61" i="5"/>
  <c r="AG59" i="5"/>
  <c r="AG58" i="5"/>
  <c r="AG57" i="5"/>
  <c r="AG56" i="5"/>
  <c r="AZ55" i="5"/>
  <c r="AH55" i="5"/>
  <c r="AV55" i="5"/>
  <c r="AI55" i="5"/>
  <c r="AW55" i="5"/>
  <c r="AJ55" i="5"/>
  <c r="AX55" i="5"/>
  <c r="AK55" i="5"/>
  <c r="AY55" i="5"/>
  <c r="AS55" i="5"/>
  <c r="AL55" i="5"/>
  <c r="AM55" i="5"/>
  <c r="AN55" i="5"/>
  <c r="AO55" i="5"/>
  <c r="AP55" i="5"/>
  <c r="AQ55" i="5"/>
  <c r="AR55" i="5"/>
  <c r="AT55" i="5"/>
  <c r="AU55" i="5"/>
  <c r="AG55" i="5"/>
  <c r="AN54" i="5"/>
  <c r="AO54" i="5"/>
  <c r="AP54" i="5"/>
  <c r="AQ54" i="5"/>
  <c r="AR54" i="5"/>
  <c r="AS54" i="5"/>
  <c r="AT54" i="5"/>
  <c r="AU54" i="5"/>
  <c r="AH54" i="5"/>
  <c r="AV54" i="5"/>
  <c r="AI54" i="5"/>
  <c r="AW54" i="5"/>
  <c r="AJ54" i="5"/>
  <c r="AX54" i="5"/>
  <c r="AK54" i="5"/>
  <c r="AY54" i="5"/>
  <c r="AL54" i="5"/>
  <c r="AZ54" i="5"/>
  <c r="AM54" i="5"/>
  <c r="AG54" i="5"/>
  <c r="AH44" i="5"/>
  <c r="AV44" i="5"/>
  <c r="AW44" i="5"/>
  <c r="AJ44" i="5"/>
  <c r="AX44" i="5"/>
  <c r="AY44" i="5"/>
  <c r="AI44" i="5"/>
  <c r="AK44" i="5"/>
  <c r="AO44" i="5"/>
  <c r="AP44" i="5"/>
  <c r="AQ44" i="5"/>
  <c r="AR44" i="5"/>
  <c r="AS44" i="5"/>
  <c r="AT44" i="5"/>
  <c r="AU44" i="5"/>
  <c r="AL44" i="5"/>
  <c r="AM44" i="5"/>
  <c r="AN44" i="5"/>
  <c r="AZ44" i="5"/>
  <c r="AG44" i="5"/>
  <c r="AH25" i="5"/>
  <c r="AV25" i="5"/>
  <c r="AI25" i="5"/>
  <c r="AW25" i="5"/>
  <c r="AJ25" i="5"/>
  <c r="AX25" i="5"/>
  <c r="AY25" i="5"/>
  <c r="AM25" i="5"/>
  <c r="AN25" i="5"/>
  <c r="AO25" i="5"/>
  <c r="AP25" i="5"/>
  <c r="AQ25" i="5"/>
  <c r="AR25" i="5"/>
  <c r="AS25" i="5"/>
  <c r="AT25" i="5"/>
  <c r="AU25" i="5"/>
  <c r="AK25" i="5"/>
  <c r="AL25" i="5"/>
  <c r="AZ25" i="5"/>
  <c r="AG25" i="5"/>
  <c r="AP9" i="5"/>
  <c r="AK11" i="5"/>
  <c r="AY11" i="5"/>
  <c r="AQ9" i="5"/>
  <c r="AL11" i="5"/>
  <c r="AZ11" i="5"/>
  <c r="AR9" i="5"/>
  <c r="AM11" i="5"/>
  <c r="AS9" i="5"/>
  <c r="AN11" i="5"/>
  <c r="AT9" i="5"/>
  <c r="AO11" i="5"/>
  <c r="AU9" i="5"/>
  <c r="AP11" i="5"/>
  <c r="AH9" i="5"/>
  <c r="AV9" i="5"/>
  <c r="AQ11" i="5"/>
  <c r="AI9" i="5"/>
  <c r="AW9" i="5"/>
  <c r="AR11" i="5"/>
  <c r="AJ9" i="5"/>
  <c r="AX9" i="5"/>
  <c r="AS11" i="5"/>
  <c r="AK9" i="5"/>
  <c r="AY9" i="5"/>
  <c r="AT11" i="5"/>
  <c r="AL9" i="5"/>
  <c r="AZ9" i="5"/>
  <c r="AU11" i="5"/>
  <c r="AM9" i="5"/>
  <c r="AH11" i="5"/>
  <c r="AV11" i="5"/>
  <c r="AN9" i="5"/>
  <c r="AI11" i="5"/>
  <c r="AW11" i="5"/>
  <c r="AO9" i="5"/>
  <c r="AJ11" i="5"/>
  <c r="AX11" i="5"/>
  <c r="AG9" i="5"/>
  <c r="AG11" i="5"/>
  <c r="AN8" i="5"/>
  <c r="AO8" i="5"/>
  <c r="AP8" i="5"/>
  <c r="AQ8" i="5"/>
  <c r="AR8" i="5"/>
  <c r="AS8" i="5"/>
  <c r="AT8" i="5"/>
  <c r="AU8" i="5"/>
  <c r="AH8" i="5"/>
  <c r="AV8" i="5"/>
  <c r="AI8" i="5"/>
  <c r="AW8" i="5"/>
  <c r="AJ8" i="5"/>
  <c r="AX8" i="5"/>
  <c r="AK8" i="5"/>
  <c r="AY8" i="5"/>
  <c r="AL8" i="5"/>
  <c r="AZ8" i="5"/>
  <c r="AM8" i="5"/>
  <c r="AG8" i="5"/>
  <c r="AL5" i="5"/>
  <c r="AZ5" i="5"/>
  <c r="AM5" i="5"/>
  <c r="AN5" i="5"/>
  <c r="AO5" i="5"/>
  <c r="AP5" i="5"/>
  <c r="AQ5" i="5"/>
  <c r="AR5" i="5"/>
  <c r="AS5" i="5"/>
  <c r="AT5" i="5"/>
  <c r="AU5" i="5"/>
  <c r="AH5" i="5"/>
  <c r="AV5" i="5"/>
  <c r="AI5" i="5"/>
  <c r="AW5" i="5"/>
  <c r="AJ5" i="5"/>
  <c r="AX5" i="5"/>
  <c r="AK5" i="5"/>
  <c r="AY5" i="5"/>
  <c r="AG5" i="5"/>
  <c r="AH21" i="5"/>
  <c r="AV21" i="5"/>
  <c r="AW21" i="5"/>
  <c r="AJ21" i="5"/>
  <c r="AX21" i="5"/>
  <c r="AK21" i="5"/>
  <c r="AI21" i="5"/>
  <c r="AY21" i="5"/>
  <c r="AO21" i="5"/>
  <c r="AL21" i="5"/>
  <c r="AZ21" i="5"/>
  <c r="AM21" i="5"/>
  <c r="AN21" i="5"/>
  <c r="AP21" i="5"/>
  <c r="AQ21" i="5"/>
  <c r="AR21" i="5"/>
  <c r="AS21" i="5"/>
  <c r="AT21" i="5"/>
  <c r="AU21" i="5"/>
  <c r="AG21" i="5"/>
  <c r="AL19" i="5"/>
  <c r="AZ19" i="5"/>
  <c r="AM19" i="5"/>
  <c r="AN19" i="5"/>
  <c r="AO19" i="5"/>
  <c r="AP19" i="5"/>
  <c r="AQ19" i="5"/>
  <c r="AR19" i="5"/>
  <c r="AS19" i="5"/>
  <c r="AT19" i="5"/>
  <c r="AU19" i="5"/>
  <c r="AH19" i="5"/>
  <c r="AV19" i="5"/>
  <c r="AI19" i="5"/>
  <c r="AW19" i="5"/>
  <c r="AJ19" i="5"/>
  <c r="AX19" i="5"/>
  <c r="AK19" i="5"/>
  <c r="AY19" i="5"/>
  <c r="AG19" i="5"/>
  <c r="AO18" i="5"/>
  <c r="AP18" i="5"/>
  <c r="AQ18" i="5"/>
  <c r="AR18" i="5"/>
  <c r="AS18" i="5"/>
  <c r="AT18" i="5"/>
  <c r="AU18" i="5"/>
  <c r="AH18" i="5"/>
  <c r="AV18" i="5"/>
  <c r="AI18" i="5"/>
  <c r="AW18" i="5"/>
  <c r="AJ18" i="5"/>
  <c r="AX18" i="5"/>
  <c r="AK18" i="5"/>
  <c r="AY18" i="5"/>
  <c r="AL18" i="5"/>
  <c r="AZ18" i="5"/>
  <c r="AM18" i="5"/>
  <c r="AN18" i="5"/>
  <c r="AG18" i="5"/>
  <c r="AH17" i="5"/>
  <c r="AV17" i="5"/>
  <c r="AI17" i="5"/>
  <c r="AW17" i="5"/>
  <c r="AQ17" i="5"/>
  <c r="AU17" i="5"/>
  <c r="AJ17" i="5"/>
  <c r="AX17" i="5"/>
  <c r="AK17" i="5"/>
  <c r="AY17" i="5"/>
  <c r="AL17" i="5"/>
  <c r="AZ17" i="5"/>
  <c r="AM17" i="5"/>
  <c r="AR17" i="5"/>
  <c r="AS17" i="5"/>
  <c r="AT17" i="5"/>
  <c r="AN17" i="5"/>
  <c r="AO17" i="5"/>
  <c r="AP17" i="5"/>
  <c r="AG17" i="5"/>
  <c r="AH128" i="5"/>
  <c r="AV128" i="5"/>
  <c r="AI128" i="5"/>
  <c r="AW128" i="5"/>
  <c r="AJ128" i="5"/>
  <c r="AX128" i="5"/>
  <c r="AK128" i="5"/>
  <c r="AY128" i="5"/>
  <c r="AM128" i="5"/>
  <c r="AP128" i="5"/>
  <c r="AL128" i="5"/>
  <c r="AZ128" i="5"/>
  <c r="AQ128" i="5"/>
  <c r="AR128" i="5"/>
  <c r="AS128" i="5"/>
  <c r="AT128" i="5"/>
  <c r="AU128" i="5"/>
  <c r="AN128" i="5"/>
  <c r="AO128" i="5"/>
  <c r="AG128" i="5"/>
  <c r="AJ131" i="5"/>
  <c r="AX131" i="5"/>
  <c r="AK131" i="5"/>
  <c r="AY131" i="5"/>
  <c r="AL131" i="5"/>
  <c r="AZ131" i="5"/>
  <c r="AM131" i="5"/>
  <c r="AN131" i="5"/>
  <c r="AO131" i="5"/>
  <c r="AP131" i="5"/>
  <c r="AQ131" i="5"/>
  <c r="AR131" i="5"/>
  <c r="AT131" i="5"/>
  <c r="AU131" i="5"/>
  <c r="AH131" i="5"/>
  <c r="AI131" i="5"/>
  <c r="AW131" i="5"/>
  <c r="AS131" i="5"/>
  <c r="AV131" i="5"/>
  <c r="AG131" i="5"/>
  <c r="AI124" i="5"/>
  <c r="AW124" i="5"/>
  <c r="AS126" i="5"/>
  <c r="AJ124" i="5"/>
  <c r="AX124" i="5"/>
  <c r="AT126" i="5"/>
  <c r="AK124" i="5"/>
  <c r="AY124" i="5"/>
  <c r="AU126" i="5"/>
  <c r="AL124" i="5"/>
  <c r="AZ124" i="5"/>
  <c r="AV126" i="5"/>
  <c r="AI126" i="5"/>
  <c r="AW126" i="5"/>
  <c r="AN124" i="5"/>
  <c r="AJ126" i="5"/>
  <c r="AX126" i="5"/>
  <c r="AK126" i="5"/>
  <c r="AY126" i="5"/>
  <c r="AP124" i="5"/>
  <c r="AL126" i="5"/>
  <c r="AZ126" i="5"/>
  <c r="AQ124" i="5"/>
  <c r="AM126" i="5"/>
  <c r="AR124" i="5"/>
  <c r="AN126" i="5"/>
  <c r="AS124" i="5"/>
  <c r="AT124" i="5"/>
  <c r="AP126" i="5"/>
  <c r="AU124" i="5"/>
  <c r="AV124" i="5"/>
  <c r="AR126" i="5"/>
  <c r="AO124" i="5"/>
  <c r="AO126" i="5"/>
  <c r="AQ126" i="5"/>
  <c r="AH126" i="5"/>
  <c r="AG126" i="5"/>
  <c r="AH124" i="5"/>
  <c r="AG124" i="5"/>
  <c r="AT116" i="5"/>
  <c r="AP117" i="5"/>
  <c r="AL118" i="5"/>
  <c r="AZ118" i="5"/>
  <c r="AV119" i="5"/>
  <c r="AR121" i="5"/>
  <c r="AU116" i="5"/>
  <c r="AQ117" i="5"/>
  <c r="AM118" i="5"/>
  <c r="AI119" i="5"/>
  <c r="AW119" i="5"/>
  <c r="AS121" i="5"/>
  <c r="AV116" i="5"/>
  <c r="AR117" i="5"/>
  <c r="AN118" i="5"/>
  <c r="AJ119" i="5"/>
  <c r="AX119" i="5"/>
  <c r="AT121" i="5"/>
  <c r="AI116" i="5"/>
  <c r="AW116" i="5"/>
  <c r="AS117" i="5"/>
  <c r="AO118" i="5"/>
  <c r="AK119" i="5"/>
  <c r="AY119" i="5"/>
  <c r="AU121" i="5"/>
  <c r="AJ116" i="5"/>
  <c r="AX116" i="5"/>
  <c r="AT117" i="5"/>
  <c r="AP118" i="5"/>
  <c r="AL119" i="5"/>
  <c r="AZ119" i="5"/>
  <c r="AV121" i="5"/>
  <c r="AK116" i="5"/>
  <c r="AY116" i="5"/>
  <c r="AU117" i="5"/>
  <c r="AQ118" i="5"/>
  <c r="AM119" i="5"/>
  <c r="AI121" i="5"/>
  <c r="AW121" i="5"/>
  <c r="AL116" i="5"/>
  <c r="AZ116" i="5"/>
  <c r="AV117" i="5"/>
  <c r="AR118" i="5"/>
  <c r="AN119" i="5"/>
  <c r="AJ121" i="5"/>
  <c r="AX121" i="5"/>
  <c r="AM116" i="5"/>
  <c r="AI117" i="5"/>
  <c r="AW117" i="5"/>
  <c r="AS118" i="5"/>
  <c r="AO119" i="5"/>
  <c r="AK121" i="5"/>
  <c r="AY121" i="5"/>
  <c r="AN116" i="5"/>
  <c r="AJ117" i="5"/>
  <c r="AX117" i="5"/>
  <c r="AT118" i="5"/>
  <c r="AP119" i="5"/>
  <c r="AL121" i="5"/>
  <c r="AZ121" i="5"/>
  <c r="AO116" i="5"/>
  <c r="AK117" i="5"/>
  <c r="AY117" i="5"/>
  <c r="AU118" i="5"/>
  <c r="AQ119" i="5"/>
  <c r="AM121" i="5"/>
  <c r="AP116" i="5"/>
  <c r="AL117" i="5"/>
  <c r="AZ117" i="5"/>
  <c r="AV118" i="5"/>
  <c r="AR119" i="5"/>
  <c r="AN121" i="5"/>
  <c r="AQ116" i="5"/>
  <c r="AM117" i="5"/>
  <c r="AI118" i="5"/>
  <c r="AW118" i="5"/>
  <c r="AS119" i="5"/>
  <c r="AO121" i="5"/>
  <c r="AR116" i="5"/>
  <c r="AN117" i="5"/>
  <c r="AJ118" i="5"/>
  <c r="AX118" i="5"/>
  <c r="AT119" i="5"/>
  <c r="AP121" i="5"/>
  <c r="AS116" i="5"/>
  <c r="AO117" i="5"/>
  <c r="AK118" i="5"/>
  <c r="AY118" i="5"/>
  <c r="AU119" i="5"/>
  <c r="AQ121" i="5"/>
  <c r="AH116" i="5"/>
  <c r="AH117" i="5"/>
  <c r="AH118" i="5"/>
  <c r="AH119" i="5"/>
  <c r="AH121" i="5"/>
  <c r="AG121" i="5"/>
  <c r="AG119" i="5"/>
  <c r="AG118" i="5"/>
  <c r="AG117" i="5"/>
  <c r="AG116" i="5"/>
  <c r="AW108" i="5"/>
  <c r="AY108" i="5"/>
  <c r="AZ108" i="5"/>
  <c r="AV111" i="5"/>
  <c r="AW111" i="5"/>
  <c r="AX111" i="5"/>
  <c r="AY111" i="5"/>
  <c r="AZ111" i="5"/>
  <c r="AV108" i="5"/>
  <c r="AX108" i="5"/>
  <c r="AJ108" i="5"/>
  <c r="AK111" i="5"/>
  <c r="AO111" i="5"/>
  <c r="AO108" i="5"/>
  <c r="AP111" i="5"/>
  <c r="AP108" i="5"/>
  <c r="AQ111" i="5"/>
  <c r="AQ108" i="5"/>
  <c r="AR111" i="5"/>
  <c r="AR108" i="5"/>
  <c r="AS111" i="5"/>
  <c r="AS108" i="5"/>
  <c r="AT111" i="5"/>
  <c r="AT108" i="5"/>
  <c r="AU111" i="5"/>
  <c r="AU108" i="5"/>
  <c r="AI111" i="5"/>
  <c r="AI108" i="5"/>
  <c r="AJ111" i="5"/>
  <c r="AK108" i="5"/>
  <c r="AL111" i="5"/>
  <c r="AL108" i="5"/>
  <c r="AM111" i="5"/>
  <c r="AM108" i="5"/>
  <c r="AN111" i="5"/>
  <c r="AN108" i="5"/>
  <c r="AH111" i="5"/>
  <c r="AH108" i="5"/>
  <c r="AG108" i="5"/>
  <c r="AG111" i="5"/>
  <c r="AI105" i="5"/>
  <c r="AW105" i="5"/>
  <c r="AJ105" i="5"/>
  <c r="AX105" i="5"/>
  <c r="AK105" i="5"/>
  <c r="AY105" i="5"/>
  <c r="AL105" i="5"/>
  <c r="AZ105" i="5"/>
  <c r="AM105" i="5"/>
  <c r="AN105" i="5"/>
  <c r="AS105" i="5"/>
  <c r="AT105" i="5"/>
  <c r="AU105" i="5"/>
  <c r="AV105" i="5"/>
  <c r="AO105" i="5"/>
  <c r="AP105" i="5"/>
  <c r="AQ105" i="5"/>
  <c r="AR105" i="5"/>
  <c r="AH105" i="5"/>
  <c r="AG105" i="5"/>
  <c r="AH95" i="5"/>
  <c r="AV95" i="5"/>
  <c r="AJ95" i="5"/>
  <c r="AX95" i="5"/>
  <c r="AK95" i="5"/>
  <c r="AY95" i="5"/>
  <c r="AL95" i="5"/>
  <c r="AZ95" i="5"/>
  <c r="AM95" i="5"/>
  <c r="AN95" i="5"/>
  <c r="AO95" i="5"/>
  <c r="AI95" i="5"/>
  <c r="AP95" i="5"/>
  <c r="AQ95" i="5"/>
  <c r="AR95" i="5"/>
  <c r="AS95" i="5"/>
  <c r="AT95" i="5"/>
  <c r="AU95" i="5"/>
  <c r="AW95" i="5"/>
  <c r="AG95" i="5"/>
  <c r="E35" i="11" l="1" a="1"/>
  <c r="E35" i="11" s="1"/>
  <c r="B29" i="1"/>
  <c r="E4" i="11" l="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D11" i="11"/>
  <c r="D12" i="11"/>
  <c r="C14" i="11"/>
  <c r="V84" i="22"/>
  <c r="D4" i="11" s="1"/>
  <c r="V85" i="22"/>
  <c r="D5" i="11" s="1"/>
  <c r="V86" i="22"/>
  <c r="D6" i="11" s="1"/>
  <c r="V87" i="22"/>
  <c r="D7" i="11" s="1"/>
  <c r="V88" i="22"/>
  <c r="D8" i="11" s="1"/>
  <c r="V89" i="22"/>
  <c r="D9" i="11" s="1"/>
  <c r="V90" i="22"/>
  <c r="D10" i="11" s="1"/>
  <c r="V91" i="22"/>
  <c r="V92" i="22"/>
  <c r="V93" i="22"/>
  <c r="D13" i="11" s="1"/>
  <c r="V94" i="22"/>
  <c r="D14" i="11" s="1"/>
  <c r="V95" i="22"/>
  <c r="D15" i="11" s="1"/>
  <c r="V96" i="22"/>
  <c r="D16" i="11" s="1"/>
  <c r="V97" i="22"/>
  <c r="D17" i="11" s="1"/>
  <c r="V98" i="22"/>
  <c r="D18" i="11" s="1"/>
  <c r="V99" i="22"/>
  <c r="D19" i="11" s="1"/>
  <c r="V100" i="22"/>
  <c r="D20" i="11" s="1"/>
  <c r="V101" i="22"/>
  <c r="D21" i="11" s="1"/>
  <c r="V102" i="22"/>
  <c r="D22" i="11" s="1"/>
  <c r="V103" i="22"/>
  <c r="D23" i="11" s="1"/>
  <c r="G23" i="11" s="1"/>
  <c r="V83" i="22"/>
  <c r="D3" i="11" s="1"/>
  <c r="U84" i="22"/>
  <c r="C4" i="11" s="1"/>
  <c r="U85" i="22"/>
  <c r="C5" i="11" s="1"/>
  <c r="U86" i="22"/>
  <c r="C6" i="11" s="1"/>
  <c r="U87" i="22"/>
  <c r="C7" i="11" s="1"/>
  <c r="U88" i="22"/>
  <c r="C8" i="11" s="1"/>
  <c r="U89" i="22"/>
  <c r="C9" i="11" s="1"/>
  <c r="U90" i="22"/>
  <c r="C10" i="11" s="1"/>
  <c r="U91" i="22"/>
  <c r="C11" i="11" s="1"/>
  <c r="U92" i="22"/>
  <c r="C12" i="11" s="1"/>
  <c r="U93" i="22"/>
  <c r="C13" i="11" s="1"/>
  <c r="U94" i="22"/>
  <c r="U95" i="22"/>
  <c r="C15" i="11" s="1"/>
  <c r="U96" i="22"/>
  <c r="C16" i="11" s="1"/>
  <c r="U97" i="22"/>
  <c r="C17" i="11" s="1"/>
  <c r="U98" i="22"/>
  <c r="C18" i="11" s="1"/>
  <c r="U99" i="22"/>
  <c r="C19" i="11" s="1"/>
  <c r="U100" i="22"/>
  <c r="C20" i="11" s="1"/>
  <c r="U101" i="22"/>
  <c r="C21" i="11" s="1"/>
  <c r="U102" i="22"/>
  <c r="C22" i="11" s="1"/>
  <c r="C91" i="11" s="1"/>
  <c r="U103" i="22"/>
  <c r="C23" i="11" s="1"/>
  <c r="F23" i="11" s="1"/>
  <c r="U83" i="22"/>
  <c r="C3" i="11" s="1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36" i="22"/>
  <c r="S37" i="22"/>
  <c r="S38" i="22"/>
  <c r="S39" i="22"/>
  <c r="S40" i="22"/>
  <c r="S41" i="22"/>
  <c r="S42" i="22"/>
  <c r="S43" i="22"/>
  <c r="S44" i="22"/>
  <c r="S45" i="22"/>
  <c r="S46" i="22"/>
  <c r="S47" i="22"/>
  <c r="S48" i="22"/>
  <c r="S49" i="22"/>
  <c r="S50" i="22"/>
  <c r="S51" i="22"/>
  <c r="S52" i="22"/>
  <c r="S53" i="22"/>
  <c r="S54" i="22"/>
  <c r="S55" i="22"/>
  <c r="S56" i="22"/>
  <c r="S57" i="22"/>
  <c r="S58" i="22"/>
  <c r="S59" i="22"/>
  <c r="S60" i="22"/>
  <c r="S61" i="22"/>
  <c r="S62" i="22"/>
  <c r="S63" i="22"/>
  <c r="S64" i="22"/>
  <c r="S65" i="22"/>
  <c r="S66" i="22"/>
  <c r="S67" i="22"/>
  <c r="S68" i="22"/>
  <c r="S69" i="22"/>
  <c r="S70" i="22"/>
  <c r="S71" i="22"/>
  <c r="S72" i="22"/>
  <c r="S73" i="22"/>
  <c r="S74" i="22"/>
  <c r="S75" i="22"/>
  <c r="S76" i="22"/>
  <c r="S77" i="22"/>
  <c r="S78" i="22"/>
  <c r="S79" i="22"/>
  <c r="S80" i="22"/>
  <c r="S81" i="22"/>
  <c r="S82" i="22"/>
  <c r="S83" i="22"/>
  <c r="S84" i="22"/>
  <c r="S85" i="22"/>
  <c r="S86" i="22"/>
  <c r="S87" i="22"/>
  <c r="S88" i="22"/>
  <c r="S89" i="22"/>
  <c r="S90" i="22"/>
  <c r="S91" i="22"/>
  <c r="S92" i="22"/>
  <c r="S93" i="22"/>
  <c r="S94" i="22"/>
  <c r="S95" i="22"/>
  <c r="S96" i="22"/>
  <c r="S97" i="22"/>
  <c r="S98" i="22"/>
  <c r="S99" i="22"/>
  <c r="S100" i="22"/>
  <c r="S101" i="22"/>
  <c r="S102" i="22"/>
  <c r="S103" i="22"/>
  <c r="C92" i="11" l="1"/>
  <c r="D92" i="11" s="1"/>
  <c r="E32" i="23"/>
  <c r="F32" i="23"/>
  <c r="B32" i="23"/>
  <c r="D32" i="23"/>
  <c r="C32" i="23" l="1"/>
  <c r="E27" i="11" s="1" a="1"/>
  <c r="E27" i="11" l="1"/>
  <c r="E31" i="11"/>
  <c r="E32" i="11" s="1"/>
  <c r="E33" i="11" s="1"/>
  <c r="E34" i="11" s="1"/>
  <c r="D61" i="11" l="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59" i="11"/>
  <c r="G9" i="11" l="1"/>
  <c r="F7" i="11"/>
  <c r="F15" i="11"/>
  <c r="F88" i="11"/>
  <c r="E59" i="11"/>
  <c r="F59" i="11"/>
  <c r="E60" i="11"/>
  <c r="F60" i="11"/>
  <c r="E61" i="11"/>
  <c r="F61" i="11"/>
  <c r="E62" i="11"/>
  <c r="F62" i="11"/>
  <c r="E63" i="11"/>
  <c r="F63" i="11"/>
  <c r="E64" i="11"/>
  <c r="F64" i="11"/>
  <c r="E65" i="11"/>
  <c r="F65" i="11"/>
  <c r="E66" i="11"/>
  <c r="F66" i="11"/>
  <c r="E67" i="11"/>
  <c r="F67" i="11"/>
  <c r="E68" i="11"/>
  <c r="F68" i="11"/>
  <c r="E69" i="11"/>
  <c r="F69" i="11"/>
  <c r="E70" i="11"/>
  <c r="F70" i="11"/>
  <c r="E71" i="11"/>
  <c r="F71" i="11"/>
  <c r="E72" i="11"/>
  <c r="F72" i="11"/>
  <c r="E73" i="11"/>
  <c r="F73" i="11"/>
  <c r="E74" i="11"/>
  <c r="F74" i="11"/>
  <c r="E75" i="11"/>
  <c r="F75" i="11"/>
  <c r="E76" i="11"/>
  <c r="F76" i="11"/>
  <c r="E77" i="11"/>
  <c r="F77" i="11"/>
  <c r="E78" i="11"/>
  <c r="F78" i="11"/>
  <c r="E79" i="11"/>
  <c r="F79" i="11"/>
  <c r="E80" i="11"/>
  <c r="F80" i="11"/>
  <c r="E81" i="11"/>
  <c r="F81" i="11"/>
  <c r="E82" i="11"/>
  <c r="F82" i="11"/>
  <c r="E83" i="11"/>
  <c r="F83" i="11"/>
  <c r="E84" i="11"/>
  <c r="F84" i="11"/>
  <c r="E85" i="11"/>
  <c r="F85" i="11"/>
  <c r="E86" i="11"/>
  <c r="F86" i="11"/>
  <c r="E87" i="11"/>
  <c r="F87" i="11"/>
  <c r="E88" i="11"/>
  <c r="D58" i="11"/>
  <c r="C58" i="11"/>
  <c r="E23" i="8" a="1"/>
  <c r="E24" i="8" s="1"/>
  <c r="E23" i="8"/>
  <c r="E27" i="8"/>
  <c r="E30" i="8"/>
  <c r="E31" i="8"/>
  <c r="E35" i="8"/>
  <c r="E38" i="8"/>
  <c r="E39" i="8"/>
  <c r="E43" i="8"/>
  <c r="E46" i="8"/>
  <c r="E47" i="8"/>
  <c r="E51" i="8"/>
  <c r="E54" i="8"/>
  <c r="D23" i="8" a="1"/>
  <c r="D24" i="8" s="1"/>
  <c r="D23" i="8"/>
  <c r="D27" i="8"/>
  <c r="D30" i="8"/>
  <c r="D31" i="8"/>
  <c r="D35" i="8"/>
  <c r="D38" i="8"/>
  <c r="D39" i="8"/>
  <c r="D43" i="8"/>
  <c r="D46" i="8"/>
  <c r="D47" i="8"/>
  <c r="D51" i="8"/>
  <c r="D54" i="8"/>
  <c r="C23" i="8" a="1"/>
  <c r="C24" i="8" s="1"/>
  <c r="C23" i="8"/>
  <c r="C27" i="8"/>
  <c r="C30" i="8"/>
  <c r="C31" i="8"/>
  <c r="C35" i="8"/>
  <c r="C38" i="8"/>
  <c r="C39" i="8"/>
  <c r="C43" i="8"/>
  <c r="C46" i="8"/>
  <c r="C47" i="8"/>
  <c r="C51" i="8"/>
  <c r="C54" i="8"/>
  <c r="B23" i="8" a="1"/>
  <c r="B23" i="8" s="1"/>
  <c r="E3" i="11"/>
  <c r="E24" i="11" s="1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B1" i="2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K3" i="7"/>
  <c r="E58" i="11" l="1"/>
  <c r="F58" i="11"/>
  <c r="D91" i="11" s="1"/>
  <c r="F18" i="11"/>
  <c r="F10" i="11"/>
  <c r="G13" i="11"/>
  <c r="G5" i="11"/>
  <c r="F9" i="11"/>
  <c r="G18" i="11"/>
  <c r="G20" i="11"/>
  <c r="G12" i="11"/>
  <c r="G4" i="11"/>
  <c r="G10" i="11"/>
  <c r="F16" i="11"/>
  <c r="F8" i="11"/>
  <c r="F17" i="11"/>
  <c r="F3" i="11"/>
  <c r="E53" i="8"/>
  <c r="E45" i="8"/>
  <c r="E37" i="8"/>
  <c r="E29" i="8"/>
  <c r="E52" i="8"/>
  <c r="E44" i="8"/>
  <c r="E36" i="8"/>
  <c r="E28" i="8"/>
  <c r="E50" i="8"/>
  <c r="E42" i="8"/>
  <c r="E34" i="8"/>
  <c r="E26" i="8"/>
  <c r="E49" i="8"/>
  <c r="E41" i="8"/>
  <c r="E33" i="8"/>
  <c r="E25" i="8"/>
  <c r="E48" i="8"/>
  <c r="E40" i="8"/>
  <c r="E32" i="8"/>
  <c r="D53" i="8"/>
  <c r="D45" i="8"/>
  <c r="D37" i="8"/>
  <c r="D29" i="8"/>
  <c r="D52" i="8"/>
  <c r="D44" i="8"/>
  <c r="D36" i="8"/>
  <c r="D28" i="8"/>
  <c r="D50" i="8"/>
  <c r="D42" i="8"/>
  <c r="D34" i="8"/>
  <c r="D26" i="8"/>
  <c r="D49" i="8"/>
  <c r="D41" i="8"/>
  <c r="D33" i="8"/>
  <c r="D25" i="8"/>
  <c r="D48" i="8"/>
  <c r="D40" i="8"/>
  <c r="D32" i="8"/>
  <c r="C53" i="8"/>
  <c r="C45" i="8"/>
  <c r="C37" i="8"/>
  <c r="C29" i="8"/>
  <c r="C52" i="8"/>
  <c r="C44" i="8"/>
  <c r="C36" i="8"/>
  <c r="C28" i="8"/>
  <c r="C50" i="8"/>
  <c r="C42" i="8"/>
  <c r="C34" i="8"/>
  <c r="C26" i="8"/>
  <c r="C49" i="8"/>
  <c r="C41" i="8"/>
  <c r="C33" i="8"/>
  <c r="C25" i="8"/>
  <c r="C48" i="8"/>
  <c r="C40" i="8"/>
  <c r="C32" i="8"/>
  <c r="G3" i="11"/>
  <c r="G7" i="11"/>
  <c r="G15" i="11"/>
  <c r="G8" i="11"/>
  <c r="G16" i="11"/>
  <c r="G17" i="11"/>
  <c r="G21" i="11"/>
  <c r="G11" i="11"/>
  <c r="G19" i="11"/>
  <c r="F4" i="11"/>
  <c r="F12" i="11"/>
  <c r="F20" i="11"/>
  <c r="F21" i="11"/>
  <c r="F13" i="11"/>
  <c r="F5" i="11"/>
  <c r="F6" i="11"/>
  <c r="F14" i="11"/>
  <c r="F22" i="11"/>
  <c r="G6" i="11"/>
  <c r="G14" i="11"/>
  <c r="G22" i="11"/>
  <c r="F11" i="11"/>
  <c r="F19" i="11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AL3" i="7"/>
  <c r="AL4" i="7"/>
  <c r="AL5" i="7"/>
  <c r="AL6" i="7"/>
  <c r="AL7" i="7"/>
  <c r="AK4" i="7"/>
  <c r="AK5" i="7"/>
  <c r="AK6" i="7"/>
  <c r="AK7" i="7"/>
  <c r="F24" i="11" l="1"/>
  <c r="G24" i="11"/>
  <c r="G21" i="2"/>
  <c r="B21" i="2"/>
  <c r="AD21" i="2"/>
  <c r="V21" i="2"/>
  <c r="N21" i="2"/>
  <c r="F21" i="2"/>
  <c r="AC21" i="2"/>
  <c r="U21" i="2"/>
  <c r="M21" i="2"/>
  <c r="E21" i="2"/>
  <c r="AB21" i="2"/>
  <c r="T21" i="2"/>
  <c r="L21" i="2"/>
  <c r="D21" i="2"/>
  <c r="AA21" i="2"/>
  <c r="S21" i="2"/>
  <c r="K21" i="2"/>
  <c r="C21" i="2"/>
  <c r="Z21" i="2"/>
  <c r="R21" i="2"/>
  <c r="J21" i="2"/>
  <c r="Y21" i="2"/>
  <c r="Q21" i="2"/>
  <c r="I21" i="2"/>
  <c r="AF21" i="2"/>
  <c r="X21" i="2"/>
  <c r="P21" i="2"/>
  <c r="H21" i="2"/>
  <c r="AE21" i="2"/>
  <c r="W21" i="2"/>
  <c r="O21" i="2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B144" i="3"/>
  <c r="B145" i="3"/>
  <c r="B146" i="3"/>
  <c r="B147" i="3"/>
  <c r="B148" i="3"/>
  <c r="B149" i="3"/>
  <c r="B150" i="3"/>
  <c r="B14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B124" i="3"/>
  <c r="B125" i="3"/>
  <c r="B126" i="3"/>
  <c r="B127" i="3"/>
  <c r="B128" i="3"/>
  <c r="B129" i="3"/>
  <c r="B130" i="3"/>
  <c r="B123" i="3"/>
  <c r="C113" i="3"/>
  <c r="C19" i="2" s="1"/>
  <c r="D113" i="3"/>
  <c r="D19" i="2" s="1"/>
  <c r="E113" i="3"/>
  <c r="E19" i="2" s="1"/>
  <c r="F113" i="3"/>
  <c r="F19" i="2" s="1"/>
  <c r="G113" i="3"/>
  <c r="G19" i="2" s="1"/>
  <c r="H113" i="3"/>
  <c r="H19" i="2" s="1"/>
  <c r="I113" i="3"/>
  <c r="I19" i="2" s="1"/>
  <c r="J113" i="3"/>
  <c r="J19" i="2" s="1"/>
  <c r="K113" i="3"/>
  <c r="K19" i="2" s="1"/>
  <c r="L113" i="3"/>
  <c r="L19" i="2" s="1"/>
  <c r="M113" i="3"/>
  <c r="M19" i="2" s="1"/>
  <c r="N113" i="3"/>
  <c r="N19" i="2" s="1"/>
  <c r="O113" i="3"/>
  <c r="O19" i="2" s="1"/>
  <c r="P113" i="3"/>
  <c r="P19" i="2" s="1"/>
  <c r="Q113" i="3"/>
  <c r="Q19" i="2" s="1"/>
  <c r="R113" i="3"/>
  <c r="R19" i="2" s="1"/>
  <c r="S113" i="3"/>
  <c r="S19" i="2" s="1"/>
  <c r="T113" i="3"/>
  <c r="T19" i="2" s="1"/>
  <c r="U113" i="3"/>
  <c r="U19" i="2" s="1"/>
  <c r="V113" i="3"/>
  <c r="V19" i="2" s="1"/>
  <c r="W113" i="3"/>
  <c r="W19" i="2" s="1"/>
  <c r="X113" i="3"/>
  <c r="X19" i="2" s="1"/>
  <c r="Y113" i="3"/>
  <c r="Y19" i="2" s="1"/>
  <c r="Z113" i="3"/>
  <c r="Z19" i="2" s="1"/>
  <c r="AA113" i="3"/>
  <c r="AA19" i="2" s="1"/>
  <c r="AB113" i="3"/>
  <c r="AB19" i="2" s="1"/>
  <c r="AC113" i="3"/>
  <c r="AC19" i="2" s="1"/>
  <c r="AD113" i="3"/>
  <c r="AD19" i="2" s="1"/>
  <c r="AE113" i="3"/>
  <c r="AE19" i="2" s="1"/>
  <c r="AF113" i="3"/>
  <c r="AF19" i="2" s="1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B114" i="3"/>
  <c r="B115" i="3"/>
  <c r="B116" i="3"/>
  <c r="B117" i="3"/>
  <c r="B118" i="3"/>
  <c r="B119" i="3"/>
  <c r="B120" i="3"/>
  <c r="B113" i="3"/>
  <c r="B19" i="2" s="1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B104" i="3"/>
  <c r="B105" i="3"/>
  <c r="B106" i="3"/>
  <c r="B107" i="3"/>
  <c r="B108" i="3"/>
  <c r="B109" i="3"/>
  <c r="B110" i="3"/>
  <c r="B10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B94" i="3"/>
  <c r="B95" i="3"/>
  <c r="B96" i="3"/>
  <c r="B97" i="3"/>
  <c r="B98" i="3"/>
  <c r="B99" i="3"/>
  <c r="B100" i="3"/>
  <c r="B9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B84" i="3"/>
  <c r="B85" i="3"/>
  <c r="B86" i="3"/>
  <c r="B87" i="3"/>
  <c r="B88" i="3"/>
  <c r="B89" i="3"/>
  <c r="B90" i="3"/>
  <c r="B8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B74" i="3"/>
  <c r="B75" i="3"/>
  <c r="B76" i="3"/>
  <c r="B77" i="3"/>
  <c r="B78" i="3"/>
  <c r="B79" i="3"/>
  <c r="B80" i="3"/>
  <c r="B7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B64" i="3"/>
  <c r="B65" i="3"/>
  <c r="B66" i="3"/>
  <c r="B67" i="3"/>
  <c r="B68" i="3"/>
  <c r="B69" i="3"/>
  <c r="B70" i="3"/>
  <c r="B6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B54" i="3"/>
  <c r="B55" i="3"/>
  <c r="B56" i="3"/>
  <c r="B57" i="3"/>
  <c r="B58" i="3"/>
  <c r="B59" i="3"/>
  <c r="B60" i="3"/>
  <c r="B5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B44" i="3"/>
  <c r="B45" i="3"/>
  <c r="B46" i="3"/>
  <c r="B47" i="3"/>
  <c r="B48" i="3"/>
  <c r="B49" i="3"/>
  <c r="B50" i="3"/>
  <c r="B4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B34" i="3"/>
  <c r="B35" i="3"/>
  <c r="B36" i="3"/>
  <c r="B37" i="3"/>
  <c r="B38" i="3"/>
  <c r="B39" i="3"/>
  <c r="B40" i="3"/>
  <c r="B33" i="3"/>
  <c r="D51" i="11" l="1"/>
  <c r="D52" i="11"/>
  <c r="D47" i="11"/>
  <c r="D41" i="11"/>
  <c r="D35" i="11"/>
  <c r="D54" i="11"/>
  <c r="D37" i="11"/>
  <c r="D44" i="11"/>
  <c r="D31" i="11"/>
  <c r="D42" i="11"/>
  <c r="D33" i="11"/>
  <c r="D36" i="11"/>
  <c r="D50" i="11"/>
  <c r="D34" i="11"/>
  <c r="C40" i="11"/>
  <c r="C43" i="11"/>
  <c r="C35" i="11"/>
  <c r="C31" i="11"/>
  <c r="C97" i="11" s="1"/>
  <c r="D97" i="11" s="1"/>
  <c r="C29" i="11"/>
  <c r="C52" i="11"/>
  <c r="C38" i="11"/>
  <c r="C55" i="11"/>
  <c r="C28" i="11"/>
  <c r="C47" i="11"/>
  <c r="C113" i="11" s="1"/>
  <c r="D113" i="11" s="1"/>
  <c r="C51" i="11"/>
  <c r="C117" i="11" s="1"/>
  <c r="D117" i="11" s="1"/>
  <c r="C50" i="11"/>
  <c r="C48" i="11"/>
  <c r="C32" i="11"/>
  <c r="C45" i="11"/>
  <c r="C49" i="11"/>
  <c r="C53" i="11"/>
  <c r="C46" i="11"/>
  <c r="C30" i="11"/>
  <c r="D43" i="11"/>
  <c r="D49" i="11"/>
  <c r="D29" i="11"/>
  <c r="D53" i="11"/>
  <c r="D28" i="11"/>
  <c r="C44" i="11"/>
  <c r="C36" i="11"/>
  <c r="C102" i="11" s="1"/>
  <c r="D102" i="11" s="1"/>
  <c r="C39" i="11"/>
  <c r="C27" i="11"/>
  <c r="C42" i="11"/>
  <c r="C34" i="11"/>
  <c r="D39" i="11"/>
  <c r="D27" i="11"/>
  <c r="C41" i="11"/>
  <c r="C107" i="11" s="1"/>
  <c r="D107" i="11" s="1"/>
  <c r="D48" i="11"/>
  <c r="D40" i="11"/>
  <c r="D32" i="11"/>
  <c r="D45" i="11"/>
  <c r="D55" i="11"/>
  <c r="C37" i="11"/>
  <c r="C33" i="11"/>
  <c r="C99" i="11" s="1"/>
  <c r="D99" i="11" s="1"/>
  <c r="C54" i="11"/>
  <c r="D46" i="11"/>
  <c r="D38" i="11"/>
  <c r="D30" i="11"/>
  <c r="V12" i="2"/>
  <c r="G10" i="2"/>
  <c r="F14" i="2"/>
  <c r="AD22" i="2"/>
  <c r="L9" i="2"/>
  <c r="D10" i="2"/>
  <c r="AC11" i="2"/>
  <c r="M11" i="2"/>
  <c r="T12" i="2"/>
  <c r="E12" i="2"/>
  <c r="AA13" i="2"/>
  <c r="AB13" i="2"/>
  <c r="D13" i="2"/>
  <c r="U13" i="2"/>
  <c r="M13" i="2"/>
  <c r="T14" i="2"/>
  <c r="AC14" i="2"/>
  <c r="E14" i="2"/>
  <c r="D9" i="2"/>
  <c r="L10" i="2"/>
  <c r="L11" i="2"/>
  <c r="T20" i="2"/>
  <c r="T22" i="2"/>
  <c r="L22" i="2"/>
  <c r="K9" i="2"/>
  <c r="X10" i="2"/>
  <c r="H12" i="2"/>
  <c r="H14" i="2"/>
  <c r="AF20" i="2"/>
  <c r="P20" i="2"/>
  <c r="X22" i="2"/>
  <c r="I20" i="2"/>
  <c r="N9" i="2"/>
  <c r="F10" i="2"/>
  <c r="F13" i="2"/>
  <c r="L20" i="2"/>
  <c r="U20" i="2"/>
  <c r="N20" i="2"/>
  <c r="V22" i="2"/>
  <c r="T9" i="2"/>
  <c r="AB10" i="2"/>
  <c r="T10" i="2"/>
  <c r="AB11" i="2"/>
  <c r="D11" i="2"/>
  <c r="L12" i="2"/>
  <c r="D12" i="2"/>
  <c r="T13" i="2"/>
  <c r="L14" i="2"/>
  <c r="AB20" i="2"/>
  <c r="D20" i="2"/>
  <c r="AB22" i="2"/>
  <c r="D22" i="2"/>
  <c r="AA9" i="2"/>
  <c r="S9" i="2"/>
  <c r="C9" i="2"/>
  <c r="AA10" i="2"/>
  <c r="S10" i="2"/>
  <c r="K10" i="2"/>
  <c r="C10" i="2"/>
  <c r="AA11" i="2"/>
  <c r="S11" i="2"/>
  <c r="K11" i="2"/>
  <c r="C11" i="2"/>
  <c r="AA12" i="2"/>
  <c r="S12" i="2"/>
  <c r="K12" i="2"/>
  <c r="C12" i="2"/>
  <c r="S13" i="2"/>
  <c r="K13" i="2"/>
  <c r="C13" i="2"/>
  <c r="AA14" i="2"/>
  <c r="S14" i="2"/>
  <c r="K14" i="2"/>
  <c r="C14" i="2"/>
  <c r="AA17" i="2"/>
  <c r="S17" i="2"/>
  <c r="K17" i="2"/>
  <c r="C17" i="2"/>
  <c r="AA18" i="2"/>
  <c r="S18" i="2"/>
  <c r="K18" i="2"/>
  <c r="C18" i="2"/>
  <c r="AA20" i="2"/>
  <c r="S20" i="2"/>
  <c r="K20" i="2"/>
  <c r="C20" i="2"/>
  <c r="AA22" i="2"/>
  <c r="S22" i="2"/>
  <c r="K22" i="2"/>
  <c r="C22" i="2"/>
  <c r="O9" i="2"/>
  <c r="Q9" i="2"/>
  <c r="AD10" i="2"/>
  <c r="I10" i="2"/>
  <c r="I11" i="2"/>
  <c r="J11" i="2"/>
  <c r="B13" i="2"/>
  <c r="Q13" i="2"/>
  <c r="J13" i="2"/>
  <c r="G14" i="2"/>
  <c r="R14" i="2"/>
  <c r="R17" i="2"/>
  <c r="R18" i="2"/>
  <c r="B20" i="2"/>
  <c r="V20" i="2"/>
  <c r="Y20" i="2"/>
  <c r="Z20" i="2"/>
  <c r="R20" i="2"/>
  <c r="J20" i="2"/>
  <c r="B22" i="2"/>
  <c r="G22" i="2"/>
  <c r="Y22" i="2"/>
  <c r="Q22" i="2"/>
  <c r="I22" i="2"/>
  <c r="Z22" i="2"/>
  <c r="R22" i="2"/>
  <c r="J22" i="2"/>
  <c r="AE9" i="2"/>
  <c r="J9" i="2"/>
  <c r="J10" i="2"/>
  <c r="F11" i="2"/>
  <c r="Q11" i="2"/>
  <c r="Z11" i="2"/>
  <c r="B12" i="2"/>
  <c r="G12" i="2"/>
  <c r="Q12" i="2"/>
  <c r="Z12" i="2"/>
  <c r="R12" i="2"/>
  <c r="R13" i="2"/>
  <c r="Z14" i="2"/>
  <c r="J14" i="2"/>
  <c r="Z17" i="2"/>
  <c r="B18" i="2"/>
  <c r="Z18" i="2"/>
  <c r="B9" i="2"/>
  <c r="Y9" i="2"/>
  <c r="B11" i="2"/>
  <c r="AD11" i="2"/>
  <c r="R11" i="2"/>
  <c r="I12" i="2"/>
  <c r="J12" i="2"/>
  <c r="Z13" i="2"/>
  <c r="B14" i="2"/>
  <c r="B17" i="2"/>
  <c r="J17" i="2"/>
  <c r="J18" i="2"/>
  <c r="AF9" i="2"/>
  <c r="H9" i="2"/>
  <c r="W11" i="2"/>
  <c r="O11" i="2"/>
  <c r="H11" i="2"/>
  <c r="AE12" i="2"/>
  <c r="AE13" i="2"/>
  <c r="G13" i="2"/>
  <c r="H13" i="2"/>
  <c r="AE14" i="2"/>
  <c r="R10" i="2"/>
  <c r="Z9" i="2"/>
  <c r="Z10" i="2"/>
  <c r="Y10" i="2"/>
  <c r="Y11" i="2"/>
  <c r="Y12" i="2"/>
  <c r="Y13" i="2"/>
  <c r="I13" i="2"/>
  <c r="Y14" i="2"/>
  <c r="Q14" i="2"/>
  <c r="I14" i="2"/>
  <c r="Q20" i="2"/>
  <c r="X9" i="2"/>
  <c r="P9" i="2"/>
  <c r="W10" i="2"/>
  <c r="AF10" i="2"/>
  <c r="P10" i="2"/>
  <c r="H10" i="2"/>
  <c r="AF11" i="2"/>
  <c r="X11" i="2"/>
  <c r="P11" i="2"/>
  <c r="O12" i="2"/>
  <c r="AF12" i="2"/>
  <c r="X12" i="2"/>
  <c r="P12" i="2"/>
  <c r="O13" i="2"/>
  <c r="AF13" i="2"/>
  <c r="X13" i="2"/>
  <c r="P13" i="2"/>
  <c r="O14" i="2"/>
  <c r="AF14" i="2"/>
  <c r="X14" i="2"/>
  <c r="P14" i="2"/>
  <c r="AF17" i="2"/>
  <c r="X17" i="2"/>
  <c r="P17" i="2"/>
  <c r="H17" i="2"/>
  <c r="AF18" i="2"/>
  <c r="X18" i="2"/>
  <c r="P18" i="2"/>
  <c r="H18" i="2"/>
  <c r="X20" i="2"/>
  <c r="H20" i="2"/>
  <c r="W22" i="2"/>
  <c r="AF22" i="2"/>
  <c r="P22" i="2"/>
  <c r="H22" i="2"/>
  <c r="R9" i="2"/>
  <c r="W9" i="2"/>
  <c r="AE10" i="2"/>
  <c r="AE11" i="2"/>
  <c r="W12" i="2"/>
  <c r="W13" i="2"/>
  <c r="AE20" i="2"/>
  <c r="O20" i="2"/>
  <c r="AE22" i="2"/>
  <c r="F9" i="2"/>
  <c r="V10" i="2"/>
  <c r="N10" i="2"/>
  <c r="V11" i="2"/>
  <c r="N11" i="2"/>
  <c r="AD12" i="2"/>
  <c r="N12" i="2"/>
  <c r="F12" i="2"/>
  <c r="AD13" i="2"/>
  <c r="V13" i="2"/>
  <c r="N13" i="2"/>
  <c r="AD14" i="2"/>
  <c r="V14" i="2"/>
  <c r="N14" i="2"/>
  <c r="AD17" i="2"/>
  <c r="V17" i="2"/>
  <c r="N17" i="2"/>
  <c r="F17" i="2"/>
  <c r="AD18" i="2"/>
  <c r="V18" i="2"/>
  <c r="N18" i="2"/>
  <c r="F18" i="2"/>
  <c r="E20" i="2"/>
  <c r="AD20" i="2"/>
  <c r="F20" i="2"/>
  <c r="N22" i="2"/>
  <c r="F22" i="2"/>
  <c r="B10" i="2"/>
  <c r="Q10" i="2"/>
  <c r="I9" i="2"/>
  <c r="G9" i="2"/>
  <c r="O10" i="2"/>
  <c r="G11" i="2"/>
  <c r="W14" i="2"/>
  <c r="W20" i="2"/>
  <c r="G20" i="2"/>
  <c r="O22" i="2"/>
  <c r="AD9" i="2"/>
  <c r="V9" i="2"/>
  <c r="AB9" i="2"/>
  <c r="AC9" i="2"/>
  <c r="U9" i="2"/>
  <c r="M9" i="2"/>
  <c r="E9" i="2"/>
  <c r="AC10" i="2"/>
  <c r="U10" i="2"/>
  <c r="M10" i="2"/>
  <c r="E10" i="2"/>
  <c r="T11" i="2"/>
  <c r="U11" i="2"/>
  <c r="E11" i="2"/>
  <c r="AB12" i="2"/>
  <c r="AC12" i="2"/>
  <c r="U12" i="2"/>
  <c r="M12" i="2"/>
  <c r="L13" i="2"/>
  <c r="AC13" i="2"/>
  <c r="E13" i="2"/>
  <c r="AB14" i="2"/>
  <c r="D14" i="2"/>
  <c r="U14" i="2"/>
  <c r="M14" i="2"/>
  <c r="AC20" i="2"/>
  <c r="M20" i="2"/>
  <c r="AC22" i="2"/>
  <c r="U22" i="2"/>
  <c r="M22" i="2"/>
  <c r="E22" i="2"/>
  <c r="Y17" i="2"/>
  <c r="Q17" i="2"/>
  <c r="I17" i="2"/>
  <c r="Y18" i="2"/>
  <c r="Q18" i="2"/>
  <c r="I18" i="2"/>
  <c r="AE17" i="2"/>
  <c r="W17" i="2"/>
  <c r="O17" i="2"/>
  <c r="G17" i="2"/>
  <c r="AE18" i="2"/>
  <c r="W18" i="2"/>
  <c r="O18" i="2"/>
  <c r="G18" i="2"/>
  <c r="U17" i="2"/>
  <c r="E17" i="2"/>
  <c r="U18" i="2"/>
  <c r="E18" i="2"/>
  <c r="AC17" i="2"/>
  <c r="M17" i="2"/>
  <c r="AC18" i="2"/>
  <c r="M18" i="2"/>
  <c r="AB17" i="2"/>
  <c r="T17" i="2"/>
  <c r="L17" i="2"/>
  <c r="D17" i="2"/>
  <c r="AB18" i="2"/>
  <c r="T18" i="2"/>
  <c r="L18" i="2"/>
  <c r="D18" i="2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B24" i="3"/>
  <c r="B25" i="3"/>
  <c r="B26" i="3"/>
  <c r="B27" i="3"/>
  <c r="B28" i="3"/>
  <c r="B29" i="3"/>
  <c r="B30" i="3"/>
  <c r="B2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B14" i="3"/>
  <c r="B15" i="3"/>
  <c r="B16" i="3"/>
  <c r="B17" i="3"/>
  <c r="B18" i="3"/>
  <c r="B19" i="3"/>
  <c r="B20" i="3"/>
  <c r="B1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B4" i="3"/>
  <c r="B5" i="3"/>
  <c r="B6" i="3"/>
  <c r="B7" i="3"/>
  <c r="B8" i="3"/>
  <c r="B9" i="3"/>
  <c r="B10" i="3"/>
  <c r="B3" i="3"/>
  <c r="C108" i="11" l="1"/>
  <c r="D108" i="11" s="1"/>
  <c r="C120" i="11"/>
  <c r="D120" i="11" s="1"/>
  <c r="C116" i="11"/>
  <c r="D116" i="11" s="1"/>
  <c r="C119" i="11"/>
  <c r="D119" i="11" s="1"/>
  <c r="C115" i="11"/>
  <c r="D115" i="11" s="1"/>
  <c r="C94" i="11"/>
  <c r="D94" i="11" s="1"/>
  <c r="C105" i="11"/>
  <c r="D105" i="11" s="1"/>
  <c r="C121" i="11"/>
  <c r="D121" i="11" s="1"/>
  <c r="C112" i="11"/>
  <c r="D112" i="11" s="1"/>
  <c r="C109" i="11"/>
  <c r="D109" i="11" s="1"/>
  <c r="C106" i="11"/>
  <c r="D106" i="11" s="1"/>
  <c r="C118" i="11"/>
  <c r="D118" i="11" s="1"/>
  <c r="C103" i="11"/>
  <c r="D103" i="11" s="1"/>
  <c r="C111" i="11"/>
  <c r="D111" i="11" s="1"/>
  <c r="C104" i="11"/>
  <c r="D104" i="11" s="1"/>
  <c r="C100" i="11"/>
  <c r="D100" i="11" s="1"/>
  <c r="C98" i="11"/>
  <c r="D98" i="11" s="1"/>
  <c r="C114" i="11"/>
  <c r="D114" i="11" s="1"/>
  <c r="C95" i="11"/>
  <c r="D95" i="11" s="1"/>
  <c r="C110" i="11"/>
  <c r="D110" i="11" s="1"/>
  <c r="C93" i="11"/>
  <c r="D93" i="11" s="1"/>
  <c r="C96" i="11"/>
  <c r="D96" i="11" s="1"/>
  <c r="C101" i="11"/>
  <c r="D101" i="11" s="1"/>
  <c r="B5" i="2"/>
  <c r="Z5" i="2"/>
  <c r="R5" i="2"/>
  <c r="J5" i="2"/>
  <c r="Z3" i="2"/>
  <c r="J3" i="2"/>
  <c r="B3" i="2"/>
  <c r="R3" i="2"/>
  <c r="I5" i="2"/>
  <c r="X3" i="2"/>
  <c r="H5" i="2"/>
  <c r="Y3" i="2"/>
  <c r="Q5" i="2"/>
  <c r="AF3" i="2"/>
  <c r="AE3" i="2"/>
  <c r="W3" i="2"/>
  <c r="O3" i="2"/>
  <c r="G3" i="2"/>
  <c r="AE5" i="2"/>
  <c r="W5" i="2"/>
  <c r="O5" i="2"/>
  <c r="G5" i="2"/>
  <c r="Y5" i="2"/>
  <c r="H3" i="2"/>
  <c r="P5" i="2"/>
  <c r="AD3" i="2"/>
  <c r="V3" i="2"/>
  <c r="N3" i="2"/>
  <c r="F3" i="2"/>
  <c r="AD5" i="2"/>
  <c r="V5" i="2"/>
  <c r="N5" i="2"/>
  <c r="F5" i="2"/>
  <c r="X5" i="2"/>
  <c r="AC3" i="2"/>
  <c r="U3" i="2"/>
  <c r="M3" i="2"/>
  <c r="E3" i="2"/>
  <c r="AC5" i="2"/>
  <c r="U5" i="2"/>
  <c r="M5" i="2"/>
  <c r="E5" i="2"/>
  <c r="I3" i="2"/>
  <c r="AB3" i="2"/>
  <c r="T3" i="2"/>
  <c r="L3" i="2"/>
  <c r="D3" i="2"/>
  <c r="AB5" i="2"/>
  <c r="T5" i="2"/>
  <c r="L5" i="2"/>
  <c r="D5" i="2"/>
  <c r="Q3" i="2"/>
  <c r="P3" i="2"/>
  <c r="AF5" i="2"/>
  <c r="AA3" i="2"/>
  <c r="S3" i="2"/>
  <c r="K3" i="2"/>
  <c r="C3" i="2"/>
  <c r="AA5" i="2"/>
  <c r="S5" i="2"/>
  <c r="K5" i="2"/>
  <c r="C5" i="2"/>
  <c r="B4" i="2" l="1" a="1"/>
  <c r="B4" i="2" s="1"/>
  <c r="AT4" i="2"/>
  <c r="AQ4" i="2"/>
  <c r="AP4" i="2"/>
  <c r="AO4" i="2"/>
  <c r="AU4" i="2"/>
  <c r="AM4" i="2"/>
  <c r="AZ4" i="2"/>
  <c r="AL4" i="2"/>
  <c r="AY4" i="2"/>
  <c r="AJ4" i="2"/>
  <c r="AK4" i="2"/>
  <c r="AW4" i="2"/>
  <c r="AH4" i="2"/>
  <c r="AR4" i="2"/>
  <c r="AN4" i="2"/>
  <c r="AX4" i="2"/>
  <c r="AI4" i="2"/>
  <c r="AS4" i="2"/>
  <c r="AV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0" i="11"/>
  <c r="E29" i="11"/>
  <c r="E28" i="11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<sst xmlns="http://schemas.openxmlformats.org/spreadsheetml/2006/main" count="2389" uniqueCount="1728">
  <si>
    <t>Source:</t>
  </si>
  <si>
    <t>Notes</t>
  </si>
  <si>
    <t>hard coal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</si>
  <si>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</si>
  <si>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</si>
  <si>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</si>
  <si>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</si>
  <si>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</si>
  <si>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</si>
  <si>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</si>
  <si>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</si>
  <si>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</si>
  <si>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hydro (is not a fuel)</t>
  </si>
  <si>
    <t>wind (is not a fuel)</t>
  </si>
  <si>
    <t>solar (is not a fuel)</t>
  </si>
  <si>
    <t>geothermal (is not a fuel)</t>
  </si>
  <si>
    <t>The prices in this variable should include export taxes, if any.  In other words, they should be</t>
  </si>
  <si>
    <t>the prices paid on the global market.  For more details on export taxes, see variable fuels/ETRbF.</t>
  </si>
  <si>
    <t>Nuclear here refers to nuclear fuel, i.e. uranium oxide, not electricity from nuclear plants.</t>
  </si>
  <si>
    <t>Electricity exports are handled separately (in the power sector), not in this variable.</t>
  </si>
  <si>
    <t>heat (energy carrier)</t>
  </si>
  <si>
    <t>electricity (energy carrier)</t>
  </si>
  <si>
    <t>Hard Coal</t>
  </si>
  <si>
    <t>Transportation Sector Price ($/BTU)</t>
  </si>
  <si>
    <t>Electricity Sector Price ($/BTU)</t>
  </si>
  <si>
    <t>Residential Buildings Sector Price ($/BTU)</t>
  </si>
  <si>
    <t>Commercial Buildings Sector Price ($/BTU)</t>
  </si>
  <si>
    <t>Industry Sector Price ($/BTU)</t>
  </si>
  <si>
    <t>District Heating Sector Price ($/BTU)</t>
  </si>
  <si>
    <t>LULUCF Sector Price ($/BTU)</t>
  </si>
  <si>
    <t>Year</t>
  </si>
  <si>
    <t>Natural Gas</t>
  </si>
  <si>
    <t>Nuclear</t>
  </si>
  <si>
    <t>Biomass</t>
  </si>
  <si>
    <t>Petroleum Gasoline</t>
  </si>
  <si>
    <t>Petroleum Diesel</t>
  </si>
  <si>
    <t>Biofuel Gasoline</t>
  </si>
  <si>
    <t>Biofuel Diesel</t>
  </si>
  <si>
    <t>Jet Fuel</t>
  </si>
  <si>
    <t>Lignite</t>
  </si>
  <si>
    <t>IMFPbFT International Market Fuel Price by Fuel Type</t>
  </si>
  <si>
    <t>crude oil</t>
  </si>
  <si>
    <t>heavy fuel oil</t>
  </si>
  <si>
    <t>LPG propane or butane</t>
  </si>
  <si>
    <t>municipal solid waste</t>
  </si>
  <si>
    <t>hydrogen</t>
  </si>
  <si>
    <t>Crude Oil</t>
  </si>
  <si>
    <t>Heavy Fuel Oil</t>
  </si>
  <si>
    <t>LPG Propane or Butane</t>
  </si>
  <si>
    <t>Municipal Solid Waste</t>
  </si>
  <si>
    <t>Hydrogen</t>
  </si>
  <si>
    <t>International Market 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</si>
  <si>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</si>
  <si>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</si>
  <si>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</si>
  <si>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</si>
  <si>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</si>
  <si>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</si>
  <si>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</si>
  <si>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</si>
  <si>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Electricity Fuel Use</t>
  </si>
  <si>
    <t>Building Components Energy Use</t>
  </si>
  <si>
    <t>residential</t>
  </si>
  <si>
    <t>commercial</t>
  </si>
  <si>
    <t>Industrial Fuel Use</t>
  </si>
  <si>
    <t>Transportation</t>
  </si>
  <si>
    <t>For fuels that vary by sector, we take a weighted average based on the first year consumption in the model.</t>
  </si>
  <si>
    <t>Fuel Use by Sector (EPS output)</t>
  </si>
  <si>
    <t>We estimate this value based on the prices seen within the United States.</t>
  </si>
  <si>
    <t>see fuels/BFPaT and EPS outputs referenced in BAU Fuel Use by Sector tab</t>
  </si>
  <si>
    <t>Time</t>
  </si>
  <si>
    <t>Electricity Fuel Use[hard coal es,preexisting retiring]</t>
  </si>
  <si>
    <t>Electricity Fuel Use[hard coal es,preexisting nonretiring]</t>
  </si>
  <si>
    <t>Electricity Fuel Use[hard coal es,newly built]</t>
  </si>
  <si>
    <t>Electricity Fuel Use[natural gas nonpeaker es,preexisting retiring]</t>
  </si>
  <si>
    <t>Electricity Fuel Use[natural gas nonpeaker es,preexisting nonretiring]</t>
  </si>
  <si>
    <t>Electricity Fuel Use[natural gas nonpeaker es,newly built]</t>
  </si>
  <si>
    <t>Electricity Fuel Use[nuclear es,preexisting retiring]</t>
  </si>
  <si>
    <t>Electricity Fuel Use[nuclear es,preexisting nonretiring]</t>
  </si>
  <si>
    <t>Electricity Fuel Use[nuclear es,newly built]</t>
  </si>
  <si>
    <t>Electricity Fuel Use[hydro es,preexisting retiring]</t>
  </si>
  <si>
    <t>Electricity Fuel Use[hydro es,preexisting nonretiring]</t>
  </si>
  <si>
    <t>Electricity Fuel Use[hydro es,newly built]</t>
  </si>
  <si>
    <t>Electricity Fuel Use[onshore wind es,preexisting retiring]</t>
  </si>
  <si>
    <t>Electricity Fuel Use[onshore wind es,preexisting nonretiring]</t>
  </si>
  <si>
    <t>Electricity Fuel Use[onshore wind es,newly built]</t>
  </si>
  <si>
    <t>Electricity Fuel Use[solar PV es,preexisting retiring]</t>
  </si>
  <si>
    <t>Electricity Fuel Use[solar PV es,preexisting nonretiring]</t>
  </si>
  <si>
    <t>Electricity Fuel Use[solar PV es,newly built]</t>
  </si>
  <si>
    <t>Electricity Fuel Use[solar thermal es,preexisting retiring]</t>
  </si>
  <si>
    <t>Electricity Fuel Use[solar thermal es,preexisting nonretiring]</t>
  </si>
  <si>
    <t>Electricity Fuel Use[solar thermal es,newly built]</t>
  </si>
  <si>
    <t>Electricity Fuel Use[biomass es,preexisting retiring]</t>
  </si>
  <si>
    <t>Electricity Fuel Use[biomass es,preexisting nonretiring]</t>
  </si>
  <si>
    <t>Electricity Fuel Use[biomass es,newly built]</t>
  </si>
  <si>
    <t>Electricity Fuel Use[geothermal es,preexisting retiring]</t>
  </si>
  <si>
    <t>Electricity Fuel Use[geothermal es,preexisting nonretiring]</t>
  </si>
  <si>
    <t>Electricity Fuel Use[geothermal es,newly built]</t>
  </si>
  <si>
    <t>Electricity Fuel Use[petroleum es,preexisting retiring]</t>
  </si>
  <si>
    <t>Electricity Fuel Use[petroleum es,preexisting nonretiring]</t>
  </si>
  <si>
    <t>Electricity Fuel Use[petroleum es,newly built]</t>
  </si>
  <si>
    <t>Electricity Fuel Use[natural gas peaker es,preexisting retiring]</t>
  </si>
  <si>
    <t>Electricity Fuel Use[natural gas peaker es,preexisting nonretiring]</t>
  </si>
  <si>
    <t>Electricity Fuel Use[natural gas peaker es,newly built]</t>
  </si>
  <si>
    <t>Electricity Fuel Use[lignite es,preexisting retiring]</t>
  </si>
  <si>
    <t>Electricity Fuel Use[lignite es,preexisting nonretiring]</t>
  </si>
  <si>
    <t>Electricity Fuel Use[lignite es,newly built]</t>
  </si>
  <si>
    <t>Electricity Fuel Use[offshore wind es,preexisting retiring]</t>
  </si>
  <si>
    <t>Electricity Fuel Use[offshore wind es,preexisting nonretiring]</t>
  </si>
  <si>
    <t>Electricity Fuel Use[offshore wind es,newly built]</t>
  </si>
  <si>
    <t>Electricity Fuel Use[crude oil es,preexisting retiring]</t>
  </si>
  <si>
    <t>Electricity Fuel Use[crude oil es,preexisting nonretiring]</t>
  </si>
  <si>
    <t>Electricity Fuel Use[crude oil es,newly built]</t>
  </si>
  <si>
    <t>Electricity Fuel Use[heavy or residual fuel oil es,preexisting retiring]</t>
  </si>
  <si>
    <t>Electricity Fuel Use[heavy or residual fuel oil es,preexisting nonretiring]</t>
  </si>
  <si>
    <t>Electricity Fuel Use[heavy or residual fuel oil es,newly built]</t>
  </si>
  <si>
    <t>Electricity Fuel Use[municipal solid waste es,preexisting retiring]</t>
  </si>
  <si>
    <t>Electricity Fuel Use[municipal solid waste es,preexisting nonretiring]</t>
  </si>
  <si>
    <t>Electricity Fuel Use[municipal solid waste es,newly built]</t>
  </si>
  <si>
    <t>Industrial Fuel Use[electricity if,agriculture and forestry 01T03]</t>
  </si>
  <si>
    <t>Industrial Fuel Use[electricity if,coal mining 05]</t>
  </si>
  <si>
    <t>Industrial Fuel Use[electricity if,oil and gas extraction 06]</t>
  </si>
  <si>
    <t>Industrial Fuel Use[electricity if,other mining and quarrying 07T08]</t>
  </si>
  <si>
    <t>Industrial Fuel Use[electricity if,food beverage and tobacco 10T12]</t>
  </si>
  <si>
    <t>Industrial Fuel Use[electricity if,textiles apparel and leather 13T15]</t>
  </si>
  <si>
    <t>Industrial Fuel Use[electricity if,wood products 16]</t>
  </si>
  <si>
    <t>Industrial Fuel Use[electricity if,pulp paper and printing 17T18]</t>
  </si>
  <si>
    <t>Industrial Fuel Use[electricity if,refined petroleum and coke 19]</t>
  </si>
  <si>
    <t>Industrial Fuel Use[electricity if,chemicals 20]</t>
  </si>
  <si>
    <t>Industrial Fuel Use[electricity if,rubber and plastic products 22]</t>
  </si>
  <si>
    <t>Industrial Fuel Use[electricity if,glass and glass products 231]</t>
  </si>
  <si>
    <t>Industrial Fuel Use[electricity if,cement and other nonmetallic minerals 239]</t>
  </si>
  <si>
    <t>Industrial Fuel Use[electricity if,iron and steel 241]</t>
  </si>
  <si>
    <t>Industrial Fuel Use[electricity if,other metals 242]</t>
  </si>
  <si>
    <t>Industrial Fuel Use[electricity if,metal products except machinery and vehicles 25]</t>
  </si>
  <si>
    <t>Industrial Fuel Use[electricity if,computers and electronics 26]</t>
  </si>
  <si>
    <t>Industrial Fuel Use[electricity if,appliances and electrical equipment 27]</t>
  </si>
  <si>
    <t>Industrial Fuel Use[electricity if,other machinery 28]</t>
  </si>
  <si>
    <t>Industrial Fuel Use[electricity if,road vehicles 29]</t>
  </si>
  <si>
    <t>Industrial Fuel Use[electricity if,nonroad vehicles 30]</t>
  </si>
  <si>
    <t>Industrial Fuel Use[electricity if,other manufacturing 31T33]</t>
  </si>
  <si>
    <t>Industrial Fuel Use[electricity if,energy pipelines and gas processing 352T353]</t>
  </si>
  <si>
    <t>Industrial Fuel Use[electricity if,water and waste 36T39]</t>
  </si>
  <si>
    <t>Industrial Fuel Use[electricity if,construction 41T43]</t>
  </si>
  <si>
    <t>Industrial Fuel Use[hard coal if,agriculture and forestry 01T03]</t>
  </si>
  <si>
    <t>Industrial Fuel Use[hard coal if,coal mining 05]</t>
  </si>
  <si>
    <t>Industrial Fuel Use[hard coal if,oil and gas extraction 06]</t>
  </si>
  <si>
    <t>Industrial Fuel Use[hard coal if,other mining and quarrying 07T08]</t>
  </si>
  <si>
    <t>Industrial Fuel Use[hard coal if,food beverage and tobacco 10T12]</t>
  </si>
  <si>
    <t>Industrial Fuel Use[hard coal if,textiles apparel and leather 13T15]</t>
  </si>
  <si>
    <t>Industrial Fuel Use[hard coal if,wood products 16]</t>
  </si>
  <si>
    <t>Industrial Fuel Use[hard coal if,pulp paper and printing 17T18]</t>
  </si>
  <si>
    <t>Industrial Fuel Use[hard coal if,refined petroleum and coke 19]</t>
  </si>
  <si>
    <t>Industrial Fuel Use[hard coal if,chemicals 20]</t>
  </si>
  <si>
    <t>Industrial Fuel Use[hard coal if,rubber and plastic products 22]</t>
  </si>
  <si>
    <t>Industrial Fuel Use[hard coal if,glass and glass products 231]</t>
  </si>
  <si>
    <t>Industrial Fuel Use[hard coal if,cement and other nonmetallic minerals 239]</t>
  </si>
  <si>
    <t>Industrial Fuel Use[hard coal if,iron and steel 241]</t>
  </si>
  <si>
    <t>Industrial Fuel Use[hard coal if,other metals 242]</t>
  </si>
  <si>
    <t>Industrial Fuel Use[hard coal if,metal products except machinery and vehicles 25]</t>
  </si>
  <si>
    <t>Industrial Fuel Use[hard coal if,computers and electronics 26]</t>
  </si>
  <si>
    <t>Industrial Fuel Use[hard coal if,appliances and electrical equipment 27]</t>
  </si>
  <si>
    <t>Industrial Fuel Use[hard coal if,other machinery 28]</t>
  </si>
  <si>
    <t>Industrial Fuel Use[hard coal if,road vehicles 29]</t>
  </si>
  <si>
    <t>Industrial Fuel Use[hard coal if,nonroad vehicles 30]</t>
  </si>
  <si>
    <t>Industrial Fuel Use[hard coal if,other manufacturing 31T33]</t>
  </si>
  <si>
    <t>Industrial Fuel Use[hard coal if,energy pipelines and gas processing 352T353]</t>
  </si>
  <si>
    <t>Industrial Fuel Use[hard coal if,water and waste 36T39]</t>
  </si>
  <si>
    <t>Industrial Fuel Use[hard coal if,construction 41T43]</t>
  </si>
  <si>
    <t>Industrial Fuel Use[natural gas if,agriculture and forestry 01T03]</t>
  </si>
  <si>
    <t>Industrial Fuel Use[natural gas if,coal mining 05]</t>
  </si>
  <si>
    <t>Industrial Fuel Use[natural gas if,oil and gas extraction 06]</t>
  </si>
  <si>
    <t>Industrial Fuel Use[natural gas if,other mining and quarrying 07T08]</t>
  </si>
  <si>
    <t>Industrial Fuel Use[natural gas if,food beverage and tobacco 10T12]</t>
  </si>
  <si>
    <t>Industrial Fuel Use[natural gas if,textiles apparel and leather 13T15]</t>
  </si>
  <si>
    <t>Industrial Fuel Use[natural gas if,wood products 16]</t>
  </si>
  <si>
    <t>Industrial Fuel Use[natural gas if,pulp paper and printing 17T18]</t>
  </si>
  <si>
    <t>Industrial Fuel Use[natural gas if,refined petroleum and coke 19]</t>
  </si>
  <si>
    <t>Industrial Fuel Use[natural gas if,chemicals 20]</t>
  </si>
  <si>
    <t>Industrial Fuel Use[natural gas if,rubber and plastic products 22]</t>
  </si>
  <si>
    <t>Industrial Fuel Use[natural gas if,glass and glass products 231]</t>
  </si>
  <si>
    <t>Industrial Fuel Use[natural gas if,cement and other nonmetallic minerals 239]</t>
  </si>
  <si>
    <t>Industrial Fuel Use[natural gas if,iron and steel 241]</t>
  </si>
  <si>
    <t>Industrial Fuel Use[natural gas if,other metals 242]</t>
  </si>
  <si>
    <t>Industrial Fuel Use[natural gas if,metal products except machinery and vehicles 25]</t>
  </si>
  <si>
    <t>Industrial Fuel Use[natural gas if,computers and electronics 26]</t>
  </si>
  <si>
    <t>Industrial Fuel Use[natural gas if,appliances and electrical equipment 27]</t>
  </si>
  <si>
    <t>Industrial Fuel Use[natural gas if,other machinery 28]</t>
  </si>
  <si>
    <t>Industrial Fuel Use[natural gas if,road vehicles 29]</t>
  </si>
  <si>
    <t>Industrial Fuel Use[natural gas if,nonroad vehicles 30]</t>
  </si>
  <si>
    <t>Industrial Fuel Use[natural gas if,other manufacturing 31T33]</t>
  </si>
  <si>
    <t>Industrial Fuel Use[natural gas if,energy pipelines and gas processing 352T353]</t>
  </si>
  <si>
    <t>Industrial Fuel Use[natural gas if,water and waste 36T39]</t>
  </si>
  <si>
    <t>Industrial Fuel Use[natural gas if,construction 41T43]</t>
  </si>
  <si>
    <t>Industrial Fuel Use[biomass if,agriculture and forestry 01T03]</t>
  </si>
  <si>
    <t>Industrial Fuel Use[biomass if,coal mining 05]</t>
  </si>
  <si>
    <t>Industrial Fuel Use[biomass if,oil and gas extraction 06]</t>
  </si>
  <si>
    <t>Industrial Fuel Use[biomass if,other mining and quarrying 07T08]</t>
  </si>
  <si>
    <t>Industrial Fuel Use[biomass if,food beverage and tobacco 10T12]</t>
  </si>
  <si>
    <t>Industrial Fuel Use[biomass if,textiles apparel and leather 13T15]</t>
  </si>
  <si>
    <t>Industrial Fuel Use[biomass if,wood products 16]</t>
  </si>
  <si>
    <t>Industrial Fuel Use[biomass if,pulp paper and printing 17T18]</t>
  </si>
  <si>
    <t>Industrial Fuel Use[biomass if,refined petroleum and coke 19]</t>
  </si>
  <si>
    <t>Industrial Fuel Use[biomass if,chemicals 20]</t>
  </si>
  <si>
    <t>Industrial Fuel Use[biomass if,rubber and plastic products 22]</t>
  </si>
  <si>
    <t>Industrial Fuel Use[biomass if,glass and glass products 231]</t>
  </si>
  <si>
    <t>Industrial Fuel Use[biomass if,cement and other nonmetallic minerals 239]</t>
  </si>
  <si>
    <t>Industrial Fuel Use[biomass if,iron and steel 241]</t>
  </si>
  <si>
    <t>Industrial Fuel Use[biomass if,other metals 242]</t>
  </si>
  <si>
    <t>Industrial Fuel Use[biomass if,metal products except machinery and vehicles 25]</t>
  </si>
  <si>
    <t>Industrial Fuel Use[biomass if,computers and electronics 26]</t>
  </si>
  <si>
    <t>Industrial Fuel Use[biomass if,appliances and electrical equipment 27]</t>
  </si>
  <si>
    <t>Industrial Fuel Use[biomass if,other machinery 28]</t>
  </si>
  <si>
    <t>Industrial Fuel Use[biomass if,road vehicles 29]</t>
  </si>
  <si>
    <t>Industrial Fuel Use[biomass if,nonroad vehicles 30]</t>
  </si>
  <si>
    <t>Industrial Fuel Use[biomass if,other manufacturing 31T33]</t>
  </si>
  <si>
    <t>Industrial Fuel Use[biomass if,energy pipelines and gas processing 352T353]</t>
  </si>
  <si>
    <t>Industrial Fuel Use[biomass if,water and waste 36T39]</t>
  </si>
  <si>
    <t>Industrial Fuel Use[biomass if,construction 41T43]</t>
  </si>
  <si>
    <t>Industrial Fuel Use[petroleum diesel if,agriculture and forestry 01T03]</t>
  </si>
  <si>
    <t>Industrial Fuel Use[petroleum diesel if,coal mining 05]</t>
  </si>
  <si>
    <t>Industrial Fuel Use[petroleum diesel if,oil and gas extraction 06]</t>
  </si>
  <si>
    <t>Industrial Fuel Use[petroleum diesel if,other mining and quarrying 07T08]</t>
  </si>
  <si>
    <t>Industrial Fuel Use[petroleum diesel if,food beverage and tobacco 10T12]</t>
  </si>
  <si>
    <t>Industrial Fuel Use[petroleum diesel if,textiles apparel and leather 13T15]</t>
  </si>
  <si>
    <t>Industrial Fuel Use[petroleum diesel if,wood products 16]</t>
  </si>
  <si>
    <t>Industrial Fuel Use[petroleum diesel if,pulp paper and printing 17T18]</t>
  </si>
  <si>
    <t>Industrial Fuel Use[petroleum diesel if,refined petroleum and coke 19]</t>
  </si>
  <si>
    <t>Industrial Fuel Use[petroleum diesel if,chemicals 20]</t>
  </si>
  <si>
    <t>Industrial Fuel Use[petroleum diesel if,rubber and plastic products 22]</t>
  </si>
  <si>
    <t>Industrial Fuel Use[petroleum diesel if,glass and glass products 231]</t>
  </si>
  <si>
    <t>Industrial Fuel Use[petroleum diesel if,cement and other nonmetallic minerals 239]</t>
  </si>
  <si>
    <t>Industrial Fuel Use[petroleum diesel if,iron and steel 241]</t>
  </si>
  <si>
    <t>Industrial Fuel Use[petroleum diesel if,other metals 242]</t>
  </si>
  <si>
    <t>Industrial Fuel Use[petroleum diesel if,metal products except machinery and vehicles 25]</t>
  </si>
  <si>
    <t>Industrial Fuel Use[petroleum diesel if,computers and electronics 26]</t>
  </si>
  <si>
    <t>Industrial Fuel Use[petroleum diesel if,appliances and electrical equipment 27]</t>
  </si>
  <si>
    <t>Industrial Fuel Use[petroleum diesel if,other machinery 28]</t>
  </si>
  <si>
    <t>Industrial Fuel Use[petroleum diesel if,road vehicles 29]</t>
  </si>
  <si>
    <t>Industrial Fuel Use[petroleum diesel if,nonroad vehicles 30]</t>
  </si>
  <si>
    <t>Industrial Fuel Use[petroleum diesel if,other manufacturing 31T33]</t>
  </si>
  <si>
    <t>Industrial Fuel Use[petroleum diesel if,energy pipelines and gas processing 352T353]</t>
  </si>
  <si>
    <t>Industrial Fuel Use[petroleum diesel if,water and waste 36T39]</t>
  </si>
  <si>
    <t>Industrial Fuel Use[petroleum diesel if,construction 41T43]</t>
  </si>
  <si>
    <t>Industrial Fuel Use[heat if,agriculture and forestry 01T03]</t>
  </si>
  <si>
    <t>Industrial Fuel Use[heat if,coal mining 05]</t>
  </si>
  <si>
    <t>Industrial Fuel Use[heat if,oil and gas extraction 06]</t>
  </si>
  <si>
    <t>Industrial Fuel Use[heat if,other mining and quarrying 07T08]</t>
  </si>
  <si>
    <t>Industrial Fuel Use[heat if,food beverage and tobacco 10T12]</t>
  </si>
  <si>
    <t>Industrial Fuel Use[heat if,textiles apparel and leather 13T15]</t>
  </si>
  <si>
    <t>Industrial Fuel Use[heat if,wood products 16]</t>
  </si>
  <si>
    <t>Industrial Fuel Use[heat if,pulp paper and printing 17T18]</t>
  </si>
  <si>
    <t>Industrial Fuel Use[heat if,refined petroleum and coke 19]</t>
  </si>
  <si>
    <t>Industrial Fuel Use[heat if,chemicals 20]</t>
  </si>
  <si>
    <t>Industrial Fuel Use[heat if,rubber and plastic products 22]</t>
  </si>
  <si>
    <t>Industrial Fuel Use[heat if,glass and glass products 231]</t>
  </si>
  <si>
    <t>Industrial Fuel Use[heat if,cement and other nonmetallic minerals 239]</t>
  </si>
  <si>
    <t>Industrial Fuel Use[heat if,iron and steel 241]</t>
  </si>
  <si>
    <t>Industrial Fuel Use[heat if,other metals 242]</t>
  </si>
  <si>
    <t>Industrial Fuel Use[heat if,metal products except machinery and vehicles 25]</t>
  </si>
  <si>
    <t>Industrial Fuel Use[heat if,computers and electronics 26]</t>
  </si>
  <si>
    <t>Industrial Fuel Use[heat if,appliances and electrical equipment 27]</t>
  </si>
  <si>
    <t>Industrial Fuel Use[heat if,other machinery 28]</t>
  </si>
  <si>
    <t>Industrial Fuel Use[heat if,road vehicles 29]</t>
  </si>
  <si>
    <t>Industrial Fuel Use[heat if,nonroad vehicles 30]</t>
  </si>
  <si>
    <t>Industrial Fuel Use[heat if,other manufacturing 31T33]</t>
  </si>
  <si>
    <t>Industrial Fuel Use[heat if,energy pipelines and gas processing 352T353]</t>
  </si>
  <si>
    <t>Industrial Fuel Use[heat if,water and waste 36T39]</t>
  </si>
  <si>
    <t>Industrial Fuel Use[heat if,construction 41T43]</t>
  </si>
  <si>
    <t>Industrial Fuel Use[crude oil if,agriculture and forestry 01T03]</t>
  </si>
  <si>
    <t>Industrial Fuel Use[crude oil if,coal mining 05]</t>
  </si>
  <si>
    <t>Industrial Fuel Use[crude oil if,oil and gas extraction 06]</t>
  </si>
  <si>
    <t>Industrial Fuel Use[crude oil if,other mining and quarrying 07T08]</t>
  </si>
  <si>
    <t>Industrial Fuel Use[crude oil if,food beverage and tobacco 10T12]</t>
  </si>
  <si>
    <t>Industrial Fuel Use[crude oil if,textiles apparel and leather 13T15]</t>
  </si>
  <si>
    <t>Industrial Fuel Use[crude oil if,wood products 16]</t>
  </si>
  <si>
    <t>Industrial Fuel Use[crude oil if,pulp paper and printing 17T18]</t>
  </si>
  <si>
    <t>Industrial Fuel Use[crude oil if,refined petroleum and coke 19]</t>
  </si>
  <si>
    <t>Industrial Fuel Use[crude oil if,chemicals 20]</t>
  </si>
  <si>
    <t>Industrial Fuel Use[crude oil if,rubber and plastic products 22]</t>
  </si>
  <si>
    <t>Industrial Fuel Use[crude oil if,glass and glass products 231]</t>
  </si>
  <si>
    <t>Industrial Fuel Use[crude oil if,cement and other nonmetallic minerals 239]</t>
  </si>
  <si>
    <t>Industrial Fuel Use[crude oil if,iron and steel 241]</t>
  </si>
  <si>
    <t>Industrial Fuel Use[crude oil if,other metals 242]</t>
  </si>
  <si>
    <t>Industrial Fuel Use[crude oil if,metal products except machinery and vehicles 25]</t>
  </si>
  <si>
    <t>Industrial Fuel Use[crude oil if,computers and electronics 26]</t>
  </si>
  <si>
    <t>Industrial Fuel Use[crude oil if,appliances and electrical equipment 27]</t>
  </si>
  <si>
    <t>Industrial Fuel Use[crude oil if,other machinery 28]</t>
  </si>
  <si>
    <t>Industrial Fuel Use[crude oil if,road vehicles 29]</t>
  </si>
  <si>
    <t>Industrial Fuel Use[crude oil if,nonroad vehicles 30]</t>
  </si>
  <si>
    <t>Industrial Fuel Use[crude oil if,other manufacturing 31T33]</t>
  </si>
  <si>
    <t>Industrial Fuel Use[crude oil if,energy pipelines and gas processing 352T353]</t>
  </si>
  <si>
    <t>Industrial Fuel Use[crude oil if,water and waste 36T39]</t>
  </si>
  <si>
    <t>Industrial Fuel Use[crude oil if,construction 41T43]</t>
  </si>
  <si>
    <t>Industrial Fuel Use[heavy or residual fuel oil if,agriculture and forestry 01T03]</t>
  </si>
  <si>
    <t>Industrial Fuel Use[heavy or residual fuel oil if,coal mining 05]</t>
  </si>
  <si>
    <t>Industrial Fuel Use[heavy or residual fuel oil if,oil and gas extraction 06]</t>
  </si>
  <si>
    <t>Industrial Fuel Use[heavy or residual fuel oil if,other mining and quarrying 07T08]</t>
  </si>
  <si>
    <t>Industrial Fuel Use[heavy or residual fuel oil if,food beverage and tobacco 10T12]</t>
  </si>
  <si>
    <t>Industrial Fuel Use[heavy or residual fuel oil if,textiles apparel and leather 13T15]</t>
  </si>
  <si>
    <t>Industrial Fuel Use[heavy or residual fuel oil if,wood products 16]</t>
  </si>
  <si>
    <t>Industrial Fuel Use[heavy or residual fuel oil if,pulp paper and printing 17T18]</t>
  </si>
  <si>
    <t>Industrial Fuel Use[heavy or residual fuel oil if,refined petroleum and coke 19]</t>
  </si>
  <si>
    <t>Industrial Fuel Use[heavy or residual fuel oil if,chemicals 20]</t>
  </si>
  <si>
    <t>Industrial Fuel Use[heavy or residual fuel oil if,rubber and plastic products 22]</t>
  </si>
  <si>
    <t>Industrial Fuel Use[heavy or residual fuel oil if,glass and glass products 231]</t>
  </si>
  <si>
    <t>Industrial Fuel Use[heavy or residual fuel oil if,cement and other nonmetallic minerals 239]</t>
  </si>
  <si>
    <t>Industrial Fuel Use[heavy or residual fuel oil if,iron and steel 241]</t>
  </si>
  <si>
    <t>Industrial Fuel Use[heavy or residual fuel oil if,other metals 242]</t>
  </si>
  <si>
    <t>Industrial Fuel Use[heavy or residual fuel oil if,metal products except machinery and vehicles 25]</t>
  </si>
  <si>
    <t>Industrial Fuel Use[heavy or residual fuel oil if,computers and electronics 26]</t>
  </si>
  <si>
    <t>Industrial Fuel Use[heavy or residual fuel oil if,appliances and electrical equipment 27]</t>
  </si>
  <si>
    <t>Industrial Fuel Use[heavy or residual fuel oil if,other machinery 28]</t>
  </si>
  <si>
    <t>Industrial Fuel Use[heavy or residual fuel oil if,road vehicles 29]</t>
  </si>
  <si>
    <t>Industrial Fuel Use[heavy or residual fuel oil if,nonroad vehicles 30]</t>
  </si>
  <si>
    <t>Industrial Fuel Use[heavy or residual fuel oil if,other manufacturing 31T33]</t>
  </si>
  <si>
    <t>Industrial Fuel Use[heavy or residual fuel oil if,energy pipelines and gas processing 352T353]</t>
  </si>
  <si>
    <t>Industrial Fuel Use[heavy or residual fuel oil if,water and waste 36T39]</t>
  </si>
  <si>
    <t>Industrial Fuel Use[heavy or residual fuel oil if,construction 41T43]</t>
  </si>
  <si>
    <t>Industrial Fuel Use[LPG propane or butane if,agriculture and forestry 01T03]</t>
  </si>
  <si>
    <t>Industrial Fuel Use[LPG propane or butane if,coal mining 05]</t>
  </si>
  <si>
    <t>Industrial Fuel Use[LPG propane or butane if,oil and gas extraction 06]</t>
  </si>
  <si>
    <t>Industrial Fuel Use[LPG propane or butane if,other mining and quarrying 07T08]</t>
  </si>
  <si>
    <t>Industrial Fuel Use[LPG propane or butane if,food beverage and tobacco 10T12]</t>
  </si>
  <si>
    <t>Industrial Fuel Use[LPG propane or butane if,textiles apparel and leather 13T15]</t>
  </si>
  <si>
    <t>Industrial Fuel Use[LPG propane or butane if,wood products 16]</t>
  </si>
  <si>
    <t>Industrial Fuel Use[LPG propane or butane if,pulp paper and printing 17T18]</t>
  </si>
  <si>
    <t>Industrial Fuel Use[LPG propane or butane if,refined petroleum and coke 19]</t>
  </si>
  <si>
    <t>Industrial Fuel Use[LPG propane or butane if,chemicals 20]</t>
  </si>
  <si>
    <t>Industrial Fuel Use[LPG propane or butane if,rubber and plastic products 22]</t>
  </si>
  <si>
    <t>Industrial Fuel Use[LPG propane or butane if,glass and glass products 231]</t>
  </si>
  <si>
    <t>Industrial Fuel Use[LPG propane or butane if,cement and other nonmetallic minerals 239]</t>
  </si>
  <si>
    <t>Industrial Fuel Use[LPG propane or butane if,iron and steel 241]</t>
  </si>
  <si>
    <t>Industrial Fuel Use[LPG propane or butane if,other metals 242]</t>
  </si>
  <si>
    <t>Industrial Fuel Use[LPG propane or butane if,metal products except machinery and vehicles 25]</t>
  </si>
  <si>
    <t>Industrial Fuel Use[LPG propane or butane if,computers and electronics 26]</t>
  </si>
  <si>
    <t>Industrial Fuel Use[LPG propane or butane if,appliances and electrical equipment 27]</t>
  </si>
  <si>
    <t>Industrial Fuel Use[LPG propane or butane if,other machinery 28]</t>
  </si>
  <si>
    <t>Industrial Fuel Use[LPG propane or butane if,road vehicles 29]</t>
  </si>
  <si>
    <t>Industrial Fuel Use[LPG propane or butane if,nonroad vehicles 30]</t>
  </si>
  <si>
    <t>Industrial Fuel Use[LPG propane or butane if,other manufacturing 31T33]</t>
  </si>
  <si>
    <t>Industrial Fuel Use[LPG propane or butane if,energy pipelines and gas processing 352T353]</t>
  </si>
  <si>
    <t>Industrial Fuel Use[LPG propane or butane if,water and waste 36T39]</t>
  </si>
  <si>
    <t>Industrial Fuel Use[LPG propane or butane if,construction 41T43]</t>
  </si>
  <si>
    <t>Industrial Fuel Use[hydrogen if,agriculture and forestry 01T03]</t>
  </si>
  <si>
    <t>Industrial Fuel Use[hydrogen if,coal mining 05]</t>
  </si>
  <si>
    <t>Industrial Fuel Use[hydrogen if,oil and gas extraction 06]</t>
  </si>
  <si>
    <t>Industrial Fuel Use[hydrogen if,other mining and quarrying 07T08]</t>
  </si>
  <si>
    <t>Industrial Fuel Use[hydrogen if,food beverage and tobacco 10T12]</t>
  </si>
  <si>
    <t>Industrial Fuel Use[hydrogen if,textiles apparel and leather 13T15]</t>
  </si>
  <si>
    <t>Industrial Fuel Use[hydrogen if,wood products 16]</t>
  </si>
  <si>
    <t>Industrial Fuel Use[hydrogen if,pulp paper and printing 17T18]</t>
  </si>
  <si>
    <t>Industrial Fuel Use[hydrogen if,refined petroleum and coke 19]</t>
  </si>
  <si>
    <t>Industrial Fuel Use[hydrogen if,chemicals 20]</t>
  </si>
  <si>
    <t>Industrial Fuel Use[hydrogen if,rubber and plastic products 22]</t>
  </si>
  <si>
    <t>Industrial Fuel Use[hydrogen if,glass and glass products 231]</t>
  </si>
  <si>
    <t>Industrial Fuel Use[hydrogen if,cement and other nonmetallic minerals 239]</t>
  </si>
  <si>
    <t>Industrial Fuel Use[hydrogen if,iron and steel 241]</t>
  </si>
  <si>
    <t>Industrial Fuel Use[hydrogen if,other metals 242]</t>
  </si>
  <si>
    <t>Industrial Fuel Use[hydrogen if,metal products except machinery and vehicles 25]</t>
  </si>
  <si>
    <t>Industrial Fuel Use[hydrogen if,computers and electronics 26]</t>
  </si>
  <si>
    <t>Industrial Fuel Use[hydrogen if,appliances and electrical equipment 27]</t>
  </si>
  <si>
    <t>Industrial Fuel Use[hydrogen if,other machinery 28]</t>
  </si>
  <si>
    <t>Industrial Fuel Use[hydrogen if,road vehicles 29]</t>
  </si>
  <si>
    <t>Industrial Fuel Use[hydrogen if,nonroad vehicles 30]</t>
  </si>
  <si>
    <t>Industrial Fuel Use[hydrogen if,other manufacturing 31T33]</t>
  </si>
  <si>
    <t>Industrial Fuel Use[hydrogen if,energy pipelines and gas processing 352T353]</t>
  </si>
  <si>
    <t>Industrial Fuel Use[hydrogen if,water and waste 36T39]</t>
  </si>
  <si>
    <t>Industrial Fuel Use[hydrogen if,construction 41T43]</t>
  </si>
  <si>
    <t>Transportation Sector Fuel Used[LDVs,passenger,battery electric vehicle,electricity tf]</t>
  </si>
  <si>
    <t>Transportation Sector Fuel Used[LDVs,passenger,battery electric vehicle,natural gas tf]</t>
  </si>
  <si>
    <t>Transportation Sector Fuel Used[LDVs,passenger,battery electric vehicle,petroleum gasoline tf]</t>
  </si>
  <si>
    <t>Transportation Sector Fuel Used[LDVs,passenger,battery electric vehicle,petroleum diesel tf]</t>
  </si>
  <si>
    <t>Transportation Sector Fuel Used[LDVs,passenger,battery electric vehicle,biofuel gasoline tf]</t>
  </si>
  <si>
    <t>Transportation Sector Fuel Used[LDVs,passenger,battery electric vehicle,biofuel diesel tf]</t>
  </si>
  <si>
    <t>Transportation Sector Fuel Used[LDVs,passenger,battery electric vehicle,jet fuel tf]</t>
  </si>
  <si>
    <t>Transportation Sector Fuel Used[LDVs,passenger,battery electric vehicle,heavy or residual fuel oil tf]</t>
  </si>
  <si>
    <t>Transportation Sector Fuel Used[LDVs,passenger,battery electric vehicle,LPG propane or butane tf]</t>
  </si>
  <si>
    <t>Transportation Sector Fuel Used[LDVs,passenger,battery electric vehicle,hydrogen tf]</t>
  </si>
  <si>
    <t>Transportation Sector Fuel Used[LDVs,passenger,natural gas vehicle,electricity tf]</t>
  </si>
  <si>
    <t>Transportation Sector Fuel Used[LDVs,passenger,natural gas vehicle,natural gas tf]</t>
  </si>
  <si>
    <t>Transportation Sector Fuel Used[LDVs,passenger,natural gas vehicle,petroleum gasoline tf]</t>
  </si>
  <si>
    <t>Transportation Sector Fuel Used[LDVs,passenger,natural gas vehicle,petroleum diesel tf]</t>
  </si>
  <si>
    <t>Transportation Sector Fuel Used[LDVs,passenger,natural gas vehicle,biofuel gasoline tf]</t>
  </si>
  <si>
    <t>Transportation Sector Fuel Used[LDVs,passenger,natural gas vehicle,biofuel diesel tf]</t>
  </si>
  <si>
    <t>Transportation Sector Fuel Used[LDVs,passenger,natural gas vehicle,jet fuel tf]</t>
  </si>
  <si>
    <t>Transportation Sector Fuel Used[LDVs,passenger,natural gas vehicle,heavy or residual fuel oil tf]</t>
  </si>
  <si>
    <t>Transportation Sector Fuel Used[LDVs,passenger,natural gas vehicle,LPG propane or butane tf]</t>
  </si>
  <si>
    <t>Transportation Sector Fuel Used[LDVs,passenger,natural gas vehicle,hydrogen tf]</t>
  </si>
  <si>
    <t>Transportation Sector Fuel Used[LDVs,passenger,gasoline vehicle,electricity tf]</t>
  </si>
  <si>
    <t>Transportation Sector Fuel Used[LDVs,passenger,gasoline vehicle,natural gas tf]</t>
  </si>
  <si>
    <t>Transportation Sector Fuel Used[LDVs,passenger,gasoline vehicle,petroleum gasoline tf]</t>
  </si>
  <si>
    <t>Transportation Sector Fuel Used[LDVs,passenger,gasoline vehicle,petroleum diesel tf]</t>
  </si>
  <si>
    <t>Transportation Sector Fuel Used[LDVs,passenger,gasoline vehicle,biofuel gasoline tf]</t>
  </si>
  <si>
    <t>Transportation Sector Fuel Used[LDVs,passenger,gasoline vehicle,biofuel diesel tf]</t>
  </si>
  <si>
    <t>Transportation Sector Fuel Used[LDVs,passenger,gasoline vehicle,jet fuel tf]</t>
  </si>
  <si>
    <t>Transportation Sector Fuel Used[LDVs,passenger,gasoline vehicle,heavy or residual fuel oil tf]</t>
  </si>
  <si>
    <t>Transportation Sector Fuel Used[LDVs,passenger,gasoline vehicle,LPG propane or butane tf]</t>
  </si>
  <si>
    <t>Transportation Sector Fuel Used[LDVs,passenger,gasoline vehicle,hydrogen tf]</t>
  </si>
  <si>
    <t>Transportation Sector Fuel Used[LDVs,passenger,diesel vehicle,electricity tf]</t>
  </si>
  <si>
    <t>Transportation Sector Fuel Used[LDVs,passenger,diesel vehicle,natural gas tf]</t>
  </si>
  <si>
    <t>Transportation Sector Fuel Used[LDVs,passenger,diesel vehicle,petroleum gasoline tf]</t>
  </si>
  <si>
    <t>Transportation Sector Fuel Used[LDVs,passenger,diesel vehicle,petroleum diesel tf]</t>
  </si>
  <si>
    <t>Transportation Sector Fuel Used[LDVs,passenger,diesel vehicle,biofuel gasoline tf]</t>
  </si>
  <si>
    <t>Transportation Sector Fuel Used[LDVs,passenger,diesel vehicle,biofuel diesel tf]</t>
  </si>
  <si>
    <t>Transportation Sector Fuel Used[LDVs,passenger,diesel vehicle,jet fuel tf]</t>
  </si>
  <si>
    <t>Transportation Sector Fuel Used[LDVs,passenger,diesel vehicle,heavy or residual fuel oil tf]</t>
  </si>
  <si>
    <t>Transportation Sector Fuel Used[LDVs,passenger,diesel vehicle,LPG propane or butane tf]</t>
  </si>
  <si>
    <t>Transportation Sector Fuel Used[LDVs,passenger,diesel vehicle,hydrogen tf]</t>
  </si>
  <si>
    <t>Transportation Sector Fuel Used[LDVs,passenger,plugin hybrid vehicle,electricity tf]</t>
  </si>
  <si>
    <t>Transportation Sector Fuel Used[LDVs,passenger,plugin hybrid vehicle,natural gas tf]</t>
  </si>
  <si>
    <t>Transportation Sector Fuel Used[LDVs,passenger,plugin hybrid vehicle,petroleum gasoline tf]</t>
  </si>
  <si>
    <t>Transportation Sector Fuel Used[LDVs,passenger,plugin hybrid vehicle,petroleum diesel tf]</t>
  </si>
  <si>
    <t>Transportation Sector Fuel Used[LDVs,passenger,plugin hybrid vehicle,biofuel gasoline tf]</t>
  </si>
  <si>
    <t>Transportation Sector Fuel Used[LDVs,passenger,plugin hybrid vehicle,biofuel diesel tf]</t>
  </si>
  <si>
    <t>Transportation Sector Fuel Used[LDVs,passenger,plugin hybrid vehicle,jet fuel tf]</t>
  </si>
  <si>
    <t>Transportation Sector Fuel Used[LDVs,passenger,plugin hybrid vehicle,heavy or residual fuel oil tf]</t>
  </si>
  <si>
    <t>Transportation Sector Fuel Used[LDVs,passenger,plugin hybrid vehicle,LPG propane or butane tf]</t>
  </si>
  <si>
    <t>Transportation Sector Fuel Used[LDVs,passenger,plugin hybrid vehicle,hydrogen tf]</t>
  </si>
  <si>
    <t>Transportation Sector Fuel Used[LDVs,passenger,LPG vehicle,electricity tf]</t>
  </si>
  <si>
    <t>Transportation Sector Fuel Used[LDVs,passenger,LPG vehicle,natural gas tf]</t>
  </si>
  <si>
    <t>Transportation Sector Fuel Used[LDVs,passenger,LPG vehicle,petroleum gasoline tf]</t>
  </si>
  <si>
    <t>Transportation Sector Fuel Used[LDVs,passenger,LPG vehicle,petroleum diesel tf]</t>
  </si>
  <si>
    <t>Transportation Sector Fuel Used[LDVs,passenger,LPG vehicle,biofuel gasoline tf]</t>
  </si>
  <si>
    <t>Transportation Sector Fuel Used[LDVs,passenger,LPG vehicle,biofuel diesel tf]</t>
  </si>
  <si>
    <t>Transportation Sector Fuel Used[LDVs,passenger,LPG vehicle,jet fuel tf]</t>
  </si>
  <si>
    <t>Transportation Sector Fuel Used[LDVs,passenger,LPG vehicle,heavy or residual fuel oil tf]</t>
  </si>
  <si>
    <t>Transportation Sector Fuel Used[LDVs,passenger,LPG vehicle,LPG propane or butane tf]</t>
  </si>
  <si>
    <t>Transportation Sector Fuel Used[LDVs,passenger,LPG vehicle,hydrogen tf]</t>
  </si>
  <si>
    <t>Transportation Sector Fuel Used[LDVs,passenger,hydrogen vehicle,electricity tf]</t>
  </si>
  <si>
    <t>Transportation Sector Fuel Used[LDVs,passenger,hydrogen vehicle,natural gas tf]</t>
  </si>
  <si>
    <t>Transportation Sector Fuel Used[LDVs,passenger,hydrogen vehicle,petroleum gasoline tf]</t>
  </si>
  <si>
    <t>Transportation Sector Fuel Used[LDVs,passenger,hydrogen vehicle,petroleum diesel tf]</t>
  </si>
  <si>
    <t>Transportation Sector Fuel Used[LDVs,passenger,hydrogen vehicle,biofuel gasoline tf]</t>
  </si>
  <si>
    <t>Transportation Sector Fuel Used[LDVs,passenger,hydrogen vehicle,biofuel diesel tf]</t>
  </si>
  <si>
    <t>Transportation Sector Fuel Used[LDVs,passenger,hydrogen vehicle,jet fuel tf]</t>
  </si>
  <si>
    <t>Transportation Sector Fuel Used[LDVs,passenger,hydrogen vehicle,heavy or residual fuel oil tf]</t>
  </si>
  <si>
    <t>Transportation Sector Fuel Used[LDVs,passenger,hydrogen vehicle,LPG propane or butane tf]</t>
  </si>
  <si>
    <t>Transportation Sector Fuel Used[LDVs,passenger,hydrogen vehicle,hydrogen tf]</t>
  </si>
  <si>
    <t>Transportation Sector Fuel Used[LDVs,freight,battery electric vehicle,electricity tf]</t>
  </si>
  <si>
    <t>Transportation Sector Fuel Used[LDVs,freight,battery electric vehicle,natural gas tf]</t>
  </si>
  <si>
    <t>Transportation Sector Fuel Used[LDVs,freight,battery electric vehicle,petroleum gasoline tf]</t>
  </si>
  <si>
    <t>Transportation Sector Fuel Used[LDVs,freight,battery electric vehicle,petroleum diesel tf]</t>
  </si>
  <si>
    <t>Transportation Sector Fuel Used[LDVs,freight,battery electric vehicle,biofuel gasoline tf]</t>
  </si>
  <si>
    <t>Transportation Sector Fuel Used[LDVs,freight,battery electric vehicle,biofuel diesel tf]</t>
  </si>
  <si>
    <t>Transportation Sector Fuel Used[LDVs,freight,battery electric vehicle,jet fuel tf]</t>
  </si>
  <si>
    <t>Transportation Sector Fuel Used[LDVs,freight,battery electric vehicle,heavy or residual fuel oil tf]</t>
  </si>
  <si>
    <t>Transportation Sector Fuel Used[LDVs,freight,battery electric vehicle,LPG propane or butane tf]</t>
  </si>
  <si>
    <t>Transportation Sector Fuel Used[LDVs,freight,battery electric vehicle,hydrogen tf]</t>
  </si>
  <si>
    <t>Transportation Sector Fuel Used[LDVs,freight,natural gas vehicle,electricity tf]</t>
  </si>
  <si>
    <t>Transportation Sector Fuel Used[LDVs,freight,natural gas vehicle,natural gas tf]</t>
  </si>
  <si>
    <t>Transportation Sector Fuel Used[LDVs,freight,natural gas vehicle,petroleum gasoline tf]</t>
  </si>
  <si>
    <t>Transportation Sector Fuel Used[LDVs,freight,natural gas vehicle,petroleum diesel tf]</t>
  </si>
  <si>
    <t>Transportation Sector Fuel Used[LDVs,freight,natural gas vehicle,biofuel gasoline tf]</t>
  </si>
  <si>
    <t>Transportation Sector Fuel Used[LDVs,freight,natural gas vehicle,biofuel diesel tf]</t>
  </si>
  <si>
    <t>Transportation Sector Fuel Used[LDVs,freight,natural gas vehicle,jet fuel tf]</t>
  </si>
  <si>
    <t>Transportation Sector Fuel Used[LDVs,freight,natural gas vehicle,heavy or residual fuel oil tf]</t>
  </si>
  <si>
    <t>Transportation Sector Fuel Used[LDVs,freight,natural gas vehicle,LPG propane or butane tf]</t>
  </si>
  <si>
    <t>Transportation Sector Fuel Used[LDVs,freight,natural gas vehicle,hydrogen tf]</t>
  </si>
  <si>
    <t>Transportation Sector Fuel Used[LDVs,freight,gasoline vehicle,electricity tf]</t>
  </si>
  <si>
    <t>Transportation Sector Fuel Used[LDVs,freight,gasoline vehicle,natural gas tf]</t>
  </si>
  <si>
    <t>Transportation Sector Fuel Used[LDVs,freight,gasoline vehicle,petroleum gasoline tf]</t>
  </si>
  <si>
    <t>Transportation Sector Fuel Used[LDVs,freight,gasoline vehicle,petroleum diesel tf]</t>
  </si>
  <si>
    <t>Transportation Sector Fuel Used[LDVs,freight,gasoline vehicle,biofuel gasoline tf]</t>
  </si>
  <si>
    <t>Transportation Sector Fuel Used[LDVs,freight,gasoline vehicle,biofuel diesel tf]</t>
  </si>
  <si>
    <t>Transportation Sector Fuel Used[LDVs,freight,gasoline vehicle,jet fuel tf]</t>
  </si>
  <si>
    <t>Transportation Sector Fuel Used[LDVs,freight,gasoline vehicle,heavy or residual fuel oil tf]</t>
  </si>
  <si>
    <t>Transportation Sector Fuel Used[LDVs,freight,gasoline vehicle,LPG propane or butane tf]</t>
  </si>
  <si>
    <t>Transportation Sector Fuel Used[LDVs,freight,gasoline vehicle,hydrogen tf]</t>
  </si>
  <si>
    <t>Transportation Sector Fuel Used[LDVs,freight,diesel vehicle,electricity tf]</t>
  </si>
  <si>
    <t>Transportation Sector Fuel Used[LDVs,freight,diesel vehicle,natural gas tf]</t>
  </si>
  <si>
    <t>Transportation Sector Fuel Used[LDVs,freight,diesel vehicle,petroleum gasoline tf]</t>
  </si>
  <si>
    <t>Transportation Sector Fuel Used[LDVs,freight,diesel vehicle,petroleum diesel tf]</t>
  </si>
  <si>
    <t>Transportation Sector Fuel Used[LDVs,freight,diesel vehicle,biofuel gasoline tf]</t>
  </si>
  <si>
    <t>Transportation Sector Fuel Used[LDVs,freight,diesel vehicle,biofuel diesel tf]</t>
  </si>
  <si>
    <t>Transportation Sector Fuel Used[LDVs,freight,diesel vehicle,jet fuel tf]</t>
  </si>
  <si>
    <t>Transportation Sector Fuel Used[LDVs,freight,diesel vehicle,heavy or residual fuel oil tf]</t>
  </si>
  <si>
    <t>Transportation Sector Fuel Used[LDVs,freight,diesel vehicle,LPG propane or butane tf]</t>
  </si>
  <si>
    <t>Transportation Sector Fuel Used[LDVs,freight,diesel vehicle,hydrogen tf]</t>
  </si>
  <si>
    <t>Transportation Sector Fuel Used[LDVs,freight,plugin hybrid vehicle,electricity tf]</t>
  </si>
  <si>
    <t>Transportation Sector Fuel Used[LDVs,freight,plugin hybrid vehicle,natural gas tf]</t>
  </si>
  <si>
    <t>Transportation Sector Fuel Used[LDVs,freight,plugin hybrid vehicle,petroleum gasoline tf]</t>
  </si>
  <si>
    <t>Transportation Sector Fuel Used[LDVs,freight,plugin hybrid vehicle,petroleum diesel tf]</t>
  </si>
  <si>
    <t>Transportation Sector Fuel Used[LDVs,freight,plugin hybrid vehicle,biofuel gasoline tf]</t>
  </si>
  <si>
    <t>Transportation Sector Fuel Used[LDVs,freight,plugin hybrid vehicle,biofuel diesel tf]</t>
  </si>
  <si>
    <t>Transportation Sector Fuel Used[LDVs,freight,plugin hybrid vehicle,jet fuel tf]</t>
  </si>
  <si>
    <t>Transportation Sector Fuel Used[LDVs,freight,plugin hybrid vehicle,heavy or residual fuel oil tf]</t>
  </si>
  <si>
    <t>Transportation Sector Fuel Used[LDVs,freight,plugin hybrid vehicle,LPG propane or butane tf]</t>
  </si>
  <si>
    <t>Transportation Sector Fuel Used[LDVs,freight,plugin hybrid vehicle,hydrogen tf]</t>
  </si>
  <si>
    <t>Transportation Sector Fuel Used[LDVs,freight,LPG vehicle,electricity tf]</t>
  </si>
  <si>
    <t>Transportation Sector Fuel Used[LDVs,freight,LPG vehicle,natural gas tf]</t>
  </si>
  <si>
    <t>Transportation Sector Fuel Used[LDVs,freight,LPG vehicle,petroleum gasoline tf]</t>
  </si>
  <si>
    <t>Transportation Sector Fuel Used[LDVs,freight,LPG vehicle,petroleum diesel tf]</t>
  </si>
  <si>
    <t>Transportation Sector Fuel Used[LDVs,freight,LPG vehicle,biofuel gasoline tf]</t>
  </si>
  <si>
    <t>Transportation Sector Fuel Used[LDVs,freight,LPG vehicle,biofuel diesel tf]</t>
  </si>
  <si>
    <t>Transportation Sector Fuel Used[LDVs,freight,LPG vehicle,jet fuel tf]</t>
  </si>
  <si>
    <t>Transportation Sector Fuel Used[LDVs,freight,LPG vehicle,heavy or residual fuel oil tf]</t>
  </si>
  <si>
    <t>Transportation Sector Fuel Used[LDVs,freight,LPG vehicle,LPG propane or butane tf]</t>
  </si>
  <si>
    <t>Transportation Sector Fuel Used[LDVs,freight,LPG vehicle,hydrogen tf]</t>
  </si>
  <si>
    <t>Transportation Sector Fuel Used[LDVs,freight,hydrogen vehicle,electricity tf]</t>
  </si>
  <si>
    <t>Transportation Sector Fuel Used[LDVs,freight,hydrogen vehicle,natural gas tf]</t>
  </si>
  <si>
    <t>Transportation Sector Fuel Used[LDVs,freight,hydrogen vehicle,petroleum gasoline tf]</t>
  </si>
  <si>
    <t>Transportation Sector Fuel Used[LDVs,freight,hydrogen vehicle,petroleum diesel tf]</t>
  </si>
  <si>
    <t>Transportation Sector Fuel Used[LDVs,freight,hydrogen vehicle,biofuel gasoline tf]</t>
  </si>
  <si>
    <t>Transportation Sector Fuel Used[LDVs,freight,hydrogen vehicle,biofuel diesel tf]</t>
  </si>
  <si>
    <t>Transportation Sector Fuel Used[LDVs,freight,hydrogen vehicle,jet fuel tf]</t>
  </si>
  <si>
    <t>Transportation Sector Fuel Used[LDVs,freight,hydrogen vehicle,heavy or residual fuel oil tf]</t>
  </si>
  <si>
    <t>Transportation Sector Fuel Used[LDVs,freight,hydrogen vehicle,LPG propane or butane tf]</t>
  </si>
  <si>
    <t>Transportation Sector Fuel Used[LDVs,freight,hydrogen vehicle,hydrogen tf]</t>
  </si>
  <si>
    <t>Transportation Sector Fuel Used[HDVs,passenger,battery electric vehicle,electricity tf]</t>
  </si>
  <si>
    <t>Transportation Sector Fuel Used[HDVs,passenger,battery electric vehicle,natural gas tf]</t>
  </si>
  <si>
    <t>Transportation Sector Fuel Used[HDVs,passenger,battery electric vehicle,petroleum gasoline tf]</t>
  </si>
  <si>
    <t>Transportation Sector Fuel Used[HDVs,passenger,battery electric vehicle,petroleum diesel tf]</t>
  </si>
  <si>
    <t>Transportation Sector Fuel Used[HDVs,passenger,battery electric vehicle,biofuel gasoline tf]</t>
  </si>
  <si>
    <t>Transportation Sector Fuel Used[HDVs,passenger,battery electric vehicle,biofuel diesel tf]</t>
  </si>
  <si>
    <t>Transportation Sector Fuel Used[HDVs,passenger,battery electric vehicle,jet fuel tf]</t>
  </si>
  <si>
    <t>Transportation Sector Fuel Used[HDVs,passenger,battery electric vehicle,heavy or residual fuel oil tf]</t>
  </si>
  <si>
    <t>Transportation Sector Fuel Used[HDVs,passenger,battery electric vehicle,LPG propane or butane tf]</t>
  </si>
  <si>
    <t>Transportation Sector Fuel Used[HDVs,passenger,battery electric vehicle,hydrogen tf]</t>
  </si>
  <si>
    <t>Transportation Sector Fuel Used[HDVs,passenger,natural gas vehicle,electricity tf]</t>
  </si>
  <si>
    <t>Transportation Sector Fuel Used[HDVs,passenger,natural gas vehicle,natural gas tf]</t>
  </si>
  <si>
    <t>Transportation Sector Fuel Used[HDVs,passenger,natural gas vehicle,petroleum gasoline tf]</t>
  </si>
  <si>
    <t>Transportation Sector Fuel Used[HDVs,passenger,natural gas vehicle,petroleum diesel tf]</t>
  </si>
  <si>
    <t>Transportation Sector Fuel Used[HDVs,passenger,natural gas vehicle,biofuel gasoline tf]</t>
  </si>
  <si>
    <t>Transportation Sector Fuel Used[HDVs,passenger,natural gas vehicle,biofuel diesel tf]</t>
  </si>
  <si>
    <t>Transportation Sector Fuel Used[HDVs,passenger,natural gas vehicle,jet fuel tf]</t>
  </si>
  <si>
    <t>Transportation Sector Fuel Used[HDVs,passenger,natural gas vehicle,heavy or residual fuel oil tf]</t>
  </si>
  <si>
    <t>Transportation Sector Fuel Used[HDVs,passenger,natural gas vehicle,LPG propane or butane tf]</t>
  </si>
  <si>
    <t>Transportation Sector Fuel Used[HDVs,passenger,natural gas vehicle,hydrogen tf]</t>
  </si>
  <si>
    <t>Transportation Sector Fuel Used[HDVs,passenger,gasoline vehicle,electricity tf]</t>
  </si>
  <si>
    <t>Transportation Sector Fuel Used[HDVs,passenger,gasoline vehicle,natural gas tf]</t>
  </si>
  <si>
    <t>Transportation Sector Fuel Used[HDVs,passenger,gasoline vehicle,petroleum gasoline tf]</t>
  </si>
  <si>
    <t>Transportation Sector Fuel Used[HDVs,passenger,gasoline vehicle,petroleum diesel tf]</t>
  </si>
  <si>
    <t>Transportation Sector Fuel Used[HDVs,passenger,gasoline vehicle,biofuel gasoline tf]</t>
  </si>
  <si>
    <t>Transportation Sector Fuel Used[HDVs,passenger,gasoline vehicle,biofuel diesel tf]</t>
  </si>
  <si>
    <t>Transportation Sector Fuel Used[HDVs,passenger,gasoline vehicle,jet fuel tf]</t>
  </si>
  <si>
    <t>Transportation Sector Fuel Used[HDVs,passenger,gasoline vehicle,heavy or residual fuel oil tf]</t>
  </si>
  <si>
    <t>Transportation Sector Fuel Used[HDVs,passenger,gasoline vehicle,LPG propane or butane tf]</t>
  </si>
  <si>
    <t>Transportation Sector Fuel Used[HDVs,passenger,gasoline vehicle,hydrogen tf]</t>
  </si>
  <si>
    <t>Transportation Sector Fuel Used[HDVs,passenger,diesel vehicle,electricity tf]</t>
  </si>
  <si>
    <t>Transportation Sector Fuel Used[HDVs,passenger,diesel vehicle,natural gas tf]</t>
  </si>
  <si>
    <t>Transportation Sector Fuel Used[HDVs,passenger,diesel vehicle,petroleum gasoline tf]</t>
  </si>
  <si>
    <t>Transportation Sector Fuel Used[HDVs,passenger,diesel vehicle,petroleum diesel tf]</t>
  </si>
  <si>
    <t>Transportation Sector Fuel Used[HDVs,passenger,diesel vehicle,biofuel gasoline tf]</t>
  </si>
  <si>
    <t>Transportation Sector Fuel Used[HDVs,passenger,diesel vehicle,biofuel diesel tf]</t>
  </si>
  <si>
    <t>Transportation Sector Fuel Used[HDVs,passenger,diesel vehicle,jet fuel tf]</t>
  </si>
  <si>
    <t>Transportation Sector Fuel Used[HDVs,passenger,diesel vehicle,heavy or residual fuel oil tf]</t>
  </si>
  <si>
    <t>Transportation Sector Fuel Used[HDVs,passenger,diesel vehicle,LPG propane or butane tf]</t>
  </si>
  <si>
    <t>Transportation Sector Fuel Used[HDVs,passenger,diesel vehicle,hydrogen tf]</t>
  </si>
  <si>
    <t>Transportation Sector Fuel Used[HDVs,passenger,plugin hybrid vehicle,electricity tf]</t>
  </si>
  <si>
    <t>Transportation Sector Fuel Used[HDVs,passenger,plugin hybrid vehicle,natural gas tf]</t>
  </si>
  <si>
    <t>Transportation Sector Fuel Used[HDVs,passenger,plugin hybrid vehicle,petroleum gasoline tf]</t>
  </si>
  <si>
    <t>Transportation Sector Fuel Used[HDVs,passenger,plugin hybrid vehicle,petroleum diesel tf]</t>
  </si>
  <si>
    <t>Transportation Sector Fuel Used[HDVs,passenger,plugin hybrid vehicle,biofuel gasoline tf]</t>
  </si>
  <si>
    <t>Transportation Sector Fuel Used[HDVs,passenger,plugin hybrid vehicle,biofuel diesel tf]</t>
  </si>
  <si>
    <t>Transportation Sector Fuel Used[HDVs,passenger,plugin hybrid vehicle,jet fuel tf]</t>
  </si>
  <si>
    <t>Transportation Sector Fuel Used[HDVs,passenger,plugin hybrid vehicle,heavy or residual fuel oil tf]</t>
  </si>
  <si>
    <t>Transportation Sector Fuel Used[HDVs,passenger,plugin hybrid vehicle,LPG propane or butane tf]</t>
  </si>
  <si>
    <t>Transportation Sector Fuel Used[HDVs,passenger,plugin hybrid vehicle,hydrogen tf]</t>
  </si>
  <si>
    <t>Transportation Sector Fuel Used[HDVs,passenger,LPG vehicle,electricity tf]</t>
  </si>
  <si>
    <t>Transportation Sector Fuel Used[HDVs,passenger,LPG vehicle,natural gas tf]</t>
  </si>
  <si>
    <t>Transportation Sector Fuel Used[HDVs,passenger,LPG vehicle,petroleum gasoline tf]</t>
  </si>
  <si>
    <t>Transportation Sector Fuel Used[HDVs,passenger,LPG vehicle,petroleum diesel tf]</t>
  </si>
  <si>
    <t>Transportation Sector Fuel Used[HDVs,passenger,LPG vehicle,biofuel gasoline tf]</t>
  </si>
  <si>
    <t>Transportation Sector Fuel Used[HDVs,passenger,LPG vehicle,biofuel diesel tf]</t>
  </si>
  <si>
    <t>Transportation Sector Fuel Used[HDVs,passenger,LPG vehicle,jet fuel tf]</t>
  </si>
  <si>
    <t>Transportation Sector Fuel Used[HDVs,passenger,LPG vehicle,heavy or residual fuel oil tf]</t>
  </si>
  <si>
    <t>Transportation Sector Fuel Used[HDVs,passenger,LPG vehicle,LPG propane or butane tf]</t>
  </si>
  <si>
    <t>Transportation Sector Fuel Used[HDVs,passenger,LPG vehicle,hydrogen tf]</t>
  </si>
  <si>
    <t>Transportation Sector Fuel Used[HDVs,passenger,hydrogen vehicle,electricity tf]</t>
  </si>
  <si>
    <t>Transportation Sector Fuel Used[HDVs,passenger,hydrogen vehicle,natural gas tf]</t>
  </si>
  <si>
    <t>Transportation Sector Fuel Used[HDVs,passenger,hydrogen vehicle,petroleum gasoline tf]</t>
  </si>
  <si>
    <t>Transportation Sector Fuel Used[HDVs,passenger,hydrogen vehicle,petroleum diesel tf]</t>
  </si>
  <si>
    <t>Transportation Sector Fuel Used[HDVs,passenger,hydrogen vehicle,biofuel gasoline tf]</t>
  </si>
  <si>
    <t>Transportation Sector Fuel Used[HDVs,passenger,hydrogen vehicle,biofuel diesel tf]</t>
  </si>
  <si>
    <t>Transportation Sector Fuel Used[HDVs,passenger,hydrogen vehicle,jet fuel tf]</t>
  </si>
  <si>
    <t>Transportation Sector Fuel Used[HDVs,passenger,hydrogen vehicle,heavy or residual fuel oil tf]</t>
  </si>
  <si>
    <t>Transportation Sector Fuel Used[HDVs,passenger,hydrogen vehicle,LPG propane or butane tf]</t>
  </si>
  <si>
    <t>Transportation Sector Fuel Used[HDVs,passenger,hydrogen vehicle,hydrogen tf]</t>
  </si>
  <si>
    <t>Transportation Sector Fuel Used[HDVs,freight,battery electric vehicle,electricity tf]</t>
  </si>
  <si>
    <t>Transportation Sector Fuel Used[HDVs,freight,battery electric vehicle,natural gas tf]</t>
  </si>
  <si>
    <t>Transportation Sector Fuel Used[HDVs,freight,battery electric vehicle,petroleum gasoline tf]</t>
  </si>
  <si>
    <t>Transportation Sector Fuel Used[HDVs,freight,battery electric vehicle,petroleum diesel tf]</t>
  </si>
  <si>
    <t>Transportation Sector Fuel Used[HDVs,freight,battery electric vehicle,biofuel gasoline tf]</t>
  </si>
  <si>
    <t>Transportation Sector Fuel Used[HDVs,freight,battery electric vehicle,biofuel diesel tf]</t>
  </si>
  <si>
    <t>Transportation Sector Fuel Used[HDVs,freight,battery electric vehicle,jet fuel tf]</t>
  </si>
  <si>
    <t>Transportation Sector Fuel Used[HDVs,freight,battery electric vehicle,heavy or residual fuel oil tf]</t>
  </si>
  <si>
    <t>Transportation Sector Fuel Used[HDVs,freight,battery electric vehicle,LPG propane or butane tf]</t>
  </si>
  <si>
    <t>Transportation Sector Fuel Used[HDVs,freight,battery electric vehicle,hydrogen tf]</t>
  </si>
  <si>
    <t>Transportation Sector Fuel Used[HDVs,freight,natural gas vehicle,electricity tf]</t>
  </si>
  <si>
    <t>Transportation Sector Fuel Used[HDVs,freight,natural gas vehicle,natural gas tf]</t>
  </si>
  <si>
    <t>Transportation Sector Fuel Used[HDVs,freight,natural gas vehicle,petroleum gasoline tf]</t>
  </si>
  <si>
    <t>Transportation Sector Fuel Used[HDVs,freight,natural gas vehicle,petroleum diesel tf]</t>
  </si>
  <si>
    <t>Transportation Sector Fuel Used[HDVs,freight,natural gas vehicle,biofuel gasoline tf]</t>
  </si>
  <si>
    <t>Transportation Sector Fuel Used[HDVs,freight,natural gas vehicle,biofuel diesel tf]</t>
  </si>
  <si>
    <t>Transportation Sector Fuel Used[HDVs,freight,natural gas vehicle,jet fuel tf]</t>
  </si>
  <si>
    <t>Transportation Sector Fuel Used[HDVs,freight,natural gas vehicle,heavy or residual fuel oil tf]</t>
  </si>
  <si>
    <t>Transportation Sector Fuel Used[HDVs,freight,natural gas vehicle,LPG propane or butane tf]</t>
  </si>
  <si>
    <t>Transportation Sector Fuel Used[HDVs,freight,natural gas vehicle,hydrogen tf]</t>
  </si>
  <si>
    <t>Transportation Sector Fuel Used[HDVs,freight,gasoline vehicle,electricity tf]</t>
  </si>
  <si>
    <t>Transportation Sector Fuel Used[HDVs,freight,gasoline vehicle,natural gas tf]</t>
  </si>
  <si>
    <t>Transportation Sector Fuel Used[HDVs,freight,gasoline vehicle,petroleum gasoline tf]</t>
  </si>
  <si>
    <t>Transportation Sector Fuel Used[HDVs,freight,gasoline vehicle,petroleum diesel tf]</t>
  </si>
  <si>
    <t>Transportation Sector Fuel Used[HDVs,freight,gasoline vehicle,biofuel gasoline tf]</t>
  </si>
  <si>
    <t>Transportation Sector Fuel Used[HDVs,freight,gasoline vehicle,biofuel diesel tf]</t>
  </si>
  <si>
    <t>Transportation Sector Fuel Used[HDVs,freight,gasoline vehicle,jet fuel tf]</t>
  </si>
  <si>
    <t>Transportation Sector Fuel Used[HDVs,freight,gasoline vehicle,heavy or residual fuel oil tf]</t>
  </si>
  <si>
    <t>Transportation Sector Fuel Used[HDVs,freight,gasoline vehicle,LPG propane or butane tf]</t>
  </si>
  <si>
    <t>Transportation Sector Fuel Used[HDVs,freight,gasoline vehicle,hydrogen tf]</t>
  </si>
  <si>
    <t>Transportation Sector Fuel Used[HDVs,freight,diesel vehicle,electricity tf]</t>
  </si>
  <si>
    <t>Transportation Sector Fuel Used[HDVs,freight,diesel vehicle,natural gas tf]</t>
  </si>
  <si>
    <t>Transportation Sector Fuel Used[HDVs,freight,diesel vehicle,petroleum gasoline tf]</t>
  </si>
  <si>
    <t>Transportation Sector Fuel Used[HDVs,freight,diesel vehicle,petroleum diesel tf]</t>
  </si>
  <si>
    <t>Transportation Sector Fuel Used[HDVs,freight,diesel vehicle,biofuel gasoline tf]</t>
  </si>
  <si>
    <t>Transportation Sector Fuel Used[HDVs,freight,diesel vehicle,biofuel diesel tf]</t>
  </si>
  <si>
    <t>Transportation Sector Fuel Used[HDVs,freight,diesel vehicle,jet fuel tf]</t>
  </si>
  <si>
    <t>Transportation Sector Fuel Used[HDVs,freight,diesel vehicle,heavy or residual fuel oil tf]</t>
  </si>
  <si>
    <t>Transportation Sector Fuel Used[HDVs,freight,diesel vehicle,LPG propane or butane tf]</t>
  </si>
  <si>
    <t>Transportation Sector Fuel Used[HDVs,freight,diesel vehicle,hydrogen tf]</t>
  </si>
  <si>
    <t>Transportation Sector Fuel Used[HDVs,freight,plugin hybrid vehicle,electricity tf]</t>
  </si>
  <si>
    <t>Transportation Sector Fuel Used[HDVs,freight,plugin hybrid vehicle,natural gas tf]</t>
  </si>
  <si>
    <t>Transportation Sector Fuel Used[HDVs,freight,plugin hybrid vehicle,petroleum gasoline tf]</t>
  </si>
  <si>
    <t>Transportation Sector Fuel Used[HDVs,freight,plugin hybrid vehicle,petroleum diesel tf]</t>
  </si>
  <si>
    <t>Transportation Sector Fuel Used[HDVs,freight,plugin hybrid vehicle,biofuel gasoline tf]</t>
  </si>
  <si>
    <t>Transportation Sector Fuel Used[HDVs,freight,plugin hybrid vehicle,biofuel diesel tf]</t>
  </si>
  <si>
    <t>Transportation Sector Fuel Used[HDVs,freight,plugin hybrid vehicle,jet fuel tf]</t>
  </si>
  <si>
    <t>Transportation Sector Fuel Used[HDVs,freight,plugin hybrid vehicle,heavy or residual fuel oil tf]</t>
  </si>
  <si>
    <t>Transportation Sector Fuel Used[HDVs,freight,plugin hybrid vehicle,LPG propane or butane tf]</t>
  </si>
  <si>
    <t>Transportation Sector Fuel Used[HDVs,freight,plugin hybrid vehicle,hydrogen tf]</t>
  </si>
  <si>
    <t>Transportation Sector Fuel Used[HDVs,freight,LPG vehicle,electricity tf]</t>
  </si>
  <si>
    <t>Transportation Sector Fuel Used[HDVs,freight,LPG vehicle,natural gas tf]</t>
  </si>
  <si>
    <t>Transportation Sector Fuel Used[HDVs,freight,LPG vehicle,petroleum gasoline tf]</t>
  </si>
  <si>
    <t>Transportation Sector Fuel Used[HDVs,freight,LPG vehicle,petroleum diesel tf]</t>
  </si>
  <si>
    <t>Transportation Sector Fuel Used[HDVs,freight,LPG vehicle,biofuel gasoline tf]</t>
  </si>
  <si>
    <t>Transportation Sector Fuel Used[HDVs,freight,LPG vehicle,biofuel diesel tf]</t>
  </si>
  <si>
    <t>Transportation Sector Fuel Used[HDVs,freight,LPG vehicle,jet fuel tf]</t>
  </si>
  <si>
    <t>Transportation Sector Fuel Used[HDVs,freight,LPG vehicle,heavy or residual fuel oil tf]</t>
  </si>
  <si>
    <t>Transportation Sector Fuel Used[HDVs,freight,LPG vehicle,LPG propane or butane tf]</t>
  </si>
  <si>
    <t>Transportation Sector Fuel Used[HDVs,freight,LPG vehicle,hydrogen tf]</t>
  </si>
  <si>
    <t>Transportation Sector Fuel Used[HDVs,freight,hydrogen vehicle,electricity tf]</t>
  </si>
  <si>
    <t>Transportation Sector Fuel Used[HDVs,freight,hydrogen vehicle,natural gas tf]</t>
  </si>
  <si>
    <t>Transportation Sector Fuel Used[HDVs,freight,hydrogen vehicle,petroleum gasoline tf]</t>
  </si>
  <si>
    <t>Transportation Sector Fuel Used[HDVs,freight,hydrogen vehicle,petroleum diesel tf]</t>
  </si>
  <si>
    <t>Transportation Sector Fuel Used[HDVs,freight,hydrogen vehicle,biofuel gasoline tf]</t>
  </si>
  <si>
    <t>Transportation Sector Fuel Used[HDVs,freight,hydrogen vehicle,biofuel diesel tf]</t>
  </si>
  <si>
    <t>Transportation Sector Fuel Used[HDVs,freight,hydrogen vehicle,jet fuel tf]</t>
  </si>
  <si>
    <t>Transportation Sector Fuel Used[HDVs,freight,hydrogen vehicle,heavy or residual fuel oil tf]</t>
  </si>
  <si>
    <t>Transportation Sector Fuel Used[HDVs,freight,hydrogen vehicle,LPG propane or butane tf]</t>
  </si>
  <si>
    <t>Transportation Sector Fuel Used[HDVs,freight,hydrogen vehicle,hydrogen tf]</t>
  </si>
  <si>
    <t>Transportation Sector Fuel Used[aircraft,passenger,battery electric vehicle,electricity tf]</t>
  </si>
  <si>
    <t>Transportation Sector Fuel Used[aircraft,passenger,battery electric vehicle,natural gas tf]</t>
  </si>
  <si>
    <t>Transportation Sector Fuel Used[aircraft,passenger,battery electric vehicle,petroleum gasoline tf]</t>
  </si>
  <si>
    <t>Transportation Sector Fuel Used[aircraft,passenger,battery electric vehicle,petroleum diesel tf]</t>
  </si>
  <si>
    <t>Transportation Sector Fuel Used[aircraft,passenger,battery electric vehicle,biofuel gasoline tf]</t>
  </si>
  <si>
    <t>Transportation Sector Fuel Used[aircraft,passenger,battery electric vehicle,biofuel diesel tf]</t>
  </si>
  <si>
    <t>Transportation Sector Fuel Used[aircraft,passenger,battery electric vehicle,jet fuel tf]</t>
  </si>
  <si>
    <t>Transportation Sector Fuel Used[aircraft,passenger,battery electric vehicle,heavy or residual fuel oil tf]</t>
  </si>
  <si>
    <t>Transportation Sector Fuel Used[aircraft,passenger,battery electric vehicle,LPG propane or butane tf]</t>
  </si>
  <si>
    <t>Transportation Sector Fuel Used[aircraft,passenger,battery electric vehicle,hydrogen tf]</t>
  </si>
  <si>
    <t>Transportation Sector Fuel Used[aircraft,passenger,natural gas vehicle,electricity tf]</t>
  </si>
  <si>
    <t>Transportation Sector Fuel Used[aircraft,passenger,natural gas vehicle,natural gas tf]</t>
  </si>
  <si>
    <t>Transportation Sector Fuel Used[aircraft,passenger,natural gas vehicle,petroleum gasoline tf]</t>
  </si>
  <si>
    <t>Transportation Sector Fuel Used[aircraft,passenger,natural gas vehicle,petroleum diesel tf]</t>
  </si>
  <si>
    <t>Transportation Sector Fuel Used[aircraft,passenger,natural gas vehicle,biofuel gasoline tf]</t>
  </si>
  <si>
    <t>Transportation Sector Fuel Used[aircraft,passenger,natural gas vehicle,biofuel diesel tf]</t>
  </si>
  <si>
    <t>Transportation Sector Fuel Used[aircraft,passenger,natural gas vehicle,jet fuel tf]</t>
  </si>
  <si>
    <t>Transportation Sector Fuel Used[aircraft,passenger,natural gas vehicle,heavy or residual fuel oil tf]</t>
  </si>
  <si>
    <t>Transportation Sector Fuel Used[aircraft,passenger,natural gas vehicle,LPG propane or butane tf]</t>
  </si>
  <si>
    <t>Transportation Sector Fuel Used[aircraft,passenger,natural gas vehicle,hydrogen tf]</t>
  </si>
  <si>
    <t>Transportation Sector Fuel Used[aircraft,passenger,gasoline vehicle,electricity tf]</t>
  </si>
  <si>
    <t>Transportation Sector Fuel Used[aircraft,passenger,gasoline vehicle,natural gas tf]</t>
  </si>
  <si>
    <t>Transportation Sector Fuel Used[aircraft,passenger,gasoline vehicle,petroleum gasoline tf]</t>
  </si>
  <si>
    <t>Transportation Sector Fuel Used[aircraft,passenger,gasoline vehicle,petroleum diesel tf]</t>
  </si>
  <si>
    <t>Transportation Sector Fuel Used[aircraft,passenger,gasoline vehicle,biofuel gasoline tf]</t>
  </si>
  <si>
    <t>Transportation Sector Fuel Used[aircraft,passenger,gasoline vehicle,biofuel diesel tf]</t>
  </si>
  <si>
    <t>Transportation Sector Fuel Used[aircraft,passenger,gasoline vehicle,jet fuel tf]</t>
  </si>
  <si>
    <t>Transportation Sector Fuel Used[aircraft,passenger,gasoline vehicle,heavy or residual fuel oil tf]</t>
  </si>
  <si>
    <t>Transportation Sector Fuel Used[aircraft,passenger,gasoline vehicle,LPG propane or butane tf]</t>
  </si>
  <si>
    <t>Transportation Sector Fuel Used[aircraft,passenger,gasoline vehicle,hydrogen tf]</t>
  </si>
  <si>
    <t>Transportation Sector Fuel Used[aircraft,passenger,diesel vehicle,electricity tf]</t>
  </si>
  <si>
    <t>Transportation Sector Fuel Used[aircraft,passenger,diesel vehicle,natural gas tf]</t>
  </si>
  <si>
    <t>Transportation Sector Fuel Used[aircraft,passenger,diesel vehicle,petroleum gasoline tf]</t>
  </si>
  <si>
    <t>Transportation Sector Fuel Used[aircraft,passenger,diesel vehicle,petroleum diesel tf]</t>
  </si>
  <si>
    <t>Transportation Sector Fuel Used[aircraft,passenger,diesel vehicle,biofuel gasoline tf]</t>
  </si>
  <si>
    <t>Transportation Sector Fuel Used[aircraft,passenger,diesel vehicle,biofuel diesel tf]</t>
  </si>
  <si>
    <t>Transportation Sector Fuel Used[aircraft,passenger,diesel vehicle,jet fuel tf]</t>
  </si>
  <si>
    <t>Transportation Sector Fuel Used[aircraft,passenger,diesel vehicle,heavy or residual fuel oil tf]</t>
  </si>
  <si>
    <t>Transportation Sector Fuel Used[aircraft,passenger,diesel vehicle,LPG propane or butane tf]</t>
  </si>
  <si>
    <t>Transportation Sector Fuel Used[aircraft,passenger,diesel vehicle,hydrogen tf]</t>
  </si>
  <si>
    <t>Transportation Sector Fuel Used[aircraft,passenger,plugin hybrid vehicle,electricity tf]</t>
  </si>
  <si>
    <t>Transportation Sector Fuel Used[aircraft,passenger,plugin hybrid vehicle,natural gas tf]</t>
  </si>
  <si>
    <t>Transportation Sector Fuel Used[aircraft,passenger,plugin hybrid vehicle,petroleum gasoline tf]</t>
  </si>
  <si>
    <t>Transportation Sector Fuel Used[aircraft,passenger,plugin hybrid vehicle,petroleum diesel tf]</t>
  </si>
  <si>
    <t>Transportation Sector Fuel Used[aircraft,passenger,plugin hybrid vehicle,biofuel gasoline tf]</t>
  </si>
  <si>
    <t>Transportation Sector Fuel Used[aircraft,passenger,plugin hybrid vehicle,biofuel diesel tf]</t>
  </si>
  <si>
    <t>Transportation Sector Fuel Used[aircraft,passenger,plugin hybrid vehicle,jet fuel tf]</t>
  </si>
  <si>
    <t>Transportation Sector Fuel Used[aircraft,passenger,plugin hybrid vehicle,heavy or residual fuel oil tf]</t>
  </si>
  <si>
    <t>Transportation Sector Fuel Used[aircraft,passenger,plugin hybrid vehicle,LPG propane or butane tf]</t>
  </si>
  <si>
    <t>Transportation Sector Fuel Used[aircraft,passenger,plugin hybrid vehicle,hydrogen tf]</t>
  </si>
  <si>
    <t>Transportation Sector Fuel Used[aircraft,passenger,LPG vehicle,electricity tf]</t>
  </si>
  <si>
    <t>Transportation Sector Fuel Used[aircraft,passenger,LPG vehicle,natural gas tf]</t>
  </si>
  <si>
    <t>Transportation Sector Fuel Used[aircraft,passenger,LPG vehicle,petroleum gasoline tf]</t>
  </si>
  <si>
    <t>Transportation Sector Fuel Used[aircraft,passenger,LPG vehicle,petroleum diesel tf]</t>
  </si>
  <si>
    <t>Transportation Sector Fuel Used[aircraft,passenger,LPG vehicle,biofuel gasoline tf]</t>
  </si>
  <si>
    <t>Transportation Sector Fuel Used[aircraft,passenger,LPG vehicle,biofuel diesel tf]</t>
  </si>
  <si>
    <t>Transportation Sector Fuel Used[aircraft,passenger,LPG vehicle,jet fuel tf]</t>
  </si>
  <si>
    <t>Transportation Sector Fuel Used[aircraft,passenger,LPG vehicle,heavy or residual fuel oil tf]</t>
  </si>
  <si>
    <t>Transportation Sector Fuel Used[aircraft,passenger,LPG vehicle,LPG propane or butane tf]</t>
  </si>
  <si>
    <t>Transportation Sector Fuel Used[aircraft,passenger,LPG vehicle,hydrogen tf]</t>
  </si>
  <si>
    <t>Transportation Sector Fuel Used[aircraft,passenger,hydrogen vehicle,electricity tf]</t>
  </si>
  <si>
    <t>Transportation Sector Fuel Used[aircraft,passenger,hydrogen vehicle,natural gas tf]</t>
  </si>
  <si>
    <t>Transportation Sector Fuel Used[aircraft,passenger,hydrogen vehicle,petroleum gasoline tf]</t>
  </si>
  <si>
    <t>Transportation Sector Fuel Used[aircraft,passenger,hydrogen vehicle,petroleum diesel tf]</t>
  </si>
  <si>
    <t>Transportation Sector Fuel Used[aircraft,passenger,hydrogen vehicle,biofuel gasoline tf]</t>
  </si>
  <si>
    <t>Transportation Sector Fuel Used[aircraft,passenger,hydrogen vehicle,biofuel diesel tf]</t>
  </si>
  <si>
    <t>Transportation Sector Fuel Used[aircraft,passenger,hydrogen vehicle,jet fuel tf]</t>
  </si>
  <si>
    <t>Transportation Sector Fuel Used[aircraft,passenger,hydrogen vehicle,heavy or residual fuel oil tf]</t>
  </si>
  <si>
    <t>Transportation Sector Fuel Used[aircraft,passenger,hydrogen vehicle,LPG propane or butane tf]</t>
  </si>
  <si>
    <t>Transportation Sector Fuel Used[aircraft,passenger,hydrogen vehicle,hydrogen tf]</t>
  </si>
  <si>
    <t>Transportation Sector Fuel Used[aircraft,freight,battery electric vehicle,electricity tf]</t>
  </si>
  <si>
    <t>Transportation Sector Fuel Used[aircraft,freight,battery electric vehicle,natural gas tf]</t>
  </si>
  <si>
    <t>Transportation Sector Fuel Used[aircraft,freight,battery electric vehicle,petroleum gasoline tf]</t>
  </si>
  <si>
    <t>Transportation Sector Fuel Used[aircraft,freight,battery electric vehicle,petroleum diesel tf]</t>
  </si>
  <si>
    <t>Transportation Sector Fuel Used[aircraft,freight,battery electric vehicle,biofuel gasoline tf]</t>
  </si>
  <si>
    <t>Transportation Sector Fuel Used[aircraft,freight,battery electric vehicle,biofuel diesel tf]</t>
  </si>
  <si>
    <t>Transportation Sector Fuel Used[aircraft,freight,battery electric vehicle,jet fuel tf]</t>
  </si>
  <si>
    <t>Transportation Sector Fuel Used[aircraft,freight,battery electric vehicle,heavy or residual fuel oil tf]</t>
  </si>
  <si>
    <t>Transportation Sector Fuel Used[aircraft,freight,battery electric vehicle,LPG propane or butane tf]</t>
  </si>
  <si>
    <t>Transportation Sector Fuel Used[aircraft,freight,battery electric vehicle,hydrogen tf]</t>
  </si>
  <si>
    <t>Transportation Sector Fuel Used[aircraft,freight,natural gas vehicle,electricity tf]</t>
  </si>
  <si>
    <t>Transportation Sector Fuel Used[aircraft,freight,natural gas vehicle,natural gas tf]</t>
  </si>
  <si>
    <t>Transportation Sector Fuel Used[aircraft,freight,natural gas vehicle,petroleum gasoline tf]</t>
  </si>
  <si>
    <t>Transportation Sector Fuel Used[aircraft,freight,natural gas vehicle,petroleum diesel tf]</t>
  </si>
  <si>
    <t>Transportation Sector Fuel Used[aircraft,freight,natural gas vehicle,biofuel gasoline tf]</t>
  </si>
  <si>
    <t>Transportation Sector Fuel Used[aircraft,freight,natural gas vehicle,biofuel diesel tf]</t>
  </si>
  <si>
    <t>Transportation Sector Fuel Used[aircraft,freight,natural gas vehicle,jet fuel tf]</t>
  </si>
  <si>
    <t>Transportation Sector Fuel Used[aircraft,freight,natural gas vehicle,heavy or residual fuel oil tf]</t>
  </si>
  <si>
    <t>Transportation Sector Fuel Used[aircraft,freight,natural gas vehicle,LPG propane or butane tf]</t>
  </si>
  <si>
    <t>Transportation Sector Fuel Used[aircraft,freight,natural gas vehicle,hydrogen tf]</t>
  </si>
  <si>
    <t>Transportation Sector Fuel Used[aircraft,freight,gasoline vehicle,electricity tf]</t>
  </si>
  <si>
    <t>Transportation Sector Fuel Used[aircraft,freight,gasoline vehicle,natural gas tf]</t>
  </si>
  <si>
    <t>Transportation Sector Fuel Used[aircraft,freight,gasoline vehicle,petroleum gasoline tf]</t>
  </si>
  <si>
    <t>Transportation Sector Fuel Used[aircraft,freight,gasoline vehicle,petroleum diesel tf]</t>
  </si>
  <si>
    <t>Transportation Sector Fuel Used[aircraft,freight,gasoline vehicle,biofuel gasoline tf]</t>
  </si>
  <si>
    <t>Transportation Sector Fuel Used[aircraft,freight,gasoline vehicle,biofuel diesel tf]</t>
  </si>
  <si>
    <t>Transportation Sector Fuel Used[aircraft,freight,gasoline vehicle,jet fuel tf]</t>
  </si>
  <si>
    <t>Transportation Sector Fuel Used[aircraft,freight,gasoline vehicle,heavy or residual fuel oil tf]</t>
  </si>
  <si>
    <t>Transportation Sector Fuel Used[aircraft,freight,gasoline vehicle,LPG propane or butane tf]</t>
  </si>
  <si>
    <t>Transportation Sector Fuel Used[aircraft,freight,gasoline vehicle,hydrogen tf]</t>
  </si>
  <si>
    <t>Transportation Sector Fuel Used[aircraft,freight,diesel vehicle,electricity tf]</t>
  </si>
  <si>
    <t>Transportation Sector Fuel Used[aircraft,freight,diesel vehicle,natural gas tf]</t>
  </si>
  <si>
    <t>Transportation Sector Fuel Used[aircraft,freight,diesel vehicle,petroleum gasoline tf]</t>
  </si>
  <si>
    <t>Transportation Sector Fuel Used[aircraft,freight,diesel vehicle,petroleum diesel tf]</t>
  </si>
  <si>
    <t>Transportation Sector Fuel Used[aircraft,freight,diesel vehicle,biofuel gasoline tf]</t>
  </si>
  <si>
    <t>Transportation Sector Fuel Used[aircraft,freight,diesel vehicle,biofuel diesel tf]</t>
  </si>
  <si>
    <t>Transportation Sector Fuel Used[aircraft,freight,diesel vehicle,jet fuel tf]</t>
  </si>
  <si>
    <t>Transportation Sector Fuel Used[aircraft,freight,diesel vehicle,heavy or residual fuel oil tf]</t>
  </si>
  <si>
    <t>Transportation Sector Fuel Used[aircraft,freight,diesel vehicle,LPG propane or butane tf]</t>
  </si>
  <si>
    <t>Transportation Sector Fuel Used[aircraft,freight,diesel vehicle,hydrogen tf]</t>
  </si>
  <si>
    <t>Transportation Sector Fuel Used[aircraft,freight,plugin hybrid vehicle,electricity tf]</t>
  </si>
  <si>
    <t>Transportation Sector Fuel Used[aircraft,freight,plugin hybrid vehicle,natural gas tf]</t>
  </si>
  <si>
    <t>Transportation Sector Fuel Used[aircraft,freight,plugin hybrid vehicle,petroleum gasoline tf]</t>
  </si>
  <si>
    <t>Transportation Sector Fuel Used[aircraft,freight,plugin hybrid vehicle,petroleum diesel tf]</t>
  </si>
  <si>
    <t>Transportation Sector Fuel Used[aircraft,freight,plugin hybrid vehicle,biofuel gasoline tf]</t>
  </si>
  <si>
    <t>Transportation Sector Fuel Used[aircraft,freight,plugin hybrid vehicle,biofuel diesel tf]</t>
  </si>
  <si>
    <t>Transportation Sector Fuel Used[aircraft,freight,plugin hybrid vehicle,jet fuel tf]</t>
  </si>
  <si>
    <t>Transportation Sector Fuel Used[aircraft,freight,plugin hybrid vehicle,heavy or residual fuel oil tf]</t>
  </si>
  <si>
    <t>Transportation Sector Fuel Used[aircraft,freight,plugin hybrid vehicle,LPG propane or butane tf]</t>
  </si>
  <si>
    <t>Transportation Sector Fuel Used[aircraft,freight,plugin hybrid vehicle,hydrogen tf]</t>
  </si>
  <si>
    <t>Transportation Sector Fuel Used[aircraft,freight,LPG vehicle,electricity tf]</t>
  </si>
  <si>
    <t>Transportation Sector Fuel Used[aircraft,freight,LPG vehicle,natural gas tf]</t>
  </si>
  <si>
    <t>Transportation Sector Fuel Used[aircraft,freight,LPG vehicle,petroleum gasoline tf]</t>
  </si>
  <si>
    <t>Transportation Sector Fuel Used[aircraft,freight,LPG vehicle,petroleum diesel tf]</t>
  </si>
  <si>
    <t>Transportation Sector Fuel Used[aircraft,freight,LPG vehicle,biofuel gasoline tf]</t>
  </si>
  <si>
    <t>Transportation Sector Fuel Used[aircraft,freight,LPG vehicle,biofuel diesel tf]</t>
  </si>
  <si>
    <t>Transportation Sector Fuel Used[aircraft,freight,LPG vehicle,jet fuel tf]</t>
  </si>
  <si>
    <t>Transportation Sector Fuel Used[aircraft,freight,LPG vehicle,heavy or residual fuel oil tf]</t>
  </si>
  <si>
    <t>Transportation Sector Fuel Used[aircraft,freight,LPG vehicle,LPG propane or butane tf]</t>
  </si>
  <si>
    <t>Transportation Sector Fuel Used[aircraft,freight,LPG vehicle,hydrogen tf]</t>
  </si>
  <si>
    <t>Transportation Sector Fuel Used[aircraft,freight,hydrogen vehicle,electricity tf]</t>
  </si>
  <si>
    <t>Transportation Sector Fuel Used[aircraft,freight,hydrogen vehicle,natural gas tf]</t>
  </si>
  <si>
    <t>Transportation Sector Fuel Used[aircraft,freight,hydrogen vehicle,petroleum gasoline tf]</t>
  </si>
  <si>
    <t>Transportation Sector Fuel Used[aircraft,freight,hydrogen vehicle,petroleum diesel tf]</t>
  </si>
  <si>
    <t>Transportation Sector Fuel Used[aircraft,freight,hydrogen vehicle,biofuel gasoline tf]</t>
  </si>
  <si>
    <t>Transportation Sector Fuel Used[aircraft,freight,hydrogen vehicle,biofuel diesel tf]</t>
  </si>
  <si>
    <t>Transportation Sector Fuel Used[aircraft,freight,hydrogen vehicle,jet fuel tf]</t>
  </si>
  <si>
    <t>Transportation Sector Fuel Used[aircraft,freight,hydrogen vehicle,heavy or residual fuel oil tf]</t>
  </si>
  <si>
    <t>Transportation Sector Fuel Used[aircraft,freight,hydrogen vehicle,LPG propane or butane tf]</t>
  </si>
  <si>
    <t>Transportation Sector Fuel Used[aircraft,freight,hydrogen vehicle,hydrogen tf]</t>
  </si>
  <si>
    <t>Transportation Sector Fuel Used[rail,passenger,battery electric vehicle,electricity tf]</t>
  </si>
  <si>
    <t>Transportation Sector Fuel Used[rail,passenger,battery electric vehicle,natural gas tf]</t>
  </si>
  <si>
    <t>Transportation Sector Fuel Used[rail,passenger,battery electric vehicle,petroleum gasoline tf]</t>
  </si>
  <si>
    <t>Transportation Sector Fuel Used[rail,passenger,battery electric vehicle,petroleum diesel tf]</t>
  </si>
  <si>
    <t>Transportation Sector Fuel Used[rail,passenger,battery electric vehicle,biofuel gasoline tf]</t>
  </si>
  <si>
    <t>Transportation Sector Fuel Used[rail,passenger,battery electric vehicle,biofuel diesel tf]</t>
  </si>
  <si>
    <t>Transportation Sector Fuel Used[rail,passenger,battery electric vehicle,jet fuel tf]</t>
  </si>
  <si>
    <t>Transportation Sector Fuel Used[rail,passenger,battery electric vehicle,heavy or residual fuel oil tf]</t>
  </si>
  <si>
    <t>Transportation Sector Fuel Used[rail,passenger,battery electric vehicle,LPG propane or butane tf]</t>
  </si>
  <si>
    <t>Transportation Sector Fuel Used[rail,passenger,battery electric vehicle,hydrogen tf]</t>
  </si>
  <si>
    <t>Transportation Sector Fuel Used[rail,passenger,natural gas vehicle,electricity tf]</t>
  </si>
  <si>
    <t>Transportation Sector Fuel Used[rail,passenger,natural gas vehicle,natural gas tf]</t>
  </si>
  <si>
    <t>Transportation Sector Fuel Used[rail,passenger,natural gas vehicle,petroleum gasoline tf]</t>
  </si>
  <si>
    <t>Transportation Sector Fuel Used[rail,passenger,natural gas vehicle,petroleum diesel tf]</t>
  </si>
  <si>
    <t>Transportation Sector Fuel Used[rail,passenger,natural gas vehicle,biofuel gasoline tf]</t>
  </si>
  <si>
    <t>Transportation Sector Fuel Used[rail,passenger,natural gas vehicle,biofuel diesel tf]</t>
  </si>
  <si>
    <t>Transportation Sector Fuel Used[rail,passenger,natural gas vehicle,jet fuel tf]</t>
  </si>
  <si>
    <t>Transportation Sector Fuel Used[rail,passenger,natural gas vehicle,heavy or residual fuel oil tf]</t>
  </si>
  <si>
    <t>Transportation Sector Fuel Used[rail,passenger,natural gas vehicle,LPG propane or butane tf]</t>
  </si>
  <si>
    <t>Transportation Sector Fuel Used[rail,passenger,natural gas vehicle,hydrogen tf]</t>
  </si>
  <si>
    <t>Transportation Sector Fuel Used[rail,passenger,gasoline vehicle,electricity tf]</t>
  </si>
  <si>
    <t>Transportation Sector Fuel Used[rail,passenger,gasoline vehicle,natural gas tf]</t>
  </si>
  <si>
    <t>Transportation Sector Fuel Used[rail,passenger,gasoline vehicle,petroleum gasoline tf]</t>
  </si>
  <si>
    <t>Transportation Sector Fuel Used[rail,passenger,gasoline vehicle,petroleum diesel tf]</t>
  </si>
  <si>
    <t>Transportation Sector Fuel Used[rail,passenger,gasoline vehicle,biofuel gasoline tf]</t>
  </si>
  <si>
    <t>Transportation Sector Fuel Used[rail,passenger,gasoline vehicle,biofuel diesel tf]</t>
  </si>
  <si>
    <t>Transportation Sector Fuel Used[rail,passenger,gasoline vehicle,jet fuel tf]</t>
  </si>
  <si>
    <t>Transportation Sector Fuel Used[rail,passenger,gasoline vehicle,heavy or residual fuel oil tf]</t>
  </si>
  <si>
    <t>Transportation Sector Fuel Used[rail,passenger,gasoline vehicle,LPG propane or butane tf]</t>
  </si>
  <si>
    <t>Transportation Sector Fuel Used[rail,passenger,gasoline vehicle,hydrogen tf]</t>
  </si>
  <si>
    <t>Transportation Sector Fuel Used[rail,passenger,diesel vehicle,electricity tf]</t>
  </si>
  <si>
    <t>Transportation Sector Fuel Used[rail,passenger,diesel vehicle,natural gas tf]</t>
  </si>
  <si>
    <t>Transportation Sector Fuel Used[rail,passenger,diesel vehicle,petroleum gasoline tf]</t>
  </si>
  <si>
    <t>Transportation Sector Fuel Used[rail,passenger,diesel vehicle,petroleum diesel tf]</t>
  </si>
  <si>
    <t>Transportation Sector Fuel Used[rail,passenger,diesel vehicle,biofuel gasoline tf]</t>
  </si>
  <si>
    <t>Transportation Sector Fuel Used[rail,passenger,diesel vehicle,biofuel diesel tf]</t>
  </si>
  <si>
    <t>Transportation Sector Fuel Used[rail,passenger,diesel vehicle,jet fuel tf]</t>
  </si>
  <si>
    <t>Transportation Sector Fuel Used[rail,passenger,diesel vehicle,heavy or residual fuel oil tf]</t>
  </si>
  <si>
    <t>Transportation Sector Fuel Used[rail,passenger,diesel vehicle,LPG propane or butane tf]</t>
  </si>
  <si>
    <t>Transportation Sector Fuel Used[rail,passenger,diesel vehicle,hydrogen tf]</t>
  </si>
  <si>
    <t>Transportation Sector Fuel Used[rail,passenger,plugin hybrid vehicle,electricity tf]</t>
  </si>
  <si>
    <t>Transportation Sector Fuel Used[rail,passenger,plugin hybrid vehicle,natural gas tf]</t>
  </si>
  <si>
    <t>Transportation Sector Fuel Used[rail,passenger,plugin hybrid vehicle,petroleum gasoline tf]</t>
  </si>
  <si>
    <t>Transportation Sector Fuel Used[rail,passenger,plugin hybrid vehicle,petroleum diesel tf]</t>
  </si>
  <si>
    <t>Transportation Sector Fuel Used[rail,passenger,plugin hybrid vehicle,biofuel gasoline tf]</t>
  </si>
  <si>
    <t>Transportation Sector Fuel Used[rail,passenger,plugin hybrid vehicle,biofuel diesel tf]</t>
  </si>
  <si>
    <t>Transportation Sector Fuel Used[rail,passenger,plugin hybrid vehicle,jet fuel tf]</t>
  </si>
  <si>
    <t>Transportation Sector Fuel Used[rail,passenger,plugin hybrid vehicle,heavy or residual fuel oil tf]</t>
  </si>
  <si>
    <t>Transportation Sector Fuel Used[rail,passenger,plugin hybrid vehicle,LPG propane or butane tf]</t>
  </si>
  <si>
    <t>Transportation Sector Fuel Used[rail,passenger,plugin hybrid vehicle,hydrogen tf]</t>
  </si>
  <si>
    <t>Transportation Sector Fuel Used[rail,passenger,LPG vehicle,electricity tf]</t>
  </si>
  <si>
    <t>Transportation Sector Fuel Used[rail,passenger,LPG vehicle,natural gas tf]</t>
  </si>
  <si>
    <t>Transportation Sector Fuel Used[rail,passenger,LPG vehicle,petroleum gasoline tf]</t>
  </si>
  <si>
    <t>Transportation Sector Fuel Used[rail,passenger,LPG vehicle,petroleum diesel tf]</t>
  </si>
  <si>
    <t>Transportation Sector Fuel Used[rail,passenger,LPG vehicle,biofuel gasoline tf]</t>
  </si>
  <si>
    <t>Transportation Sector Fuel Used[rail,passenger,LPG vehicle,biofuel diesel tf]</t>
  </si>
  <si>
    <t>Transportation Sector Fuel Used[rail,passenger,LPG vehicle,jet fuel tf]</t>
  </si>
  <si>
    <t>Transportation Sector Fuel Used[rail,passenger,LPG vehicle,heavy or residual fuel oil tf]</t>
  </si>
  <si>
    <t>Transportation Sector Fuel Used[rail,passenger,LPG vehicle,LPG propane or butane tf]</t>
  </si>
  <si>
    <t>Transportation Sector Fuel Used[rail,passenger,LPG vehicle,hydrogen tf]</t>
  </si>
  <si>
    <t>Transportation Sector Fuel Used[rail,passenger,hydrogen vehicle,electricity tf]</t>
  </si>
  <si>
    <t>Transportation Sector Fuel Used[rail,passenger,hydrogen vehicle,natural gas tf]</t>
  </si>
  <si>
    <t>Transportation Sector Fuel Used[rail,passenger,hydrogen vehicle,petroleum gasoline tf]</t>
  </si>
  <si>
    <t>Transportation Sector Fuel Used[rail,passenger,hydrogen vehicle,petroleum diesel tf]</t>
  </si>
  <si>
    <t>Transportation Sector Fuel Used[rail,passenger,hydrogen vehicle,biofuel gasoline tf]</t>
  </si>
  <si>
    <t>Transportation Sector Fuel Used[rail,passenger,hydrogen vehicle,biofuel diesel tf]</t>
  </si>
  <si>
    <t>Transportation Sector Fuel Used[rail,passenger,hydrogen vehicle,jet fuel tf]</t>
  </si>
  <si>
    <t>Transportation Sector Fuel Used[rail,passenger,hydrogen vehicle,heavy or residual fuel oil tf]</t>
  </si>
  <si>
    <t>Transportation Sector Fuel Used[rail,passenger,hydrogen vehicle,LPG propane or butane tf]</t>
  </si>
  <si>
    <t>Transportation Sector Fuel Used[rail,passenger,hydrogen vehicle,hydrogen tf]</t>
  </si>
  <si>
    <t>Transportation Sector Fuel Used[rail,freight,battery electric vehicle,electricity tf]</t>
  </si>
  <si>
    <t>Transportation Sector Fuel Used[rail,freight,battery electric vehicle,natural gas tf]</t>
  </si>
  <si>
    <t>Transportation Sector Fuel Used[rail,freight,battery electric vehicle,petroleum gasoline tf]</t>
  </si>
  <si>
    <t>Transportation Sector Fuel Used[rail,freight,battery electric vehicle,petroleum diesel tf]</t>
  </si>
  <si>
    <t>Transportation Sector Fuel Used[rail,freight,battery electric vehicle,biofuel gasoline tf]</t>
  </si>
  <si>
    <t>Transportation Sector Fuel Used[rail,freight,battery electric vehicle,biofuel diesel tf]</t>
  </si>
  <si>
    <t>Transportation Sector Fuel Used[rail,freight,battery electric vehicle,jet fuel tf]</t>
  </si>
  <si>
    <t>Transportation Sector Fuel Used[rail,freight,battery electric vehicle,heavy or residual fuel oil tf]</t>
  </si>
  <si>
    <t>Transportation Sector Fuel Used[rail,freight,battery electric vehicle,LPG propane or butane tf]</t>
  </si>
  <si>
    <t>Transportation Sector Fuel Used[rail,freight,battery electric vehicle,hydrogen tf]</t>
  </si>
  <si>
    <t>Transportation Sector Fuel Used[rail,freight,natural gas vehicle,electricity tf]</t>
  </si>
  <si>
    <t>Transportation Sector Fuel Used[rail,freight,natural gas vehicle,natural gas tf]</t>
  </si>
  <si>
    <t>Transportation Sector Fuel Used[rail,freight,natural gas vehicle,petroleum gasoline tf]</t>
  </si>
  <si>
    <t>Transportation Sector Fuel Used[rail,freight,natural gas vehicle,petroleum diesel tf]</t>
  </si>
  <si>
    <t>Transportation Sector Fuel Used[rail,freight,natural gas vehicle,biofuel gasoline tf]</t>
  </si>
  <si>
    <t>Transportation Sector Fuel Used[rail,freight,natural gas vehicle,biofuel diesel tf]</t>
  </si>
  <si>
    <t>Transportation Sector Fuel Used[rail,freight,natural gas vehicle,jet fuel tf]</t>
  </si>
  <si>
    <t>Transportation Sector Fuel Used[rail,freight,natural gas vehicle,heavy or residual fuel oil tf]</t>
  </si>
  <si>
    <t>Transportation Sector Fuel Used[rail,freight,natural gas vehicle,LPG propane or butane tf]</t>
  </si>
  <si>
    <t>Transportation Sector Fuel Used[rail,freight,natural gas vehicle,hydrogen tf]</t>
  </si>
  <si>
    <t>Transportation Sector Fuel Used[rail,freight,gasoline vehicle,electricity tf]</t>
  </si>
  <si>
    <t>Transportation Sector Fuel Used[rail,freight,gasoline vehicle,natural gas tf]</t>
  </si>
  <si>
    <t>Transportation Sector Fuel Used[rail,freight,gasoline vehicle,petroleum gasoline tf]</t>
  </si>
  <si>
    <t>Transportation Sector Fuel Used[rail,freight,gasoline vehicle,petroleum diesel tf]</t>
  </si>
  <si>
    <t>Transportation Sector Fuel Used[rail,freight,gasoline vehicle,biofuel gasoline tf]</t>
  </si>
  <si>
    <t>Transportation Sector Fuel Used[rail,freight,gasoline vehicle,biofuel diesel tf]</t>
  </si>
  <si>
    <t>Transportation Sector Fuel Used[rail,freight,gasoline vehicle,jet fuel tf]</t>
  </si>
  <si>
    <t>Transportation Sector Fuel Used[rail,freight,gasoline vehicle,heavy or residual fuel oil tf]</t>
  </si>
  <si>
    <t>Transportation Sector Fuel Used[rail,freight,gasoline vehicle,LPG propane or butane tf]</t>
  </si>
  <si>
    <t>Transportation Sector Fuel Used[rail,freight,gasoline vehicle,hydrogen tf]</t>
  </si>
  <si>
    <t>Transportation Sector Fuel Used[rail,freight,diesel vehicle,electricity tf]</t>
  </si>
  <si>
    <t>Transportation Sector Fuel Used[rail,freight,diesel vehicle,natural gas tf]</t>
  </si>
  <si>
    <t>Transportation Sector Fuel Used[rail,freight,diesel vehicle,petroleum gasoline tf]</t>
  </si>
  <si>
    <t>Transportation Sector Fuel Used[rail,freight,diesel vehicle,petroleum diesel tf]</t>
  </si>
  <si>
    <t>Transportation Sector Fuel Used[rail,freight,diesel vehicle,biofuel gasoline tf]</t>
  </si>
  <si>
    <t>Transportation Sector Fuel Used[rail,freight,diesel vehicle,biofuel diesel tf]</t>
  </si>
  <si>
    <t>Transportation Sector Fuel Used[rail,freight,diesel vehicle,jet fuel tf]</t>
  </si>
  <si>
    <t>Transportation Sector Fuel Used[rail,freight,diesel vehicle,heavy or residual fuel oil tf]</t>
  </si>
  <si>
    <t>Transportation Sector Fuel Used[rail,freight,diesel vehicle,LPG propane or butane tf]</t>
  </si>
  <si>
    <t>Transportation Sector Fuel Used[rail,freight,diesel vehicle,hydrogen tf]</t>
  </si>
  <si>
    <t>Transportation Sector Fuel Used[rail,freight,plugin hybrid vehicle,electricity tf]</t>
  </si>
  <si>
    <t>Transportation Sector Fuel Used[rail,freight,plugin hybrid vehicle,natural gas tf]</t>
  </si>
  <si>
    <t>Transportation Sector Fuel Used[rail,freight,plugin hybrid vehicle,petroleum gasoline tf]</t>
  </si>
  <si>
    <t>Transportation Sector Fuel Used[rail,freight,plugin hybrid vehicle,petroleum diesel tf]</t>
  </si>
  <si>
    <t>Transportation Sector Fuel Used[rail,freight,plugin hybrid vehicle,biofuel gasoline tf]</t>
  </si>
  <si>
    <t>Transportation Sector Fuel Used[rail,freight,plugin hybrid vehicle,biofuel diesel tf]</t>
  </si>
  <si>
    <t>Transportation Sector Fuel Used[rail,freight,plugin hybrid vehicle,jet fuel tf]</t>
  </si>
  <si>
    <t>Transportation Sector Fuel Used[rail,freight,plugin hybrid vehicle,heavy or residual fuel oil tf]</t>
  </si>
  <si>
    <t>Transportation Sector Fuel Used[rail,freight,plugin hybrid vehicle,LPG propane or butane tf]</t>
  </si>
  <si>
    <t>Transportation Sector Fuel Used[rail,freight,plugin hybrid vehicle,hydrogen tf]</t>
  </si>
  <si>
    <t>Transportation Sector Fuel Used[rail,freight,LPG vehicle,electricity tf]</t>
  </si>
  <si>
    <t>Transportation Sector Fuel Used[rail,freight,LPG vehicle,natural gas tf]</t>
  </si>
  <si>
    <t>Transportation Sector Fuel Used[rail,freight,LPG vehicle,petroleum gasoline tf]</t>
  </si>
  <si>
    <t>Transportation Sector Fuel Used[rail,freight,LPG vehicle,petroleum diesel tf]</t>
  </si>
  <si>
    <t>Transportation Sector Fuel Used[rail,freight,LPG vehicle,biofuel gasoline tf]</t>
  </si>
  <si>
    <t>Transportation Sector Fuel Used[rail,freight,LPG vehicle,biofuel diesel tf]</t>
  </si>
  <si>
    <t>Transportation Sector Fuel Used[rail,freight,LPG vehicle,jet fuel tf]</t>
  </si>
  <si>
    <t>Transportation Sector Fuel Used[rail,freight,LPG vehicle,heavy or residual fuel oil tf]</t>
  </si>
  <si>
    <t>Transportation Sector Fuel Used[rail,freight,LPG vehicle,LPG propane or butane tf]</t>
  </si>
  <si>
    <t>Transportation Sector Fuel Used[rail,freight,LPG vehicle,hydrogen tf]</t>
  </si>
  <si>
    <t>Transportation Sector Fuel Used[rail,freight,hydrogen vehicle,electricity tf]</t>
  </si>
  <si>
    <t>Transportation Sector Fuel Used[rail,freight,hydrogen vehicle,natural gas tf]</t>
  </si>
  <si>
    <t>Transportation Sector Fuel Used[rail,freight,hydrogen vehicle,petroleum gasoline tf]</t>
  </si>
  <si>
    <t>Transportation Sector Fuel Used[rail,freight,hydrogen vehicle,petroleum diesel tf]</t>
  </si>
  <si>
    <t>Transportation Sector Fuel Used[rail,freight,hydrogen vehicle,biofuel gasoline tf]</t>
  </si>
  <si>
    <t>Transportation Sector Fuel Used[rail,freight,hydrogen vehicle,biofuel diesel tf]</t>
  </si>
  <si>
    <t>Transportation Sector Fuel Used[rail,freight,hydrogen vehicle,jet fuel tf]</t>
  </si>
  <si>
    <t>Transportation Sector Fuel Used[rail,freight,hydrogen vehicle,heavy or residual fuel oil tf]</t>
  </si>
  <si>
    <t>Transportation Sector Fuel Used[rail,freight,hydrogen vehicle,LPG propane or butane tf]</t>
  </si>
  <si>
    <t>Transportation Sector Fuel Used[rail,freight,hydrogen vehicle,hydrogen tf]</t>
  </si>
  <si>
    <t>Transportation Sector Fuel Used[ships,passenger,battery electric vehicle,electricity tf]</t>
  </si>
  <si>
    <t>Transportation Sector Fuel Used[ships,passenger,battery electric vehicle,natural gas tf]</t>
  </si>
  <si>
    <t>Transportation Sector Fuel Used[ships,passenger,battery electric vehicle,petroleum gasoline tf]</t>
  </si>
  <si>
    <t>Transportation Sector Fuel Used[ships,passenger,battery electric vehicle,petroleum diesel tf]</t>
  </si>
  <si>
    <t>Transportation Sector Fuel Used[ships,passenger,battery electric vehicle,biofuel gasoline tf]</t>
  </si>
  <si>
    <t>Transportation Sector Fuel Used[ships,passenger,battery electric vehicle,biofuel diesel tf]</t>
  </si>
  <si>
    <t>Transportation Sector Fuel Used[ships,passenger,battery electric vehicle,jet fuel tf]</t>
  </si>
  <si>
    <t>Transportation Sector Fuel Used[ships,passenger,battery electric vehicle,heavy or residual fuel oil tf]</t>
  </si>
  <si>
    <t>Transportation Sector Fuel Used[ships,passenger,battery electric vehicle,LPG propane or butane tf]</t>
  </si>
  <si>
    <t>Transportation Sector Fuel Used[ships,passenger,battery electric vehicle,hydrogen tf]</t>
  </si>
  <si>
    <t>Transportation Sector Fuel Used[ships,passenger,natural gas vehicle,electricity tf]</t>
  </si>
  <si>
    <t>Transportation Sector Fuel Used[ships,passenger,natural gas vehicle,natural gas tf]</t>
  </si>
  <si>
    <t>Transportation Sector Fuel Used[ships,passenger,natural gas vehicle,petroleum gasoline tf]</t>
  </si>
  <si>
    <t>Transportation Sector Fuel Used[ships,passenger,natural gas vehicle,petroleum diesel tf]</t>
  </si>
  <si>
    <t>Transportation Sector Fuel Used[ships,passenger,natural gas vehicle,biofuel gasoline tf]</t>
  </si>
  <si>
    <t>Transportation Sector Fuel Used[ships,passenger,natural gas vehicle,biofuel diesel tf]</t>
  </si>
  <si>
    <t>Transportation Sector Fuel Used[ships,passenger,natural gas vehicle,jet fuel tf]</t>
  </si>
  <si>
    <t>Transportation Sector Fuel Used[ships,passenger,natural gas vehicle,heavy or residual fuel oil tf]</t>
  </si>
  <si>
    <t>Transportation Sector Fuel Used[ships,passenger,natural gas vehicle,LPG propane or butane tf]</t>
  </si>
  <si>
    <t>Transportation Sector Fuel Used[ships,passenger,natural gas vehicle,hydrogen tf]</t>
  </si>
  <si>
    <t>Transportation Sector Fuel Used[ships,passenger,gasoline vehicle,electricity tf]</t>
  </si>
  <si>
    <t>Transportation Sector Fuel Used[ships,passenger,gasoline vehicle,natural gas tf]</t>
  </si>
  <si>
    <t>Transportation Sector Fuel Used[ships,passenger,gasoline vehicle,petroleum gasoline tf]</t>
  </si>
  <si>
    <t>Transportation Sector Fuel Used[ships,passenger,gasoline vehicle,petroleum diesel tf]</t>
  </si>
  <si>
    <t>Transportation Sector Fuel Used[ships,passenger,gasoline vehicle,biofuel gasoline tf]</t>
  </si>
  <si>
    <t>Transportation Sector Fuel Used[ships,passenger,gasoline vehicle,biofuel diesel tf]</t>
  </si>
  <si>
    <t>Transportation Sector Fuel Used[ships,passenger,gasoline vehicle,jet fuel tf]</t>
  </si>
  <si>
    <t>Transportation Sector Fuel Used[ships,passenger,gasoline vehicle,heavy or residual fuel oil tf]</t>
  </si>
  <si>
    <t>Transportation Sector Fuel Used[ships,passenger,gasoline vehicle,LPG propane or butane tf]</t>
  </si>
  <si>
    <t>Transportation Sector Fuel Used[ships,passenger,gasoline vehicle,hydrogen tf]</t>
  </si>
  <si>
    <t>Transportation Sector Fuel Used[ships,passenger,diesel vehicle,electricity tf]</t>
  </si>
  <si>
    <t>Transportation Sector Fuel Used[ships,passenger,diesel vehicle,natural gas tf]</t>
  </si>
  <si>
    <t>Transportation Sector Fuel Used[ships,passenger,diesel vehicle,petroleum gasoline tf]</t>
  </si>
  <si>
    <t>Transportation Sector Fuel Used[ships,passenger,diesel vehicle,petroleum diesel tf]</t>
  </si>
  <si>
    <t>Transportation Sector Fuel Used[ships,passenger,diesel vehicle,biofuel gasoline tf]</t>
  </si>
  <si>
    <t>Transportation Sector Fuel Used[ships,passenger,diesel vehicle,biofuel diesel tf]</t>
  </si>
  <si>
    <t>Transportation Sector Fuel Used[ships,passenger,diesel vehicle,jet fuel tf]</t>
  </si>
  <si>
    <t>Transportation Sector Fuel Used[ships,passenger,diesel vehicle,heavy or residual fuel oil tf]</t>
  </si>
  <si>
    <t>Transportation Sector Fuel Used[ships,passenger,diesel vehicle,LPG propane or butane tf]</t>
  </si>
  <si>
    <t>Transportation Sector Fuel Used[ships,passenger,diesel vehicle,hydrogen tf]</t>
  </si>
  <si>
    <t>Transportation Sector Fuel Used[ships,passenger,plugin hybrid vehicle,electricity tf]</t>
  </si>
  <si>
    <t>Transportation Sector Fuel Used[ships,passenger,plugin hybrid vehicle,natural gas tf]</t>
  </si>
  <si>
    <t>Transportation Sector Fuel Used[ships,passenger,plugin hybrid vehicle,petroleum gasoline tf]</t>
  </si>
  <si>
    <t>Transportation Sector Fuel Used[ships,passenger,plugin hybrid vehicle,petroleum diesel tf]</t>
  </si>
  <si>
    <t>Transportation Sector Fuel Used[ships,passenger,plugin hybrid vehicle,biofuel gasoline tf]</t>
  </si>
  <si>
    <t>Transportation Sector Fuel Used[ships,passenger,plugin hybrid vehicle,biofuel diesel tf]</t>
  </si>
  <si>
    <t>Transportation Sector Fuel Used[ships,passenger,plugin hybrid vehicle,jet fuel tf]</t>
  </si>
  <si>
    <t>Transportation Sector Fuel Used[ships,passenger,plugin hybrid vehicle,heavy or residual fuel oil tf]</t>
  </si>
  <si>
    <t>Transportation Sector Fuel Used[ships,passenger,plugin hybrid vehicle,LPG propane or butane tf]</t>
  </si>
  <si>
    <t>Transportation Sector Fuel Used[ships,passenger,plugin hybrid vehicle,hydrogen tf]</t>
  </si>
  <si>
    <t>Transportation Sector Fuel Used[ships,passenger,LPG vehicle,electricity tf]</t>
  </si>
  <si>
    <t>Transportation Sector Fuel Used[ships,passenger,LPG vehicle,natural gas tf]</t>
  </si>
  <si>
    <t>Transportation Sector Fuel Used[ships,passenger,LPG vehicle,petroleum gasoline tf]</t>
  </si>
  <si>
    <t>Transportation Sector Fuel Used[ships,passenger,LPG vehicle,petroleum diesel tf]</t>
  </si>
  <si>
    <t>Transportation Sector Fuel Used[ships,passenger,LPG vehicle,biofuel gasoline tf]</t>
  </si>
  <si>
    <t>Transportation Sector Fuel Used[ships,passenger,LPG vehicle,biofuel diesel tf]</t>
  </si>
  <si>
    <t>Transportation Sector Fuel Used[ships,passenger,LPG vehicle,jet fuel tf]</t>
  </si>
  <si>
    <t>Transportation Sector Fuel Used[ships,passenger,LPG vehicle,heavy or residual fuel oil tf]</t>
  </si>
  <si>
    <t>Transportation Sector Fuel Used[ships,passenger,LPG vehicle,LPG propane or butane tf]</t>
  </si>
  <si>
    <t>Transportation Sector Fuel Used[ships,passenger,LPG vehicle,hydrogen tf]</t>
  </si>
  <si>
    <t>Transportation Sector Fuel Used[ships,passenger,hydrogen vehicle,electricity tf]</t>
  </si>
  <si>
    <t>Transportation Sector Fuel Used[ships,passenger,hydrogen vehicle,natural gas tf]</t>
  </si>
  <si>
    <t>Transportation Sector Fuel Used[ships,passenger,hydrogen vehicle,petroleum gasoline tf]</t>
  </si>
  <si>
    <t>Transportation Sector Fuel Used[ships,passenger,hydrogen vehicle,petroleum diesel tf]</t>
  </si>
  <si>
    <t>Transportation Sector Fuel Used[ships,passenger,hydrogen vehicle,biofuel gasoline tf]</t>
  </si>
  <si>
    <t>Transportation Sector Fuel Used[ships,passenger,hydrogen vehicle,biofuel diesel tf]</t>
  </si>
  <si>
    <t>Transportation Sector Fuel Used[ships,passenger,hydrogen vehicle,jet fuel tf]</t>
  </si>
  <si>
    <t>Transportation Sector Fuel Used[ships,passenger,hydrogen vehicle,heavy or residual fuel oil tf]</t>
  </si>
  <si>
    <t>Transportation Sector Fuel Used[ships,passenger,hydrogen vehicle,LPG propane or butane tf]</t>
  </si>
  <si>
    <t>Transportation Sector Fuel Used[ships,passenger,hydrogen vehicle,hydrogen tf]</t>
  </si>
  <si>
    <t>Transportation Sector Fuel Used[ships,freight,battery electric vehicle,electricity tf]</t>
  </si>
  <si>
    <t>Transportation Sector Fuel Used[ships,freight,battery electric vehicle,natural gas tf]</t>
  </si>
  <si>
    <t>Transportation Sector Fuel Used[ships,freight,battery electric vehicle,petroleum gasoline tf]</t>
  </si>
  <si>
    <t>Transportation Sector Fuel Used[ships,freight,battery electric vehicle,petroleum diesel tf]</t>
  </si>
  <si>
    <t>Transportation Sector Fuel Used[ships,freight,battery electric vehicle,biofuel gasoline tf]</t>
  </si>
  <si>
    <t>Transportation Sector Fuel Used[ships,freight,battery electric vehicle,biofuel diesel tf]</t>
  </si>
  <si>
    <t>Transportation Sector Fuel Used[ships,freight,battery electric vehicle,jet fuel tf]</t>
  </si>
  <si>
    <t>Transportation Sector Fuel Used[ships,freight,battery electric vehicle,heavy or residual fuel oil tf]</t>
  </si>
  <si>
    <t>Transportation Sector Fuel Used[ships,freight,battery electric vehicle,LPG propane or butane tf]</t>
  </si>
  <si>
    <t>Transportation Sector Fuel Used[ships,freight,battery electric vehicle,hydrogen tf]</t>
  </si>
  <si>
    <t>Transportation Sector Fuel Used[ships,freight,natural gas vehicle,electricity tf]</t>
  </si>
  <si>
    <t>Transportation Sector Fuel Used[ships,freight,natural gas vehicle,natural gas tf]</t>
  </si>
  <si>
    <t>Transportation Sector Fuel Used[ships,freight,natural gas vehicle,petroleum gasoline tf]</t>
  </si>
  <si>
    <t>Transportation Sector Fuel Used[ships,freight,natural gas vehicle,petroleum diesel tf]</t>
  </si>
  <si>
    <t>Transportation Sector Fuel Used[ships,freight,natural gas vehicle,biofuel gasoline tf]</t>
  </si>
  <si>
    <t>Transportation Sector Fuel Used[ships,freight,natural gas vehicle,biofuel diesel tf]</t>
  </si>
  <si>
    <t>Transportation Sector Fuel Used[ships,freight,natural gas vehicle,jet fuel tf]</t>
  </si>
  <si>
    <t>Transportation Sector Fuel Used[ships,freight,natural gas vehicle,heavy or residual fuel oil tf]</t>
  </si>
  <si>
    <t>Transportation Sector Fuel Used[ships,freight,natural gas vehicle,LPG propane or butane tf]</t>
  </si>
  <si>
    <t>Transportation Sector Fuel Used[ships,freight,natural gas vehicle,hydrogen tf]</t>
  </si>
  <si>
    <t>Transportation Sector Fuel Used[ships,freight,gasoline vehicle,electricity tf]</t>
  </si>
  <si>
    <t>Transportation Sector Fuel Used[ships,freight,gasoline vehicle,natural gas tf]</t>
  </si>
  <si>
    <t>Transportation Sector Fuel Used[ships,freight,gasoline vehicle,petroleum gasoline tf]</t>
  </si>
  <si>
    <t>Transportation Sector Fuel Used[ships,freight,gasoline vehicle,petroleum diesel tf]</t>
  </si>
  <si>
    <t>Transportation Sector Fuel Used[ships,freight,gasoline vehicle,biofuel gasoline tf]</t>
  </si>
  <si>
    <t>Transportation Sector Fuel Used[ships,freight,gasoline vehicle,biofuel diesel tf]</t>
  </si>
  <si>
    <t>Transportation Sector Fuel Used[ships,freight,gasoline vehicle,jet fuel tf]</t>
  </si>
  <si>
    <t>Transportation Sector Fuel Used[ships,freight,gasoline vehicle,heavy or residual fuel oil tf]</t>
  </si>
  <si>
    <t>Transportation Sector Fuel Used[ships,freight,gasoline vehicle,LPG propane or butane tf]</t>
  </si>
  <si>
    <t>Transportation Sector Fuel Used[ships,freight,gasoline vehicle,hydrogen tf]</t>
  </si>
  <si>
    <t>Transportation Sector Fuel Used[ships,freight,diesel vehicle,electricity tf]</t>
  </si>
  <si>
    <t>Transportation Sector Fuel Used[ships,freight,diesel vehicle,natural gas tf]</t>
  </si>
  <si>
    <t>Transportation Sector Fuel Used[ships,freight,diesel vehicle,petroleum gasoline tf]</t>
  </si>
  <si>
    <t>Transportation Sector Fuel Used[ships,freight,diesel vehicle,petroleum diesel tf]</t>
  </si>
  <si>
    <t>Transportation Sector Fuel Used[ships,freight,diesel vehicle,biofuel gasoline tf]</t>
  </si>
  <si>
    <t>Transportation Sector Fuel Used[ships,freight,diesel vehicle,biofuel diesel tf]</t>
  </si>
  <si>
    <t>Transportation Sector Fuel Used[ships,freight,diesel vehicle,jet fuel tf]</t>
  </si>
  <si>
    <t>Transportation Sector Fuel Used[ships,freight,diesel vehicle,heavy or residual fuel oil tf]</t>
  </si>
  <si>
    <t>Transportation Sector Fuel Used[ships,freight,diesel vehicle,LPG propane or butane tf]</t>
  </si>
  <si>
    <t>Transportation Sector Fuel Used[ships,freight,diesel vehicle,hydrogen tf]</t>
  </si>
  <si>
    <t>Transportation Sector Fuel Used[ships,freight,plugin hybrid vehicle,electricity tf]</t>
  </si>
  <si>
    <t>Transportation Sector Fuel Used[ships,freight,plugin hybrid vehicle,natural gas tf]</t>
  </si>
  <si>
    <t>Transportation Sector Fuel Used[ships,freight,plugin hybrid vehicle,petroleum gasoline tf]</t>
  </si>
  <si>
    <t>Transportation Sector Fuel Used[ships,freight,plugin hybrid vehicle,petroleum diesel tf]</t>
  </si>
  <si>
    <t>Transportation Sector Fuel Used[ships,freight,plugin hybrid vehicle,biofuel gasoline tf]</t>
  </si>
  <si>
    <t>Transportation Sector Fuel Used[ships,freight,plugin hybrid vehicle,biofuel diesel tf]</t>
  </si>
  <si>
    <t>Transportation Sector Fuel Used[ships,freight,plugin hybrid vehicle,jet fuel tf]</t>
  </si>
  <si>
    <t>Transportation Sector Fuel Used[ships,freight,plugin hybrid vehicle,heavy or residual fuel oil tf]</t>
  </si>
  <si>
    <t>Transportation Sector Fuel Used[ships,freight,plugin hybrid vehicle,LPG propane or butane tf]</t>
  </si>
  <si>
    <t>Transportation Sector Fuel Used[ships,freight,plugin hybrid vehicle,hydrogen tf]</t>
  </si>
  <si>
    <t>Transportation Sector Fuel Used[ships,freight,LPG vehicle,electricity tf]</t>
  </si>
  <si>
    <t>Transportation Sector Fuel Used[ships,freight,LPG vehicle,natural gas tf]</t>
  </si>
  <si>
    <t>Transportation Sector Fuel Used[ships,freight,LPG vehicle,petroleum gasoline tf]</t>
  </si>
  <si>
    <t>Transportation Sector Fuel Used[ships,freight,LPG vehicle,petroleum diesel tf]</t>
  </si>
  <si>
    <t>Transportation Sector Fuel Used[ships,freight,LPG vehicle,biofuel gasoline tf]</t>
  </si>
  <si>
    <t>Transportation Sector Fuel Used[ships,freight,LPG vehicle,biofuel diesel tf]</t>
  </si>
  <si>
    <t>Transportation Sector Fuel Used[ships,freight,LPG vehicle,jet fuel tf]</t>
  </si>
  <si>
    <t>Transportation Sector Fuel Used[ships,freight,LPG vehicle,heavy or residual fuel oil tf]</t>
  </si>
  <si>
    <t>Transportation Sector Fuel Used[ships,freight,LPG vehicle,LPG propane or butane tf]</t>
  </si>
  <si>
    <t>Transportation Sector Fuel Used[ships,freight,LPG vehicle,hydrogen tf]</t>
  </si>
  <si>
    <t>Transportation Sector Fuel Used[ships,freight,hydrogen vehicle,electricity tf]</t>
  </si>
  <si>
    <t>Transportation Sector Fuel Used[ships,freight,hydrogen vehicle,natural gas tf]</t>
  </si>
  <si>
    <t>Transportation Sector Fuel Used[ships,freight,hydrogen vehicle,petroleum gasoline tf]</t>
  </si>
  <si>
    <t>Transportation Sector Fuel Used[ships,freight,hydrogen vehicle,petroleum diesel tf]</t>
  </si>
  <si>
    <t>Transportation Sector Fuel Used[ships,freight,hydrogen vehicle,biofuel gasoline tf]</t>
  </si>
  <si>
    <t>Transportation Sector Fuel Used[ships,freight,hydrogen vehicle,biofuel diesel tf]</t>
  </si>
  <si>
    <t>Transportation Sector Fuel Used[ships,freight,hydrogen vehicle,jet fuel tf]</t>
  </si>
  <si>
    <t>Transportation Sector Fuel Used[ships,freight,hydrogen vehicle,heavy or residual fuel oil tf]</t>
  </si>
  <si>
    <t>Transportation Sector Fuel Used[ships,freight,hydrogen vehicle,LPG propane or butane tf]</t>
  </si>
  <si>
    <t>Transportation Sector Fuel Used[ships,freight,hydrogen vehicle,hydrogen tf]</t>
  </si>
  <si>
    <t>Transportation Sector Fuel Used[motorbikes,passenger,battery electric vehicle,electricity tf]</t>
  </si>
  <si>
    <t>Transportation Sector Fuel Used[motorbikes,passenger,battery electric vehicle,natural gas tf]</t>
  </si>
  <si>
    <t>Transportation Sector Fuel Used[motorbikes,passenger,battery electric vehicle,petroleum gasoline tf]</t>
  </si>
  <si>
    <t>Transportation Sector Fuel Used[motorbikes,passenger,battery electric vehicle,petroleum diesel tf]</t>
  </si>
  <si>
    <t>Transportation Sector Fuel Used[motorbikes,passenger,battery electric vehicle,biofuel gasoline tf]</t>
  </si>
  <si>
    <t>Transportation Sector Fuel Used[motorbikes,passenger,battery electric vehicle,biofuel diesel tf]</t>
  </si>
  <si>
    <t>Transportation Sector Fuel Used[motorbikes,passenger,battery electric vehicle,jet fuel tf]</t>
  </si>
  <si>
    <t>Transportation Sector Fuel Used[motorbikes,passenger,battery electric vehicle,heavy or residual fuel oil tf]</t>
  </si>
  <si>
    <t>Transportation Sector Fuel Used[motorbikes,passenger,battery electric vehicle,LPG propane or butane tf]</t>
  </si>
  <si>
    <t>Transportation Sector Fuel Used[motorbikes,passenger,battery electric vehicle,hydrogen tf]</t>
  </si>
  <si>
    <t>Transportation Sector Fuel Used[motorbikes,passenger,natural gas vehicle,electricity tf]</t>
  </si>
  <si>
    <t>Transportation Sector Fuel Used[motorbikes,passenger,natural gas vehicle,natural gas tf]</t>
  </si>
  <si>
    <t>Transportation Sector Fuel Used[motorbikes,passenger,natural gas vehicle,petroleum gasoline tf]</t>
  </si>
  <si>
    <t>Transportation Sector Fuel Used[motorbikes,passenger,natural gas vehicle,petroleum diesel tf]</t>
  </si>
  <si>
    <t>Transportation Sector Fuel Used[motorbikes,passenger,natural gas vehicle,biofuel gasoline tf]</t>
  </si>
  <si>
    <t>Transportation Sector Fuel Used[motorbikes,passenger,natural gas vehicle,biofuel diesel tf]</t>
  </si>
  <si>
    <t>Transportation Sector Fuel Used[motorbikes,passenger,natural gas vehicle,jet fuel tf]</t>
  </si>
  <si>
    <t>Transportation Sector Fuel Used[motorbikes,passenger,natural gas vehicle,heavy or residual fuel oil tf]</t>
  </si>
  <si>
    <t>Transportation Sector Fuel Used[motorbikes,passenger,natural gas vehicle,LPG propane or butane tf]</t>
  </si>
  <si>
    <t>Transportation Sector Fuel Used[motorbikes,passenger,natural gas vehicle,hydrogen tf]</t>
  </si>
  <si>
    <t>Transportation Sector Fuel Used[motorbikes,passenger,gasoline vehicle,electricity tf]</t>
  </si>
  <si>
    <t>Transportation Sector Fuel Used[motorbikes,passenger,gasoline vehicle,natural gas tf]</t>
  </si>
  <si>
    <t>Transportation Sector Fuel Used[motorbikes,passenger,gasoline vehicle,petroleum gasoline tf]</t>
  </si>
  <si>
    <t>Transportation Sector Fuel Used[motorbikes,passenger,gasoline vehicle,petroleum diesel tf]</t>
  </si>
  <si>
    <t>Transportation Sector Fuel Used[motorbikes,passenger,gasoline vehicle,biofuel gasoline tf]</t>
  </si>
  <si>
    <t>Transportation Sector Fuel Used[motorbikes,passenger,gasoline vehicle,biofuel diesel tf]</t>
  </si>
  <si>
    <t>Transportation Sector Fuel Used[motorbikes,passenger,gasoline vehicle,jet fuel tf]</t>
  </si>
  <si>
    <t>Transportation Sector Fuel Used[motorbikes,passenger,gasoline vehicle,heavy or residual fuel oil tf]</t>
  </si>
  <si>
    <t>Transportation Sector Fuel Used[motorbikes,passenger,gasoline vehicle,LPG propane or butane tf]</t>
  </si>
  <si>
    <t>Transportation Sector Fuel Used[motorbikes,passenger,gasoline vehicle,hydrogen tf]</t>
  </si>
  <si>
    <t>Transportation Sector Fuel Used[motorbikes,passenger,diesel vehicle,electricity tf]</t>
  </si>
  <si>
    <t>Transportation Sector Fuel Used[motorbikes,passenger,diesel vehicle,natural gas tf]</t>
  </si>
  <si>
    <t>Transportation Sector Fuel Used[motorbikes,passenger,diesel vehicle,petroleum gasoline tf]</t>
  </si>
  <si>
    <t>Transportation Sector Fuel Used[motorbikes,passenger,diesel vehicle,petroleum diesel tf]</t>
  </si>
  <si>
    <t>Transportation Sector Fuel Used[motorbikes,passenger,diesel vehicle,biofuel gasoline tf]</t>
  </si>
  <si>
    <t>Transportation Sector Fuel Used[motorbikes,passenger,diesel vehicle,biofuel diesel tf]</t>
  </si>
  <si>
    <t>Transportation Sector Fuel Used[motorbikes,passenger,diesel vehicle,jet fuel tf]</t>
  </si>
  <si>
    <t>Transportation Sector Fuel Used[motorbikes,passenger,diesel vehicle,heavy or residual fuel oil tf]</t>
  </si>
  <si>
    <t>Transportation Sector Fuel Used[motorbikes,passenger,diesel vehicle,LPG propane or butane tf]</t>
  </si>
  <si>
    <t>Transportation Sector Fuel Used[motorbikes,passenger,diesel vehicle,hydrogen tf]</t>
  </si>
  <si>
    <t>Transportation Sector Fuel Used[motorbikes,passenger,plugin hybrid vehicle,electricity tf]</t>
  </si>
  <si>
    <t>Transportation Sector Fuel Used[motorbikes,passenger,plugin hybrid vehicle,natural gas tf]</t>
  </si>
  <si>
    <t>Transportation Sector Fuel Used[motorbikes,passenger,plugin hybrid vehicle,petroleum gasoline tf]</t>
  </si>
  <si>
    <t>Transportation Sector Fuel Used[motorbikes,passenger,plugin hybrid vehicle,petroleum diesel tf]</t>
  </si>
  <si>
    <t>Transportation Sector Fuel Used[motorbikes,passenger,plugin hybrid vehicle,biofuel gasoline tf]</t>
  </si>
  <si>
    <t>Transportation Sector Fuel Used[motorbikes,passenger,plugin hybrid vehicle,biofuel diesel tf]</t>
  </si>
  <si>
    <t>Transportation Sector Fuel Used[motorbikes,passenger,plugin hybrid vehicle,jet fuel tf]</t>
  </si>
  <si>
    <t>Transportation Sector Fuel Used[motorbikes,passenger,plugin hybrid vehicle,heavy or residual fuel oil tf]</t>
  </si>
  <si>
    <t>Transportation Sector Fuel Used[motorbikes,passenger,plugin hybrid vehicle,LPG propane or butane tf]</t>
  </si>
  <si>
    <t>Transportation Sector Fuel Used[motorbikes,passenger,plugin hybrid vehicle,hydrogen tf]</t>
  </si>
  <si>
    <t>Transportation Sector Fuel Used[motorbikes,passenger,LPG vehicle,electricity tf]</t>
  </si>
  <si>
    <t>Transportation Sector Fuel Used[motorbikes,passenger,LPG vehicle,natural gas tf]</t>
  </si>
  <si>
    <t>Transportation Sector Fuel Used[motorbikes,passenger,LPG vehicle,petroleum gasoline tf]</t>
  </si>
  <si>
    <t>Transportation Sector Fuel Used[motorbikes,passenger,LPG vehicle,petroleum diesel tf]</t>
  </si>
  <si>
    <t>Transportation Sector Fuel Used[motorbikes,passenger,LPG vehicle,biofuel gasoline tf]</t>
  </si>
  <si>
    <t>Transportation Sector Fuel Used[motorbikes,passenger,LPG vehicle,biofuel diesel tf]</t>
  </si>
  <si>
    <t>Transportation Sector Fuel Used[motorbikes,passenger,LPG vehicle,jet fuel tf]</t>
  </si>
  <si>
    <t>Transportation Sector Fuel Used[motorbikes,passenger,LPG vehicle,heavy or residual fuel oil tf]</t>
  </si>
  <si>
    <t>Transportation Sector Fuel Used[motorbikes,passenger,LPG vehicle,LPG propane or butane tf]</t>
  </si>
  <si>
    <t>Transportation Sector Fuel Used[motorbikes,passenger,LPG vehicle,hydrogen tf]</t>
  </si>
  <si>
    <t>Transportation Sector Fuel Used[motorbikes,passenger,hydrogen vehicle,electricity tf]</t>
  </si>
  <si>
    <t>Transportation Sector Fuel Used[motorbikes,passenger,hydrogen vehicle,natural gas tf]</t>
  </si>
  <si>
    <t>Transportation Sector Fuel Used[motorbikes,passenger,hydrogen vehicle,petroleum gasoline tf]</t>
  </si>
  <si>
    <t>Transportation Sector Fuel Used[motorbikes,passenger,hydrogen vehicle,petroleum diesel tf]</t>
  </si>
  <si>
    <t>Transportation Sector Fuel Used[motorbikes,passenger,hydrogen vehicle,biofuel gasoline tf]</t>
  </si>
  <si>
    <t>Transportation Sector Fuel Used[motorbikes,passenger,hydrogen vehicle,biofuel diesel tf]</t>
  </si>
  <si>
    <t>Transportation Sector Fuel Used[motorbikes,passenger,hydrogen vehicle,jet fuel tf]</t>
  </si>
  <si>
    <t>Transportation Sector Fuel Used[motorbikes,passenger,hydrogen vehicle,heavy or residual fuel oil tf]</t>
  </si>
  <si>
    <t>Transportation Sector Fuel Used[motorbikes,passenger,hydrogen vehicle,LPG propane or butane tf]</t>
  </si>
  <si>
    <t>Transportation Sector Fuel Used[motorbikes,passenger,hydrogen vehicle,hydrogen tf]</t>
  </si>
  <si>
    <t>Transportation Sector Fuel Used[motorbikes,freight,battery electric vehicle,electricity tf]</t>
  </si>
  <si>
    <t>Transportation Sector Fuel Used[motorbikes,freight,battery electric vehicle,natural gas tf]</t>
  </si>
  <si>
    <t>Transportation Sector Fuel Used[motorbikes,freight,battery electric vehicle,petroleum gasoline tf]</t>
  </si>
  <si>
    <t>Transportation Sector Fuel Used[motorbikes,freight,battery electric vehicle,petroleum diesel tf]</t>
  </si>
  <si>
    <t>Transportation Sector Fuel Used[motorbikes,freight,battery electric vehicle,biofuel gasoline tf]</t>
  </si>
  <si>
    <t>Transportation Sector Fuel Used[motorbikes,freight,battery electric vehicle,biofuel diesel tf]</t>
  </si>
  <si>
    <t>Transportation Sector Fuel Used[motorbikes,freight,battery electric vehicle,jet fuel tf]</t>
  </si>
  <si>
    <t>Transportation Sector Fuel Used[motorbikes,freight,battery electric vehicle,heavy or residual fuel oil tf]</t>
  </si>
  <si>
    <t>Transportation Sector Fuel Used[motorbikes,freight,battery electric vehicle,LPG propane or butane tf]</t>
  </si>
  <si>
    <t>Transportation Sector Fuel Used[motorbikes,freight,battery electric vehicle,hydrogen tf]</t>
  </si>
  <si>
    <t>Transportation Sector Fuel Used[motorbikes,freight,natural gas vehicle,electricity tf]</t>
  </si>
  <si>
    <t>Transportation Sector Fuel Used[motorbikes,freight,natural gas vehicle,natural gas tf]</t>
  </si>
  <si>
    <t>Transportation Sector Fuel Used[motorbikes,freight,natural gas vehicle,petroleum gasoline tf]</t>
  </si>
  <si>
    <t>Transportation Sector Fuel Used[motorbikes,freight,natural gas vehicle,petroleum diesel tf]</t>
  </si>
  <si>
    <t>Transportation Sector Fuel Used[motorbikes,freight,natural gas vehicle,biofuel gasoline tf]</t>
  </si>
  <si>
    <t>Transportation Sector Fuel Used[motorbikes,freight,natural gas vehicle,biofuel diesel tf]</t>
  </si>
  <si>
    <t>Transportation Sector Fuel Used[motorbikes,freight,natural gas vehicle,jet fuel tf]</t>
  </si>
  <si>
    <t>Transportation Sector Fuel Used[motorbikes,freight,natural gas vehicle,heavy or residual fuel oil tf]</t>
  </si>
  <si>
    <t>Transportation Sector Fuel Used[motorbikes,freight,natural gas vehicle,LPG propane or butane tf]</t>
  </si>
  <si>
    <t>Transportation Sector Fuel Used[motorbikes,freight,natural gas vehicle,hydrogen tf]</t>
  </si>
  <si>
    <t>Transportation Sector Fuel Used[motorbikes,freight,gasoline vehicle,electricity tf]</t>
  </si>
  <si>
    <t>Transportation Sector Fuel Used[motorbikes,freight,gasoline vehicle,natural gas tf]</t>
  </si>
  <si>
    <t>Transportation Sector Fuel Used[motorbikes,freight,gasoline vehicle,petroleum gasoline tf]</t>
  </si>
  <si>
    <t>Transportation Sector Fuel Used[motorbikes,freight,gasoline vehicle,petroleum diesel tf]</t>
  </si>
  <si>
    <t>Transportation Sector Fuel Used[motorbikes,freight,gasoline vehicle,biofuel gasoline tf]</t>
  </si>
  <si>
    <t>Transportation Sector Fuel Used[motorbikes,freight,gasoline vehicle,biofuel diesel tf]</t>
  </si>
  <si>
    <t>Transportation Sector Fuel Used[motorbikes,freight,gasoline vehicle,jet fuel tf]</t>
  </si>
  <si>
    <t>Transportation Sector Fuel Used[motorbikes,freight,gasoline vehicle,heavy or residual fuel oil tf]</t>
  </si>
  <si>
    <t>Transportation Sector Fuel Used[motorbikes,freight,gasoline vehicle,LPG propane or butane tf]</t>
  </si>
  <si>
    <t>Transportation Sector Fuel Used[motorbikes,freight,gasoline vehicle,hydrogen tf]</t>
  </si>
  <si>
    <t>Transportation Sector Fuel Used[motorbikes,freight,diesel vehicle,electricity tf]</t>
  </si>
  <si>
    <t>Transportation Sector Fuel Used[motorbikes,freight,diesel vehicle,natural gas tf]</t>
  </si>
  <si>
    <t>Transportation Sector Fuel Used[motorbikes,freight,diesel vehicle,petroleum gasoline tf]</t>
  </si>
  <si>
    <t>Transportation Sector Fuel Used[motorbikes,freight,diesel vehicle,petroleum diesel tf]</t>
  </si>
  <si>
    <t>Transportation Sector Fuel Used[motorbikes,freight,diesel vehicle,biofuel gasoline tf]</t>
  </si>
  <si>
    <t>Transportation Sector Fuel Used[motorbikes,freight,diesel vehicle,biofuel diesel tf]</t>
  </si>
  <si>
    <t>Transportation Sector Fuel Used[motorbikes,freight,diesel vehicle,jet fuel tf]</t>
  </si>
  <si>
    <t>Transportation Sector Fuel Used[motorbikes,freight,diesel vehicle,heavy or residual fuel oil tf]</t>
  </si>
  <si>
    <t>Transportation Sector Fuel Used[motorbikes,freight,diesel vehicle,LPG propane or butane tf]</t>
  </si>
  <si>
    <t>Transportation Sector Fuel Used[motorbikes,freight,diesel vehicle,hydrogen tf]</t>
  </si>
  <si>
    <t>Transportation Sector Fuel Used[motorbikes,freight,plugin hybrid vehicle,electricity tf]</t>
  </si>
  <si>
    <t>Transportation Sector Fuel Used[motorbikes,freight,plugin hybrid vehicle,natural gas tf]</t>
  </si>
  <si>
    <t>Transportation Sector Fuel Used[motorbikes,freight,plugin hybrid vehicle,petroleum gasoline tf]</t>
  </si>
  <si>
    <t>Transportation Sector Fuel Used[motorbikes,freight,plugin hybrid vehicle,petroleum diesel tf]</t>
  </si>
  <si>
    <t>Transportation Sector Fuel Used[motorbikes,freight,plugin hybrid vehicle,biofuel gasoline tf]</t>
  </si>
  <si>
    <t>Transportation Sector Fuel Used[motorbikes,freight,plugin hybrid vehicle,biofuel diesel tf]</t>
  </si>
  <si>
    <t>Transportation Sector Fuel Used[motorbikes,freight,plugin hybrid vehicle,jet fuel tf]</t>
  </si>
  <si>
    <t>Transportation Sector Fuel Used[motorbikes,freight,plugin hybrid vehicle,heavy or residual fuel oil tf]</t>
  </si>
  <si>
    <t>Transportation Sector Fuel Used[motorbikes,freight,plugin hybrid vehicle,LPG propane or butane tf]</t>
  </si>
  <si>
    <t>Transportation Sector Fuel Used[motorbikes,freight,plugin hybrid vehicle,hydrogen tf]</t>
  </si>
  <si>
    <t>Transportation Sector Fuel Used[motorbikes,freight,LPG vehicle,electricity tf]</t>
  </si>
  <si>
    <t>Transportation Sector Fuel Used[motorbikes,freight,LPG vehicle,natural gas tf]</t>
  </si>
  <si>
    <t>Transportation Sector Fuel Used[motorbikes,freight,LPG vehicle,petroleum gasoline tf]</t>
  </si>
  <si>
    <t>Transportation Sector Fuel Used[motorbikes,freight,LPG vehicle,petroleum diesel tf]</t>
  </si>
  <si>
    <t>Transportation Sector Fuel Used[motorbikes,freight,LPG vehicle,biofuel gasoline tf]</t>
  </si>
  <si>
    <t>Transportation Sector Fuel Used[motorbikes,freight,LPG vehicle,biofuel diesel tf]</t>
  </si>
  <si>
    <t>Transportation Sector Fuel Used[motorbikes,freight,LPG vehicle,jet fuel tf]</t>
  </si>
  <si>
    <t>Transportation Sector Fuel Used[motorbikes,freight,LPG vehicle,heavy or residual fuel oil tf]</t>
  </si>
  <si>
    <t>Transportation Sector Fuel Used[motorbikes,freight,LPG vehicle,LPG propane or butane tf]</t>
  </si>
  <si>
    <t>Transportation Sector Fuel Used[motorbikes,freight,LPG vehicle,hydrogen tf]</t>
  </si>
  <si>
    <t>Transportation Sector Fuel Used[motorbikes,freight,hydrogen vehicle,electricity tf]</t>
  </si>
  <si>
    <t>Transportation Sector Fuel Used[motorbikes,freight,hydrogen vehicle,natural gas tf]</t>
  </si>
  <si>
    <t>Transportation Sector Fuel Used[motorbikes,freight,hydrogen vehicle,petroleum gasoline tf]</t>
  </si>
  <si>
    <t>Transportation Sector Fuel Used[motorbikes,freight,hydrogen vehicle,petroleum diesel tf]</t>
  </si>
  <si>
    <t>Transportation Sector Fuel Used[motorbikes,freight,hydrogen vehicle,biofuel gasoline tf]</t>
  </si>
  <si>
    <t>Transportation Sector Fuel Used[motorbikes,freight,hydrogen vehicle,biofuel diesel tf]</t>
  </si>
  <si>
    <t>Transportation Sector Fuel Used[motorbikes,freight,hydrogen vehicle,jet fuel tf]</t>
  </si>
  <si>
    <t>Transportation Sector Fuel Used[motorbikes,freight,hydrogen vehicle,heavy or residual fuel oil tf]</t>
  </si>
  <si>
    <t>Transportation Sector Fuel Used[motorbikes,freight,hydrogen vehicle,LPG propane or butane tf]</t>
  </si>
  <si>
    <t>Transportation Sector Fuel Used[motorbikes,freight,hydrogen vehicle,hydrogen tf]</t>
  </si>
  <si>
    <t>Building Components Energy Use[urban residential,electricity bf,heating]</t>
  </si>
  <si>
    <t>Building Components Energy Use[urban residential,electricity bf,cooling and ventilation]</t>
  </si>
  <si>
    <t>Building Components Energy Use[urban residential,electricity bf,envelope]</t>
  </si>
  <si>
    <t>Building Components Energy Use[urban residential,electricity bf,lighting]</t>
  </si>
  <si>
    <t>Building Components Energy Use[urban residential,electricity bf,appliances]</t>
  </si>
  <si>
    <t>Building Components Energy Use[urban residential,electricity bf,other component]</t>
  </si>
  <si>
    <t>Building Components Energy Use[urban residential,hard coal bf,heating]</t>
  </si>
  <si>
    <t>Building Components Energy Use[urban residential,hard coal bf,cooling and ventilation]</t>
  </si>
  <si>
    <t>Building Components Energy Use[urban residential,hard coal bf,envelope]</t>
  </si>
  <si>
    <t>Building Components Energy Use[urban residential,hard coal bf,lighting]</t>
  </si>
  <si>
    <t>Building Components Energy Use[urban residential,hard coal bf,appliances]</t>
  </si>
  <si>
    <t>Building Components Energy Use[urban residential,hard coal bf,other component]</t>
  </si>
  <si>
    <t>Building Components Energy Use[urban residential,natural gas bf,heating]</t>
  </si>
  <si>
    <t>Building Components Energy Use[urban residential,natural gas bf,cooling and ventilation]</t>
  </si>
  <si>
    <t>Building Components Energy Use[urban residential,natural gas bf,envelope]</t>
  </si>
  <si>
    <t>Building Components Energy Use[urban residential,natural gas bf,lighting]</t>
  </si>
  <si>
    <t>Building Components Energy Use[urban residential,natural gas bf,appliances]</t>
  </si>
  <si>
    <t>Building Components Energy Use[urban residential,natural gas bf,other component]</t>
  </si>
  <si>
    <t>Building Components Energy Use[urban residential,petroleum diesel bf,heating]</t>
  </si>
  <si>
    <t>Building Components Energy Use[urban residential,petroleum diesel bf,cooling and ventilation]</t>
  </si>
  <si>
    <t>Building Components Energy Use[urban residential,petroleum diesel bf,envelope]</t>
  </si>
  <si>
    <t>Building Components Energy Use[urban residential,petroleum diesel bf,lighting]</t>
  </si>
  <si>
    <t>Building Components Energy Use[urban residential,petroleum diesel bf,appliances]</t>
  </si>
  <si>
    <t>Building Components Energy Use[urban residential,petroleum diesel bf,other component]</t>
  </si>
  <si>
    <t>Building Components Energy Use[urban residential,heat bf,heating]</t>
  </si>
  <si>
    <t>Building Components Energy Use[urban residential,heat bf,cooling and ventilation]</t>
  </si>
  <si>
    <t>Building Components Energy Use[urban residential,heat bf,envelope]</t>
  </si>
  <si>
    <t>Building Components Energy Use[urban residential,heat bf,lighting]</t>
  </si>
  <si>
    <t>Building Components Energy Use[urban residential,heat bf,appliances]</t>
  </si>
  <si>
    <t>Building Components Energy Use[urban residential,heat bf,other component]</t>
  </si>
  <si>
    <t>Building Components Energy Use[urban residential,biomass bf,heating]</t>
  </si>
  <si>
    <t>Building Components Energy Use[urban residential,biomass bf,cooling and ventilation]</t>
  </si>
  <si>
    <t>Building Components Energy Use[urban residential,biomass bf,envelope]</t>
  </si>
  <si>
    <t>Building Components Energy Use[urban residential,biomass bf,lighting]</t>
  </si>
  <si>
    <t>Building Components Energy Use[urban residential,biomass bf,appliances]</t>
  </si>
  <si>
    <t>Building Components Energy Use[urban residential,biomass bf,other component]</t>
  </si>
  <si>
    <t>Building Components Energy Use[urban residential,kerosene bf,heating]</t>
  </si>
  <si>
    <t>Building Components Energy Use[urban residential,kerosene bf,cooling and ventilation]</t>
  </si>
  <si>
    <t>Building Components Energy Use[urban residential,kerosene bf,envelope]</t>
  </si>
  <si>
    <t>Building Components Energy Use[urban residential,kerosene bf,lighting]</t>
  </si>
  <si>
    <t>Building Components Energy Use[urban residential,kerosene bf,appliances]</t>
  </si>
  <si>
    <t>Building Components Energy Use[urban residential,kerosene bf,other component]</t>
  </si>
  <si>
    <t>Building Components Energy Use[urban residential,heavy or residual fuel oil bf,heating]</t>
  </si>
  <si>
    <t>Building Components Energy Use[urban residential,heavy or residual fuel oil bf,cooling and ventilation]</t>
  </si>
  <si>
    <t>Building Components Energy Use[urban residential,heavy or residual fuel oil bf,envelope]</t>
  </si>
  <si>
    <t>Building Components Energy Use[urban residential,heavy or residual fuel oil bf,lighting]</t>
  </si>
  <si>
    <t>Building Components Energy Use[urban residential,heavy or residual fuel oil bf,appliances]</t>
  </si>
  <si>
    <t>Building Components Energy Use[urban residential,heavy or residual fuel oil bf,other component]</t>
  </si>
  <si>
    <t>Building Components Energy Use[urban residential,LPG propane or butane bf,heating]</t>
  </si>
  <si>
    <t>Building Components Energy Use[urban residential,LPG propane or butane bf,cooling and ventilation]</t>
  </si>
  <si>
    <t>Building Components Energy Use[urban residential,LPG propane or butane bf,envelope]</t>
  </si>
  <si>
    <t>Building Components Energy Use[urban residential,LPG propane or butane bf,lighting]</t>
  </si>
  <si>
    <t>Building Components Energy Use[urban residential,LPG propane or butane bf,appliances]</t>
  </si>
  <si>
    <t>Building Components Energy Use[urban residential,LPG propane or butane bf,other component]</t>
  </si>
  <si>
    <t>Building Components Energy Use[urban residential,hydrogen bf,heating]</t>
  </si>
  <si>
    <t>Building Components Energy Use[urban residential,hydrogen bf,cooling and ventilation]</t>
  </si>
  <si>
    <t>Building Components Energy Use[urban residential,hydrogen bf,envelope]</t>
  </si>
  <si>
    <t>Building Components Energy Use[urban residential,hydrogen bf,lighting]</t>
  </si>
  <si>
    <t>Building Components Energy Use[urban residential,hydrogen bf,appliances]</t>
  </si>
  <si>
    <t>Building Components Energy Use[urban residential,hydrogen bf,other component]</t>
  </si>
  <si>
    <t>Building Components Energy Use[rural residential,electricity bf,heating]</t>
  </si>
  <si>
    <t>Building Components Energy Use[rural residential,electricity bf,cooling and ventilation]</t>
  </si>
  <si>
    <t>Building Components Energy Use[rural residential,electricity bf,envelope]</t>
  </si>
  <si>
    <t>Building Components Energy Use[rural residential,electricity bf,lighting]</t>
  </si>
  <si>
    <t>Building Components Energy Use[rural residential,electricity bf,appliances]</t>
  </si>
  <si>
    <t>Building Components Energy Use[rural residential,electricity bf,other component]</t>
  </si>
  <si>
    <t>Building Components Energy Use[rural residential,hard coal bf,heating]</t>
  </si>
  <si>
    <t>Building Components Energy Use[rural residential,hard coal bf,cooling and ventilation]</t>
  </si>
  <si>
    <t>Building Components Energy Use[rural residential,hard coal bf,envelope]</t>
  </si>
  <si>
    <t>Building Components Energy Use[rural residential,hard coal bf,lighting]</t>
  </si>
  <si>
    <t>Building Components Energy Use[rural residential,hard coal bf,appliances]</t>
  </si>
  <si>
    <t>Building Components Energy Use[rural residential,hard coal bf,other component]</t>
  </si>
  <si>
    <t>Building Components Energy Use[rural residential,natural gas bf,heating]</t>
  </si>
  <si>
    <t>Building Components Energy Use[rural residential,natural gas bf,cooling and ventilation]</t>
  </si>
  <si>
    <t>Building Components Energy Use[rural residential,natural gas bf,envelope]</t>
  </si>
  <si>
    <t>Building Components Energy Use[rural residential,natural gas bf,lighting]</t>
  </si>
  <si>
    <t>Building Components Energy Use[rural residential,natural gas bf,appliances]</t>
  </si>
  <si>
    <t>Building Components Energy Use[rural residential,natural gas bf,other component]</t>
  </si>
  <si>
    <t>Building Components Energy Use[rural residential,petroleum diesel bf,heating]</t>
  </si>
  <si>
    <t>Building Components Energy Use[rural residential,petroleum diesel bf,cooling and ventilation]</t>
  </si>
  <si>
    <t>Building Components Energy Use[rural residential,petroleum diesel bf,envelope]</t>
  </si>
  <si>
    <t>Building Components Energy Use[rural residential,petroleum diesel bf,lighting]</t>
  </si>
  <si>
    <t>Building Components Energy Use[rural residential,petroleum diesel bf,appliances]</t>
  </si>
  <si>
    <t>Building Components Energy Use[rural residential,petroleum diesel bf,other component]</t>
  </si>
  <si>
    <t>Building Components Energy Use[rural residential,heat bf,heating]</t>
  </si>
  <si>
    <t>Building Components Energy Use[rural residential,heat bf,cooling and ventilation]</t>
  </si>
  <si>
    <t>Building Components Energy Use[rural residential,heat bf,envelope]</t>
  </si>
  <si>
    <t>Building Components Energy Use[rural residential,heat bf,lighting]</t>
  </si>
  <si>
    <t>Building Components Energy Use[rural residential,heat bf,appliances]</t>
  </si>
  <si>
    <t>Building Components Energy Use[rural residential,heat bf,other component]</t>
  </si>
  <si>
    <t>Building Components Energy Use[rural residential,biomass bf,heating]</t>
  </si>
  <si>
    <t>Building Components Energy Use[rural residential,biomass bf,cooling and ventilation]</t>
  </si>
  <si>
    <t>Building Components Energy Use[rural residential,biomass bf,envelope]</t>
  </si>
  <si>
    <t>Building Components Energy Use[rural residential,biomass bf,lighting]</t>
  </si>
  <si>
    <t>Building Components Energy Use[rural residential,biomass bf,appliances]</t>
  </si>
  <si>
    <t>Building Components Energy Use[rural residential,biomass bf,other component]</t>
  </si>
  <si>
    <t>Building Components Energy Use[rural residential,kerosene bf,heating]</t>
  </si>
  <si>
    <t>Building Components Energy Use[rural residential,kerosene bf,cooling and ventilation]</t>
  </si>
  <si>
    <t>Building Components Energy Use[rural residential,kerosene bf,envelope]</t>
  </si>
  <si>
    <t>Building Components Energy Use[rural residential,kerosene bf,lighting]</t>
  </si>
  <si>
    <t>Building Components Energy Use[rural residential,kerosene bf,appliances]</t>
  </si>
  <si>
    <t>Building Components Energy Use[rural residential,kerosene bf,other component]</t>
  </si>
  <si>
    <t>Building Components Energy Use[rural residential,heavy or residual fuel oil bf,heating]</t>
  </si>
  <si>
    <t>Building Components Energy Use[rural residential,heavy or residual fuel oil bf,cooling and ventilation]</t>
  </si>
  <si>
    <t>Building Components Energy Use[rural residential,heavy or residual fuel oil bf,envelope]</t>
  </si>
  <si>
    <t>Building Components Energy Use[rural residential,heavy or residual fuel oil bf,lighting]</t>
  </si>
  <si>
    <t>Building Components Energy Use[rural residential,heavy or residual fuel oil bf,appliances]</t>
  </si>
  <si>
    <t>Building Components Energy Use[rural residential,heavy or residual fuel oil bf,other component]</t>
  </si>
  <si>
    <t>Building Components Energy Use[rural residential,LPG propane or butane bf,heating]</t>
  </si>
  <si>
    <t>Building Components Energy Use[rural residential,LPG propane or butane bf,cooling and ventilation]</t>
  </si>
  <si>
    <t>Building Components Energy Use[rural residential,LPG propane or butane bf,envelope]</t>
  </si>
  <si>
    <t>Building Components Energy Use[rural residential,LPG propane or butane bf,lighting]</t>
  </si>
  <si>
    <t>Building Components Energy Use[rural residential,LPG propane or butane bf,appliances]</t>
  </si>
  <si>
    <t>Building Components Energy Use[rural residential,LPG propane or butane bf,other component]</t>
  </si>
  <si>
    <t>Building Components Energy Use[rural residential,hydrogen bf,heating]</t>
  </si>
  <si>
    <t>Building Components Energy Use[rural residential,hydrogen bf,cooling and ventilation]</t>
  </si>
  <si>
    <t>Building Components Energy Use[rural residential,hydrogen bf,envelope]</t>
  </si>
  <si>
    <t>Building Components Energy Use[rural residential,hydrogen bf,lighting]</t>
  </si>
  <si>
    <t>Building Components Energy Use[rural residential,hydrogen bf,appliances]</t>
  </si>
  <si>
    <t>Building Components Energy Use[rural residential,hydrogen bf,other component]</t>
  </si>
  <si>
    <t>Building Components Energy Use[commercial,electricity bf,heating]</t>
  </si>
  <si>
    <t>Building Components Energy Use[commercial,electricity bf,cooling and ventilation]</t>
  </si>
  <si>
    <t>Building Components Energy Use[commercial,electricity bf,envelope]</t>
  </si>
  <si>
    <t>Building Components Energy Use[commercial,electricity bf,lighting]</t>
  </si>
  <si>
    <t>Building Components Energy Use[commercial,electricity bf,appliances]</t>
  </si>
  <si>
    <t>Building Components Energy Use[commercial,electricity bf,other component]</t>
  </si>
  <si>
    <t>Building Components Energy Use[commercial,hard coal bf,heating]</t>
  </si>
  <si>
    <t>Building Components Energy Use[commercial,hard coal bf,cooling and ventilation]</t>
  </si>
  <si>
    <t>Building Components Energy Use[commercial,hard coal bf,envelope]</t>
  </si>
  <si>
    <t>Building Components Energy Use[commercial,hard coal bf,lighting]</t>
  </si>
  <si>
    <t>Building Components Energy Use[commercial,hard coal bf,appliances]</t>
  </si>
  <si>
    <t>Building Components Energy Use[commercial,hard coal bf,other component]</t>
  </si>
  <si>
    <t>Building Components Energy Use[commercial,natural gas bf,heating]</t>
  </si>
  <si>
    <t>Building Components Energy Use[commercial,natural gas bf,cooling and ventilation]</t>
  </si>
  <si>
    <t>Building Components Energy Use[commercial,natural gas bf,envelope]</t>
  </si>
  <si>
    <t>Building Components Energy Use[commercial,natural gas bf,lighting]</t>
  </si>
  <si>
    <t>Building Components Energy Use[commercial,natural gas bf,appliances]</t>
  </si>
  <si>
    <t>Building Components Energy Use[commercial,natural gas bf,other component]</t>
  </si>
  <si>
    <t>Building Components Energy Use[commercial,petroleum diesel bf,heating]</t>
  </si>
  <si>
    <t>Building Components Energy Use[commercial,petroleum diesel bf,cooling and ventilation]</t>
  </si>
  <si>
    <t>Building Components Energy Use[commercial,petroleum diesel bf,envelope]</t>
  </si>
  <si>
    <t>Building Components Energy Use[commercial,petroleum diesel bf,lighting]</t>
  </si>
  <si>
    <t>Building Components Energy Use[commercial,petroleum diesel bf,appliances]</t>
  </si>
  <si>
    <t>Building Components Energy Use[commercial,petroleum diesel bf,other component]</t>
  </si>
  <si>
    <t>Building Components Energy Use[commercial,heat bf,heating]</t>
  </si>
  <si>
    <t>Building Components Energy Use[commercial,heat bf,cooling and ventilation]</t>
  </si>
  <si>
    <t>Building Components Energy Use[commercial,heat bf,envelope]</t>
  </si>
  <si>
    <t>Building Components Energy Use[commercial,heat bf,lighting]</t>
  </si>
  <si>
    <t>Building Components Energy Use[commercial,heat bf,appliances]</t>
  </si>
  <si>
    <t>Building Components Energy Use[commercial,heat bf,other component]</t>
  </si>
  <si>
    <t>Building Components Energy Use[commercial,biomass bf,heating]</t>
  </si>
  <si>
    <t>Building Components Energy Use[commercial,biomass bf,cooling and ventilation]</t>
  </si>
  <si>
    <t>Building Components Energy Use[commercial,biomass bf,envelope]</t>
  </si>
  <si>
    <t>Building Components Energy Use[commercial,biomass bf,lighting]</t>
  </si>
  <si>
    <t>Building Components Energy Use[commercial,biomass bf,appliances]</t>
  </si>
  <si>
    <t>Building Components Energy Use[commercial,biomass bf,other component]</t>
  </si>
  <si>
    <t>Building Components Energy Use[commercial,kerosene bf,heating]</t>
  </si>
  <si>
    <t>Building Components Energy Use[commercial,kerosene bf,cooling and ventilation]</t>
  </si>
  <si>
    <t>Building Components Energy Use[commercial,kerosene bf,envelope]</t>
  </si>
  <si>
    <t>Building Components Energy Use[commercial,kerosene bf,lighting]</t>
  </si>
  <si>
    <t>Building Components Energy Use[commercial,kerosene bf,appliances]</t>
  </si>
  <si>
    <t>Building Components Energy Use[commercial,kerosene bf,other component]</t>
  </si>
  <si>
    <t>Building Components Energy Use[commercial,heavy or residual fuel oil bf,heating]</t>
  </si>
  <si>
    <t>Building Components Energy Use[commercial,heavy or residual fuel oil bf,cooling and ventilation]</t>
  </si>
  <si>
    <t>Building Components Energy Use[commercial,heavy or residual fuel oil bf,envelope]</t>
  </si>
  <si>
    <t>Building Components Energy Use[commercial,heavy or residual fuel oil bf,lighting]</t>
  </si>
  <si>
    <t>Building Components Energy Use[commercial,heavy or residual fuel oil bf,appliances]</t>
  </si>
  <si>
    <t>Building Components Energy Use[commercial,heavy or residual fuel oil bf,other component]</t>
  </si>
  <si>
    <t>Building Components Energy Use[commercial,LPG propane or butane bf,heating]</t>
  </si>
  <si>
    <t>Building Components Energy Use[commercial,LPG propane or butane bf,cooling and ventilation]</t>
  </si>
  <si>
    <t>Building Components Energy Use[commercial,LPG propane or butane bf,envelope]</t>
  </si>
  <si>
    <t>Building Components Energy Use[commercial,LPG propane or butane bf,lighting]</t>
  </si>
  <si>
    <t>Building Components Energy Use[commercial,LPG propane or butane bf,appliances]</t>
  </si>
  <si>
    <t>Building Components Energy Use[commercial,LPG propane or butane bf,other component]</t>
  </si>
  <si>
    <t>Building Components Energy Use[commercial,hydrogen bf,heating]</t>
  </si>
  <si>
    <t>Building Components Energy Use[commercial,hydrogen bf,cooling and ventilation]</t>
  </si>
  <si>
    <t>Building Components Energy Use[commercial,hydrogen bf,envelope]</t>
  </si>
  <si>
    <t>Building Components Energy Use[commercial,hydrogen bf,lighting]</t>
  </si>
  <si>
    <t>Building Components Energy Use[commercial,hydrogen bf,appliances]</t>
  </si>
  <si>
    <t>Building Components Energy Use[commercial,hydrogen bf,other component]</t>
  </si>
  <si>
    <t>Table 60.  Natural Gas Imports and Exports</t>
  </si>
  <si>
    <t>https://www.eia.gov/outlooks/aeo/data/browser/#/?id=76-AEO2021&amp;region=0-0&amp;cases=highogs&amp;start=2019&amp;end=2050&amp;f=A&amp;sourcekey=0</t>
  </si>
  <si>
    <t>Fri Mar 19 2021 13:31:12 GMT-0700 (Pacific Daylight Time)</t>
  </si>
  <si>
    <t>Source: U.S. Energy Information Administration</t>
  </si>
  <si>
    <t>full name</t>
  </si>
  <si>
    <t>api key</t>
  </si>
  <si>
    <t>units</t>
  </si>
  <si>
    <t>Growth (2020-2050)</t>
  </si>
  <si>
    <t>Volumes (trillion cubic feet)</t>
  </si>
  <si>
    <t>76-AEO2021.2.</t>
  </si>
  <si>
    <t>Imports</t>
  </si>
  <si>
    <t>Natural Gas: Volumes: Imports: High oil and gas supply</t>
  </si>
  <si>
    <t>76-AEO2021.3.highogs-d120120a</t>
  </si>
  <si>
    <t>Tcf</t>
  </si>
  <si>
    <t>Pipeline Imports from Canada</t>
  </si>
  <si>
    <t>Natural Gas: Volumes: Imports: Pipeline Imports from Canada: High oil and gas supply</t>
  </si>
  <si>
    <t>76-AEO2021.4.highogs-d120120a</t>
  </si>
  <si>
    <t>Pipeline Imports from Mexico</t>
  </si>
  <si>
    <t>Natural Gas: Volumes: Imports: Pipeline Imports from Mexico: High oil and gas supply</t>
  </si>
  <si>
    <t>76-AEO2021.5.highogs-d120120a</t>
  </si>
  <si>
    <t>- -</t>
  </si>
  <si>
    <t>Liquefied Natural Gas Imports</t>
  </si>
  <si>
    <t>Natural Gas: Volumes: Imports: Liquefied Natural Gas Imports: High oil and gas supply</t>
  </si>
  <si>
    <t>76-AEO2021.6.highogs-d120120a</t>
  </si>
  <si>
    <t>Exports</t>
  </si>
  <si>
    <t>Natural Gas: Volumes: Exports: High oil and gas supply</t>
  </si>
  <si>
    <t>76-AEO2021.7.highogs-d120120a</t>
  </si>
  <si>
    <t>Pipeline Exports to Canada</t>
  </si>
  <si>
    <t>Natural Gas: Volumes: Exports: Pipeline Exports to Canada: High oil and gas supply</t>
  </si>
  <si>
    <t>76-AEO2021.8.highogs-d120120a</t>
  </si>
  <si>
    <t>Pipeline Exports to Mexico</t>
  </si>
  <si>
    <t>Natural Gas: Volumes: Exports: Pipeline Exports to Mexico: High oil and gas supply</t>
  </si>
  <si>
    <t>76-AEO2021.9.highogs-d120120a</t>
  </si>
  <si>
    <t>Liquefied Natural Gas Exports</t>
  </si>
  <si>
    <t>Natural Gas: Volumes: Exports: Liquefied Natural Gas Exports: High oil and gas supply</t>
  </si>
  <si>
    <t>76-AEO2021.10.highogs-d120120a</t>
  </si>
  <si>
    <t>Net Imports</t>
  </si>
  <si>
    <t>Natural Gas: Volumes: Net Imports: High oil and gas supply</t>
  </si>
  <si>
    <t>76-AEO2021.11.highogs-d120120a</t>
  </si>
  <si>
    <t>Canada</t>
  </si>
  <si>
    <t>Natural Gas: Volumes: Net Imports: Canada: High oil and gas supply</t>
  </si>
  <si>
    <t>76-AEO2021.12.highogs-d120120a</t>
  </si>
  <si>
    <t>Mexico</t>
  </si>
  <si>
    <t>Natural Gas: Volumes: Net Imports: Mexico: High oil and gas supply</t>
  </si>
  <si>
    <t>76-AEO2021.13.highogs-d120120a</t>
  </si>
  <si>
    <t>Liquefied Natural Gas</t>
  </si>
  <si>
    <t>Natural Gas: Volumes: Net Imports: Liquefied Natural Gas: High oil and gas supply</t>
  </si>
  <si>
    <t>76-AEO2021.14.highogs-d120120a</t>
  </si>
  <si>
    <t>Back to Contents</t>
  </si>
  <si>
    <t>Data 1: U.S. Natural Gas Prices</t>
  </si>
  <si>
    <t>Sourcekey</t>
  </si>
  <si>
    <t>N9190US3</t>
  </si>
  <si>
    <t>N9100US3</t>
  </si>
  <si>
    <t>N9102US3</t>
  </si>
  <si>
    <t>N9103US3</t>
  </si>
  <si>
    <t>N9130US3</t>
  </si>
  <si>
    <t>N9132US3</t>
  </si>
  <si>
    <t>N9133US3</t>
  </si>
  <si>
    <t>N3050US3</t>
  </si>
  <si>
    <t>N3010US3</t>
  </si>
  <si>
    <t>NA1504_NUS_4</t>
  </si>
  <si>
    <t>N3020US3</t>
  </si>
  <si>
    <t>N3020US4</t>
  </si>
  <si>
    <t>N3035US3</t>
  </si>
  <si>
    <t>N3035US4</t>
  </si>
  <si>
    <t>N3045US3</t>
  </si>
  <si>
    <t>Date</t>
  </si>
  <si>
    <t>U.S. Natural Gas Wellhead Price (Dollars per Thousand Cubic Feet)</t>
  </si>
  <si>
    <t>Price of U.S. Natural Gas Imports (Dollars per Thousand Cubic Feet)</t>
  </si>
  <si>
    <t>U.S. Natural Gas Pipeline Imports Price (Dollars per Thousand Cubic Feet)</t>
  </si>
  <si>
    <t>Price of U.S. Natural Gas LNG Imports (Dollars per Thousand Cubic Feet)</t>
  </si>
  <si>
    <t>Price of U.S. Natural Gas Exports (Dollars per Thousand Cubic Feet)</t>
  </si>
  <si>
    <t>Price of U.S. Natural Gas Pipeline Exports (Dollars per Thousand Cubic Feet)</t>
  </si>
  <si>
    <t>Price of Liquefied U.S. Natural Gas Exports (Dollars per Thousand Cubic Feet)</t>
  </si>
  <si>
    <t>U.S. Natural Gas Citygate Price (Dollars per Thousand Cubic Feet)</t>
  </si>
  <si>
    <t>U.S. Price of Natural Gas Delivered to Residential Consumers (Dollars per Thousand Cubic Feet)</t>
  </si>
  <si>
    <t>U.S. Natural Gas % of Total Residential - Sales (%)</t>
  </si>
  <si>
    <t>U.S. Price of Natural Gas Sold to Commercial Consumers (Dollars per Thousand Cubic Feet)</t>
  </si>
  <si>
    <t>Percent of Commercial Natural Gas Deliveries in U.S. Total Represented by the Price (%)</t>
  </si>
  <si>
    <t>United States Natural Gas Industrial Price (Dollars per Thousand Cubic Feet)</t>
  </si>
  <si>
    <t>Percent of Industrial Natural Gas Deliveries in U.S. Total Represented by the Price (%)</t>
  </si>
  <si>
    <t>U.S. Natural Gas Electric Power Price (Dollars per Thousand Cubic Feet)</t>
  </si>
  <si>
    <t>nom $/Mcf</t>
  </si>
  <si>
    <t>13-AEO2021.73.ref2021-d113020a</t>
  </si>
  <si>
    <t>Natural Gas: Delivered Prices: Average: Reference case</t>
  </si>
  <si>
    <t>Average</t>
  </si>
  <si>
    <t>13-AEO2021.72.ref2021-d113020a</t>
  </si>
  <si>
    <t>Natural Gas: Delivered Prices: Electric Power: Reference case</t>
  </si>
  <si>
    <t>Electric Power</t>
  </si>
  <si>
    <t>13-AEO2021.71.ref2021-d113020a</t>
  </si>
  <si>
    <t>Natural Gas: Delivered Prices: Transportation: Reference case</t>
  </si>
  <si>
    <t>13-AEO2021.70.ref2021-d113020a</t>
  </si>
  <si>
    <t>Natural Gas: Delivered Prices: Industrial: Reference case</t>
  </si>
  <si>
    <t>Industrial</t>
  </si>
  <si>
    <t>13-AEO2021.69.ref2021-d113020a</t>
  </si>
  <si>
    <t>Natural Gas: Delivered Prices: Commercial: Reference case</t>
  </si>
  <si>
    <t>Commercial</t>
  </si>
  <si>
    <t>13-AEO2021.68.ref2021-d113020a</t>
  </si>
  <si>
    <t>Natural Gas: Delivered Prices: Residential: Reference case</t>
  </si>
  <si>
    <t>Residential</t>
  </si>
  <si>
    <t>13-AEO2021.67.</t>
  </si>
  <si>
    <t>(nominal dollars per thousand cubic feet)</t>
  </si>
  <si>
    <t>13-AEO2021.66.</t>
  </si>
  <si>
    <t>Delivered Prices</t>
  </si>
  <si>
    <t>nom $/MMBtu</t>
  </si>
  <si>
    <t>13-AEO2021.60.ref2021-d113020a</t>
  </si>
  <si>
    <t>Natural Gas: Henry Hub Spot Price: Reference case</t>
  </si>
  <si>
    <t>(nominal dollars per million Btu)</t>
  </si>
  <si>
    <t>13-AEO2021.59.</t>
  </si>
  <si>
    <t>Natural Gas Spot Price at Henry Hub</t>
  </si>
  <si>
    <t>2020 $/Mcf</t>
  </si>
  <si>
    <t>13-AEO2021.40.ref2021-d113020a</t>
  </si>
  <si>
    <t>13-AEO2021.39.ref2021-d113020a</t>
  </si>
  <si>
    <t>13-AEO2021.38.ref2021-d113020a</t>
  </si>
  <si>
    <t>13-AEO2021.37.ref2021-d113020a</t>
  </si>
  <si>
    <t>13-AEO2021.36.ref2021-d113020a</t>
  </si>
  <si>
    <t>13-AEO2021.35.ref2021-d113020a</t>
  </si>
  <si>
    <t>13-AEO2021.34.</t>
  </si>
  <si>
    <t>(2020 dollars per thousand cubic feet)</t>
  </si>
  <si>
    <t>13-AEO2021.33.</t>
  </si>
  <si>
    <t>2020 $/MMBtu</t>
  </si>
  <si>
    <t>13-AEO2021.31.ref2021-d113020a</t>
  </si>
  <si>
    <t>(2020 dollars per million Btu)</t>
  </si>
  <si>
    <t>13-AEO2021.30.</t>
  </si>
  <si>
    <t>13-AEO2021.28.</t>
  </si>
  <si>
    <t>Natural Gas Prices</t>
  </si>
  <si>
    <t>13-AEO2021.26.ref2021-d113020a</t>
  </si>
  <si>
    <t>Natural Gas: Discrepancy: Reference case</t>
  </si>
  <si>
    <t>Discrepancy</t>
  </si>
  <si>
    <t>13-AEO2021.24.ref2021-d113020a</t>
  </si>
  <si>
    <t>Natural Gas: Use by Sector: Electric Power: Reference case</t>
  </si>
  <si>
    <t>13-AEO2021.23.ref2021-d113020a</t>
  </si>
  <si>
    <t>Natural Gas: Use by Sector: Transportation: Pipeline Fuel: Reference case</t>
  </si>
  <si>
    <t>Pipeline and Distribution Fuel</t>
  </si>
  <si>
    <t>13-AEO2021.22.ref2021-d113020a</t>
  </si>
  <si>
    <t>Natural Gas: Use by Sector: Transportation: Vehicles: Reference case</t>
  </si>
  <si>
    <t xml:space="preserve"> and Ships</t>
  </si>
  <si>
    <t xml:space="preserve"> Trains</t>
  </si>
  <si>
    <t>Motor Vehicles</t>
  </si>
  <si>
    <t>13-AEO2021.21.ref2021-d113020a</t>
  </si>
  <si>
    <t>Natural Gas: Use by Sector: Transportation: Reference case</t>
  </si>
  <si>
    <t>13-AEO2021.20.ref2021-d113020a</t>
  </si>
  <si>
    <t>Natural Gas: Use by Sector: Industrial: GTL Liquids: Reference case</t>
  </si>
  <si>
    <t>Natural Gas to Liquids Production</t>
  </si>
  <si>
    <t>13-AEO2021.19.ref2021-d113020a</t>
  </si>
  <si>
    <t>Natural Gas: Use by Sector: Industrial: GTL Heat and Power: Reference case</t>
  </si>
  <si>
    <t>Natural Gas-to-Liquids Heat and Power</t>
  </si>
  <si>
    <t>13-AEO2021.18.ref2021-d113020a</t>
  </si>
  <si>
    <t>Natural Gas: Use by Sector: Industrial: Liquefaction for Export: Reference case</t>
  </si>
  <si>
    <t>Fuel Used to Liquefy Gas for Export</t>
  </si>
  <si>
    <t>13-AEO2021.17.ref2021-d113020a</t>
  </si>
  <si>
    <t>Natural Gas: Use by Sector: Industrial: Lease and Plant Fuel: Reference case</t>
  </si>
  <si>
    <t>Lease and Plant Fuel</t>
  </si>
  <si>
    <t>13-AEO2021.16.ref2021-d113020a</t>
  </si>
  <si>
    <t>Natural Gas: Use by Sector: Industrial: Other: Reference case</t>
  </si>
  <si>
    <t>Other Industrial</t>
  </si>
  <si>
    <t>13-AEO2021.15.ref2021-d113020a</t>
  </si>
  <si>
    <t>Natural Gas: Use by Sector: Industrial: Reference case</t>
  </si>
  <si>
    <t>13-AEO2021.14.ref2021-d113020a</t>
  </si>
  <si>
    <t>Natural Gas: Use by Sector: Commercial: Reference case</t>
  </si>
  <si>
    <t>13-AEO2021.13.ref2021-d113020a</t>
  </si>
  <si>
    <t>Natural Gas: Use by Sector: Residential: Reference case</t>
  </si>
  <si>
    <t>13-AEO2021.12.ref2021-d113020a</t>
  </si>
  <si>
    <t>Natural Gas: Use by Sector: Total: Reference case</t>
  </si>
  <si>
    <t>Consumption by Sector</t>
  </si>
  <si>
    <t>13-AEO2021.10.ref2021-d113020a</t>
  </si>
  <si>
    <t>Natural Gas: Total Supply: Reference case</t>
  </si>
  <si>
    <t>Total Supply</t>
  </si>
  <si>
    <t>13-AEO2021.8.ref2021-d113020a</t>
  </si>
  <si>
    <t>Natural Gas: Net Imports: Liquefied Natural Gas: Reference case</t>
  </si>
  <si>
    <t>13-AEO2021.7.ref2021-d113020a</t>
  </si>
  <si>
    <t>Natural Gas: Net Imports: Pipeline: Reference case</t>
  </si>
  <si>
    <t>Pipeline</t>
  </si>
  <si>
    <t>13-AEO2021.6.ref2021-d113020a</t>
  </si>
  <si>
    <t>Natural Gas: Net Imports: Reference case</t>
  </si>
  <si>
    <t>13-AEO2021.4.ref2021-d113020a</t>
  </si>
  <si>
    <t>Natural Gas: Production: Supplemental Natural Gas: Reference case</t>
  </si>
  <si>
    <t>Supplemental Natural Gas</t>
  </si>
  <si>
    <t>13-AEO2021.3.ref2021-d113020a</t>
  </si>
  <si>
    <t>Natural Gas: Production: Dry Gas Production: Reference case</t>
  </si>
  <si>
    <t>Dry Gas Production</t>
  </si>
  <si>
    <t>13-AEO2021.2.</t>
  </si>
  <si>
    <t>Production</t>
  </si>
  <si>
    <t>Fri Mar 19 2021 13:32:00 GMT-0700 (Pacific Daylight Time)</t>
  </si>
  <si>
    <t>https://www.eia.gov/outlooks/aeo/data/browser/#/?id=13-AEO2021&amp;cases=ref2021&amp;sourcekey=0</t>
  </si>
  <si>
    <t>Table 13.  Natural Gas Supply, Disposition, and Prices</t>
  </si>
  <si>
    <t>Natural Gas Price Source:</t>
  </si>
  <si>
    <t>AEO Table 60</t>
  </si>
  <si>
    <t>AEO Table 13</t>
  </si>
  <si>
    <t>https://www.eia.gov/dnav/ng/ng_pri_sum_dcu_nus_m.htm</t>
  </si>
  <si>
    <t>EIA Natural Gas Prices</t>
  </si>
  <si>
    <t>Historical</t>
  </si>
  <si>
    <t>LNG</t>
  </si>
  <si>
    <t>Henry Hub Prices</t>
  </si>
  <si>
    <t>Henry Hub Natural Gas Spot Price (Dollars per Million Btu)</t>
  </si>
  <si>
    <t>RNGWHHD</t>
  </si>
  <si>
    <t>Data 1: Henry Hub Natural Gas Spot Price (Dollars per Million Btu)</t>
  </si>
  <si>
    <t>https://www.eia.gov/dnav/ng/hist/rngwhhdA.htm</t>
  </si>
  <si>
    <t>Pipeline multiplier</t>
  </si>
  <si>
    <t>LNG multiplier</t>
  </si>
  <si>
    <t>Historical Data</t>
  </si>
  <si>
    <t>Forecast ($)</t>
  </si>
  <si>
    <t>Transposed</t>
  </si>
  <si>
    <t>Forecasted Volume (Tcf)</t>
  </si>
  <si>
    <t>% pipeline</t>
  </si>
  <si>
    <t>% lng</t>
  </si>
  <si>
    <t>Prices (</t>
  </si>
  <si>
    <t>Henry Hub Prices ($/mmbtu)</t>
  </si>
  <si>
    <t>mmbtu per thousand cubic feet</t>
  </si>
  <si>
    <t>dollars per million btu</t>
  </si>
  <si>
    <t>lng</t>
  </si>
  <si>
    <t>Converted to mmbtu</t>
  </si>
  <si>
    <t>U.S. Natural Gas Vehicle Fuel Price (Dollars per Thousand Cubic Feet)</t>
  </si>
  <si>
    <t>U.S. Natural Gas Pipeline and Distribution Use Price (Dollars per Thousand Cubic Feet)</t>
  </si>
  <si>
    <t>NA1570_NUS_3</t>
  </si>
  <si>
    <t>NA1480_NUS_3</t>
  </si>
  <si>
    <t>2020 to 2012 $</t>
  </si>
  <si>
    <t>$2012/btu</t>
  </si>
  <si>
    <t>Natural gas prices</t>
  </si>
  <si>
    <t xml:space="preserve">Estimated by creating an average multiplier for pipeline and lng gas compared to henry hub prices. </t>
  </si>
  <si>
    <t>Created weighted total natural gas export price based on forecasted export volumes of pipeline and lng (AEO 60).</t>
  </si>
  <si>
    <t>13-AEO2022.67.</t>
  </si>
  <si>
    <t>13-AEO2022.66.</t>
  </si>
  <si>
    <t>13-AEO2022.59.</t>
  </si>
  <si>
    <t>2021 $/Mcf</t>
  </si>
  <si>
    <t>13-AEO2022.34.</t>
  </si>
  <si>
    <t>(2021 dollars per thousand cubic feet)</t>
  </si>
  <si>
    <t>13-AEO2022.33.</t>
  </si>
  <si>
    <t>2021 $/MMBtu</t>
  </si>
  <si>
    <t>(2021 dollars per million Btu)</t>
  </si>
  <si>
    <t>13-AEO2022.30.</t>
  </si>
  <si>
    <t>13-AEO2022.28.</t>
  </si>
  <si>
    <t>13-AEO2022.2.</t>
  </si>
  <si>
    <t>Growth (2021-2050)</t>
  </si>
  <si>
    <t>Fri Jun 03 2022 14:36:16 GMT-0700 (Pacific Daylight Time)</t>
  </si>
  <si>
    <t>https://www.eia.gov/outlooks/aeo/data/browser/#/?id=13-AEO2022&amp;region=0-0&amp;cases=ref2022&amp;start=2020&amp;end=2050&amp;f=A&amp;sourcekey=0</t>
  </si>
  <si>
    <t>76-AEO2022.2.</t>
  </si>
  <si>
    <t>Fri Jun 03 2022 14:37:41 GMT-0700 (Pacific Daylight Time)</t>
  </si>
  <si>
    <t>https://www.eia.gov/outlooks/aeo/data/browser/#/?id=76-AEO2022&amp;region=0-0&amp;cases=ref2022&amp;start=2020&amp;end=2050&amp;f=A&amp;linechart=&amp;ctype=linechart&amp;sourcekey=0</t>
  </si>
  <si>
    <t>Annual Average</t>
  </si>
  <si>
    <t>Future Prices</t>
  </si>
  <si>
    <t>Historical Monthly Consumption Average</t>
  </si>
  <si>
    <t>Total Gas Prices ($2020/mmbtu for 2020, then $2021/mmbtu)</t>
  </si>
  <si>
    <t>2021 to 2012 $</t>
  </si>
  <si>
    <t>futures prices</t>
  </si>
  <si>
    <t>transition back to AEO22 ref</t>
  </si>
  <si>
    <t>AEO22 ref</t>
  </si>
  <si>
    <t>Natural Gas Delivered to Consumers in the U.S. (MMcf)</t>
  </si>
  <si>
    <t>N3060US2</t>
  </si>
  <si>
    <t>Data 1: Natural Gas Delivered to Consumers in the U.S. (MMcf)</t>
  </si>
  <si>
    <t>from variable fuels/BFPaT:</t>
  </si>
  <si>
    <t>Use futures prices forecast of henry hub prices multiplied by pipeline and lng multiplier to get forecasted natural gas export prices for 2022-2025.</t>
  </si>
  <si>
    <t>Linearly interpolated between 2025 and 2030.</t>
  </si>
  <si>
    <t>Use AEO forecast of henry hub prices multiplied by pipeline and lng multiplier to get forecasted natural gas export prices for 2030-2050.</t>
  </si>
  <si>
    <t>13-AEO2022.10.lowmacro-d011222a</t>
  </si>
  <si>
    <t>Natural Gas: Production: Dry Gas Production: Low economic growth</t>
  </si>
  <si>
    <t>13-AEO2022.3.lowmacro-d011222a</t>
  </si>
  <si>
    <t>Natural Gas: Production: Supplemental Natural Gas: Low economic growth</t>
  </si>
  <si>
    <t>13-AEO2022.4.lowmacro-d011222a</t>
  </si>
  <si>
    <t>Natural Gas: Net Imports: Low economic growth</t>
  </si>
  <si>
    <t>13-AEO2022.6.lowmacro-d011222a</t>
  </si>
  <si>
    <t>Natural Gas: Net Imports: Pipeline: Low economic growth</t>
  </si>
  <si>
    <t>13-AEO2022.7.lowmacro-d011222a</t>
  </si>
  <si>
    <t>Natural Gas: Net Imports: Liquefied Natural Gas: Low economic growth</t>
  </si>
  <si>
    <t>13-AEO2022.8.lowmacro-d011222a</t>
  </si>
  <si>
    <t>Natural Gas: Total Supply: Low economic growth</t>
  </si>
  <si>
    <t>Natural Gas: Use by Sector: Total: Low economic growth</t>
  </si>
  <si>
    <t>13-AEO2022.12.lowmacro-d011222a</t>
  </si>
  <si>
    <t>Natural Gas: Use by Sector: Residential: Low economic growth</t>
  </si>
  <si>
    <t>13-AEO2022.13.lowmacro-d011222a</t>
  </si>
  <si>
    <t>Natural Gas: Use by Sector: Commercial: Low economic growth</t>
  </si>
  <si>
    <t>13-AEO2022.14.lowmacro-d011222a</t>
  </si>
  <si>
    <t>Natural Gas: Use by Sector: Industrial: Low economic growth</t>
  </si>
  <si>
    <t>13-AEO2022.15.lowmacro-d011222a</t>
  </si>
  <si>
    <t>Natural Gas: Use by Sector: Industrial: Other: Low economic growth</t>
  </si>
  <si>
    <t>13-AEO2022.16.lowmacro-d011222a</t>
  </si>
  <si>
    <t>Natural Gas: Use by Sector: Industrial: Lease and Plant Fuel: Low economic growth</t>
  </si>
  <si>
    <t>13-AEO2022.17.lowmacro-d011222a</t>
  </si>
  <si>
    <t>Natural Gas: Use by Sector: Industrial: Liquefaction for Export: Low economic growth</t>
  </si>
  <si>
    <t>13-AEO2022.18.lowmacro-d011222a</t>
  </si>
  <si>
    <t>Natural Gas: Use by Sector: Industrial: GTL Heat and Power: Low economic growth</t>
  </si>
  <si>
    <t>13-AEO2022.19.lowmacro-d011222a</t>
  </si>
  <si>
    <t>Natural Gas: Use by Sector: Industrial: GTL Liquids: Low economic growth</t>
  </si>
  <si>
    <t>13-AEO2022.20.lowmacro-d011222a</t>
  </si>
  <si>
    <t>Natural Gas: Use by Sector: Transportation: Low economic growth</t>
  </si>
  <si>
    <t>13-AEO2022.21.lowmacro-d011222a</t>
  </si>
  <si>
    <t>Natural Gas: Use by Sector: Transportation: Vehicles: Low economic growth</t>
  </si>
  <si>
    <t>13-AEO2022.22.lowmacro-d011222a</t>
  </si>
  <si>
    <t>Natural Gas: Use by Sector: Transportation: Pipeline Fuel: Low economic growth</t>
  </si>
  <si>
    <t>13-AEO2022.23.lowmacro-d011222a</t>
  </si>
  <si>
    <t>Natural Gas: Use by Sector: Electric Power: Low economic growth</t>
  </si>
  <si>
    <t>13-AEO2022.24.lowmacro-d011222a</t>
  </si>
  <si>
    <t>Natural Gas: Discrepancy: Low economic growth</t>
  </si>
  <si>
    <t>13-AEO2022.26.lowmacro-d011222a</t>
  </si>
  <si>
    <t>Natural Gas: Henry Hub Spot Price: Low economic growth</t>
  </si>
  <si>
    <t>13-AEO2022.31.lowmacro-d011222a</t>
  </si>
  <si>
    <t>Natural Gas: Delivered Prices: Residential: Low economic growth</t>
  </si>
  <si>
    <t>13-AEO2022.35.lowmacro-d011222a</t>
  </si>
  <si>
    <t>Natural Gas: Delivered Prices: Commercial: Low economic growth</t>
  </si>
  <si>
    <t>13-AEO2022.36.lowmacro-d011222a</t>
  </si>
  <si>
    <t>Natural Gas: Delivered Prices: Industrial: Low economic growth</t>
  </si>
  <si>
    <t>13-AEO2022.37.lowmacro-d011222a</t>
  </si>
  <si>
    <t>Natural Gas: Delivered Prices: Transportation: Low economic growth</t>
  </si>
  <si>
    <t>13-AEO2022.38.lowmacro-d011222a</t>
  </si>
  <si>
    <t>Natural Gas: Delivered Prices: Electric Power: Low economic growth</t>
  </si>
  <si>
    <t>13-AEO2022.39.lowmacro-d011222a</t>
  </si>
  <si>
    <t>Natural Gas: Delivered Prices: Average: Low economic growth</t>
  </si>
  <si>
    <t>13-AEO2022.40.lowmacro-d011222a</t>
  </si>
  <si>
    <t>13-AEO2022.60.lowmacro-d011222a</t>
  </si>
  <si>
    <t>13-AEO2022.68.lowmacro-d011222a</t>
  </si>
  <si>
    <t>13-AEO2022.69.lowmacro-d011222a</t>
  </si>
  <si>
    <t>13-AEO2022.70.lowmacro-d011222a</t>
  </si>
  <si>
    <t>13-AEO2022.71.lowmacro-d011222a</t>
  </si>
  <si>
    <t>13-AEO2022.72.lowmacro-d011222a</t>
  </si>
  <si>
    <t>13-AEO2022.73.lowmacro-d011222a</t>
  </si>
  <si>
    <t>Natural Gas: Volumes: Imports: Low economic growth</t>
  </si>
  <si>
    <t>76-AEO2022.3.lowmacro-d011222a</t>
  </si>
  <si>
    <t>Natural Gas: Volumes: Imports: Pipeline Imports from Canada: Low economic growth</t>
  </si>
  <si>
    <t>76-AEO2022.4.lowmacro-d011222a</t>
  </si>
  <si>
    <t>Natural Gas: Volumes: Imports: Pipeline Imports from Mexico: Low economic growth</t>
  </si>
  <si>
    <t>76-AEO2022.5.lowmacro-d011222a</t>
  </si>
  <si>
    <t>Natural Gas: Volumes: Imports: Liquefied Natural Gas Imports: Low economic growth</t>
  </si>
  <si>
    <t>76-AEO2022.6.lowmacro-d011222a</t>
  </si>
  <si>
    <t>Natural Gas: Volumes: Exports: Low economic growth</t>
  </si>
  <si>
    <t>76-AEO2022.7.lowmacro-d011222a</t>
  </si>
  <si>
    <t>Natural Gas: Volumes: Exports: Pipeline Exports to Canada: Low economic growth</t>
  </si>
  <si>
    <t>76-AEO2022.8.lowmacro-d011222a</t>
  </si>
  <si>
    <t>Natural Gas: Volumes: Exports: Pipeline Exports to Mexico: Low economic growth</t>
  </si>
  <si>
    <t>76-AEO2022.9.lowmacro-d011222a</t>
  </si>
  <si>
    <t>Natural Gas: Volumes: Exports: Liquefied Natural Gas Exports: Low economic growth</t>
  </si>
  <si>
    <t>76-AEO2022.10.lowmacro-d011222a</t>
  </si>
  <si>
    <t>Natural Gas: Volumes: Net Imports: Low economic growth</t>
  </si>
  <si>
    <t>76-AEO2022.11.lowmacro-d011222a</t>
  </si>
  <si>
    <t>Natural Gas: Volumes: Net Imports: Canada: Low economic growth</t>
  </si>
  <si>
    <t>76-AEO2022.12.lowmacro-d011222a</t>
  </si>
  <si>
    <t>Natural Gas: Volumes: Net Imports: Mexico: Low economic growth</t>
  </si>
  <si>
    <t>76-AEO2022.13.lowmacro-d011222a</t>
  </si>
  <si>
    <t>Natural Gas: Volumes: Net Imports: Liquefied Natural Gas: Low economic growth</t>
  </si>
  <si>
    <t>76-AEO2022.14.lowmacro-d011222a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</si>
</sst>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"/>
    <numFmt numFmtId="165" formatCode="mmm\-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indexed="18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u/>
      <sz val="10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3" borderId="1" applyNumberFormat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8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11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 applyAlignment="1">
      <alignment wrapText="1"/>
    </xf>
    <xf numFmtId="10" fontId="0" fillId="0" borderId="0" xfId="0" applyNumberFormat="1"/>
    <xf numFmtId="0" fontId="0" fillId="4" borderId="0" xfId="0" applyFill="1"/>
    <xf numFmtId="10" fontId="0" fillId="4" borderId="0" xfId="0" applyNumberFormat="1" applyFill="1"/>
    <xf numFmtId="0" fontId="8" fillId="0" borderId="0" xfId="6"/>
    <xf numFmtId="164" fontId="8" fillId="0" borderId="0" xfId="6" applyNumberFormat="1"/>
    <xf numFmtId="0" fontId="7" fillId="0" borderId="0" xfId="6" applyFont="1" applyAlignment="1">
      <alignment horizontal="center" wrapText="1"/>
    </xf>
    <xf numFmtId="0" fontId="9" fillId="0" borderId="0" xfId="6" applyFont="1" applyAlignment="1">
      <alignment horizontal="center" wrapText="1"/>
    </xf>
    <xf numFmtId="0" fontId="10" fillId="0" borderId="0" xfId="6" applyFont="1"/>
    <xf numFmtId="0" fontId="11" fillId="0" borderId="0" xfId="7" quotePrefix="1" applyAlignment="1" applyProtection="1">
      <alignment horizontal="left"/>
    </xf>
    <xf numFmtId="0" fontId="1" fillId="5" borderId="0" xfId="0" applyFont="1" applyFill="1"/>
    <xf numFmtId="0" fontId="0" fillId="5" borderId="0" xfId="0" applyFill="1"/>
    <xf numFmtId="0" fontId="0" fillId="6" borderId="0" xfId="0" applyFill="1"/>
    <xf numFmtId="2" fontId="0" fillId="0" borderId="0" xfId="0" applyNumberFormat="1"/>
    <xf numFmtId="2" fontId="0" fillId="4" borderId="0" xfId="0" applyNumberFormat="1" applyFill="1"/>
    <xf numFmtId="9" fontId="0" fillId="0" borderId="0" xfId="2" applyFont="1" applyFill="1"/>
    <xf numFmtId="0" fontId="4" fillId="3" borderId="1" xfId="3" applyAlignment="1">
      <alignment wrapText="1"/>
    </xf>
    <xf numFmtId="0" fontId="8" fillId="5" borderId="0" xfId="6" applyFill="1"/>
    <xf numFmtId="43" fontId="0" fillId="0" borderId="0" xfId="1" applyFont="1"/>
    <xf numFmtId="11" fontId="0" fillId="7" borderId="0" xfId="0" applyNumberFormat="1" applyFill="1"/>
    <xf numFmtId="0" fontId="0" fillId="8" borderId="0" xfId="0" applyFill="1"/>
    <xf numFmtId="0" fontId="0" fillId="9" borderId="0" xfId="0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13" fillId="0" borderId="0" xfId="8" quotePrefix="1" applyAlignment="1" applyProtection="1">
      <alignment horizontal="left"/>
    </xf>
    <xf numFmtId="0" fontId="12" fillId="5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2" fontId="0" fillId="7" borderId="0" xfId="0" applyNumberFormat="1" applyFill="1"/>
    <xf numFmtId="0" fontId="0" fillId="7" borderId="0" xfId="0" applyFill="1"/>
    <xf numFmtId="2" fontId="0" fillId="9" borderId="0" xfId="0" applyNumberFormat="1" applyFill="1"/>
    <xf numFmtId="165" fontId="8" fillId="0" borderId="0" xfId="6" applyNumberFormat="1"/>
    <xf numFmtId="0" fontId="0" fillId="0" borderId="0" xfId="0" applyFill="1"/>
  </cellXfs>
  <cellStyles count="9">
    <cellStyle name="Calcul" xfId="3" builtinId="22"/>
    <cellStyle name="Hyperlink 2" xfId="4"/>
    <cellStyle name="Hyperlink 3" xfId="7"/>
    <cellStyle name="Hyperlink 4" xfId="8"/>
    <cellStyle name="Milliers" xfId="1" builtinId="3"/>
    <cellStyle name="Normal" xfId="0" builtinId="0"/>
    <cellStyle name="Normal 2" xfId="5"/>
    <cellStyle name="Normal 3" xfId="6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'Natural Gas Prices'!$C$2</c:f>
              <c:strCache>
                <c:ptCount val="1"/>
                <c:pt idx="0">
                  <c:v>Pipeline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Prices'!$B$27:$B$55)</c:f>
              <c:numCache>
                <c:formatCode>General</c:formatCode>
                <c:ptCount val="4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('Natural Gas Prices'!$C$3:$C$22,'Natural Gas Prices'!$C$27:$C$55)</c:f>
              <c:numCache>
                <c:formatCode>General</c:formatCode>
                <c:ptCount val="49"/>
                <c:pt idx="0">
                  <c:v>4.2931799999999996</c:v>
                </c:pt>
                <c:pt idx="1">
                  <c:v>3.4428399999999995</c:v>
                </c:pt>
                <c:pt idx="2">
                  <c:v>5.8694199999999999</c:v>
                </c:pt>
                <c:pt idx="3">
                  <c:v>6.4086599999999994</c:v>
                </c:pt>
                <c:pt idx="4">
                  <c:v>8.0574899999999996</c:v>
                </c:pt>
                <c:pt idx="5">
                  <c:v>7.1552999999999995</c:v>
                </c:pt>
                <c:pt idx="6">
                  <c:v>7.2175199999999995</c:v>
                </c:pt>
                <c:pt idx="7">
                  <c:v>8.9389399999999988</c:v>
                </c:pt>
                <c:pt idx="8">
                  <c:v>4.5005799999999994</c:v>
                </c:pt>
                <c:pt idx="9">
                  <c:v>4.9257499999999999</c:v>
                </c:pt>
                <c:pt idx="10">
                  <c:v>4.5109499999999993</c:v>
                </c:pt>
                <c:pt idx="11">
                  <c:v>3.1939599999999997</c:v>
                </c:pt>
                <c:pt idx="12">
                  <c:v>4.2102199999999996</c:v>
                </c:pt>
                <c:pt idx="13">
                  <c:v>5.5998000000000001</c:v>
                </c:pt>
                <c:pt idx="14">
                  <c:v>3.0591499999999998</c:v>
                </c:pt>
                <c:pt idx="15">
                  <c:v>2.7273099999999997</c:v>
                </c:pt>
                <c:pt idx="16">
                  <c:v>3.3184</c:v>
                </c:pt>
                <c:pt idx="17">
                  <c:v>3.4635799999999994</c:v>
                </c:pt>
                <c:pt idx="18">
                  <c:v>2.7376800000000001</c:v>
                </c:pt>
                <c:pt idx="19">
                  <c:v>2.1776999999999997</c:v>
                </c:pt>
                <c:pt idx="20" formatCode="0.00">
                  <c:v>7.9294874251945107</c:v>
                </c:pt>
                <c:pt idx="21" formatCode="0.00">
                  <c:v>6.8283675287139509</c:v>
                </c:pt>
                <c:pt idx="22" formatCode="0.00">
                  <c:v>5.1587271515172555</c:v>
                </c:pt>
                <c:pt idx="23" formatCode="0.00">
                  <c:v>4.7967205895809988</c:v>
                </c:pt>
                <c:pt idx="24" formatCode="0.00">
                  <c:v>4.5857183463161908</c:v>
                </c:pt>
                <c:pt idx="25" formatCode="0.00">
                  <c:v>4.3747161030513828</c:v>
                </c:pt>
                <c:pt idx="26" formatCode="0.00">
                  <c:v>4.1637138597865739</c:v>
                </c:pt>
                <c:pt idx="27" formatCode="0.00">
                  <c:v>3.9527116165217664</c:v>
                </c:pt>
                <c:pt idx="28" formatCode="0.00">
                  <c:v>3.7417093732569575</c:v>
                </c:pt>
                <c:pt idx="29" formatCode="0.00">
                  <c:v>3.8140014951525849</c:v>
                </c:pt>
                <c:pt idx="30" formatCode="0.00">
                  <c:v>3.8553052854929399</c:v>
                </c:pt>
                <c:pt idx="31" formatCode="0.00">
                  <c:v>3.9672947552016504</c:v>
                </c:pt>
                <c:pt idx="32" formatCode="0.00">
                  <c:v>3.9682475798759014</c:v>
                </c:pt>
                <c:pt idx="33" formatCode="0.00">
                  <c:v>3.8911946468616532</c:v>
                </c:pt>
                <c:pt idx="34" formatCode="0.00">
                  <c:v>3.8480702216570575</c:v>
                </c:pt>
                <c:pt idx="35" formatCode="0.00">
                  <c:v>3.8498643585002301</c:v>
                </c:pt>
                <c:pt idx="36" formatCode="0.00">
                  <c:v>3.8844663576787037</c:v>
                </c:pt>
                <c:pt idx="37" formatCode="0.00">
                  <c:v>3.9146553322650801</c:v>
                </c:pt>
                <c:pt idx="38" formatCode="0.00">
                  <c:v>3.9500357108124384</c:v>
                </c:pt>
                <c:pt idx="39" formatCode="0.00">
                  <c:v>4.0129596781761787</c:v>
                </c:pt>
                <c:pt idx="40" formatCode="0.00">
                  <c:v>4.0321475576823271</c:v>
                </c:pt>
                <c:pt idx="41" formatCode="0.00">
                  <c:v>3.9631787292623604</c:v>
                </c:pt>
                <c:pt idx="42" formatCode="0.00">
                  <c:v>3.9317829906331614</c:v>
                </c:pt>
                <c:pt idx="43" formatCode="0.00">
                  <c:v>3.8308144895204794</c:v>
                </c:pt>
                <c:pt idx="44" formatCode="0.00">
                  <c:v>3.7818925181229615</c:v>
                </c:pt>
                <c:pt idx="45" formatCode="0.00">
                  <c:v>3.7542341045486172</c:v>
                </c:pt>
                <c:pt idx="46" formatCode="0.00">
                  <c:v>3.7455306087118618</c:v>
                </c:pt>
                <c:pt idx="47" formatCode="0.00">
                  <c:v>3.7578256904875951</c:v>
                </c:pt>
                <c:pt idx="48" formatCode="0.00">
                  <c:v>3.7643883670388667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C02-4B8A-A05A-AD4BC5B2EDF6}"/>
            </c:ext>
          </c:extLst>
        </c:ser>
        <c:ser>
          <c:idx val="1"/>
          <c:order val="1"/>
          <c:tx>
            <c:strRef>
              <c:f>'Natural Gas Prices'!$D$2</c:f>
              <c:strCache>
                <c:ptCount val="1"/>
                <c:pt idx="0">
                  <c:v>LNG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Prices'!$B$27:$B$55)</c:f>
              <c:numCache>
                <c:formatCode>General</c:formatCode>
                <c:ptCount val="4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('Natural Gas Prices'!$D$3:$D$22,'Natural Gas Prices'!$D$27:$D$55)</c:f>
              <c:numCache>
                <c:formatCode>General</c:formatCode>
                <c:ptCount val="49"/>
                <c:pt idx="0">
                  <c:v>4.5628000000000002</c:v>
                </c:pt>
                <c:pt idx="1">
                  <c:v>4.2309599999999996</c:v>
                </c:pt>
                <c:pt idx="2">
                  <c:v>4.6353899999999992</c:v>
                </c:pt>
                <c:pt idx="3">
                  <c:v>5.1435199999999996</c:v>
                </c:pt>
                <c:pt idx="4">
                  <c:v>6.0042299999999997</c:v>
                </c:pt>
                <c:pt idx="5">
                  <c:v>6.2427399999999995</c:v>
                </c:pt>
                <c:pt idx="6">
                  <c:v>6.4605100000000002</c:v>
                </c:pt>
                <c:pt idx="7">
                  <c:v>7.9745299999999997</c:v>
                </c:pt>
                <c:pt idx="8">
                  <c:v>8.710799999999999</c:v>
                </c:pt>
                <c:pt idx="9">
                  <c:v>9.8826099999999979</c:v>
                </c:pt>
                <c:pt idx="10">
                  <c:v>10.929979999999999</c:v>
                </c:pt>
                <c:pt idx="11">
                  <c:v>13.29434</c:v>
                </c:pt>
                <c:pt idx="12">
                  <c:v>13.854319999999998</c:v>
                </c:pt>
                <c:pt idx="13">
                  <c:v>16.239419999999999</c:v>
                </c:pt>
                <c:pt idx="14">
                  <c:v>11.324039999999998</c:v>
                </c:pt>
                <c:pt idx="15">
                  <c:v>4.8842699999999999</c:v>
                </c:pt>
                <c:pt idx="16">
                  <c:v>4.8635299999999999</c:v>
                </c:pt>
                <c:pt idx="17">
                  <c:v>5.3923999999999994</c:v>
                </c:pt>
                <c:pt idx="18">
                  <c:v>5.4027699999999994</c:v>
                </c:pt>
                <c:pt idx="19">
                  <c:v>5.848679999999999</c:v>
                </c:pt>
                <c:pt idx="20" formatCode="0.00">
                  <c:v>14.932133624361477</c:v>
                </c:pt>
                <c:pt idx="21" formatCode="0.00">
                  <c:v>12.858598659358682</c:v>
                </c:pt>
                <c:pt idx="22" formatCode="0.00">
                  <c:v>9.7144744707363913</c:v>
                </c:pt>
                <c:pt idx="23" formatCode="0.00">
                  <c:v>9.0327746248481464</c:v>
                </c:pt>
                <c:pt idx="24" formatCode="0.00">
                  <c:v>8.6354332177025448</c:v>
                </c:pt>
                <c:pt idx="25" formatCode="0.00">
                  <c:v>8.2380918105569432</c:v>
                </c:pt>
                <c:pt idx="26" formatCode="0.00">
                  <c:v>7.8407504034113407</c:v>
                </c:pt>
                <c:pt idx="27" formatCode="0.00">
                  <c:v>7.443408996265739</c:v>
                </c:pt>
                <c:pt idx="28" formatCode="0.00">
                  <c:v>7.0460675891201365</c:v>
                </c:pt>
                <c:pt idx="29" formatCode="0.00">
                  <c:v>7.182201940087678</c:v>
                </c:pt>
                <c:pt idx="30" formatCode="0.00">
                  <c:v>7.2599817111476792</c:v>
                </c:pt>
                <c:pt idx="31" formatCode="0.00">
                  <c:v>7.470870717781148</c:v>
                </c:pt>
                <c:pt idx="32" formatCode="0.00">
                  <c:v>7.4726649958464986</c:v>
                </c:pt>
                <c:pt idx="33" formatCode="0.00">
                  <c:v>7.3275654919035302</c:v>
                </c:pt>
                <c:pt idx="34" formatCode="0.00">
                  <c:v>7.2463572567302448</c:v>
                </c:pt>
                <c:pt idx="35" formatCode="0.00">
                  <c:v>7.2497358220329051</c:v>
                </c:pt>
                <c:pt idx="36" formatCode="0.00">
                  <c:v>7.3148953522392786</c:v>
                </c:pt>
                <c:pt idx="37" formatCode="0.00">
                  <c:v>7.3717446513596645</c:v>
                </c:pt>
                <c:pt idx="38" formatCode="0.00">
                  <c:v>7.4383699591281154</c:v>
                </c:pt>
                <c:pt idx="39" formatCode="0.00">
                  <c:v>7.5568630014229994</c:v>
                </c:pt>
                <c:pt idx="40" formatCode="0.00">
                  <c:v>7.5929959776660301</c:v>
                </c:pt>
                <c:pt idx="41" formatCode="0.00">
                  <c:v>7.4631197691975686</c:v>
                </c:pt>
                <c:pt idx="42" formatCode="0.00">
                  <c:v>7.4039979950766863</c:v>
                </c:pt>
                <c:pt idx="43" formatCode="0.00">
                  <c:v>7.213862735428541</c:v>
                </c:pt>
                <c:pt idx="44" formatCode="0.00">
                  <c:v>7.121737056314168</c:v>
                </c:pt>
                <c:pt idx="45" formatCode="0.00">
                  <c:v>7.0696530936083652</c:v>
                </c:pt>
                <c:pt idx="46" formatCode="0.00">
                  <c:v>7.0532634134355243</c:v>
                </c:pt>
                <c:pt idx="47" formatCode="0.00">
                  <c:v>7.0764164615650129</c:v>
                </c:pt>
                <c:pt idx="48" formatCode="0.00">
                  <c:v>7.0887747336628646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C02-4B8A-A05A-AD4BC5B2EDF6}"/>
            </c:ext>
          </c:extLst>
        </c:ser>
        <c:ser>
          <c:idx val="2"/>
          <c:order val="2"/>
          <c:tx>
            <c:strRef>
              <c:f>'Natural Gas Prices'!$E$2</c:f>
              <c:strCache>
                <c:ptCount val="1"/>
                <c:pt idx="0">
                  <c:v>Henry Hub Prices ($/mmbtu)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('Natural Gas Prices'!$B$3:$B$22,'Natural Gas Prices'!$B$27:$B$55)</c:f>
              <c:numCache>
                <c:formatCode>General</c:formatCode>
                <c:ptCount val="4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  <c:pt idx="24">
                  <c:v>2026</c:v>
                </c:pt>
                <c:pt idx="25">
                  <c:v>2027</c:v>
                </c:pt>
                <c:pt idx="26">
                  <c:v>2028</c:v>
                </c:pt>
                <c:pt idx="27">
                  <c:v>2029</c:v>
                </c:pt>
                <c:pt idx="28">
                  <c:v>2030</c:v>
                </c:pt>
                <c:pt idx="29">
                  <c:v>2031</c:v>
                </c:pt>
                <c:pt idx="30">
                  <c:v>2032</c:v>
                </c:pt>
                <c:pt idx="31">
                  <c:v>2033</c:v>
                </c:pt>
                <c:pt idx="32">
                  <c:v>2034</c:v>
                </c:pt>
                <c:pt idx="33">
                  <c:v>2035</c:v>
                </c:pt>
                <c:pt idx="34">
                  <c:v>2036</c:v>
                </c:pt>
                <c:pt idx="35">
                  <c:v>2037</c:v>
                </c:pt>
                <c:pt idx="36">
                  <c:v>2038</c:v>
                </c:pt>
                <c:pt idx="37">
                  <c:v>2039</c:v>
                </c:pt>
                <c:pt idx="38">
                  <c:v>2040</c:v>
                </c:pt>
                <c:pt idx="39">
                  <c:v>2041</c:v>
                </c:pt>
                <c:pt idx="40">
                  <c:v>2042</c:v>
                </c:pt>
                <c:pt idx="41">
                  <c:v>2043</c:v>
                </c:pt>
                <c:pt idx="42">
                  <c:v>2044</c:v>
                </c:pt>
                <c:pt idx="43">
                  <c:v>2045</c:v>
                </c:pt>
                <c:pt idx="44">
                  <c:v>2046</c:v>
                </c:pt>
                <c:pt idx="45">
                  <c:v>2047</c:v>
                </c:pt>
                <c:pt idx="46">
                  <c:v>2048</c:v>
                </c:pt>
                <c:pt idx="47">
                  <c:v>2049</c:v>
                </c:pt>
                <c:pt idx="48">
                  <c:v>2050</c:v>
                </c:pt>
              </c:numCache>
            </c:numRef>
          </c:cat>
          <c:val>
            <c:numRef>
              <c:f>('Natural Gas Prices'!$E$3:$E$22,'Natural Gas Prices'!$E$27:$E$55)</c:f>
              <c:numCache>
                <c:formatCode>General</c:formatCode>
                <c:ptCount val="49"/>
                <c:pt idx="0">
                  <c:v>3.96</c:v>
                </c:pt>
                <c:pt idx="1">
                  <c:v>3.38</c:v>
                </c:pt>
                <c:pt idx="2">
                  <c:v>5.47</c:v>
                </c:pt>
                <c:pt idx="3">
                  <c:v>5.89</c:v>
                </c:pt>
                <c:pt idx="4">
                  <c:v>8.69</c:v>
                </c:pt>
                <c:pt idx="5">
                  <c:v>6.73</c:v>
                </c:pt>
                <c:pt idx="6">
                  <c:v>6.97</c:v>
                </c:pt>
                <c:pt idx="7">
                  <c:v>8.86</c:v>
                </c:pt>
                <c:pt idx="8">
                  <c:v>3.94</c:v>
                </c:pt>
                <c:pt idx="9">
                  <c:v>4.37</c:v>
                </c:pt>
                <c:pt idx="10">
                  <c:v>4</c:v>
                </c:pt>
                <c:pt idx="11">
                  <c:v>2.75</c:v>
                </c:pt>
                <c:pt idx="12">
                  <c:v>3.73</c:v>
                </c:pt>
                <c:pt idx="13">
                  <c:v>4.37</c:v>
                </c:pt>
                <c:pt idx="14">
                  <c:v>2.62</c:v>
                </c:pt>
                <c:pt idx="15">
                  <c:v>2.52</c:v>
                </c:pt>
                <c:pt idx="16">
                  <c:v>2.99</c:v>
                </c:pt>
                <c:pt idx="17">
                  <c:v>3.15</c:v>
                </c:pt>
                <c:pt idx="18">
                  <c:v>2.56</c:v>
                </c:pt>
                <c:pt idx="19">
                  <c:v>2.0299999999999998</c:v>
                </c:pt>
                <c:pt idx="20" formatCode="0.00">
                  <c:v>7.1819588984960454</c:v>
                </c:pt>
                <c:pt idx="21" formatCode="0.00">
                  <c:v>6.1846437613646419</c:v>
                </c:pt>
                <c:pt idx="22" formatCode="0.00">
                  <c:v>4.672403698255903</c:v>
                </c:pt>
                <c:pt idx="23" formatCode="0.00">
                  <c:v>4.3445242138202138</c:v>
                </c:pt>
                <c:pt idx="24" formatCode="0.00">
                  <c:v>4.1534135710561708</c:v>
                </c:pt>
                <c:pt idx="25" formatCode="0.00">
                  <c:v>3.9623029282921283</c:v>
                </c:pt>
                <c:pt idx="26" formatCode="0.00">
                  <c:v>3.7711922855280857</c:v>
                </c:pt>
                <c:pt idx="27" formatCode="0.00">
                  <c:v>3.5800816427640432</c:v>
                </c:pt>
                <c:pt idx="28" formatCode="0.00">
                  <c:v>3.3889710000000002</c:v>
                </c:pt>
                <c:pt idx="29" formatCode="0.00">
                  <c:v>3.4544480000000002</c:v>
                </c:pt>
                <c:pt idx="30" formatCode="0.00">
                  <c:v>3.4918580000000001</c:v>
                </c:pt>
                <c:pt idx="31" formatCode="0.00">
                  <c:v>3.5932900000000001</c:v>
                </c:pt>
                <c:pt idx="32" formatCode="0.00">
                  <c:v>3.5941529999999999</c:v>
                </c:pt>
                <c:pt idx="33" formatCode="0.00">
                  <c:v>3.5243639999999998</c:v>
                </c:pt>
                <c:pt idx="34" formatCode="0.00">
                  <c:v>3.4853049999999999</c:v>
                </c:pt>
                <c:pt idx="35" formatCode="0.00">
                  <c:v>3.4869300000000001</c:v>
                </c:pt>
                <c:pt idx="36" formatCode="0.00">
                  <c:v>3.5182699999999998</c:v>
                </c:pt>
                <c:pt idx="37" formatCode="0.00">
                  <c:v>3.5456129999999999</c:v>
                </c:pt>
                <c:pt idx="38" formatCode="0.00">
                  <c:v>3.577658</c:v>
                </c:pt>
                <c:pt idx="39" formatCode="0.00">
                  <c:v>3.6346500000000002</c:v>
                </c:pt>
                <c:pt idx="40" formatCode="0.00">
                  <c:v>3.6520290000000002</c:v>
                </c:pt>
                <c:pt idx="41" formatCode="0.00">
                  <c:v>3.5895619999999999</c:v>
                </c:pt>
                <c:pt idx="42" formatCode="0.00">
                  <c:v>3.5611259999999998</c:v>
                </c:pt>
                <c:pt idx="43" formatCode="0.00">
                  <c:v>3.4696760000000002</c:v>
                </c:pt>
                <c:pt idx="44" formatCode="0.00">
                  <c:v>3.4253659999999999</c:v>
                </c:pt>
                <c:pt idx="45" formatCode="0.00">
                  <c:v>3.400315</c:v>
                </c:pt>
                <c:pt idx="46" formatCode="0.00">
                  <c:v>3.3924319999999999</c:v>
                </c:pt>
                <c:pt idx="47" formatCode="0.00">
                  <c:v>3.4035679999999999</c:v>
                </c:pt>
                <c:pt idx="48" formatCode="0.00">
                  <c:v>3.4095119999999999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C02-4B8A-A05A-AD4BC5B2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9912784"/>
        <c:axId val="-209909520"/>
      </c:lineChart>
      <c:catAx>
        <c:axId val="-20991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909520"/>
        <c:crosses val="autoZero"/>
        <c:auto val="1"/>
        <c:lblAlgn val="ctr"/>
        <c:lblOffset val="100"/>
        <c:noMultiLvlLbl val="0"/>
      </c:catAx>
      <c:valAx>
        <c:axId val="-20990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91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23</xdr:row>
      <xdr:rowOff>33336</xdr:rowOff>
    </xdr:from>
    <xdr:to>
      <xdr:col>21</xdr:col>
      <xdr:colOff>419100</xdr:colOff>
      <xdr:row>45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BF7FA67F-37E3-41D4-B8BF-CC0611857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lley/Dropbox%20(Energy%20Innovation)/PC%20(2)/Documents/GitHub_Repositories/eps-us/InputData/fuels/BFPaT/BAU%20Fuel%20Prices%20and%20Tax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texas/InputData/fuels/BFPaT/BAU%20Fuel%20Prices%20and%20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 2022 2"/>
      <sheetName val="AEO 2021 2"/>
      <sheetName val="Gas Futures"/>
      <sheetName val="Henry Hub Historicals"/>
      <sheetName val="NG Sector Price Historicals"/>
      <sheetName val="Historical Monthly Gas Cons"/>
      <sheetName val="NG Calcs"/>
      <sheetName val="AEO 2022 3"/>
      <sheetName val="AEO 2021 3"/>
      <sheetName val="AEO 2022 12"/>
      <sheetName val="AEO 2021 12"/>
      <sheetName val="AEO 2022 57"/>
      <sheetName val="AEO 2021 57"/>
      <sheetName val="AEO Table 57"/>
      <sheetName val="STEO"/>
      <sheetName val="Hard Coal and Lig Multipliers"/>
      <sheetName val="Hydrogen"/>
      <sheetName val="Other Fuels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geothermal"/>
      <sheetName val="BFPaT-pretax-lignite"/>
      <sheetName val="BFPaT-pretax-crude"/>
      <sheetName val="BFPaT-pretax-heavyfueloil"/>
      <sheetName val="BFPaT-pretax-lpgpropbut"/>
      <sheetName val="BFPaT-pretax-msw"/>
      <sheetName val="BFPaT-pretax-hydrogen"/>
      <sheetName val="Summary_pretax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geothermal"/>
      <sheetName val="BFPaT-fueltax-lignite"/>
      <sheetName val="BFPaT-fueltax-crude"/>
      <sheetName val="BFPaT-fueltax-heavyfueloil"/>
      <sheetName val="BFPaT-fueltax-lpgpropbut"/>
      <sheetName val="BFPaT-fueltax-msw"/>
      <sheetName val="BFPaT-fueltax-hydrogen"/>
      <sheetName val="Summary_tax"/>
    </sheetNames>
    <sheetDataSet>
      <sheetData sheetId="0">
        <row r="103">
          <cell r="A103">
            <v>0.84730412960844359</v>
          </cell>
        </row>
        <row r="104">
          <cell r="A104">
            <v>0.88711067149387013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5">
          <cell r="N15">
            <v>0.92062879123815489</v>
          </cell>
        </row>
        <row r="16">
          <cell r="N16">
            <v>1.0036394752510358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Residential Sector"/>
      <sheetName val="Commercial Sector"/>
      <sheetName val="Industrial Sector"/>
      <sheetName val="Transportation Sector"/>
      <sheetName val="Electric Power Sector"/>
      <sheetName val="AEO Table 2"/>
      <sheetName val="AEO Table 3"/>
      <sheetName val="TX Natural Gas Prices"/>
      <sheetName val="TX Propane Prices"/>
      <sheetName val="TX Electricity Prices"/>
      <sheetName val="TX Petroleum Gasoline Prices"/>
      <sheetName val="TX Petroleum Diesel Prices"/>
      <sheetName val="TX Coal Prices"/>
      <sheetName val="TX_Multipliers"/>
      <sheetName val="AEO Table 12"/>
      <sheetName val="Coal Adjustment"/>
      <sheetName val="Hard Coal and Lig Multipliers"/>
      <sheetName val="Hydrogen"/>
      <sheetName val="Other Fuels"/>
      <sheetName val="AEO Table 58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lignite"/>
      <sheetName val="BFPaT-pretax-geothermal"/>
      <sheetName val="BFPaT-pretax-crude"/>
      <sheetName val="BFPaT-pretax-heavyfueloil"/>
      <sheetName val="BFPaT-pretax-lpgpropbut"/>
      <sheetName val="BFPaT-pretax-msw"/>
      <sheetName val="BFPaT-pretax-hydrogen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lignite"/>
      <sheetName val="BFPaT-fueltax-geothermal"/>
      <sheetName val="BFPaT-fueltax-crude"/>
      <sheetName val="BFPaT-fueltax-heavyfueloil"/>
      <sheetName val="BFPaT-fueltax-lpgpropbut"/>
      <sheetName val="BFPaT-fueltax-msw"/>
      <sheetName val="BFPaT-fueltax-hydrog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5">
          <cell r="N15">
            <v>1.5381124263436692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F16" sqref="F16"/>
    </sheetView>
  </sheetViews>
  <sheetFormatPr baseColWidth="10" defaultColWidth="9.140625" defaultRowHeight="15" x14ac:dyDescent="0.25"/>
  <cols>
    <col min="1" max="1" width="47.140625" customWidth="1"/>
    <col min="2" max="2" width="34.85546875" customWidth="1"/>
  </cols>
  <sheetData>
    <row r="1" spans="1:3" x14ac:dyDescent="0.25">
      <c r="A1" s="1" t="s">
        <v>40</v>
      </c>
    </row>
    <row r="3" spans="1:3" x14ac:dyDescent="0.25">
      <c r="A3" s="1" t="s">
        <v>0</v>
      </c>
      <c r="B3" s="7" t="s">
        <v>69</v>
      </c>
    </row>
    <row r="4" spans="1:3" x14ac:dyDescent="0.25">
      <c r="A4" s="1" t="s">
        <v>1575</v>
      </c>
      <c r="B4" s="7"/>
    </row>
    <row r="5" spans="1:3" x14ac:dyDescent="0.25">
      <c r="A5" s="1"/>
      <c r="B5" s="7" t="s">
        <v>1576</v>
      </c>
      <c r="C5" t="s">
        <v>1390</v>
      </c>
    </row>
    <row r="6" spans="1:3" x14ac:dyDescent="0.25">
      <c r="A6" s="1"/>
      <c r="B6" s="7" t="s">
        <v>1577</v>
      </c>
      <c r="C6" t="s">
        <v>1573</v>
      </c>
    </row>
    <row r="7" spans="1:3" x14ac:dyDescent="0.25">
      <c r="A7" s="1"/>
      <c r="B7" s="7" t="s">
        <v>1579</v>
      </c>
      <c r="C7" t="s">
        <v>1578</v>
      </c>
    </row>
    <row r="8" spans="1:3" x14ac:dyDescent="0.25">
      <c r="B8" s="2" t="s">
        <v>1582</v>
      </c>
      <c r="C8" t="s">
        <v>1586</v>
      </c>
    </row>
    <row r="9" spans="1:3" x14ac:dyDescent="0.25">
      <c r="A9" s="1" t="s">
        <v>1</v>
      </c>
    </row>
    <row r="10" spans="1:3" x14ac:dyDescent="0.25">
      <c r="A10" t="s">
        <v>16</v>
      </c>
    </row>
    <row r="11" spans="1:3" x14ac:dyDescent="0.25">
      <c r="A11" t="s">
        <v>17</v>
      </c>
    </row>
    <row r="13" spans="1:3" x14ac:dyDescent="0.25">
      <c r="A13" t="s">
        <v>19</v>
      </c>
    </row>
    <row r="15" spans="1:3" x14ac:dyDescent="0.25">
      <c r="A15" t="s">
        <v>18</v>
      </c>
    </row>
    <row r="17" spans="1:2" x14ac:dyDescent="0.25">
      <c r="A17" s="1" t="s">
        <v>68</v>
      </c>
    </row>
    <row r="18" spans="1:2" x14ac:dyDescent="0.25">
      <c r="A18" t="s">
        <v>66</v>
      </c>
    </row>
    <row r="20" spans="1:2" x14ac:dyDescent="0.25">
      <c r="A20" s="1" t="s">
        <v>1607</v>
      </c>
    </row>
    <row r="21" spans="1:2" x14ac:dyDescent="0.25">
      <c r="A21" t="s">
        <v>1608</v>
      </c>
    </row>
    <row r="22" spans="1:2" x14ac:dyDescent="0.25">
      <c r="A22" t="s">
        <v>1640</v>
      </c>
    </row>
    <row r="23" spans="1:2" x14ac:dyDescent="0.25">
      <c r="A23" t="s">
        <v>1641</v>
      </c>
    </row>
    <row r="24" spans="1:2" x14ac:dyDescent="0.25">
      <c r="A24" t="s">
        <v>1642</v>
      </c>
    </row>
    <row r="25" spans="1:2" x14ac:dyDescent="0.25">
      <c r="A25" t="s">
        <v>1609</v>
      </c>
    </row>
    <row r="27" spans="1:2" x14ac:dyDescent="0.25">
      <c r="A27" t="s">
        <v>1597</v>
      </c>
      <c r="B27">
        <v>1.0369999999999999</v>
      </c>
    </row>
    <row r="28" spans="1:2" x14ac:dyDescent="0.25">
      <c r="A28" t="s">
        <v>1605</v>
      </c>
      <c r="B28">
        <v>0.88700000000000001</v>
      </c>
    </row>
    <row r="29" spans="1:2" x14ac:dyDescent="0.25">
      <c r="A29" t="s">
        <v>1632</v>
      </c>
      <c r="B29">
        <f>0.847</f>
        <v>0.84699999999999998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7"/>
  <sheetViews>
    <sheetView workbookViewId="0">
      <selection activeCell="A10" sqref="A10"/>
    </sheetView>
  </sheetViews>
  <sheetFormatPr baseColWidth="10" defaultColWidth="9.140625" defaultRowHeight="15" x14ac:dyDescent="0.25"/>
  <cols>
    <col min="1" max="1" width="44.28515625" customWidth="1"/>
  </cols>
  <sheetData>
    <row r="1" spans="1:37" x14ac:dyDescent="0.25">
      <c r="A1" t="s">
        <v>1574</v>
      </c>
    </row>
    <row r="2" spans="1:37" x14ac:dyDescent="0.25">
      <c r="A2" t="s">
        <v>1573</v>
      </c>
    </row>
    <row r="3" spans="1:37" x14ac:dyDescent="0.25">
      <c r="A3" t="s">
        <v>1572</v>
      </c>
    </row>
    <row r="4" spans="1:37" x14ac:dyDescent="0.25">
      <c r="A4" t="s">
        <v>1392</v>
      </c>
    </row>
    <row r="5" spans="1:37" x14ac:dyDescent="0.25">
      <c r="B5" t="s">
        <v>1393</v>
      </c>
      <c r="C5" t="s">
        <v>1394</v>
      </c>
      <c r="D5" t="s">
        <v>1395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1396</v>
      </c>
    </row>
    <row r="6" spans="1:37" x14ac:dyDescent="0.25">
      <c r="A6" t="s">
        <v>1571</v>
      </c>
      <c r="C6" t="s">
        <v>1570</v>
      </c>
    </row>
    <row r="7" spans="1:37" x14ac:dyDescent="0.25">
      <c r="A7" t="s">
        <v>1569</v>
      </c>
      <c r="B7" t="s">
        <v>1568</v>
      </c>
      <c r="C7" t="s">
        <v>1567</v>
      </c>
      <c r="D7" t="s">
        <v>1402</v>
      </c>
      <c r="F7">
        <v>33.890735999999997</v>
      </c>
      <c r="G7">
        <v>32.309691999999998</v>
      </c>
      <c r="H7">
        <v>32.780650999999999</v>
      </c>
      <c r="I7">
        <v>34.022060000000003</v>
      </c>
      <c r="J7">
        <v>34.964745000000001</v>
      </c>
      <c r="K7">
        <v>36.261744999999998</v>
      </c>
      <c r="L7">
        <v>36.885249999999999</v>
      </c>
      <c r="M7">
        <v>37.021377999999999</v>
      </c>
      <c r="N7">
        <v>37.196350000000002</v>
      </c>
      <c r="O7">
        <v>37.544429999999998</v>
      </c>
      <c r="P7">
        <v>37.881168000000002</v>
      </c>
      <c r="Q7">
        <v>38.134372999999997</v>
      </c>
      <c r="R7">
        <v>38.298533999999997</v>
      </c>
      <c r="S7">
        <v>38.468994000000002</v>
      </c>
      <c r="T7">
        <v>38.611877</v>
      </c>
      <c r="U7">
        <v>38.613323000000001</v>
      </c>
      <c r="V7">
        <v>38.774208000000002</v>
      </c>
      <c r="W7">
        <v>38.983142999999998</v>
      </c>
      <c r="X7">
        <v>39.289341</v>
      </c>
      <c r="Y7">
        <v>39.585915</v>
      </c>
      <c r="Z7">
        <v>39.916763000000003</v>
      </c>
      <c r="AA7">
        <v>40.111533999999999</v>
      </c>
      <c r="AB7">
        <v>40.487704999999998</v>
      </c>
      <c r="AC7">
        <v>40.920616000000003</v>
      </c>
      <c r="AD7">
        <v>41.286839000000001</v>
      </c>
      <c r="AE7">
        <v>41.538970999999997</v>
      </c>
      <c r="AF7">
        <v>41.804253000000003</v>
      </c>
      <c r="AG7">
        <v>42.065693000000003</v>
      </c>
      <c r="AH7">
        <v>42.392257999999998</v>
      </c>
      <c r="AI7">
        <v>42.658816999999999</v>
      </c>
      <c r="AJ7">
        <v>42.992820999999999</v>
      </c>
      <c r="AK7" s="9">
        <v>8.0000000000000002E-3</v>
      </c>
    </row>
    <row r="8" spans="1:37" x14ac:dyDescent="0.25">
      <c r="A8" t="s">
        <v>1566</v>
      </c>
      <c r="B8" t="s">
        <v>1565</v>
      </c>
      <c r="C8" t="s">
        <v>1564</v>
      </c>
      <c r="D8" t="s">
        <v>1402</v>
      </c>
      <c r="F8">
        <v>6.5350000000000005E-2</v>
      </c>
      <c r="G8">
        <v>6.0940000000000001E-2</v>
      </c>
      <c r="H8">
        <v>6.1171999999999997E-2</v>
      </c>
      <c r="I8">
        <v>6.1404E-2</v>
      </c>
      <c r="J8">
        <v>6.1636000000000003E-2</v>
      </c>
      <c r="K8">
        <v>6.1866999999999998E-2</v>
      </c>
      <c r="L8">
        <v>6.2099000000000001E-2</v>
      </c>
      <c r="M8">
        <v>6.2099000000000001E-2</v>
      </c>
      <c r="N8">
        <v>6.2099000000000001E-2</v>
      </c>
      <c r="O8">
        <v>6.2099000000000001E-2</v>
      </c>
      <c r="P8">
        <v>6.2099000000000001E-2</v>
      </c>
      <c r="Q8">
        <v>6.2099000000000001E-2</v>
      </c>
      <c r="R8">
        <v>6.2099000000000001E-2</v>
      </c>
      <c r="S8">
        <v>6.2099000000000001E-2</v>
      </c>
      <c r="T8">
        <v>6.2099000000000001E-2</v>
      </c>
      <c r="U8">
        <v>6.2099000000000001E-2</v>
      </c>
      <c r="V8">
        <v>6.2099000000000001E-2</v>
      </c>
      <c r="W8">
        <v>6.2099000000000001E-2</v>
      </c>
      <c r="X8">
        <v>6.2099000000000001E-2</v>
      </c>
      <c r="Y8">
        <v>6.2099000000000001E-2</v>
      </c>
      <c r="Z8">
        <v>6.2099000000000001E-2</v>
      </c>
      <c r="AA8">
        <v>6.2099000000000001E-2</v>
      </c>
      <c r="AB8">
        <v>6.2099000000000001E-2</v>
      </c>
      <c r="AC8">
        <v>6.2099000000000001E-2</v>
      </c>
      <c r="AD8">
        <v>6.2099000000000001E-2</v>
      </c>
      <c r="AE8">
        <v>6.2099000000000001E-2</v>
      </c>
      <c r="AF8">
        <v>6.2099000000000001E-2</v>
      </c>
      <c r="AG8">
        <v>6.2099000000000001E-2</v>
      </c>
      <c r="AH8">
        <v>6.2099000000000001E-2</v>
      </c>
      <c r="AI8">
        <v>6.2099000000000001E-2</v>
      </c>
      <c r="AJ8">
        <v>6.2099000000000001E-2</v>
      </c>
      <c r="AK8" s="9">
        <v>-2E-3</v>
      </c>
    </row>
    <row r="9" spans="1:37" x14ac:dyDescent="0.25">
      <c r="A9" t="s">
        <v>1425</v>
      </c>
      <c r="B9" t="s">
        <v>1563</v>
      </c>
      <c r="C9" t="s">
        <v>1562</v>
      </c>
      <c r="D9" t="s">
        <v>1402</v>
      </c>
      <c r="F9">
        <v>-2.6705510000000001</v>
      </c>
      <c r="G9">
        <v>-3.6498659999999998</v>
      </c>
      <c r="H9">
        <v>-3.8404180000000001</v>
      </c>
      <c r="I9">
        <v>-4.2436400000000001</v>
      </c>
      <c r="J9">
        <v>-4.8462230000000002</v>
      </c>
      <c r="K9">
        <v>-5.3206860000000002</v>
      </c>
      <c r="L9">
        <v>-5.5509170000000001</v>
      </c>
      <c r="M9">
        <v>-5.669797</v>
      </c>
      <c r="N9">
        <v>-5.930669</v>
      </c>
      <c r="O9">
        <v>-6.238175</v>
      </c>
      <c r="P9">
        <v>-6.6881560000000002</v>
      </c>
      <c r="Q9">
        <v>-6.812176</v>
      </c>
      <c r="R9">
        <v>-6.8923959999999997</v>
      </c>
      <c r="S9">
        <v>-7.0067969999999997</v>
      </c>
      <c r="T9">
        <v>-7.0293109999999999</v>
      </c>
      <c r="U9">
        <v>-7.0278879999999999</v>
      </c>
      <c r="V9">
        <v>-7.0642670000000001</v>
      </c>
      <c r="W9">
        <v>-7.0534689999999998</v>
      </c>
      <c r="X9">
        <v>-7.0463360000000002</v>
      </c>
      <c r="Y9">
        <v>-7.0602029999999996</v>
      </c>
      <c r="Z9">
        <v>-7.0926559999999998</v>
      </c>
      <c r="AA9">
        <v>-7.0837260000000004</v>
      </c>
      <c r="AB9">
        <v>-7.1271880000000003</v>
      </c>
      <c r="AC9">
        <v>-7.1652610000000001</v>
      </c>
      <c r="AD9">
        <v>-7.2373159999999999</v>
      </c>
      <c r="AE9">
        <v>-7.2476380000000002</v>
      </c>
      <c r="AF9">
        <v>-7.2954629999999998</v>
      </c>
      <c r="AG9">
        <v>-7.3286949999999997</v>
      </c>
      <c r="AH9">
        <v>-7.3930709999999999</v>
      </c>
      <c r="AI9">
        <v>-7.3881079999999999</v>
      </c>
      <c r="AJ9">
        <v>-7.4032249999999999</v>
      </c>
      <c r="AK9" s="9">
        <v>3.5000000000000003E-2</v>
      </c>
    </row>
    <row r="10" spans="1:37" x14ac:dyDescent="0.25">
      <c r="A10" t="s">
        <v>1561</v>
      </c>
      <c r="B10" t="s">
        <v>1560</v>
      </c>
      <c r="C10" t="s">
        <v>1559</v>
      </c>
      <c r="D10" t="s">
        <v>1402</v>
      </c>
      <c r="F10">
        <v>-0.42102899999999999</v>
      </c>
      <c r="G10">
        <v>-0.54625699999999999</v>
      </c>
      <c r="H10">
        <v>-0.79140699999999997</v>
      </c>
      <c r="I10">
        <v>-1.1554990000000001</v>
      </c>
      <c r="J10">
        <v>-1.383807</v>
      </c>
      <c r="K10">
        <v>-1.301577</v>
      </c>
      <c r="L10">
        <v>-1.202922</v>
      </c>
      <c r="M10">
        <v>-1.321801</v>
      </c>
      <c r="N10">
        <v>-1.4705509999999999</v>
      </c>
      <c r="O10">
        <v>-1.590179</v>
      </c>
      <c r="P10">
        <v>-1.84016</v>
      </c>
      <c r="Q10">
        <v>-1.8641810000000001</v>
      </c>
      <c r="R10">
        <v>-1.932277</v>
      </c>
      <c r="S10">
        <v>-2.0588009999999999</v>
      </c>
      <c r="T10">
        <v>-2.081315</v>
      </c>
      <c r="U10">
        <v>-2.0798930000000002</v>
      </c>
      <c r="V10">
        <v>-2.1041479999999999</v>
      </c>
      <c r="W10">
        <v>-2.1054740000000001</v>
      </c>
      <c r="X10">
        <v>-2.0983399999999999</v>
      </c>
      <c r="Y10">
        <v>-2.1122070000000002</v>
      </c>
      <c r="Z10">
        <v>-2.132536</v>
      </c>
      <c r="AA10">
        <v>-2.1357300000000001</v>
      </c>
      <c r="AB10">
        <v>-2.179192</v>
      </c>
      <c r="AC10">
        <v>-2.2172649999999998</v>
      </c>
      <c r="AD10">
        <v>-2.2771970000000001</v>
      </c>
      <c r="AE10">
        <v>-2.299642</v>
      </c>
      <c r="AF10">
        <v>-2.347467</v>
      </c>
      <c r="AG10">
        <v>-2.3806989999999999</v>
      </c>
      <c r="AH10">
        <v>-2.4329519999999998</v>
      </c>
      <c r="AI10">
        <v>-2.4401120000000001</v>
      </c>
      <c r="AJ10">
        <v>-2.4552290000000001</v>
      </c>
      <c r="AK10" s="9">
        <v>6.0999999999999999E-2</v>
      </c>
    </row>
    <row r="11" spans="1:37" x14ac:dyDescent="0.25">
      <c r="A11" t="s">
        <v>1434</v>
      </c>
      <c r="B11" t="s">
        <v>1558</v>
      </c>
      <c r="C11" t="s">
        <v>1557</v>
      </c>
      <c r="D11" t="s">
        <v>1402</v>
      </c>
      <c r="F11">
        <v>-2.2495210000000001</v>
      </c>
      <c r="G11">
        <v>-3.1036100000000002</v>
      </c>
      <c r="H11">
        <v>-3.0490119999999998</v>
      </c>
      <c r="I11">
        <v>-3.0881400000000001</v>
      </c>
      <c r="J11">
        <v>-3.4624169999999999</v>
      </c>
      <c r="K11">
        <v>-4.0191090000000003</v>
      </c>
      <c r="L11">
        <v>-4.3479960000000002</v>
      </c>
      <c r="M11">
        <v>-4.3479960000000002</v>
      </c>
      <c r="N11">
        <v>-4.4601189999999997</v>
      </c>
      <c r="O11">
        <v>-4.647996</v>
      </c>
      <c r="P11">
        <v>-4.8479960000000002</v>
      </c>
      <c r="Q11">
        <v>-4.9479959999999998</v>
      </c>
      <c r="R11">
        <v>-4.9601189999999997</v>
      </c>
      <c r="S11">
        <v>-4.9479959999999998</v>
      </c>
      <c r="T11">
        <v>-4.9479959999999998</v>
      </c>
      <c r="U11">
        <v>-4.9479959999999998</v>
      </c>
      <c r="V11">
        <v>-4.9601189999999997</v>
      </c>
      <c r="W11">
        <v>-4.9479959999999998</v>
      </c>
      <c r="X11">
        <v>-4.9479959999999998</v>
      </c>
      <c r="Y11">
        <v>-4.9479959999999998</v>
      </c>
      <c r="Z11">
        <v>-4.9601189999999997</v>
      </c>
      <c r="AA11">
        <v>-4.9479959999999998</v>
      </c>
      <c r="AB11">
        <v>-4.9479959999999998</v>
      </c>
      <c r="AC11">
        <v>-4.9479959999999998</v>
      </c>
      <c r="AD11">
        <v>-4.9601189999999997</v>
      </c>
      <c r="AE11">
        <v>-4.9479959999999998</v>
      </c>
      <c r="AF11">
        <v>-4.9479959999999998</v>
      </c>
      <c r="AG11">
        <v>-4.9479959999999998</v>
      </c>
      <c r="AH11">
        <v>-4.9601189999999997</v>
      </c>
      <c r="AI11">
        <v>-4.9479959999999998</v>
      </c>
      <c r="AJ11">
        <v>-4.9479959999999998</v>
      </c>
      <c r="AK11" s="9">
        <v>2.7E-2</v>
      </c>
    </row>
    <row r="12" spans="1:37" x14ac:dyDescent="0.25">
      <c r="A12" t="s">
        <v>1556</v>
      </c>
      <c r="B12" t="s">
        <v>1555</v>
      </c>
      <c r="C12" t="s">
        <v>1554</v>
      </c>
      <c r="D12" t="s">
        <v>1402</v>
      </c>
      <c r="F12">
        <v>31.285533999999998</v>
      </c>
      <c r="G12">
        <v>28.720766000000001</v>
      </c>
      <c r="H12">
        <v>29.001405999999999</v>
      </c>
      <c r="I12">
        <v>29.839825000000001</v>
      </c>
      <c r="J12">
        <v>30.180154999999999</v>
      </c>
      <c r="K12">
        <v>31.002925999999999</v>
      </c>
      <c r="L12">
        <v>31.396432999999998</v>
      </c>
      <c r="M12">
        <v>31.413681</v>
      </c>
      <c r="N12">
        <v>31.327780000000001</v>
      </c>
      <c r="O12">
        <v>31.368355000000001</v>
      </c>
      <c r="P12">
        <v>31.255112</v>
      </c>
      <c r="Q12">
        <v>31.384295999999999</v>
      </c>
      <c r="R12">
        <v>31.468239000000001</v>
      </c>
      <c r="S12">
        <v>31.524296</v>
      </c>
      <c r="T12">
        <v>31.644665</v>
      </c>
      <c r="U12">
        <v>31.647532999999999</v>
      </c>
      <c r="V12">
        <v>31.772041000000002</v>
      </c>
      <c r="W12">
        <v>31.991773999999999</v>
      </c>
      <c r="X12">
        <v>32.305103000000003</v>
      </c>
      <c r="Y12">
        <v>32.587811000000002</v>
      </c>
      <c r="Z12">
        <v>32.886208000000003</v>
      </c>
      <c r="AA12">
        <v>33.089908999999999</v>
      </c>
      <c r="AB12">
        <v>33.422615</v>
      </c>
      <c r="AC12">
        <v>33.817455000000002</v>
      </c>
      <c r="AD12">
        <v>34.111621999999997</v>
      </c>
      <c r="AE12">
        <v>34.353431999999998</v>
      </c>
      <c r="AF12">
        <v>34.570889000000001</v>
      </c>
      <c r="AG12">
        <v>34.799098999999998</v>
      </c>
      <c r="AH12">
        <v>35.061287</v>
      </c>
      <c r="AI12">
        <v>35.332808999999997</v>
      </c>
      <c r="AJ12">
        <v>35.651694999999997</v>
      </c>
      <c r="AK12" s="9">
        <v>4.0000000000000001E-3</v>
      </c>
    </row>
    <row r="13" spans="1:37" x14ac:dyDescent="0.25">
      <c r="A13" t="s">
        <v>1553</v>
      </c>
      <c r="B13" t="s">
        <v>1552</v>
      </c>
      <c r="C13" t="s">
        <v>1551</v>
      </c>
      <c r="D13" t="s">
        <v>1402</v>
      </c>
      <c r="F13">
        <v>30.759627999999999</v>
      </c>
      <c r="G13">
        <v>28.969814</v>
      </c>
      <c r="H13">
        <v>29.133206999999999</v>
      </c>
      <c r="I13">
        <v>29.864118999999999</v>
      </c>
      <c r="J13">
        <v>30.095409</v>
      </c>
      <c r="K13">
        <v>30.814250999999999</v>
      </c>
      <c r="L13">
        <v>31.112348999999998</v>
      </c>
      <c r="M13">
        <v>31.129002</v>
      </c>
      <c r="N13">
        <v>31.027622000000001</v>
      </c>
      <c r="O13">
        <v>31.079346000000001</v>
      </c>
      <c r="P13">
        <v>30.969501000000001</v>
      </c>
      <c r="Q13">
        <v>31.118366000000002</v>
      </c>
      <c r="R13">
        <v>31.182736999999999</v>
      </c>
      <c r="S13">
        <v>31.255699</v>
      </c>
      <c r="T13">
        <v>31.386862000000001</v>
      </c>
      <c r="U13">
        <v>31.384893000000002</v>
      </c>
      <c r="V13">
        <v>31.516622999999999</v>
      </c>
      <c r="W13">
        <v>31.740518999999999</v>
      </c>
      <c r="X13">
        <v>32.048031000000002</v>
      </c>
      <c r="Y13">
        <v>32.346977000000003</v>
      </c>
      <c r="Z13">
        <v>32.653407999999999</v>
      </c>
      <c r="AA13">
        <v>32.848422999999997</v>
      </c>
      <c r="AB13">
        <v>33.185111999999997</v>
      </c>
      <c r="AC13">
        <v>33.583419999999997</v>
      </c>
      <c r="AD13">
        <v>33.875362000000003</v>
      </c>
      <c r="AE13">
        <v>34.116329</v>
      </c>
      <c r="AF13">
        <v>34.339633999999997</v>
      </c>
      <c r="AG13">
        <v>34.553958999999999</v>
      </c>
      <c r="AH13">
        <v>34.812854999999999</v>
      </c>
      <c r="AI13">
        <v>35.075023999999999</v>
      </c>
      <c r="AJ13">
        <v>35.391342000000002</v>
      </c>
      <c r="AK13" s="9">
        <v>5.0000000000000001E-3</v>
      </c>
    </row>
    <row r="14" spans="1:37" x14ac:dyDescent="0.25">
      <c r="A14" t="s">
        <v>1488</v>
      </c>
      <c r="B14" t="s">
        <v>1550</v>
      </c>
      <c r="C14" t="s">
        <v>1549</v>
      </c>
      <c r="D14" t="s">
        <v>1402</v>
      </c>
      <c r="F14">
        <v>4.7828200000000001</v>
      </c>
      <c r="G14">
        <v>4.6596570000000002</v>
      </c>
      <c r="H14">
        <v>4.7915460000000003</v>
      </c>
      <c r="I14">
        <v>4.7841259999999997</v>
      </c>
      <c r="J14">
        <v>4.785736</v>
      </c>
      <c r="K14">
        <v>4.781549</v>
      </c>
      <c r="L14">
        <v>4.7701289999999998</v>
      </c>
      <c r="M14">
        <v>4.757244</v>
      </c>
      <c r="N14">
        <v>4.7461719999999996</v>
      </c>
      <c r="O14">
        <v>4.7354560000000001</v>
      </c>
      <c r="P14">
        <v>4.7196879999999997</v>
      </c>
      <c r="Q14">
        <v>4.7082889999999997</v>
      </c>
      <c r="R14">
        <v>4.6997609999999996</v>
      </c>
      <c r="S14">
        <v>4.6915529999999999</v>
      </c>
      <c r="T14">
        <v>4.683408</v>
      </c>
      <c r="U14">
        <v>4.6777740000000003</v>
      </c>
      <c r="V14">
        <v>4.6733390000000004</v>
      </c>
      <c r="W14">
        <v>4.6689809999999996</v>
      </c>
      <c r="X14">
        <v>4.6649589999999996</v>
      </c>
      <c r="Y14">
        <v>4.6612280000000004</v>
      </c>
      <c r="Z14">
        <v>4.6592630000000002</v>
      </c>
      <c r="AA14">
        <v>4.6572339999999999</v>
      </c>
      <c r="AB14">
        <v>4.6556470000000001</v>
      </c>
      <c r="AC14">
        <v>4.6542440000000003</v>
      </c>
      <c r="AD14">
        <v>4.6538490000000001</v>
      </c>
      <c r="AE14">
        <v>4.6528790000000004</v>
      </c>
      <c r="AF14">
        <v>4.6522269999999999</v>
      </c>
      <c r="AG14">
        <v>4.6506920000000003</v>
      </c>
      <c r="AH14">
        <v>4.64872</v>
      </c>
      <c r="AI14">
        <v>4.6455820000000001</v>
      </c>
      <c r="AJ14">
        <v>4.6423579999999998</v>
      </c>
      <c r="AK14" s="9">
        <v>-1E-3</v>
      </c>
    </row>
    <row r="15" spans="1:37" x14ac:dyDescent="0.25">
      <c r="A15" t="s">
        <v>1485</v>
      </c>
      <c r="B15" t="s">
        <v>1548</v>
      </c>
      <c r="C15" t="s">
        <v>1547</v>
      </c>
      <c r="D15" t="s">
        <v>1402</v>
      </c>
      <c r="F15">
        <v>3.1886800000000002</v>
      </c>
      <c r="G15">
        <v>3.2936350000000001</v>
      </c>
      <c r="H15">
        <v>3.2661410000000002</v>
      </c>
      <c r="I15">
        <v>3.3721369999999999</v>
      </c>
      <c r="J15">
        <v>3.4352849999999999</v>
      </c>
      <c r="K15">
        <v>3.4919349999999998</v>
      </c>
      <c r="L15">
        <v>3.4982850000000001</v>
      </c>
      <c r="M15">
        <v>3.5002629999999999</v>
      </c>
      <c r="N15">
        <v>3.5014189999999998</v>
      </c>
      <c r="O15">
        <v>3.50007</v>
      </c>
      <c r="P15">
        <v>3.491981</v>
      </c>
      <c r="Q15">
        <v>3.4930289999999999</v>
      </c>
      <c r="R15">
        <v>3.4980329999999999</v>
      </c>
      <c r="S15">
        <v>3.502732</v>
      </c>
      <c r="T15">
        <v>3.5068510000000002</v>
      </c>
      <c r="U15">
        <v>3.513099</v>
      </c>
      <c r="V15">
        <v>3.520664</v>
      </c>
      <c r="W15">
        <v>3.5274679999999998</v>
      </c>
      <c r="X15">
        <v>3.5332309999999998</v>
      </c>
      <c r="Y15">
        <v>3.5384099999999998</v>
      </c>
      <c r="Z15">
        <v>3.5444360000000001</v>
      </c>
      <c r="AA15">
        <v>3.5514359999999998</v>
      </c>
      <c r="AB15">
        <v>3.5586980000000001</v>
      </c>
      <c r="AC15">
        <v>3.56541</v>
      </c>
      <c r="AD15">
        <v>3.5726580000000001</v>
      </c>
      <c r="AE15">
        <v>3.5780470000000002</v>
      </c>
      <c r="AF15">
        <v>3.5831460000000002</v>
      </c>
      <c r="AG15">
        <v>3.5866889999999998</v>
      </c>
      <c r="AH15">
        <v>3.5889899999999999</v>
      </c>
      <c r="AI15">
        <v>3.5895890000000001</v>
      </c>
      <c r="AJ15">
        <v>3.5891899999999999</v>
      </c>
      <c r="AK15" s="9">
        <v>4.0000000000000001E-3</v>
      </c>
    </row>
    <row r="16" spans="1:37" x14ac:dyDescent="0.25">
      <c r="A16" t="s">
        <v>1482</v>
      </c>
      <c r="B16" t="s">
        <v>1546</v>
      </c>
      <c r="C16" t="s">
        <v>1545</v>
      </c>
      <c r="D16" t="s">
        <v>1402</v>
      </c>
      <c r="F16">
        <v>10.307473999999999</v>
      </c>
      <c r="G16">
        <v>10.324541999999999</v>
      </c>
      <c r="H16">
        <v>10.423318999999999</v>
      </c>
      <c r="I16">
        <v>10.710521</v>
      </c>
      <c r="J16">
        <v>11.029292</v>
      </c>
      <c r="K16">
        <v>11.326619000000001</v>
      </c>
      <c r="L16">
        <v>11.520507</v>
      </c>
      <c r="M16">
        <v>11.549958</v>
      </c>
      <c r="N16">
        <v>11.634205</v>
      </c>
      <c r="O16">
        <v>11.729107000000001</v>
      </c>
      <c r="P16">
        <v>11.808909999999999</v>
      </c>
      <c r="Q16">
        <v>11.905671999999999</v>
      </c>
      <c r="R16">
        <v>11.966723</v>
      </c>
      <c r="S16">
        <v>12.03717</v>
      </c>
      <c r="T16">
        <v>12.138468</v>
      </c>
      <c r="U16">
        <v>12.221152999999999</v>
      </c>
      <c r="V16">
        <v>12.301403000000001</v>
      </c>
      <c r="W16">
        <v>12.389917000000001</v>
      </c>
      <c r="X16">
        <v>12.489611999999999</v>
      </c>
      <c r="Y16">
        <v>12.605134</v>
      </c>
      <c r="Z16">
        <v>12.706348999999999</v>
      </c>
      <c r="AA16">
        <v>12.799595</v>
      </c>
      <c r="AB16">
        <v>12.950118</v>
      </c>
      <c r="AC16">
        <v>13.115741999999999</v>
      </c>
      <c r="AD16">
        <v>13.225972000000001</v>
      </c>
      <c r="AE16">
        <v>13.295372</v>
      </c>
      <c r="AF16">
        <v>13.432309999999999</v>
      </c>
      <c r="AG16">
        <v>13.543573</v>
      </c>
      <c r="AH16">
        <v>13.651255000000001</v>
      </c>
      <c r="AI16">
        <v>13.769857</v>
      </c>
      <c r="AJ16">
        <v>13.904431000000001</v>
      </c>
      <c r="AK16" s="9">
        <v>0.01</v>
      </c>
    </row>
    <row r="17" spans="1:39" x14ac:dyDescent="0.25">
      <c r="A17" t="s">
        <v>1544</v>
      </c>
      <c r="B17" t="s">
        <v>1543</v>
      </c>
      <c r="C17" t="s">
        <v>1542</v>
      </c>
      <c r="D17" t="s">
        <v>1402</v>
      </c>
      <c r="F17">
        <v>8.1618849999999998</v>
      </c>
      <c r="G17">
        <v>8.1039750000000002</v>
      </c>
      <c r="H17">
        <v>8.1403680000000005</v>
      </c>
      <c r="I17">
        <v>8.3639980000000005</v>
      </c>
      <c r="J17">
        <v>8.6115490000000001</v>
      </c>
      <c r="K17">
        <v>8.7746980000000008</v>
      </c>
      <c r="L17">
        <v>8.8861930000000005</v>
      </c>
      <c r="M17">
        <v>8.9008660000000006</v>
      </c>
      <c r="N17">
        <v>8.9501279999999994</v>
      </c>
      <c r="O17">
        <v>8.9996840000000002</v>
      </c>
      <c r="P17">
        <v>9.019031</v>
      </c>
      <c r="Q17">
        <v>9.0754999999999999</v>
      </c>
      <c r="R17">
        <v>9.1153150000000007</v>
      </c>
      <c r="S17">
        <v>9.1527189999999994</v>
      </c>
      <c r="T17">
        <v>9.2304589999999997</v>
      </c>
      <c r="U17">
        <v>9.3119289999999992</v>
      </c>
      <c r="V17">
        <v>9.3895350000000004</v>
      </c>
      <c r="W17">
        <v>9.4713440000000002</v>
      </c>
      <c r="X17">
        <v>9.5639219999999998</v>
      </c>
      <c r="Y17">
        <v>9.6614810000000002</v>
      </c>
      <c r="Z17">
        <v>9.7406179999999996</v>
      </c>
      <c r="AA17">
        <v>9.8215620000000001</v>
      </c>
      <c r="AB17">
        <v>9.945354</v>
      </c>
      <c r="AC17">
        <v>10.071958</v>
      </c>
      <c r="AD17">
        <v>10.160589</v>
      </c>
      <c r="AE17">
        <v>10.231680000000001</v>
      </c>
      <c r="AF17">
        <v>10.348585</v>
      </c>
      <c r="AG17">
        <v>10.451378999999999</v>
      </c>
      <c r="AH17">
        <v>10.545999999999999</v>
      </c>
      <c r="AI17">
        <v>10.665246</v>
      </c>
      <c r="AJ17">
        <v>10.796975</v>
      </c>
      <c r="AK17" s="9">
        <v>8.9999999999999993E-3</v>
      </c>
    </row>
    <row r="18" spans="1:39" x14ac:dyDescent="0.25">
      <c r="A18" t="s">
        <v>1541</v>
      </c>
      <c r="B18" t="s">
        <v>1540</v>
      </c>
      <c r="C18" t="s">
        <v>1539</v>
      </c>
      <c r="D18" t="s">
        <v>1402</v>
      </c>
      <c r="F18">
        <v>1.798462</v>
      </c>
      <c r="G18">
        <v>1.7432259999999999</v>
      </c>
      <c r="H18">
        <v>1.813852</v>
      </c>
      <c r="I18">
        <v>1.871607</v>
      </c>
      <c r="J18">
        <v>1.8867400000000001</v>
      </c>
      <c r="K18">
        <v>1.9374670000000001</v>
      </c>
      <c r="L18">
        <v>1.9705790000000001</v>
      </c>
      <c r="M18">
        <v>1.985358</v>
      </c>
      <c r="N18">
        <v>2.0035249999999998</v>
      </c>
      <c r="O18">
        <v>2.0206879999999998</v>
      </c>
      <c r="P18">
        <v>2.0511460000000001</v>
      </c>
      <c r="Q18">
        <v>2.076438</v>
      </c>
      <c r="R18">
        <v>2.0958549999999998</v>
      </c>
      <c r="S18">
        <v>2.1307170000000002</v>
      </c>
      <c r="T18">
        <v>2.154274</v>
      </c>
      <c r="U18">
        <v>2.1554899999999999</v>
      </c>
      <c r="V18">
        <v>2.1563159999999999</v>
      </c>
      <c r="W18">
        <v>2.1648390000000002</v>
      </c>
      <c r="X18">
        <v>2.1719550000000001</v>
      </c>
      <c r="Y18">
        <v>2.189918</v>
      </c>
      <c r="Z18">
        <v>2.2101799999999998</v>
      </c>
      <c r="AA18">
        <v>2.2242980000000001</v>
      </c>
      <c r="AB18">
        <v>2.2510300000000001</v>
      </c>
      <c r="AC18">
        <v>2.2900489999999998</v>
      </c>
      <c r="AD18">
        <v>2.3098299999999998</v>
      </c>
      <c r="AE18">
        <v>2.309958</v>
      </c>
      <c r="AF18">
        <v>2.3299910000000001</v>
      </c>
      <c r="AG18">
        <v>2.3384589999999998</v>
      </c>
      <c r="AH18">
        <v>2.3497020000000002</v>
      </c>
      <c r="AI18">
        <v>2.3508770000000001</v>
      </c>
      <c r="AJ18">
        <v>2.3537210000000002</v>
      </c>
      <c r="AK18" s="9">
        <v>8.9999999999999993E-3</v>
      </c>
    </row>
    <row r="19" spans="1:39" x14ac:dyDescent="0.25">
      <c r="A19" t="s">
        <v>1538</v>
      </c>
      <c r="B19" t="s">
        <v>1537</v>
      </c>
      <c r="C19" t="s">
        <v>1536</v>
      </c>
      <c r="D19" t="s">
        <v>1402</v>
      </c>
      <c r="F19">
        <v>0.34712700000000002</v>
      </c>
      <c r="G19">
        <v>0.47734100000000002</v>
      </c>
      <c r="H19">
        <v>0.46909800000000001</v>
      </c>
      <c r="I19">
        <v>0.474914</v>
      </c>
      <c r="J19">
        <v>0.531003</v>
      </c>
      <c r="K19">
        <v>0.61445399999999994</v>
      </c>
      <c r="L19">
        <v>0.66373400000000005</v>
      </c>
      <c r="M19">
        <v>0.66373400000000005</v>
      </c>
      <c r="N19">
        <v>0.68055299999999996</v>
      </c>
      <c r="O19">
        <v>0.70873399999999998</v>
      </c>
      <c r="P19">
        <v>0.738734</v>
      </c>
      <c r="Q19">
        <v>0.75373400000000002</v>
      </c>
      <c r="R19">
        <v>0.75555300000000003</v>
      </c>
      <c r="S19">
        <v>0.75373400000000002</v>
      </c>
      <c r="T19">
        <v>0.75373400000000002</v>
      </c>
      <c r="U19">
        <v>0.75373400000000002</v>
      </c>
      <c r="V19">
        <v>0.75555300000000003</v>
      </c>
      <c r="W19">
        <v>0.75373400000000002</v>
      </c>
      <c r="X19">
        <v>0.75373400000000002</v>
      </c>
      <c r="Y19">
        <v>0.75373400000000002</v>
      </c>
      <c r="Z19">
        <v>0.75555300000000003</v>
      </c>
      <c r="AA19">
        <v>0.75373400000000002</v>
      </c>
      <c r="AB19">
        <v>0.75373400000000002</v>
      </c>
      <c r="AC19">
        <v>0.75373400000000002</v>
      </c>
      <c r="AD19">
        <v>0.75555300000000003</v>
      </c>
      <c r="AE19">
        <v>0.75373400000000002</v>
      </c>
      <c r="AF19">
        <v>0.75373400000000002</v>
      </c>
      <c r="AG19">
        <v>0.75373400000000002</v>
      </c>
      <c r="AH19">
        <v>0.75555300000000003</v>
      </c>
      <c r="AI19">
        <v>0.75373400000000002</v>
      </c>
      <c r="AJ19">
        <v>0.75373400000000002</v>
      </c>
      <c r="AK19" s="9">
        <v>2.5999999999999999E-2</v>
      </c>
    </row>
    <row r="20" spans="1:39" x14ac:dyDescent="0.25">
      <c r="A20" t="s">
        <v>1535</v>
      </c>
      <c r="B20" t="s">
        <v>1534</v>
      </c>
      <c r="C20" t="s">
        <v>1533</v>
      </c>
      <c r="D20" t="s">
        <v>1402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1409</v>
      </c>
    </row>
    <row r="21" spans="1:39" x14ac:dyDescent="0.25">
      <c r="A21" t="s">
        <v>1532</v>
      </c>
      <c r="B21" t="s">
        <v>1531</v>
      </c>
      <c r="C21" t="s">
        <v>1530</v>
      </c>
      <c r="D21" t="s">
        <v>1402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1409</v>
      </c>
    </row>
    <row r="22" spans="1:39" x14ac:dyDescent="0.25">
      <c r="A22" t="s">
        <v>65</v>
      </c>
      <c r="B22" t="s">
        <v>1529</v>
      </c>
      <c r="C22" t="s">
        <v>1528</v>
      </c>
      <c r="D22" t="s">
        <v>1402</v>
      </c>
      <c r="F22">
        <v>0.76573500000000005</v>
      </c>
      <c r="G22">
        <v>0.84382599999999996</v>
      </c>
      <c r="H22">
        <v>0.82471700000000003</v>
      </c>
      <c r="I22">
        <v>0.79586000000000001</v>
      </c>
      <c r="J22">
        <v>0.76708799999999999</v>
      </c>
      <c r="K22">
        <v>0.765038</v>
      </c>
      <c r="L22">
        <v>0.73088399999999998</v>
      </c>
      <c r="M22">
        <v>0.73413499999999998</v>
      </c>
      <c r="N22">
        <v>0.74223300000000003</v>
      </c>
      <c r="O22">
        <v>0.75042900000000001</v>
      </c>
      <c r="P22">
        <v>0.747803</v>
      </c>
      <c r="Q22">
        <v>0.763764</v>
      </c>
      <c r="R22">
        <v>0.77973899999999996</v>
      </c>
      <c r="S22">
        <v>0.79238399999999998</v>
      </c>
      <c r="T22">
        <v>0.80547199999999997</v>
      </c>
      <c r="U22">
        <v>0.82133400000000001</v>
      </c>
      <c r="V22">
        <v>0.83460100000000004</v>
      </c>
      <c r="W22">
        <v>0.84880500000000003</v>
      </c>
      <c r="X22">
        <v>0.86659399999999998</v>
      </c>
      <c r="Y22">
        <v>0.88106499999999999</v>
      </c>
      <c r="Z22">
        <v>0.90939300000000001</v>
      </c>
      <c r="AA22">
        <v>0.92513000000000001</v>
      </c>
      <c r="AB22">
        <v>0.94975399999999999</v>
      </c>
      <c r="AC22">
        <v>0.97280999999999995</v>
      </c>
      <c r="AD22">
        <v>0.996973</v>
      </c>
      <c r="AE22">
        <v>1.013085</v>
      </c>
      <c r="AF22">
        <v>1.0396270000000001</v>
      </c>
      <c r="AG22">
        <v>1.060481</v>
      </c>
      <c r="AH22">
        <v>1.0802970000000001</v>
      </c>
      <c r="AI22">
        <v>1.1021570000000001</v>
      </c>
      <c r="AJ22">
        <v>1.126101</v>
      </c>
      <c r="AK22" s="9">
        <v>1.2999999999999999E-2</v>
      </c>
    </row>
    <row r="23" spans="1:39" x14ac:dyDescent="0.25">
      <c r="A23" t="s">
        <v>1527</v>
      </c>
      <c r="B23" t="s">
        <v>1526</v>
      </c>
      <c r="C23" t="s">
        <v>1525</v>
      </c>
      <c r="D23" t="s">
        <v>1524</v>
      </c>
      <c r="E23" t="s">
        <v>1523</v>
      </c>
      <c r="F23" t="s">
        <v>1402</v>
      </c>
      <c r="H23">
        <v>8.4655999999999995E-2</v>
      </c>
      <c r="I23">
        <v>0.10911700000000001</v>
      </c>
      <c r="J23">
        <v>9.5128000000000004E-2</v>
      </c>
      <c r="K23">
        <v>0.103537</v>
      </c>
      <c r="L23">
        <v>0.11100500000000001</v>
      </c>
      <c r="M23">
        <v>0.12385699999999999</v>
      </c>
      <c r="N23">
        <v>0.129723</v>
      </c>
      <c r="O23">
        <v>0.13825100000000001</v>
      </c>
      <c r="P23">
        <v>0.14740500000000001</v>
      </c>
      <c r="Q23">
        <v>0.15612899999999999</v>
      </c>
      <c r="R23">
        <v>0.158139</v>
      </c>
      <c r="S23">
        <v>0.17291799999999999</v>
      </c>
      <c r="T23">
        <v>0.18391399999999999</v>
      </c>
      <c r="U23">
        <v>0.194109</v>
      </c>
      <c r="V23">
        <v>0.20510900000000001</v>
      </c>
      <c r="W23">
        <v>0.216278</v>
      </c>
      <c r="X23">
        <v>0.226467</v>
      </c>
      <c r="Y23">
        <v>0.23658199999999999</v>
      </c>
      <c r="Z23">
        <v>0.24970899999999999</v>
      </c>
      <c r="AA23">
        <v>0.26006699999999999</v>
      </c>
      <c r="AB23">
        <v>0.28187600000000002</v>
      </c>
      <c r="AC23">
        <v>0.29385099999999997</v>
      </c>
      <c r="AD23">
        <v>0.31305300000000003</v>
      </c>
      <c r="AE23">
        <v>0.32849600000000001</v>
      </c>
      <c r="AF23">
        <v>0.34504200000000002</v>
      </c>
      <c r="AG23">
        <v>0.356012</v>
      </c>
      <c r="AH23">
        <v>0.37489600000000001</v>
      </c>
      <c r="AI23">
        <v>0.39149600000000001</v>
      </c>
      <c r="AJ23">
        <v>0.40564299999999998</v>
      </c>
      <c r="AK23">
        <v>0.42072300000000001</v>
      </c>
      <c r="AL23">
        <v>0.43700800000000001</v>
      </c>
      <c r="AM23" s="9">
        <v>5.6000000000000001E-2</v>
      </c>
    </row>
    <row r="24" spans="1:39" x14ac:dyDescent="0.25">
      <c r="A24" t="s">
        <v>1522</v>
      </c>
      <c r="B24" t="s">
        <v>1521</v>
      </c>
      <c r="C24" t="s">
        <v>1520</v>
      </c>
      <c r="D24" t="s">
        <v>1402</v>
      </c>
      <c r="F24">
        <v>0.68107899999999999</v>
      </c>
      <c r="G24">
        <v>0.73470899999999995</v>
      </c>
      <c r="H24">
        <v>0.72958900000000004</v>
      </c>
      <c r="I24">
        <v>0.69232300000000002</v>
      </c>
      <c r="J24">
        <v>0.65608299999999997</v>
      </c>
      <c r="K24">
        <v>0.64117999999999997</v>
      </c>
      <c r="L24">
        <v>0.60116099999999995</v>
      </c>
      <c r="M24">
        <v>0.59588399999999997</v>
      </c>
      <c r="N24">
        <v>0.59482800000000002</v>
      </c>
      <c r="O24">
        <v>0.59430099999999997</v>
      </c>
      <c r="P24">
        <v>0.58966399999999997</v>
      </c>
      <c r="Q24">
        <v>0.59084599999999998</v>
      </c>
      <c r="R24">
        <v>0.59582500000000005</v>
      </c>
      <c r="S24">
        <v>0.59827600000000003</v>
      </c>
      <c r="T24">
        <v>0.60036299999999998</v>
      </c>
      <c r="U24">
        <v>0.60505600000000004</v>
      </c>
      <c r="V24">
        <v>0.60813499999999998</v>
      </c>
      <c r="W24">
        <v>0.61222299999999996</v>
      </c>
      <c r="X24">
        <v>0.61688500000000002</v>
      </c>
      <c r="Y24">
        <v>0.62099800000000005</v>
      </c>
      <c r="Z24">
        <v>0.62751800000000002</v>
      </c>
      <c r="AA24">
        <v>0.63127900000000003</v>
      </c>
      <c r="AB24">
        <v>0.63670099999999996</v>
      </c>
      <c r="AC24">
        <v>0.64431400000000005</v>
      </c>
      <c r="AD24">
        <v>0.65193100000000004</v>
      </c>
      <c r="AE24">
        <v>0.65707400000000005</v>
      </c>
      <c r="AF24">
        <v>0.66473099999999996</v>
      </c>
      <c r="AG24">
        <v>0.66898400000000002</v>
      </c>
      <c r="AH24">
        <v>0.67465399999999998</v>
      </c>
      <c r="AI24">
        <v>0.68143399999999998</v>
      </c>
      <c r="AJ24">
        <v>0.68909299999999996</v>
      </c>
      <c r="AK24" s="9">
        <v>0</v>
      </c>
    </row>
    <row r="25" spans="1:39" x14ac:dyDescent="0.25">
      <c r="A25" t="s">
        <v>1477</v>
      </c>
      <c r="B25" t="s">
        <v>1519</v>
      </c>
      <c r="C25" t="s">
        <v>1518</v>
      </c>
      <c r="D25" t="s">
        <v>1402</v>
      </c>
      <c r="F25">
        <v>11.714919999999999</v>
      </c>
      <c r="G25">
        <v>9.8481550000000002</v>
      </c>
      <c r="H25">
        <v>9.8274830000000009</v>
      </c>
      <c r="I25">
        <v>10.201473999999999</v>
      </c>
      <c r="J25">
        <v>10.078011999999999</v>
      </c>
      <c r="K25">
        <v>10.449108000000001</v>
      </c>
      <c r="L25">
        <v>10.592544</v>
      </c>
      <c r="M25">
        <v>10.587401</v>
      </c>
      <c r="N25">
        <v>10.403589999999999</v>
      </c>
      <c r="O25">
        <v>10.364284</v>
      </c>
      <c r="P25">
        <v>10.201119</v>
      </c>
      <c r="Q25">
        <v>10.247612999999999</v>
      </c>
      <c r="R25">
        <v>10.238481</v>
      </c>
      <c r="S25">
        <v>10.231859</v>
      </c>
      <c r="T25">
        <v>10.252663</v>
      </c>
      <c r="U25">
        <v>10.151533000000001</v>
      </c>
      <c r="V25">
        <v>10.186614000000001</v>
      </c>
      <c r="W25">
        <v>10.305348</v>
      </c>
      <c r="X25">
        <v>10.493639</v>
      </c>
      <c r="Y25">
        <v>10.661141000000001</v>
      </c>
      <c r="Z25">
        <v>10.833966</v>
      </c>
      <c r="AA25">
        <v>10.915029000000001</v>
      </c>
      <c r="AB25">
        <v>11.070893999999999</v>
      </c>
      <c r="AC25">
        <v>11.275214999999999</v>
      </c>
      <c r="AD25">
        <v>11.425905999999999</v>
      </c>
      <c r="AE25">
        <v>11.576945</v>
      </c>
      <c r="AF25">
        <v>11.632323</v>
      </c>
      <c r="AG25">
        <v>11.712527</v>
      </c>
      <c r="AH25">
        <v>11.843591999999999</v>
      </c>
      <c r="AI25">
        <v>11.967836</v>
      </c>
      <c r="AJ25">
        <v>12.12926</v>
      </c>
      <c r="AK25" s="9">
        <v>1E-3</v>
      </c>
    </row>
    <row r="26" spans="1:39" x14ac:dyDescent="0.25">
      <c r="A26" t="s">
        <v>1517</v>
      </c>
      <c r="B26" t="s">
        <v>1516</v>
      </c>
      <c r="C26" t="s">
        <v>1515</v>
      </c>
      <c r="D26" t="s">
        <v>1402</v>
      </c>
      <c r="F26">
        <v>0.52590599999999998</v>
      </c>
      <c r="G26">
        <v>-0.24904799999999999</v>
      </c>
      <c r="H26">
        <v>-0.131802</v>
      </c>
      <c r="I26">
        <v>-2.4294E-2</v>
      </c>
      <c r="J26">
        <v>8.4745000000000001E-2</v>
      </c>
      <c r="K26">
        <v>0.18867500000000001</v>
      </c>
      <c r="L26">
        <v>0.284084</v>
      </c>
      <c r="M26">
        <v>0.28467900000000002</v>
      </c>
      <c r="N26">
        <v>0.30015799999999998</v>
      </c>
      <c r="O26">
        <v>0.28900900000000002</v>
      </c>
      <c r="P26">
        <v>0.28560999999999998</v>
      </c>
      <c r="Q26">
        <v>0.26593</v>
      </c>
      <c r="R26">
        <v>0.285501</v>
      </c>
      <c r="S26">
        <v>0.26859699999999997</v>
      </c>
      <c r="T26">
        <v>0.257803</v>
      </c>
      <c r="U26">
        <v>0.26263999999999998</v>
      </c>
      <c r="V26">
        <v>0.25541900000000001</v>
      </c>
      <c r="W26">
        <v>0.25125500000000001</v>
      </c>
      <c r="X26">
        <v>0.25707200000000002</v>
      </c>
      <c r="Y26">
        <v>0.24083299999999999</v>
      </c>
      <c r="Z26">
        <v>0.23280000000000001</v>
      </c>
      <c r="AA26">
        <v>0.24148600000000001</v>
      </c>
      <c r="AB26">
        <v>0.23750299999999999</v>
      </c>
      <c r="AC26">
        <v>0.23403499999999999</v>
      </c>
      <c r="AD26">
        <v>0.236259</v>
      </c>
      <c r="AE26">
        <v>0.23710300000000001</v>
      </c>
      <c r="AF26">
        <v>0.23125499999999999</v>
      </c>
      <c r="AG26">
        <v>0.24514</v>
      </c>
      <c r="AH26">
        <v>0.24843199999999999</v>
      </c>
      <c r="AI26">
        <v>0.25778600000000002</v>
      </c>
      <c r="AJ26">
        <v>0.260353</v>
      </c>
      <c r="AK26" t="s">
        <v>1409</v>
      </c>
    </row>
    <row r="27" spans="1:39" x14ac:dyDescent="0.25">
      <c r="A27" t="s">
        <v>1514</v>
      </c>
      <c r="C27" t="s">
        <v>1513</v>
      </c>
    </row>
    <row r="28" spans="1:39" s="10" customFormat="1" x14ac:dyDescent="0.25">
      <c r="A28" s="10" t="s">
        <v>1498</v>
      </c>
      <c r="C28" s="10" t="s">
        <v>1512</v>
      </c>
    </row>
    <row r="29" spans="1:39" s="10" customFormat="1" x14ac:dyDescent="0.25">
      <c r="A29" s="10" t="s">
        <v>1511</v>
      </c>
      <c r="B29" s="10" t="s">
        <v>1495</v>
      </c>
      <c r="C29" s="10" t="s">
        <v>1510</v>
      </c>
      <c r="D29" s="10" t="s">
        <v>1509</v>
      </c>
      <c r="F29" s="10">
        <v>2.0664720000000001</v>
      </c>
      <c r="G29" s="10">
        <v>3.10073</v>
      </c>
      <c r="H29" s="10">
        <v>3.2256840000000002</v>
      </c>
      <c r="I29" s="10">
        <v>2.992324</v>
      </c>
      <c r="J29" s="10">
        <v>2.8017919999999998</v>
      </c>
      <c r="K29" s="10">
        <v>2.8803239999999999</v>
      </c>
      <c r="L29" s="10">
        <v>2.9843310000000001</v>
      </c>
      <c r="M29" s="10">
        <v>3.042141</v>
      </c>
      <c r="N29" s="10">
        <v>3.1755100000000001</v>
      </c>
      <c r="O29" s="10">
        <v>3.2906309999999999</v>
      </c>
      <c r="P29" s="10">
        <v>3.3439549999999998</v>
      </c>
      <c r="Q29" s="10">
        <v>3.3584839999999998</v>
      </c>
      <c r="R29" s="10">
        <v>3.4230429999999998</v>
      </c>
      <c r="S29" s="10">
        <v>3.4872100000000001</v>
      </c>
      <c r="T29" s="10">
        <v>3.5170400000000002</v>
      </c>
      <c r="U29" s="10">
        <v>3.5326979999999999</v>
      </c>
      <c r="V29" s="10">
        <v>3.5373169999999998</v>
      </c>
      <c r="W29" s="10">
        <v>3.5283199999999999</v>
      </c>
      <c r="X29" s="10">
        <v>3.5497399999999999</v>
      </c>
      <c r="Y29" s="10">
        <v>3.5503559999999998</v>
      </c>
      <c r="Z29" s="10">
        <v>3.5492530000000002</v>
      </c>
      <c r="AA29" s="10">
        <v>3.549023</v>
      </c>
      <c r="AB29" s="10">
        <v>3.5287259999999998</v>
      </c>
      <c r="AC29" s="10">
        <v>3.5056509999999999</v>
      </c>
      <c r="AD29" s="10">
        <v>3.5018690000000001</v>
      </c>
      <c r="AE29" s="10">
        <v>3.5076990000000001</v>
      </c>
      <c r="AF29" s="10">
        <v>3.521007</v>
      </c>
      <c r="AG29" s="10">
        <v>3.547183</v>
      </c>
      <c r="AH29" s="10">
        <v>3.5962100000000001</v>
      </c>
      <c r="AI29" s="10">
        <v>3.6540050000000002</v>
      </c>
      <c r="AJ29" s="10">
        <v>3.6939389999999999</v>
      </c>
      <c r="AK29" s="11">
        <v>0.02</v>
      </c>
    </row>
    <row r="30" spans="1:39" x14ac:dyDescent="0.25">
      <c r="A30" t="s">
        <v>1492</v>
      </c>
      <c r="C30" t="s">
        <v>1508</v>
      </c>
    </row>
    <row r="31" spans="1:39" x14ac:dyDescent="0.25">
      <c r="A31" t="s">
        <v>1507</v>
      </c>
      <c r="C31" t="s">
        <v>1506</v>
      </c>
    </row>
    <row r="32" spans="1:39" x14ac:dyDescent="0.25">
      <c r="A32" t="s">
        <v>1488</v>
      </c>
      <c r="B32" t="s">
        <v>1487</v>
      </c>
      <c r="C32" t="s">
        <v>1505</v>
      </c>
      <c r="D32" t="s">
        <v>1499</v>
      </c>
      <c r="F32">
        <v>10.537243</v>
      </c>
      <c r="G32">
        <v>10.814795</v>
      </c>
      <c r="H32">
        <v>10.740482</v>
      </c>
      <c r="I32">
        <v>10.613196</v>
      </c>
      <c r="J32">
        <v>10.451302999999999</v>
      </c>
      <c r="K32">
        <v>10.547084</v>
      </c>
      <c r="L32">
        <v>10.694221000000001</v>
      </c>
      <c r="M32">
        <v>10.79739</v>
      </c>
      <c r="N32">
        <v>10.914479</v>
      </c>
      <c r="O32">
        <v>11.055099999999999</v>
      </c>
      <c r="P32">
        <v>11.419860999999999</v>
      </c>
      <c r="Q32">
        <v>11.468187</v>
      </c>
      <c r="R32">
        <v>11.564026</v>
      </c>
      <c r="S32">
        <v>11.677168999999999</v>
      </c>
      <c r="T32">
        <v>11.745335000000001</v>
      </c>
      <c r="U32">
        <v>11.781732</v>
      </c>
      <c r="V32">
        <v>11.798117</v>
      </c>
      <c r="W32">
        <v>11.826159000000001</v>
      </c>
      <c r="X32">
        <v>11.858226</v>
      </c>
      <c r="Y32">
        <v>11.879637000000001</v>
      </c>
      <c r="Z32">
        <v>11.886778</v>
      </c>
      <c r="AA32">
        <v>11.912520000000001</v>
      </c>
      <c r="AB32">
        <v>11.921177999999999</v>
      </c>
      <c r="AC32">
        <v>11.935447</v>
      </c>
      <c r="AD32">
        <v>11.940625000000001</v>
      </c>
      <c r="AE32">
        <v>11.975809</v>
      </c>
      <c r="AF32">
        <v>11.995084</v>
      </c>
      <c r="AG32">
        <v>12.039871</v>
      </c>
      <c r="AH32">
        <v>12.087629</v>
      </c>
      <c r="AI32">
        <v>12.154814999999999</v>
      </c>
      <c r="AJ32">
        <v>12.216571</v>
      </c>
      <c r="AK32" s="9">
        <v>5.0000000000000001E-3</v>
      </c>
    </row>
    <row r="33" spans="1:37" x14ac:dyDescent="0.25">
      <c r="A33" t="s">
        <v>1485</v>
      </c>
      <c r="B33" t="s">
        <v>1484</v>
      </c>
      <c r="C33" t="s">
        <v>1504</v>
      </c>
      <c r="D33" t="s">
        <v>1499</v>
      </c>
      <c r="F33">
        <v>7.5093370000000004</v>
      </c>
      <c r="G33">
        <v>7.9501090000000003</v>
      </c>
      <c r="H33">
        <v>8.1958029999999997</v>
      </c>
      <c r="I33">
        <v>8.0214400000000001</v>
      </c>
      <c r="J33">
        <v>7.8327049999999998</v>
      </c>
      <c r="K33">
        <v>7.89473</v>
      </c>
      <c r="L33">
        <v>8.0045040000000007</v>
      </c>
      <c r="M33">
        <v>8.0688379999999995</v>
      </c>
      <c r="N33">
        <v>8.1513819999999999</v>
      </c>
      <c r="O33">
        <v>8.2593589999999999</v>
      </c>
      <c r="P33">
        <v>8.5158529999999999</v>
      </c>
      <c r="Q33">
        <v>8.5267199999999992</v>
      </c>
      <c r="R33">
        <v>8.5830479999999998</v>
      </c>
      <c r="S33">
        <v>8.6709700000000005</v>
      </c>
      <c r="T33">
        <v>8.7190429999999992</v>
      </c>
      <c r="U33">
        <v>8.7387139999999999</v>
      </c>
      <c r="V33">
        <v>8.7404220000000006</v>
      </c>
      <c r="W33">
        <v>8.7539479999999994</v>
      </c>
      <c r="X33">
        <v>8.7719509999999996</v>
      </c>
      <c r="Y33">
        <v>8.7820269999999994</v>
      </c>
      <c r="Z33">
        <v>8.7799410000000009</v>
      </c>
      <c r="AA33">
        <v>8.7965230000000005</v>
      </c>
      <c r="AB33">
        <v>8.7956339999999997</v>
      </c>
      <c r="AC33">
        <v>8.8028099999999991</v>
      </c>
      <c r="AD33">
        <v>8.7995769999999993</v>
      </c>
      <c r="AE33">
        <v>8.826352</v>
      </c>
      <c r="AF33">
        <v>8.8384549999999997</v>
      </c>
      <c r="AG33">
        <v>8.8748339999999999</v>
      </c>
      <c r="AH33">
        <v>8.914612</v>
      </c>
      <c r="AI33">
        <v>8.9718979999999995</v>
      </c>
      <c r="AJ33">
        <v>9.0240930000000006</v>
      </c>
      <c r="AK33" s="9">
        <v>6.0000000000000001E-3</v>
      </c>
    </row>
    <row r="34" spans="1:37" x14ac:dyDescent="0.25">
      <c r="A34" t="s">
        <v>1482</v>
      </c>
      <c r="B34" t="s">
        <v>1481</v>
      </c>
      <c r="C34" t="s">
        <v>1503</v>
      </c>
      <c r="D34" t="s">
        <v>1499</v>
      </c>
      <c r="F34">
        <v>3.1803910000000002</v>
      </c>
      <c r="G34">
        <v>4.1628379999999998</v>
      </c>
      <c r="H34">
        <v>4.3145819999999997</v>
      </c>
      <c r="I34">
        <v>4.0836309999999996</v>
      </c>
      <c r="J34">
        <v>3.864322</v>
      </c>
      <c r="K34">
        <v>3.9276309999999999</v>
      </c>
      <c r="L34">
        <v>4.0262399999999996</v>
      </c>
      <c r="M34">
        <v>4.0895789999999996</v>
      </c>
      <c r="N34">
        <v>4.2145070000000002</v>
      </c>
      <c r="O34">
        <v>4.3296789999999996</v>
      </c>
      <c r="P34">
        <v>4.3615430000000002</v>
      </c>
      <c r="Q34">
        <v>4.3703729999999998</v>
      </c>
      <c r="R34">
        <v>4.4243309999999996</v>
      </c>
      <c r="S34">
        <v>4.4989980000000003</v>
      </c>
      <c r="T34">
        <v>4.5330599999999999</v>
      </c>
      <c r="U34">
        <v>4.5442790000000004</v>
      </c>
      <c r="V34">
        <v>4.544791</v>
      </c>
      <c r="W34">
        <v>4.5333449999999997</v>
      </c>
      <c r="X34">
        <v>4.5520339999999999</v>
      </c>
      <c r="Y34">
        <v>4.5447170000000003</v>
      </c>
      <c r="Z34">
        <v>4.5351119999999998</v>
      </c>
      <c r="AA34">
        <v>4.5316070000000002</v>
      </c>
      <c r="AB34">
        <v>4.5122200000000001</v>
      </c>
      <c r="AC34">
        <v>4.4946549999999998</v>
      </c>
      <c r="AD34">
        <v>4.4853909999999999</v>
      </c>
      <c r="AE34">
        <v>4.4928759999999999</v>
      </c>
      <c r="AF34">
        <v>4.4959610000000003</v>
      </c>
      <c r="AG34">
        <v>4.5189519999999996</v>
      </c>
      <c r="AH34">
        <v>4.5603069999999999</v>
      </c>
      <c r="AI34">
        <v>4.6158039999999998</v>
      </c>
      <c r="AJ34">
        <v>4.6554440000000001</v>
      </c>
      <c r="AK34" s="9">
        <v>1.2999999999999999E-2</v>
      </c>
    </row>
    <row r="35" spans="1:37" x14ac:dyDescent="0.25">
      <c r="A35" t="s">
        <v>65</v>
      </c>
      <c r="B35" t="s">
        <v>1479</v>
      </c>
      <c r="C35" t="s">
        <v>1502</v>
      </c>
      <c r="D35" t="s">
        <v>1499</v>
      </c>
      <c r="F35">
        <v>13.520962000000001</v>
      </c>
      <c r="G35">
        <v>14.078305</v>
      </c>
      <c r="H35">
        <v>14.653452</v>
      </c>
      <c r="I35">
        <v>14.196401</v>
      </c>
      <c r="J35">
        <v>13.728652</v>
      </c>
      <c r="K35">
        <v>13.486947000000001</v>
      </c>
      <c r="L35">
        <v>13.341523</v>
      </c>
      <c r="M35">
        <v>13.131707</v>
      </c>
      <c r="N35">
        <v>12.934259000000001</v>
      </c>
      <c r="O35">
        <v>12.743641</v>
      </c>
      <c r="P35">
        <v>13.253026</v>
      </c>
      <c r="Q35">
        <v>12.973546000000001</v>
      </c>
      <c r="R35">
        <v>12.892562</v>
      </c>
      <c r="S35">
        <v>12.762269999999999</v>
      </c>
      <c r="T35">
        <v>12.617708</v>
      </c>
      <c r="U35">
        <v>12.479836000000001</v>
      </c>
      <c r="V35">
        <v>12.351564</v>
      </c>
      <c r="W35">
        <v>12.229142</v>
      </c>
      <c r="X35">
        <v>12.174371000000001</v>
      </c>
      <c r="Y35">
        <v>12.077762999999999</v>
      </c>
      <c r="Z35">
        <v>12.032022</v>
      </c>
      <c r="AA35">
        <v>11.955648</v>
      </c>
      <c r="AB35">
        <v>11.891679999999999</v>
      </c>
      <c r="AC35">
        <v>11.826577</v>
      </c>
      <c r="AD35">
        <v>11.777018</v>
      </c>
      <c r="AE35">
        <v>11.745801</v>
      </c>
      <c r="AF35">
        <v>11.726257</v>
      </c>
      <c r="AG35">
        <v>11.724689</v>
      </c>
      <c r="AH35">
        <v>11.734484999999999</v>
      </c>
      <c r="AI35">
        <v>11.769066</v>
      </c>
      <c r="AJ35">
        <v>11.790224</v>
      </c>
      <c r="AK35" s="9">
        <v>-5.0000000000000001E-3</v>
      </c>
    </row>
    <row r="36" spans="1:37" x14ac:dyDescent="0.25">
      <c r="A36" t="s">
        <v>1477</v>
      </c>
      <c r="B36" t="s">
        <v>1476</v>
      </c>
      <c r="C36" t="s">
        <v>1501</v>
      </c>
      <c r="D36" t="s">
        <v>1499</v>
      </c>
      <c r="F36">
        <v>2.530745</v>
      </c>
      <c r="G36">
        <v>3.6192600000000001</v>
      </c>
      <c r="H36">
        <v>3.7269389999999998</v>
      </c>
      <c r="I36">
        <v>3.4879039999999999</v>
      </c>
      <c r="J36">
        <v>3.256875</v>
      </c>
      <c r="K36">
        <v>3.348767</v>
      </c>
      <c r="L36">
        <v>3.4396969999999998</v>
      </c>
      <c r="M36">
        <v>3.485474</v>
      </c>
      <c r="N36">
        <v>3.600854</v>
      </c>
      <c r="O36">
        <v>3.7083179999999998</v>
      </c>
      <c r="P36">
        <v>3.7326009999999998</v>
      </c>
      <c r="Q36">
        <v>3.7307839999999999</v>
      </c>
      <c r="R36">
        <v>3.78701</v>
      </c>
      <c r="S36">
        <v>3.8567580000000001</v>
      </c>
      <c r="T36">
        <v>3.8913760000000002</v>
      </c>
      <c r="U36">
        <v>3.8916210000000002</v>
      </c>
      <c r="V36">
        <v>3.8939499999999998</v>
      </c>
      <c r="W36">
        <v>3.8731439999999999</v>
      </c>
      <c r="X36">
        <v>3.9030930000000001</v>
      </c>
      <c r="Y36">
        <v>3.9013990000000001</v>
      </c>
      <c r="Z36">
        <v>3.900083</v>
      </c>
      <c r="AA36">
        <v>3.8898239999999999</v>
      </c>
      <c r="AB36">
        <v>3.8751120000000001</v>
      </c>
      <c r="AC36">
        <v>3.8588330000000002</v>
      </c>
      <c r="AD36">
        <v>3.8585120000000002</v>
      </c>
      <c r="AE36">
        <v>3.8660420000000002</v>
      </c>
      <c r="AF36">
        <v>3.8704269999999998</v>
      </c>
      <c r="AG36">
        <v>3.890644</v>
      </c>
      <c r="AH36">
        <v>3.9403090000000001</v>
      </c>
      <c r="AI36">
        <v>3.9919549999999999</v>
      </c>
      <c r="AJ36">
        <v>4.0341889999999996</v>
      </c>
      <c r="AK36" s="9">
        <v>1.6E-2</v>
      </c>
    </row>
    <row r="37" spans="1:37" x14ac:dyDescent="0.25">
      <c r="A37" t="s">
        <v>1474</v>
      </c>
      <c r="B37" t="s">
        <v>1473</v>
      </c>
      <c r="C37" t="s">
        <v>1500</v>
      </c>
      <c r="D37" t="s">
        <v>1499</v>
      </c>
      <c r="F37">
        <v>4.6935580000000003</v>
      </c>
      <c r="G37">
        <v>5.6690399999999999</v>
      </c>
      <c r="H37">
        <v>5.7945489999999999</v>
      </c>
      <c r="I37">
        <v>5.5551050000000002</v>
      </c>
      <c r="J37">
        <v>5.3487049999999998</v>
      </c>
      <c r="K37">
        <v>5.3983829999999999</v>
      </c>
      <c r="L37">
        <v>5.4864059999999997</v>
      </c>
      <c r="M37">
        <v>5.548413</v>
      </c>
      <c r="N37">
        <v>5.6728079999999999</v>
      </c>
      <c r="O37">
        <v>5.7872279999999998</v>
      </c>
      <c r="P37">
        <v>5.9123320000000001</v>
      </c>
      <c r="Q37">
        <v>5.9173239999999998</v>
      </c>
      <c r="R37">
        <v>5.9786479999999997</v>
      </c>
      <c r="S37">
        <v>6.057963</v>
      </c>
      <c r="T37">
        <v>6.0937789999999996</v>
      </c>
      <c r="U37">
        <v>6.110519</v>
      </c>
      <c r="V37">
        <v>6.1084420000000001</v>
      </c>
      <c r="W37">
        <v>6.0904819999999997</v>
      </c>
      <c r="X37">
        <v>6.0976999999999997</v>
      </c>
      <c r="Y37">
        <v>6.0824199999999999</v>
      </c>
      <c r="Z37">
        <v>6.0667299999999997</v>
      </c>
      <c r="AA37">
        <v>6.0595220000000003</v>
      </c>
      <c r="AB37">
        <v>6.0344410000000002</v>
      </c>
      <c r="AC37">
        <v>6.0069749999999997</v>
      </c>
      <c r="AD37">
        <v>5.992235</v>
      </c>
      <c r="AE37">
        <v>5.9941170000000001</v>
      </c>
      <c r="AF37">
        <v>5.9952199999999998</v>
      </c>
      <c r="AG37">
        <v>6.0142730000000002</v>
      </c>
      <c r="AH37">
        <v>6.0480970000000003</v>
      </c>
      <c r="AI37">
        <v>6.0919460000000001</v>
      </c>
      <c r="AJ37">
        <v>6.1224230000000004</v>
      </c>
      <c r="AK37" s="9">
        <v>8.9999999999999993E-3</v>
      </c>
    </row>
    <row r="38" spans="1:37" x14ac:dyDescent="0.25">
      <c r="A38" t="s">
        <v>1498</v>
      </c>
      <c r="C38" t="s">
        <v>1497</v>
      </c>
    </row>
    <row r="39" spans="1:37" x14ac:dyDescent="0.25">
      <c r="A39" t="s">
        <v>1496</v>
      </c>
      <c r="B39" t="s">
        <v>1495</v>
      </c>
      <c r="C39" t="s">
        <v>1494</v>
      </c>
      <c r="D39" t="s">
        <v>1493</v>
      </c>
      <c r="F39">
        <v>2.0664720000000001</v>
      </c>
      <c r="G39">
        <v>3.133435</v>
      </c>
      <c r="H39">
        <v>3.297882</v>
      </c>
      <c r="I39">
        <v>3.1008550000000001</v>
      </c>
      <c r="J39">
        <v>2.952188</v>
      </c>
      <c r="K39">
        <v>3.098166</v>
      </c>
      <c r="L39">
        <v>3.2864629999999999</v>
      </c>
      <c r="M39">
        <v>3.4352130000000001</v>
      </c>
      <c r="N39">
        <v>3.6802649999999999</v>
      </c>
      <c r="O39">
        <v>3.9141859999999999</v>
      </c>
      <c r="P39">
        <v>4.0805949999999998</v>
      </c>
      <c r="Q39">
        <v>4.2010319999999997</v>
      </c>
      <c r="R39">
        <v>4.3856289999999998</v>
      </c>
      <c r="S39">
        <v>4.5721340000000001</v>
      </c>
      <c r="T39">
        <v>4.714931</v>
      </c>
      <c r="U39">
        <v>4.8403960000000001</v>
      </c>
      <c r="V39">
        <v>4.9512609999999997</v>
      </c>
      <c r="W39">
        <v>5.042459</v>
      </c>
      <c r="X39">
        <v>5.1795080000000002</v>
      </c>
      <c r="Y39">
        <v>5.2875819999999996</v>
      </c>
      <c r="Z39">
        <v>5.3977729999999999</v>
      </c>
      <c r="AA39">
        <v>5.5133020000000004</v>
      </c>
      <c r="AB39">
        <v>5.6022740000000004</v>
      </c>
      <c r="AC39">
        <v>5.6932799999999997</v>
      </c>
      <c r="AD39">
        <v>5.8228669999999996</v>
      </c>
      <c r="AE39">
        <v>5.9762490000000001</v>
      </c>
      <c r="AF39">
        <v>6.154725</v>
      </c>
      <c r="AG39">
        <v>6.3671150000000001</v>
      </c>
      <c r="AH39">
        <v>6.6333799999999998</v>
      </c>
      <c r="AI39">
        <v>6.9317679999999999</v>
      </c>
      <c r="AJ39">
        <v>7.2131030000000003</v>
      </c>
      <c r="AK39" s="9">
        <v>4.2999999999999997E-2</v>
      </c>
    </row>
    <row r="40" spans="1:37" x14ac:dyDescent="0.25">
      <c r="A40" t="s">
        <v>1492</v>
      </c>
      <c r="C40" t="s">
        <v>1491</v>
      </c>
    </row>
    <row r="41" spans="1:37" x14ac:dyDescent="0.25">
      <c r="A41" t="s">
        <v>1490</v>
      </c>
      <c r="C41" t="s">
        <v>1489</v>
      </c>
    </row>
    <row r="42" spans="1:37" x14ac:dyDescent="0.25">
      <c r="A42" t="s">
        <v>1488</v>
      </c>
      <c r="B42" t="s">
        <v>1487</v>
      </c>
      <c r="C42" t="s">
        <v>1486</v>
      </c>
      <c r="D42" t="s">
        <v>1471</v>
      </c>
      <c r="F42">
        <v>10.537243</v>
      </c>
      <c r="G42">
        <v>10.928864000000001</v>
      </c>
      <c r="H42">
        <v>10.980878000000001</v>
      </c>
      <c r="I42">
        <v>10.998132999999999</v>
      </c>
      <c r="J42">
        <v>11.012316</v>
      </c>
      <c r="K42">
        <v>11.344768999999999</v>
      </c>
      <c r="L42">
        <v>11.776897999999999</v>
      </c>
      <c r="M42">
        <v>12.19251</v>
      </c>
      <c r="N42">
        <v>12.64936</v>
      </c>
      <c r="O42">
        <v>13.149979999999999</v>
      </c>
      <c r="P42">
        <v>13.935544</v>
      </c>
      <c r="Q42">
        <v>14.345226</v>
      </c>
      <c r="R42">
        <v>14.815917000000001</v>
      </c>
      <c r="S42">
        <v>15.310114</v>
      </c>
      <c r="T42">
        <v>15.745749</v>
      </c>
      <c r="U42">
        <v>16.142973000000001</v>
      </c>
      <c r="V42">
        <v>16.514085999999999</v>
      </c>
      <c r="W42">
        <v>16.901222000000001</v>
      </c>
      <c r="X42">
        <v>17.302613999999998</v>
      </c>
      <c r="Y42">
        <v>17.692468999999999</v>
      </c>
      <c r="Z42">
        <v>18.077641</v>
      </c>
      <c r="AA42">
        <v>18.505747</v>
      </c>
      <c r="AB42">
        <v>18.926293999999999</v>
      </c>
      <c r="AC42">
        <v>19.383517999999999</v>
      </c>
      <c r="AD42">
        <v>19.854734000000001</v>
      </c>
      <c r="AE42">
        <v>20.403804999999998</v>
      </c>
      <c r="AF42">
        <v>20.967421000000002</v>
      </c>
      <c r="AG42">
        <v>21.6113</v>
      </c>
      <c r="AH42">
        <v>22.296206000000002</v>
      </c>
      <c r="AI42">
        <v>23.058088000000001</v>
      </c>
      <c r="AJ42">
        <v>23.855129000000002</v>
      </c>
      <c r="AK42" s="9">
        <v>2.8000000000000001E-2</v>
      </c>
    </row>
    <row r="43" spans="1:37" x14ac:dyDescent="0.25">
      <c r="A43" t="s">
        <v>1485</v>
      </c>
      <c r="B43" t="s">
        <v>1484</v>
      </c>
      <c r="C43" t="s">
        <v>1483</v>
      </c>
      <c r="D43" t="s">
        <v>1471</v>
      </c>
      <c r="F43">
        <v>7.5093370000000004</v>
      </c>
      <c r="G43">
        <v>8.033963</v>
      </c>
      <c r="H43">
        <v>8.3792430000000007</v>
      </c>
      <c r="I43">
        <v>8.3123740000000002</v>
      </c>
      <c r="J43">
        <v>8.2531540000000003</v>
      </c>
      <c r="K43">
        <v>8.491816</v>
      </c>
      <c r="L43">
        <v>8.8148759999999999</v>
      </c>
      <c r="M43">
        <v>9.1114040000000003</v>
      </c>
      <c r="N43">
        <v>9.4470620000000007</v>
      </c>
      <c r="O43">
        <v>9.8244609999999994</v>
      </c>
      <c r="P43">
        <v>10.39181</v>
      </c>
      <c r="Q43">
        <v>10.66583</v>
      </c>
      <c r="R43">
        <v>10.996665</v>
      </c>
      <c r="S43">
        <v>11.368639999999999</v>
      </c>
      <c r="T43">
        <v>11.688713</v>
      </c>
      <c r="U43">
        <v>11.973523</v>
      </c>
      <c r="V43">
        <v>12.234162</v>
      </c>
      <c r="W43">
        <v>12.510605999999999</v>
      </c>
      <c r="X43">
        <v>12.799357000000001</v>
      </c>
      <c r="Y43">
        <v>13.079166000000001</v>
      </c>
      <c r="Z43">
        <v>13.352703</v>
      </c>
      <c r="AA43">
        <v>13.665138000000001</v>
      </c>
      <c r="AB43">
        <v>13.964121</v>
      </c>
      <c r="AC43">
        <v>14.296023</v>
      </c>
      <c r="AD43">
        <v>14.631834</v>
      </c>
      <c r="AE43">
        <v>15.037912</v>
      </c>
      <c r="AF43">
        <v>15.449629</v>
      </c>
      <c r="AG43">
        <v>15.930128</v>
      </c>
      <c r="AH43">
        <v>16.443424</v>
      </c>
      <c r="AI43">
        <v>17.019991000000001</v>
      </c>
      <c r="AJ43">
        <v>17.621220000000001</v>
      </c>
      <c r="AK43" s="9">
        <v>2.9000000000000001E-2</v>
      </c>
    </row>
    <row r="44" spans="1:37" x14ac:dyDescent="0.25">
      <c r="A44" t="s">
        <v>1482</v>
      </c>
      <c r="B44" t="s">
        <v>1481</v>
      </c>
      <c r="C44" t="s">
        <v>1480</v>
      </c>
      <c r="D44" t="s">
        <v>1471</v>
      </c>
      <c r="F44">
        <v>3.1803910000000002</v>
      </c>
      <c r="G44">
        <v>4.2067449999999997</v>
      </c>
      <c r="H44">
        <v>4.4111520000000004</v>
      </c>
      <c r="I44">
        <v>4.2317429999999998</v>
      </c>
      <c r="J44">
        <v>4.0717540000000003</v>
      </c>
      <c r="K44">
        <v>4.2246810000000004</v>
      </c>
      <c r="L44">
        <v>4.4338550000000003</v>
      </c>
      <c r="M44">
        <v>4.6179899999999998</v>
      </c>
      <c r="N44">
        <v>4.8844120000000002</v>
      </c>
      <c r="O44">
        <v>5.1501279999999996</v>
      </c>
      <c r="P44">
        <v>5.3223469999999997</v>
      </c>
      <c r="Q44">
        <v>5.466774</v>
      </c>
      <c r="R44">
        <v>5.6684869999999998</v>
      </c>
      <c r="S44">
        <v>5.8987049999999996</v>
      </c>
      <c r="T44">
        <v>6.0770020000000002</v>
      </c>
      <c r="U44">
        <v>6.2264340000000002</v>
      </c>
      <c r="V44">
        <v>6.3614449999999998</v>
      </c>
      <c r="W44">
        <v>6.4787790000000003</v>
      </c>
      <c r="X44">
        <v>6.6419790000000001</v>
      </c>
      <c r="Y44">
        <v>6.7684949999999997</v>
      </c>
      <c r="Z44">
        <v>6.8970859999999998</v>
      </c>
      <c r="AA44">
        <v>7.0397169999999996</v>
      </c>
      <c r="AB44">
        <v>7.1636899999999999</v>
      </c>
      <c r="AC44">
        <v>7.2994529999999997</v>
      </c>
      <c r="AD44">
        <v>7.4582560000000004</v>
      </c>
      <c r="AE44">
        <v>7.6547460000000003</v>
      </c>
      <c r="AF44">
        <v>7.8589440000000002</v>
      </c>
      <c r="AG44">
        <v>8.1114180000000005</v>
      </c>
      <c r="AH44">
        <v>8.4117029999999993</v>
      </c>
      <c r="AI44">
        <v>8.7563340000000007</v>
      </c>
      <c r="AJ44">
        <v>9.0906219999999998</v>
      </c>
      <c r="AK44" s="9">
        <v>3.5999999999999997E-2</v>
      </c>
    </row>
    <row r="45" spans="1:37" x14ac:dyDescent="0.25">
      <c r="A45" t="s">
        <v>65</v>
      </c>
      <c r="B45" t="s">
        <v>1479</v>
      </c>
      <c r="C45" t="s">
        <v>1478</v>
      </c>
      <c r="D45" t="s">
        <v>1471</v>
      </c>
      <c r="F45">
        <v>13.520962000000001</v>
      </c>
      <c r="G45">
        <v>14.226796999999999</v>
      </c>
      <c r="H45">
        <v>14.981429</v>
      </c>
      <c r="I45">
        <v>14.7113</v>
      </c>
      <c r="J45">
        <v>14.465588</v>
      </c>
      <c r="K45">
        <v>14.506976999999999</v>
      </c>
      <c r="L45">
        <v>14.692211</v>
      </c>
      <c r="M45">
        <v>14.828442000000001</v>
      </c>
      <c r="N45">
        <v>14.990189000000001</v>
      </c>
      <c r="O45">
        <v>15.158488</v>
      </c>
      <c r="P45">
        <v>16.172536999999998</v>
      </c>
      <c r="Q45">
        <v>16.228237</v>
      </c>
      <c r="R45">
        <v>16.518045000000001</v>
      </c>
      <c r="S45">
        <v>16.732807000000001</v>
      </c>
      <c r="T45">
        <v>16.915248999999999</v>
      </c>
      <c r="U45">
        <v>17.099495000000001</v>
      </c>
      <c r="V45">
        <v>17.288758999999999</v>
      </c>
      <c r="W45">
        <v>17.477139999999999</v>
      </c>
      <c r="X45">
        <v>17.763908000000001</v>
      </c>
      <c r="Y45">
        <v>17.987539000000002</v>
      </c>
      <c r="Z45">
        <v>18.298531000000001</v>
      </c>
      <c r="AA45">
        <v>18.572744</v>
      </c>
      <c r="AB45">
        <v>18.879465</v>
      </c>
      <c r="AC45">
        <v>19.206713000000001</v>
      </c>
      <c r="AD45">
        <v>19.582688999999998</v>
      </c>
      <c r="AE45">
        <v>20.011928999999999</v>
      </c>
      <c r="AF45">
        <v>20.497513000000001</v>
      </c>
      <c r="AG45">
        <v>21.045555</v>
      </c>
      <c r="AH45">
        <v>21.644814</v>
      </c>
      <c r="AI45">
        <v>22.326311</v>
      </c>
      <c r="AJ45">
        <v>23.022608000000002</v>
      </c>
      <c r="AK45" s="9">
        <v>1.7999999999999999E-2</v>
      </c>
    </row>
    <row r="46" spans="1:37" x14ac:dyDescent="0.25">
      <c r="A46" t="s">
        <v>1477</v>
      </c>
      <c r="B46" t="s">
        <v>1476</v>
      </c>
      <c r="C46" t="s">
        <v>1475</v>
      </c>
      <c r="D46" t="s">
        <v>1471</v>
      </c>
      <c r="F46">
        <v>2.530745</v>
      </c>
      <c r="G46">
        <v>3.6574339999999999</v>
      </c>
      <c r="H46">
        <v>3.8103560000000001</v>
      </c>
      <c r="I46">
        <v>3.6144090000000002</v>
      </c>
      <c r="J46">
        <v>3.4317000000000002</v>
      </c>
      <c r="K46">
        <v>3.6020379999999999</v>
      </c>
      <c r="L46">
        <v>3.7879299999999998</v>
      </c>
      <c r="M46">
        <v>3.935829</v>
      </c>
      <c r="N46">
        <v>4.1732180000000003</v>
      </c>
      <c r="O46">
        <v>4.4110230000000001</v>
      </c>
      <c r="P46">
        <v>4.5548570000000002</v>
      </c>
      <c r="Q46">
        <v>4.6667310000000004</v>
      </c>
      <c r="R46">
        <v>4.8519459999999999</v>
      </c>
      <c r="S46">
        <v>5.056654</v>
      </c>
      <c r="T46">
        <v>5.2167630000000003</v>
      </c>
      <c r="U46">
        <v>5.3321820000000004</v>
      </c>
      <c r="V46">
        <v>5.4504479999999997</v>
      </c>
      <c r="W46">
        <v>5.5352600000000001</v>
      </c>
      <c r="X46">
        <v>5.6950940000000001</v>
      </c>
      <c r="Y46">
        <v>5.8103949999999998</v>
      </c>
      <c r="Z46">
        <v>5.9313209999999996</v>
      </c>
      <c r="AA46">
        <v>6.042726</v>
      </c>
      <c r="AB46">
        <v>6.1522040000000002</v>
      </c>
      <c r="AC46">
        <v>6.2668590000000002</v>
      </c>
      <c r="AD46">
        <v>6.415889</v>
      </c>
      <c r="AE46">
        <v>6.5867760000000004</v>
      </c>
      <c r="AF46">
        <v>6.7655110000000001</v>
      </c>
      <c r="AG46">
        <v>6.9836179999999999</v>
      </c>
      <c r="AH46">
        <v>7.2680870000000004</v>
      </c>
      <c r="AI46">
        <v>7.5728710000000001</v>
      </c>
      <c r="AJ46">
        <v>7.8775050000000002</v>
      </c>
      <c r="AK46" s="9">
        <v>3.9E-2</v>
      </c>
    </row>
    <row r="47" spans="1:37" x14ac:dyDescent="0.25">
      <c r="A47" t="s">
        <v>1474</v>
      </c>
      <c r="B47" t="s">
        <v>1473</v>
      </c>
      <c r="C47" t="s">
        <v>1472</v>
      </c>
      <c r="D47" t="s">
        <v>1471</v>
      </c>
      <c r="F47">
        <v>4.6935580000000003</v>
      </c>
      <c r="G47">
        <v>5.7288350000000001</v>
      </c>
      <c r="H47">
        <v>5.9242439999999998</v>
      </c>
      <c r="I47">
        <v>5.7565869999999997</v>
      </c>
      <c r="J47">
        <v>5.6358160000000002</v>
      </c>
      <c r="K47">
        <v>5.8066680000000002</v>
      </c>
      <c r="L47">
        <v>6.0418469999999997</v>
      </c>
      <c r="M47">
        <v>6.2653169999999996</v>
      </c>
      <c r="N47">
        <v>6.5745129999999996</v>
      </c>
      <c r="O47">
        <v>6.8838739999999996</v>
      </c>
      <c r="P47">
        <v>7.2147589999999999</v>
      </c>
      <c r="Q47">
        <v>7.4018110000000004</v>
      </c>
      <c r="R47">
        <v>7.6598879999999996</v>
      </c>
      <c r="S47">
        <v>7.9426880000000004</v>
      </c>
      <c r="T47">
        <v>8.169295</v>
      </c>
      <c r="U47">
        <v>8.3724480000000003</v>
      </c>
      <c r="V47">
        <v>8.550122</v>
      </c>
      <c r="W47">
        <v>8.7041439999999994</v>
      </c>
      <c r="X47">
        <v>8.8972960000000008</v>
      </c>
      <c r="Y47">
        <v>9.0586120000000001</v>
      </c>
      <c r="Z47">
        <v>9.2263990000000007</v>
      </c>
      <c r="AA47">
        <v>9.4132879999999997</v>
      </c>
      <c r="AB47">
        <v>9.5803960000000004</v>
      </c>
      <c r="AC47">
        <v>9.7555049999999994</v>
      </c>
      <c r="AD47">
        <v>9.9638200000000001</v>
      </c>
      <c r="AE47">
        <v>10.212486999999999</v>
      </c>
      <c r="AF47">
        <v>10.479651</v>
      </c>
      <c r="AG47">
        <v>10.795484999999999</v>
      </c>
      <c r="AH47">
        <v>11.156001</v>
      </c>
      <c r="AI47">
        <v>11.556625</v>
      </c>
      <c r="AJ47">
        <v>11.955171999999999</v>
      </c>
      <c r="AK47" s="9">
        <v>3.2000000000000001E-2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7"/>
  <sheetViews>
    <sheetView workbookViewId="0">
      <selection activeCell="A6" sqref="A6:AJ47"/>
    </sheetView>
  </sheetViews>
  <sheetFormatPr baseColWidth="10" defaultColWidth="9.140625" defaultRowHeight="15" x14ac:dyDescent="0.25"/>
  <cols>
    <col min="1" max="1" width="44.28515625" customWidth="1"/>
  </cols>
  <sheetData>
    <row r="1" spans="1:36" x14ac:dyDescent="0.25">
      <c r="A1" t="s">
        <v>1574</v>
      </c>
    </row>
    <row r="2" spans="1:36" x14ac:dyDescent="0.25">
      <c r="A2" t="s">
        <v>1624</v>
      </c>
    </row>
    <row r="3" spans="1:36" x14ac:dyDescent="0.25">
      <c r="A3" t="s">
        <v>1623</v>
      </c>
    </row>
    <row r="4" spans="1:36" x14ac:dyDescent="0.25">
      <c r="A4" t="s">
        <v>1392</v>
      </c>
    </row>
    <row r="5" spans="1:36" x14ac:dyDescent="0.25">
      <c r="B5" t="s">
        <v>1393</v>
      </c>
      <c r="C5" t="s">
        <v>1394</v>
      </c>
      <c r="D5" t="s">
        <v>1395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1622</v>
      </c>
    </row>
    <row r="6" spans="1:36" x14ac:dyDescent="0.25">
      <c r="A6" t="s">
        <v>1571</v>
      </c>
      <c r="C6" t="s">
        <v>1621</v>
      </c>
    </row>
    <row r="7" spans="1:36" x14ac:dyDescent="0.25">
      <c r="A7" t="s">
        <v>1569</v>
      </c>
      <c r="B7" t="s">
        <v>1644</v>
      </c>
      <c r="C7" t="s">
        <v>1645</v>
      </c>
      <c r="D7" t="s">
        <v>1402</v>
      </c>
      <c r="F7">
        <v>34.409626000000003</v>
      </c>
      <c r="G7">
        <v>35.322707999999999</v>
      </c>
      <c r="H7">
        <v>35.604686999999998</v>
      </c>
      <c r="I7">
        <v>35.806705000000001</v>
      </c>
      <c r="J7">
        <v>35.905467999999999</v>
      </c>
      <c r="K7">
        <v>35.882885000000002</v>
      </c>
      <c r="L7">
        <v>35.810017000000002</v>
      </c>
      <c r="M7">
        <v>36.400112</v>
      </c>
      <c r="N7">
        <v>36.655968000000001</v>
      </c>
      <c r="O7">
        <v>36.721214000000003</v>
      </c>
      <c r="P7">
        <v>36.966468999999996</v>
      </c>
      <c r="Q7">
        <v>37.231819000000002</v>
      </c>
      <c r="R7">
        <v>37.474742999999997</v>
      </c>
      <c r="S7">
        <v>37.30827</v>
      </c>
      <c r="T7">
        <v>37.172085000000003</v>
      </c>
      <c r="U7">
        <v>37.122219000000001</v>
      </c>
      <c r="V7">
        <v>37.233500999999997</v>
      </c>
      <c r="W7">
        <v>37.447079000000002</v>
      </c>
      <c r="X7">
        <v>37.700321000000002</v>
      </c>
      <c r="Y7">
        <v>37.972594999999998</v>
      </c>
      <c r="Z7">
        <v>38.092804000000001</v>
      </c>
      <c r="AA7">
        <v>38.278564000000003</v>
      </c>
      <c r="AB7">
        <v>38.608809999999998</v>
      </c>
      <c r="AC7">
        <v>38.921222999999998</v>
      </c>
      <c r="AD7">
        <v>39.147613999999997</v>
      </c>
      <c r="AE7">
        <v>39.391460000000002</v>
      </c>
      <c r="AF7">
        <v>39.666964999999998</v>
      </c>
      <c r="AG7">
        <v>39.861117999999998</v>
      </c>
      <c r="AH7">
        <v>40.032657999999998</v>
      </c>
      <c r="AI7">
        <v>40.400123999999998</v>
      </c>
      <c r="AJ7" s="9">
        <v>6.0000000000000001E-3</v>
      </c>
    </row>
    <row r="8" spans="1:36" x14ac:dyDescent="0.25">
      <c r="A8" t="s">
        <v>1566</v>
      </c>
      <c r="B8" t="s">
        <v>1646</v>
      </c>
      <c r="C8" t="s">
        <v>1647</v>
      </c>
      <c r="D8" t="s">
        <v>1402</v>
      </c>
      <c r="F8">
        <v>5.953E-2</v>
      </c>
      <c r="G8">
        <v>6.3119999999999996E-2</v>
      </c>
      <c r="H8">
        <v>6.2992999999999993E-2</v>
      </c>
      <c r="I8">
        <v>6.2865000000000004E-2</v>
      </c>
      <c r="J8">
        <v>6.2738000000000002E-2</v>
      </c>
      <c r="K8">
        <v>6.2611E-2</v>
      </c>
      <c r="L8">
        <v>6.2482999999999997E-2</v>
      </c>
      <c r="M8">
        <v>6.2482999999999997E-2</v>
      </c>
      <c r="N8">
        <v>6.2482999999999997E-2</v>
      </c>
      <c r="O8">
        <v>6.2482999999999997E-2</v>
      </c>
      <c r="P8">
        <v>6.2482999999999997E-2</v>
      </c>
      <c r="Q8">
        <v>6.2482999999999997E-2</v>
      </c>
      <c r="R8">
        <v>6.2482999999999997E-2</v>
      </c>
      <c r="S8">
        <v>6.2482999999999997E-2</v>
      </c>
      <c r="T8">
        <v>6.2482999999999997E-2</v>
      </c>
      <c r="U8">
        <v>6.2482999999999997E-2</v>
      </c>
      <c r="V8">
        <v>6.2482999999999997E-2</v>
      </c>
      <c r="W8">
        <v>6.2482999999999997E-2</v>
      </c>
      <c r="X8">
        <v>6.2482999999999997E-2</v>
      </c>
      <c r="Y8">
        <v>6.2482999999999997E-2</v>
      </c>
      <c r="Z8">
        <v>6.2482999999999997E-2</v>
      </c>
      <c r="AA8">
        <v>6.2482999999999997E-2</v>
      </c>
      <c r="AB8">
        <v>6.2482999999999997E-2</v>
      </c>
      <c r="AC8">
        <v>6.2482999999999997E-2</v>
      </c>
      <c r="AD8">
        <v>6.2482999999999997E-2</v>
      </c>
      <c r="AE8">
        <v>6.2482999999999997E-2</v>
      </c>
      <c r="AF8">
        <v>6.2482999999999997E-2</v>
      </c>
      <c r="AG8">
        <v>6.2482999999999997E-2</v>
      </c>
      <c r="AH8">
        <v>6.2482999999999997E-2</v>
      </c>
      <c r="AI8">
        <v>6.2482999999999997E-2</v>
      </c>
      <c r="AJ8" s="9">
        <v>2E-3</v>
      </c>
    </row>
    <row r="9" spans="1:36" x14ac:dyDescent="0.25">
      <c r="A9" t="s">
        <v>1425</v>
      </c>
      <c r="B9" t="s">
        <v>1648</v>
      </c>
      <c r="C9" t="s">
        <v>1649</v>
      </c>
      <c r="D9" t="s">
        <v>1402</v>
      </c>
      <c r="F9">
        <v>-4.0188879999999996</v>
      </c>
      <c r="G9">
        <v>-5.0329220000000001</v>
      </c>
      <c r="H9">
        <v>-5.319394</v>
      </c>
      <c r="I9">
        <v>-5.505922</v>
      </c>
      <c r="J9">
        <v>-5.7956649999999996</v>
      </c>
      <c r="K9">
        <v>-5.8357029999999996</v>
      </c>
      <c r="L9">
        <v>-6.0070350000000001</v>
      </c>
      <c r="M9">
        <v>-6.3463459999999996</v>
      </c>
      <c r="N9">
        <v>-6.7262420000000001</v>
      </c>
      <c r="O9">
        <v>-7.0077360000000004</v>
      </c>
      <c r="P9">
        <v>-7.3725630000000004</v>
      </c>
      <c r="Q9">
        <v>-7.6343189999999996</v>
      </c>
      <c r="R9">
        <v>-7.7067889999999997</v>
      </c>
      <c r="S9">
        <v>-7.7878179999999997</v>
      </c>
      <c r="T9">
        <v>-7.8907959999999999</v>
      </c>
      <c r="U9">
        <v>-7.9182860000000002</v>
      </c>
      <c r="V9">
        <v>-7.8834210000000002</v>
      </c>
      <c r="W9">
        <v>-7.9086610000000004</v>
      </c>
      <c r="X9">
        <v>-7.9627610000000004</v>
      </c>
      <c r="Y9">
        <v>-8.0319929999999999</v>
      </c>
      <c r="Z9">
        <v>-8.0435140000000001</v>
      </c>
      <c r="AA9">
        <v>-8.0683089999999993</v>
      </c>
      <c r="AB9">
        <v>-8.1378730000000008</v>
      </c>
      <c r="AC9">
        <v>-8.2940170000000002</v>
      </c>
      <c r="AD9">
        <v>-8.3668099999999992</v>
      </c>
      <c r="AE9">
        <v>-8.3703780000000005</v>
      </c>
      <c r="AF9">
        <v>-8.386253</v>
      </c>
      <c r="AG9">
        <v>-8.3879400000000004</v>
      </c>
      <c r="AH9">
        <v>-8.3917699999999993</v>
      </c>
      <c r="AI9">
        <v>-8.4290870000000009</v>
      </c>
      <c r="AJ9" s="9">
        <v>2.5999999999999999E-2</v>
      </c>
    </row>
    <row r="10" spans="1:36" x14ac:dyDescent="0.25">
      <c r="A10" t="s">
        <v>1561</v>
      </c>
      <c r="B10" t="s">
        <v>1650</v>
      </c>
      <c r="C10" t="s">
        <v>1651</v>
      </c>
      <c r="D10" t="s">
        <v>1402</v>
      </c>
      <c r="F10">
        <v>-0.47681899999999999</v>
      </c>
      <c r="G10">
        <v>-0.91606600000000005</v>
      </c>
      <c r="H10">
        <v>-0.95944200000000002</v>
      </c>
      <c r="I10">
        <v>-1.0994470000000001</v>
      </c>
      <c r="J10">
        <v>-1.217244</v>
      </c>
      <c r="K10">
        <v>-1.2432049999999999</v>
      </c>
      <c r="L10">
        <v>-1.312514</v>
      </c>
      <c r="M10">
        <v>-1.4390499999999999</v>
      </c>
      <c r="N10">
        <v>-1.631721</v>
      </c>
      <c r="O10">
        <v>-1.7132149999999999</v>
      </c>
      <c r="P10">
        <v>-1.878042</v>
      </c>
      <c r="Q10">
        <v>-1.927022</v>
      </c>
      <c r="R10">
        <v>-1.9122680000000001</v>
      </c>
      <c r="S10">
        <v>-1.9932970000000001</v>
      </c>
      <c r="T10">
        <v>-2.0962749999999999</v>
      </c>
      <c r="U10">
        <v>-2.1109900000000001</v>
      </c>
      <c r="V10">
        <v>-2.0889009999999999</v>
      </c>
      <c r="W10">
        <v>-2.1141399999999999</v>
      </c>
      <c r="X10">
        <v>-2.1682399999999999</v>
      </c>
      <c r="Y10">
        <v>-2.2246959999999998</v>
      </c>
      <c r="Z10">
        <v>-2.2489940000000002</v>
      </c>
      <c r="AA10">
        <v>-2.2737880000000001</v>
      </c>
      <c r="AB10">
        <v>-2.3433519999999999</v>
      </c>
      <c r="AC10">
        <v>-2.4867210000000002</v>
      </c>
      <c r="AD10">
        <v>-2.572289</v>
      </c>
      <c r="AE10">
        <v>-2.5758559999999999</v>
      </c>
      <c r="AF10">
        <v>-2.5917330000000001</v>
      </c>
      <c r="AG10">
        <v>-2.5806439999999999</v>
      </c>
      <c r="AH10">
        <v>-2.5972499999999998</v>
      </c>
      <c r="AI10">
        <v>-2.634566</v>
      </c>
      <c r="AJ10" s="9">
        <v>6.0999999999999999E-2</v>
      </c>
    </row>
    <row r="11" spans="1:36" x14ac:dyDescent="0.25">
      <c r="A11" t="s">
        <v>1434</v>
      </c>
      <c r="B11" t="s">
        <v>1652</v>
      </c>
      <c r="C11" t="s">
        <v>1653</v>
      </c>
      <c r="D11" t="s">
        <v>1402</v>
      </c>
      <c r="F11">
        <v>-3.5420690000000001</v>
      </c>
      <c r="G11">
        <v>-4.1168550000000002</v>
      </c>
      <c r="H11">
        <v>-4.3599519999999998</v>
      </c>
      <c r="I11">
        <v>-4.4064740000000002</v>
      </c>
      <c r="J11">
        <v>-4.5784209999999996</v>
      </c>
      <c r="K11">
        <v>-4.5924990000000001</v>
      </c>
      <c r="L11">
        <v>-4.6945209999999999</v>
      </c>
      <c r="M11">
        <v>-4.9072969999999998</v>
      </c>
      <c r="N11">
        <v>-5.0945210000000003</v>
      </c>
      <c r="O11">
        <v>-5.2945209999999996</v>
      </c>
      <c r="P11">
        <v>-5.4945209999999998</v>
      </c>
      <c r="Q11">
        <v>-5.7072969999999996</v>
      </c>
      <c r="R11">
        <v>-5.7945209999999996</v>
      </c>
      <c r="S11">
        <v>-5.7945209999999996</v>
      </c>
      <c r="T11">
        <v>-5.7945209999999996</v>
      </c>
      <c r="U11">
        <v>-5.8072970000000002</v>
      </c>
      <c r="V11">
        <v>-5.7945209999999996</v>
      </c>
      <c r="W11">
        <v>-5.7945209999999996</v>
      </c>
      <c r="X11">
        <v>-5.7945209999999996</v>
      </c>
      <c r="Y11">
        <v>-5.8072970000000002</v>
      </c>
      <c r="Z11">
        <v>-5.7945209999999996</v>
      </c>
      <c r="AA11">
        <v>-5.7945209999999996</v>
      </c>
      <c r="AB11">
        <v>-5.7945209999999996</v>
      </c>
      <c r="AC11">
        <v>-5.8072970000000002</v>
      </c>
      <c r="AD11">
        <v>-5.7945209999999996</v>
      </c>
      <c r="AE11">
        <v>-5.7945209999999996</v>
      </c>
      <c r="AF11">
        <v>-5.7945209999999996</v>
      </c>
      <c r="AG11">
        <v>-5.8072970000000002</v>
      </c>
      <c r="AH11">
        <v>-5.7945209999999996</v>
      </c>
      <c r="AI11">
        <v>-5.7945209999999996</v>
      </c>
      <c r="AJ11" s="9">
        <v>1.7000000000000001E-2</v>
      </c>
    </row>
    <row r="12" spans="1:36" x14ac:dyDescent="0.25">
      <c r="A12" t="s">
        <v>1556</v>
      </c>
      <c r="B12" t="s">
        <v>1654</v>
      </c>
      <c r="C12" t="s">
        <v>1643</v>
      </c>
      <c r="D12" t="s">
        <v>1402</v>
      </c>
      <c r="F12">
        <v>30.450265999999999</v>
      </c>
      <c r="G12">
        <v>30.352909</v>
      </c>
      <c r="H12">
        <v>30.348286000000002</v>
      </c>
      <c r="I12">
        <v>30.363648999999999</v>
      </c>
      <c r="J12">
        <v>30.172539</v>
      </c>
      <c r="K12">
        <v>30.109793</v>
      </c>
      <c r="L12">
        <v>29.865466999999999</v>
      </c>
      <c r="M12">
        <v>30.116250999999998</v>
      </c>
      <c r="N12">
        <v>29.99221</v>
      </c>
      <c r="O12">
        <v>29.775963000000001</v>
      </c>
      <c r="P12">
        <v>29.656390999999999</v>
      </c>
      <c r="Q12">
        <v>29.659984999999999</v>
      </c>
      <c r="R12">
        <v>29.830438999999998</v>
      </c>
      <c r="S12">
        <v>29.582934999999999</v>
      </c>
      <c r="T12">
        <v>29.343772999999999</v>
      </c>
      <c r="U12">
        <v>29.266418000000002</v>
      </c>
      <c r="V12">
        <v>29.412565000000001</v>
      </c>
      <c r="W12">
        <v>29.600902999999999</v>
      </c>
      <c r="X12">
        <v>29.800045000000001</v>
      </c>
      <c r="Y12">
        <v>30.003086</v>
      </c>
      <c r="Z12">
        <v>30.111774</v>
      </c>
      <c r="AA12">
        <v>30.272739000000001</v>
      </c>
      <c r="AB12">
        <v>30.533422000000002</v>
      </c>
      <c r="AC12">
        <v>30.689689999999999</v>
      </c>
      <c r="AD12">
        <v>30.843288000000001</v>
      </c>
      <c r="AE12">
        <v>31.083569000000001</v>
      </c>
      <c r="AF12">
        <v>31.343197</v>
      </c>
      <c r="AG12">
        <v>31.535664000000001</v>
      </c>
      <c r="AH12">
        <v>31.703372999999999</v>
      </c>
      <c r="AI12">
        <v>32.033524</v>
      </c>
      <c r="AJ12" s="9">
        <v>2E-3</v>
      </c>
    </row>
    <row r="13" spans="1:36" x14ac:dyDescent="0.25">
      <c r="A13" t="s">
        <v>1553</v>
      </c>
      <c r="B13" t="s">
        <v>1655</v>
      </c>
      <c r="C13" t="s">
        <v>1656</v>
      </c>
      <c r="D13" t="s">
        <v>1402</v>
      </c>
      <c r="F13">
        <v>30.242594</v>
      </c>
      <c r="G13">
        <v>30.085173000000001</v>
      </c>
      <c r="H13">
        <v>30.064831000000002</v>
      </c>
      <c r="I13">
        <v>30.056604</v>
      </c>
      <c r="J13">
        <v>29.859272000000001</v>
      </c>
      <c r="K13">
        <v>29.777142999999999</v>
      </c>
      <c r="L13">
        <v>29.518978000000001</v>
      </c>
      <c r="M13">
        <v>29.768035999999999</v>
      </c>
      <c r="N13">
        <v>29.655114999999999</v>
      </c>
      <c r="O13">
        <v>29.446020000000001</v>
      </c>
      <c r="P13">
        <v>29.328666999999999</v>
      </c>
      <c r="Q13">
        <v>29.327214999999999</v>
      </c>
      <c r="R13">
        <v>29.514547</v>
      </c>
      <c r="S13">
        <v>29.269196000000001</v>
      </c>
      <c r="T13">
        <v>29.029827000000001</v>
      </c>
      <c r="U13">
        <v>28.959254999999999</v>
      </c>
      <c r="V13">
        <v>29.105549</v>
      </c>
      <c r="W13">
        <v>29.295653999999999</v>
      </c>
      <c r="X13">
        <v>29.500247999999999</v>
      </c>
      <c r="Y13">
        <v>29.703928000000001</v>
      </c>
      <c r="Z13">
        <v>29.806577999999998</v>
      </c>
      <c r="AA13">
        <v>29.968972999999998</v>
      </c>
      <c r="AB13">
        <v>30.229541999999999</v>
      </c>
      <c r="AC13">
        <v>30.386457</v>
      </c>
      <c r="AD13">
        <v>30.550422999999999</v>
      </c>
      <c r="AE13">
        <v>30.797487</v>
      </c>
      <c r="AF13">
        <v>31.028424999999999</v>
      </c>
      <c r="AG13">
        <v>31.221830000000001</v>
      </c>
      <c r="AH13">
        <v>31.388659000000001</v>
      </c>
      <c r="AI13">
        <v>31.717158999999999</v>
      </c>
      <c r="AJ13" s="9">
        <v>2E-3</v>
      </c>
    </row>
    <row r="14" spans="1:36" x14ac:dyDescent="0.25">
      <c r="A14" t="s">
        <v>1488</v>
      </c>
      <c r="B14" t="s">
        <v>1657</v>
      </c>
      <c r="C14" t="s">
        <v>1658</v>
      </c>
      <c r="D14" t="s">
        <v>1402</v>
      </c>
      <c r="F14">
        <v>4.8194189999999999</v>
      </c>
      <c r="G14">
        <v>4.87988</v>
      </c>
      <c r="H14">
        <v>4.8034359999999996</v>
      </c>
      <c r="I14">
        <v>4.8160449999999999</v>
      </c>
      <c r="J14">
        <v>4.8303010000000004</v>
      </c>
      <c r="K14">
        <v>4.8354929999999996</v>
      </c>
      <c r="L14">
        <v>4.8351280000000001</v>
      </c>
      <c r="M14">
        <v>4.8261839999999996</v>
      </c>
      <c r="N14">
        <v>4.8112589999999997</v>
      </c>
      <c r="O14">
        <v>4.7964659999999997</v>
      </c>
      <c r="P14">
        <v>4.782578</v>
      </c>
      <c r="Q14">
        <v>4.7657059999999998</v>
      </c>
      <c r="R14">
        <v>4.7489520000000001</v>
      </c>
      <c r="S14">
        <v>4.7354810000000001</v>
      </c>
      <c r="T14">
        <v>4.726693</v>
      </c>
      <c r="U14">
        <v>4.7201630000000003</v>
      </c>
      <c r="V14">
        <v>4.7127759999999999</v>
      </c>
      <c r="W14">
        <v>4.7047549999999996</v>
      </c>
      <c r="X14">
        <v>4.6962799999999998</v>
      </c>
      <c r="Y14">
        <v>4.6890780000000003</v>
      </c>
      <c r="Z14">
        <v>4.6804639999999997</v>
      </c>
      <c r="AA14">
        <v>4.6731369999999997</v>
      </c>
      <c r="AB14">
        <v>4.6678319999999998</v>
      </c>
      <c r="AC14">
        <v>4.6634570000000002</v>
      </c>
      <c r="AD14">
        <v>4.659014</v>
      </c>
      <c r="AE14">
        <v>4.6538830000000004</v>
      </c>
      <c r="AF14">
        <v>4.6478109999999999</v>
      </c>
      <c r="AG14">
        <v>4.6408500000000004</v>
      </c>
      <c r="AH14">
        <v>4.6324439999999996</v>
      </c>
      <c r="AI14">
        <v>4.6232009999999999</v>
      </c>
      <c r="AJ14" s="9">
        <v>-1E-3</v>
      </c>
    </row>
    <row r="15" spans="1:36" x14ac:dyDescent="0.25">
      <c r="A15" t="s">
        <v>1485</v>
      </c>
      <c r="B15" t="s">
        <v>1659</v>
      </c>
      <c r="C15" t="s">
        <v>1660</v>
      </c>
      <c r="D15" t="s">
        <v>1402</v>
      </c>
      <c r="F15">
        <v>3.3504839999999998</v>
      </c>
      <c r="G15">
        <v>3.4825870000000001</v>
      </c>
      <c r="H15">
        <v>3.4289239999999999</v>
      </c>
      <c r="I15">
        <v>3.434704</v>
      </c>
      <c r="J15">
        <v>3.4444880000000002</v>
      </c>
      <c r="K15">
        <v>3.443654</v>
      </c>
      <c r="L15">
        <v>3.4582109999999999</v>
      </c>
      <c r="M15">
        <v>3.4613610000000001</v>
      </c>
      <c r="N15">
        <v>3.4569040000000002</v>
      </c>
      <c r="O15">
        <v>3.4529619999999999</v>
      </c>
      <c r="P15">
        <v>3.4539520000000001</v>
      </c>
      <c r="Q15">
        <v>3.4515280000000002</v>
      </c>
      <c r="R15">
        <v>3.4483139999999999</v>
      </c>
      <c r="S15">
        <v>3.448515</v>
      </c>
      <c r="T15">
        <v>3.454259</v>
      </c>
      <c r="U15">
        <v>3.4626570000000001</v>
      </c>
      <c r="V15">
        <v>3.468118</v>
      </c>
      <c r="W15">
        <v>3.4705849999999998</v>
      </c>
      <c r="X15">
        <v>3.471409</v>
      </c>
      <c r="Y15">
        <v>3.472769</v>
      </c>
      <c r="Z15">
        <v>3.472588</v>
      </c>
      <c r="AA15">
        <v>3.4752960000000002</v>
      </c>
      <c r="AB15">
        <v>3.481176</v>
      </c>
      <c r="AC15">
        <v>3.4874290000000001</v>
      </c>
      <c r="AD15">
        <v>3.4937990000000001</v>
      </c>
      <c r="AE15">
        <v>3.4990220000000001</v>
      </c>
      <c r="AF15">
        <v>3.5028619999999999</v>
      </c>
      <c r="AG15">
        <v>3.5055320000000001</v>
      </c>
      <c r="AH15">
        <v>3.5059909999999999</v>
      </c>
      <c r="AI15">
        <v>3.505614</v>
      </c>
      <c r="AJ15" s="9">
        <v>2E-3</v>
      </c>
    </row>
    <row r="16" spans="1:36" x14ac:dyDescent="0.25">
      <c r="A16" t="s">
        <v>1482</v>
      </c>
      <c r="B16" t="s">
        <v>1661</v>
      </c>
      <c r="C16" t="s">
        <v>1662</v>
      </c>
      <c r="D16" t="s">
        <v>1402</v>
      </c>
      <c r="F16">
        <v>10.388059999999999</v>
      </c>
      <c r="G16">
        <v>10.575246</v>
      </c>
      <c r="H16">
        <v>10.486810999999999</v>
      </c>
      <c r="I16">
        <v>10.540606</v>
      </c>
      <c r="J16">
        <v>10.645498999999999</v>
      </c>
      <c r="K16">
        <v>10.709901</v>
      </c>
      <c r="L16">
        <v>10.719416000000001</v>
      </c>
      <c r="M16">
        <v>10.767504000000001</v>
      </c>
      <c r="N16">
        <v>10.779654000000001</v>
      </c>
      <c r="O16">
        <v>10.815272</v>
      </c>
      <c r="P16">
        <v>10.848523999999999</v>
      </c>
      <c r="Q16">
        <v>10.876146</v>
      </c>
      <c r="R16">
        <v>10.905524</v>
      </c>
      <c r="S16">
        <v>10.913145</v>
      </c>
      <c r="T16">
        <v>10.922623</v>
      </c>
      <c r="U16">
        <v>10.966374999999999</v>
      </c>
      <c r="V16">
        <v>10.982613000000001</v>
      </c>
      <c r="W16">
        <v>11.020459000000001</v>
      </c>
      <c r="X16">
        <v>11.064152</v>
      </c>
      <c r="Y16">
        <v>11.106756000000001</v>
      </c>
      <c r="Z16">
        <v>11.119011</v>
      </c>
      <c r="AA16">
        <v>11.164562999999999</v>
      </c>
      <c r="AB16">
        <v>11.248595999999999</v>
      </c>
      <c r="AC16">
        <v>11.297219999999999</v>
      </c>
      <c r="AD16">
        <v>11.350711</v>
      </c>
      <c r="AE16">
        <v>11.430659</v>
      </c>
      <c r="AF16">
        <v>11.497999999999999</v>
      </c>
      <c r="AG16">
        <v>11.531771000000001</v>
      </c>
      <c r="AH16">
        <v>11.566927</v>
      </c>
      <c r="AI16">
        <v>11.694829</v>
      </c>
      <c r="AJ16" s="9">
        <v>4.0000000000000001E-3</v>
      </c>
    </row>
    <row r="17" spans="1:38" x14ac:dyDescent="0.25">
      <c r="A17" t="s">
        <v>1544</v>
      </c>
      <c r="B17" t="s">
        <v>1663</v>
      </c>
      <c r="C17" t="s">
        <v>1664</v>
      </c>
      <c r="D17" t="s">
        <v>1402</v>
      </c>
      <c r="F17">
        <v>8.2577700000000007</v>
      </c>
      <c r="G17">
        <v>8.3280519999999996</v>
      </c>
      <c r="H17">
        <v>8.2096940000000007</v>
      </c>
      <c r="I17">
        <v>8.2352849999999993</v>
      </c>
      <c r="J17">
        <v>8.2954450000000008</v>
      </c>
      <c r="K17">
        <v>8.3544730000000005</v>
      </c>
      <c r="L17">
        <v>8.3557210000000008</v>
      </c>
      <c r="M17">
        <v>8.3492080000000009</v>
      </c>
      <c r="N17">
        <v>8.3322070000000004</v>
      </c>
      <c r="O17">
        <v>8.3282880000000006</v>
      </c>
      <c r="P17">
        <v>8.3294940000000004</v>
      </c>
      <c r="Q17">
        <v>8.3134490000000003</v>
      </c>
      <c r="R17">
        <v>8.3156890000000008</v>
      </c>
      <c r="S17">
        <v>8.3324529999999992</v>
      </c>
      <c r="T17">
        <v>8.3408320000000007</v>
      </c>
      <c r="U17">
        <v>8.3900539999999992</v>
      </c>
      <c r="V17">
        <v>8.4123169999999998</v>
      </c>
      <c r="W17">
        <v>8.4460379999999997</v>
      </c>
      <c r="X17">
        <v>8.4721460000000004</v>
      </c>
      <c r="Y17">
        <v>8.4965019999999996</v>
      </c>
      <c r="Z17">
        <v>8.5134129999999999</v>
      </c>
      <c r="AA17">
        <v>8.5515749999999997</v>
      </c>
      <c r="AB17">
        <v>8.6081380000000003</v>
      </c>
      <c r="AC17">
        <v>8.6420729999999999</v>
      </c>
      <c r="AD17">
        <v>8.6722210000000004</v>
      </c>
      <c r="AE17">
        <v>8.7376380000000005</v>
      </c>
      <c r="AF17">
        <v>8.7940869999999993</v>
      </c>
      <c r="AG17">
        <v>8.8144329999999993</v>
      </c>
      <c r="AH17">
        <v>8.8463670000000008</v>
      </c>
      <c r="AI17">
        <v>8.9321149999999996</v>
      </c>
      <c r="AJ17" s="9">
        <v>3.0000000000000001E-3</v>
      </c>
    </row>
    <row r="18" spans="1:38" x14ac:dyDescent="0.25">
      <c r="A18" t="s">
        <v>1541</v>
      </c>
      <c r="B18" t="s">
        <v>1665</v>
      </c>
      <c r="C18" t="s">
        <v>1666</v>
      </c>
      <c r="D18" t="s">
        <v>1402</v>
      </c>
      <c r="F18">
        <v>1.8403620000000001</v>
      </c>
      <c r="G18">
        <v>1.9073599999999999</v>
      </c>
      <c r="H18">
        <v>1.917754</v>
      </c>
      <c r="I18">
        <v>1.9423539999999999</v>
      </c>
      <c r="J18">
        <v>1.9733229999999999</v>
      </c>
      <c r="K18">
        <v>1.9777199999999999</v>
      </c>
      <c r="L18">
        <v>1.977887</v>
      </c>
      <c r="M18">
        <v>2.015253</v>
      </c>
      <c r="N18">
        <v>2.029239</v>
      </c>
      <c r="O18">
        <v>2.0525769999999999</v>
      </c>
      <c r="P18">
        <v>2.068422</v>
      </c>
      <c r="Q18">
        <v>2.0948560000000001</v>
      </c>
      <c r="R18">
        <v>2.1149269999999998</v>
      </c>
      <c r="S18">
        <v>2.105785</v>
      </c>
      <c r="T18">
        <v>2.1068829999999998</v>
      </c>
      <c r="U18">
        <v>2.1003790000000002</v>
      </c>
      <c r="V18">
        <v>2.0953870000000001</v>
      </c>
      <c r="W18">
        <v>2.099513</v>
      </c>
      <c r="X18">
        <v>2.1170979999999999</v>
      </c>
      <c r="Y18">
        <v>2.134312</v>
      </c>
      <c r="Z18">
        <v>2.1306889999999998</v>
      </c>
      <c r="AA18">
        <v>2.1380810000000001</v>
      </c>
      <c r="AB18">
        <v>2.1655500000000001</v>
      </c>
      <c r="AC18">
        <v>2.1792039999999999</v>
      </c>
      <c r="AD18">
        <v>2.2035819999999999</v>
      </c>
      <c r="AE18">
        <v>2.2181129999999998</v>
      </c>
      <c r="AF18">
        <v>2.2290049999999999</v>
      </c>
      <c r="AG18">
        <v>2.2413949999999998</v>
      </c>
      <c r="AH18">
        <v>2.2456520000000002</v>
      </c>
      <c r="AI18">
        <v>2.2878069999999999</v>
      </c>
      <c r="AJ18" s="9">
        <v>8.0000000000000002E-3</v>
      </c>
    </row>
    <row r="19" spans="1:38" x14ac:dyDescent="0.25">
      <c r="A19" t="s">
        <v>1538</v>
      </c>
      <c r="B19" t="s">
        <v>1667</v>
      </c>
      <c r="C19" t="s">
        <v>1668</v>
      </c>
      <c r="D19" t="s">
        <v>1402</v>
      </c>
      <c r="F19">
        <v>0.28992800000000002</v>
      </c>
      <c r="G19">
        <v>0.339835</v>
      </c>
      <c r="H19">
        <v>0.35936299999999999</v>
      </c>
      <c r="I19">
        <v>0.36296699999999998</v>
      </c>
      <c r="J19">
        <v>0.37673099999999998</v>
      </c>
      <c r="K19">
        <v>0.37770799999999999</v>
      </c>
      <c r="L19">
        <v>0.38580799999999998</v>
      </c>
      <c r="M19">
        <v>0.40304200000000001</v>
      </c>
      <c r="N19">
        <v>0.41820800000000002</v>
      </c>
      <c r="O19">
        <v>0.43440800000000002</v>
      </c>
      <c r="P19">
        <v>0.45060800000000001</v>
      </c>
      <c r="Q19">
        <v>0.46784199999999998</v>
      </c>
      <c r="R19">
        <v>0.474908</v>
      </c>
      <c r="S19">
        <v>0.474908</v>
      </c>
      <c r="T19">
        <v>0.474908</v>
      </c>
      <c r="U19">
        <v>0.47594199999999998</v>
      </c>
      <c r="V19">
        <v>0.474908</v>
      </c>
      <c r="W19">
        <v>0.474908</v>
      </c>
      <c r="X19">
        <v>0.474908</v>
      </c>
      <c r="Y19">
        <v>0.47594199999999998</v>
      </c>
      <c r="Z19">
        <v>0.474908</v>
      </c>
      <c r="AA19">
        <v>0.474908</v>
      </c>
      <c r="AB19">
        <v>0.474908</v>
      </c>
      <c r="AC19">
        <v>0.47594199999999998</v>
      </c>
      <c r="AD19">
        <v>0.474908</v>
      </c>
      <c r="AE19">
        <v>0.474908</v>
      </c>
      <c r="AF19">
        <v>0.474908</v>
      </c>
      <c r="AG19">
        <v>0.47594199999999998</v>
      </c>
      <c r="AH19">
        <v>0.474908</v>
      </c>
      <c r="AI19">
        <v>0.474908</v>
      </c>
      <c r="AJ19" s="9">
        <v>1.7000000000000001E-2</v>
      </c>
    </row>
    <row r="20" spans="1:38" x14ac:dyDescent="0.25">
      <c r="A20" t="s">
        <v>1535</v>
      </c>
      <c r="B20" t="s">
        <v>1669</v>
      </c>
      <c r="C20" t="s">
        <v>1670</v>
      </c>
      <c r="D20" t="s">
        <v>1402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1409</v>
      </c>
    </row>
    <row r="21" spans="1:38" x14ac:dyDescent="0.25">
      <c r="A21" t="s">
        <v>1532</v>
      </c>
      <c r="B21" t="s">
        <v>1671</v>
      </c>
      <c r="C21" t="s">
        <v>1672</v>
      </c>
      <c r="D21" t="s">
        <v>1402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1409</v>
      </c>
    </row>
    <row r="22" spans="1:38" x14ac:dyDescent="0.25">
      <c r="A22" t="s">
        <v>65</v>
      </c>
      <c r="B22" t="s">
        <v>1673</v>
      </c>
      <c r="C22" t="s">
        <v>1674</v>
      </c>
      <c r="D22" t="s">
        <v>1402</v>
      </c>
      <c r="F22">
        <v>0.82786999999999999</v>
      </c>
      <c r="G22">
        <v>0.77045600000000003</v>
      </c>
      <c r="H22">
        <v>0.76901600000000003</v>
      </c>
      <c r="I22">
        <v>0.75909099999999996</v>
      </c>
      <c r="J22">
        <v>0.75464600000000004</v>
      </c>
      <c r="K22">
        <v>0.75199499999999997</v>
      </c>
      <c r="L22">
        <v>0.74685199999999996</v>
      </c>
      <c r="M22">
        <v>0.75983500000000004</v>
      </c>
      <c r="N22">
        <v>0.76184799999999997</v>
      </c>
      <c r="O22">
        <v>0.76158800000000004</v>
      </c>
      <c r="P22">
        <v>0.76694700000000005</v>
      </c>
      <c r="Q22">
        <v>0.773339</v>
      </c>
      <c r="R22">
        <v>0.783053</v>
      </c>
      <c r="S22">
        <v>0.78149299999999999</v>
      </c>
      <c r="T22">
        <v>0.78630199999999995</v>
      </c>
      <c r="U22">
        <v>0.79482799999999998</v>
      </c>
      <c r="V22">
        <v>0.808952</v>
      </c>
      <c r="W22">
        <v>0.82450000000000001</v>
      </c>
      <c r="X22">
        <v>0.83774300000000002</v>
      </c>
      <c r="Y22">
        <v>0.85753599999999996</v>
      </c>
      <c r="Z22">
        <v>0.87035899999999999</v>
      </c>
      <c r="AA22">
        <v>0.88478299999999999</v>
      </c>
      <c r="AB22">
        <v>0.90146099999999996</v>
      </c>
      <c r="AC22">
        <v>0.92156300000000002</v>
      </c>
      <c r="AD22">
        <v>0.93029899999999999</v>
      </c>
      <c r="AE22">
        <v>0.94638900000000004</v>
      </c>
      <c r="AF22">
        <v>0.96484199999999998</v>
      </c>
      <c r="AG22">
        <v>0.98129500000000003</v>
      </c>
      <c r="AH22">
        <v>0.998166</v>
      </c>
      <c r="AI22">
        <v>1.0126869999999999</v>
      </c>
      <c r="AJ22" s="9">
        <v>7.0000000000000001E-3</v>
      </c>
    </row>
    <row r="23" spans="1:38" x14ac:dyDescent="0.25">
      <c r="A23" t="s">
        <v>1527</v>
      </c>
      <c r="B23" t="s">
        <v>1526</v>
      </c>
      <c r="C23" t="s">
        <v>1525</v>
      </c>
      <c r="D23" t="s">
        <v>1675</v>
      </c>
      <c r="E23" t="s">
        <v>1676</v>
      </c>
      <c r="F23" t="s">
        <v>1402</v>
      </c>
      <c r="H23">
        <v>0.10664</v>
      </c>
      <c r="I23">
        <v>9.6182000000000004E-2</v>
      </c>
      <c r="J23">
        <v>0.11329400000000001</v>
      </c>
      <c r="K23">
        <v>0.11966499999999999</v>
      </c>
      <c r="L23">
        <v>0.126026</v>
      </c>
      <c r="M23">
        <v>0.13594400000000001</v>
      </c>
      <c r="N23">
        <v>0.14696899999999999</v>
      </c>
      <c r="O23">
        <v>0.154949</v>
      </c>
      <c r="P23">
        <v>0.16269500000000001</v>
      </c>
      <c r="Q23">
        <v>0.171487</v>
      </c>
      <c r="R23">
        <v>0.180423</v>
      </c>
      <c r="S23">
        <v>0.18410699999999999</v>
      </c>
      <c r="T23">
        <v>0.19177900000000001</v>
      </c>
      <c r="U23">
        <v>0.19936599999999999</v>
      </c>
      <c r="V23">
        <v>0.206543</v>
      </c>
      <c r="W23">
        <v>0.21423700000000001</v>
      </c>
      <c r="X23">
        <v>0.22256600000000001</v>
      </c>
      <c r="Y23">
        <v>0.231628</v>
      </c>
      <c r="Z23">
        <v>0.23911199999999999</v>
      </c>
      <c r="AA23">
        <v>0.25351200000000002</v>
      </c>
      <c r="AB23">
        <v>0.26302700000000001</v>
      </c>
      <c r="AC23">
        <v>0.27200200000000002</v>
      </c>
      <c r="AD23">
        <v>0.28450199999999998</v>
      </c>
      <c r="AE23">
        <v>0.29765200000000003</v>
      </c>
      <c r="AF23">
        <v>0.30822699999999997</v>
      </c>
      <c r="AG23">
        <v>0.32111200000000001</v>
      </c>
      <c r="AH23">
        <v>0.331511</v>
      </c>
      <c r="AI23">
        <v>0.34002199999999999</v>
      </c>
      <c r="AJ23">
        <v>0.34979900000000003</v>
      </c>
      <c r="AK23">
        <v>0.40534399999999998</v>
      </c>
      <c r="AL23" s="9">
        <v>4.7E-2</v>
      </c>
    </row>
    <row r="24" spans="1:38" x14ac:dyDescent="0.25">
      <c r="A24" t="s">
        <v>1522</v>
      </c>
      <c r="B24" t="s">
        <v>1677</v>
      </c>
      <c r="C24" t="s">
        <v>1678</v>
      </c>
      <c r="D24" t="s">
        <v>1402</v>
      </c>
      <c r="F24">
        <v>0.72123000000000004</v>
      </c>
      <c r="G24">
        <v>0.67427400000000004</v>
      </c>
      <c r="H24">
        <v>0.65572200000000003</v>
      </c>
      <c r="I24">
        <v>0.63942600000000005</v>
      </c>
      <c r="J24">
        <v>0.62861999999999996</v>
      </c>
      <c r="K24">
        <v>0.61605100000000002</v>
      </c>
      <c r="L24">
        <v>0.59988300000000006</v>
      </c>
      <c r="M24">
        <v>0.60488600000000003</v>
      </c>
      <c r="N24">
        <v>0.59915300000000005</v>
      </c>
      <c r="O24">
        <v>0.59010099999999999</v>
      </c>
      <c r="P24">
        <v>0.58652400000000005</v>
      </c>
      <c r="Q24">
        <v>0.58923199999999998</v>
      </c>
      <c r="R24">
        <v>0.59127300000000005</v>
      </c>
      <c r="S24">
        <v>0.58212699999999995</v>
      </c>
      <c r="T24">
        <v>0.57976000000000005</v>
      </c>
      <c r="U24">
        <v>0.58059099999999997</v>
      </c>
      <c r="V24">
        <v>0.58638599999999996</v>
      </c>
      <c r="W24">
        <v>0.59287199999999995</v>
      </c>
      <c r="X24">
        <v>0.59863100000000002</v>
      </c>
      <c r="Y24">
        <v>0.60402400000000001</v>
      </c>
      <c r="Z24">
        <v>0.60733199999999998</v>
      </c>
      <c r="AA24">
        <v>0.61277999999999999</v>
      </c>
      <c r="AB24">
        <v>0.61695800000000001</v>
      </c>
      <c r="AC24">
        <v>0.62391099999999999</v>
      </c>
      <c r="AD24">
        <v>0.62207299999999999</v>
      </c>
      <c r="AE24">
        <v>0.62527699999999997</v>
      </c>
      <c r="AF24">
        <v>0.63333099999999998</v>
      </c>
      <c r="AG24">
        <v>0.64127299999999998</v>
      </c>
      <c r="AH24">
        <v>0.64836700000000003</v>
      </c>
      <c r="AI24">
        <v>0.65355099999999999</v>
      </c>
      <c r="AJ24" s="9">
        <v>-3.0000000000000001E-3</v>
      </c>
    </row>
    <row r="25" spans="1:38" x14ac:dyDescent="0.25">
      <c r="A25" t="s">
        <v>1477</v>
      </c>
      <c r="B25" t="s">
        <v>1679</v>
      </c>
      <c r="C25" t="s">
        <v>1680</v>
      </c>
      <c r="D25" t="s">
        <v>1402</v>
      </c>
      <c r="F25">
        <v>10.85676</v>
      </c>
      <c r="G25">
        <v>10.377003</v>
      </c>
      <c r="H25">
        <v>10.576644</v>
      </c>
      <c r="I25">
        <v>10.506159</v>
      </c>
      <c r="J25">
        <v>10.184333000000001</v>
      </c>
      <c r="K25">
        <v>10.036098000000001</v>
      </c>
      <c r="L25">
        <v>9.7593750000000004</v>
      </c>
      <c r="M25">
        <v>9.9531510000000001</v>
      </c>
      <c r="N25">
        <v>9.8454479999999993</v>
      </c>
      <c r="O25">
        <v>9.6197300000000006</v>
      </c>
      <c r="P25">
        <v>9.4766659999999998</v>
      </c>
      <c r="Q25">
        <v>9.4604970000000002</v>
      </c>
      <c r="R25">
        <v>9.6287029999999998</v>
      </c>
      <c r="S25">
        <v>9.3905619999999992</v>
      </c>
      <c r="T25">
        <v>9.1399519999999992</v>
      </c>
      <c r="U25">
        <v>9.015231</v>
      </c>
      <c r="V25">
        <v>9.1330899999999993</v>
      </c>
      <c r="W25">
        <v>9.2753519999999998</v>
      </c>
      <c r="X25">
        <v>9.4306640000000002</v>
      </c>
      <c r="Y25">
        <v>9.577788</v>
      </c>
      <c r="Z25">
        <v>9.6641560000000002</v>
      </c>
      <c r="AA25">
        <v>9.7711950000000005</v>
      </c>
      <c r="AB25">
        <v>9.9304769999999998</v>
      </c>
      <c r="AC25">
        <v>10.016788</v>
      </c>
      <c r="AD25">
        <v>10.116599000000001</v>
      </c>
      <c r="AE25">
        <v>10.267536</v>
      </c>
      <c r="AF25">
        <v>10.414911999999999</v>
      </c>
      <c r="AG25">
        <v>10.562379999999999</v>
      </c>
      <c r="AH25">
        <v>10.685131999999999</v>
      </c>
      <c r="AI25">
        <v>10.88083</v>
      </c>
      <c r="AJ25" s="9">
        <v>0</v>
      </c>
    </row>
    <row r="26" spans="1:38" x14ac:dyDescent="0.25">
      <c r="A26" t="s">
        <v>1517</v>
      </c>
      <c r="B26" t="s">
        <v>1681</v>
      </c>
      <c r="C26" t="s">
        <v>1682</v>
      </c>
      <c r="D26" t="s">
        <v>1402</v>
      </c>
      <c r="F26">
        <v>0.207672</v>
      </c>
      <c r="G26">
        <v>0.26773599999999997</v>
      </c>
      <c r="H26">
        <v>0.28345500000000001</v>
      </c>
      <c r="I26">
        <v>0.30704500000000001</v>
      </c>
      <c r="J26">
        <v>0.31326700000000002</v>
      </c>
      <c r="K26">
        <v>0.33264899999999997</v>
      </c>
      <c r="L26">
        <v>0.34648899999999999</v>
      </c>
      <c r="M26">
        <v>0.348215</v>
      </c>
      <c r="N26">
        <v>0.33709499999999998</v>
      </c>
      <c r="O26">
        <v>0.32994299999999999</v>
      </c>
      <c r="P26">
        <v>0.32772400000000002</v>
      </c>
      <c r="Q26">
        <v>0.33276899999999998</v>
      </c>
      <c r="R26">
        <v>0.31589099999999998</v>
      </c>
      <c r="S26">
        <v>0.31374000000000002</v>
      </c>
      <c r="T26">
        <v>0.313946</v>
      </c>
      <c r="U26">
        <v>0.30716300000000002</v>
      </c>
      <c r="V26">
        <v>0.30701600000000001</v>
      </c>
      <c r="W26">
        <v>0.30524800000000002</v>
      </c>
      <c r="X26">
        <v>0.29979699999999998</v>
      </c>
      <c r="Y26">
        <v>0.29915799999999998</v>
      </c>
      <c r="Z26">
        <v>0.305197</v>
      </c>
      <c r="AA26">
        <v>0.30376599999999998</v>
      </c>
      <c r="AB26">
        <v>0.30388100000000001</v>
      </c>
      <c r="AC26">
        <v>0.303232</v>
      </c>
      <c r="AD26">
        <v>0.29286600000000002</v>
      </c>
      <c r="AE26">
        <v>0.28608099999999997</v>
      </c>
      <c r="AF26">
        <v>0.314772</v>
      </c>
      <c r="AG26">
        <v>0.31383299999999997</v>
      </c>
      <c r="AH26">
        <v>0.31471399999999999</v>
      </c>
      <c r="AI26">
        <v>0.31636399999999998</v>
      </c>
      <c r="AJ26" t="s">
        <v>1409</v>
      </c>
    </row>
    <row r="27" spans="1:38" x14ac:dyDescent="0.25">
      <c r="A27" t="s">
        <v>1514</v>
      </c>
      <c r="C27" t="s">
        <v>1620</v>
      </c>
    </row>
    <row r="28" spans="1:38" s="10" customFormat="1" x14ac:dyDescent="0.25">
      <c r="A28" s="10" t="s">
        <v>1498</v>
      </c>
      <c r="C28" s="10" t="s">
        <v>1619</v>
      </c>
    </row>
    <row r="29" spans="1:38" s="10" customFormat="1" x14ac:dyDescent="0.25">
      <c r="A29" s="10" t="s">
        <v>1618</v>
      </c>
      <c r="B29" s="10" t="s">
        <v>1683</v>
      </c>
      <c r="C29" s="10" t="s">
        <v>1684</v>
      </c>
      <c r="D29" s="10" t="s">
        <v>1617</v>
      </c>
      <c r="F29" s="10">
        <v>4.115437</v>
      </c>
      <c r="G29" s="10">
        <v>3.8375569999999999</v>
      </c>
      <c r="H29" s="10">
        <v>3.4711470000000002</v>
      </c>
      <c r="I29" s="10">
        <v>3.1265849999999999</v>
      </c>
      <c r="J29" s="10">
        <v>2.9537409999999999</v>
      </c>
      <c r="K29" s="10">
        <v>2.9069660000000002</v>
      </c>
      <c r="L29" s="10">
        <v>2.9545490000000001</v>
      </c>
      <c r="M29" s="10">
        <v>3.1361569999999999</v>
      </c>
      <c r="N29" s="10">
        <v>3.2922310000000001</v>
      </c>
      <c r="O29" s="10">
        <v>3.3889710000000002</v>
      </c>
      <c r="P29" s="10">
        <v>3.4544480000000002</v>
      </c>
      <c r="Q29" s="10">
        <v>3.4918580000000001</v>
      </c>
      <c r="R29" s="10">
        <v>3.5932900000000001</v>
      </c>
      <c r="S29" s="10">
        <v>3.5941529999999999</v>
      </c>
      <c r="T29" s="10">
        <v>3.5243639999999998</v>
      </c>
      <c r="U29" s="10">
        <v>3.4853049999999999</v>
      </c>
      <c r="V29" s="10">
        <v>3.4869300000000001</v>
      </c>
      <c r="W29" s="10">
        <v>3.5182699999999998</v>
      </c>
      <c r="X29" s="10">
        <v>3.5456129999999999</v>
      </c>
      <c r="Y29" s="10">
        <v>3.577658</v>
      </c>
      <c r="Z29" s="10">
        <v>3.6346500000000002</v>
      </c>
      <c r="AA29" s="10">
        <v>3.6520290000000002</v>
      </c>
      <c r="AB29" s="10">
        <v>3.5895619999999999</v>
      </c>
      <c r="AC29" s="10">
        <v>3.5611259999999998</v>
      </c>
      <c r="AD29" s="10">
        <v>3.4696760000000002</v>
      </c>
      <c r="AE29" s="10">
        <v>3.4253659999999999</v>
      </c>
      <c r="AF29" s="10">
        <v>3.400315</v>
      </c>
      <c r="AG29" s="10">
        <v>3.3924319999999999</v>
      </c>
      <c r="AH29" s="10">
        <v>3.4035679999999999</v>
      </c>
      <c r="AI29" s="10">
        <v>3.4095119999999999</v>
      </c>
      <c r="AJ29" s="11">
        <v>-6.0000000000000001E-3</v>
      </c>
    </row>
    <row r="30" spans="1:38" x14ac:dyDescent="0.25">
      <c r="A30" t="s">
        <v>1492</v>
      </c>
      <c r="C30" t="s">
        <v>1616</v>
      </c>
    </row>
    <row r="31" spans="1:38" x14ac:dyDescent="0.25">
      <c r="A31" t="s">
        <v>1615</v>
      </c>
      <c r="C31" t="s">
        <v>1614</v>
      </c>
    </row>
    <row r="32" spans="1:38" x14ac:dyDescent="0.25">
      <c r="A32" t="s">
        <v>1488</v>
      </c>
      <c r="B32" t="s">
        <v>1685</v>
      </c>
      <c r="C32" t="s">
        <v>1686</v>
      </c>
      <c r="D32" t="s">
        <v>1613</v>
      </c>
      <c r="F32">
        <v>12.171644000000001</v>
      </c>
      <c r="G32">
        <v>12.625864999999999</v>
      </c>
      <c r="H32">
        <v>11.979865999999999</v>
      </c>
      <c r="I32">
        <v>11.480212999999999</v>
      </c>
      <c r="J32">
        <v>11.157558999999999</v>
      </c>
      <c r="K32">
        <v>10.968821</v>
      </c>
      <c r="L32">
        <v>10.837678</v>
      </c>
      <c r="M32">
        <v>10.981541</v>
      </c>
      <c r="N32">
        <v>11.152151</v>
      </c>
      <c r="O32">
        <v>11.246775</v>
      </c>
      <c r="P32">
        <v>11.342472000000001</v>
      </c>
      <c r="Q32">
        <v>11.688359999999999</v>
      </c>
      <c r="R32">
        <v>11.833169</v>
      </c>
      <c r="S32">
        <v>11.888336000000001</v>
      </c>
      <c r="T32">
        <v>11.888529999999999</v>
      </c>
      <c r="U32">
        <v>11.856069</v>
      </c>
      <c r="V32">
        <v>11.895705</v>
      </c>
      <c r="W32">
        <v>11.930014999999999</v>
      </c>
      <c r="X32">
        <v>11.970271</v>
      </c>
      <c r="Y32">
        <v>12.000363</v>
      </c>
      <c r="Z32">
        <v>12.084125999999999</v>
      </c>
      <c r="AA32">
        <v>12.079756</v>
      </c>
      <c r="AB32">
        <v>12.043774000000001</v>
      </c>
      <c r="AC32">
        <v>12.028834</v>
      </c>
      <c r="AD32">
        <v>11.998742</v>
      </c>
      <c r="AE32">
        <v>11.996384000000001</v>
      </c>
      <c r="AF32">
        <v>12.001075</v>
      </c>
      <c r="AG32">
        <v>12.006783</v>
      </c>
      <c r="AH32">
        <v>12.045881</v>
      </c>
      <c r="AI32">
        <v>12.069625</v>
      </c>
      <c r="AJ32" s="9">
        <v>0</v>
      </c>
    </row>
    <row r="33" spans="1:36" x14ac:dyDescent="0.25">
      <c r="A33" t="s">
        <v>1485</v>
      </c>
      <c r="B33" t="s">
        <v>1687</v>
      </c>
      <c r="C33" t="s">
        <v>1688</v>
      </c>
      <c r="D33" t="s">
        <v>1613</v>
      </c>
      <c r="F33">
        <v>8.7718389999999999</v>
      </c>
      <c r="G33">
        <v>9.1625669999999992</v>
      </c>
      <c r="H33">
        <v>8.8283839999999998</v>
      </c>
      <c r="I33">
        <v>8.4996670000000005</v>
      </c>
      <c r="J33">
        <v>8.3305900000000008</v>
      </c>
      <c r="K33">
        <v>8.2814259999999997</v>
      </c>
      <c r="L33">
        <v>8.2733539999999994</v>
      </c>
      <c r="M33">
        <v>8.3990840000000002</v>
      </c>
      <c r="N33">
        <v>8.5446329999999993</v>
      </c>
      <c r="O33">
        <v>8.6167649999999991</v>
      </c>
      <c r="P33">
        <v>8.6901229999999998</v>
      </c>
      <c r="Q33">
        <v>8.9053620000000002</v>
      </c>
      <c r="R33">
        <v>9.0087440000000001</v>
      </c>
      <c r="S33">
        <v>9.0377559999999999</v>
      </c>
      <c r="T33">
        <v>9.0094159999999999</v>
      </c>
      <c r="U33">
        <v>8.9635499999999997</v>
      </c>
      <c r="V33">
        <v>8.9891290000000001</v>
      </c>
      <c r="W33">
        <v>9.0116809999999994</v>
      </c>
      <c r="X33">
        <v>9.040559</v>
      </c>
      <c r="Y33">
        <v>9.060416</v>
      </c>
      <c r="Z33">
        <v>9.1320759999999996</v>
      </c>
      <c r="AA33">
        <v>9.1163790000000002</v>
      </c>
      <c r="AB33">
        <v>9.0693239999999999</v>
      </c>
      <c r="AC33">
        <v>9.0453329999999994</v>
      </c>
      <c r="AD33">
        <v>9.0070519999999998</v>
      </c>
      <c r="AE33">
        <v>8.9956340000000008</v>
      </c>
      <c r="AF33">
        <v>8.9924300000000006</v>
      </c>
      <c r="AG33">
        <v>8.9909730000000003</v>
      </c>
      <c r="AH33">
        <v>9.0222990000000003</v>
      </c>
      <c r="AI33">
        <v>9.0395420000000009</v>
      </c>
      <c r="AJ33" s="9">
        <v>1E-3</v>
      </c>
    </row>
    <row r="34" spans="1:36" x14ac:dyDescent="0.25">
      <c r="A34" t="s">
        <v>1482</v>
      </c>
      <c r="B34" t="s">
        <v>1689</v>
      </c>
      <c r="C34" t="s">
        <v>1690</v>
      </c>
      <c r="D34" t="s">
        <v>1613</v>
      </c>
      <c r="F34">
        <v>5.269056</v>
      </c>
      <c r="G34">
        <v>5.0323599999999997</v>
      </c>
      <c r="H34">
        <v>4.6879999999999997</v>
      </c>
      <c r="I34">
        <v>4.3174679999999999</v>
      </c>
      <c r="J34">
        <v>4.135796</v>
      </c>
      <c r="K34">
        <v>4.0794309999999996</v>
      </c>
      <c r="L34">
        <v>4.1113629999999999</v>
      </c>
      <c r="M34">
        <v>4.275023</v>
      </c>
      <c r="N34">
        <v>4.428134</v>
      </c>
      <c r="O34">
        <v>4.5177440000000004</v>
      </c>
      <c r="P34">
        <v>4.5773539999999997</v>
      </c>
      <c r="Q34">
        <v>4.5768800000000001</v>
      </c>
      <c r="R34">
        <v>4.6773660000000001</v>
      </c>
      <c r="S34">
        <v>4.6825469999999996</v>
      </c>
      <c r="T34">
        <v>4.6090109999999997</v>
      </c>
      <c r="U34">
        <v>4.5562690000000003</v>
      </c>
      <c r="V34">
        <v>4.5549059999999999</v>
      </c>
      <c r="W34">
        <v>4.5776630000000003</v>
      </c>
      <c r="X34">
        <v>4.5991119999999999</v>
      </c>
      <c r="Y34">
        <v>4.6223780000000003</v>
      </c>
      <c r="Z34">
        <v>4.6788650000000001</v>
      </c>
      <c r="AA34">
        <v>4.6864309999999998</v>
      </c>
      <c r="AB34">
        <v>4.6209639999999998</v>
      </c>
      <c r="AC34">
        <v>4.584721</v>
      </c>
      <c r="AD34">
        <v>4.5089540000000001</v>
      </c>
      <c r="AE34">
        <v>4.4777050000000003</v>
      </c>
      <c r="AF34">
        <v>4.4585059999999999</v>
      </c>
      <c r="AG34">
        <v>4.4528239999999997</v>
      </c>
      <c r="AH34">
        <v>4.4633039999999999</v>
      </c>
      <c r="AI34">
        <v>4.471565</v>
      </c>
      <c r="AJ34" s="9">
        <v>-6.0000000000000001E-3</v>
      </c>
    </row>
    <row r="35" spans="1:36" x14ac:dyDescent="0.25">
      <c r="A35" t="s">
        <v>65</v>
      </c>
      <c r="B35" t="s">
        <v>1691</v>
      </c>
      <c r="C35" t="s">
        <v>1692</v>
      </c>
      <c r="D35" t="s">
        <v>1613</v>
      </c>
      <c r="F35">
        <v>15.22551</v>
      </c>
      <c r="G35">
        <v>15.189867</v>
      </c>
      <c r="H35">
        <v>14.413707</v>
      </c>
      <c r="I35">
        <v>13.82573</v>
      </c>
      <c r="J35">
        <v>13.402384</v>
      </c>
      <c r="K35">
        <v>13.030856</v>
      </c>
      <c r="L35">
        <v>12.741631</v>
      </c>
      <c r="M35">
        <v>12.603173</v>
      </c>
      <c r="N35">
        <v>12.474068000000001</v>
      </c>
      <c r="O35">
        <v>12.308930999999999</v>
      </c>
      <c r="P35">
        <v>12.141323</v>
      </c>
      <c r="Q35">
        <v>12.813326999999999</v>
      </c>
      <c r="R35">
        <v>12.722208</v>
      </c>
      <c r="S35">
        <v>12.575328000000001</v>
      </c>
      <c r="T35">
        <v>12.466469999999999</v>
      </c>
      <c r="U35">
        <v>12.278451</v>
      </c>
      <c r="V35">
        <v>12.158415</v>
      </c>
      <c r="W35">
        <v>12.07103</v>
      </c>
      <c r="X35">
        <v>11.987043999999999</v>
      </c>
      <c r="Y35">
        <v>11.964777</v>
      </c>
      <c r="Z35">
        <v>11.952209</v>
      </c>
      <c r="AA35">
        <v>11.886301</v>
      </c>
      <c r="AB35">
        <v>11.783961</v>
      </c>
      <c r="AC35">
        <v>11.709951999999999</v>
      </c>
      <c r="AD35">
        <v>11.603604000000001</v>
      </c>
      <c r="AE35">
        <v>11.546721</v>
      </c>
      <c r="AF35">
        <v>11.496274</v>
      </c>
      <c r="AG35">
        <v>11.448224</v>
      </c>
      <c r="AH35">
        <v>11.422692</v>
      </c>
      <c r="AI35">
        <v>11.379571</v>
      </c>
      <c r="AJ35" s="9">
        <v>-0.01</v>
      </c>
    </row>
    <row r="36" spans="1:36" x14ac:dyDescent="0.25">
      <c r="A36" t="s">
        <v>1477</v>
      </c>
      <c r="B36" t="s">
        <v>1693</v>
      </c>
      <c r="C36" t="s">
        <v>1694</v>
      </c>
      <c r="D36" t="s">
        <v>1613</v>
      </c>
      <c r="F36">
        <v>5.3328569999999997</v>
      </c>
      <c r="G36">
        <v>4.1786479999999999</v>
      </c>
      <c r="H36">
        <v>3.8859050000000002</v>
      </c>
      <c r="I36">
        <v>3.547021</v>
      </c>
      <c r="J36">
        <v>3.377793</v>
      </c>
      <c r="K36">
        <v>3.3424209999999999</v>
      </c>
      <c r="L36">
        <v>3.3817219999999999</v>
      </c>
      <c r="M36">
        <v>3.5565630000000001</v>
      </c>
      <c r="N36">
        <v>3.6888589999999999</v>
      </c>
      <c r="O36">
        <v>3.7638340000000001</v>
      </c>
      <c r="P36">
        <v>3.8078729999999998</v>
      </c>
      <c r="Q36">
        <v>3.82572</v>
      </c>
      <c r="R36">
        <v>3.921008</v>
      </c>
      <c r="S36">
        <v>3.9041769999999998</v>
      </c>
      <c r="T36">
        <v>3.798467</v>
      </c>
      <c r="U36">
        <v>3.7502710000000001</v>
      </c>
      <c r="V36">
        <v>3.7447689999999998</v>
      </c>
      <c r="W36">
        <v>3.7679390000000001</v>
      </c>
      <c r="X36">
        <v>3.7935089999999998</v>
      </c>
      <c r="Y36">
        <v>3.8296790000000001</v>
      </c>
      <c r="Z36">
        <v>3.882215</v>
      </c>
      <c r="AA36">
        <v>3.8812389999999999</v>
      </c>
      <c r="AB36">
        <v>3.8030529999999998</v>
      </c>
      <c r="AC36">
        <v>3.7650030000000001</v>
      </c>
      <c r="AD36">
        <v>3.692361</v>
      </c>
      <c r="AE36">
        <v>3.6663199999999998</v>
      </c>
      <c r="AF36">
        <v>3.6504379999999998</v>
      </c>
      <c r="AG36">
        <v>3.6544240000000001</v>
      </c>
      <c r="AH36">
        <v>3.6603500000000002</v>
      </c>
      <c r="AI36">
        <v>3.687017</v>
      </c>
      <c r="AJ36" s="9">
        <v>-1.2999999999999999E-2</v>
      </c>
    </row>
    <row r="37" spans="1:36" x14ac:dyDescent="0.25">
      <c r="A37" t="s">
        <v>1474</v>
      </c>
      <c r="B37" t="s">
        <v>1695</v>
      </c>
      <c r="C37" t="s">
        <v>1696</v>
      </c>
      <c r="D37" t="s">
        <v>1613</v>
      </c>
      <c r="F37">
        <v>6.9759460000000004</v>
      </c>
      <c r="G37">
        <v>6.6352909999999996</v>
      </c>
      <c r="H37">
        <v>6.2298390000000001</v>
      </c>
      <c r="I37">
        <v>5.8627140000000004</v>
      </c>
      <c r="J37">
        <v>5.6907709999999998</v>
      </c>
      <c r="K37">
        <v>5.630795</v>
      </c>
      <c r="L37">
        <v>5.6567980000000002</v>
      </c>
      <c r="M37">
        <v>5.7990690000000003</v>
      </c>
      <c r="N37">
        <v>5.9535470000000004</v>
      </c>
      <c r="O37">
        <v>6.0531079999999999</v>
      </c>
      <c r="P37">
        <v>6.1257080000000004</v>
      </c>
      <c r="Q37">
        <v>6.2277050000000003</v>
      </c>
      <c r="R37">
        <v>6.3160069999999999</v>
      </c>
      <c r="S37">
        <v>6.3439779999999999</v>
      </c>
      <c r="T37">
        <v>6.3016649999999998</v>
      </c>
      <c r="U37">
        <v>6.2640909999999996</v>
      </c>
      <c r="V37">
        <v>6.2593949999999996</v>
      </c>
      <c r="W37">
        <v>6.2681370000000003</v>
      </c>
      <c r="X37">
        <v>6.2780110000000002</v>
      </c>
      <c r="Y37">
        <v>6.2927070000000001</v>
      </c>
      <c r="Z37">
        <v>6.3449989999999996</v>
      </c>
      <c r="AA37">
        <v>6.332001</v>
      </c>
      <c r="AB37">
        <v>6.253158</v>
      </c>
      <c r="AC37">
        <v>6.2136670000000001</v>
      </c>
      <c r="AD37">
        <v>6.1424620000000001</v>
      </c>
      <c r="AE37">
        <v>6.1050120000000003</v>
      </c>
      <c r="AF37">
        <v>6.0776450000000004</v>
      </c>
      <c r="AG37">
        <v>6.0640499999999999</v>
      </c>
      <c r="AH37">
        <v>6.0674970000000004</v>
      </c>
      <c r="AI37">
        <v>6.0641800000000003</v>
      </c>
      <c r="AJ37" s="9">
        <v>-5.0000000000000001E-3</v>
      </c>
    </row>
    <row r="38" spans="1:36" x14ac:dyDescent="0.25">
      <c r="A38" t="s">
        <v>1498</v>
      </c>
      <c r="C38" t="s">
        <v>1612</v>
      </c>
    </row>
    <row r="39" spans="1:36" x14ac:dyDescent="0.25">
      <c r="A39" t="s">
        <v>1496</v>
      </c>
      <c r="B39" t="s">
        <v>1683</v>
      </c>
      <c r="C39" t="s">
        <v>1697</v>
      </c>
      <c r="D39" t="s">
        <v>1493</v>
      </c>
      <c r="F39">
        <v>4.115437</v>
      </c>
      <c r="G39">
        <v>3.9611290000000001</v>
      </c>
      <c r="H39">
        <v>3.67353</v>
      </c>
      <c r="I39">
        <v>3.4075790000000001</v>
      </c>
      <c r="J39">
        <v>3.3212229999999998</v>
      </c>
      <c r="K39">
        <v>3.3800460000000001</v>
      </c>
      <c r="L39">
        <v>3.55681</v>
      </c>
      <c r="M39">
        <v>3.9095469999999999</v>
      </c>
      <c r="N39">
        <v>4.247153</v>
      </c>
      <c r="O39">
        <v>4.519075</v>
      </c>
      <c r="P39">
        <v>4.7598940000000001</v>
      </c>
      <c r="Q39">
        <v>4.9673059999999998</v>
      </c>
      <c r="R39">
        <v>5.2783959999999999</v>
      </c>
      <c r="S39">
        <v>5.4561140000000004</v>
      </c>
      <c r="T39">
        <v>5.5328049999999998</v>
      </c>
      <c r="U39">
        <v>5.6597249999999999</v>
      </c>
      <c r="V39">
        <v>5.8587119999999997</v>
      </c>
      <c r="W39">
        <v>6.1161620000000001</v>
      </c>
      <c r="X39">
        <v>6.3736819999999996</v>
      </c>
      <c r="Y39">
        <v>6.6530069999999997</v>
      </c>
      <c r="Z39">
        <v>6.9911810000000001</v>
      </c>
      <c r="AA39">
        <v>7.266311</v>
      </c>
      <c r="AB39">
        <v>7.3853030000000004</v>
      </c>
      <c r="AC39">
        <v>7.5735729999999997</v>
      </c>
      <c r="AD39">
        <v>7.6262499999999998</v>
      </c>
      <c r="AE39">
        <v>7.7810519999999999</v>
      </c>
      <c r="AF39">
        <v>7.9827640000000004</v>
      </c>
      <c r="AG39">
        <v>8.2286110000000008</v>
      </c>
      <c r="AH39">
        <v>8.5252770000000009</v>
      </c>
      <c r="AI39">
        <v>8.8140680000000007</v>
      </c>
      <c r="AJ39" s="9">
        <v>2.7E-2</v>
      </c>
    </row>
    <row r="40" spans="1:36" x14ac:dyDescent="0.25">
      <c r="A40" t="s">
        <v>1492</v>
      </c>
      <c r="C40" t="s">
        <v>1611</v>
      </c>
    </row>
    <row r="41" spans="1:36" x14ac:dyDescent="0.25">
      <c r="A41" t="s">
        <v>1490</v>
      </c>
      <c r="C41" t="s">
        <v>1610</v>
      </c>
    </row>
    <row r="42" spans="1:36" x14ac:dyDescent="0.25">
      <c r="A42" t="s">
        <v>1488</v>
      </c>
      <c r="B42" t="s">
        <v>1685</v>
      </c>
      <c r="C42" t="s">
        <v>1698</v>
      </c>
      <c r="D42" t="s">
        <v>1471</v>
      </c>
      <c r="F42">
        <v>12.171644000000001</v>
      </c>
      <c r="G42">
        <v>13.032427</v>
      </c>
      <c r="H42">
        <v>12.678345</v>
      </c>
      <c r="I42">
        <v>12.511969000000001</v>
      </c>
      <c r="J42">
        <v>12.5457</v>
      </c>
      <c r="K42">
        <v>12.753887000000001</v>
      </c>
      <c r="L42">
        <v>13.046851</v>
      </c>
      <c r="M42">
        <v>13.689635000000001</v>
      </c>
      <c r="N42">
        <v>14.386865999999999</v>
      </c>
      <c r="O42">
        <v>14.997185999999999</v>
      </c>
      <c r="P42">
        <v>15.628823000000001</v>
      </c>
      <c r="Q42">
        <v>16.627151000000001</v>
      </c>
      <c r="R42">
        <v>17.382442000000001</v>
      </c>
      <c r="S42">
        <v>18.047121000000001</v>
      </c>
      <c r="T42">
        <v>18.663485999999999</v>
      </c>
      <c r="U42">
        <v>19.252860999999999</v>
      </c>
      <c r="V42">
        <v>19.987069999999999</v>
      </c>
      <c r="W42">
        <v>20.739139999999999</v>
      </c>
      <c r="X42">
        <v>21.518059000000001</v>
      </c>
      <c r="Y42">
        <v>22.315857000000001</v>
      </c>
      <c r="Z42">
        <v>23.243590999999999</v>
      </c>
      <c r="AA42">
        <v>24.034658</v>
      </c>
      <c r="AB42">
        <v>24.779325</v>
      </c>
      <c r="AC42">
        <v>25.582144</v>
      </c>
      <c r="AD42">
        <v>26.372893999999999</v>
      </c>
      <c r="AE42">
        <v>27.250955999999999</v>
      </c>
      <c r="AF42">
        <v>28.174375999999999</v>
      </c>
      <c r="AG42">
        <v>29.1234</v>
      </c>
      <c r="AH42">
        <v>30.172592000000002</v>
      </c>
      <c r="AI42">
        <v>31.201681000000001</v>
      </c>
      <c r="AJ42" s="9">
        <v>3.3000000000000002E-2</v>
      </c>
    </row>
    <row r="43" spans="1:36" x14ac:dyDescent="0.25">
      <c r="A43" t="s">
        <v>1485</v>
      </c>
      <c r="B43" t="s">
        <v>1687</v>
      </c>
      <c r="C43" t="s">
        <v>1699</v>
      </c>
      <c r="D43" t="s">
        <v>1471</v>
      </c>
      <c r="F43">
        <v>8.7718389999999999</v>
      </c>
      <c r="G43">
        <v>9.4576080000000005</v>
      </c>
      <c r="H43">
        <v>9.3431180000000005</v>
      </c>
      <c r="I43">
        <v>9.2635539999999992</v>
      </c>
      <c r="J43">
        <v>9.3670209999999994</v>
      </c>
      <c r="K43">
        <v>9.6291469999999997</v>
      </c>
      <c r="L43">
        <v>9.9598099999999992</v>
      </c>
      <c r="M43">
        <v>10.470333</v>
      </c>
      <c r="N43">
        <v>11.023028999999999</v>
      </c>
      <c r="O43">
        <v>11.490159</v>
      </c>
      <c r="P43">
        <v>11.974144000000001</v>
      </c>
      <c r="Q43">
        <v>12.668225</v>
      </c>
      <c r="R43">
        <v>13.233478</v>
      </c>
      <c r="S43">
        <v>13.71979</v>
      </c>
      <c r="T43">
        <v>14.143641000000001</v>
      </c>
      <c r="U43">
        <v>14.555749</v>
      </c>
      <c r="V43">
        <v>15.103463</v>
      </c>
      <c r="W43">
        <v>15.665908</v>
      </c>
      <c r="X43">
        <v>16.251535000000001</v>
      </c>
      <c r="Y43">
        <v>16.848735999999999</v>
      </c>
      <c r="Z43">
        <v>17.565380000000001</v>
      </c>
      <c r="AA43">
        <v>18.138532999999999</v>
      </c>
      <c r="AB43">
        <v>18.659576000000001</v>
      </c>
      <c r="AC43">
        <v>19.237027999999999</v>
      </c>
      <c r="AD43">
        <v>19.797245</v>
      </c>
      <c r="AE43">
        <v>20.434460000000001</v>
      </c>
      <c r="AF43">
        <v>21.111115000000002</v>
      </c>
      <c r="AG43">
        <v>21.808311</v>
      </c>
      <c r="AH43">
        <v>22.599108000000001</v>
      </c>
      <c r="AI43">
        <v>23.368490000000001</v>
      </c>
      <c r="AJ43" s="9">
        <v>3.4000000000000002E-2</v>
      </c>
    </row>
    <row r="44" spans="1:36" x14ac:dyDescent="0.25">
      <c r="A44" t="s">
        <v>1482</v>
      </c>
      <c r="B44" t="s">
        <v>1689</v>
      </c>
      <c r="C44" t="s">
        <v>1700</v>
      </c>
      <c r="D44" t="s">
        <v>1471</v>
      </c>
      <c r="F44">
        <v>5.269056</v>
      </c>
      <c r="G44">
        <v>5.1944049999999997</v>
      </c>
      <c r="H44">
        <v>4.9613310000000004</v>
      </c>
      <c r="I44">
        <v>4.7054900000000002</v>
      </c>
      <c r="J44">
        <v>4.6503410000000001</v>
      </c>
      <c r="K44">
        <v>4.7433180000000004</v>
      </c>
      <c r="L44">
        <v>4.9494309999999997</v>
      </c>
      <c r="M44">
        <v>5.3292619999999999</v>
      </c>
      <c r="N44">
        <v>5.7125279999999998</v>
      </c>
      <c r="O44">
        <v>6.0242550000000001</v>
      </c>
      <c r="P44">
        <v>6.3071489999999999</v>
      </c>
      <c r="Q44">
        <v>6.5107920000000004</v>
      </c>
      <c r="R44">
        <v>6.8708600000000004</v>
      </c>
      <c r="S44">
        <v>7.1083530000000001</v>
      </c>
      <c r="T44">
        <v>7.235563</v>
      </c>
      <c r="U44">
        <v>7.3988449999999997</v>
      </c>
      <c r="V44">
        <v>7.6531159999999998</v>
      </c>
      <c r="W44">
        <v>7.9578100000000003</v>
      </c>
      <c r="X44">
        <v>8.2674780000000005</v>
      </c>
      <c r="Y44">
        <v>8.5957670000000004</v>
      </c>
      <c r="Z44">
        <v>8.9997109999999996</v>
      </c>
      <c r="AA44">
        <v>9.3244260000000008</v>
      </c>
      <c r="AB44">
        <v>9.5073500000000006</v>
      </c>
      <c r="AC44">
        <v>9.7504860000000004</v>
      </c>
      <c r="AD44">
        <v>9.9105519999999991</v>
      </c>
      <c r="AE44">
        <v>10.171543</v>
      </c>
      <c r="AF44">
        <v>10.467029999999999</v>
      </c>
      <c r="AG44">
        <v>10.800675</v>
      </c>
      <c r="AH44">
        <v>11.179709000000001</v>
      </c>
      <c r="AI44">
        <v>11.559625</v>
      </c>
      <c r="AJ44" s="9">
        <v>2.7E-2</v>
      </c>
    </row>
    <row r="45" spans="1:36" x14ac:dyDescent="0.25">
      <c r="A45" t="s">
        <v>65</v>
      </c>
      <c r="B45" t="s">
        <v>1691</v>
      </c>
      <c r="C45" t="s">
        <v>1701</v>
      </c>
      <c r="D45" t="s">
        <v>1471</v>
      </c>
      <c r="F45">
        <v>15.22551</v>
      </c>
      <c r="G45">
        <v>15.678991</v>
      </c>
      <c r="H45">
        <v>15.254087999999999</v>
      </c>
      <c r="I45">
        <v>15.068284</v>
      </c>
      <c r="J45">
        <v>15.06981</v>
      </c>
      <c r="K45">
        <v>15.151498</v>
      </c>
      <c r="L45">
        <v>15.33891</v>
      </c>
      <c r="M45">
        <v>15.711169</v>
      </c>
      <c r="N45">
        <v>16.092209</v>
      </c>
      <c r="O45">
        <v>16.413536000000001</v>
      </c>
      <c r="P45">
        <v>16.729562999999999</v>
      </c>
      <c r="Q45">
        <v>18.227459</v>
      </c>
      <c r="R45">
        <v>18.688402</v>
      </c>
      <c r="S45">
        <v>19.090012000000002</v>
      </c>
      <c r="T45">
        <v>19.570778000000001</v>
      </c>
      <c r="U45">
        <v>19.938759000000001</v>
      </c>
      <c r="V45">
        <v>20.428473</v>
      </c>
      <c r="W45">
        <v>20.984282</v>
      </c>
      <c r="X45">
        <v>21.548210000000001</v>
      </c>
      <c r="Y45">
        <v>22.249680000000001</v>
      </c>
      <c r="Z45">
        <v>22.989854999999999</v>
      </c>
      <c r="AA45">
        <v>23.649747999999999</v>
      </c>
      <c r="AB45">
        <v>24.244778</v>
      </c>
      <c r="AC45">
        <v>24.903967000000002</v>
      </c>
      <c r="AD45">
        <v>25.504393</v>
      </c>
      <c r="AE45">
        <v>26.229502</v>
      </c>
      <c r="AF45">
        <v>26.989277000000001</v>
      </c>
      <c r="AG45">
        <v>27.76857</v>
      </c>
      <c r="AH45">
        <v>28.611628</v>
      </c>
      <c r="AI45">
        <v>29.417795000000002</v>
      </c>
      <c r="AJ45" s="9">
        <v>2.3E-2</v>
      </c>
    </row>
    <row r="46" spans="1:36" x14ac:dyDescent="0.25">
      <c r="A46" t="s">
        <v>1477</v>
      </c>
      <c r="B46" t="s">
        <v>1693</v>
      </c>
      <c r="C46" t="s">
        <v>1702</v>
      </c>
      <c r="D46" t="s">
        <v>1471</v>
      </c>
      <c r="F46">
        <v>5.3328569999999997</v>
      </c>
      <c r="G46">
        <v>4.3132029999999997</v>
      </c>
      <c r="H46">
        <v>4.1124710000000002</v>
      </c>
      <c r="I46">
        <v>3.8658009999999998</v>
      </c>
      <c r="J46">
        <v>3.7980330000000002</v>
      </c>
      <c r="K46">
        <v>3.8863660000000002</v>
      </c>
      <c r="L46">
        <v>4.071059</v>
      </c>
      <c r="M46">
        <v>4.4336270000000004</v>
      </c>
      <c r="N46">
        <v>4.7588229999999996</v>
      </c>
      <c r="O46">
        <v>5.0189430000000002</v>
      </c>
      <c r="P46">
        <v>5.24688</v>
      </c>
      <c r="Q46">
        <v>5.4422360000000003</v>
      </c>
      <c r="R46">
        <v>5.7598000000000003</v>
      </c>
      <c r="S46">
        <v>5.9267469999999998</v>
      </c>
      <c r="T46">
        <v>5.9631119999999997</v>
      </c>
      <c r="U46">
        <v>6.0899989999999997</v>
      </c>
      <c r="V46">
        <v>6.2919309999999999</v>
      </c>
      <c r="W46">
        <v>6.5501870000000002</v>
      </c>
      <c r="X46">
        <v>6.8193070000000002</v>
      </c>
      <c r="Y46">
        <v>7.1216650000000001</v>
      </c>
      <c r="Z46">
        <v>7.4673699999999998</v>
      </c>
      <c r="AA46">
        <v>7.7223620000000004</v>
      </c>
      <c r="AB46">
        <v>7.8245490000000002</v>
      </c>
      <c r="AC46">
        <v>8.0071650000000005</v>
      </c>
      <c r="AD46">
        <v>8.1157039999999991</v>
      </c>
      <c r="AE46">
        <v>8.3284029999999998</v>
      </c>
      <c r="AF46">
        <v>8.5699649999999998</v>
      </c>
      <c r="AG46">
        <v>8.8640930000000004</v>
      </c>
      <c r="AH46">
        <v>9.1684660000000004</v>
      </c>
      <c r="AI46">
        <v>9.5314580000000007</v>
      </c>
      <c r="AJ46" s="9">
        <v>0.02</v>
      </c>
    </row>
    <row r="47" spans="1:36" x14ac:dyDescent="0.25">
      <c r="A47" t="s">
        <v>1474</v>
      </c>
      <c r="B47" t="s">
        <v>1695</v>
      </c>
      <c r="C47" t="s">
        <v>1703</v>
      </c>
      <c r="D47" t="s">
        <v>1471</v>
      </c>
      <c r="F47">
        <v>6.9759460000000004</v>
      </c>
      <c r="G47">
        <v>6.8489519999999997</v>
      </c>
      <c r="H47">
        <v>6.5930660000000003</v>
      </c>
      <c r="I47">
        <v>6.3896110000000004</v>
      </c>
      <c r="J47">
        <v>6.3987749999999997</v>
      </c>
      <c r="K47">
        <v>6.5471510000000004</v>
      </c>
      <c r="L47">
        <v>6.8098910000000004</v>
      </c>
      <c r="M47">
        <v>7.2291449999999999</v>
      </c>
      <c r="N47">
        <v>7.6803910000000002</v>
      </c>
      <c r="O47">
        <v>8.0716110000000008</v>
      </c>
      <c r="P47">
        <v>8.4406300000000005</v>
      </c>
      <c r="Q47">
        <v>8.8591549999999994</v>
      </c>
      <c r="R47">
        <v>9.2779559999999996</v>
      </c>
      <c r="S47">
        <v>9.6304920000000003</v>
      </c>
      <c r="T47">
        <v>9.8928159999999998</v>
      </c>
      <c r="U47">
        <v>10.172147000000001</v>
      </c>
      <c r="V47">
        <v>10.516985</v>
      </c>
      <c r="W47">
        <v>10.89653</v>
      </c>
      <c r="X47">
        <v>11.28551</v>
      </c>
      <c r="Y47">
        <v>11.701908</v>
      </c>
      <c r="Z47">
        <v>12.204488</v>
      </c>
      <c r="AA47">
        <v>12.598556</v>
      </c>
      <c r="AB47">
        <v>12.865489</v>
      </c>
      <c r="AC47">
        <v>13.214824999999999</v>
      </c>
      <c r="AD47">
        <v>13.500958000000001</v>
      </c>
      <c r="AE47">
        <v>13.868131</v>
      </c>
      <c r="AF47">
        <v>14.268209000000001</v>
      </c>
      <c r="AG47">
        <v>14.708831</v>
      </c>
      <c r="AH47">
        <v>15.197901999999999</v>
      </c>
      <c r="AI47">
        <v>15.67676</v>
      </c>
      <c r="AJ47" s="9">
        <v>2.8000000000000001E-2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4"/>
  <sheetViews>
    <sheetView topLeftCell="A10" workbookViewId="0">
      <selection activeCell="A23" sqref="A23:XFD23"/>
    </sheetView>
  </sheetViews>
  <sheetFormatPr baseColWidth="10" defaultColWidth="9.140625" defaultRowHeight="15" x14ac:dyDescent="0.25"/>
  <cols>
    <col min="1" max="1" width="41.28515625" customWidth="1"/>
    <col min="2" max="2" width="51.28515625" customWidth="1"/>
  </cols>
  <sheetData>
    <row r="1" spans="1:37" x14ac:dyDescent="0.25">
      <c r="A1" t="s">
        <v>1389</v>
      </c>
    </row>
    <row r="2" spans="1:37" x14ac:dyDescent="0.25">
      <c r="A2" t="s">
        <v>1390</v>
      </c>
    </row>
    <row r="3" spans="1:37" x14ac:dyDescent="0.25">
      <c r="A3" t="s">
        <v>1391</v>
      </c>
    </row>
    <row r="4" spans="1:37" x14ac:dyDescent="0.25">
      <c r="A4" t="s">
        <v>1392</v>
      </c>
    </row>
    <row r="5" spans="1:37" x14ac:dyDescent="0.25">
      <c r="B5" t="s">
        <v>1393</v>
      </c>
      <c r="C5" t="s">
        <v>1394</v>
      </c>
      <c r="D5" t="s">
        <v>1395</v>
      </c>
      <c r="E5">
        <v>2019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1396</v>
      </c>
    </row>
    <row r="6" spans="1:37" x14ac:dyDescent="0.25">
      <c r="A6" t="s">
        <v>1397</v>
      </c>
      <c r="C6" t="s">
        <v>1398</v>
      </c>
    </row>
    <row r="7" spans="1:37" x14ac:dyDescent="0.25">
      <c r="A7" t="s">
        <v>1399</v>
      </c>
      <c r="B7" t="s">
        <v>1400</v>
      </c>
      <c r="C7" t="s">
        <v>1401</v>
      </c>
      <c r="D7" t="s">
        <v>1402</v>
      </c>
      <c r="F7">
        <v>2.5918450000000002</v>
      </c>
      <c r="G7">
        <v>2.6588880000000001</v>
      </c>
      <c r="H7">
        <v>2.5813350000000002</v>
      </c>
      <c r="I7">
        <v>2.2337400000000001</v>
      </c>
      <c r="J7">
        <v>2.0225580000000001</v>
      </c>
      <c r="K7">
        <v>2.1545269999999999</v>
      </c>
      <c r="L7">
        <v>2.254248</v>
      </c>
      <c r="M7">
        <v>2.1726299999999998</v>
      </c>
      <c r="N7">
        <v>2.0596580000000002</v>
      </c>
      <c r="O7">
        <v>1.9330339999999999</v>
      </c>
      <c r="P7">
        <v>1.705166</v>
      </c>
      <c r="Q7">
        <v>1.695373</v>
      </c>
      <c r="R7">
        <v>1.5883830000000001</v>
      </c>
      <c r="S7">
        <v>1.443764</v>
      </c>
      <c r="T7">
        <v>1.408442</v>
      </c>
      <c r="U7">
        <v>1.381659</v>
      </c>
      <c r="V7">
        <v>1.3726780000000001</v>
      </c>
      <c r="W7">
        <v>1.378547</v>
      </c>
      <c r="X7">
        <v>1.3728880000000001</v>
      </c>
      <c r="Y7">
        <v>1.3533390000000001</v>
      </c>
      <c r="Z7">
        <v>1.349054</v>
      </c>
      <c r="AA7">
        <v>1.3399080000000001</v>
      </c>
      <c r="AB7">
        <v>1.309852</v>
      </c>
      <c r="AC7">
        <v>1.2596620000000001</v>
      </c>
      <c r="AD7">
        <v>1.237417</v>
      </c>
      <c r="AE7">
        <v>1.1905650000000001</v>
      </c>
      <c r="AF7">
        <v>1.1523939999999999</v>
      </c>
      <c r="AG7">
        <v>1.128619</v>
      </c>
      <c r="AH7">
        <v>1.0658700000000001</v>
      </c>
      <c r="AI7">
        <v>1.032826</v>
      </c>
      <c r="AJ7">
        <v>1.02677</v>
      </c>
      <c r="AK7" s="9">
        <v>-0.03</v>
      </c>
    </row>
    <row r="8" spans="1:37" x14ac:dyDescent="0.25">
      <c r="A8" t="s">
        <v>1403</v>
      </c>
      <c r="B8" t="s">
        <v>1404</v>
      </c>
      <c r="C8" t="s">
        <v>1405</v>
      </c>
      <c r="D8" t="s">
        <v>1402</v>
      </c>
      <c r="F8">
        <v>2.5271859999999999</v>
      </c>
      <c r="G8">
        <v>2.5802269999999998</v>
      </c>
      <c r="H8">
        <v>2.5030260000000002</v>
      </c>
      <c r="I8">
        <v>2.1557840000000001</v>
      </c>
      <c r="J8">
        <v>1.9448920000000001</v>
      </c>
      <c r="K8">
        <v>2.076816</v>
      </c>
      <c r="L8">
        <v>2.1767699999999999</v>
      </c>
      <c r="M8">
        <v>2.0950630000000001</v>
      </c>
      <c r="N8">
        <v>1.982531</v>
      </c>
      <c r="O8">
        <v>1.855707</v>
      </c>
      <c r="P8">
        <v>1.628266</v>
      </c>
      <c r="Q8">
        <v>1.618474</v>
      </c>
      <c r="R8">
        <v>1.5114829999999999</v>
      </c>
      <c r="S8">
        <v>1.366865</v>
      </c>
      <c r="T8">
        <v>1.3315429999999999</v>
      </c>
      <c r="U8">
        <v>1.3047599999999999</v>
      </c>
      <c r="V8">
        <v>1.295779</v>
      </c>
      <c r="W8">
        <v>1.301647</v>
      </c>
      <c r="X8">
        <v>1.2959879999999999</v>
      </c>
      <c r="Y8">
        <v>1.27644</v>
      </c>
      <c r="Z8">
        <v>1.2721549999999999</v>
      </c>
      <c r="AA8">
        <v>1.263009</v>
      </c>
      <c r="AB8">
        <v>1.232953</v>
      </c>
      <c r="AC8">
        <v>1.182763</v>
      </c>
      <c r="AD8">
        <v>1.160517</v>
      </c>
      <c r="AE8">
        <v>1.1136649999999999</v>
      </c>
      <c r="AF8">
        <v>1.0754950000000001</v>
      </c>
      <c r="AG8">
        <v>1.05172</v>
      </c>
      <c r="AH8">
        <v>0.98897100000000004</v>
      </c>
      <c r="AI8">
        <v>0.95592699999999997</v>
      </c>
      <c r="AJ8">
        <v>0.94986999999999999</v>
      </c>
      <c r="AK8" s="9">
        <v>-3.2000000000000001E-2</v>
      </c>
    </row>
    <row r="9" spans="1:37" x14ac:dyDescent="0.25">
      <c r="A9" t="s">
        <v>1406</v>
      </c>
      <c r="B9" t="s">
        <v>1407</v>
      </c>
      <c r="C9" t="s">
        <v>1408</v>
      </c>
      <c r="D9" t="s">
        <v>1402</v>
      </c>
      <c r="F9">
        <v>0</v>
      </c>
      <c r="G9">
        <v>0</v>
      </c>
      <c r="H9">
        <v>0</v>
      </c>
      <c r="I9">
        <v>0</v>
      </c>
      <c r="J9">
        <v>6.2000000000000003E-5</v>
      </c>
      <c r="K9">
        <v>4.5899999999999999E-4</v>
      </c>
      <c r="L9">
        <v>5.7899999999999998E-4</v>
      </c>
      <c r="M9">
        <v>6.6799999999999997E-4</v>
      </c>
      <c r="N9">
        <v>2.2800000000000001E-4</v>
      </c>
      <c r="O9">
        <v>4.2700000000000002E-4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1409</v>
      </c>
    </row>
    <row r="10" spans="1:37" x14ac:dyDescent="0.25">
      <c r="A10" t="s">
        <v>1410</v>
      </c>
      <c r="B10" t="s">
        <v>1411</v>
      </c>
      <c r="C10" t="s">
        <v>1412</v>
      </c>
      <c r="D10" t="s">
        <v>1402</v>
      </c>
      <c r="F10">
        <v>6.4658999999999994E-2</v>
      </c>
      <c r="G10">
        <v>7.8660999999999995E-2</v>
      </c>
      <c r="H10">
        <v>7.8309000000000004E-2</v>
      </c>
      <c r="I10">
        <v>7.7955999999999998E-2</v>
      </c>
      <c r="J10">
        <v>7.7604000000000006E-2</v>
      </c>
      <c r="K10">
        <v>7.7252000000000001E-2</v>
      </c>
      <c r="L10">
        <v>7.6898999999999995E-2</v>
      </c>
      <c r="M10">
        <v>7.6898999999999995E-2</v>
      </c>
      <c r="N10">
        <v>7.6898999999999995E-2</v>
      </c>
      <c r="O10">
        <v>7.6898999999999995E-2</v>
      </c>
      <c r="P10">
        <v>7.6898999999999995E-2</v>
      </c>
      <c r="Q10">
        <v>7.6898999999999995E-2</v>
      </c>
      <c r="R10">
        <v>7.6898999999999995E-2</v>
      </c>
      <c r="S10">
        <v>7.6898999999999995E-2</v>
      </c>
      <c r="T10">
        <v>7.6898999999999995E-2</v>
      </c>
      <c r="U10">
        <v>7.6898999999999995E-2</v>
      </c>
      <c r="V10">
        <v>7.6898999999999995E-2</v>
      </c>
      <c r="W10">
        <v>7.6898999999999995E-2</v>
      </c>
      <c r="X10">
        <v>7.6898999999999995E-2</v>
      </c>
      <c r="Y10">
        <v>7.6898999999999995E-2</v>
      </c>
      <c r="Z10">
        <v>7.6898999999999995E-2</v>
      </c>
      <c r="AA10">
        <v>7.6898999999999995E-2</v>
      </c>
      <c r="AB10">
        <v>7.6898999999999995E-2</v>
      </c>
      <c r="AC10">
        <v>7.6898999999999995E-2</v>
      </c>
      <c r="AD10">
        <v>7.6898999999999995E-2</v>
      </c>
      <c r="AE10">
        <v>7.6898999999999995E-2</v>
      </c>
      <c r="AF10">
        <v>7.6898999999999995E-2</v>
      </c>
      <c r="AG10">
        <v>7.6898999999999995E-2</v>
      </c>
      <c r="AH10">
        <v>7.6898999999999995E-2</v>
      </c>
      <c r="AI10">
        <v>7.6898999999999995E-2</v>
      </c>
      <c r="AJ10">
        <v>7.6898999999999995E-2</v>
      </c>
      <c r="AK10" s="9">
        <v>6.0000000000000001E-3</v>
      </c>
    </row>
    <row r="11" spans="1:37" x14ac:dyDescent="0.25">
      <c r="A11" s="1" t="s">
        <v>1413</v>
      </c>
      <c r="B11" t="s">
        <v>1414</v>
      </c>
      <c r="C11" t="s">
        <v>1415</v>
      </c>
      <c r="D11" t="s">
        <v>1402</v>
      </c>
      <c r="F11">
        <v>5.2605529999999998</v>
      </c>
      <c r="G11">
        <v>6.2966530000000001</v>
      </c>
      <c r="H11">
        <v>6.521109</v>
      </c>
      <c r="I11">
        <v>6.7624659999999999</v>
      </c>
      <c r="J11">
        <v>7.2575200000000004</v>
      </c>
      <c r="K11">
        <v>7.86409</v>
      </c>
      <c r="L11">
        <v>8.3293900000000001</v>
      </c>
      <c r="M11">
        <v>8.5881810000000005</v>
      </c>
      <c r="N11">
        <v>8.9278890000000004</v>
      </c>
      <c r="O11">
        <v>9.3611160000000009</v>
      </c>
      <c r="P11">
        <v>9.8337780000000006</v>
      </c>
      <c r="Q11">
        <v>10.080954</v>
      </c>
      <c r="R11">
        <v>10.344863999999999</v>
      </c>
      <c r="S11">
        <v>10.563437</v>
      </c>
      <c r="T11">
        <v>10.789638999999999</v>
      </c>
      <c r="U11">
        <v>11.010730000000001</v>
      </c>
      <c r="V11">
        <v>11.253021</v>
      </c>
      <c r="W11">
        <v>11.458885</v>
      </c>
      <c r="X11">
        <v>11.687817000000001</v>
      </c>
      <c r="Y11">
        <v>11.909034999999999</v>
      </c>
      <c r="Z11">
        <v>12.158211</v>
      </c>
      <c r="AA11">
        <v>12.256627999999999</v>
      </c>
      <c r="AB11">
        <v>12.283306</v>
      </c>
      <c r="AC11">
        <v>12.311002999999999</v>
      </c>
      <c r="AD11">
        <v>12.357313</v>
      </c>
      <c r="AE11">
        <v>12.357868</v>
      </c>
      <c r="AF11">
        <v>12.383665000000001</v>
      </c>
      <c r="AG11">
        <v>12.409162999999999</v>
      </c>
      <c r="AH11">
        <v>12.465016</v>
      </c>
      <c r="AI11">
        <v>12.467362</v>
      </c>
      <c r="AJ11">
        <v>12.477143999999999</v>
      </c>
      <c r="AK11" s="9">
        <v>2.9000000000000001E-2</v>
      </c>
    </row>
    <row r="12" spans="1:37" x14ac:dyDescent="0.25">
      <c r="A12" s="10" t="s">
        <v>1416</v>
      </c>
      <c r="B12" s="10" t="s">
        <v>1417</v>
      </c>
      <c r="C12" s="10" t="s">
        <v>1418</v>
      </c>
      <c r="D12" s="10" t="s">
        <v>1402</v>
      </c>
      <c r="E12" s="10"/>
      <c r="F12" s="10">
        <v>0.881853</v>
      </c>
      <c r="G12" s="10">
        <v>0.93884199999999995</v>
      </c>
      <c r="H12" s="10">
        <v>0.90745100000000001</v>
      </c>
      <c r="I12" s="10">
        <v>0.96646900000000002</v>
      </c>
      <c r="J12" s="10">
        <v>0.98920799999999998</v>
      </c>
      <c r="K12" s="10">
        <v>0.98099099999999995</v>
      </c>
      <c r="L12" s="10">
        <v>0.97334399999999999</v>
      </c>
      <c r="M12" s="10">
        <v>0.98388500000000001</v>
      </c>
      <c r="N12" s="10">
        <v>1.0215129999999999</v>
      </c>
      <c r="O12" s="10">
        <v>1.03111</v>
      </c>
      <c r="P12" s="10">
        <v>1.068119</v>
      </c>
      <c r="Q12" s="10">
        <v>1.081704</v>
      </c>
      <c r="R12" s="10">
        <v>1.100447</v>
      </c>
      <c r="S12" s="10">
        <v>1.1113230000000001</v>
      </c>
      <c r="T12" s="10">
        <v>1.1110279999999999</v>
      </c>
      <c r="U12" s="10">
        <v>1.1215599999999999</v>
      </c>
      <c r="V12" s="10">
        <v>1.1344339999999999</v>
      </c>
      <c r="W12" s="10">
        <v>1.144015</v>
      </c>
      <c r="X12" s="10">
        <v>1.1574</v>
      </c>
      <c r="Y12" s="10">
        <v>1.163259</v>
      </c>
      <c r="Z12" s="10">
        <v>1.176172</v>
      </c>
      <c r="AA12" s="10">
        <v>1.177003</v>
      </c>
      <c r="AB12" s="10">
        <v>1.1867939999999999</v>
      </c>
      <c r="AC12" s="10">
        <v>1.196353</v>
      </c>
      <c r="AD12" s="10">
        <v>1.2082349999999999</v>
      </c>
      <c r="AE12" s="10">
        <v>1.208432</v>
      </c>
      <c r="AF12" s="10">
        <v>1.216575</v>
      </c>
      <c r="AG12" s="10">
        <v>1.2268539999999999</v>
      </c>
      <c r="AH12" s="10">
        <v>1.245973</v>
      </c>
      <c r="AI12" s="10">
        <v>1.2489159999999999</v>
      </c>
      <c r="AJ12" s="10">
        <v>1.2633730000000001</v>
      </c>
      <c r="AK12" s="11">
        <v>1.2E-2</v>
      </c>
    </row>
    <row r="13" spans="1:37" x14ac:dyDescent="0.25">
      <c r="A13" s="10" t="s">
        <v>1419</v>
      </c>
      <c r="B13" s="10" t="s">
        <v>1420</v>
      </c>
      <c r="C13" s="10" t="s">
        <v>1421</v>
      </c>
      <c r="D13" s="10" t="s">
        <v>1402</v>
      </c>
      <c r="E13" s="10"/>
      <c r="F13" s="10">
        <v>2.0645199999999999</v>
      </c>
      <c r="G13" s="10">
        <v>2.1902119999999998</v>
      </c>
      <c r="H13" s="10">
        <v>2.4863369999999998</v>
      </c>
      <c r="I13" s="10">
        <v>2.6299000000000001</v>
      </c>
      <c r="J13" s="10">
        <v>2.728291</v>
      </c>
      <c r="K13" s="10">
        <v>2.7867380000000002</v>
      </c>
      <c r="L13" s="10">
        <v>2.8311500000000001</v>
      </c>
      <c r="M13" s="10">
        <v>2.8793989999999998</v>
      </c>
      <c r="N13" s="10">
        <v>2.9693580000000002</v>
      </c>
      <c r="O13" s="10">
        <v>3.005112</v>
      </c>
      <c r="P13" s="10">
        <v>3.0407639999999998</v>
      </c>
      <c r="Q13" s="10">
        <v>3.074354</v>
      </c>
      <c r="R13" s="10">
        <v>3.107399</v>
      </c>
      <c r="S13" s="10">
        <v>3.1272190000000002</v>
      </c>
      <c r="T13" s="10">
        <v>3.153715</v>
      </c>
      <c r="U13" s="10">
        <v>3.1642749999999999</v>
      </c>
      <c r="V13" s="10">
        <v>3.1815690000000001</v>
      </c>
      <c r="W13" s="10">
        <v>3.189975</v>
      </c>
      <c r="X13" s="10">
        <v>3.2055220000000002</v>
      </c>
      <c r="Y13" s="10">
        <v>3.2208809999999999</v>
      </c>
      <c r="Z13" s="10">
        <v>3.2450199999999998</v>
      </c>
      <c r="AA13" s="10">
        <v>3.2547299999999999</v>
      </c>
      <c r="AB13" s="10">
        <v>3.271617</v>
      </c>
      <c r="AC13" s="10">
        <v>3.289755</v>
      </c>
      <c r="AD13" s="10">
        <v>3.3120599999999998</v>
      </c>
      <c r="AE13" s="10">
        <v>3.324541</v>
      </c>
      <c r="AF13" s="10">
        <v>3.3421949999999998</v>
      </c>
      <c r="AG13" s="10">
        <v>3.3574130000000002</v>
      </c>
      <c r="AH13" s="10">
        <v>3.3820250000000001</v>
      </c>
      <c r="AI13" s="10">
        <v>3.393551</v>
      </c>
      <c r="AJ13" s="10">
        <v>3.3888760000000002</v>
      </c>
      <c r="AK13" s="11">
        <v>1.7000000000000001E-2</v>
      </c>
    </row>
    <row r="14" spans="1:37" x14ac:dyDescent="0.25">
      <c r="A14" s="10" t="s">
        <v>1422</v>
      </c>
      <c r="B14" s="10" t="s">
        <v>1423</v>
      </c>
      <c r="C14" s="10" t="s">
        <v>1424</v>
      </c>
      <c r="D14" s="10" t="s">
        <v>1402</v>
      </c>
      <c r="E14" s="10"/>
      <c r="F14" s="10">
        <v>2.3141799999999999</v>
      </c>
      <c r="G14" s="10">
        <v>3.1675979999999999</v>
      </c>
      <c r="H14" s="10">
        <v>3.1273200000000001</v>
      </c>
      <c r="I14" s="10">
        <v>3.1660970000000002</v>
      </c>
      <c r="J14" s="10">
        <v>3.5400209999999999</v>
      </c>
      <c r="K14" s="10">
        <v>4.0963609999999999</v>
      </c>
      <c r="L14" s="10">
        <v>4.5248949999999999</v>
      </c>
      <c r="M14" s="10">
        <v>4.7248950000000001</v>
      </c>
      <c r="N14" s="10">
        <v>4.9370180000000001</v>
      </c>
      <c r="O14" s="10">
        <v>5.3248949999999997</v>
      </c>
      <c r="P14" s="10">
        <v>5.7248950000000001</v>
      </c>
      <c r="Q14" s="10">
        <v>5.9248950000000002</v>
      </c>
      <c r="R14" s="10">
        <v>6.1370180000000003</v>
      </c>
      <c r="S14" s="10">
        <v>6.3248949999999997</v>
      </c>
      <c r="T14" s="10">
        <v>6.5248949999999999</v>
      </c>
      <c r="U14" s="10">
        <v>6.7248950000000001</v>
      </c>
      <c r="V14" s="10">
        <v>6.9370180000000001</v>
      </c>
      <c r="W14" s="10">
        <v>7.1248959999999997</v>
      </c>
      <c r="X14" s="10">
        <v>7.3248949999999997</v>
      </c>
      <c r="Y14" s="10">
        <v>7.5248949999999999</v>
      </c>
      <c r="Z14" s="10">
        <v>7.7370190000000001</v>
      </c>
      <c r="AA14" s="10">
        <v>7.8248949999999997</v>
      </c>
      <c r="AB14" s="10">
        <v>7.8248949999999997</v>
      </c>
      <c r="AC14" s="10">
        <v>7.8248949999999997</v>
      </c>
      <c r="AD14" s="10">
        <v>7.8370179999999996</v>
      </c>
      <c r="AE14" s="10">
        <v>7.8248949999999997</v>
      </c>
      <c r="AF14" s="10">
        <v>7.8248949999999997</v>
      </c>
      <c r="AG14" s="10">
        <v>7.8248949999999997</v>
      </c>
      <c r="AH14" s="10">
        <v>7.8370179999999996</v>
      </c>
      <c r="AI14" s="10">
        <v>7.8248949999999997</v>
      </c>
      <c r="AJ14" s="10">
        <v>7.8248949999999997</v>
      </c>
      <c r="AK14" s="11">
        <v>4.1000000000000002E-2</v>
      </c>
    </row>
    <row r="15" spans="1:37" x14ac:dyDescent="0.25">
      <c r="A15" t="s">
        <v>1425</v>
      </c>
      <c r="B15" t="s">
        <v>1426</v>
      </c>
      <c r="C15" t="s">
        <v>1427</v>
      </c>
      <c r="D15" t="s">
        <v>1402</v>
      </c>
      <c r="F15">
        <v>-2.6687090000000002</v>
      </c>
      <c r="G15">
        <v>-3.6377649999999999</v>
      </c>
      <c r="H15">
        <v>-3.9397730000000002</v>
      </c>
      <c r="I15">
        <v>-4.5287269999999999</v>
      </c>
      <c r="J15">
        <v>-5.2349620000000003</v>
      </c>
      <c r="K15">
        <v>-5.709562</v>
      </c>
      <c r="L15">
        <v>-6.0751410000000003</v>
      </c>
      <c r="M15">
        <v>-6.4155499999999996</v>
      </c>
      <c r="N15">
        <v>-6.8682309999999998</v>
      </c>
      <c r="O15">
        <v>-7.428083</v>
      </c>
      <c r="P15">
        <v>-8.1286129999999996</v>
      </c>
      <c r="Q15">
        <v>-8.3855799999999991</v>
      </c>
      <c r="R15">
        <v>-8.7564810000000008</v>
      </c>
      <c r="S15">
        <v>-9.1196730000000006</v>
      </c>
      <c r="T15">
        <v>-9.3811959999999992</v>
      </c>
      <c r="U15">
        <v>-9.6290700000000005</v>
      </c>
      <c r="V15">
        <v>-9.8803420000000006</v>
      </c>
      <c r="W15">
        <v>-10.080339</v>
      </c>
      <c r="X15">
        <v>-10.31493</v>
      </c>
      <c r="Y15">
        <v>-10.555695999999999</v>
      </c>
      <c r="Z15">
        <v>-10.809156</v>
      </c>
      <c r="AA15">
        <v>-10.916719000000001</v>
      </c>
      <c r="AB15">
        <v>-10.973454</v>
      </c>
      <c r="AC15">
        <v>-11.051341000000001</v>
      </c>
      <c r="AD15">
        <v>-11.119896000000001</v>
      </c>
      <c r="AE15">
        <v>-11.167303</v>
      </c>
      <c r="AF15">
        <v>-11.231272000000001</v>
      </c>
      <c r="AG15">
        <v>-11.280543</v>
      </c>
      <c r="AH15">
        <v>-11.399146</v>
      </c>
      <c r="AI15">
        <v>-11.434536</v>
      </c>
      <c r="AJ15">
        <v>-11.450374999999999</v>
      </c>
      <c r="AK15" s="9">
        <v>0.05</v>
      </c>
    </row>
    <row r="16" spans="1:37" x14ac:dyDescent="0.25">
      <c r="A16" t="s">
        <v>1428</v>
      </c>
      <c r="B16" t="s">
        <v>1429</v>
      </c>
      <c r="C16" t="s">
        <v>1430</v>
      </c>
      <c r="D16" t="s">
        <v>1402</v>
      </c>
      <c r="F16">
        <v>1.6453329999999999</v>
      </c>
      <c r="G16">
        <v>1.6413850000000001</v>
      </c>
      <c r="H16">
        <v>1.595575</v>
      </c>
      <c r="I16">
        <v>1.189314</v>
      </c>
      <c r="J16">
        <v>0.95568399999999998</v>
      </c>
      <c r="K16">
        <v>1.095825</v>
      </c>
      <c r="L16">
        <v>1.2034260000000001</v>
      </c>
      <c r="M16">
        <v>1.1111770000000001</v>
      </c>
      <c r="N16">
        <v>0.96101899999999996</v>
      </c>
      <c r="O16">
        <v>0.82459700000000002</v>
      </c>
      <c r="P16">
        <v>0.56014699999999995</v>
      </c>
      <c r="Q16">
        <v>0.53676999999999997</v>
      </c>
      <c r="R16">
        <v>0.41103699999999999</v>
      </c>
      <c r="S16">
        <v>0.25554199999999999</v>
      </c>
      <c r="T16">
        <v>0.22051399999999999</v>
      </c>
      <c r="U16">
        <v>0.1832</v>
      </c>
      <c r="V16">
        <v>0.16134499999999999</v>
      </c>
      <c r="W16">
        <v>0.15763199999999999</v>
      </c>
      <c r="X16">
        <v>0.13858799999999999</v>
      </c>
      <c r="Y16">
        <v>0.113181</v>
      </c>
      <c r="Z16">
        <v>9.5982999999999999E-2</v>
      </c>
      <c r="AA16">
        <v>8.6005999999999999E-2</v>
      </c>
      <c r="AB16">
        <v>4.6157999999999998E-2</v>
      </c>
      <c r="AC16">
        <v>-1.3591000000000001E-2</v>
      </c>
      <c r="AD16">
        <v>-4.7718000000000003E-2</v>
      </c>
      <c r="AE16">
        <v>-9.4766000000000003E-2</v>
      </c>
      <c r="AF16">
        <v>-0.14108100000000001</v>
      </c>
      <c r="AG16">
        <v>-0.17513400000000001</v>
      </c>
      <c r="AH16">
        <v>-0.25700200000000001</v>
      </c>
      <c r="AI16">
        <v>-0.29298999999999997</v>
      </c>
      <c r="AJ16">
        <v>-0.313502</v>
      </c>
      <c r="AK16" t="s">
        <v>1409</v>
      </c>
    </row>
    <row r="17" spans="1:37" x14ac:dyDescent="0.25">
      <c r="A17" t="s">
        <v>1431</v>
      </c>
      <c r="B17" t="s">
        <v>1432</v>
      </c>
      <c r="C17" t="s">
        <v>1433</v>
      </c>
      <c r="D17" t="s">
        <v>1402</v>
      </c>
      <c r="F17">
        <v>-2.0645199999999999</v>
      </c>
      <c r="G17">
        <v>-2.1902119999999998</v>
      </c>
      <c r="H17">
        <v>-2.4863369999999998</v>
      </c>
      <c r="I17">
        <v>-2.6299000000000001</v>
      </c>
      <c r="J17">
        <v>-2.7282289999999998</v>
      </c>
      <c r="K17">
        <v>-2.786279</v>
      </c>
      <c r="L17">
        <v>-2.8305709999999999</v>
      </c>
      <c r="M17">
        <v>-2.8787319999999998</v>
      </c>
      <c r="N17">
        <v>-2.969131</v>
      </c>
      <c r="O17">
        <v>-3.0046840000000001</v>
      </c>
      <c r="P17">
        <v>-3.0407639999999998</v>
      </c>
      <c r="Q17">
        <v>-3.074354</v>
      </c>
      <c r="R17">
        <v>-3.107399</v>
      </c>
      <c r="S17">
        <v>-3.1272190000000002</v>
      </c>
      <c r="T17">
        <v>-3.153715</v>
      </c>
      <c r="U17">
        <v>-3.1642749999999999</v>
      </c>
      <c r="V17">
        <v>-3.1815690000000001</v>
      </c>
      <c r="W17">
        <v>-3.189975</v>
      </c>
      <c r="X17">
        <v>-3.2055220000000002</v>
      </c>
      <c r="Y17">
        <v>-3.2208809999999999</v>
      </c>
      <c r="Z17">
        <v>-3.2450199999999998</v>
      </c>
      <c r="AA17">
        <v>-3.2547299999999999</v>
      </c>
      <c r="AB17">
        <v>-3.271617</v>
      </c>
      <c r="AC17">
        <v>-3.289755</v>
      </c>
      <c r="AD17">
        <v>-3.3120599999999998</v>
      </c>
      <c r="AE17">
        <v>-3.324541</v>
      </c>
      <c r="AF17">
        <v>-3.3421949999999998</v>
      </c>
      <c r="AG17">
        <v>-3.3574130000000002</v>
      </c>
      <c r="AH17">
        <v>-3.3820250000000001</v>
      </c>
      <c r="AI17">
        <v>-3.393551</v>
      </c>
      <c r="AJ17">
        <v>-3.3888760000000002</v>
      </c>
      <c r="AK17" s="9">
        <v>1.7000000000000001E-2</v>
      </c>
    </row>
    <row r="18" spans="1:37" x14ac:dyDescent="0.25">
      <c r="A18" t="s">
        <v>1434</v>
      </c>
      <c r="B18" t="s">
        <v>1435</v>
      </c>
      <c r="C18" t="s">
        <v>1436</v>
      </c>
      <c r="D18" t="s">
        <v>1402</v>
      </c>
      <c r="F18">
        <v>-2.2495210000000001</v>
      </c>
      <c r="G18">
        <v>-3.0889380000000002</v>
      </c>
      <c r="H18">
        <v>-3.0490119999999998</v>
      </c>
      <c r="I18">
        <v>-3.0881400000000001</v>
      </c>
      <c r="J18">
        <v>-3.4624169999999999</v>
      </c>
      <c r="K18">
        <v>-4.0191090000000003</v>
      </c>
      <c r="L18">
        <v>-4.4479959999999998</v>
      </c>
      <c r="M18">
        <v>-4.647996</v>
      </c>
      <c r="N18">
        <v>-4.8601190000000001</v>
      </c>
      <c r="O18">
        <v>-5.2479959999999997</v>
      </c>
      <c r="P18">
        <v>-5.647996</v>
      </c>
      <c r="Q18">
        <v>-5.8479960000000002</v>
      </c>
      <c r="R18">
        <v>-6.0601190000000003</v>
      </c>
      <c r="S18">
        <v>-6.2479959999999997</v>
      </c>
      <c r="T18">
        <v>-6.4479959999999998</v>
      </c>
      <c r="U18">
        <v>-6.647996</v>
      </c>
      <c r="V18">
        <v>-6.8601190000000001</v>
      </c>
      <c r="W18">
        <v>-7.0479960000000004</v>
      </c>
      <c r="X18">
        <v>-7.2479959999999997</v>
      </c>
      <c r="Y18">
        <v>-7.4479959999999998</v>
      </c>
      <c r="Z18">
        <v>-7.6601189999999999</v>
      </c>
      <c r="AA18">
        <v>-7.7479959999999997</v>
      </c>
      <c r="AB18">
        <v>-7.7479959999999997</v>
      </c>
      <c r="AC18">
        <v>-7.7479959999999997</v>
      </c>
      <c r="AD18">
        <v>-7.7601190000000004</v>
      </c>
      <c r="AE18">
        <v>-7.7479959999999997</v>
      </c>
      <c r="AF18">
        <v>-7.7479959999999997</v>
      </c>
      <c r="AG18">
        <v>-7.7479959999999997</v>
      </c>
      <c r="AH18">
        <v>-7.7601190000000004</v>
      </c>
      <c r="AI18">
        <v>-7.7479959999999997</v>
      </c>
      <c r="AJ18">
        <v>-7.7479959999999997</v>
      </c>
      <c r="AK18" s="9">
        <v>4.2000000000000003E-2</v>
      </c>
    </row>
    <row r="21" spans="1:37" x14ac:dyDescent="0.25">
      <c r="B21" s="1" t="s">
        <v>1591</v>
      </c>
    </row>
    <row r="22" spans="1:37" x14ac:dyDescent="0.25">
      <c r="B22" s="1"/>
      <c r="C22" s="10" t="s">
        <v>1416</v>
      </c>
      <c r="D22" s="10" t="s">
        <v>1419</v>
      </c>
      <c r="E22" s="10" t="s">
        <v>1422</v>
      </c>
    </row>
    <row r="23" spans="1:37" x14ac:dyDescent="0.25">
      <c r="B23" cm="1">
        <f t="array" ref="B23:B54">TRANSPOSE(F5:AK5)</f>
        <v>2020</v>
      </c>
      <c r="C23">
        <f t="array" ref="C23:C54">TRANSPOSE(F12:AK12)</f>
        <v>0.881853</v>
      </c>
      <c r="D23">
        <f t="array" ref="D23:D54">TRANSPOSE(F13:AK13)</f>
        <v>2.0645199999999999</v>
      </c>
      <c r="E23">
        <f t="array" ref="E23:E54">TRANSPOSE(F14:AK14)</f>
        <v>2.3141799999999999</v>
      </c>
    </row>
    <row r="24" spans="1:37" x14ac:dyDescent="0.25">
      <c r="B24">
        <v>2021</v>
      </c>
      <c r="C24">
        <v>0.93884199999999995</v>
      </c>
      <c r="D24">
        <v>2.1902119999999998</v>
      </c>
      <c r="E24">
        <v>3.1675979999999999</v>
      </c>
    </row>
    <row r="25" spans="1:37" x14ac:dyDescent="0.25">
      <c r="B25">
        <v>2022</v>
      </c>
      <c r="C25">
        <v>0.90745100000000001</v>
      </c>
      <c r="D25">
        <v>2.4863369999999998</v>
      </c>
      <c r="E25">
        <v>3.1273200000000001</v>
      </c>
    </row>
    <row r="26" spans="1:37" x14ac:dyDescent="0.25">
      <c r="B26">
        <v>2023</v>
      </c>
      <c r="C26">
        <v>0.96646900000000002</v>
      </c>
      <c r="D26">
        <v>2.6299000000000001</v>
      </c>
      <c r="E26">
        <v>3.1660970000000002</v>
      </c>
    </row>
    <row r="27" spans="1:37" x14ac:dyDescent="0.25">
      <c r="B27">
        <v>2024</v>
      </c>
      <c r="C27">
        <v>0.98920799999999998</v>
      </c>
      <c r="D27">
        <v>2.728291</v>
      </c>
      <c r="E27">
        <v>3.5400209999999999</v>
      </c>
    </row>
    <row r="28" spans="1:37" x14ac:dyDescent="0.25">
      <c r="B28">
        <v>2025</v>
      </c>
      <c r="C28">
        <v>0.98099099999999995</v>
      </c>
      <c r="D28">
        <v>2.7867380000000002</v>
      </c>
      <c r="E28">
        <v>4.0963609999999999</v>
      </c>
    </row>
    <row r="29" spans="1:37" x14ac:dyDescent="0.25">
      <c r="B29">
        <v>2026</v>
      </c>
      <c r="C29">
        <v>0.97334399999999999</v>
      </c>
      <c r="D29">
        <v>2.8311500000000001</v>
      </c>
      <c r="E29">
        <v>4.5248949999999999</v>
      </c>
    </row>
    <row r="30" spans="1:37" x14ac:dyDescent="0.25">
      <c r="B30">
        <v>2027</v>
      </c>
      <c r="C30">
        <v>0.98388500000000001</v>
      </c>
      <c r="D30">
        <v>2.8793989999999998</v>
      </c>
      <c r="E30">
        <v>4.7248950000000001</v>
      </c>
    </row>
    <row r="31" spans="1:37" x14ac:dyDescent="0.25">
      <c r="B31">
        <v>2028</v>
      </c>
      <c r="C31">
        <v>1.0215129999999999</v>
      </c>
      <c r="D31">
        <v>2.9693580000000002</v>
      </c>
      <c r="E31">
        <v>4.9370180000000001</v>
      </c>
    </row>
    <row r="32" spans="1:37" x14ac:dyDescent="0.25">
      <c r="B32">
        <v>2029</v>
      </c>
      <c r="C32">
        <v>1.03111</v>
      </c>
      <c r="D32">
        <v>3.005112</v>
      </c>
      <c r="E32">
        <v>5.3248949999999997</v>
      </c>
    </row>
    <row r="33" spans="2:5" x14ac:dyDescent="0.25">
      <c r="B33">
        <v>2030</v>
      </c>
      <c r="C33">
        <v>1.068119</v>
      </c>
      <c r="D33">
        <v>3.0407639999999998</v>
      </c>
      <c r="E33">
        <v>5.7248950000000001</v>
      </c>
    </row>
    <row r="34" spans="2:5" x14ac:dyDescent="0.25">
      <c r="B34">
        <v>2031</v>
      </c>
      <c r="C34">
        <v>1.081704</v>
      </c>
      <c r="D34">
        <v>3.074354</v>
      </c>
      <c r="E34">
        <v>5.9248950000000002</v>
      </c>
    </row>
    <row r="35" spans="2:5" x14ac:dyDescent="0.25">
      <c r="B35">
        <v>2032</v>
      </c>
      <c r="C35">
        <v>1.100447</v>
      </c>
      <c r="D35">
        <v>3.107399</v>
      </c>
      <c r="E35">
        <v>6.1370180000000003</v>
      </c>
    </row>
    <row r="36" spans="2:5" x14ac:dyDescent="0.25">
      <c r="B36">
        <v>2033</v>
      </c>
      <c r="C36">
        <v>1.1113230000000001</v>
      </c>
      <c r="D36">
        <v>3.1272190000000002</v>
      </c>
      <c r="E36">
        <v>6.3248949999999997</v>
      </c>
    </row>
    <row r="37" spans="2:5" x14ac:dyDescent="0.25">
      <c r="B37">
        <v>2034</v>
      </c>
      <c r="C37">
        <v>1.1110279999999999</v>
      </c>
      <c r="D37">
        <v>3.153715</v>
      </c>
      <c r="E37">
        <v>6.5248949999999999</v>
      </c>
    </row>
    <row r="38" spans="2:5" x14ac:dyDescent="0.25">
      <c r="B38">
        <v>2035</v>
      </c>
      <c r="C38">
        <v>1.1215599999999999</v>
      </c>
      <c r="D38">
        <v>3.1642749999999999</v>
      </c>
      <c r="E38">
        <v>6.7248950000000001</v>
      </c>
    </row>
    <row r="39" spans="2:5" x14ac:dyDescent="0.25">
      <c r="B39">
        <v>2036</v>
      </c>
      <c r="C39">
        <v>1.1344339999999999</v>
      </c>
      <c r="D39">
        <v>3.1815690000000001</v>
      </c>
      <c r="E39">
        <v>6.9370180000000001</v>
      </c>
    </row>
    <row r="40" spans="2:5" x14ac:dyDescent="0.25">
      <c r="B40">
        <v>2037</v>
      </c>
      <c r="C40">
        <v>1.144015</v>
      </c>
      <c r="D40">
        <v>3.189975</v>
      </c>
      <c r="E40">
        <v>7.1248959999999997</v>
      </c>
    </row>
    <row r="41" spans="2:5" x14ac:dyDescent="0.25">
      <c r="B41">
        <v>2038</v>
      </c>
      <c r="C41">
        <v>1.1574</v>
      </c>
      <c r="D41">
        <v>3.2055220000000002</v>
      </c>
      <c r="E41">
        <v>7.3248949999999997</v>
      </c>
    </row>
    <row r="42" spans="2:5" x14ac:dyDescent="0.25">
      <c r="B42">
        <v>2039</v>
      </c>
      <c r="C42">
        <v>1.163259</v>
      </c>
      <c r="D42">
        <v>3.2208809999999999</v>
      </c>
      <c r="E42">
        <v>7.5248949999999999</v>
      </c>
    </row>
    <row r="43" spans="2:5" x14ac:dyDescent="0.25">
      <c r="B43">
        <v>2040</v>
      </c>
      <c r="C43">
        <v>1.176172</v>
      </c>
      <c r="D43">
        <v>3.2450199999999998</v>
      </c>
      <c r="E43">
        <v>7.7370190000000001</v>
      </c>
    </row>
    <row r="44" spans="2:5" x14ac:dyDescent="0.25">
      <c r="B44">
        <v>2041</v>
      </c>
      <c r="C44">
        <v>1.177003</v>
      </c>
      <c r="D44">
        <v>3.2547299999999999</v>
      </c>
      <c r="E44">
        <v>7.8248949999999997</v>
      </c>
    </row>
    <row r="45" spans="2:5" x14ac:dyDescent="0.25">
      <c r="B45">
        <v>2042</v>
      </c>
      <c r="C45">
        <v>1.1867939999999999</v>
      </c>
      <c r="D45">
        <v>3.271617</v>
      </c>
      <c r="E45">
        <v>7.8248949999999997</v>
      </c>
    </row>
    <row r="46" spans="2:5" x14ac:dyDescent="0.25">
      <c r="B46">
        <v>2043</v>
      </c>
      <c r="C46">
        <v>1.196353</v>
      </c>
      <c r="D46">
        <v>3.289755</v>
      </c>
      <c r="E46">
        <v>7.8248949999999997</v>
      </c>
    </row>
    <row r="47" spans="2:5" x14ac:dyDescent="0.25">
      <c r="B47">
        <v>2044</v>
      </c>
      <c r="C47">
        <v>1.2082349999999999</v>
      </c>
      <c r="D47">
        <v>3.3120599999999998</v>
      </c>
      <c r="E47">
        <v>7.8370179999999996</v>
      </c>
    </row>
    <row r="48" spans="2:5" x14ac:dyDescent="0.25">
      <c r="B48">
        <v>2045</v>
      </c>
      <c r="C48">
        <v>1.208432</v>
      </c>
      <c r="D48">
        <v>3.324541</v>
      </c>
      <c r="E48">
        <v>7.8248949999999997</v>
      </c>
    </row>
    <row r="49" spans="2:5" x14ac:dyDescent="0.25">
      <c r="B49">
        <v>2046</v>
      </c>
      <c r="C49">
        <v>1.216575</v>
      </c>
      <c r="D49">
        <v>3.3421949999999998</v>
      </c>
      <c r="E49">
        <v>7.8248949999999997</v>
      </c>
    </row>
    <row r="50" spans="2:5" x14ac:dyDescent="0.25">
      <c r="B50">
        <v>2047</v>
      </c>
      <c r="C50">
        <v>1.2268539999999999</v>
      </c>
      <c r="D50">
        <v>3.3574130000000002</v>
      </c>
      <c r="E50">
        <v>7.8248949999999997</v>
      </c>
    </row>
    <row r="51" spans="2:5" x14ac:dyDescent="0.25">
      <c r="B51">
        <v>2048</v>
      </c>
      <c r="C51">
        <v>1.245973</v>
      </c>
      <c r="D51">
        <v>3.3820250000000001</v>
      </c>
      <c r="E51">
        <v>7.8370179999999996</v>
      </c>
    </row>
    <row r="52" spans="2:5" x14ac:dyDescent="0.25">
      <c r="B52">
        <v>2049</v>
      </c>
      <c r="C52">
        <v>1.2489159999999999</v>
      </c>
      <c r="D52">
        <v>3.393551</v>
      </c>
      <c r="E52">
        <v>7.8248949999999997</v>
      </c>
    </row>
    <row r="53" spans="2:5" x14ac:dyDescent="0.25">
      <c r="B53">
        <v>2050</v>
      </c>
      <c r="C53">
        <v>1.2633730000000001</v>
      </c>
      <c r="D53">
        <v>3.3888760000000002</v>
      </c>
      <c r="E53">
        <v>7.8248949999999997</v>
      </c>
    </row>
    <row r="54" spans="2:5" x14ac:dyDescent="0.25">
      <c r="B54" t="str">
        <v>Growth (2020-2050)</v>
      </c>
      <c r="C54">
        <v>1.2E-2</v>
      </c>
      <c r="D54">
        <v>1.7000000000000001E-2</v>
      </c>
      <c r="E54">
        <v>4.1000000000000002E-2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3"/>
  <sheetViews>
    <sheetView workbookViewId="0">
      <selection activeCell="A6" sqref="A6:AJ18"/>
    </sheetView>
  </sheetViews>
  <sheetFormatPr baseColWidth="10" defaultColWidth="9.140625" defaultRowHeight="15" x14ac:dyDescent="0.25"/>
  <cols>
    <col min="1" max="1" width="41.28515625" customWidth="1"/>
    <col min="2" max="2" width="51.28515625" customWidth="1"/>
  </cols>
  <sheetData>
    <row r="1" spans="1:36" x14ac:dyDescent="0.25">
      <c r="A1" t="s">
        <v>1389</v>
      </c>
    </row>
    <row r="2" spans="1:36" x14ac:dyDescent="0.25">
      <c r="A2" t="s">
        <v>1627</v>
      </c>
    </row>
    <row r="3" spans="1:36" x14ac:dyDescent="0.25">
      <c r="A3" t="s">
        <v>1626</v>
      </c>
    </row>
    <row r="4" spans="1:36" x14ac:dyDescent="0.25">
      <c r="A4" t="s">
        <v>1392</v>
      </c>
    </row>
    <row r="5" spans="1:36" x14ac:dyDescent="0.25">
      <c r="B5" t="s">
        <v>1393</v>
      </c>
      <c r="C5" t="s">
        <v>1394</v>
      </c>
      <c r="D5" t="s">
        <v>1395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1622</v>
      </c>
    </row>
    <row r="6" spans="1:36" x14ac:dyDescent="0.25">
      <c r="A6" t="s">
        <v>1397</v>
      </c>
      <c r="C6" t="s">
        <v>1625</v>
      </c>
    </row>
    <row r="7" spans="1:36" x14ac:dyDescent="0.25">
      <c r="A7" t="s">
        <v>1399</v>
      </c>
      <c r="B7" t="s">
        <v>1704</v>
      </c>
      <c r="C7" t="s">
        <v>1705</v>
      </c>
      <c r="D7" t="s">
        <v>1402</v>
      </c>
      <c r="F7">
        <v>2.7300439999999999</v>
      </c>
      <c r="G7">
        <v>2.4789479999999999</v>
      </c>
      <c r="H7">
        <v>2.3998719999999998</v>
      </c>
      <c r="I7">
        <v>2.299369</v>
      </c>
      <c r="J7">
        <v>2.2272110000000001</v>
      </c>
      <c r="K7">
        <v>2.2016990000000001</v>
      </c>
      <c r="L7">
        <v>2.1670479999999999</v>
      </c>
      <c r="M7">
        <v>2.1176849999999998</v>
      </c>
      <c r="N7">
        <v>1.9871270000000001</v>
      </c>
      <c r="O7">
        <v>1.9350350000000001</v>
      </c>
      <c r="P7">
        <v>1.8446309999999999</v>
      </c>
      <c r="Q7">
        <v>1.8329759999999999</v>
      </c>
      <c r="R7">
        <v>1.8778250000000001</v>
      </c>
      <c r="S7">
        <v>1.8405</v>
      </c>
      <c r="T7">
        <v>1.7994749999999999</v>
      </c>
      <c r="U7">
        <v>1.7941739999999999</v>
      </c>
      <c r="V7">
        <v>1.8276479999999999</v>
      </c>
      <c r="W7">
        <v>1.824522</v>
      </c>
      <c r="X7">
        <v>1.7951079999999999</v>
      </c>
      <c r="Y7">
        <v>1.761056</v>
      </c>
      <c r="Z7">
        <v>1.7366779999999999</v>
      </c>
      <c r="AA7">
        <v>1.7289369999999999</v>
      </c>
      <c r="AB7">
        <v>1.669057</v>
      </c>
      <c r="AC7">
        <v>1.5486089999999999</v>
      </c>
      <c r="AD7">
        <v>1.4726410000000001</v>
      </c>
      <c r="AE7">
        <v>1.4528449999999999</v>
      </c>
      <c r="AF7">
        <v>1.425173</v>
      </c>
      <c r="AG7">
        <v>1.428671</v>
      </c>
      <c r="AH7">
        <v>1.39673</v>
      </c>
      <c r="AI7">
        <v>1.3533710000000001</v>
      </c>
      <c r="AJ7" s="9">
        <v>-2.4E-2</v>
      </c>
    </row>
    <row r="8" spans="1:36" x14ac:dyDescent="0.25">
      <c r="A8" t="s">
        <v>1403</v>
      </c>
      <c r="B8" t="s">
        <v>1706</v>
      </c>
      <c r="C8" t="s">
        <v>1707</v>
      </c>
      <c r="D8" t="s">
        <v>1402</v>
      </c>
      <c r="F8">
        <v>2.6927530000000002</v>
      </c>
      <c r="G8">
        <v>2.4003030000000001</v>
      </c>
      <c r="H8">
        <v>2.3232490000000001</v>
      </c>
      <c r="I8">
        <v>2.2247669999999999</v>
      </c>
      <c r="J8">
        <v>2.1546310000000002</v>
      </c>
      <c r="K8">
        <v>2.1311399999999998</v>
      </c>
      <c r="L8">
        <v>2.0985109999999998</v>
      </c>
      <c r="M8">
        <v>2.0491480000000002</v>
      </c>
      <c r="N8">
        <v>1.91859</v>
      </c>
      <c r="O8">
        <v>1.866498</v>
      </c>
      <c r="P8">
        <v>1.776095</v>
      </c>
      <c r="Q8">
        <v>1.76444</v>
      </c>
      <c r="R8">
        <v>1.809288</v>
      </c>
      <c r="S8">
        <v>1.771963</v>
      </c>
      <c r="T8">
        <v>1.7309380000000001</v>
      </c>
      <c r="U8">
        <v>1.7256370000000001</v>
      </c>
      <c r="V8">
        <v>1.7591110000000001</v>
      </c>
      <c r="W8">
        <v>1.755986</v>
      </c>
      <c r="X8">
        <v>1.7265710000000001</v>
      </c>
      <c r="Y8">
        <v>1.69252</v>
      </c>
      <c r="Z8">
        <v>1.6681410000000001</v>
      </c>
      <c r="AA8">
        <v>1.6604000000000001</v>
      </c>
      <c r="AB8">
        <v>1.6005199999999999</v>
      </c>
      <c r="AC8">
        <v>1.480073</v>
      </c>
      <c r="AD8">
        <v>1.404104</v>
      </c>
      <c r="AE8">
        <v>1.3843080000000001</v>
      </c>
      <c r="AF8">
        <v>1.356636</v>
      </c>
      <c r="AG8">
        <v>1.360134</v>
      </c>
      <c r="AH8">
        <v>1.328193</v>
      </c>
      <c r="AI8">
        <v>1.284834</v>
      </c>
      <c r="AJ8" s="9">
        <v>-2.5000000000000001E-2</v>
      </c>
    </row>
    <row r="9" spans="1:36" x14ac:dyDescent="0.25">
      <c r="A9" t="s">
        <v>1406</v>
      </c>
      <c r="B9" t="s">
        <v>1708</v>
      </c>
      <c r="C9" t="s">
        <v>1709</v>
      </c>
      <c r="D9" t="s">
        <v>1402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1409</v>
      </c>
    </row>
    <row r="10" spans="1:36" x14ac:dyDescent="0.25">
      <c r="A10" t="s">
        <v>1410</v>
      </c>
      <c r="B10" t="s">
        <v>1710</v>
      </c>
      <c r="C10" t="s">
        <v>1711</v>
      </c>
      <c r="D10" t="s">
        <v>1402</v>
      </c>
      <c r="F10">
        <v>3.7290999999999998E-2</v>
      </c>
      <c r="G10">
        <v>7.8645000000000007E-2</v>
      </c>
      <c r="H10">
        <v>7.6622999999999997E-2</v>
      </c>
      <c r="I10">
        <v>7.4602000000000002E-2</v>
      </c>
      <c r="J10">
        <v>7.2580000000000006E-2</v>
      </c>
      <c r="K10">
        <v>7.0557999999999996E-2</v>
      </c>
      <c r="L10">
        <v>6.8537000000000001E-2</v>
      </c>
      <c r="M10">
        <v>6.8537000000000001E-2</v>
      </c>
      <c r="N10">
        <v>6.8537000000000001E-2</v>
      </c>
      <c r="O10">
        <v>6.8537000000000001E-2</v>
      </c>
      <c r="P10">
        <v>6.8537000000000001E-2</v>
      </c>
      <c r="Q10">
        <v>6.8537000000000001E-2</v>
      </c>
      <c r="R10">
        <v>6.8537000000000001E-2</v>
      </c>
      <c r="S10">
        <v>6.8537000000000001E-2</v>
      </c>
      <c r="T10">
        <v>6.8537000000000001E-2</v>
      </c>
      <c r="U10">
        <v>6.8537000000000001E-2</v>
      </c>
      <c r="V10">
        <v>6.8537000000000001E-2</v>
      </c>
      <c r="W10">
        <v>6.8537000000000001E-2</v>
      </c>
      <c r="X10">
        <v>6.8537000000000001E-2</v>
      </c>
      <c r="Y10">
        <v>6.8537000000000001E-2</v>
      </c>
      <c r="Z10">
        <v>6.8537000000000001E-2</v>
      </c>
      <c r="AA10">
        <v>6.8537000000000001E-2</v>
      </c>
      <c r="AB10">
        <v>6.8537000000000001E-2</v>
      </c>
      <c r="AC10">
        <v>6.8537000000000001E-2</v>
      </c>
      <c r="AD10">
        <v>6.8537000000000001E-2</v>
      </c>
      <c r="AE10">
        <v>6.8537000000000001E-2</v>
      </c>
      <c r="AF10">
        <v>6.8537000000000001E-2</v>
      </c>
      <c r="AG10">
        <v>6.8537000000000001E-2</v>
      </c>
      <c r="AH10">
        <v>6.8537000000000001E-2</v>
      </c>
      <c r="AI10">
        <v>6.8537000000000001E-2</v>
      </c>
      <c r="AJ10" s="9">
        <v>2.1000000000000001E-2</v>
      </c>
    </row>
    <row r="11" spans="1:36" x14ac:dyDescent="0.25">
      <c r="A11" s="1" t="s">
        <v>1413</v>
      </c>
      <c r="B11" t="s">
        <v>1712</v>
      </c>
      <c r="C11" t="s">
        <v>1713</v>
      </c>
      <c r="D11" t="s">
        <v>1402</v>
      </c>
      <c r="F11">
        <v>6.7489319999999999</v>
      </c>
      <c r="G11">
        <v>7.5118689999999999</v>
      </c>
      <c r="H11">
        <v>7.7192660000000002</v>
      </c>
      <c r="I11">
        <v>7.8052900000000003</v>
      </c>
      <c r="J11">
        <v>8.0228760000000001</v>
      </c>
      <c r="K11">
        <v>8.0374020000000002</v>
      </c>
      <c r="L11">
        <v>8.1740840000000006</v>
      </c>
      <c r="M11">
        <v>8.4640310000000003</v>
      </c>
      <c r="N11">
        <v>8.7133679999999991</v>
      </c>
      <c r="O11">
        <v>8.9427710000000005</v>
      </c>
      <c r="P11">
        <v>9.2171950000000002</v>
      </c>
      <c r="Q11">
        <v>9.467295</v>
      </c>
      <c r="R11">
        <v>9.5846149999999994</v>
      </c>
      <c r="S11">
        <v>9.6283180000000002</v>
      </c>
      <c r="T11">
        <v>9.6902709999999992</v>
      </c>
      <c r="U11">
        <v>9.7124609999999993</v>
      </c>
      <c r="V11">
        <v>9.7110690000000002</v>
      </c>
      <c r="W11">
        <v>9.7331839999999996</v>
      </c>
      <c r="X11">
        <v>9.7578700000000005</v>
      </c>
      <c r="Y11">
        <v>9.7930489999999999</v>
      </c>
      <c r="Z11">
        <v>9.7801930000000006</v>
      </c>
      <c r="AA11">
        <v>9.7972470000000005</v>
      </c>
      <c r="AB11">
        <v>9.8069299999999995</v>
      </c>
      <c r="AC11">
        <v>9.8426270000000002</v>
      </c>
      <c r="AD11">
        <v>9.8394519999999996</v>
      </c>
      <c r="AE11">
        <v>9.8232219999999995</v>
      </c>
      <c r="AF11">
        <v>9.8114260000000009</v>
      </c>
      <c r="AG11">
        <v>9.8166119999999992</v>
      </c>
      <c r="AH11">
        <v>9.7885019999999994</v>
      </c>
      <c r="AI11">
        <v>9.7824570000000008</v>
      </c>
      <c r="AJ11" s="9">
        <v>1.2999999999999999E-2</v>
      </c>
    </row>
    <row r="12" spans="1:36" s="10" customFormat="1" x14ac:dyDescent="0.25">
      <c r="A12" s="10" t="s">
        <v>1416</v>
      </c>
      <c r="B12" s="10" t="s">
        <v>1714</v>
      </c>
      <c r="C12" s="10" t="s">
        <v>1715</v>
      </c>
      <c r="D12" s="10" t="s">
        <v>1402</v>
      </c>
      <c r="F12" s="10">
        <v>0.95093399999999995</v>
      </c>
      <c r="G12" s="10">
        <v>0.99431700000000001</v>
      </c>
      <c r="H12" s="10">
        <v>0.96694400000000003</v>
      </c>
      <c r="I12" s="10">
        <v>0.98479899999999998</v>
      </c>
      <c r="J12" s="10">
        <v>0.99467000000000005</v>
      </c>
      <c r="K12" s="10">
        <v>0.98452399999999995</v>
      </c>
      <c r="L12" s="10">
        <v>0.989653</v>
      </c>
      <c r="M12" s="10">
        <v>0.99810200000000004</v>
      </c>
      <c r="N12" s="10">
        <v>1.021865</v>
      </c>
      <c r="O12" s="10">
        <v>1.0219769999999999</v>
      </c>
      <c r="P12" s="10">
        <v>1.059877</v>
      </c>
      <c r="Q12" s="10">
        <v>1.06349</v>
      </c>
      <c r="R12" s="10">
        <v>1.063998</v>
      </c>
      <c r="S12" s="10">
        <v>1.0718540000000001</v>
      </c>
      <c r="T12" s="10">
        <v>1.0965819999999999</v>
      </c>
      <c r="U12" s="10">
        <v>1.1040700000000001</v>
      </c>
      <c r="V12" s="10">
        <v>1.1102069999999999</v>
      </c>
      <c r="W12" s="10">
        <v>1.121564</v>
      </c>
      <c r="X12" s="10">
        <v>1.137337</v>
      </c>
      <c r="Y12" s="10">
        <v>1.1500790000000001</v>
      </c>
      <c r="Z12" s="10">
        <v>1.1585890000000001</v>
      </c>
      <c r="AA12" s="10">
        <v>1.1823330000000001</v>
      </c>
      <c r="AB12" s="10">
        <v>1.198976</v>
      </c>
      <c r="AC12" s="10">
        <v>1.231174</v>
      </c>
      <c r="AD12" s="10">
        <v>1.2463500000000001</v>
      </c>
      <c r="AE12" s="10">
        <v>1.254089</v>
      </c>
      <c r="AF12" s="10">
        <v>1.2633270000000001</v>
      </c>
      <c r="AG12" s="10">
        <v>1.2745979999999999</v>
      </c>
      <c r="AH12" s="10">
        <v>1.27874</v>
      </c>
      <c r="AI12" s="10">
        <v>1.2897689999999999</v>
      </c>
      <c r="AJ12" s="11">
        <v>1.0999999999999999E-2</v>
      </c>
    </row>
    <row r="13" spans="1:36" s="10" customFormat="1" x14ac:dyDescent="0.25">
      <c r="A13" s="10" t="s">
        <v>1419</v>
      </c>
      <c r="B13" s="10" t="s">
        <v>1716</v>
      </c>
      <c r="C13" s="10" t="s">
        <v>1717</v>
      </c>
      <c r="D13" s="10" t="s">
        <v>1402</v>
      </c>
      <c r="F13" s="10">
        <v>2.2186370000000002</v>
      </c>
      <c r="G13" s="10">
        <v>2.3220519999999998</v>
      </c>
      <c r="H13" s="10">
        <v>2.315747</v>
      </c>
      <c r="I13" s="10">
        <v>2.3394159999999999</v>
      </c>
      <c r="J13" s="10">
        <v>2.377205</v>
      </c>
      <c r="K13" s="10">
        <v>2.389821</v>
      </c>
      <c r="L13" s="10">
        <v>2.4213719999999999</v>
      </c>
      <c r="M13" s="10">
        <v>2.4900950000000002</v>
      </c>
      <c r="N13" s="10">
        <v>2.5284450000000001</v>
      </c>
      <c r="O13" s="10">
        <v>2.5577359999999998</v>
      </c>
      <c r="P13" s="10">
        <v>2.5942599999999998</v>
      </c>
      <c r="Q13" s="10">
        <v>2.6279720000000002</v>
      </c>
      <c r="R13" s="10">
        <v>2.6575579999999999</v>
      </c>
      <c r="S13" s="10">
        <v>2.693406</v>
      </c>
      <c r="T13" s="10">
        <v>2.7306319999999999</v>
      </c>
      <c r="U13" s="10">
        <v>2.7325569999999999</v>
      </c>
      <c r="V13" s="10">
        <v>2.7378049999999998</v>
      </c>
      <c r="W13" s="10">
        <v>2.7485620000000002</v>
      </c>
      <c r="X13" s="10">
        <v>2.7574740000000002</v>
      </c>
      <c r="Y13" s="10">
        <v>2.767137</v>
      </c>
      <c r="Z13" s="10">
        <v>2.7585459999999999</v>
      </c>
      <c r="AA13" s="10">
        <v>2.7518549999999999</v>
      </c>
      <c r="AB13" s="10">
        <v>2.7448950000000001</v>
      </c>
      <c r="AC13" s="10">
        <v>2.7356189999999998</v>
      </c>
      <c r="AD13" s="10">
        <v>2.7300439999999999</v>
      </c>
      <c r="AE13" s="10">
        <v>2.7060740000000001</v>
      </c>
      <c r="AF13" s="10">
        <v>2.685041</v>
      </c>
      <c r="AG13" s="10">
        <v>2.6661809999999999</v>
      </c>
      <c r="AH13" s="10">
        <v>2.646703</v>
      </c>
      <c r="AI13" s="10">
        <v>2.6296300000000001</v>
      </c>
      <c r="AJ13" s="11">
        <v>6.0000000000000001E-3</v>
      </c>
    </row>
    <row r="14" spans="1:36" s="10" customFormat="1" x14ac:dyDescent="0.25">
      <c r="A14" s="10" t="s">
        <v>1422</v>
      </c>
      <c r="B14" s="10" t="s">
        <v>1718</v>
      </c>
      <c r="C14" s="10" t="s">
        <v>1719</v>
      </c>
      <c r="D14" s="10" t="s">
        <v>1402</v>
      </c>
      <c r="F14" s="10">
        <v>3.5793599999999999</v>
      </c>
      <c r="G14" s="10">
        <v>4.1955</v>
      </c>
      <c r="H14" s="10">
        <v>4.4365750000000004</v>
      </c>
      <c r="I14" s="10">
        <v>4.4810759999999998</v>
      </c>
      <c r="J14" s="10">
        <v>4.6510009999999999</v>
      </c>
      <c r="K14" s="10">
        <v>4.6630580000000004</v>
      </c>
      <c r="L14" s="10">
        <v>4.763058</v>
      </c>
      <c r="M14" s="10">
        <v>4.9758329999999997</v>
      </c>
      <c r="N14" s="10">
        <v>5.1630580000000004</v>
      </c>
      <c r="O14" s="10">
        <v>5.3630579999999997</v>
      </c>
      <c r="P14" s="10">
        <v>5.5630579999999998</v>
      </c>
      <c r="Q14" s="10">
        <v>5.7758330000000004</v>
      </c>
      <c r="R14" s="10">
        <v>5.8630579999999997</v>
      </c>
      <c r="S14" s="10">
        <v>5.8630579999999997</v>
      </c>
      <c r="T14" s="10">
        <v>5.8630579999999997</v>
      </c>
      <c r="U14" s="10">
        <v>5.8758340000000002</v>
      </c>
      <c r="V14" s="10">
        <v>5.8630579999999997</v>
      </c>
      <c r="W14" s="10">
        <v>5.8630579999999997</v>
      </c>
      <c r="X14" s="10">
        <v>5.8630579999999997</v>
      </c>
      <c r="Y14" s="10">
        <v>5.8758340000000002</v>
      </c>
      <c r="Z14" s="10">
        <v>5.8630579999999997</v>
      </c>
      <c r="AA14" s="10">
        <v>5.8630579999999997</v>
      </c>
      <c r="AB14" s="10">
        <v>5.8630579999999997</v>
      </c>
      <c r="AC14" s="10">
        <v>5.8758340000000002</v>
      </c>
      <c r="AD14" s="10">
        <v>5.8630579999999997</v>
      </c>
      <c r="AE14" s="10">
        <v>5.8630579999999997</v>
      </c>
      <c r="AF14" s="10">
        <v>5.8630579999999997</v>
      </c>
      <c r="AG14" s="10">
        <v>5.8758340000000002</v>
      </c>
      <c r="AH14" s="10">
        <v>5.8630579999999997</v>
      </c>
      <c r="AI14" s="10">
        <v>5.8630579999999997</v>
      </c>
      <c r="AJ14" s="11">
        <v>1.7000000000000001E-2</v>
      </c>
    </row>
    <row r="15" spans="1:36" x14ac:dyDescent="0.25">
      <c r="A15" t="s">
        <v>1425</v>
      </c>
      <c r="B15" t="s">
        <v>1720</v>
      </c>
      <c r="C15" t="s">
        <v>1721</v>
      </c>
      <c r="D15" t="s">
        <v>1402</v>
      </c>
      <c r="F15">
        <v>-4.0188879999999996</v>
      </c>
      <c r="G15">
        <v>-5.0329220000000001</v>
      </c>
      <c r="H15">
        <v>-5.319394</v>
      </c>
      <c r="I15">
        <v>-5.5059209999999998</v>
      </c>
      <c r="J15">
        <v>-5.7956659999999998</v>
      </c>
      <c r="K15">
        <v>-5.8357039999999998</v>
      </c>
      <c r="L15">
        <v>-6.0070350000000001</v>
      </c>
      <c r="M15">
        <v>-6.3463469999999997</v>
      </c>
      <c r="N15">
        <v>-6.7262420000000001</v>
      </c>
      <c r="O15">
        <v>-7.0077360000000004</v>
      </c>
      <c r="P15">
        <v>-7.3725630000000004</v>
      </c>
      <c r="Q15">
        <v>-7.6343180000000004</v>
      </c>
      <c r="R15">
        <v>-7.7067889999999997</v>
      </c>
      <c r="S15">
        <v>-7.7878179999999997</v>
      </c>
      <c r="T15">
        <v>-7.8907959999999999</v>
      </c>
      <c r="U15">
        <v>-7.9182870000000003</v>
      </c>
      <c r="V15">
        <v>-7.8834220000000004</v>
      </c>
      <c r="W15">
        <v>-7.9086619999999996</v>
      </c>
      <c r="X15">
        <v>-7.9627610000000004</v>
      </c>
      <c r="Y15">
        <v>-8.0319929999999999</v>
      </c>
      <c r="Z15">
        <v>-8.0435140000000001</v>
      </c>
      <c r="AA15">
        <v>-8.0683100000000003</v>
      </c>
      <c r="AB15">
        <v>-8.1378730000000008</v>
      </c>
      <c r="AC15">
        <v>-8.2940179999999994</v>
      </c>
      <c r="AD15">
        <v>-8.3668110000000002</v>
      </c>
      <c r="AE15">
        <v>-8.3703769999999995</v>
      </c>
      <c r="AF15">
        <v>-8.3862539999999992</v>
      </c>
      <c r="AG15">
        <v>-8.3879409999999996</v>
      </c>
      <c r="AH15">
        <v>-8.3917710000000003</v>
      </c>
      <c r="AI15">
        <v>-8.4290870000000009</v>
      </c>
      <c r="AJ15" s="9">
        <v>2.5999999999999999E-2</v>
      </c>
    </row>
    <row r="16" spans="1:36" x14ac:dyDescent="0.25">
      <c r="A16" t="s">
        <v>1428</v>
      </c>
      <c r="B16" t="s">
        <v>1722</v>
      </c>
      <c r="C16" t="s">
        <v>1723</v>
      </c>
      <c r="D16" t="s">
        <v>1402</v>
      </c>
      <c r="F16">
        <v>1.741819</v>
      </c>
      <c r="G16">
        <v>1.405986</v>
      </c>
      <c r="H16">
        <v>1.3563050000000001</v>
      </c>
      <c r="I16">
        <v>1.2399690000000001</v>
      </c>
      <c r="J16">
        <v>1.159961</v>
      </c>
      <c r="K16">
        <v>1.1466160000000001</v>
      </c>
      <c r="L16">
        <v>1.1088579999999999</v>
      </c>
      <c r="M16">
        <v>1.051045</v>
      </c>
      <c r="N16">
        <v>0.89672499999999999</v>
      </c>
      <c r="O16">
        <v>0.84452199999999999</v>
      </c>
      <c r="P16">
        <v>0.71621800000000002</v>
      </c>
      <c r="Q16">
        <v>0.70094999999999996</v>
      </c>
      <c r="R16">
        <v>0.74529000000000001</v>
      </c>
      <c r="S16">
        <v>0.70010899999999998</v>
      </c>
      <c r="T16">
        <v>0.63435699999999995</v>
      </c>
      <c r="U16">
        <v>0.62156699999999998</v>
      </c>
      <c r="V16">
        <v>0.64890400000000004</v>
      </c>
      <c r="W16">
        <v>0.63442200000000004</v>
      </c>
      <c r="X16">
        <v>0.58923400000000004</v>
      </c>
      <c r="Y16">
        <v>0.54244000000000003</v>
      </c>
      <c r="Z16">
        <v>0.50955300000000003</v>
      </c>
      <c r="AA16">
        <v>0.47806700000000002</v>
      </c>
      <c r="AB16">
        <v>0.40154299999999998</v>
      </c>
      <c r="AC16">
        <v>0.24889800000000001</v>
      </c>
      <c r="AD16">
        <v>0.15775500000000001</v>
      </c>
      <c r="AE16">
        <v>0.130219</v>
      </c>
      <c r="AF16">
        <v>9.3309000000000003E-2</v>
      </c>
      <c r="AG16">
        <v>8.5537000000000002E-2</v>
      </c>
      <c r="AH16">
        <v>4.9453999999999998E-2</v>
      </c>
      <c r="AI16">
        <v>-4.9350000000000002E-3</v>
      </c>
      <c r="AJ16" s="9" t="s">
        <v>1409</v>
      </c>
    </row>
    <row r="17" spans="1:36" x14ac:dyDescent="0.25">
      <c r="A17" t="s">
        <v>1431</v>
      </c>
      <c r="B17" t="s">
        <v>1724</v>
      </c>
      <c r="C17" t="s">
        <v>1725</v>
      </c>
      <c r="D17" t="s">
        <v>1402</v>
      </c>
      <c r="F17">
        <v>-2.2186370000000002</v>
      </c>
      <c r="G17">
        <v>-2.3220519999999998</v>
      </c>
      <c r="H17">
        <v>-2.315747</v>
      </c>
      <c r="I17">
        <v>-2.3394159999999999</v>
      </c>
      <c r="J17">
        <v>-2.377205</v>
      </c>
      <c r="K17">
        <v>-2.389821</v>
      </c>
      <c r="L17">
        <v>-2.4213719999999999</v>
      </c>
      <c r="M17">
        <v>-2.4900950000000002</v>
      </c>
      <c r="N17">
        <v>-2.5284450000000001</v>
      </c>
      <c r="O17">
        <v>-2.5577359999999998</v>
      </c>
      <c r="P17">
        <v>-2.5942599999999998</v>
      </c>
      <c r="Q17">
        <v>-2.6279720000000002</v>
      </c>
      <c r="R17">
        <v>-2.6575579999999999</v>
      </c>
      <c r="S17">
        <v>-2.693406</v>
      </c>
      <c r="T17">
        <v>-2.7306319999999999</v>
      </c>
      <c r="U17">
        <v>-2.7325569999999999</v>
      </c>
      <c r="V17">
        <v>-2.7378049999999998</v>
      </c>
      <c r="W17">
        <v>-2.7485620000000002</v>
      </c>
      <c r="X17">
        <v>-2.7574740000000002</v>
      </c>
      <c r="Y17">
        <v>-2.767137</v>
      </c>
      <c r="Z17">
        <v>-2.7585459999999999</v>
      </c>
      <c r="AA17">
        <v>-2.7518549999999999</v>
      </c>
      <c r="AB17">
        <v>-2.7448950000000001</v>
      </c>
      <c r="AC17">
        <v>-2.7356189999999998</v>
      </c>
      <c r="AD17">
        <v>-2.7300439999999999</v>
      </c>
      <c r="AE17">
        <v>-2.7060740000000001</v>
      </c>
      <c r="AF17">
        <v>-2.685041</v>
      </c>
      <c r="AG17">
        <v>-2.6661809999999999</v>
      </c>
      <c r="AH17">
        <v>-2.646703</v>
      </c>
      <c r="AI17">
        <v>-2.6296300000000001</v>
      </c>
      <c r="AJ17" s="9">
        <v>6.0000000000000001E-3</v>
      </c>
    </row>
    <row r="18" spans="1:36" x14ac:dyDescent="0.25">
      <c r="A18" t="s">
        <v>1434</v>
      </c>
      <c r="B18" t="s">
        <v>1726</v>
      </c>
      <c r="C18" t="s">
        <v>1727</v>
      </c>
      <c r="D18" t="s">
        <v>1402</v>
      </c>
      <c r="F18">
        <v>-3.5420690000000001</v>
      </c>
      <c r="G18">
        <v>-4.1168560000000003</v>
      </c>
      <c r="H18">
        <v>-4.3599519999999998</v>
      </c>
      <c r="I18">
        <v>-4.4064740000000002</v>
      </c>
      <c r="J18">
        <v>-4.5784209999999996</v>
      </c>
      <c r="K18">
        <v>-4.5924990000000001</v>
      </c>
      <c r="L18">
        <v>-4.6945209999999999</v>
      </c>
      <c r="M18">
        <v>-4.9072969999999998</v>
      </c>
      <c r="N18">
        <v>-5.0945210000000003</v>
      </c>
      <c r="O18">
        <v>-5.2945209999999996</v>
      </c>
      <c r="P18">
        <v>-5.4945209999999998</v>
      </c>
      <c r="Q18">
        <v>-5.7072960000000004</v>
      </c>
      <c r="R18">
        <v>-5.7945209999999996</v>
      </c>
      <c r="S18">
        <v>-5.7945209999999996</v>
      </c>
      <c r="T18">
        <v>-5.7945209999999996</v>
      </c>
      <c r="U18">
        <v>-5.8072970000000002</v>
      </c>
      <c r="V18">
        <v>-5.7945209999999996</v>
      </c>
      <c r="W18">
        <v>-5.7945209999999996</v>
      </c>
      <c r="X18">
        <v>-5.7945209999999996</v>
      </c>
      <c r="Y18">
        <v>-5.8072970000000002</v>
      </c>
      <c r="Z18">
        <v>-5.7945209999999996</v>
      </c>
      <c r="AA18">
        <v>-5.7945209999999996</v>
      </c>
      <c r="AB18">
        <v>-5.7945209999999996</v>
      </c>
      <c r="AC18">
        <v>-5.8072970000000002</v>
      </c>
      <c r="AD18">
        <v>-5.7945209999999996</v>
      </c>
      <c r="AE18">
        <v>-5.7945209999999996</v>
      </c>
      <c r="AF18">
        <v>-5.7945209999999996</v>
      </c>
      <c r="AG18">
        <v>-5.8072970000000002</v>
      </c>
      <c r="AH18">
        <v>-5.7945209999999996</v>
      </c>
      <c r="AI18">
        <v>-5.7945209999999996</v>
      </c>
      <c r="AJ18" s="9">
        <v>1.7000000000000001E-2</v>
      </c>
    </row>
    <row r="21" spans="1:36" x14ac:dyDescent="0.25">
      <c r="B21" s="1" t="s">
        <v>1591</v>
      </c>
    </row>
    <row r="22" spans="1:36" x14ac:dyDescent="0.25">
      <c r="C22" s="10" t="s">
        <v>1416</v>
      </c>
      <c r="D22" s="10" t="s">
        <v>1419</v>
      </c>
      <c r="E22" s="10" t="s">
        <v>1422</v>
      </c>
    </row>
    <row r="23" spans="1:36" x14ac:dyDescent="0.25">
      <c r="B23">
        <v>2021</v>
      </c>
      <c r="C23">
        <v>0.95093399999999995</v>
      </c>
      <c r="D23">
        <v>2.218661</v>
      </c>
      <c r="E23">
        <v>3.5793599999999999</v>
      </c>
    </row>
    <row r="24" spans="1:36" x14ac:dyDescent="0.25">
      <c r="B24">
        <v>2022</v>
      </c>
      <c r="C24">
        <v>0.99348800000000004</v>
      </c>
      <c r="D24">
        <v>2.3218239999999999</v>
      </c>
      <c r="E24">
        <v>4.1955</v>
      </c>
    </row>
    <row r="25" spans="1:36" x14ac:dyDescent="0.25">
      <c r="B25">
        <v>2023</v>
      </c>
      <c r="C25">
        <v>0.96299400000000002</v>
      </c>
      <c r="D25">
        <v>2.3134139999999999</v>
      </c>
      <c r="E25">
        <v>4.4365750000000004</v>
      </c>
    </row>
    <row r="26" spans="1:36" x14ac:dyDescent="0.25">
      <c r="B26">
        <v>2024</v>
      </c>
      <c r="C26">
        <v>0.97946800000000001</v>
      </c>
      <c r="D26">
        <v>2.3348010000000001</v>
      </c>
      <c r="E26">
        <v>4.4810759999999998</v>
      </c>
    </row>
    <row r="27" spans="1:36" x14ac:dyDescent="0.25">
      <c r="B27">
        <v>2025</v>
      </c>
      <c r="C27">
        <v>0.99441400000000002</v>
      </c>
      <c r="D27">
        <v>2.3719999999999999</v>
      </c>
      <c r="E27">
        <v>4.6510009999999999</v>
      </c>
    </row>
    <row r="28" spans="1:36" x14ac:dyDescent="0.25">
      <c r="B28">
        <v>2026</v>
      </c>
      <c r="C28">
        <v>0.98408300000000004</v>
      </c>
      <c r="D28">
        <v>2.3817170000000001</v>
      </c>
      <c r="E28">
        <v>4.6630580000000004</v>
      </c>
    </row>
    <row r="29" spans="1:36" x14ac:dyDescent="0.25">
      <c r="B29">
        <v>2027</v>
      </c>
      <c r="C29">
        <v>0.98275500000000005</v>
      </c>
      <c r="D29">
        <v>2.4097270000000002</v>
      </c>
      <c r="E29">
        <v>4.763058</v>
      </c>
    </row>
    <row r="30" spans="1:36" x14ac:dyDescent="0.25">
      <c r="B30">
        <v>2028</v>
      </c>
      <c r="C30">
        <v>0.99467700000000003</v>
      </c>
      <c r="D30">
        <v>2.4779140000000002</v>
      </c>
      <c r="E30">
        <v>4.9758329999999997</v>
      </c>
    </row>
    <row r="31" spans="1:36" x14ac:dyDescent="0.25">
      <c r="B31">
        <v>2029</v>
      </c>
      <c r="C31">
        <v>1.026718</v>
      </c>
      <c r="D31">
        <v>2.5132059999999998</v>
      </c>
      <c r="E31">
        <v>5.1630580000000004</v>
      </c>
    </row>
    <row r="32" spans="1:36" x14ac:dyDescent="0.25">
      <c r="B32">
        <v>2030</v>
      </c>
      <c r="C32">
        <v>1.0244329999999999</v>
      </c>
      <c r="D32">
        <v>2.5390649999999999</v>
      </c>
      <c r="E32">
        <v>5.3630579999999997</v>
      </c>
    </row>
    <row r="33" spans="2:5" x14ac:dyDescent="0.25">
      <c r="B33">
        <v>2031</v>
      </c>
      <c r="C33">
        <v>1.0595140000000001</v>
      </c>
      <c r="D33">
        <v>2.574106</v>
      </c>
      <c r="E33">
        <v>5.5630579999999998</v>
      </c>
    </row>
    <row r="34" spans="2:5" x14ac:dyDescent="0.25">
      <c r="B34">
        <v>2032</v>
      </c>
      <c r="C34">
        <v>1.0659479999999999</v>
      </c>
      <c r="D34">
        <v>2.607545</v>
      </c>
      <c r="E34">
        <v>5.7758330000000004</v>
      </c>
    </row>
    <row r="35" spans="2:5" x14ac:dyDescent="0.25">
      <c r="B35">
        <v>2033</v>
      </c>
      <c r="C35">
        <v>1.0686450000000001</v>
      </c>
      <c r="D35">
        <v>2.6375920000000002</v>
      </c>
      <c r="E35">
        <v>5.8630579999999997</v>
      </c>
    </row>
    <row r="36" spans="2:5" x14ac:dyDescent="0.25">
      <c r="B36">
        <v>2034</v>
      </c>
      <c r="C36">
        <v>1.077634</v>
      </c>
      <c r="D36">
        <v>2.6727219999999998</v>
      </c>
      <c r="E36">
        <v>5.8630579999999997</v>
      </c>
    </row>
    <row r="37" spans="2:5" x14ac:dyDescent="0.25">
      <c r="B37">
        <v>2035</v>
      </c>
      <c r="C37">
        <v>1.0939289999999999</v>
      </c>
      <c r="D37">
        <v>2.7067190000000001</v>
      </c>
      <c r="E37">
        <v>5.8630579999999997</v>
      </c>
    </row>
    <row r="38" spans="2:5" x14ac:dyDescent="0.25">
      <c r="B38">
        <v>2036</v>
      </c>
      <c r="C38">
        <v>1.104568</v>
      </c>
      <c r="D38">
        <v>2.7069390000000002</v>
      </c>
      <c r="E38">
        <v>5.8758340000000002</v>
      </c>
    </row>
    <row r="39" spans="2:5" x14ac:dyDescent="0.25">
      <c r="B39">
        <v>2037</v>
      </c>
      <c r="C39">
        <v>1.1097939999999999</v>
      </c>
      <c r="D39">
        <v>2.7084090000000001</v>
      </c>
      <c r="E39">
        <v>5.8630579999999997</v>
      </c>
    </row>
    <row r="40" spans="2:5" x14ac:dyDescent="0.25">
      <c r="B40">
        <v>2038</v>
      </c>
      <c r="C40">
        <v>1.1232070000000001</v>
      </c>
      <c r="D40">
        <v>2.7151350000000001</v>
      </c>
      <c r="E40">
        <v>5.8630579999999997</v>
      </c>
    </row>
    <row r="41" spans="2:5" x14ac:dyDescent="0.25">
      <c r="B41">
        <v>2039</v>
      </c>
      <c r="C41">
        <v>1.144728</v>
      </c>
      <c r="D41">
        <v>2.7195559999999999</v>
      </c>
      <c r="E41">
        <v>5.8630579999999997</v>
      </c>
    </row>
    <row r="42" spans="2:5" x14ac:dyDescent="0.25">
      <c r="B42">
        <v>2040</v>
      </c>
      <c r="C42">
        <v>1.1552260000000001</v>
      </c>
      <c r="D42">
        <v>2.7250429999999999</v>
      </c>
      <c r="E42">
        <v>5.8758340000000002</v>
      </c>
    </row>
    <row r="43" spans="2:5" x14ac:dyDescent="0.25">
      <c r="B43">
        <v>2041</v>
      </c>
      <c r="C43">
        <v>1.176131</v>
      </c>
      <c r="D43">
        <v>2.717654</v>
      </c>
      <c r="E43">
        <v>5.8630579999999997</v>
      </c>
    </row>
    <row r="44" spans="2:5" x14ac:dyDescent="0.25">
      <c r="B44">
        <v>2042</v>
      </c>
      <c r="C44">
        <v>1.1870959999999999</v>
      </c>
      <c r="D44">
        <v>2.711551</v>
      </c>
      <c r="E44">
        <v>5.8630579999999997</v>
      </c>
    </row>
    <row r="45" spans="2:5" x14ac:dyDescent="0.25">
      <c r="B45">
        <v>2043</v>
      </c>
      <c r="C45">
        <v>1.2053959999999999</v>
      </c>
      <c r="D45">
        <v>2.7027739999999998</v>
      </c>
      <c r="E45">
        <v>5.8630579999999997</v>
      </c>
    </row>
    <row r="46" spans="2:5" x14ac:dyDescent="0.25">
      <c r="B46">
        <v>2044</v>
      </c>
      <c r="C46">
        <v>1.239697</v>
      </c>
      <c r="D46">
        <v>2.6984560000000002</v>
      </c>
      <c r="E46">
        <v>5.8758340000000002</v>
      </c>
    </row>
    <row r="47" spans="2:5" x14ac:dyDescent="0.25">
      <c r="B47">
        <v>2045</v>
      </c>
      <c r="C47">
        <v>1.2516860000000001</v>
      </c>
      <c r="D47">
        <v>2.6895359999999999</v>
      </c>
      <c r="E47">
        <v>5.8630579999999997</v>
      </c>
    </row>
    <row r="48" spans="2:5" x14ac:dyDescent="0.25">
      <c r="B48">
        <v>2046</v>
      </c>
      <c r="C48">
        <v>1.2630749999999999</v>
      </c>
      <c r="D48">
        <v>2.6658149999999998</v>
      </c>
      <c r="E48">
        <v>5.8630579999999997</v>
      </c>
    </row>
    <row r="49" spans="2:5" x14ac:dyDescent="0.25">
      <c r="B49">
        <v>2047</v>
      </c>
      <c r="C49">
        <v>1.2760940000000001</v>
      </c>
      <c r="D49">
        <v>2.6425230000000002</v>
      </c>
      <c r="E49">
        <v>5.8630579999999997</v>
      </c>
    </row>
    <row r="50" spans="2:5" x14ac:dyDescent="0.25">
      <c r="B50">
        <v>2048</v>
      </c>
      <c r="C50">
        <v>1.286707</v>
      </c>
      <c r="D50">
        <v>2.6201829999999999</v>
      </c>
      <c r="E50">
        <v>5.8758340000000002</v>
      </c>
    </row>
    <row r="51" spans="2:5" x14ac:dyDescent="0.25">
      <c r="B51">
        <v>2049</v>
      </c>
      <c r="C51">
        <v>1.2947580000000001</v>
      </c>
      <c r="D51">
        <v>2.598824</v>
      </c>
      <c r="E51">
        <v>5.8630579999999997</v>
      </c>
    </row>
    <row r="52" spans="2:5" x14ac:dyDescent="0.25">
      <c r="B52">
        <v>2050</v>
      </c>
      <c r="C52">
        <v>1.307339</v>
      </c>
      <c r="D52">
        <v>2.5775589999999999</v>
      </c>
      <c r="E52">
        <v>5.8630579999999997</v>
      </c>
    </row>
    <row r="53" spans="2:5" x14ac:dyDescent="0.25">
      <c r="B53" t="s">
        <v>1622</v>
      </c>
      <c r="C53">
        <v>1.0999999999999999E-2</v>
      </c>
      <c r="D53">
        <v>5.0000000000000001E-3</v>
      </c>
      <c r="E53">
        <v>1.7000000000000001E-2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7"/>
  <sheetViews>
    <sheetView topLeftCell="A224" workbookViewId="0">
      <selection activeCell="H258" sqref="H258"/>
    </sheetView>
  </sheetViews>
  <sheetFormatPr baseColWidth="10" defaultColWidth="9.140625" defaultRowHeight="15" x14ac:dyDescent="0.25"/>
  <sheetData>
    <row r="1" spans="1:4" ht="15.75" x14ac:dyDescent="0.25">
      <c r="A1" s="35" t="s">
        <v>1437</v>
      </c>
      <c r="B1" s="34" t="s">
        <v>1638</v>
      </c>
    </row>
    <row r="2" spans="1:4" ht="24.75" x14ac:dyDescent="0.25">
      <c r="A2" s="33" t="s">
        <v>1439</v>
      </c>
      <c r="B2" s="33" t="s">
        <v>1637</v>
      </c>
    </row>
    <row r="3" spans="1:4" ht="102.75" x14ac:dyDescent="0.25">
      <c r="A3" s="31" t="s">
        <v>1455</v>
      </c>
      <c r="B3" s="31" t="s">
        <v>1636</v>
      </c>
    </row>
    <row r="4" spans="1:4" x14ac:dyDescent="0.25">
      <c r="A4" s="41">
        <v>36906</v>
      </c>
      <c r="B4" s="12">
        <v>2505011</v>
      </c>
      <c r="C4">
        <f t="shared" ref="C4:C67" si="0">MONTH(A4)</f>
        <v>1</v>
      </c>
      <c r="D4">
        <f t="shared" ref="D4:D67" si="1">YEAR(A4)</f>
        <v>2001</v>
      </c>
    </row>
    <row r="5" spans="1:4" x14ac:dyDescent="0.25">
      <c r="A5" s="41">
        <v>36937</v>
      </c>
      <c r="B5" s="12">
        <v>2156873</v>
      </c>
      <c r="C5">
        <f t="shared" si="0"/>
        <v>2</v>
      </c>
      <c r="D5">
        <f t="shared" si="1"/>
        <v>2001</v>
      </c>
    </row>
    <row r="6" spans="1:4" x14ac:dyDescent="0.25">
      <c r="A6" s="41">
        <v>36965</v>
      </c>
      <c r="B6" s="12">
        <v>2086568</v>
      </c>
      <c r="C6">
        <f t="shared" si="0"/>
        <v>3</v>
      </c>
      <c r="D6">
        <f t="shared" si="1"/>
        <v>2001</v>
      </c>
    </row>
    <row r="7" spans="1:4" x14ac:dyDescent="0.25">
      <c r="A7" s="41">
        <v>36996</v>
      </c>
      <c r="B7" s="12">
        <v>1663832</v>
      </c>
      <c r="C7">
        <f t="shared" si="0"/>
        <v>4</v>
      </c>
      <c r="D7">
        <f t="shared" si="1"/>
        <v>2001</v>
      </c>
    </row>
    <row r="8" spans="1:4" x14ac:dyDescent="0.25">
      <c r="A8" s="41">
        <v>37026</v>
      </c>
      <c r="B8" s="12">
        <v>1385163</v>
      </c>
      <c r="C8">
        <f t="shared" si="0"/>
        <v>5</v>
      </c>
      <c r="D8">
        <f t="shared" si="1"/>
        <v>2001</v>
      </c>
    </row>
    <row r="9" spans="1:4" x14ac:dyDescent="0.25">
      <c r="A9" s="41">
        <v>37057</v>
      </c>
      <c r="B9" s="12">
        <v>1313119</v>
      </c>
      <c r="C9">
        <f t="shared" si="0"/>
        <v>6</v>
      </c>
      <c r="D9">
        <f t="shared" si="1"/>
        <v>2001</v>
      </c>
    </row>
    <row r="10" spans="1:4" x14ac:dyDescent="0.25">
      <c r="A10" s="41">
        <v>37087</v>
      </c>
      <c r="B10" s="12">
        <v>1459919</v>
      </c>
      <c r="C10">
        <f t="shared" si="0"/>
        <v>7</v>
      </c>
      <c r="D10">
        <f t="shared" si="1"/>
        <v>2001</v>
      </c>
    </row>
    <row r="11" spans="1:4" x14ac:dyDescent="0.25">
      <c r="A11" s="41">
        <v>37118</v>
      </c>
      <c r="B11" s="12">
        <v>1528483</v>
      </c>
      <c r="C11">
        <f t="shared" si="0"/>
        <v>8</v>
      </c>
      <c r="D11">
        <f t="shared" si="1"/>
        <v>2001</v>
      </c>
    </row>
    <row r="12" spans="1:4" x14ac:dyDescent="0.25">
      <c r="A12" s="41">
        <v>37149</v>
      </c>
      <c r="B12" s="12">
        <v>1360871</v>
      </c>
      <c r="C12">
        <f t="shared" si="0"/>
        <v>9</v>
      </c>
      <c r="D12">
        <f t="shared" si="1"/>
        <v>2001</v>
      </c>
    </row>
    <row r="13" spans="1:4" x14ac:dyDescent="0.25">
      <c r="A13" s="41">
        <v>37179</v>
      </c>
      <c r="B13" s="12">
        <v>1507428</v>
      </c>
      <c r="C13">
        <f t="shared" si="0"/>
        <v>10</v>
      </c>
      <c r="D13">
        <f t="shared" si="1"/>
        <v>2001</v>
      </c>
    </row>
    <row r="14" spans="1:4" x14ac:dyDescent="0.25">
      <c r="A14" s="41">
        <v>37210</v>
      </c>
      <c r="B14" s="12">
        <v>1561970</v>
      </c>
      <c r="C14">
        <f t="shared" si="0"/>
        <v>11</v>
      </c>
      <c r="D14">
        <f t="shared" si="1"/>
        <v>2001</v>
      </c>
    </row>
    <row r="15" spans="1:4" x14ac:dyDescent="0.25">
      <c r="A15" s="41">
        <v>37240</v>
      </c>
      <c r="B15" s="12">
        <v>1965873</v>
      </c>
      <c r="C15">
        <f t="shared" si="0"/>
        <v>12</v>
      </c>
      <c r="D15">
        <f t="shared" si="1"/>
        <v>2001</v>
      </c>
    </row>
    <row r="16" spans="1:4" x14ac:dyDescent="0.25">
      <c r="A16" s="41">
        <v>37271</v>
      </c>
      <c r="B16" s="12">
        <v>2319273</v>
      </c>
      <c r="C16">
        <f t="shared" si="0"/>
        <v>1</v>
      </c>
      <c r="D16">
        <f t="shared" si="1"/>
        <v>2002</v>
      </c>
    </row>
    <row r="17" spans="1:4" x14ac:dyDescent="0.25">
      <c r="A17" s="41">
        <v>37302</v>
      </c>
      <c r="B17" s="12">
        <v>2090786</v>
      </c>
      <c r="C17">
        <f t="shared" si="0"/>
        <v>2</v>
      </c>
      <c r="D17">
        <f t="shared" si="1"/>
        <v>2002</v>
      </c>
    </row>
    <row r="18" spans="1:4" x14ac:dyDescent="0.25">
      <c r="A18" s="41">
        <v>37330</v>
      </c>
      <c r="B18" s="12">
        <v>2096915</v>
      </c>
      <c r="C18">
        <f t="shared" si="0"/>
        <v>3</v>
      </c>
      <c r="D18">
        <f t="shared" si="1"/>
        <v>2002</v>
      </c>
    </row>
    <row r="19" spans="1:4" x14ac:dyDescent="0.25">
      <c r="A19" s="41">
        <v>37361</v>
      </c>
      <c r="B19" s="12">
        <v>1734549</v>
      </c>
      <c r="C19">
        <f t="shared" si="0"/>
        <v>4</v>
      </c>
      <c r="D19">
        <f t="shared" si="1"/>
        <v>2002</v>
      </c>
    </row>
    <row r="20" spans="1:4" x14ac:dyDescent="0.25">
      <c r="A20" s="41">
        <v>37391</v>
      </c>
      <c r="B20" s="12">
        <v>1470504</v>
      </c>
      <c r="C20">
        <f t="shared" si="0"/>
        <v>5</v>
      </c>
      <c r="D20">
        <f t="shared" si="1"/>
        <v>2002</v>
      </c>
    </row>
    <row r="21" spans="1:4" x14ac:dyDescent="0.25">
      <c r="A21" s="41">
        <v>37422</v>
      </c>
      <c r="B21" s="12">
        <v>1453967</v>
      </c>
      <c r="C21">
        <f t="shared" si="0"/>
        <v>6</v>
      </c>
      <c r="D21">
        <f t="shared" si="1"/>
        <v>2002</v>
      </c>
    </row>
    <row r="22" spans="1:4" x14ac:dyDescent="0.25">
      <c r="A22" s="41">
        <v>37452</v>
      </c>
      <c r="B22" s="12">
        <v>1602849</v>
      </c>
      <c r="C22">
        <f t="shared" si="0"/>
        <v>7</v>
      </c>
      <c r="D22">
        <f t="shared" si="1"/>
        <v>2002</v>
      </c>
    </row>
    <row r="23" spans="1:4" x14ac:dyDescent="0.25">
      <c r="A23" s="41">
        <v>37483</v>
      </c>
      <c r="B23" s="12">
        <v>1582079</v>
      </c>
      <c r="C23">
        <f t="shared" si="0"/>
        <v>8</v>
      </c>
      <c r="D23">
        <f t="shared" si="1"/>
        <v>2002</v>
      </c>
    </row>
    <row r="24" spans="1:4" x14ac:dyDescent="0.25">
      <c r="A24" s="41">
        <v>37514</v>
      </c>
      <c r="B24" s="12">
        <v>1408599</v>
      </c>
      <c r="C24">
        <f t="shared" si="0"/>
        <v>9</v>
      </c>
      <c r="D24">
        <f t="shared" si="1"/>
        <v>2002</v>
      </c>
    </row>
    <row r="25" spans="1:4" x14ac:dyDescent="0.25">
      <c r="A25" s="41">
        <v>37544</v>
      </c>
      <c r="B25" s="12">
        <v>1506936</v>
      </c>
      <c r="C25">
        <f t="shared" si="0"/>
        <v>10</v>
      </c>
      <c r="D25">
        <f t="shared" si="1"/>
        <v>2002</v>
      </c>
    </row>
    <row r="26" spans="1:4" x14ac:dyDescent="0.25">
      <c r="A26" s="41">
        <v>37575</v>
      </c>
      <c r="B26" s="12">
        <v>1766395</v>
      </c>
      <c r="C26">
        <f t="shared" si="0"/>
        <v>11</v>
      </c>
      <c r="D26">
        <f t="shared" si="1"/>
        <v>2002</v>
      </c>
    </row>
    <row r="27" spans="1:4" x14ac:dyDescent="0.25">
      <c r="A27" s="41">
        <v>37605</v>
      </c>
      <c r="B27" s="12">
        <v>2214167</v>
      </c>
      <c r="C27">
        <f t="shared" si="0"/>
        <v>12</v>
      </c>
      <c r="D27">
        <f t="shared" si="1"/>
        <v>2002</v>
      </c>
    </row>
    <row r="28" spans="1:4" x14ac:dyDescent="0.25">
      <c r="A28" s="41">
        <v>37636</v>
      </c>
      <c r="B28" s="12">
        <v>2532736</v>
      </c>
      <c r="C28">
        <f t="shared" si="0"/>
        <v>1</v>
      </c>
      <c r="D28">
        <f t="shared" si="1"/>
        <v>2003</v>
      </c>
    </row>
    <row r="29" spans="1:4" x14ac:dyDescent="0.25">
      <c r="A29" s="41">
        <v>37667</v>
      </c>
      <c r="B29" s="12">
        <v>2346489</v>
      </c>
      <c r="C29">
        <f t="shared" si="0"/>
        <v>2</v>
      </c>
      <c r="D29">
        <f t="shared" si="1"/>
        <v>2003</v>
      </c>
    </row>
    <row r="30" spans="1:4" x14ac:dyDescent="0.25">
      <c r="A30" s="41">
        <v>37695</v>
      </c>
      <c r="B30" s="12">
        <v>2041522</v>
      </c>
      <c r="C30">
        <f t="shared" si="0"/>
        <v>3</v>
      </c>
      <c r="D30">
        <f t="shared" si="1"/>
        <v>2003</v>
      </c>
    </row>
    <row r="31" spans="1:4" x14ac:dyDescent="0.25">
      <c r="A31" s="41">
        <v>37726</v>
      </c>
      <c r="B31" s="12">
        <v>1603853</v>
      </c>
      <c r="C31">
        <f t="shared" si="0"/>
        <v>4</v>
      </c>
      <c r="D31">
        <f t="shared" si="1"/>
        <v>2003</v>
      </c>
    </row>
    <row r="32" spans="1:4" x14ac:dyDescent="0.25">
      <c r="A32" s="41">
        <v>37756</v>
      </c>
      <c r="B32" s="12">
        <v>1379497</v>
      </c>
      <c r="C32">
        <f t="shared" si="0"/>
        <v>5</v>
      </c>
      <c r="D32">
        <f t="shared" si="1"/>
        <v>2003</v>
      </c>
    </row>
    <row r="33" spans="1:4" x14ac:dyDescent="0.25">
      <c r="A33" s="41">
        <v>37787</v>
      </c>
      <c r="B33" s="12">
        <v>1240196</v>
      </c>
      <c r="C33">
        <f t="shared" si="0"/>
        <v>6</v>
      </c>
      <c r="D33">
        <f t="shared" si="1"/>
        <v>2003</v>
      </c>
    </row>
    <row r="34" spans="1:4" x14ac:dyDescent="0.25">
      <c r="A34" s="41">
        <v>37817</v>
      </c>
      <c r="B34" s="12">
        <v>1464704</v>
      </c>
      <c r="C34">
        <f t="shared" si="0"/>
        <v>7</v>
      </c>
      <c r="D34">
        <f t="shared" si="1"/>
        <v>2003</v>
      </c>
    </row>
    <row r="35" spans="1:4" x14ac:dyDescent="0.25">
      <c r="A35" s="41">
        <v>37848</v>
      </c>
      <c r="B35" s="12">
        <v>1512522</v>
      </c>
      <c r="C35">
        <f t="shared" si="0"/>
        <v>8</v>
      </c>
      <c r="D35">
        <f t="shared" si="1"/>
        <v>2003</v>
      </c>
    </row>
    <row r="36" spans="1:4" x14ac:dyDescent="0.25">
      <c r="A36" s="41">
        <v>37879</v>
      </c>
      <c r="B36" s="12">
        <v>1299128</v>
      </c>
      <c r="C36">
        <f t="shared" si="0"/>
        <v>9</v>
      </c>
      <c r="D36">
        <f t="shared" si="1"/>
        <v>2003</v>
      </c>
    </row>
    <row r="37" spans="1:4" x14ac:dyDescent="0.25">
      <c r="A37" s="41">
        <v>37909</v>
      </c>
      <c r="B37" s="12">
        <v>1417234</v>
      </c>
      <c r="C37">
        <f t="shared" si="0"/>
        <v>10</v>
      </c>
      <c r="D37">
        <f t="shared" si="1"/>
        <v>2003</v>
      </c>
    </row>
    <row r="38" spans="1:4" x14ac:dyDescent="0.25">
      <c r="A38" s="41">
        <v>37940</v>
      </c>
      <c r="B38" s="12">
        <v>1616154</v>
      </c>
      <c r="C38">
        <f t="shared" si="0"/>
        <v>11</v>
      </c>
      <c r="D38">
        <f t="shared" si="1"/>
        <v>2003</v>
      </c>
    </row>
    <row r="39" spans="1:4" x14ac:dyDescent="0.25">
      <c r="A39" s="41">
        <v>37970</v>
      </c>
      <c r="B39" s="12">
        <v>2108690</v>
      </c>
      <c r="C39">
        <f t="shared" si="0"/>
        <v>12</v>
      </c>
      <c r="D39">
        <f t="shared" si="1"/>
        <v>2003</v>
      </c>
    </row>
    <row r="40" spans="1:4" x14ac:dyDescent="0.25">
      <c r="A40" s="41">
        <v>38001</v>
      </c>
      <c r="B40" s="12">
        <v>2512844</v>
      </c>
      <c r="C40">
        <f t="shared" si="0"/>
        <v>1</v>
      </c>
      <c r="D40">
        <f t="shared" si="1"/>
        <v>2004</v>
      </c>
    </row>
    <row r="41" spans="1:4" x14ac:dyDescent="0.25">
      <c r="A41" s="41">
        <v>38032</v>
      </c>
      <c r="B41" s="12">
        <v>2358946</v>
      </c>
      <c r="C41">
        <f t="shared" si="0"/>
        <v>2</v>
      </c>
      <c r="D41">
        <f t="shared" si="1"/>
        <v>2004</v>
      </c>
    </row>
    <row r="42" spans="1:4" x14ac:dyDescent="0.25">
      <c r="A42" s="41">
        <v>38061</v>
      </c>
      <c r="B42" s="12">
        <v>1952607</v>
      </c>
      <c r="C42">
        <f t="shared" si="0"/>
        <v>3</v>
      </c>
      <c r="D42">
        <f t="shared" si="1"/>
        <v>2004</v>
      </c>
    </row>
    <row r="43" spans="1:4" x14ac:dyDescent="0.25">
      <c r="A43" s="41">
        <v>38092</v>
      </c>
      <c r="B43" s="12">
        <v>1609746</v>
      </c>
      <c r="C43">
        <f t="shared" si="0"/>
        <v>4</v>
      </c>
      <c r="D43">
        <f t="shared" si="1"/>
        <v>2004</v>
      </c>
    </row>
    <row r="44" spans="1:4" x14ac:dyDescent="0.25">
      <c r="A44" s="41">
        <v>38122</v>
      </c>
      <c r="B44" s="12">
        <v>1441557</v>
      </c>
      <c r="C44">
        <f t="shared" si="0"/>
        <v>5</v>
      </c>
      <c r="D44">
        <f t="shared" si="1"/>
        <v>2004</v>
      </c>
    </row>
    <row r="45" spans="1:4" x14ac:dyDescent="0.25">
      <c r="A45" s="41">
        <v>38153</v>
      </c>
      <c r="B45" s="12">
        <v>1356266</v>
      </c>
      <c r="C45">
        <f t="shared" si="0"/>
        <v>6</v>
      </c>
      <c r="D45">
        <f t="shared" si="1"/>
        <v>2004</v>
      </c>
    </row>
    <row r="46" spans="1:4" x14ac:dyDescent="0.25">
      <c r="A46" s="41">
        <v>38183</v>
      </c>
      <c r="B46" s="12">
        <v>1452339</v>
      </c>
      <c r="C46">
        <f t="shared" si="0"/>
        <v>7</v>
      </c>
      <c r="D46">
        <f t="shared" si="1"/>
        <v>2004</v>
      </c>
    </row>
    <row r="47" spans="1:4" x14ac:dyDescent="0.25">
      <c r="A47" s="41">
        <v>38214</v>
      </c>
      <c r="B47" s="12">
        <v>1445892</v>
      </c>
      <c r="C47">
        <f t="shared" si="0"/>
        <v>8</v>
      </c>
      <c r="D47">
        <f t="shared" si="1"/>
        <v>2004</v>
      </c>
    </row>
    <row r="48" spans="1:4" x14ac:dyDescent="0.25">
      <c r="A48" s="41">
        <v>38245</v>
      </c>
      <c r="B48" s="12">
        <v>1357712</v>
      </c>
      <c r="C48">
        <f t="shared" si="0"/>
        <v>9</v>
      </c>
      <c r="D48">
        <f t="shared" si="1"/>
        <v>2004</v>
      </c>
    </row>
    <row r="49" spans="1:4" x14ac:dyDescent="0.25">
      <c r="A49" s="41">
        <v>38275</v>
      </c>
      <c r="B49" s="12">
        <v>1426546</v>
      </c>
      <c r="C49">
        <f t="shared" si="0"/>
        <v>10</v>
      </c>
      <c r="D49">
        <f t="shared" si="1"/>
        <v>2004</v>
      </c>
    </row>
    <row r="50" spans="1:4" x14ac:dyDescent="0.25">
      <c r="A50" s="41">
        <v>38306</v>
      </c>
      <c r="B50" s="12">
        <v>1647979</v>
      </c>
      <c r="C50">
        <f t="shared" si="0"/>
        <v>11</v>
      </c>
      <c r="D50">
        <f t="shared" si="1"/>
        <v>2004</v>
      </c>
    </row>
    <row r="51" spans="1:4" x14ac:dyDescent="0.25">
      <c r="A51" s="41">
        <v>38336</v>
      </c>
      <c r="B51" s="12">
        <v>2176020</v>
      </c>
      <c r="C51">
        <f t="shared" si="0"/>
        <v>12</v>
      </c>
      <c r="D51">
        <f t="shared" si="1"/>
        <v>2004</v>
      </c>
    </row>
    <row r="52" spans="1:4" x14ac:dyDescent="0.25">
      <c r="A52" s="41">
        <v>38367</v>
      </c>
      <c r="B52" s="12">
        <v>2396713</v>
      </c>
      <c r="C52">
        <f t="shared" si="0"/>
        <v>1</v>
      </c>
      <c r="D52">
        <f t="shared" si="1"/>
        <v>2005</v>
      </c>
    </row>
    <row r="53" spans="1:4" x14ac:dyDescent="0.25">
      <c r="A53" s="41">
        <v>38398</v>
      </c>
      <c r="B53" s="12">
        <v>2094357</v>
      </c>
      <c r="C53">
        <f t="shared" si="0"/>
        <v>2</v>
      </c>
      <c r="D53">
        <f t="shared" si="1"/>
        <v>2005</v>
      </c>
    </row>
    <row r="54" spans="1:4" x14ac:dyDescent="0.25">
      <c r="A54" s="41">
        <v>38426</v>
      </c>
      <c r="B54" s="12">
        <v>2048169</v>
      </c>
      <c r="C54">
        <f t="shared" si="0"/>
        <v>3</v>
      </c>
      <c r="D54">
        <f t="shared" si="1"/>
        <v>2005</v>
      </c>
    </row>
    <row r="55" spans="1:4" x14ac:dyDescent="0.25">
      <c r="A55" s="41">
        <v>38457</v>
      </c>
      <c r="B55" s="12">
        <v>1585188</v>
      </c>
      <c r="C55">
        <f t="shared" si="0"/>
        <v>4</v>
      </c>
      <c r="D55">
        <f t="shared" si="1"/>
        <v>2005</v>
      </c>
    </row>
    <row r="56" spans="1:4" x14ac:dyDescent="0.25">
      <c r="A56" s="41">
        <v>38487</v>
      </c>
      <c r="B56" s="12">
        <v>1386917</v>
      </c>
      <c r="C56">
        <f t="shared" si="0"/>
        <v>5</v>
      </c>
      <c r="D56">
        <f t="shared" si="1"/>
        <v>2005</v>
      </c>
    </row>
    <row r="57" spans="1:4" x14ac:dyDescent="0.25">
      <c r="A57" s="41">
        <v>38518</v>
      </c>
      <c r="B57" s="12">
        <v>1400018</v>
      </c>
      <c r="C57">
        <f t="shared" si="0"/>
        <v>6</v>
      </c>
      <c r="D57">
        <f t="shared" si="1"/>
        <v>2005</v>
      </c>
    </row>
    <row r="58" spans="1:4" x14ac:dyDescent="0.25">
      <c r="A58" s="41">
        <v>38548</v>
      </c>
      <c r="B58" s="12">
        <v>1547608</v>
      </c>
      <c r="C58">
        <f t="shared" si="0"/>
        <v>7</v>
      </c>
      <c r="D58">
        <f t="shared" si="1"/>
        <v>2005</v>
      </c>
    </row>
    <row r="59" spans="1:4" x14ac:dyDescent="0.25">
      <c r="A59" s="41">
        <v>38579</v>
      </c>
      <c r="B59" s="12">
        <v>1555887</v>
      </c>
      <c r="C59">
        <f t="shared" si="0"/>
        <v>8</v>
      </c>
      <c r="D59">
        <f t="shared" si="1"/>
        <v>2005</v>
      </c>
    </row>
    <row r="60" spans="1:4" x14ac:dyDescent="0.25">
      <c r="A60" s="41">
        <v>38610</v>
      </c>
      <c r="B60" s="12">
        <v>1301829</v>
      </c>
      <c r="C60">
        <f t="shared" si="0"/>
        <v>9</v>
      </c>
      <c r="D60">
        <f t="shared" si="1"/>
        <v>2005</v>
      </c>
    </row>
    <row r="61" spans="1:4" x14ac:dyDescent="0.25">
      <c r="A61" s="41">
        <v>38640</v>
      </c>
      <c r="B61" s="12">
        <v>1302758</v>
      </c>
      <c r="C61">
        <f t="shared" si="0"/>
        <v>10</v>
      </c>
      <c r="D61">
        <f t="shared" si="1"/>
        <v>2005</v>
      </c>
    </row>
    <row r="62" spans="1:4" x14ac:dyDescent="0.25">
      <c r="A62" s="41">
        <v>38671</v>
      </c>
      <c r="B62" s="12">
        <v>1529693</v>
      </c>
      <c r="C62">
        <f t="shared" si="0"/>
        <v>11</v>
      </c>
      <c r="D62">
        <f t="shared" si="1"/>
        <v>2005</v>
      </c>
    </row>
    <row r="63" spans="1:4" x14ac:dyDescent="0.25">
      <c r="A63" s="41">
        <v>38701</v>
      </c>
      <c r="B63" s="12">
        <v>2169754</v>
      </c>
      <c r="C63">
        <f t="shared" si="0"/>
        <v>12</v>
      </c>
      <c r="D63">
        <f t="shared" si="1"/>
        <v>2005</v>
      </c>
    </row>
    <row r="64" spans="1:4" x14ac:dyDescent="0.25">
      <c r="A64" s="41">
        <v>38732</v>
      </c>
      <c r="B64" s="12">
        <v>2010926</v>
      </c>
      <c r="C64">
        <f t="shared" si="0"/>
        <v>1</v>
      </c>
      <c r="D64">
        <f t="shared" si="1"/>
        <v>2006</v>
      </c>
    </row>
    <row r="65" spans="1:4" x14ac:dyDescent="0.25">
      <c r="A65" s="41">
        <v>38763</v>
      </c>
      <c r="B65" s="12">
        <v>1999359</v>
      </c>
      <c r="C65">
        <f t="shared" si="0"/>
        <v>2</v>
      </c>
      <c r="D65">
        <f t="shared" si="1"/>
        <v>2006</v>
      </c>
    </row>
    <row r="66" spans="1:4" x14ac:dyDescent="0.25">
      <c r="A66" s="41">
        <v>38791</v>
      </c>
      <c r="B66" s="12">
        <v>1972165</v>
      </c>
      <c r="C66">
        <f t="shared" si="0"/>
        <v>3</v>
      </c>
      <c r="D66">
        <f t="shared" si="1"/>
        <v>2006</v>
      </c>
    </row>
    <row r="67" spans="1:4" x14ac:dyDescent="0.25">
      <c r="A67" s="41">
        <v>38822</v>
      </c>
      <c r="B67" s="12">
        <v>1543302</v>
      </c>
      <c r="C67">
        <f t="shared" si="0"/>
        <v>4</v>
      </c>
      <c r="D67">
        <f t="shared" si="1"/>
        <v>2006</v>
      </c>
    </row>
    <row r="68" spans="1:4" x14ac:dyDescent="0.25">
      <c r="A68" s="41">
        <v>38852</v>
      </c>
      <c r="B68" s="12">
        <v>1390353</v>
      </c>
      <c r="C68">
        <f t="shared" ref="C68:C131" si="2">MONTH(A68)</f>
        <v>5</v>
      </c>
      <c r="D68">
        <f t="shared" ref="D68:D131" si="3">YEAR(A68)</f>
        <v>2006</v>
      </c>
    </row>
    <row r="69" spans="1:4" x14ac:dyDescent="0.25">
      <c r="A69" s="41">
        <v>38883</v>
      </c>
      <c r="B69" s="12">
        <v>1415134</v>
      </c>
      <c r="C69">
        <f t="shared" si="2"/>
        <v>6</v>
      </c>
      <c r="D69">
        <f t="shared" si="3"/>
        <v>2006</v>
      </c>
    </row>
    <row r="70" spans="1:4" x14ac:dyDescent="0.25">
      <c r="A70" s="41">
        <v>38913</v>
      </c>
      <c r="B70" s="12">
        <v>1615241</v>
      </c>
      <c r="C70">
        <f t="shared" si="2"/>
        <v>7</v>
      </c>
      <c r="D70">
        <f t="shared" si="3"/>
        <v>2006</v>
      </c>
    </row>
    <row r="71" spans="1:4" x14ac:dyDescent="0.25">
      <c r="A71" s="41">
        <v>38944</v>
      </c>
      <c r="B71" s="12">
        <v>1607830</v>
      </c>
      <c r="C71">
        <f t="shared" si="2"/>
        <v>8</v>
      </c>
      <c r="D71">
        <f t="shared" si="3"/>
        <v>2006</v>
      </c>
    </row>
    <row r="72" spans="1:4" x14ac:dyDescent="0.25">
      <c r="A72" s="41">
        <v>38975</v>
      </c>
      <c r="B72" s="12">
        <v>1328565</v>
      </c>
      <c r="C72">
        <f t="shared" si="2"/>
        <v>9</v>
      </c>
      <c r="D72">
        <f t="shared" si="3"/>
        <v>2006</v>
      </c>
    </row>
    <row r="73" spans="1:4" x14ac:dyDescent="0.25">
      <c r="A73" s="41">
        <v>39005</v>
      </c>
      <c r="B73" s="12">
        <v>1501925</v>
      </c>
      <c r="C73">
        <f t="shared" si="2"/>
        <v>10</v>
      </c>
      <c r="D73">
        <f t="shared" si="3"/>
        <v>2006</v>
      </c>
    </row>
    <row r="74" spans="1:4" x14ac:dyDescent="0.25">
      <c r="A74" s="41">
        <v>39036</v>
      </c>
      <c r="B74" s="12">
        <v>1622364</v>
      </c>
      <c r="C74">
        <f t="shared" si="2"/>
        <v>11</v>
      </c>
      <c r="D74">
        <f t="shared" si="3"/>
        <v>2006</v>
      </c>
    </row>
    <row r="75" spans="1:4" x14ac:dyDescent="0.25">
      <c r="A75" s="41">
        <v>39066</v>
      </c>
      <c r="B75" s="12">
        <v>1965718</v>
      </c>
      <c r="C75">
        <f t="shared" si="2"/>
        <v>12</v>
      </c>
      <c r="D75">
        <f t="shared" si="3"/>
        <v>2006</v>
      </c>
    </row>
    <row r="76" spans="1:4" x14ac:dyDescent="0.25">
      <c r="A76" s="41">
        <v>39097</v>
      </c>
      <c r="B76" s="12">
        <v>2306943</v>
      </c>
      <c r="C76">
        <f t="shared" si="2"/>
        <v>1</v>
      </c>
      <c r="D76">
        <f t="shared" si="3"/>
        <v>2007</v>
      </c>
    </row>
    <row r="77" spans="1:4" x14ac:dyDescent="0.25">
      <c r="A77" s="41">
        <v>39128</v>
      </c>
      <c r="B77" s="12">
        <v>2403778</v>
      </c>
      <c r="C77">
        <f t="shared" si="2"/>
        <v>2</v>
      </c>
      <c r="D77">
        <f t="shared" si="3"/>
        <v>2007</v>
      </c>
    </row>
    <row r="78" spans="1:4" x14ac:dyDescent="0.25">
      <c r="A78" s="41">
        <v>39156</v>
      </c>
      <c r="B78" s="12">
        <v>1967388</v>
      </c>
      <c r="C78">
        <f t="shared" si="2"/>
        <v>3</v>
      </c>
      <c r="D78">
        <f t="shared" si="3"/>
        <v>2007</v>
      </c>
    </row>
    <row r="79" spans="1:4" x14ac:dyDescent="0.25">
      <c r="A79" s="41">
        <v>39187</v>
      </c>
      <c r="B79" s="12">
        <v>1662412</v>
      </c>
      <c r="C79">
        <f t="shared" si="2"/>
        <v>4</v>
      </c>
      <c r="D79">
        <f t="shared" si="3"/>
        <v>2007</v>
      </c>
    </row>
    <row r="80" spans="1:4" x14ac:dyDescent="0.25">
      <c r="A80" s="41">
        <v>39217</v>
      </c>
      <c r="B80" s="12">
        <v>1414428</v>
      </c>
      <c r="C80">
        <f t="shared" si="2"/>
        <v>5</v>
      </c>
      <c r="D80">
        <f t="shared" si="3"/>
        <v>2007</v>
      </c>
    </row>
    <row r="81" spans="1:4" x14ac:dyDescent="0.25">
      <c r="A81" s="41">
        <v>39248</v>
      </c>
      <c r="B81" s="12">
        <v>1413254</v>
      </c>
      <c r="C81">
        <f t="shared" si="2"/>
        <v>6</v>
      </c>
      <c r="D81">
        <f t="shared" si="3"/>
        <v>2007</v>
      </c>
    </row>
    <row r="82" spans="1:4" x14ac:dyDescent="0.25">
      <c r="A82" s="41">
        <v>39278</v>
      </c>
      <c r="B82" s="12">
        <v>1513157</v>
      </c>
      <c r="C82">
        <f t="shared" si="2"/>
        <v>7</v>
      </c>
      <c r="D82">
        <f t="shared" si="3"/>
        <v>2007</v>
      </c>
    </row>
    <row r="83" spans="1:4" x14ac:dyDescent="0.25">
      <c r="A83" s="41">
        <v>39309</v>
      </c>
      <c r="B83" s="12">
        <v>1741755</v>
      </c>
      <c r="C83">
        <f t="shared" si="2"/>
        <v>8</v>
      </c>
      <c r="D83">
        <f t="shared" si="3"/>
        <v>2007</v>
      </c>
    </row>
    <row r="84" spans="1:4" x14ac:dyDescent="0.25">
      <c r="A84" s="41">
        <v>39340</v>
      </c>
      <c r="B84" s="12">
        <v>1446674</v>
      </c>
      <c r="C84">
        <f t="shared" si="2"/>
        <v>9</v>
      </c>
      <c r="D84">
        <f t="shared" si="3"/>
        <v>2007</v>
      </c>
    </row>
    <row r="85" spans="1:4" x14ac:dyDescent="0.25">
      <c r="A85" s="41">
        <v>39370</v>
      </c>
      <c r="B85" s="12">
        <v>1479110</v>
      </c>
      <c r="C85">
        <f t="shared" si="2"/>
        <v>10</v>
      </c>
      <c r="D85">
        <f t="shared" si="3"/>
        <v>2007</v>
      </c>
    </row>
    <row r="86" spans="1:4" x14ac:dyDescent="0.25">
      <c r="A86" s="41">
        <v>39401</v>
      </c>
      <c r="B86" s="12">
        <v>1681149</v>
      </c>
      <c r="C86">
        <f t="shared" si="2"/>
        <v>11</v>
      </c>
      <c r="D86">
        <f t="shared" si="3"/>
        <v>2007</v>
      </c>
    </row>
    <row r="87" spans="1:4" x14ac:dyDescent="0.25">
      <c r="A87" s="41">
        <v>39431</v>
      </c>
      <c r="B87" s="12">
        <v>2225994</v>
      </c>
      <c r="C87">
        <f t="shared" si="2"/>
        <v>12</v>
      </c>
      <c r="D87">
        <f t="shared" si="3"/>
        <v>2007</v>
      </c>
    </row>
    <row r="88" spans="1:4" x14ac:dyDescent="0.25">
      <c r="A88" s="41">
        <v>39462</v>
      </c>
      <c r="B88" s="12">
        <v>2554281</v>
      </c>
      <c r="C88">
        <f t="shared" si="2"/>
        <v>1</v>
      </c>
      <c r="D88">
        <f t="shared" si="3"/>
        <v>2008</v>
      </c>
    </row>
    <row r="89" spans="1:4" x14ac:dyDescent="0.25">
      <c r="A89" s="41">
        <v>39493</v>
      </c>
      <c r="B89" s="12">
        <v>2335770</v>
      </c>
      <c r="C89">
        <f t="shared" si="2"/>
        <v>2</v>
      </c>
      <c r="D89">
        <f t="shared" si="3"/>
        <v>2008</v>
      </c>
    </row>
    <row r="90" spans="1:4" x14ac:dyDescent="0.25">
      <c r="A90" s="41">
        <v>39522</v>
      </c>
      <c r="B90" s="12">
        <v>2109623</v>
      </c>
      <c r="C90">
        <f t="shared" si="2"/>
        <v>3</v>
      </c>
      <c r="D90">
        <f t="shared" si="3"/>
        <v>2008</v>
      </c>
    </row>
    <row r="91" spans="1:4" x14ac:dyDescent="0.25">
      <c r="A91" s="41">
        <v>39553</v>
      </c>
      <c r="B91" s="12">
        <v>1672724</v>
      </c>
      <c r="C91">
        <f t="shared" si="2"/>
        <v>4</v>
      </c>
      <c r="D91">
        <f t="shared" si="3"/>
        <v>2008</v>
      </c>
    </row>
    <row r="92" spans="1:4" x14ac:dyDescent="0.25">
      <c r="A92" s="41">
        <v>39583</v>
      </c>
      <c r="B92" s="12">
        <v>1430242</v>
      </c>
      <c r="C92">
        <f t="shared" si="2"/>
        <v>5</v>
      </c>
      <c r="D92">
        <f t="shared" si="3"/>
        <v>2008</v>
      </c>
    </row>
    <row r="93" spans="1:4" x14ac:dyDescent="0.25">
      <c r="A93" s="41">
        <v>39614</v>
      </c>
      <c r="B93" s="12">
        <v>1459015</v>
      </c>
      <c r="C93">
        <f t="shared" si="2"/>
        <v>6</v>
      </c>
      <c r="D93">
        <f t="shared" si="3"/>
        <v>2008</v>
      </c>
    </row>
    <row r="94" spans="1:4" x14ac:dyDescent="0.25">
      <c r="A94" s="41">
        <v>39644</v>
      </c>
      <c r="B94" s="12">
        <v>1556011</v>
      </c>
      <c r="C94">
        <f t="shared" si="2"/>
        <v>7</v>
      </c>
      <c r="D94">
        <f t="shared" si="3"/>
        <v>2008</v>
      </c>
    </row>
    <row r="95" spans="1:4" x14ac:dyDescent="0.25">
      <c r="A95" s="41">
        <v>39675</v>
      </c>
      <c r="B95" s="12">
        <v>1531863</v>
      </c>
      <c r="C95">
        <f t="shared" si="2"/>
        <v>8</v>
      </c>
      <c r="D95">
        <f t="shared" si="3"/>
        <v>2008</v>
      </c>
    </row>
    <row r="96" spans="1:4" x14ac:dyDescent="0.25">
      <c r="A96" s="41">
        <v>39706</v>
      </c>
      <c r="B96" s="12">
        <v>1329726</v>
      </c>
      <c r="C96">
        <f t="shared" si="2"/>
        <v>9</v>
      </c>
      <c r="D96">
        <f t="shared" si="3"/>
        <v>2008</v>
      </c>
    </row>
    <row r="97" spans="1:4" x14ac:dyDescent="0.25">
      <c r="A97" s="41">
        <v>39736</v>
      </c>
      <c r="B97" s="12">
        <v>1488645</v>
      </c>
      <c r="C97">
        <f t="shared" si="2"/>
        <v>10</v>
      </c>
      <c r="D97">
        <f t="shared" si="3"/>
        <v>2008</v>
      </c>
    </row>
    <row r="98" spans="1:4" x14ac:dyDescent="0.25">
      <c r="A98" s="41">
        <v>39767</v>
      </c>
      <c r="B98" s="12">
        <v>1714971</v>
      </c>
      <c r="C98">
        <f t="shared" si="2"/>
        <v>11</v>
      </c>
      <c r="D98">
        <f t="shared" si="3"/>
        <v>2008</v>
      </c>
    </row>
    <row r="99" spans="1:4" x14ac:dyDescent="0.25">
      <c r="A99" s="41">
        <v>39797</v>
      </c>
      <c r="B99" s="12">
        <v>2226478</v>
      </c>
      <c r="C99">
        <f t="shared" si="2"/>
        <v>12</v>
      </c>
      <c r="D99">
        <f t="shared" si="3"/>
        <v>2008</v>
      </c>
    </row>
    <row r="100" spans="1:4" x14ac:dyDescent="0.25">
      <c r="A100" s="41">
        <v>39828</v>
      </c>
      <c r="B100" s="12">
        <v>2538368</v>
      </c>
      <c r="C100">
        <f t="shared" si="2"/>
        <v>1</v>
      </c>
      <c r="D100">
        <f t="shared" si="3"/>
        <v>2009</v>
      </c>
    </row>
    <row r="101" spans="1:4" x14ac:dyDescent="0.25">
      <c r="A101" s="41">
        <v>39859</v>
      </c>
      <c r="B101" s="12">
        <v>2162215</v>
      </c>
      <c r="C101">
        <f t="shared" si="2"/>
        <v>2</v>
      </c>
      <c r="D101">
        <f t="shared" si="3"/>
        <v>2009</v>
      </c>
    </row>
    <row r="102" spans="1:4" x14ac:dyDescent="0.25">
      <c r="A102" s="41">
        <v>39887</v>
      </c>
      <c r="B102" s="12">
        <v>1996245</v>
      </c>
      <c r="C102">
        <f t="shared" si="2"/>
        <v>3</v>
      </c>
      <c r="D102">
        <f t="shared" si="3"/>
        <v>2009</v>
      </c>
    </row>
    <row r="103" spans="1:4" x14ac:dyDescent="0.25">
      <c r="A103" s="41">
        <v>39918</v>
      </c>
      <c r="B103" s="12">
        <v>1585512</v>
      </c>
      <c r="C103">
        <f t="shared" si="2"/>
        <v>4</v>
      </c>
      <c r="D103">
        <f t="shared" si="3"/>
        <v>2009</v>
      </c>
    </row>
    <row r="104" spans="1:4" x14ac:dyDescent="0.25">
      <c r="A104" s="41">
        <v>39948</v>
      </c>
      <c r="B104" s="12">
        <v>1353150</v>
      </c>
      <c r="C104">
        <f t="shared" si="2"/>
        <v>5</v>
      </c>
      <c r="D104">
        <f t="shared" si="3"/>
        <v>2009</v>
      </c>
    </row>
    <row r="105" spans="1:4" x14ac:dyDescent="0.25">
      <c r="A105" s="41">
        <v>39979</v>
      </c>
      <c r="B105" s="12">
        <v>1378772</v>
      </c>
      <c r="C105">
        <f t="shared" si="2"/>
        <v>6</v>
      </c>
      <c r="D105">
        <f t="shared" si="3"/>
        <v>2009</v>
      </c>
    </row>
    <row r="106" spans="1:4" x14ac:dyDescent="0.25">
      <c r="A106" s="41">
        <v>40009</v>
      </c>
      <c r="B106" s="12">
        <v>1503321</v>
      </c>
      <c r="C106">
        <f t="shared" si="2"/>
        <v>7</v>
      </c>
      <c r="D106">
        <f t="shared" si="3"/>
        <v>2009</v>
      </c>
    </row>
    <row r="107" spans="1:4" x14ac:dyDescent="0.25">
      <c r="A107" s="41">
        <v>40040</v>
      </c>
      <c r="B107" s="12">
        <v>1578354</v>
      </c>
      <c r="C107">
        <f t="shared" si="2"/>
        <v>8</v>
      </c>
      <c r="D107">
        <f t="shared" si="3"/>
        <v>2009</v>
      </c>
    </row>
    <row r="108" spans="1:4" x14ac:dyDescent="0.25">
      <c r="A108" s="41">
        <v>40071</v>
      </c>
      <c r="B108" s="12">
        <v>1427135</v>
      </c>
      <c r="C108">
        <f t="shared" si="2"/>
        <v>9</v>
      </c>
      <c r="D108">
        <f t="shared" si="3"/>
        <v>2009</v>
      </c>
    </row>
    <row r="109" spans="1:4" x14ac:dyDescent="0.25">
      <c r="A109" s="41">
        <v>40101</v>
      </c>
      <c r="B109" s="12">
        <v>1510867</v>
      </c>
      <c r="C109">
        <f t="shared" si="2"/>
        <v>10</v>
      </c>
      <c r="D109">
        <f t="shared" si="3"/>
        <v>2009</v>
      </c>
    </row>
    <row r="110" spans="1:4" x14ac:dyDescent="0.25">
      <c r="A110" s="41">
        <v>40132</v>
      </c>
      <c r="B110" s="12">
        <v>1619852</v>
      </c>
      <c r="C110">
        <f t="shared" si="2"/>
        <v>11</v>
      </c>
      <c r="D110">
        <f t="shared" si="3"/>
        <v>2009</v>
      </c>
    </row>
    <row r="111" spans="1:4" x14ac:dyDescent="0.25">
      <c r="A111" s="41">
        <v>40162</v>
      </c>
      <c r="B111" s="12">
        <v>2310875</v>
      </c>
      <c r="C111">
        <f t="shared" si="2"/>
        <v>12</v>
      </c>
      <c r="D111">
        <f t="shared" si="3"/>
        <v>2009</v>
      </c>
    </row>
    <row r="112" spans="1:4" x14ac:dyDescent="0.25">
      <c r="A112" s="41">
        <v>40193</v>
      </c>
      <c r="B112" s="12">
        <v>2624217</v>
      </c>
      <c r="C112">
        <f t="shared" si="2"/>
        <v>1</v>
      </c>
      <c r="D112">
        <f t="shared" si="3"/>
        <v>2010</v>
      </c>
    </row>
    <row r="113" spans="1:4" x14ac:dyDescent="0.25">
      <c r="A113" s="41">
        <v>40224</v>
      </c>
      <c r="B113" s="12">
        <v>2312746</v>
      </c>
      <c r="C113">
        <f t="shared" si="2"/>
        <v>2</v>
      </c>
      <c r="D113">
        <f t="shared" si="3"/>
        <v>2010</v>
      </c>
    </row>
    <row r="114" spans="1:4" x14ac:dyDescent="0.25">
      <c r="A114" s="41">
        <v>40252</v>
      </c>
      <c r="B114" s="12">
        <v>1974222</v>
      </c>
      <c r="C114">
        <f t="shared" si="2"/>
        <v>3</v>
      </c>
      <c r="D114">
        <f t="shared" si="3"/>
        <v>2010</v>
      </c>
    </row>
    <row r="115" spans="1:4" x14ac:dyDescent="0.25">
      <c r="A115" s="41">
        <v>40283</v>
      </c>
      <c r="B115" s="12">
        <v>1540128</v>
      </c>
      <c r="C115">
        <f t="shared" si="2"/>
        <v>4</v>
      </c>
      <c r="D115">
        <f t="shared" si="3"/>
        <v>2010</v>
      </c>
    </row>
    <row r="116" spans="1:4" x14ac:dyDescent="0.25">
      <c r="A116" s="41">
        <v>40313</v>
      </c>
      <c r="B116" s="12">
        <v>1465089</v>
      </c>
      <c r="C116">
        <f t="shared" si="2"/>
        <v>5</v>
      </c>
      <c r="D116">
        <f t="shared" si="3"/>
        <v>2010</v>
      </c>
    </row>
    <row r="117" spans="1:4" x14ac:dyDescent="0.25">
      <c r="A117" s="41">
        <v>40344</v>
      </c>
      <c r="B117" s="12">
        <v>1500962</v>
      </c>
      <c r="C117">
        <f t="shared" si="2"/>
        <v>6</v>
      </c>
      <c r="D117">
        <f t="shared" si="3"/>
        <v>2010</v>
      </c>
    </row>
    <row r="118" spans="1:4" x14ac:dyDescent="0.25">
      <c r="A118" s="41">
        <v>40374</v>
      </c>
      <c r="B118" s="12">
        <v>1668244</v>
      </c>
      <c r="C118">
        <f t="shared" si="2"/>
        <v>7</v>
      </c>
      <c r="D118">
        <f t="shared" si="3"/>
        <v>2010</v>
      </c>
    </row>
    <row r="119" spans="1:4" x14ac:dyDescent="0.25">
      <c r="A119" s="41">
        <v>40405</v>
      </c>
      <c r="B119" s="12">
        <v>1718550</v>
      </c>
      <c r="C119">
        <f t="shared" si="2"/>
        <v>8</v>
      </c>
      <c r="D119">
        <f t="shared" si="3"/>
        <v>2010</v>
      </c>
    </row>
    <row r="120" spans="1:4" x14ac:dyDescent="0.25">
      <c r="A120" s="41">
        <v>40436</v>
      </c>
      <c r="B120" s="12">
        <v>1485061</v>
      </c>
      <c r="C120">
        <f t="shared" si="2"/>
        <v>9</v>
      </c>
      <c r="D120">
        <f t="shared" si="3"/>
        <v>2010</v>
      </c>
    </row>
    <row r="121" spans="1:4" x14ac:dyDescent="0.25">
      <c r="A121" s="41">
        <v>40466</v>
      </c>
      <c r="B121" s="12">
        <v>1506234</v>
      </c>
      <c r="C121">
        <f t="shared" si="2"/>
        <v>10</v>
      </c>
      <c r="D121">
        <f t="shared" si="3"/>
        <v>2010</v>
      </c>
    </row>
    <row r="122" spans="1:4" x14ac:dyDescent="0.25">
      <c r="A122" s="41">
        <v>40497</v>
      </c>
      <c r="B122" s="12">
        <v>1809151</v>
      </c>
      <c r="C122">
        <f t="shared" si="2"/>
        <v>11</v>
      </c>
      <c r="D122">
        <f t="shared" si="3"/>
        <v>2010</v>
      </c>
    </row>
    <row r="123" spans="1:4" x14ac:dyDescent="0.25">
      <c r="A123" s="41">
        <v>40527</v>
      </c>
      <c r="B123" s="12">
        <v>2522442</v>
      </c>
      <c r="C123">
        <f t="shared" si="2"/>
        <v>12</v>
      </c>
      <c r="D123">
        <f t="shared" si="3"/>
        <v>2010</v>
      </c>
    </row>
    <row r="124" spans="1:4" x14ac:dyDescent="0.25">
      <c r="A124" s="41">
        <v>40558</v>
      </c>
      <c r="B124" s="12">
        <v>2699039</v>
      </c>
      <c r="C124">
        <f t="shared" si="2"/>
        <v>1</v>
      </c>
      <c r="D124">
        <f t="shared" si="3"/>
        <v>2011</v>
      </c>
    </row>
    <row r="125" spans="1:4" x14ac:dyDescent="0.25">
      <c r="A125" s="41">
        <v>40589</v>
      </c>
      <c r="B125" s="12">
        <v>2285465</v>
      </c>
      <c r="C125">
        <f t="shared" si="2"/>
        <v>2</v>
      </c>
      <c r="D125">
        <f t="shared" si="3"/>
        <v>2011</v>
      </c>
    </row>
    <row r="126" spans="1:4" x14ac:dyDescent="0.25">
      <c r="A126" s="41">
        <v>40617</v>
      </c>
      <c r="B126" s="12">
        <v>2056105</v>
      </c>
      <c r="C126">
        <f t="shared" si="2"/>
        <v>3</v>
      </c>
      <c r="D126">
        <f t="shared" si="3"/>
        <v>2011</v>
      </c>
    </row>
    <row r="127" spans="1:4" x14ac:dyDescent="0.25">
      <c r="A127" s="41">
        <v>40648</v>
      </c>
      <c r="B127" s="12">
        <v>1665278</v>
      </c>
      <c r="C127">
        <f t="shared" si="2"/>
        <v>4</v>
      </c>
      <c r="D127">
        <f t="shared" si="3"/>
        <v>2011</v>
      </c>
    </row>
    <row r="128" spans="1:4" x14ac:dyDescent="0.25">
      <c r="A128" s="41">
        <v>40678</v>
      </c>
      <c r="B128" s="12">
        <v>1509295</v>
      </c>
      <c r="C128">
        <f t="shared" si="2"/>
        <v>5</v>
      </c>
      <c r="D128">
        <f t="shared" si="3"/>
        <v>2011</v>
      </c>
    </row>
    <row r="129" spans="1:4" x14ac:dyDescent="0.25">
      <c r="A129" s="41">
        <v>40709</v>
      </c>
      <c r="B129" s="12">
        <v>1503845</v>
      </c>
      <c r="C129">
        <f t="shared" si="2"/>
        <v>6</v>
      </c>
      <c r="D129">
        <f t="shared" si="3"/>
        <v>2011</v>
      </c>
    </row>
    <row r="130" spans="1:4" x14ac:dyDescent="0.25">
      <c r="A130" s="41">
        <v>40739</v>
      </c>
      <c r="B130" s="12">
        <v>1728010</v>
      </c>
      <c r="C130">
        <f t="shared" si="2"/>
        <v>7</v>
      </c>
      <c r="D130">
        <f t="shared" si="3"/>
        <v>2011</v>
      </c>
    </row>
    <row r="131" spans="1:4" x14ac:dyDescent="0.25">
      <c r="A131" s="41">
        <v>40770</v>
      </c>
      <c r="B131" s="12">
        <v>1727907</v>
      </c>
      <c r="C131">
        <f t="shared" si="2"/>
        <v>8</v>
      </c>
      <c r="D131">
        <f t="shared" si="3"/>
        <v>2011</v>
      </c>
    </row>
    <row r="132" spans="1:4" x14ac:dyDescent="0.25">
      <c r="A132" s="41">
        <v>40801</v>
      </c>
      <c r="B132" s="12">
        <v>1500242</v>
      </c>
      <c r="C132">
        <f t="shared" ref="C132:C195" si="4">MONTH(A132)</f>
        <v>9</v>
      </c>
      <c r="D132">
        <f t="shared" ref="D132:D195" si="5">YEAR(A132)</f>
        <v>2011</v>
      </c>
    </row>
    <row r="133" spans="1:4" x14ac:dyDescent="0.25">
      <c r="A133" s="41">
        <v>40831</v>
      </c>
      <c r="B133" s="12">
        <v>1579772</v>
      </c>
      <c r="C133">
        <f t="shared" si="4"/>
        <v>10</v>
      </c>
      <c r="D133">
        <f t="shared" si="5"/>
        <v>2011</v>
      </c>
    </row>
    <row r="134" spans="1:4" x14ac:dyDescent="0.25">
      <c r="A134" s="41">
        <v>40862</v>
      </c>
      <c r="B134" s="12">
        <v>1860159</v>
      </c>
      <c r="C134">
        <f t="shared" si="4"/>
        <v>11</v>
      </c>
      <c r="D134">
        <f t="shared" si="5"/>
        <v>2011</v>
      </c>
    </row>
    <row r="135" spans="1:4" x14ac:dyDescent="0.25">
      <c r="A135" s="41">
        <v>40892</v>
      </c>
      <c r="B135" s="12">
        <v>2351937</v>
      </c>
      <c r="C135">
        <f t="shared" si="4"/>
        <v>12</v>
      </c>
      <c r="D135">
        <f t="shared" si="5"/>
        <v>2011</v>
      </c>
    </row>
    <row r="136" spans="1:4" x14ac:dyDescent="0.25">
      <c r="A136" s="41">
        <v>40923</v>
      </c>
      <c r="B136" s="12">
        <v>2557465</v>
      </c>
      <c r="C136">
        <f t="shared" si="4"/>
        <v>1</v>
      </c>
      <c r="D136">
        <f t="shared" si="5"/>
        <v>2012</v>
      </c>
    </row>
    <row r="137" spans="1:4" x14ac:dyDescent="0.25">
      <c r="A137" s="41">
        <v>40954</v>
      </c>
      <c r="B137" s="12">
        <v>2319221</v>
      </c>
      <c r="C137">
        <f t="shared" si="4"/>
        <v>2</v>
      </c>
      <c r="D137">
        <f t="shared" si="5"/>
        <v>2012</v>
      </c>
    </row>
    <row r="138" spans="1:4" x14ac:dyDescent="0.25">
      <c r="A138" s="41">
        <v>40983</v>
      </c>
      <c r="B138" s="12">
        <v>1949890</v>
      </c>
      <c r="C138">
        <f t="shared" si="4"/>
        <v>3</v>
      </c>
      <c r="D138">
        <f t="shared" si="5"/>
        <v>2012</v>
      </c>
    </row>
    <row r="139" spans="1:4" x14ac:dyDescent="0.25">
      <c r="A139" s="41">
        <v>41014</v>
      </c>
      <c r="B139" s="12">
        <v>1784460</v>
      </c>
      <c r="C139">
        <f t="shared" si="4"/>
        <v>4</v>
      </c>
      <c r="D139">
        <f t="shared" si="5"/>
        <v>2012</v>
      </c>
    </row>
    <row r="140" spans="1:4" x14ac:dyDescent="0.25">
      <c r="A140" s="41">
        <v>41044</v>
      </c>
      <c r="B140" s="12">
        <v>1703507</v>
      </c>
      <c r="C140">
        <f t="shared" si="4"/>
        <v>5</v>
      </c>
      <c r="D140">
        <f t="shared" si="5"/>
        <v>2012</v>
      </c>
    </row>
    <row r="141" spans="1:4" x14ac:dyDescent="0.25">
      <c r="A141" s="41">
        <v>41075</v>
      </c>
      <c r="B141" s="12">
        <v>1702557</v>
      </c>
      <c r="C141">
        <f t="shared" si="4"/>
        <v>6</v>
      </c>
      <c r="D141">
        <f t="shared" si="5"/>
        <v>2012</v>
      </c>
    </row>
    <row r="142" spans="1:4" x14ac:dyDescent="0.25">
      <c r="A142" s="41">
        <v>41105</v>
      </c>
      <c r="B142" s="12">
        <v>1891318</v>
      </c>
      <c r="C142">
        <f t="shared" si="4"/>
        <v>7</v>
      </c>
      <c r="D142">
        <f t="shared" si="5"/>
        <v>2012</v>
      </c>
    </row>
    <row r="143" spans="1:4" x14ac:dyDescent="0.25">
      <c r="A143" s="41">
        <v>41136</v>
      </c>
      <c r="B143" s="12">
        <v>1832775</v>
      </c>
      <c r="C143">
        <f t="shared" si="4"/>
        <v>8</v>
      </c>
      <c r="D143">
        <f t="shared" si="5"/>
        <v>2012</v>
      </c>
    </row>
    <row r="144" spans="1:4" x14ac:dyDescent="0.25">
      <c r="A144" s="41">
        <v>41167</v>
      </c>
      <c r="B144" s="12">
        <v>1640347</v>
      </c>
      <c r="C144">
        <f t="shared" si="4"/>
        <v>9</v>
      </c>
      <c r="D144">
        <f t="shared" si="5"/>
        <v>2012</v>
      </c>
    </row>
    <row r="145" spans="1:4" x14ac:dyDescent="0.25">
      <c r="A145" s="41">
        <v>41197</v>
      </c>
      <c r="B145" s="12">
        <v>1727393</v>
      </c>
      <c r="C145">
        <f t="shared" si="4"/>
        <v>10</v>
      </c>
      <c r="D145">
        <f t="shared" si="5"/>
        <v>2012</v>
      </c>
    </row>
    <row r="146" spans="1:4" x14ac:dyDescent="0.25">
      <c r="A146" s="41">
        <v>41228</v>
      </c>
      <c r="B146" s="12">
        <v>1989660</v>
      </c>
      <c r="C146">
        <f t="shared" si="4"/>
        <v>11</v>
      </c>
      <c r="D146">
        <f t="shared" si="5"/>
        <v>2012</v>
      </c>
    </row>
    <row r="147" spans="1:4" x14ac:dyDescent="0.25">
      <c r="A147" s="41">
        <v>41258</v>
      </c>
      <c r="B147" s="12">
        <v>2312832</v>
      </c>
      <c r="C147">
        <f t="shared" si="4"/>
        <v>12</v>
      </c>
      <c r="D147">
        <f t="shared" si="5"/>
        <v>2012</v>
      </c>
    </row>
    <row r="148" spans="1:4" x14ac:dyDescent="0.25">
      <c r="A148" s="41">
        <v>41289</v>
      </c>
      <c r="B148" s="12">
        <v>2661816</v>
      </c>
      <c r="C148">
        <f t="shared" si="4"/>
        <v>1</v>
      </c>
      <c r="D148">
        <f t="shared" si="5"/>
        <v>2013</v>
      </c>
    </row>
    <row r="149" spans="1:4" x14ac:dyDescent="0.25">
      <c r="A149" s="41">
        <v>41320</v>
      </c>
      <c r="B149" s="12">
        <v>2371983</v>
      </c>
      <c r="C149">
        <f t="shared" si="4"/>
        <v>2</v>
      </c>
      <c r="D149">
        <f t="shared" si="5"/>
        <v>2013</v>
      </c>
    </row>
    <row r="150" spans="1:4" x14ac:dyDescent="0.25">
      <c r="A150" s="41">
        <v>41348</v>
      </c>
      <c r="B150" s="12">
        <v>2316191</v>
      </c>
      <c r="C150">
        <f t="shared" si="4"/>
        <v>3</v>
      </c>
      <c r="D150">
        <f t="shared" si="5"/>
        <v>2013</v>
      </c>
    </row>
    <row r="151" spans="1:4" x14ac:dyDescent="0.25">
      <c r="A151" s="41">
        <v>41379</v>
      </c>
      <c r="B151" s="12">
        <v>1783603</v>
      </c>
      <c r="C151">
        <f t="shared" si="4"/>
        <v>4</v>
      </c>
      <c r="D151">
        <f t="shared" si="5"/>
        <v>2013</v>
      </c>
    </row>
    <row r="152" spans="1:4" x14ac:dyDescent="0.25">
      <c r="A152" s="41">
        <v>41409</v>
      </c>
      <c r="B152" s="12">
        <v>1572373</v>
      </c>
      <c r="C152">
        <f t="shared" si="4"/>
        <v>5</v>
      </c>
      <c r="D152">
        <f t="shared" si="5"/>
        <v>2013</v>
      </c>
    </row>
    <row r="153" spans="1:4" x14ac:dyDescent="0.25">
      <c r="A153" s="41">
        <v>41440</v>
      </c>
      <c r="B153" s="12">
        <v>1567216</v>
      </c>
      <c r="C153">
        <f t="shared" si="4"/>
        <v>6</v>
      </c>
      <c r="D153">
        <f t="shared" si="5"/>
        <v>2013</v>
      </c>
    </row>
    <row r="154" spans="1:4" x14ac:dyDescent="0.25">
      <c r="A154" s="41">
        <v>41470</v>
      </c>
      <c r="B154" s="12">
        <v>1738157</v>
      </c>
      <c r="C154">
        <f t="shared" si="4"/>
        <v>7</v>
      </c>
      <c r="D154">
        <f t="shared" si="5"/>
        <v>2013</v>
      </c>
    </row>
    <row r="155" spans="1:4" x14ac:dyDescent="0.25">
      <c r="A155" s="41">
        <v>41501</v>
      </c>
      <c r="B155" s="12">
        <v>1739436</v>
      </c>
      <c r="C155">
        <f t="shared" si="4"/>
        <v>8</v>
      </c>
      <c r="D155">
        <f t="shared" si="5"/>
        <v>2013</v>
      </c>
    </row>
    <row r="156" spans="1:4" x14ac:dyDescent="0.25">
      <c r="A156" s="41">
        <v>41532</v>
      </c>
      <c r="B156" s="12">
        <v>1588718</v>
      </c>
      <c r="C156">
        <f t="shared" si="4"/>
        <v>9</v>
      </c>
      <c r="D156">
        <f t="shared" si="5"/>
        <v>2013</v>
      </c>
    </row>
    <row r="157" spans="1:4" x14ac:dyDescent="0.25">
      <c r="A157" s="41">
        <v>41562</v>
      </c>
      <c r="B157" s="12">
        <v>1680814</v>
      </c>
      <c r="C157">
        <f t="shared" si="4"/>
        <v>10</v>
      </c>
      <c r="D157">
        <f t="shared" si="5"/>
        <v>2013</v>
      </c>
    </row>
    <row r="158" spans="1:4" x14ac:dyDescent="0.25">
      <c r="A158" s="41">
        <v>41593</v>
      </c>
      <c r="B158" s="12">
        <v>2118508</v>
      </c>
      <c r="C158">
        <f t="shared" si="4"/>
        <v>11</v>
      </c>
      <c r="D158">
        <f t="shared" si="5"/>
        <v>2013</v>
      </c>
    </row>
    <row r="159" spans="1:4" x14ac:dyDescent="0.25">
      <c r="A159" s="41">
        <v>41623</v>
      </c>
      <c r="B159" s="12">
        <v>2700111</v>
      </c>
      <c r="C159">
        <f t="shared" si="4"/>
        <v>12</v>
      </c>
      <c r="D159">
        <f t="shared" si="5"/>
        <v>2013</v>
      </c>
    </row>
    <row r="160" spans="1:4" x14ac:dyDescent="0.25">
      <c r="A160" s="41">
        <v>41654</v>
      </c>
      <c r="B160" s="12">
        <v>2997145</v>
      </c>
      <c r="C160">
        <f t="shared" si="4"/>
        <v>1</v>
      </c>
      <c r="D160">
        <f t="shared" si="5"/>
        <v>2014</v>
      </c>
    </row>
    <row r="161" spans="1:4" x14ac:dyDescent="0.25">
      <c r="A161" s="41">
        <v>41685</v>
      </c>
      <c r="B161" s="12">
        <v>2556038</v>
      </c>
      <c r="C161">
        <f t="shared" si="4"/>
        <v>2</v>
      </c>
      <c r="D161">
        <f t="shared" si="5"/>
        <v>2014</v>
      </c>
    </row>
    <row r="162" spans="1:4" x14ac:dyDescent="0.25">
      <c r="A162" s="41">
        <v>41713</v>
      </c>
      <c r="B162" s="12">
        <v>2365293</v>
      </c>
      <c r="C162">
        <f t="shared" si="4"/>
        <v>3</v>
      </c>
      <c r="D162">
        <f t="shared" si="5"/>
        <v>2014</v>
      </c>
    </row>
    <row r="163" spans="1:4" x14ac:dyDescent="0.25">
      <c r="A163" s="41">
        <v>41744</v>
      </c>
      <c r="B163" s="12">
        <v>1786764</v>
      </c>
      <c r="C163">
        <f t="shared" si="4"/>
        <v>4</v>
      </c>
      <c r="D163">
        <f t="shared" si="5"/>
        <v>2014</v>
      </c>
    </row>
    <row r="164" spans="1:4" x14ac:dyDescent="0.25">
      <c r="A164" s="41">
        <v>41774</v>
      </c>
      <c r="B164" s="12">
        <v>1636202</v>
      </c>
      <c r="C164">
        <f t="shared" si="4"/>
        <v>5</v>
      </c>
      <c r="D164">
        <f t="shared" si="5"/>
        <v>2014</v>
      </c>
    </row>
    <row r="165" spans="1:4" x14ac:dyDescent="0.25">
      <c r="A165" s="41">
        <v>41805</v>
      </c>
      <c r="B165" s="12">
        <v>1576508</v>
      </c>
      <c r="C165">
        <f t="shared" si="4"/>
        <v>6</v>
      </c>
      <c r="D165">
        <f t="shared" si="5"/>
        <v>2014</v>
      </c>
    </row>
    <row r="166" spans="1:4" x14ac:dyDescent="0.25">
      <c r="A166" s="41">
        <v>41835</v>
      </c>
      <c r="B166" s="12">
        <v>1701744</v>
      </c>
      <c r="C166">
        <f t="shared" si="4"/>
        <v>7</v>
      </c>
      <c r="D166">
        <f t="shared" si="5"/>
        <v>2014</v>
      </c>
    </row>
    <row r="167" spans="1:4" x14ac:dyDescent="0.25">
      <c r="A167" s="41">
        <v>41866</v>
      </c>
      <c r="B167" s="12">
        <v>1751644</v>
      </c>
      <c r="C167">
        <f t="shared" si="4"/>
        <v>8</v>
      </c>
      <c r="D167">
        <f t="shared" si="5"/>
        <v>2014</v>
      </c>
    </row>
    <row r="168" spans="1:4" x14ac:dyDescent="0.25">
      <c r="A168" s="41">
        <v>41897</v>
      </c>
      <c r="B168" s="12">
        <v>1635485</v>
      </c>
      <c r="C168">
        <f t="shared" si="4"/>
        <v>9</v>
      </c>
      <c r="D168">
        <f t="shared" si="5"/>
        <v>2014</v>
      </c>
    </row>
    <row r="169" spans="1:4" x14ac:dyDescent="0.25">
      <c r="A169" s="41">
        <v>41927</v>
      </c>
      <c r="B169" s="12">
        <v>1730740</v>
      </c>
      <c r="C169">
        <f t="shared" si="4"/>
        <v>10</v>
      </c>
      <c r="D169">
        <f t="shared" si="5"/>
        <v>2014</v>
      </c>
    </row>
    <row r="170" spans="1:4" x14ac:dyDescent="0.25">
      <c r="A170" s="41">
        <v>41958</v>
      </c>
      <c r="B170" s="12">
        <v>2167984</v>
      </c>
      <c r="C170">
        <f t="shared" si="4"/>
        <v>11</v>
      </c>
      <c r="D170">
        <f t="shared" si="5"/>
        <v>2014</v>
      </c>
    </row>
    <row r="171" spans="1:4" x14ac:dyDescent="0.25">
      <c r="A171" s="41">
        <v>41988</v>
      </c>
      <c r="B171" s="12">
        <v>2475535</v>
      </c>
      <c r="C171">
        <f t="shared" si="4"/>
        <v>12</v>
      </c>
      <c r="D171">
        <f t="shared" si="5"/>
        <v>2014</v>
      </c>
    </row>
    <row r="172" spans="1:4" x14ac:dyDescent="0.25">
      <c r="A172" s="41">
        <v>42019</v>
      </c>
      <c r="B172" s="12">
        <v>2903574</v>
      </c>
      <c r="C172">
        <f t="shared" si="4"/>
        <v>1</v>
      </c>
      <c r="D172">
        <f t="shared" si="5"/>
        <v>2015</v>
      </c>
    </row>
    <row r="173" spans="1:4" x14ac:dyDescent="0.25">
      <c r="A173" s="41">
        <v>42050</v>
      </c>
      <c r="B173" s="12">
        <v>2730693</v>
      </c>
      <c r="C173">
        <f t="shared" si="4"/>
        <v>2</v>
      </c>
      <c r="D173">
        <f t="shared" si="5"/>
        <v>2015</v>
      </c>
    </row>
    <row r="174" spans="1:4" x14ac:dyDescent="0.25">
      <c r="A174" s="41">
        <v>42078</v>
      </c>
      <c r="B174" s="12">
        <v>2392542</v>
      </c>
      <c r="C174">
        <f t="shared" si="4"/>
        <v>3</v>
      </c>
      <c r="D174">
        <f t="shared" si="5"/>
        <v>2015</v>
      </c>
    </row>
    <row r="175" spans="1:4" x14ac:dyDescent="0.25">
      <c r="A175" s="41">
        <v>42109</v>
      </c>
      <c r="B175" s="12">
        <v>1826933</v>
      </c>
      <c r="C175">
        <f t="shared" si="4"/>
        <v>4</v>
      </c>
      <c r="D175">
        <f t="shared" si="5"/>
        <v>2015</v>
      </c>
    </row>
    <row r="176" spans="1:4" x14ac:dyDescent="0.25">
      <c r="A176" s="41">
        <v>42139</v>
      </c>
      <c r="B176" s="12">
        <v>1678755</v>
      </c>
      <c r="C176">
        <f t="shared" si="4"/>
        <v>5</v>
      </c>
      <c r="D176">
        <f t="shared" si="5"/>
        <v>2015</v>
      </c>
    </row>
    <row r="177" spans="1:4" x14ac:dyDescent="0.25">
      <c r="A177" s="41">
        <v>42170</v>
      </c>
      <c r="B177" s="12">
        <v>1723906</v>
      </c>
      <c r="C177">
        <f t="shared" si="4"/>
        <v>6</v>
      </c>
      <c r="D177">
        <f t="shared" si="5"/>
        <v>2015</v>
      </c>
    </row>
    <row r="178" spans="1:4" x14ac:dyDescent="0.25">
      <c r="A178" s="41">
        <v>42200</v>
      </c>
      <c r="B178" s="12">
        <v>1882675</v>
      </c>
      <c r="C178">
        <f t="shared" si="4"/>
        <v>7</v>
      </c>
      <c r="D178">
        <f t="shared" si="5"/>
        <v>2015</v>
      </c>
    </row>
    <row r="179" spans="1:4" x14ac:dyDescent="0.25">
      <c r="A179" s="41">
        <v>42231</v>
      </c>
      <c r="B179" s="12">
        <v>1867936</v>
      </c>
      <c r="C179">
        <f t="shared" si="4"/>
        <v>8</v>
      </c>
      <c r="D179">
        <f t="shared" si="5"/>
        <v>2015</v>
      </c>
    </row>
    <row r="180" spans="1:4" x14ac:dyDescent="0.25">
      <c r="A180" s="41">
        <v>42262</v>
      </c>
      <c r="B180" s="12">
        <v>1723960</v>
      </c>
      <c r="C180">
        <f t="shared" si="4"/>
        <v>9</v>
      </c>
      <c r="D180">
        <f t="shared" si="5"/>
        <v>2015</v>
      </c>
    </row>
    <row r="181" spans="1:4" x14ac:dyDescent="0.25">
      <c r="A181" s="41">
        <v>42292</v>
      </c>
      <c r="B181" s="12">
        <v>1804380</v>
      </c>
      <c r="C181">
        <f t="shared" si="4"/>
        <v>10</v>
      </c>
      <c r="D181">
        <f t="shared" si="5"/>
        <v>2015</v>
      </c>
    </row>
    <row r="182" spans="1:4" x14ac:dyDescent="0.25">
      <c r="A182" s="41">
        <v>42323</v>
      </c>
      <c r="B182" s="12">
        <v>2064029</v>
      </c>
      <c r="C182">
        <f t="shared" si="4"/>
        <v>11</v>
      </c>
      <c r="D182">
        <f t="shared" si="5"/>
        <v>2015</v>
      </c>
    </row>
    <row r="183" spans="1:4" x14ac:dyDescent="0.25">
      <c r="A183" s="41">
        <v>42353</v>
      </c>
      <c r="B183" s="12">
        <v>2389902</v>
      </c>
      <c r="C183">
        <f t="shared" si="4"/>
        <v>12</v>
      </c>
      <c r="D183">
        <f t="shared" si="5"/>
        <v>2015</v>
      </c>
    </row>
    <row r="184" spans="1:4" x14ac:dyDescent="0.25">
      <c r="A184" s="41">
        <v>42384</v>
      </c>
      <c r="B184" s="12">
        <v>2880714</v>
      </c>
      <c r="C184">
        <f t="shared" si="4"/>
        <v>1</v>
      </c>
      <c r="D184">
        <f t="shared" si="5"/>
        <v>2016</v>
      </c>
    </row>
    <row r="185" spans="1:4" x14ac:dyDescent="0.25">
      <c r="A185" s="41">
        <v>42415</v>
      </c>
      <c r="B185" s="12">
        <v>2459545</v>
      </c>
      <c r="C185">
        <f t="shared" si="4"/>
        <v>2</v>
      </c>
      <c r="D185">
        <f t="shared" si="5"/>
        <v>2016</v>
      </c>
    </row>
    <row r="186" spans="1:4" x14ac:dyDescent="0.25">
      <c r="A186" s="41">
        <v>42444</v>
      </c>
      <c r="B186" s="12">
        <v>2164467</v>
      </c>
      <c r="C186">
        <f t="shared" si="4"/>
        <v>3</v>
      </c>
      <c r="D186">
        <f t="shared" si="5"/>
        <v>2016</v>
      </c>
    </row>
    <row r="187" spans="1:4" x14ac:dyDescent="0.25">
      <c r="A187" s="41">
        <v>42475</v>
      </c>
      <c r="B187" s="12">
        <v>1903501</v>
      </c>
      <c r="C187">
        <f t="shared" si="4"/>
        <v>4</v>
      </c>
      <c r="D187">
        <f t="shared" si="5"/>
        <v>2016</v>
      </c>
    </row>
    <row r="188" spans="1:4" x14ac:dyDescent="0.25">
      <c r="A188" s="41">
        <v>42505</v>
      </c>
      <c r="B188" s="12">
        <v>1785885</v>
      </c>
      <c r="C188">
        <f t="shared" si="4"/>
        <v>5</v>
      </c>
      <c r="D188">
        <f t="shared" si="5"/>
        <v>2016</v>
      </c>
    </row>
    <row r="189" spans="1:4" x14ac:dyDescent="0.25">
      <c r="A189" s="41">
        <v>42536</v>
      </c>
      <c r="B189" s="12">
        <v>1825125</v>
      </c>
      <c r="C189">
        <f t="shared" si="4"/>
        <v>6</v>
      </c>
      <c r="D189">
        <f t="shared" si="5"/>
        <v>2016</v>
      </c>
    </row>
    <row r="190" spans="1:4" x14ac:dyDescent="0.25">
      <c r="A190" s="41">
        <v>42566</v>
      </c>
      <c r="B190" s="12">
        <v>2001036</v>
      </c>
      <c r="C190">
        <f t="shared" si="4"/>
        <v>7</v>
      </c>
      <c r="D190">
        <f t="shared" si="5"/>
        <v>2016</v>
      </c>
    </row>
    <row r="191" spans="1:4" x14ac:dyDescent="0.25">
      <c r="A191" s="41">
        <v>42597</v>
      </c>
      <c r="B191" s="12">
        <v>2023229</v>
      </c>
      <c r="C191">
        <f t="shared" si="4"/>
        <v>8</v>
      </c>
      <c r="D191">
        <f t="shared" si="5"/>
        <v>2016</v>
      </c>
    </row>
    <row r="192" spans="1:4" x14ac:dyDescent="0.25">
      <c r="A192" s="41">
        <v>42628</v>
      </c>
      <c r="B192" s="12">
        <v>1774412</v>
      </c>
      <c r="C192">
        <f t="shared" si="4"/>
        <v>9</v>
      </c>
      <c r="D192">
        <f t="shared" si="5"/>
        <v>2016</v>
      </c>
    </row>
    <row r="193" spans="1:4" x14ac:dyDescent="0.25">
      <c r="A193" s="41">
        <v>42658</v>
      </c>
      <c r="B193" s="12">
        <v>1748897</v>
      </c>
      <c r="C193">
        <f t="shared" si="4"/>
        <v>10</v>
      </c>
      <c r="D193">
        <f t="shared" si="5"/>
        <v>2016</v>
      </c>
    </row>
    <row r="194" spans="1:4" x14ac:dyDescent="0.25">
      <c r="A194" s="41">
        <v>42689</v>
      </c>
      <c r="B194" s="12">
        <v>1979957</v>
      </c>
      <c r="C194">
        <f t="shared" si="4"/>
        <v>11</v>
      </c>
      <c r="D194">
        <f t="shared" si="5"/>
        <v>2016</v>
      </c>
    </row>
    <row r="195" spans="1:4" x14ac:dyDescent="0.25">
      <c r="A195" s="41">
        <v>42719</v>
      </c>
      <c r="B195" s="12">
        <v>2665391</v>
      </c>
      <c r="C195">
        <f t="shared" si="4"/>
        <v>12</v>
      </c>
      <c r="D195">
        <f t="shared" si="5"/>
        <v>2016</v>
      </c>
    </row>
    <row r="196" spans="1:4" x14ac:dyDescent="0.25">
      <c r="A196" s="41">
        <v>42750</v>
      </c>
      <c r="B196" s="12">
        <v>2708217</v>
      </c>
      <c r="C196">
        <f t="shared" ref="C196:C257" si="6">MONTH(A196)</f>
        <v>1</v>
      </c>
      <c r="D196">
        <f t="shared" ref="D196:D257" si="7">YEAR(A196)</f>
        <v>2017</v>
      </c>
    </row>
    <row r="197" spans="1:4" x14ac:dyDescent="0.25">
      <c r="A197" s="41">
        <v>42781</v>
      </c>
      <c r="B197" s="12">
        <v>2161185</v>
      </c>
      <c r="C197">
        <f t="shared" si="6"/>
        <v>2</v>
      </c>
      <c r="D197">
        <f t="shared" si="7"/>
        <v>2017</v>
      </c>
    </row>
    <row r="198" spans="1:4" x14ac:dyDescent="0.25">
      <c r="A198" s="41">
        <v>42809</v>
      </c>
      <c r="B198" s="12">
        <v>2324198</v>
      </c>
      <c r="C198">
        <f t="shared" si="6"/>
        <v>3</v>
      </c>
      <c r="D198">
        <f t="shared" si="7"/>
        <v>2017</v>
      </c>
    </row>
    <row r="199" spans="1:4" x14ac:dyDescent="0.25">
      <c r="A199" s="41">
        <v>42840</v>
      </c>
      <c r="B199" s="12">
        <v>1753578</v>
      </c>
      <c r="C199">
        <f t="shared" si="6"/>
        <v>4</v>
      </c>
      <c r="D199">
        <f t="shared" si="7"/>
        <v>2017</v>
      </c>
    </row>
    <row r="200" spans="1:4" x14ac:dyDescent="0.25">
      <c r="A200" s="41">
        <v>42870</v>
      </c>
      <c r="B200" s="12">
        <v>1710548</v>
      </c>
      <c r="C200">
        <f t="shared" si="6"/>
        <v>5</v>
      </c>
      <c r="D200">
        <f t="shared" si="7"/>
        <v>2017</v>
      </c>
    </row>
    <row r="201" spans="1:4" x14ac:dyDescent="0.25">
      <c r="A201" s="41">
        <v>42901</v>
      </c>
      <c r="B201" s="12">
        <v>1731387</v>
      </c>
      <c r="C201">
        <f t="shared" si="6"/>
        <v>6</v>
      </c>
      <c r="D201">
        <f t="shared" si="7"/>
        <v>2017</v>
      </c>
    </row>
    <row r="202" spans="1:4" x14ac:dyDescent="0.25">
      <c r="A202" s="41">
        <v>42931</v>
      </c>
      <c r="B202" s="12">
        <v>1950510</v>
      </c>
      <c r="C202">
        <f t="shared" si="6"/>
        <v>7</v>
      </c>
      <c r="D202">
        <f t="shared" si="7"/>
        <v>2017</v>
      </c>
    </row>
    <row r="203" spans="1:4" x14ac:dyDescent="0.25">
      <c r="A203" s="41">
        <v>42962</v>
      </c>
      <c r="B203" s="12">
        <v>1904112</v>
      </c>
      <c r="C203">
        <f t="shared" si="6"/>
        <v>8</v>
      </c>
      <c r="D203">
        <f t="shared" si="7"/>
        <v>2017</v>
      </c>
    </row>
    <row r="204" spans="1:4" x14ac:dyDescent="0.25">
      <c r="A204" s="41">
        <v>42993</v>
      </c>
      <c r="B204" s="12">
        <v>1737701</v>
      </c>
      <c r="C204">
        <f t="shared" si="6"/>
        <v>9</v>
      </c>
      <c r="D204">
        <f t="shared" si="7"/>
        <v>2017</v>
      </c>
    </row>
    <row r="205" spans="1:4" x14ac:dyDescent="0.25">
      <c r="A205" s="41">
        <v>43023</v>
      </c>
      <c r="B205" s="12">
        <v>1838965</v>
      </c>
      <c r="C205">
        <f t="shared" si="6"/>
        <v>10</v>
      </c>
      <c r="D205">
        <f t="shared" si="7"/>
        <v>2017</v>
      </c>
    </row>
    <row r="206" spans="1:4" x14ac:dyDescent="0.25">
      <c r="A206" s="41">
        <v>43054</v>
      </c>
      <c r="B206" s="12">
        <v>2155805</v>
      </c>
      <c r="C206">
        <f t="shared" si="6"/>
        <v>11</v>
      </c>
      <c r="D206">
        <f t="shared" si="7"/>
        <v>2017</v>
      </c>
    </row>
    <row r="207" spans="1:4" x14ac:dyDescent="0.25">
      <c r="A207" s="41">
        <v>43084</v>
      </c>
      <c r="B207" s="12">
        <v>2858509</v>
      </c>
      <c r="C207">
        <f t="shared" si="6"/>
        <v>12</v>
      </c>
      <c r="D207">
        <f t="shared" si="7"/>
        <v>2017</v>
      </c>
    </row>
    <row r="208" spans="1:4" x14ac:dyDescent="0.25">
      <c r="A208" s="41">
        <v>43115</v>
      </c>
      <c r="B208" s="12">
        <v>3107734</v>
      </c>
      <c r="C208">
        <f t="shared" si="6"/>
        <v>1</v>
      </c>
      <c r="D208">
        <f t="shared" si="7"/>
        <v>2018</v>
      </c>
    </row>
    <row r="209" spans="1:4" x14ac:dyDescent="0.25">
      <c r="A209" s="41">
        <v>43146</v>
      </c>
      <c r="B209" s="12">
        <v>2507085</v>
      </c>
      <c r="C209">
        <f t="shared" si="6"/>
        <v>2</v>
      </c>
      <c r="D209">
        <f t="shared" si="7"/>
        <v>2018</v>
      </c>
    </row>
    <row r="210" spans="1:4" x14ac:dyDescent="0.25">
      <c r="A210" s="41">
        <v>43174</v>
      </c>
      <c r="B210" s="12">
        <v>2576005</v>
      </c>
      <c r="C210">
        <f t="shared" si="6"/>
        <v>3</v>
      </c>
      <c r="D210">
        <f t="shared" si="7"/>
        <v>2018</v>
      </c>
    </row>
    <row r="211" spans="1:4" x14ac:dyDescent="0.25">
      <c r="A211" s="41">
        <v>43205</v>
      </c>
      <c r="B211" s="12">
        <v>2148089</v>
      </c>
      <c r="C211">
        <f t="shared" si="6"/>
        <v>4</v>
      </c>
      <c r="D211">
        <f t="shared" si="7"/>
        <v>2018</v>
      </c>
    </row>
    <row r="212" spans="1:4" x14ac:dyDescent="0.25">
      <c r="A212" s="41">
        <v>43235</v>
      </c>
      <c r="B212" s="12">
        <v>1855856</v>
      </c>
      <c r="C212">
        <f t="shared" si="6"/>
        <v>5</v>
      </c>
      <c r="D212">
        <f t="shared" si="7"/>
        <v>2018</v>
      </c>
    </row>
    <row r="213" spans="1:4" x14ac:dyDescent="0.25">
      <c r="A213" s="41">
        <v>43266</v>
      </c>
      <c r="B213" s="12">
        <v>1867447</v>
      </c>
      <c r="C213">
        <f t="shared" si="6"/>
        <v>6</v>
      </c>
      <c r="D213">
        <f t="shared" si="7"/>
        <v>2018</v>
      </c>
    </row>
    <row r="214" spans="1:4" x14ac:dyDescent="0.25">
      <c r="A214" s="41">
        <v>43296</v>
      </c>
      <c r="B214" s="12">
        <v>2139037</v>
      </c>
      <c r="C214">
        <f t="shared" si="6"/>
        <v>7</v>
      </c>
      <c r="D214">
        <f t="shared" si="7"/>
        <v>2018</v>
      </c>
    </row>
    <row r="215" spans="1:4" x14ac:dyDescent="0.25">
      <c r="A215" s="41">
        <v>43327</v>
      </c>
      <c r="B215" s="12">
        <v>2100482</v>
      </c>
      <c r="C215">
        <f t="shared" si="6"/>
        <v>8</v>
      </c>
      <c r="D215">
        <f t="shared" si="7"/>
        <v>2018</v>
      </c>
    </row>
    <row r="216" spans="1:4" x14ac:dyDescent="0.25">
      <c r="A216" s="41">
        <v>43358</v>
      </c>
      <c r="B216" s="12">
        <v>1949898</v>
      </c>
      <c r="C216">
        <f t="shared" si="6"/>
        <v>9</v>
      </c>
      <c r="D216">
        <f t="shared" si="7"/>
        <v>2018</v>
      </c>
    </row>
    <row r="217" spans="1:4" x14ac:dyDescent="0.25">
      <c r="A217" s="41">
        <v>43388</v>
      </c>
      <c r="B217" s="12">
        <v>2069201</v>
      </c>
      <c r="C217">
        <f t="shared" si="6"/>
        <v>10</v>
      </c>
      <c r="D217">
        <f t="shared" si="7"/>
        <v>2018</v>
      </c>
    </row>
    <row r="218" spans="1:4" x14ac:dyDescent="0.25">
      <c r="A218" s="41">
        <v>43419</v>
      </c>
      <c r="B218" s="12">
        <v>2488282</v>
      </c>
      <c r="C218">
        <f t="shared" si="6"/>
        <v>11</v>
      </c>
      <c r="D218">
        <f t="shared" si="7"/>
        <v>2018</v>
      </c>
    </row>
    <row r="219" spans="1:4" x14ac:dyDescent="0.25">
      <c r="A219" s="41">
        <v>43449</v>
      </c>
      <c r="B219" s="12">
        <v>2759042</v>
      </c>
      <c r="C219">
        <f t="shared" si="6"/>
        <v>12</v>
      </c>
      <c r="D219">
        <f t="shared" si="7"/>
        <v>2018</v>
      </c>
    </row>
    <row r="220" spans="1:4" x14ac:dyDescent="0.25">
      <c r="A220" s="41">
        <v>43480</v>
      </c>
      <c r="B220" s="12">
        <v>3161732</v>
      </c>
      <c r="C220">
        <f t="shared" si="6"/>
        <v>1</v>
      </c>
      <c r="D220">
        <f t="shared" si="7"/>
        <v>2019</v>
      </c>
    </row>
    <row r="221" spans="1:4" x14ac:dyDescent="0.25">
      <c r="A221" s="41">
        <v>43511</v>
      </c>
      <c r="B221" s="12">
        <v>2783640</v>
      </c>
      <c r="C221">
        <f t="shared" si="6"/>
        <v>2</v>
      </c>
      <c r="D221">
        <f t="shared" si="7"/>
        <v>2019</v>
      </c>
    </row>
    <row r="222" spans="1:4" x14ac:dyDescent="0.25">
      <c r="A222" s="41">
        <v>43539</v>
      </c>
      <c r="B222" s="12">
        <v>2680848</v>
      </c>
      <c r="C222">
        <f t="shared" si="6"/>
        <v>3</v>
      </c>
      <c r="D222">
        <f t="shared" si="7"/>
        <v>2019</v>
      </c>
    </row>
    <row r="223" spans="1:4" x14ac:dyDescent="0.25">
      <c r="A223" s="41">
        <v>43570</v>
      </c>
      <c r="B223" s="12">
        <v>1994279</v>
      </c>
      <c r="C223">
        <f t="shared" si="6"/>
        <v>4</v>
      </c>
      <c r="D223">
        <f t="shared" si="7"/>
        <v>2019</v>
      </c>
    </row>
    <row r="224" spans="1:4" x14ac:dyDescent="0.25">
      <c r="A224" s="41">
        <v>43600</v>
      </c>
      <c r="B224" s="12">
        <v>1912779</v>
      </c>
      <c r="C224">
        <f t="shared" si="6"/>
        <v>5</v>
      </c>
      <c r="D224">
        <f t="shared" si="7"/>
        <v>2019</v>
      </c>
    </row>
    <row r="225" spans="1:4" x14ac:dyDescent="0.25">
      <c r="A225" s="41">
        <v>43631</v>
      </c>
      <c r="B225" s="12">
        <v>1902995</v>
      </c>
      <c r="C225">
        <f t="shared" si="6"/>
        <v>6</v>
      </c>
      <c r="D225">
        <f t="shared" si="7"/>
        <v>2019</v>
      </c>
    </row>
    <row r="226" spans="1:4" x14ac:dyDescent="0.25">
      <c r="A226" s="41">
        <v>43661</v>
      </c>
      <c r="B226" s="12">
        <v>2162450</v>
      </c>
      <c r="C226">
        <f t="shared" si="6"/>
        <v>7</v>
      </c>
      <c r="D226">
        <f t="shared" si="7"/>
        <v>2019</v>
      </c>
    </row>
    <row r="227" spans="1:4" x14ac:dyDescent="0.25">
      <c r="A227" s="41">
        <v>43692</v>
      </c>
      <c r="B227" s="12">
        <v>2197474</v>
      </c>
      <c r="C227">
        <f t="shared" si="6"/>
        <v>8</v>
      </c>
      <c r="D227">
        <f t="shared" si="7"/>
        <v>2019</v>
      </c>
    </row>
    <row r="228" spans="1:4" x14ac:dyDescent="0.25">
      <c r="A228" s="41">
        <v>43723</v>
      </c>
      <c r="B228" s="12">
        <v>1982049</v>
      </c>
      <c r="C228">
        <f t="shared" si="6"/>
        <v>9</v>
      </c>
      <c r="D228">
        <f t="shared" si="7"/>
        <v>2019</v>
      </c>
    </row>
    <row r="229" spans="1:4" x14ac:dyDescent="0.25">
      <c r="A229" s="41">
        <v>43753</v>
      </c>
      <c r="B229" s="12">
        <v>2072599</v>
      </c>
      <c r="C229">
        <f t="shared" si="6"/>
        <v>10</v>
      </c>
      <c r="D229">
        <f t="shared" si="7"/>
        <v>2019</v>
      </c>
    </row>
    <row r="230" spans="1:4" x14ac:dyDescent="0.25">
      <c r="A230" s="41">
        <v>43784</v>
      </c>
      <c r="B230" s="12">
        <v>2535754</v>
      </c>
      <c r="C230">
        <f t="shared" si="6"/>
        <v>11</v>
      </c>
      <c r="D230">
        <f t="shared" si="7"/>
        <v>2019</v>
      </c>
    </row>
    <row r="231" spans="1:4" x14ac:dyDescent="0.25">
      <c r="A231" s="41">
        <v>43814</v>
      </c>
      <c r="B231" s="12">
        <v>2904407</v>
      </c>
      <c r="C231">
        <f t="shared" si="6"/>
        <v>12</v>
      </c>
      <c r="D231">
        <f t="shared" si="7"/>
        <v>2019</v>
      </c>
    </row>
    <row r="232" spans="1:4" x14ac:dyDescent="0.25">
      <c r="A232" s="41">
        <v>43845</v>
      </c>
      <c r="B232" s="12">
        <v>3030214</v>
      </c>
      <c r="C232">
        <f t="shared" si="6"/>
        <v>1</v>
      </c>
      <c r="D232">
        <f t="shared" si="7"/>
        <v>2020</v>
      </c>
    </row>
    <row r="233" spans="1:4" x14ac:dyDescent="0.25">
      <c r="A233" s="41">
        <v>43876</v>
      </c>
      <c r="B233" s="12">
        <v>2791073</v>
      </c>
      <c r="C233">
        <f t="shared" si="6"/>
        <v>2</v>
      </c>
      <c r="D233">
        <f t="shared" si="7"/>
        <v>2020</v>
      </c>
    </row>
    <row r="234" spans="1:4" x14ac:dyDescent="0.25">
      <c r="A234" s="41">
        <v>43905</v>
      </c>
      <c r="B234" s="12">
        <v>2458627</v>
      </c>
      <c r="C234">
        <f t="shared" si="6"/>
        <v>3</v>
      </c>
      <c r="D234">
        <f t="shared" si="7"/>
        <v>2020</v>
      </c>
    </row>
    <row r="235" spans="1:4" x14ac:dyDescent="0.25">
      <c r="A235" s="41">
        <v>43936</v>
      </c>
      <c r="B235" s="12">
        <v>2016963</v>
      </c>
      <c r="C235">
        <f t="shared" si="6"/>
        <v>4</v>
      </c>
      <c r="D235">
        <f t="shared" si="7"/>
        <v>2020</v>
      </c>
    </row>
    <row r="236" spans="1:4" x14ac:dyDescent="0.25">
      <c r="A236" s="41">
        <v>43966</v>
      </c>
      <c r="B236" s="12">
        <v>1853641</v>
      </c>
      <c r="C236">
        <f t="shared" si="6"/>
        <v>5</v>
      </c>
      <c r="D236">
        <f t="shared" si="7"/>
        <v>2020</v>
      </c>
    </row>
    <row r="237" spans="1:4" x14ac:dyDescent="0.25">
      <c r="A237" s="41">
        <v>43997</v>
      </c>
      <c r="B237" s="12">
        <v>1917632</v>
      </c>
      <c r="C237">
        <f t="shared" si="6"/>
        <v>6</v>
      </c>
      <c r="D237">
        <f t="shared" si="7"/>
        <v>2020</v>
      </c>
    </row>
    <row r="238" spans="1:4" x14ac:dyDescent="0.25">
      <c r="A238" s="41">
        <v>44027</v>
      </c>
      <c r="B238" s="12">
        <v>2256531</v>
      </c>
      <c r="C238">
        <f t="shared" si="6"/>
        <v>7</v>
      </c>
      <c r="D238">
        <f t="shared" si="7"/>
        <v>2020</v>
      </c>
    </row>
    <row r="239" spans="1:4" x14ac:dyDescent="0.25">
      <c r="A239" s="41">
        <v>44058</v>
      </c>
      <c r="B239" s="12">
        <v>2172105</v>
      </c>
      <c r="C239">
        <f t="shared" si="6"/>
        <v>8</v>
      </c>
      <c r="D239">
        <f t="shared" si="7"/>
        <v>2020</v>
      </c>
    </row>
    <row r="240" spans="1:4" x14ac:dyDescent="0.25">
      <c r="A240" s="41">
        <v>44089</v>
      </c>
      <c r="B240" s="12">
        <v>1955210</v>
      </c>
      <c r="C240">
        <f t="shared" si="6"/>
        <v>9</v>
      </c>
      <c r="D240">
        <f t="shared" si="7"/>
        <v>2020</v>
      </c>
    </row>
    <row r="241" spans="1:4" x14ac:dyDescent="0.25">
      <c r="A241" s="41">
        <v>44119</v>
      </c>
      <c r="B241" s="12">
        <v>2094617</v>
      </c>
      <c r="C241">
        <f t="shared" si="6"/>
        <v>10</v>
      </c>
      <c r="D241">
        <f t="shared" si="7"/>
        <v>2020</v>
      </c>
    </row>
    <row r="242" spans="1:4" x14ac:dyDescent="0.25">
      <c r="A242" s="41">
        <v>44150</v>
      </c>
      <c r="B242" s="12">
        <v>2205783</v>
      </c>
      <c r="C242">
        <f t="shared" si="6"/>
        <v>11</v>
      </c>
      <c r="D242">
        <f t="shared" si="7"/>
        <v>2020</v>
      </c>
    </row>
    <row r="243" spans="1:4" x14ac:dyDescent="0.25">
      <c r="A243" s="41">
        <v>44180</v>
      </c>
      <c r="B243" s="12">
        <v>2907979</v>
      </c>
      <c r="C243">
        <f t="shared" si="6"/>
        <v>12</v>
      </c>
      <c r="D243">
        <f t="shared" si="7"/>
        <v>2020</v>
      </c>
    </row>
    <row r="244" spans="1:4" x14ac:dyDescent="0.25">
      <c r="A244" s="41">
        <v>44211</v>
      </c>
      <c r="B244" s="12">
        <v>3028497</v>
      </c>
      <c r="C244">
        <f t="shared" si="6"/>
        <v>1</v>
      </c>
      <c r="D244">
        <f t="shared" si="7"/>
        <v>2021</v>
      </c>
    </row>
    <row r="245" spans="1:4" x14ac:dyDescent="0.25">
      <c r="A245" s="41">
        <v>44242</v>
      </c>
      <c r="B245" s="12">
        <v>2812349</v>
      </c>
      <c r="C245">
        <f t="shared" si="6"/>
        <v>2</v>
      </c>
      <c r="D245">
        <f t="shared" si="7"/>
        <v>2021</v>
      </c>
    </row>
    <row r="246" spans="1:4" x14ac:dyDescent="0.25">
      <c r="A246" s="41">
        <v>44270</v>
      </c>
      <c r="B246" s="12">
        <v>2375060</v>
      </c>
      <c r="C246">
        <f t="shared" si="6"/>
        <v>3</v>
      </c>
      <c r="D246">
        <f t="shared" si="7"/>
        <v>2021</v>
      </c>
    </row>
    <row r="247" spans="1:4" x14ac:dyDescent="0.25">
      <c r="A247" s="41">
        <v>44301</v>
      </c>
      <c r="B247" s="12">
        <v>2013135</v>
      </c>
      <c r="C247">
        <f t="shared" si="6"/>
        <v>4</v>
      </c>
      <c r="D247">
        <f t="shared" si="7"/>
        <v>2021</v>
      </c>
    </row>
    <row r="248" spans="1:4" x14ac:dyDescent="0.25">
      <c r="A248" s="41">
        <v>44331</v>
      </c>
      <c r="B248" s="12">
        <v>1868534</v>
      </c>
      <c r="C248">
        <f t="shared" si="6"/>
        <v>5</v>
      </c>
      <c r="D248">
        <f t="shared" si="7"/>
        <v>2021</v>
      </c>
    </row>
    <row r="249" spans="1:4" x14ac:dyDescent="0.25">
      <c r="A249" s="41">
        <v>44362</v>
      </c>
      <c r="B249" s="12">
        <v>1990375</v>
      </c>
      <c r="C249">
        <f t="shared" si="6"/>
        <v>6</v>
      </c>
      <c r="D249">
        <f t="shared" si="7"/>
        <v>2021</v>
      </c>
    </row>
    <row r="250" spans="1:4" x14ac:dyDescent="0.25">
      <c r="A250" s="41">
        <v>44392</v>
      </c>
      <c r="B250" s="12">
        <v>2151996</v>
      </c>
      <c r="C250">
        <f t="shared" si="6"/>
        <v>7</v>
      </c>
      <c r="D250">
        <f t="shared" si="7"/>
        <v>2021</v>
      </c>
    </row>
    <row r="251" spans="1:4" x14ac:dyDescent="0.25">
      <c r="A251" s="41">
        <v>44423</v>
      </c>
      <c r="B251" s="12">
        <v>2173083</v>
      </c>
      <c r="C251">
        <f t="shared" si="6"/>
        <v>8</v>
      </c>
      <c r="D251">
        <f t="shared" si="7"/>
        <v>2021</v>
      </c>
    </row>
    <row r="252" spans="1:4" x14ac:dyDescent="0.25">
      <c r="A252" s="41">
        <v>44454</v>
      </c>
      <c r="B252" s="12">
        <v>1888403</v>
      </c>
      <c r="C252">
        <f t="shared" si="6"/>
        <v>9</v>
      </c>
      <c r="D252">
        <f t="shared" si="7"/>
        <v>2021</v>
      </c>
    </row>
    <row r="253" spans="1:4" x14ac:dyDescent="0.25">
      <c r="A253" s="41">
        <v>44484</v>
      </c>
      <c r="B253" s="12">
        <v>2003258</v>
      </c>
      <c r="C253">
        <f t="shared" si="6"/>
        <v>10</v>
      </c>
      <c r="D253">
        <f t="shared" si="7"/>
        <v>2021</v>
      </c>
    </row>
    <row r="254" spans="1:4" x14ac:dyDescent="0.25">
      <c r="A254" s="41">
        <v>44515</v>
      </c>
      <c r="B254" s="12">
        <v>2414464</v>
      </c>
      <c r="C254">
        <f t="shared" si="6"/>
        <v>11</v>
      </c>
      <c r="D254">
        <f t="shared" si="7"/>
        <v>2021</v>
      </c>
    </row>
    <row r="255" spans="1:4" x14ac:dyDescent="0.25">
      <c r="A255" s="41">
        <v>44545</v>
      </c>
      <c r="B255" s="12">
        <v>2718349</v>
      </c>
      <c r="C255">
        <f t="shared" si="6"/>
        <v>12</v>
      </c>
      <c r="D255">
        <f t="shared" si="7"/>
        <v>2021</v>
      </c>
    </row>
    <row r="256" spans="1:4" x14ac:dyDescent="0.25">
      <c r="A256" s="41">
        <v>44576</v>
      </c>
      <c r="B256" s="12">
        <v>3314289</v>
      </c>
      <c r="C256">
        <f t="shared" si="6"/>
        <v>1</v>
      </c>
      <c r="D256">
        <f t="shared" si="7"/>
        <v>2022</v>
      </c>
    </row>
    <row r="257" spans="1:4" x14ac:dyDescent="0.25">
      <c r="A257" s="41">
        <v>44607</v>
      </c>
      <c r="B257" s="12">
        <v>2797164</v>
      </c>
      <c r="C257">
        <f t="shared" si="6"/>
        <v>2</v>
      </c>
      <c r="D257">
        <f t="shared" si="7"/>
        <v>2022</v>
      </c>
    </row>
  </sheetData>
  <hyperlinks>
    <hyperlink ref="A1" location="Contents!A1" display="Back to Contents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xSplit="1" ySplit="3" topLeftCell="B4" activePane="bottomRight" state="frozen"/>
      <selection pane="topRight"/>
      <selection pane="bottomLeft"/>
      <selection pane="bottomRight" activeCell="H15" sqref="H15"/>
    </sheetView>
  </sheetViews>
  <sheetFormatPr baseColWidth="10" defaultColWidth="9.140625" defaultRowHeight="12.75" x14ac:dyDescent="0.2"/>
  <cols>
    <col min="1" max="1" width="15.140625" style="12" customWidth="1"/>
    <col min="2" max="2" width="19" style="12" customWidth="1"/>
    <col min="3" max="16384" width="9.140625" style="12"/>
  </cols>
  <sheetData>
    <row r="1" spans="1:2" ht="15.75" x14ac:dyDescent="0.25">
      <c r="A1" s="17" t="s">
        <v>1437</v>
      </c>
      <c r="B1" s="16" t="s">
        <v>1585</v>
      </c>
    </row>
    <row r="2" spans="1:2" x14ac:dyDescent="0.2">
      <c r="A2" s="15" t="s">
        <v>1439</v>
      </c>
      <c r="B2" s="15" t="s">
        <v>1584</v>
      </c>
    </row>
    <row r="3" spans="1:2" ht="51" x14ac:dyDescent="0.2">
      <c r="A3" s="14" t="s">
        <v>1455</v>
      </c>
      <c r="B3" s="14" t="s">
        <v>1583</v>
      </c>
    </row>
    <row r="4" spans="1:2" x14ac:dyDescent="0.2">
      <c r="A4" s="13">
        <v>35611</v>
      </c>
      <c r="B4" s="12">
        <v>2.4900000000000002</v>
      </c>
    </row>
    <row r="5" spans="1:2" x14ac:dyDescent="0.2">
      <c r="A5" s="13">
        <v>35976</v>
      </c>
      <c r="B5" s="12">
        <v>2.09</v>
      </c>
    </row>
    <row r="6" spans="1:2" x14ac:dyDescent="0.2">
      <c r="A6" s="13">
        <v>36341</v>
      </c>
      <c r="B6" s="12">
        <v>2.27</v>
      </c>
    </row>
    <row r="7" spans="1:2" x14ac:dyDescent="0.2">
      <c r="A7" s="13">
        <v>36707</v>
      </c>
      <c r="B7" s="12">
        <v>4.3099999999999996</v>
      </c>
    </row>
    <row r="8" spans="1:2" x14ac:dyDescent="0.2">
      <c r="A8" s="13">
        <v>37072</v>
      </c>
      <c r="B8" s="12">
        <v>3.96</v>
      </c>
    </row>
    <row r="9" spans="1:2" x14ac:dyDescent="0.2">
      <c r="A9" s="13">
        <v>37437</v>
      </c>
      <c r="B9" s="12">
        <v>3.38</v>
      </c>
    </row>
    <row r="10" spans="1:2" x14ac:dyDescent="0.2">
      <c r="A10" s="13">
        <v>37802</v>
      </c>
      <c r="B10" s="12">
        <v>5.47</v>
      </c>
    </row>
    <row r="11" spans="1:2" x14ac:dyDescent="0.2">
      <c r="A11" s="13">
        <v>38168</v>
      </c>
      <c r="B11" s="12">
        <v>5.89</v>
      </c>
    </row>
    <row r="12" spans="1:2" x14ac:dyDescent="0.2">
      <c r="A12" s="13">
        <v>38533</v>
      </c>
      <c r="B12" s="12">
        <v>8.69</v>
      </c>
    </row>
    <row r="13" spans="1:2" x14ac:dyDescent="0.2">
      <c r="A13" s="13">
        <v>38898</v>
      </c>
      <c r="B13" s="12">
        <v>6.73</v>
      </c>
    </row>
    <row r="14" spans="1:2" x14ac:dyDescent="0.2">
      <c r="A14" s="13">
        <v>39263</v>
      </c>
      <c r="B14" s="12">
        <v>6.97</v>
      </c>
    </row>
    <row r="15" spans="1:2" x14ac:dyDescent="0.2">
      <c r="A15" s="13">
        <v>39629</v>
      </c>
      <c r="B15" s="12">
        <v>8.86</v>
      </c>
    </row>
    <row r="16" spans="1:2" x14ac:dyDescent="0.2">
      <c r="A16" s="13">
        <v>39994</v>
      </c>
      <c r="B16" s="12">
        <v>3.94</v>
      </c>
    </row>
    <row r="17" spans="1:2" x14ac:dyDescent="0.2">
      <c r="A17" s="13">
        <v>40359</v>
      </c>
      <c r="B17" s="12">
        <v>4.37</v>
      </c>
    </row>
    <row r="18" spans="1:2" x14ac:dyDescent="0.2">
      <c r="A18" s="13">
        <v>40724</v>
      </c>
      <c r="B18" s="12">
        <v>4</v>
      </c>
    </row>
    <row r="19" spans="1:2" x14ac:dyDescent="0.2">
      <c r="A19" s="13">
        <v>41090</v>
      </c>
      <c r="B19" s="12">
        <v>2.75</v>
      </c>
    </row>
    <row r="20" spans="1:2" x14ac:dyDescent="0.2">
      <c r="A20" s="13">
        <v>41455</v>
      </c>
      <c r="B20" s="12">
        <v>3.73</v>
      </c>
    </row>
    <row r="21" spans="1:2" x14ac:dyDescent="0.2">
      <c r="A21" s="13">
        <v>41820</v>
      </c>
      <c r="B21" s="12">
        <v>4.37</v>
      </c>
    </row>
    <row r="22" spans="1:2" x14ac:dyDescent="0.2">
      <c r="A22" s="13">
        <v>42185</v>
      </c>
      <c r="B22" s="12">
        <v>2.62</v>
      </c>
    </row>
    <row r="23" spans="1:2" x14ac:dyDescent="0.2">
      <c r="A23" s="13">
        <v>42551</v>
      </c>
      <c r="B23" s="12">
        <v>2.52</v>
      </c>
    </row>
    <row r="24" spans="1:2" x14ac:dyDescent="0.2">
      <c r="A24" s="13">
        <v>42916</v>
      </c>
      <c r="B24" s="12">
        <v>2.99</v>
      </c>
    </row>
    <row r="25" spans="1:2" x14ac:dyDescent="0.2">
      <c r="A25" s="13">
        <v>43281</v>
      </c>
      <c r="B25" s="12">
        <v>3.15</v>
      </c>
    </row>
    <row r="26" spans="1:2" x14ac:dyDescent="0.2">
      <c r="A26" s="13">
        <v>43646</v>
      </c>
      <c r="B26" s="12">
        <v>2.56</v>
      </c>
    </row>
    <row r="27" spans="1:2" x14ac:dyDescent="0.2">
      <c r="A27" s="13">
        <v>44012</v>
      </c>
      <c r="B27" s="12">
        <v>2.0299999999999998</v>
      </c>
    </row>
    <row r="28" spans="1:2" x14ac:dyDescent="0.2">
      <c r="A28" s="13">
        <v>44377</v>
      </c>
      <c r="B28" s="12">
        <v>3.89</v>
      </c>
    </row>
  </sheetData>
  <hyperlinks>
    <hyperlink ref="A1" location="Contents!A1" display="Back to Contents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3"/>
  <sheetViews>
    <sheetView workbookViewId="0">
      <pane ySplit="3" topLeftCell="A4" activePane="bottomLeft" state="frozen"/>
      <selection pane="bottomLeft" activeCell="U83" sqref="U83"/>
    </sheetView>
  </sheetViews>
  <sheetFormatPr baseColWidth="10" defaultColWidth="9.140625" defaultRowHeight="15" x14ac:dyDescent="0.25"/>
  <cols>
    <col min="1" max="1" width="15.140625" customWidth="1"/>
    <col min="2" max="5" width="19" hidden="1" customWidth="1"/>
    <col min="6" max="8" width="19" style="19" customWidth="1"/>
    <col min="9" max="18" width="19" hidden="1" customWidth="1"/>
    <col min="19" max="19" width="19" customWidth="1"/>
    <col min="257" max="257" width="15.140625" customWidth="1"/>
    <col min="258" max="275" width="19" customWidth="1"/>
    <col min="513" max="513" width="15.140625" customWidth="1"/>
    <col min="514" max="531" width="19" customWidth="1"/>
    <col min="769" max="769" width="15.140625" customWidth="1"/>
    <col min="770" max="787" width="19" customWidth="1"/>
    <col min="1025" max="1025" width="15.140625" customWidth="1"/>
    <col min="1026" max="1043" width="19" customWidth="1"/>
    <col min="1281" max="1281" width="15.140625" customWidth="1"/>
    <col min="1282" max="1299" width="19" customWidth="1"/>
    <col min="1537" max="1537" width="15.140625" customWidth="1"/>
    <col min="1538" max="1555" width="19" customWidth="1"/>
    <col min="1793" max="1793" width="15.140625" customWidth="1"/>
    <col min="1794" max="1811" width="19" customWidth="1"/>
    <col min="2049" max="2049" width="15.140625" customWidth="1"/>
    <col min="2050" max="2067" width="19" customWidth="1"/>
    <col min="2305" max="2305" width="15.140625" customWidth="1"/>
    <col min="2306" max="2323" width="19" customWidth="1"/>
    <col min="2561" max="2561" width="15.140625" customWidth="1"/>
    <col min="2562" max="2579" width="19" customWidth="1"/>
    <col min="2817" max="2817" width="15.140625" customWidth="1"/>
    <col min="2818" max="2835" width="19" customWidth="1"/>
    <col min="3073" max="3073" width="15.140625" customWidth="1"/>
    <col min="3074" max="3091" width="19" customWidth="1"/>
    <col min="3329" max="3329" width="15.140625" customWidth="1"/>
    <col min="3330" max="3347" width="19" customWidth="1"/>
    <col min="3585" max="3585" width="15.140625" customWidth="1"/>
    <col min="3586" max="3603" width="19" customWidth="1"/>
    <col min="3841" max="3841" width="15.140625" customWidth="1"/>
    <col min="3842" max="3859" width="19" customWidth="1"/>
    <col min="4097" max="4097" width="15.140625" customWidth="1"/>
    <col min="4098" max="4115" width="19" customWidth="1"/>
    <col min="4353" max="4353" width="15.140625" customWidth="1"/>
    <col min="4354" max="4371" width="19" customWidth="1"/>
    <col min="4609" max="4609" width="15.140625" customWidth="1"/>
    <col min="4610" max="4627" width="19" customWidth="1"/>
    <col min="4865" max="4865" width="15.140625" customWidth="1"/>
    <col min="4866" max="4883" width="19" customWidth="1"/>
    <col min="5121" max="5121" width="15.140625" customWidth="1"/>
    <col min="5122" max="5139" width="19" customWidth="1"/>
    <col min="5377" max="5377" width="15.140625" customWidth="1"/>
    <col min="5378" max="5395" width="19" customWidth="1"/>
    <col min="5633" max="5633" width="15.140625" customWidth="1"/>
    <col min="5634" max="5651" width="19" customWidth="1"/>
    <col min="5889" max="5889" width="15.140625" customWidth="1"/>
    <col min="5890" max="5907" width="19" customWidth="1"/>
    <col min="6145" max="6145" width="15.140625" customWidth="1"/>
    <col min="6146" max="6163" width="19" customWidth="1"/>
    <col min="6401" max="6401" width="15.140625" customWidth="1"/>
    <col min="6402" max="6419" width="19" customWidth="1"/>
    <col min="6657" max="6657" width="15.140625" customWidth="1"/>
    <col min="6658" max="6675" width="19" customWidth="1"/>
    <col min="6913" max="6913" width="15.140625" customWidth="1"/>
    <col min="6914" max="6931" width="19" customWidth="1"/>
    <col min="7169" max="7169" width="15.140625" customWidth="1"/>
    <col min="7170" max="7187" width="19" customWidth="1"/>
    <col min="7425" max="7425" width="15.140625" customWidth="1"/>
    <col min="7426" max="7443" width="19" customWidth="1"/>
    <col min="7681" max="7681" width="15.140625" customWidth="1"/>
    <col min="7682" max="7699" width="19" customWidth="1"/>
    <col min="7937" max="7937" width="15.140625" customWidth="1"/>
    <col min="7938" max="7955" width="19" customWidth="1"/>
    <col min="8193" max="8193" width="15.140625" customWidth="1"/>
    <col min="8194" max="8211" width="19" customWidth="1"/>
    <col min="8449" max="8449" width="15.140625" customWidth="1"/>
    <col min="8450" max="8467" width="19" customWidth="1"/>
    <col min="8705" max="8705" width="15.140625" customWidth="1"/>
    <col min="8706" max="8723" width="19" customWidth="1"/>
    <col min="8961" max="8961" width="15.140625" customWidth="1"/>
    <col min="8962" max="8979" width="19" customWidth="1"/>
    <col min="9217" max="9217" width="15.140625" customWidth="1"/>
    <col min="9218" max="9235" width="19" customWidth="1"/>
    <col min="9473" max="9473" width="15.140625" customWidth="1"/>
    <col min="9474" max="9491" width="19" customWidth="1"/>
    <col min="9729" max="9729" width="15.140625" customWidth="1"/>
    <col min="9730" max="9747" width="19" customWidth="1"/>
    <col min="9985" max="9985" width="15.140625" customWidth="1"/>
    <col min="9986" max="10003" width="19" customWidth="1"/>
    <col min="10241" max="10241" width="15.140625" customWidth="1"/>
    <col min="10242" max="10259" width="19" customWidth="1"/>
    <col min="10497" max="10497" width="15.140625" customWidth="1"/>
    <col min="10498" max="10515" width="19" customWidth="1"/>
    <col min="10753" max="10753" width="15.140625" customWidth="1"/>
    <col min="10754" max="10771" width="19" customWidth="1"/>
    <col min="11009" max="11009" width="15.140625" customWidth="1"/>
    <col min="11010" max="11027" width="19" customWidth="1"/>
    <col min="11265" max="11265" width="15.140625" customWidth="1"/>
    <col min="11266" max="11283" width="19" customWidth="1"/>
    <col min="11521" max="11521" width="15.140625" customWidth="1"/>
    <col min="11522" max="11539" width="19" customWidth="1"/>
    <col min="11777" max="11777" width="15.140625" customWidth="1"/>
    <col min="11778" max="11795" width="19" customWidth="1"/>
    <col min="12033" max="12033" width="15.140625" customWidth="1"/>
    <col min="12034" max="12051" width="19" customWidth="1"/>
    <col min="12289" max="12289" width="15.140625" customWidth="1"/>
    <col min="12290" max="12307" width="19" customWidth="1"/>
    <col min="12545" max="12545" width="15.140625" customWidth="1"/>
    <col min="12546" max="12563" width="19" customWidth="1"/>
    <col min="12801" max="12801" width="15.140625" customWidth="1"/>
    <col min="12802" max="12819" width="19" customWidth="1"/>
    <col min="13057" max="13057" width="15.140625" customWidth="1"/>
    <col min="13058" max="13075" width="19" customWidth="1"/>
    <col min="13313" max="13313" width="15.140625" customWidth="1"/>
    <col min="13314" max="13331" width="19" customWidth="1"/>
    <col min="13569" max="13569" width="15.140625" customWidth="1"/>
    <col min="13570" max="13587" width="19" customWidth="1"/>
    <col min="13825" max="13825" width="15.140625" customWidth="1"/>
    <col min="13826" max="13843" width="19" customWidth="1"/>
    <col min="14081" max="14081" width="15.140625" customWidth="1"/>
    <col min="14082" max="14099" width="19" customWidth="1"/>
    <col min="14337" max="14337" width="15.140625" customWidth="1"/>
    <col min="14338" max="14355" width="19" customWidth="1"/>
    <col min="14593" max="14593" width="15.140625" customWidth="1"/>
    <col min="14594" max="14611" width="19" customWidth="1"/>
    <col min="14849" max="14849" width="15.140625" customWidth="1"/>
    <col min="14850" max="14867" width="19" customWidth="1"/>
    <col min="15105" max="15105" width="15.140625" customWidth="1"/>
    <col min="15106" max="15123" width="19" customWidth="1"/>
    <col min="15361" max="15361" width="15.140625" customWidth="1"/>
    <col min="15362" max="15379" width="19" customWidth="1"/>
    <col min="15617" max="15617" width="15.140625" customWidth="1"/>
    <col min="15618" max="15635" width="19" customWidth="1"/>
    <col min="15873" max="15873" width="15.140625" customWidth="1"/>
    <col min="15874" max="15891" width="19" customWidth="1"/>
    <col min="16129" max="16129" width="15.140625" customWidth="1"/>
    <col min="16130" max="16147" width="19" customWidth="1"/>
  </cols>
  <sheetData>
    <row r="1" spans="1:22" ht="15.75" x14ac:dyDescent="0.25">
      <c r="A1" s="35" t="s">
        <v>1437</v>
      </c>
      <c r="B1" s="34" t="s">
        <v>1438</v>
      </c>
      <c r="U1" t="s">
        <v>1600</v>
      </c>
    </row>
    <row r="2" spans="1:22" x14ac:dyDescent="0.25">
      <c r="A2" s="33" t="s">
        <v>1439</v>
      </c>
      <c r="B2" s="32" t="s">
        <v>1440</v>
      </c>
      <c r="C2" s="32" t="s">
        <v>1441</v>
      </c>
      <c r="D2" s="32" t="s">
        <v>1442</v>
      </c>
      <c r="E2" s="32" t="s">
        <v>1443</v>
      </c>
      <c r="F2" s="36" t="s">
        <v>1444</v>
      </c>
      <c r="G2" s="36" t="s">
        <v>1445</v>
      </c>
      <c r="H2" s="36" t="s">
        <v>1446</v>
      </c>
      <c r="I2" s="32" t="s">
        <v>1604</v>
      </c>
      <c r="J2" s="32" t="s">
        <v>1447</v>
      </c>
      <c r="K2" s="32" t="s">
        <v>1448</v>
      </c>
      <c r="L2" s="32" t="s">
        <v>1449</v>
      </c>
      <c r="M2" s="32" t="s">
        <v>1450</v>
      </c>
      <c r="N2" s="32" t="s">
        <v>1451</v>
      </c>
      <c r="O2" s="32" t="s">
        <v>1452</v>
      </c>
      <c r="P2" s="32" t="s">
        <v>1453</v>
      </c>
      <c r="Q2" s="32" t="s">
        <v>1603</v>
      </c>
      <c r="R2" s="32" t="s">
        <v>1454</v>
      </c>
      <c r="S2" s="32"/>
      <c r="U2" t="s">
        <v>1561</v>
      </c>
      <c r="V2" t="s">
        <v>1599</v>
      </c>
    </row>
    <row r="3" spans="1:22" ht="90" x14ac:dyDescent="0.25">
      <c r="A3" s="31" t="s">
        <v>1455</v>
      </c>
      <c r="B3" s="30" t="s">
        <v>1456</v>
      </c>
      <c r="C3" s="30" t="s">
        <v>1457</v>
      </c>
      <c r="D3" s="30" t="s">
        <v>1458</v>
      </c>
      <c r="E3" s="30" t="s">
        <v>1459</v>
      </c>
      <c r="F3" s="37" t="s">
        <v>1460</v>
      </c>
      <c r="G3" s="37" t="s">
        <v>1461</v>
      </c>
      <c r="H3" s="37" t="s">
        <v>1462</v>
      </c>
      <c r="I3" s="30" t="s">
        <v>1602</v>
      </c>
      <c r="J3" s="30" t="s">
        <v>1463</v>
      </c>
      <c r="K3" s="30" t="s">
        <v>1464</v>
      </c>
      <c r="L3" s="30" t="s">
        <v>1465</v>
      </c>
      <c r="M3" s="30" t="s">
        <v>1466</v>
      </c>
      <c r="N3" s="30" t="s">
        <v>1467</v>
      </c>
      <c r="O3" s="30" t="s">
        <v>1468</v>
      </c>
      <c r="P3" s="30" t="s">
        <v>1469</v>
      </c>
      <c r="Q3" s="30" t="s">
        <v>1601</v>
      </c>
      <c r="R3" s="30" t="s">
        <v>1470</v>
      </c>
      <c r="S3" s="30" t="s">
        <v>30</v>
      </c>
      <c r="U3" s="24" t="s">
        <v>1598</v>
      </c>
      <c r="V3" s="24" t="s">
        <v>1598</v>
      </c>
    </row>
    <row r="4" spans="1:22" hidden="1" x14ac:dyDescent="0.25">
      <c r="A4" s="13">
        <v>8217</v>
      </c>
      <c r="B4" s="12">
        <v>0.11</v>
      </c>
      <c r="C4" s="12"/>
      <c r="D4" s="12"/>
      <c r="E4" s="12"/>
      <c r="F4" s="25"/>
      <c r="G4" s="25"/>
      <c r="H4" s="25"/>
      <c r="I4" s="12"/>
      <c r="J4" s="12"/>
      <c r="K4" s="12"/>
      <c r="L4" s="12"/>
      <c r="M4" s="12"/>
      <c r="N4" s="12"/>
      <c r="O4" s="12"/>
      <c r="P4" s="12"/>
      <c r="Q4" s="12"/>
      <c r="R4" s="12"/>
      <c r="S4">
        <f t="shared" ref="S4:S35" si="0">YEAR(A4)</f>
        <v>1922</v>
      </c>
    </row>
    <row r="5" spans="1:22" hidden="1" x14ac:dyDescent="0.25">
      <c r="A5" s="13">
        <v>8582</v>
      </c>
      <c r="B5" s="12">
        <v>0.1</v>
      </c>
      <c r="C5" s="12"/>
      <c r="D5" s="12"/>
      <c r="E5" s="12"/>
      <c r="F5" s="25"/>
      <c r="G5" s="25"/>
      <c r="H5" s="25"/>
      <c r="I5" s="12"/>
      <c r="J5" s="12"/>
      <c r="K5" s="12"/>
      <c r="L5" s="12"/>
      <c r="M5" s="12"/>
      <c r="N5" s="12"/>
      <c r="O5" s="12"/>
      <c r="P5" s="12"/>
      <c r="Q5" s="12"/>
      <c r="R5" s="12"/>
      <c r="S5">
        <f t="shared" si="0"/>
        <v>1923</v>
      </c>
    </row>
    <row r="6" spans="1:22" hidden="1" x14ac:dyDescent="0.25">
      <c r="A6" s="13">
        <v>8948</v>
      </c>
      <c r="B6" s="12">
        <v>0.09</v>
      </c>
      <c r="C6" s="12"/>
      <c r="D6" s="12"/>
      <c r="E6" s="12"/>
      <c r="F6" s="25"/>
      <c r="G6" s="25"/>
      <c r="H6" s="25"/>
      <c r="I6" s="12"/>
      <c r="J6" s="12"/>
      <c r="K6" s="12"/>
      <c r="L6" s="12"/>
      <c r="M6" s="12"/>
      <c r="N6" s="12"/>
      <c r="O6" s="12"/>
      <c r="P6" s="12"/>
      <c r="Q6" s="12"/>
      <c r="R6" s="12"/>
      <c r="S6">
        <f t="shared" si="0"/>
        <v>1924</v>
      </c>
    </row>
    <row r="7" spans="1:22" hidden="1" x14ac:dyDescent="0.25">
      <c r="A7" s="13">
        <v>9313</v>
      </c>
      <c r="B7" s="12">
        <v>0.09</v>
      </c>
      <c r="C7" s="12"/>
      <c r="D7" s="12"/>
      <c r="E7" s="12"/>
      <c r="F7" s="25"/>
      <c r="G7" s="25"/>
      <c r="H7" s="25"/>
      <c r="I7" s="12"/>
      <c r="J7" s="12"/>
      <c r="K7" s="12"/>
      <c r="L7" s="12"/>
      <c r="M7" s="12"/>
      <c r="N7" s="12"/>
      <c r="O7" s="12"/>
      <c r="P7" s="12"/>
      <c r="Q7" s="12"/>
      <c r="R7" s="12"/>
      <c r="S7">
        <f t="shared" si="0"/>
        <v>1925</v>
      </c>
    </row>
    <row r="8" spans="1:22" hidden="1" x14ac:dyDescent="0.25">
      <c r="A8" s="13">
        <v>9678</v>
      </c>
      <c r="B8" s="12">
        <v>0.1</v>
      </c>
      <c r="C8" s="12"/>
      <c r="D8" s="12"/>
      <c r="E8" s="12"/>
      <c r="F8" s="25"/>
      <c r="G8" s="25"/>
      <c r="H8" s="25"/>
      <c r="I8" s="12"/>
      <c r="J8" s="12"/>
      <c r="K8" s="12"/>
      <c r="L8" s="12"/>
      <c r="M8" s="12"/>
      <c r="N8" s="12"/>
      <c r="O8" s="12"/>
      <c r="P8" s="12"/>
      <c r="Q8" s="12"/>
      <c r="R8" s="12"/>
      <c r="S8">
        <f t="shared" si="0"/>
        <v>1926</v>
      </c>
    </row>
    <row r="9" spans="1:22" hidden="1" x14ac:dyDescent="0.25">
      <c r="A9" s="13">
        <v>10043</v>
      </c>
      <c r="B9" s="12">
        <v>0.09</v>
      </c>
      <c r="C9" s="12"/>
      <c r="D9" s="12"/>
      <c r="E9" s="12"/>
      <c r="F9" s="25"/>
      <c r="G9" s="25"/>
      <c r="H9" s="25"/>
      <c r="I9" s="12"/>
      <c r="J9" s="12"/>
      <c r="K9" s="12"/>
      <c r="L9" s="12"/>
      <c r="M9" s="12"/>
      <c r="N9" s="12"/>
      <c r="O9" s="12"/>
      <c r="P9" s="12"/>
      <c r="Q9" s="12"/>
      <c r="R9" s="12"/>
      <c r="S9">
        <f t="shared" si="0"/>
        <v>1927</v>
      </c>
    </row>
    <row r="10" spans="1:22" hidden="1" x14ac:dyDescent="0.25">
      <c r="A10" s="13">
        <v>10409</v>
      </c>
      <c r="B10" s="12">
        <v>0.09</v>
      </c>
      <c r="C10" s="12"/>
      <c r="D10" s="12"/>
      <c r="E10" s="12"/>
      <c r="F10" s="25"/>
      <c r="G10" s="25"/>
      <c r="H10" s="25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>
        <f t="shared" si="0"/>
        <v>1928</v>
      </c>
    </row>
    <row r="11" spans="1:22" hidden="1" x14ac:dyDescent="0.25">
      <c r="A11" s="13">
        <v>10774</v>
      </c>
      <c r="B11" s="12">
        <v>0.08</v>
      </c>
      <c r="C11" s="12"/>
      <c r="D11" s="12"/>
      <c r="E11" s="12"/>
      <c r="F11" s="25"/>
      <c r="G11" s="25"/>
      <c r="H11" s="25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>
        <f t="shared" si="0"/>
        <v>1929</v>
      </c>
    </row>
    <row r="12" spans="1:22" hidden="1" x14ac:dyDescent="0.25">
      <c r="A12" s="13">
        <v>11139</v>
      </c>
      <c r="B12" s="12">
        <v>0.08</v>
      </c>
      <c r="C12" s="12"/>
      <c r="D12" s="12"/>
      <c r="E12" s="12"/>
      <c r="F12" s="25"/>
      <c r="G12" s="25"/>
      <c r="H12" s="25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>
        <f t="shared" si="0"/>
        <v>1930</v>
      </c>
    </row>
    <row r="13" spans="1:22" hidden="1" x14ac:dyDescent="0.25">
      <c r="A13" s="13">
        <v>11504</v>
      </c>
      <c r="B13" s="12">
        <v>7.0000000000000007E-2</v>
      </c>
      <c r="C13" s="12"/>
      <c r="D13" s="12"/>
      <c r="E13" s="12"/>
      <c r="F13" s="25"/>
      <c r="G13" s="25"/>
      <c r="H13" s="25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>
        <f t="shared" si="0"/>
        <v>1931</v>
      </c>
    </row>
    <row r="14" spans="1:22" hidden="1" x14ac:dyDescent="0.25">
      <c r="A14" s="13">
        <v>11870</v>
      </c>
      <c r="B14" s="12">
        <v>0.06</v>
      </c>
      <c r="C14" s="12"/>
      <c r="D14" s="12"/>
      <c r="E14" s="12"/>
      <c r="F14" s="25"/>
      <c r="G14" s="25"/>
      <c r="H14" s="25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>
        <f t="shared" si="0"/>
        <v>1932</v>
      </c>
    </row>
    <row r="15" spans="1:22" hidden="1" x14ac:dyDescent="0.25">
      <c r="A15" s="13">
        <v>12235</v>
      </c>
      <c r="B15" s="12">
        <v>0.06</v>
      </c>
      <c r="C15" s="12"/>
      <c r="D15" s="12"/>
      <c r="E15" s="12"/>
      <c r="F15" s="25"/>
      <c r="G15" s="25"/>
      <c r="H15" s="25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>
        <f t="shared" si="0"/>
        <v>1933</v>
      </c>
    </row>
    <row r="16" spans="1:22" hidden="1" x14ac:dyDescent="0.25">
      <c r="A16" s="13">
        <v>12600</v>
      </c>
      <c r="B16" s="12">
        <v>0.06</v>
      </c>
      <c r="C16" s="12"/>
      <c r="D16" s="12"/>
      <c r="E16" s="12"/>
      <c r="F16" s="25"/>
      <c r="G16" s="25"/>
      <c r="H16" s="25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>
        <f t="shared" si="0"/>
        <v>1934</v>
      </c>
    </row>
    <row r="17" spans="1:19" hidden="1" x14ac:dyDescent="0.25">
      <c r="A17" s="13">
        <v>12965</v>
      </c>
      <c r="B17" s="12">
        <v>0.06</v>
      </c>
      <c r="S17">
        <f t="shared" si="0"/>
        <v>1935</v>
      </c>
    </row>
    <row r="18" spans="1:19" hidden="1" x14ac:dyDescent="0.25">
      <c r="A18" s="13">
        <v>13331</v>
      </c>
      <c r="B18" s="12">
        <v>0.06</v>
      </c>
      <c r="S18">
        <f t="shared" si="0"/>
        <v>1936</v>
      </c>
    </row>
    <row r="19" spans="1:19" hidden="1" x14ac:dyDescent="0.25">
      <c r="A19" s="13">
        <v>13696</v>
      </c>
      <c r="B19" s="12">
        <v>0.05</v>
      </c>
      <c r="S19">
        <f t="shared" si="0"/>
        <v>1937</v>
      </c>
    </row>
    <row r="20" spans="1:19" hidden="1" x14ac:dyDescent="0.25">
      <c r="A20" s="13">
        <v>14061</v>
      </c>
      <c r="B20" s="12">
        <v>0.05</v>
      </c>
      <c r="S20">
        <f t="shared" si="0"/>
        <v>1938</v>
      </c>
    </row>
    <row r="21" spans="1:19" hidden="1" x14ac:dyDescent="0.25">
      <c r="A21" s="13">
        <v>14426</v>
      </c>
      <c r="B21" s="12">
        <v>0.05</v>
      </c>
      <c r="S21">
        <f t="shared" si="0"/>
        <v>1939</v>
      </c>
    </row>
    <row r="22" spans="1:19" hidden="1" x14ac:dyDescent="0.25">
      <c r="A22" s="13">
        <v>14792</v>
      </c>
      <c r="B22" s="12">
        <v>0.05</v>
      </c>
      <c r="S22">
        <f t="shared" si="0"/>
        <v>1940</v>
      </c>
    </row>
    <row r="23" spans="1:19" hidden="1" x14ac:dyDescent="0.25">
      <c r="A23" s="13">
        <v>15157</v>
      </c>
      <c r="B23" s="12">
        <v>0.05</v>
      </c>
      <c r="S23">
        <f t="shared" si="0"/>
        <v>1941</v>
      </c>
    </row>
    <row r="24" spans="1:19" hidden="1" x14ac:dyDescent="0.25">
      <c r="A24" s="13">
        <v>15522</v>
      </c>
      <c r="B24" s="12">
        <v>0.05</v>
      </c>
      <c r="S24">
        <f t="shared" si="0"/>
        <v>1942</v>
      </c>
    </row>
    <row r="25" spans="1:19" hidden="1" x14ac:dyDescent="0.25">
      <c r="A25" s="13">
        <v>15887</v>
      </c>
      <c r="B25" s="12">
        <v>0.05</v>
      </c>
      <c r="S25">
        <f t="shared" si="0"/>
        <v>1943</v>
      </c>
    </row>
    <row r="26" spans="1:19" hidden="1" x14ac:dyDescent="0.25">
      <c r="A26" s="13">
        <v>16253</v>
      </c>
      <c r="B26" s="12">
        <v>0.05</v>
      </c>
      <c r="S26">
        <f t="shared" si="0"/>
        <v>1944</v>
      </c>
    </row>
    <row r="27" spans="1:19" hidden="1" x14ac:dyDescent="0.25">
      <c r="A27" s="13">
        <v>16618</v>
      </c>
      <c r="B27" s="12">
        <v>0.05</v>
      </c>
      <c r="S27">
        <f t="shared" si="0"/>
        <v>1945</v>
      </c>
    </row>
    <row r="28" spans="1:19" hidden="1" x14ac:dyDescent="0.25">
      <c r="A28" s="13">
        <v>16983</v>
      </c>
      <c r="B28" s="12">
        <v>0.05</v>
      </c>
      <c r="S28">
        <f t="shared" si="0"/>
        <v>1946</v>
      </c>
    </row>
    <row r="29" spans="1:19" hidden="1" x14ac:dyDescent="0.25">
      <c r="A29" s="13">
        <v>17348</v>
      </c>
      <c r="B29" s="12">
        <v>0.06</v>
      </c>
      <c r="S29">
        <f t="shared" si="0"/>
        <v>1947</v>
      </c>
    </row>
    <row r="30" spans="1:19" hidden="1" x14ac:dyDescent="0.25">
      <c r="A30" s="13">
        <v>17714</v>
      </c>
      <c r="B30" s="12">
        <v>7.0000000000000007E-2</v>
      </c>
      <c r="S30">
        <f t="shared" si="0"/>
        <v>1948</v>
      </c>
    </row>
    <row r="31" spans="1:19" hidden="1" x14ac:dyDescent="0.25">
      <c r="A31" s="13">
        <v>18079</v>
      </c>
      <c r="B31" s="12">
        <v>0.06</v>
      </c>
      <c r="S31">
        <f t="shared" si="0"/>
        <v>1949</v>
      </c>
    </row>
    <row r="32" spans="1:19" hidden="1" x14ac:dyDescent="0.25">
      <c r="A32" s="13">
        <v>18444</v>
      </c>
      <c r="B32" s="12">
        <v>7.0000000000000007E-2</v>
      </c>
      <c r="S32">
        <f t="shared" si="0"/>
        <v>1950</v>
      </c>
    </row>
    <row r="33" spans="1:19" hidden="1" x14ac:dyDescent="0.25">
      <c r="A33" s="13">
        <v>18809</v>
      </c>
      <c r="B33" s="12">
        <v>7.0000000000000007E-2</v>
      </c>
      <c r="S33">
        <f t="shared" si="0"/>
        <v>1951</v>
      </c>
    </row>
    <row r="34" spans="1:19" hidden="1" x14ac:dyDescent="0.25">
      <c r="A34" s="13">
        <v>19175</v>
      </c>
      <c r="B34" s="12">
        <v>0.08</v>
      </c>
      <c r="S34">
        <f t="shared" si="0"/>
        <v>1952</v>
      </c>
    </row>
    <row r="35" spans="1:19" hidden="1" x14ac:dyDescent="0.25">
      <c r="A35" s="13">
        <v>19540</v>
      </c>
      <c r="B35" s="12">
        <v>0.09</v>
      </c>
      <c r="S35">
        <f t="shared" si="0"/>
        <v>1953</v>
      </c>
    </row>
    <row r="36" spans="1:19" hidden="1" x14ac:dyDescent="0.25">
      <c r="A36" s="13">
        <v>19905</v>
      </c>
      <c r="B36" s="12">
        <v>0.1</v>
      </c>
      <c r="S36">
        <f t="shared" ref="S36:S67" si="1">YEAR(A36)</f>
        <v>1954</v>
      </c>
    </row>
    <row r="37" spans="1:19" hidden="1" x14ac:dyDescent="0.25">
      <c r="A37" s="13">
        <v>20270</v>
      </c>
      <c r="B37" s="12">
        <v>0.1</v>
      </c>
      <c r="S37">
        <f t="shared" si="1"/>
        <v>1955</v>
      </c>
    </row>
    <row r="38" spans="1:19" hidden="1" x14ac:dyDescent="0.25">
      <c r="A38" s="13">
        <v>20636</v>
      </c>
      <c r="B38" s="12">
        <v>0.11</v>
      </c>
      <c r="S38">
        <f t="shared" si="1"/>
        <v>1956</v>
      </c>
    </row>
    <row r="39" spans="1:19" hidden="1" x14ac:dyDescent="0.25">
      <c r="A39" s="13">
        <v>21001</v>
      </c>
      <c r="B39" s="12">
        <v>0.11</v>
      </c>
      <c r="S39">
        <f t="shared" si="1"/>
        <v>1957</v>
      </c>
    </row>
    <row r="40" spans="1:19" hidden="1" x14ac:dyDescent="0.25">
      <c r="A40" s="13">
        <v>21366</v>
      </c>
      <c r="B40" s="12">
        <v>0.12</v>
      </c>
      <c r="S40">
        <f t="shared" si="1"/>
        <v>1958</v>
      </c>
    </row>
    <row r="41" spans="1:19" hidden="1" x14ac:dyDescent="0.25">
      <c r="A41" s="13">
        <v>21731</v>
      </c>
      <c r="B41" s="12">
        <v>0.13</v>
      </c>
      <c r="S41">
        <f t="shared" si="1"/>
        <v>1959</v>
      </c>
    </row>
    <row r="42" spans="1:19" hidden="1" x14ac:dyDescent="0.25">
      <c r="A42" s="13">
        <v>22097</v>
      </c>
      <c r="B42" s="12">
        <v>0.14000000000000001</v>
      </c>
      <c r="S42">
        <f t="shared" si="1"/>
        <v>1960</v>
      </c>
    </row>
    <row r="43" spans="1:19" hidden="1" x14ac:dyDescent="0.25">
      <c r="A43" s="13">
        <v>22462</v>
      </c>
      <c r="B43" s="12">
        <v>0.15</v>
      </c>
      <c r="S43">
        <f t="shared" si="1"/>
        <v>1961</v>
      </c>
    </row>
    <row r="44" spans="1:19" hidden="1" x14ac:dyDescent="0.25">
      <c r="A44" s="13">
        <v>22827</v>
      </c>
      <c r="B44" s="12">
        <v>0.16</v>
      </c>
      <c r="S44">
        <f t="shared" si="1"/>
        <v>1962</v>
      </c>
    </row>
    <row r="45" spans="1:19" hidden="1" x14ac:dyDescent="0.25">
      <c r="A45" s="13">
        <v>23192</v>
      </c>
      <c r="B45" s="12">
        <v>0.16</v>
      </c>
      <c r="S45">
        <f t="shared" si="1"/>
        <v>1963</v>
      </c>
    </row>
    <row r="46" spans="1:19" hidden="1" x14ac:dyDescent="0.25">
      <c r="A46" s="13">
        <v>23558</v>
      </c>
      <c r="B46" s="12">
        <v>0.15</v>
      </c>
      <c r="S46">
        <f t="shared" si="1"/>
        <v>1964</v>
      </c>
    </row>
    <row r="47" spans="1:19" hidden="1" x14ac:dyDescent="0.25">
      <c r="A47" s="13">
        <v>23923</v>
      </c>
      <c r="B47" s="12">
        <v>0.16</v>
      </c>
      <c r="S47">
        <f t="shared" si="1"/>
        <v>1965</v>
      </c>
    </row>
    <row r="48" spans="1:19" hidden="1" x14ac:dyDescent="0.25">
      <c r="A48" s="13">
        <v>24288</v>
      </c>
      <c r="B48" s="12">
        <v>0.16</v>
      </c>
      <c r="S48">
        <f t="shared" si="1"/>
        <v>1966</v>
      </c>
    </row>
    <row r="49" spans="1:19" hidden="1" x14ac:dyDescent="0.25">
      <c r="A49" s="13">
        <v>24653</v>
      </c>
      <c r="B49" s="12">
        <v>0.16</v>
      </c>
      <c r="C49" s="12"/>
      <c r="D49" s="12"/>
      <c r="E49" s="12"/>
      <c r="F49" s="25"/>
      <c r="G49" s="25"/>
      <c r="H49" s="25"/>
      <c r="I49" s="12">
        <v>0.2</v>
      </c>
      <c r="J49" s="12"/>
      <c r="K49" s="12">
        <v>1.04</v>
      </c>
      <c r="L49" s="12"/>
      <c r="M49" s="12">
        <v>0.74</v>
      </c>
      <c r="S49">
        <f t="shared" si="1"/>
        <v>1967</v>
      </c>
    </row>
    <row r="50" spans="1:19" hidden="1" x14ac:dyDescent="0.25">
      <c r="A50" s="13">
        <v>25019</v>
      </c>
      <c r="B50" s="12">
        <v>0.16</v>
      </c>
      <c r="C50" s="12"/>
      <c r="D50" s="12"/>
      <c r="E50" s="12"/>
      <c r="F50" s="25"/>
      <c r="G50" s="25"/>
      <c r="H50" s="25"/>
      <c r="I50" s="12">
        <v>0.2</v>
      </c>
      <c r="J50" s="12"/>
      <c r="K50" s="12">
        <v>1.04</v>
      </c>
      <c r="L50" s="12"/>
      <c r="M50" s="12">
        <v>0.73</v>
      </c>
      <c r="S50">
        <f t="shared" si="1"/>
        <v>1968</v>
      </c>
    </row>
    <row r="51" spans="1:19" hidden="1" x14ac:dyDescent="0.25">
      <c r="A51" s="13">
        <v>25384</v>
      </c>
      <c r="B51" s="12">
        <v>0.17</v>
      </c>
      <c r="C51" s="12"/>
      <c r="D51" s="12"/>
      <c r="E51" s="12"/>
      <c r="F51" s="25"/>
      <c r="G51" s="25"/>
      <c r="H51" s="25"/>
      <c r="I51" s="12">
        <v>0.21</v>
      </c>
      <c r="J51" s="12"/>
      <c r="K51" s="12">
        <v>1.05</v>
      </c>
      <c r="L51" s="12"/>
      <c r="M51" s="12">
        <v>0.74</v>
      </c>
      <c r="S51">
        <f t="shared" si="1"/>
        <v>1969</v>
      </c>
    </row>
    <row r="52" spans="1:19" hidden="1" x14ac:dyDescent="0.25">
      <c r="A52" s="13">
        <v>25749</v>
      </c>
      <c r="B52" s="12">
        <v>0.17</v>
      </c>
      <c r="C52" s="12"/>
      <c r="D52" s="12"/>
      <c r="E52" s="12"/>
      <c r="F52" s="25"/>
      <c r="G52" s="25"/>
      <c r="H52" s="25"/>
      <c r="I52" s="12">
        <v>0.21</v>
      </c>
      <c r="J52" s="12"/>
      <c r="K52" s="12">
        <v>1.0900000000000001</v>
      </c>
      <c r="L52" s="12"/>
      <c r="M52" s="12">
        <v>0.77</v>
      </c>
      <c r="S52">
        <f t="shared" si="1"/>
        <v>1970</v>
      </c>
    </row>
    <row r="53" spans="1:19" hidden="1" x14ac:dyDescent="0.25">
      <c r="A53" s="13">
        <v>26114</v>
      </c>
      <c r="B53" s="12">
        <v>0.18</v>
      </c>
      <c r="C53" s="12"/>
      <c r="D53" s="12"/>
      <c r="E53" s="12"/>
      <c r="F53" s="25"/>
      <c r="G53" s="25"/>
      <c r="H53" s="25"/>
      <c r="I53" s="12">
        <v>0.22</v>
      </c>
      <c r="J53" s="12"/>
      <c r="K53" s="12">
        <v>1.1499999999999999</v>
      </c>
      <c r="L53" s="12"/>
      <c r="M53" s="12">
        <v>0.82</v>
      </c>
      <c r="S53">
        <f t="shared" si="1"/>
        <v>1971</v>
      </c>
    </row>
    <row r="54" spans="1:19" hidden="1" x14ac:dyDescent="0.25">
      <c r="A54" s="13">
        <v>26480</v>
      </c>
      <c r="B54" s="12">
        <v>0.19</v>
      </c>
      <c r="C54" s="12"/>
      <c r="D54" s="12"/>
      <c r="E54" s="12"/>
      <c r="F54" s="25"/>
      <c r="G54" s="25"/>
      <c r="H54" s="25"/>
      <c r="I54" s="12">
        <v>0.23</v>
      </c>
      <c r="J54" s="12"/>
      <c r="K54" s="12">
        <v>1.21</v>
      </c>
      <c r="L54" s="12"/>
      <c r="M54" s="12">
        <v>0.88</v>
      </c>
      <c r="S54">
        <f t="shared" si="1"/>
        <v>1972</v>
      </c>
    </row>
    <row r="55" spans="1:19" hidden="1" x14ac:dyDescent="0.25">
      <c r="A55" s="13">
        <v>26845</v>
      </c>
      <c r="B55" s="12">
        <v>0.22</v>
      </c>
      <c r="C55" s="12"/>
      <c r="D55" s="12"/>
      <c r="E55" s="12"/>
      <c r="F55" s="25"/>
      <c r="G55" s="25"/>
      <c r="H55" s="25"/>
      <c r="I55" s="12">
        <v>0.25</v>
      </c>
      <c r="J55" s="12"/>
      <c r="K55" s="12">
        <v>1.29</v>
      </c>
      <c r="L55" s="12"/>
      <c r="M55" s="12">
        <v>0.94</v>
      </c>
      <c r="S55">
        <f t="shared" si="1"/>
        <v>1973</v>
      </c>
    </row>
    <row r="56" spans="1:19" hidden="1" x14ac:dyDescent="0.25">
      <c r="A56" s="13">
        <v>27210</v>
      </c>
      <c r="B56" s="12">
        <v>0.3</v>
      </c>
      <c r="C56" s="12"/>
      <c r="D56" s="12"/>
      <c r="E56" s="12"/>
      <c r="F56" s="25"/>
      <c r="G56" s="25"/>
      <c r="H56" s="25"/>
      <c r="I56" s="12">
        <v>0.3</v>
      </c>
      <c r="J56" s="12"/>
      <c r="K56" s="12">
        <v>1.43</v>
      </c>
      <c r="L56" s="12"/>
      <c r="M56" s="12">
        <v>1.07</v>
      </c>
      <c r="S56">
        <f t="shared" si="1"/>
        <v>1974</v>
      </c>
    </row>
    <row r="57" spans="1:19" hidden="1" x14ac:dyDescent="0.25">
      <c r="A57" s="13">
        <v>27575</v>
      </c>
      <c r="B57" s="12">
        <v>0.44</v>
      </c>
      <c r="C57" s="12"/>
      <c r="D57" s="12"/>
      <c r="E57" s="12"/>
      <c r="F57" s="25"/>
      <c r="G57" s="25"/>
      <c r="H57" s="25"/>
      <c r="I57" s="12">
        <v>0.4</v>
      </c>
      <c r="J57" s="12"/>
      <c r="K57" s="12">
        <v>1.71</v>
      </c>
      <c r="L57" s="12"/>
      <c r="M57" s="12">
        <v>1.35</v>
      </c>
      <c r="S57">
        <f t="shared" si="1"/>
        <v>1975</v>
      </c>
    </row>
    <row r="58" spans="1:19" hidden="1" x14ac:dyDescent="0.25">
      <c r="A58" s="13">
        <v>27941</v>
      </c>
      <c r="B58" s="12">
        <v>0.57999999999999996</v>
      </c>
      <c r="C58" s="12"/>
      <c r="D58" s="12"/>
      <c r="E58" s="12"/>
      <c r="F58" s="25"/>
      <c r="G58" s="25"/>
      <c r="H58" s="25"/>
      <c r="I58" s="12">
        <v>0.51</v>
      </c>
      <c r="J58" s="12"/>
      <c r="K58" s="12">
        <v>1.98</v>
      </c>
      <c r="L58" s="12"/>
      <c r="M58" s="12">
        <v>1.64</v>
      </c>
      <c r="S58">
        <f t="shared" si="1"/>
        <v>1976</v>
      </c>
    </row>
    <row r="59" spans="1:19" hidden="1" x14ac:dyDescent="0.25">
      <c r="A59" s="13">
        <v>28306</v>
      </c>
      <c r="B59" s="12">
        <v>0.79</v>
      </c>
      <c r="C59" s="12"/>
      <c r="D59" s="12"/>
      <c r="E59" s="12"/>
      <c r="F59" s="25"/>
      <c r="G59" s="25"/>
      <c r="H59" s="25"/>
      <c r="I59" s="12">
        <v>0.77</v>
      </c>
      <c r="J59" s="12"/>
      <c r="K59" s="12">
        <v>2.35</v>
      </c>
      <c r="L59" s="12"/>
      <c r="M59" s="12">
        <v>2.04</v>
      </c>
      <c r="S59">
        <f t="shared" si="1"/>
        <v>1977</v>
      </c>
    </row>
    <row r="60" spans="1:19" hidden="1" x14ac:dyDescent="0.25">
      <c r="A60" s="13">
        <v>28671</v>
      </c>
      <c r="B60" s="12">
        <v>0.91</v>
      </c>
      <c r="C60" s="12"/>
      <c r="D60" s="12"/>
      <c r="E60" s="12"/>
      <c r="F60" s="25"/>
      <c r="G60" s="25"/>
      <c r="H60" s="25"/>
      <c r="I60" s="12">
        <v>0.9</v>
      </c>
      <c r="J60" s="12"/>
      <c r="K60" s="12">
        <v>2.56</v>
      </c>
      <c r="L60" s="12"/>
      <c r="M60" s="12">
        <v>2.23</v>
      </c>
      <c r="S60">
        <f t="shared" si="1"/>
        <v>1978</v>
      </c>
    </row>
    <row r="61" spans="1:19" hidden="1" x14ac:dyDescent="0.25">
      <c r="A61" s="13">
        <v>29036</v>
      </c>
      <c r="B61" s="12">
        <v>1.18</v>
      </c>
      <c r="C61" s="12"/>
      <c r="D61" s="12"/>
      <c r="E61" s="12"/>
      <c r="F61" s="25"/>
      <c r="G61" s="25"/>
      <c r="H61" s="25"/>
      <c r="I61" s="12">
        <v>1.32</v>
      </c>
      <c r="J61" s="12"/>
      <c r="K61" s="12">
        <v>2.98</v>
      </c>
      <c r="L61" s="12"/>
      <c r="M61" s="12">
        <v>2.73</v>
      </c>
      <c r="S61">
        <f t="shared" si="1"/>
        <v>1979</v>
      </c>
    </row>
    <row r="62" spans="1:19" hidden="1" x14ac:dyDescent="0.25">
      <c r="A62" s="13">
        <v>29402</v>
      </c>
      <c r="B62" s="12">
        <v>1.59</v>
      </c>
      <c r="C62" s="12"/>
      <c r="D62" s="12"/>
      <c r="E62" s="12"/>
      <c r="F62" s="25"/>
      <c r="G62" s="25"/>
      <c r="H62" s="25"/>
      <c r="I62" s="12">
        <v>1.85</v>
      </c>
      <c r="J62" s="12"/>
      <c r="K62" s="12">
        <v>3.68</v>
      </c>
      <c r="L62" s="12"/>
      <c r="M62" s="12">
        <v>3.39</v>
      </c>
      <c r="S62">
        <f t="shared" si="1"/>
        <v>1980</v>
      </c>
    </row>
    <row r="63" spans="1:19" hidden="1" x14ac:dyDescent="0.25">
      <c r="A63" s="13">
        <v>29767</v>
      </c>
      <c r="B63" s="12">
        <v>1.98</v>
      </c>
      <c r="C63" s="12"/>
      <c r="D63" s="12"/>
      <c r="E63" s="12"/>
      <c r="F63" s="25"/>
      <c r="G63" s="25"/>
      <c r="H63" s="25"/>
      <c r="I63" s="12">
        <v>2.39</v>
      </c>
      <c r="J63" s="12"/>
      <c r="K63" s="12">
        <v>4.29</v>
      </c>
      <c r="L63" s="12"/>
      <c r="M63" s="12">
        <v>4</v>
      </c>
      <c r="S63">
        <f t="shared" si="1"/>
        <v>1981</v>
      </c>
    </row>
    <row r="64" spans="1:19" hidden="1" x14ac:dyDescent="0.25">
      <c r="A64" s="13">
        <v>30132</v>
      </c>
      <c r="B64" s="12">
        <v>2.46</v>
      </c>
      <c r="C64" s="12"/>
      <c r="D64" s="12"/>
      <c r="E64" s="12"/>
      <c r="F64" s="25"/>
      <c r="G64" s="25"/>
      <c r="H64" s="25"/>
      <c r="I64" s="12">
        <v>2.97</v>
      </c>
      <c r="J64" s="12"/>
      <c r="K64" s="12">
        <v>5.17</v>
      </c>
      <c r="L64" s="12"/>
      <c r="M64" s="12">
        <v>4.82</v>
      </c>
      <c r="S64">
        <f t="shared" si="1"/>
        <v>1982</v>
      </c>
    </row>
    <row r="65" spans="1:19" hidden="1" x14ac:dyDescent="0.25">
      <c r="A65" s="13">
        <v>30497</v>
      </c>
      <c r="B65" s="12">
        <v>2.59</v>
      </c>
      <c r="C65" s="12"/>
      <c r="D65" s="12"/>
      <c r="E65" s="12"/>
      <c r="F65" s="25"/>
      <c r="G65" s="25"/>
      <c r="H65" s="25"/>
      <c r="I65" s="12">
        <v>3.15</v>
      </c>
      <c r="J65" s="12"/>
      <c r="K65" s="12">
        <v>6.06</v>
      </c>
      <c r="L65" s="12"/>
      <c r="M65" s="12">
        <v>5.59</v>
      </c>
      <c r="N65" s="12"/>
      <c r="O65" s="12"/>
      <c r="P65" s="12"/>
      <c r="Q65" s="12"/>
      <c r="R65" s="12"/>
      <c r="S65">
        <f t="shared" si="1"/>
        <v>1983</v>
      </c>
    </row>
    <row r="66" spans="1:19" hidden="1" x14ac:dyDescent="0.25">
      <c r="A66" s="13">
        <v>30863</v>
      </c>
      <c r="B66" s="12">
        <v>2.66</v>
      </c>
      <c r="C66" s="12"/>
      <c r="D66" s="12"/>
      <c r="E66" s="12"/>
      <c r="F66" s="25"/>
      <c r="G66" s="25"/>
      <c r="H66" s="25"/>
      <c r="I66" s="12">
        <v>3.04</v>
      </c>
      <c r="J66" s="12">
        <v>3.95</v>
      </c>
      <c r="K66" s="12">
        <v>6.12</v>
      </c>
      <c r="L66" s="12"/>
      <c r="M66" s="12">
        <v>5.55</v>
      </c>
      <c r="N66" s="12"/>
      <c r="O66" s="12"/>
      <c r="P66" s="12"/>
      <c r="Q66" s="12"/>
      <c r="R66" s="12"/>
      <c r="S66">
        <f t="shared" si="1"/>
        <v>1984</v>
      </c>
    </row>
    <row r="67" spans="1:19" hidden="1" x14ac:dyDescent="0.25">
      <c r="A67" s="13">
        <v>31228</v>
      </c>
      <c r="B67" s="12">
        <v>2.5099999999999998</v>
      </c>
      <c r="C67" s="12">
        <v>3.21</v>
      </c>
      <c r="D67" s="12">
        <v>3.17</v>
      </c>
      <c r="E67" s="12">
        <v>4.5999999999999996</v>
      </c>
      <c r="F67" s="25">
        <v>4.7699999999999996</v>
      </c>
      <c r="G67" s="25">
        <v>3.92</v>
      </c>
      <c r="H67" s="25">
        <v>4.8099999999999996</v>
      </c>
      <c r="I67" s="12">
        <v>2.92</v>
      </c>
      <c r="J67" s="12">
        <v>3.75</v>
      </c>
      <c r="K67" s="12">
        <v>6.12</v>
      </c>
      <c r="L67" s="12"/>
      <c r="M67" s="12">
        <v>5.5</v>
      </c>
      <c r="N67" s="12"/>
      <c r="O67" s="12"/>
      <c r="P67" s="12"/>
      <c r="Q67" s="12"/>
      <c r="R67" s="12"/>
      <c r="S67">
        <f t="shared" si="1"/>
        <v>1985</v>
      </c>
    </row>
    <row r="68" spans="1:19" hidden="1" x14ac:dyDescent="0.25">
      <c r="A68" s="13">
        <v>31593</v>
      </c>
      <c r="B68" s="12">
        <v>1.94</v>
      </c>
      <c r="C68" s="12">
        <v>2.4300000000000002</v>
      </c>
      <c r="D68" s="12">
        <v>2.42</v>
      </c>
      <c r="E68" s="12">
        <v>4.62</v>
      </c>
      <c r="F68" s="25">
        <v>2.81</v>
      </c>
      <c r="G68" s="25">
        <v>2.35</v>
      </c>
      <c r="H68" s="25">
        <v>2.91</v>
      </c>
      <c r="I68" s="12">
        <v>2.52</v>
      </c>
      <c r="J68" s="12">
        <v>3.22</v>
      </c>
      <c r="K68" s="12">
        <v>5.83</v>
      </c>
      <c r="L68" s="12"/>
      <c r="M68" s="12">
        <v>5.08</v>
      </c>
      <c r="N68" s="12"/>
      <c r="O68" s="12"/>
      <c r="P68" s="12"/>
      <c r="Q68" s="12"/>
      <c r="R68" s="12"/>
      <c r="S68">
        <f t="shared" ref="S68:S103" si="2">YEAR(A68)</f>
        <v>1986</v>
      </c>
    </row>
    <row r="69" spans="1:19" hidden="1" x14ac:dyDescent="0.25">
      <c r="A69" s="13">
        <v>31958</v>
      </c>
      <c r="B69" s="12">
        <v>1.67</v>
      </c>
      <c r="C69" s="12">
        <v>1.95</v>
      </c>
      <c r="D69" s="12">
        <v>1.95</v>
      </c>
      <c r="E69" s="12"/>
      <c r="F69" s="25">
        <v>3.07</v>
      </c>
      <c r="G69" s="25">
        <v>2.35</v>
      </c>
      <c r="H69" s="25">
        <v>3.15</v>
      </c>
      <c r="I69" s="12">
        <v>2.17</v>
      </c>
      <c r="J69" s="12">
        <v>2.87</v>
      </c>
      <c r="K69" s="12">
        <v>5.54</v>
      </c>
      <c r="L69" s="12"/>
      <c r="M69" s="12">
        <v>4.7699999999999996</v>
      </c>
      <c r="N69" s="12">
        <v>93.1</v>
      </c>
      <c r="O69" s="12"/>
      <c r="P69" s="12"/>
      <c r="Q69" s="12"/>
      <c r="R69" s="12"/>
      <c r="S69">
        <f t="shared" si="2"/>
        <v>1987</v>
      </c>
    </row>
    <row r="70" spans="1:19" hidden="1" x14ac:dyDescent="0.25">
      <c r="A70" s="13">
        <v>32324</v>
      </c>
      <c r="B70" s="12">
        <v>1.69</v>
      </c>
      <c r="C70" s="12">
        <v>1.84</v>
      </c>
      <c r="D70" s="12">
        <v>1.83</v>
      </c>
      <c r="E70" s="12">
        <v>2.71</v>
      </c>
      <c r="F70" s="25">
        <v>2.74</v>
      </c>
      <c r="G70" s="25">
        <v>2.14</v>
      </c>
      <c r="H70" s="25">
        <v>2.98</v>
      </c>
      <c r="I70" s="12">
        <v>2.1</v>
      </c>
      <c r="J70" s="12">
        <v>2.92</v>
      </c>
      <c r="K70" s="12">
        <v>5.47</v>
      </c>
      <c r="L70" s="12"/>
      <c r="M70" s="12">
        <v>4.63</v>
      </c>
      <c r="N70" s="12">
        <v>90.8</v>
      </c>
      <c r="O70" s="12"/>
      <c r="P70" s="12"/>
      <c r="Q70" s="12"/>
      <c r="R70" s="12"/>
      <c r="S70">
        <f t="shared" si="2"/>
        <v>1988</v>
      </c>
    </row>
    <row r="71" spans="1:19" hidden="1" x14ac:dyDescent="0.25">
      <c r="A71" s="13">
        <v>32689</v>
      </c>
      <c r="B71" s="12">
        <v>1.69</v>
      </c>
      <c r="C71" s="12">
        <v>1.82</v>
      </c>
      <c r="D71" s="12">
        <v>1.81</v>
      </c>
      <c r="E71" s="12">
        <v>2.2200000000000002</v>
      </c>
      <c r="F71" s="25">
        <v>2.5099999999999998</v>
      </c>
      <c r="G71" s="25">
        <v>2.0499999999999998</v>
      </c>
      <c r="H71" s="25">
        <v>3.01</v>
      </c>
      <c r="I71" s="12">
        <v>2.0099999999999998</v>
      </c>
      <c r="J71" s="12">
        <v>3.01</v>
      </c>
      <c r="K71" s="12">
        <v>5.64</v>
      </c>
      <c r="L71" s="12">
        <v>99.9</v>
      </c>
      <c r="M71" s="12">
        <v>4.74</v>
      </c>
      <c r="N71" s="12">
        <v>89.1</v>
      </c>
      <c r="O71" s="12"/>
      <c r="P71" s="12"/>
      <c r="Q71" s="12">
        <v>4.17</v>
      </c>
      <c r="R71" s="12"/>
      <c r="S71">
        <f t="shared" si="2"/>
        <v>1989</v>
      </c>
    </row>
    <row r="72" spans="1:19" hidden="1" x14ac:dyDescent="0.25">
      <c r="A72" s="13">
        <v>33054</v>
      </c>
      <c r="B72" s="12">
        <v>1.71</v>
      </c>
      <c r="C72" s="12">
        <v>1.94</v>
      </c>
      <c r="D72" s="12">
        <v>1.91</v>
      </c>
      <c r="E72" s="12">
        <v>2.4700000000000002</v>
      </c>
      <c r="F72" s="25">
        <v>3.1</v>
      </c>
      <c r="G72" s="25">
        <v>2.31</v>
      </c>
      <c r="H72" s="25">
        <v>3.59</v>
      </c>
      <c r="I72" s="12">
        <v>1.95</v>
      </c>
      <c r="J72" s="12">
        <v>3.03</v>
      </c>
      <c r="K72" s="12">
        <v>5.8</v>
      </c>
      <c r="L72" s="12">
        <v>99.2</v>
      </c>
      <c r="M72" s="12">
        <v>4.83</v>
      </c>
      <c r="N72" s="12">
        <v>86.6</v>
      </c>
      <c r="O72" s="12"/>
      <c r="P72" s="12"/>
      <c r="Q72" s="12">
        <v>3.39</v>
      </c>
      <c r="R72" s="12"/>
      <c r="S72">
        <f t="shared" si="2"/>
        <v>1990</v>
      </c>
    </row>
    <row r="73" spans="1:19" hidden="1" x14ac:dyDescent="0.25">
      <c r="A73" s="13">
        <v>33419</v>
      </c>
      <c r="B73" s="12">
        <v>1.64</v>
      </c>
      <c r="C73" s="12">
        <v>1.83</v>
      </c>
      <c r="D73" s="12">
        <v>1.81</v>
      </c>
      <c r="E73" s="12">
        <v>2.36</v>
      </c>
      <c r="F73" s="25">
        <v>2.59</v>
      </c>
      <c r="G73" s="25">
        <v>1.79</v>
      </c>
      <c r="H73" s="25">
        <v>3.71</v>
      </c>
      <c r="I73" s="12">
        <v>1.87</v>
      </c>
      <c r="J73" s="12">
        <v>2.9</v>
      </c>
      <c r="K73" s="12">
        <v>5.82</v>
      </c>
      <c r="L73" s="12">
        <v>99.2</v>
      </c>
      <c r="M73" s="12">
        <v>4.8099999999999996</v>
      </c>
      <c r="N73" s="12">
        <v>85.1</v>
      </c>
      <c r="O73" s="12"/>
      <c r="P73" s="12"/>
      <c r="Q73" s="12">
        <v>3.96</v>
      </c>
      <c r="R73" s="12"/>
      <c r="S73">
        <f t="shared" si="2"/>
        <v>1991</v>
      </c>
    </row>
    <row r="74" spans="1:19" hidden="1" x14ac:dyDescent="0.25">
      <c r="A74" s="13">
        <v>33785</v>
      </c>
      <c r="B74" s="12">
        <v>1.74</v>
      </c>
      <c r="C74" s="12">
        <v>1.85</v>
      </c>
      <c r="D74" s="12">
        <v>1.84</v>
      </c>
      <c r="E74" s="12">
        <v>2.54</v>
      </c>
      <c r="F74" s="25">
        <v>2.25</v>
      </c>
      <c r="G74" s="25">
        <v>1.88</v>
      </c>
      <c r="H74" s="25">
        <v>3.43</v>
      </c>
      <c r="I74" s="12">
        <v>2.0699999999999998</v>
      </c>
      <c r="J74" s="12">
        <v>3.01</v>
      </c>
      <c r="K74" s="12">
        <v>5.89</v>
      </c>
      <c r="L74" s="12">
        <v>99.1</v>
      </c>
      <c r="M74" s="12">
        <v>4.88</v>
      </c>
      <c r="N74" s="12">
        <v>83.2</v>
      </c>
      <c r="O74" s="12"/>
      <c r="P74" s="12"/>
      <c r="Q74" s="12">
        <v>4.05</v>
      </c>
      <c r="R74" s="12"/>
      <c r="S74">
        <f t="shared" si="2"/>
        <v>1992</v>
      </c>
    </row>
    <row r="75" spans="1:19" hidden="1" x14ac:dyDescent="0.25">
      <c r="A75" s="13">
        <v>34150</v>
      </c>
      <c r="B75" s="12">
        <v>2.04</v>
      </c>
      <c r="C75" s="12">
        <v>2.0299999999999998</v>
      </c>
      <c r="D75" s="12">
        <v>2.02</v>
      </c>
      <c r="E75" s="12">
        <v>2.2000000000000002</v>
      </c>
      <c r="F75" s="25">
        <v>2.59</v>
      </c>
      <c r="G75" s="25">
        <v>2.08</v>
      </c>
      <c r="H75" s="25">
        <v>3.34</v>
      </c>
      <c r="I75" s="12">
        <v>1.97</v>
      </c>
      <c r="J75" s="12">
        <v>3.21</v>
      </c>
      <c r="K75" s="12">
        <v>6.16</v>
      </c>
      <c r="L75" s="12">
        <v>99.1</v>
      </c>
      <c r="M75" s="12">
        <v>5.22</v>
      </c>
      <c r="N75" s="12">
        <v>83.9</v>
      </c>
      <c r="O75" s="12"/>
      <c r="P75" s="12"/>
      <c r="Q75" s="12">
        <v>4.2699999999999996</v>
      </c>
      <c r="R75" s="12"/>
      <c r="S75">
        <f t="shared" si="2"/>
        <v>1993</v>
      </c>
    </row>
    <row r="76" spans="1:19" hidden="1" x14ac:dyDescent="0.25">
      <c r="A76" s="13">
        <v>34515</v>
      </c>
      <c r="B76" s="12">
        <v>1.85</v>
      </c>
      <c r="C76" s="12">
        <v>1.87</v>
      </c>
      <c r="D76" s="12">
        <v>1.86</v>
      </c>
      <c r="E76" s="12">
        <v>2.2799999999999998</v>
      </c>
      <c r="F76" s="25">
        <v>2.5</v>
      </c>
      <c r="G76" s="25">
        <v>2.08</v>
      </c>
      <c r="H76" s="25">
        <v>3.18</v>
      </c>
      <c r="I76" s="12">
        <v>1.7</v>
      </c>
      <c r="J76" s="12">
        <v>3.07</v>
      </c>
      <c r="K76" s="12">
        <v>6.41</v>
      </c>
      <c r="L76" s="12">
        <v>99.1</v>
      </c>
      <c r="M76" s="12">
        <v>5.44</v>
      </c>
      <c r="N76" s="12">
        <v>79.3</v>
      </c>
      <c r="O76" s="12"/>
      <c r="P76" s="12"/>
      <c r="Q76" s="12">
        <v>4.1100000000000003</v>
      </c>
      <c r="R76" s="12"/>
      <c r="S76">
        <f t="shared" si="2"/>
        <v>1994</v>
      </c>
    </row>
    <row r="77" spans="1:19" hidden="1" x14ac:dyDescent="0.25">
      <c r="A77" s="13">
        <v>34880</v>
      </c>
      <c r="B77" s="12">
        <v>1.55</v>
      </c>
      <c r="C77" s="12">
        <v>1.49</v>
      </c>
      <c r="D77" s="12">
        <v>1.48</v>
      </c>
      <c r="E77" s="12">
        <v>2.2999999999999998</v>
      </c>
      <c r="F77" s="25">
        <v>2.39</v>
      </c>
      <c r="G77" s="25">
        <v>1.64</v>
      </c>
      <c r="H77" s="25">
        <v>3.41</v>
      </c>
      <c r="I77" s="12">
        <v>1.49</v>
      </c>
      <c r="J77" s="12">
        <v>2.78</v>
      </c>
      <c r="K77" s="12">
        <v>6.06</v>
      </c>
      <c r="L77" s="12">
        <v>99</v>
      </c>
      <c r="M77" s="12">
        <v>5.05</v>
      </c>
      <c r="N77" s="12">
        <v>76.7</v>
      </c>
      <c r="O77" s="12"/>
      <c r="P77" s="12"/>
      <c r="Q77" s="12">
        <v>3.98</v>
      </c>
      <c r="R77" s="12"/>
      <c r="S77">
        <f t="shared" si="2"/>
        <v>1995</v>
      </c>
    </row>
    <row r="78" spans="1:19" hidden="1" x14ac:dyDescent="0.25">
      <c r="A78" s="13">
        <v>35246</v>
      </c>
      <c r="B78" s="12">
        <v>2.17</v>
      </c>
      <c r="C78" s="12">
        <v>1.97</v>
      </c>
      <c r="D78" s="12">
        <v>1.96</v>
      </c>
      <c r="E78" s="12">
        <v>2.8</v>
      </c>
      <c r="F78" s="25">
        <v>2.97</v>
      </c>
      <c r="G78" s="25">
        <v>2.4500000000000002</v>
      </c>
      <c r="H78" s="25">
        <v>3.65</v>
      </c>
      <c r="I78" s="12">
        <v>2.27</v>
      </c>
      <c r="J78" s="12">
        <v>3.27</v>
      </c>
      <c r="K78" s="12">
        <v>6.34</v>
      </c>
      <c r="L78" s="12">
        <v>99</v>
      </c>
      <c r="M78" s="12">
        <v>5.4</v>
      </c>
      <c r="N78" s="12">
        <v>77.599999999999994</v>
      </c>
      <c r="O78" s="12"/>
      <c r="P78" s="12"/>
      <c r="Q78" s="12">
        <v>4.34</v>
      </c>
      <c r="R78" s="12"/>
      <c r="S78">
        <f t="shared" si="2"/>
        <v>1996</v>
      </c>
    </row>
    <row r="79" spans="1:19" hidden="1" x14ac:dyDescent="0.25">
      <c r="A79" s="13">
        <v>35611</v>
      </c>
      <c r="B79" s="12">
        <v>2.3199999999999998</v>
      </c>
      <c r="C79" s="12">
        <v>2.17</v>
      </c>
      <c r="D79" s="12">
        <v>2.15</v>
      </c>
      <c r="E79" s="12">
        <v>2.74</v>
      </c>
      <c r="F79" s="25">
        <v>3.02</v>
      </c>
      <c r="G79" s="25">
        <v>2.4900000000000002</v>
      </c>
      <c r="H79" s="25">
        <v>3.83</v>
      </c>
      <c r="I79" s="12">
        <v>2.29</v>
      </c>
      <c r="J79" s="12">
        <v>3.66</v>
      </c>
      <c r="K79" s="12">
        <v>6.94</v>
      </c>
      <c r="L79" s="12">
        <v>98.8</v>
      </c>
      <c r="M79" s="12">
        <v>5.8</v>
      </c>
      <c r="N79" s="12">
        <v>70.8</v>
      </c>
      <c r="O79" s="12">
        <v>3.59</v>
      </c>
      <c r="P79" s="12">
        <v>18.100000000000001</v>
      </c>
      <c r="Q79" s="12">
        <v>4.4400000000000004</v>
      </c>
      <c r="R79" s="12">
        <v>2.78</v>
      </c>
      <c r="S79">
        <f t="shared" si="2"/>
        <v>1997</v>
      </c>
    </row>
    <row r="80" spans="1:19" hidden="1" x14ac:dyDescent="0.25">
      <c r="A80" s="13">
        <v>35976</v>
      </c>
      <c r="B80" s="12">
        <v>1.96</v>
      </c>
      <c r="C80" s="12">
        <v>1.97</v>
      </c>
      <c r="D80" s="12">
        <v>1.95</v>
      </c>
      <c r="E80" s="12">
        <v>2.63</v>
      </c>
      <c r="F80" s="25">
        <v>2.4500000000000002</v>
      </c>
      <c r="G80" s="25">
        <v>2.13</v>
      </c>
      <c r="H80" s="25">
        <v>2.91</v>
      </c>
      <c r="I80" s="12">
        <v>2.0099999999999998</v>
      </c>
      <c r="J80" s="12">
        <v>3.07</v>
      </c>
      <c r="K80" s="12">
        <v>6.82</v>
      </c>
      <c r="L80" s="12">
        <v>97.7</v>
      </c>
      <c r="M80" s="12">
        <v>5.48</v>
      </c>
      <c r="N80" s="12">
        <v>67</v>
      </c>
      <c r="O80" s="12">
        <v>3.14</v>
      </c>
      <c r="P80" s="12">
        <v>16.100000000000001</v>
      </c>
      <c r="Q80" s="12">
        <v>4.59</v>
      </c>
      <c r="R80" s="12">
        <v>2.4</v>
      </c>
      <c r="S80">
        <f t="shared" si="2"/>
        <v>1998</v>
      </c>
    </row>
    <row r="81" spans="1:22" hidden="1" x14ac:dyDescent="0.25">
      <c r="A81" s="13">
        <v>36341</v>
      </c>
      <c r="B81" s="12">
        <v>2.19</v>
      </c>
      <c r="C81" s="12">
        <v>2.2400000000000002</v>
      </c>
      <c r="D81" s="12">
        <v>2.23</v>
      </c>
      <c r="E81" s="12">
        <v>2.4700000000000002</v>
      </c>
      <c r="F81" s="25">
        <v>2.61</v>
      </c>
      <c r="G81" s="25">
        <v>2.2999999999999998</v>
      </c>
      <c r="H81" s="25">
        <v>3.1</v>
      </c>
      <c r="I81" s="12">
        <v>1.88</v>
      </c>
      <c r="J81" s="12">
        <v>3.1</v>
      </c>
      <c r="K81" s="12">
        <v>6.69</v>
      </c>
      <c r="L81" s="12">
        <v>95.2</v>
      </c>
      <c r="M81" s="12">
        <v>5.33</v>
      </c>
      <c r="N81" s="12">
        <v>66.099999999999994</v>
      </c>
      <c r="O81" s="12">
        <v>3.12</v>
      </c>
      <c r="P81" s="12">
        <v>18.8</v>
      </c>
      <c r="Q81" s="12">
        <v>4.34</v>
      </c>
      <c r="R81" s="12">
        <v>2.62</v>
      </c>
      <c r="S81">
        <f t="shared" si="2"/>
        <v>1999</v>
      </c>
    </row>
    <row r="82" spans="1:22" hidden="1" x14ac:dyDescent="0.25">
      <c r="A82" s="13">
        <v>36707</v>
      </c>
      <c r="B82" s="12">
        <v>3.68</v>
      </c>
      <c r="C82" s="12">
        <v>3.95</v>
      </c>
      <c r="D82" s="12">
        <v>3.98</v>
      </c>
      <c r="E82" s="12">
        <v>3.5</v>
      </c>
      <c r="F82" s="25">
        <v>4.0999999999999996</v>
      </c>
      <c r="G82" s="25">
        <v>4.0199999999999996</v>
      </c>
      <c r="H82" s="25">
        <v>4.32</v>
      </c>
      <c r="I82" s="12">
        <v>2.97</v>
      </c>
      <c r="J82" s="12">
        <v>4.62</v>
      </c>
      <c r="K82" s="12">
        <v>7.76</v>
      </c>
      <c r="L82" s="12">
        <v>92.6</v>
      </c>
      <c r="M82" s="12">
        <v>6.59</v>
      </c>
      <c r="N82" s="12">
        <v>63.9</v>
      </c>
      <c r="O82" s="12">
        <v>4.45</v>
      </c>
      <c r="P82" s="12">
        <v>19.8</v>
      </c>
      <c r="Q82" s="12">
        <v>5.54</v>
      </c>
      <c r="R82" s="12">
        <v>4.38</v>
      </c>
      <c r="S82">
        <f t="shared" si="2"/>
        <v>2000</v>
      </c>
    </row>
    <row r="83" spans="1:22" x14ac:dyDescent="0.25">
      <c r="A83" s="13">
        <v>37072</v>
      </c>
      <c r="B83" s="12">
        <v>4</v>
      </c>
      <c r="C83" s="12">
        <v>4.43</v>
      </c>
      <c r="D83" s="12">
        <v>4.4400000000000004</v>
      </c>
      <c r="E83" s="12">
        <v>4.3499999999999996</v>
      </c>
      <c r="F83" s="25">
        <v>4.1900000000000004</v>
      </c>
      <c r="G83" s="25">
        <v>4.1399999999999997</v>
      </c>
      <c r="H83" s="25">
        <v>4.4000000000000004</v>
      </c>
      <c r="I83" s="12">
        <v>3.55</v>
      </c>
      <c r="J83" s="12">
        <v>5.72</v>
      </c>
      <c r="K83" s="12">
        <v>9.6300000000000008</v>
      </c>
      <c r="L83" s="12">
        <v>92.4</v>
      </c>
      <c r="M83" s="12">
        <v>8.43</v>
      </c>
      <c r="N83" s="12">
        <v>66</v>
      </c>
      <c r="O83" s="12">
        <v>5.24</v>
      </c>
      <c r="P83" s="12">
        <v>20.8</v>
      </c>
      <c r="Q83" s="12">
        <v>6.6</v>
      </c>
      <c r="R83" s="12">
        <v>4.6100000000000003</v>
      </c>
      <c r="S83">
        <f t="shared" si="2"/>
        <v>2001</v>
      </c>
      <c r="U83">
        <f>G83*About!$B$27</f>
        <v>4.2931799999999996</v>
      </c>
      <c r="V83">
        <f>H83*About!$B$27</f>
        <v>4.5628000000000002</v>
      </c>
    </row>
    <row r="84" spans="1:22" x14ac:dyDescent="0.25">
      <c r="A84" s="13">
        <v>37437</v>
      </c>
      <c r="B84" s="12">
        <v>2.95</v>
      </c>
      <c r="C84" s="12">
        <v>3.15</v>
      </c>
      <c r="D84" s="12">
        <v>3.13</v>
      </c>
      <c r="E84" s="12">
        <v>3.41</v>
      </c>
      <c r="F84" s="25">
        <v>3.41</v>
      </c>
      <c r="G84" s="25">
        <v>3.32</v>
      </c>
      <c r="H84" s="25">
        <v>4.08</v>
      </c>
      <c r="I84" s="12"/>
      <c r="J84" s="12">
        <v>4.12</v>
      </c>
      <c r="K84" s="12">
        <v>7.89</v>
      </c>
      <c r="L84" s="12">
        <v>97.9</v>
      </c>
      <c r="M84" s="12">
        <v>6.63</v>
      </c>
      <c r="N84" s="12">
        <v>77.400000000000006</v>
      </c>
      <c r="O84" s="12">
        <v>4.0199999999999996</v>
      </c>
      <c r="P84" s="12">
        <v>22.7</v>
      </c>
      <c r="Q84" s="12">
        <v>5.0999999999999996</v>
      </c>
      <c r="R84" s="12">
        <v>3.68</v>
      </c>
      <c r="S84">
        <f t="shared" si="2"/>
        <v>2002</v>
      </c>
      <c r="U84">
        <f>G84*About!$B$27</f>
        <v>3.4428399999999995</v>
      </c>
      <c r="V84">
        <f>H84*About!$B$27</f>
        <v>4.2309599999999996</v>
      </c>
    </row>
    <row r="85" spans="1:22" x14ac:dyDescent="0.25">
      <c r="A85" s="13">
        <v>37802</v>
      </c>
      <c r="B85" s="12">
        <v>4.88</v>
      </c>
      <c r="C85" s="12">
        <v>5.17</v>
      </c>
      <c r="D85" s="12">
        <v>5.23</v>
      </c>
      <c r="E85" s="12">
        <v>4.79</v>
      </c>
      <c r="F85" s="25">
        <v>5.54</v>
      </c>
      <c r="G85" s="25">
        <v>5.66</v>
      </c>
      <c r="H85" s="25">
        <v>4.47</v>
      </c>
      <c r="I85" s="12"/>
      <c r="J85" s="12">
        <v>5.85</v>
      </c>
      <c r="K85" s="12">
        <v>9.6300000000000008</v>
      </c>
      <c r="L85" s="12">
        <v>97.5</v>
      </c>
      <c r="M85" s="12">
        <v>8.4</v>
      </c>
      <c r="N85" s="12">
        <v>78.2</v>
      </c>
      <c r="O85" s="12">
        <v>5.89</v>
      </c>
      <c r="P85" s="12">
        <v>22.1</v>
      </c>
      <c r="Q85" s="12">
        <v>6.19</v>
      </c>
      <c r="R85" s="12">
        <v>5.57</v>
      </c>
      <c r="S85">
        <f t="shared" si="2"/>
        <v>2003</v>
      </c>
      <c r="U85">
        <f>G85*About!$B$27</f>
        <v>5.8694199999999999</v>
      </c>
      <c r="V85">
        <f>H85*About!$B$27</f>
        <v>4.6353899999999992</v>
      </c>
    </row>
    <row r="86" spans="1:22" x14ac:dyDescent="0.25">
      <c r="A86" s="13">
        <v>38168</v>
      </c>
      <c r="B86" s="12">
        <v>5.46</v>
      </c>
      <c r="C86" s="12">
        <v>5.81</v>
      </c>
      <c r="D86" s="12">
        <v>5.8</v>
      </c>
      <c r="E86" s="12">
        <v>5.82</v>
      </c>
      <c r="F86" s="25">
        <v>6.09</v>
      </c>
      <c r="G86" s="25">
        <v>6.18</v>
      </c>
      <c r="H86" s="25">
        <v>4.96</v>
      </c>
      <c r="I86" s="12"/>
      <c r="J86" s="12">
        <v>6.65</v>
      </c>
      <c r="K86" s="12">
        <v>10.75</v>
      </c>
      <c r="L86" s="12">
        <v>97.7</v>
      </c>
      <c r="M86" s="12">
        <v>9.43</v>
      </c>
      <c r="N86" s="12">
        <v>78</v>
      </c>
      <c r="O86" s="12">
        <v>6.53</v>
      </c>
      <c r="P86" s="12">
        <v>23.6</v>
      </c>
      <c r="Q86" s="12">
        <v>7.16</v>
      </c>
      <c r="R86" s="12">
        <v>6.11</v>
      </c>
      <c r="S86">
        <f t="shared" si="2"/>
        <v>2004</v>
      </c>
      <c r="U86">
        <f>G86*About!$B$27</f>
        <v>6.4086599999999994</v>
      </c>
      <c r="V86">
        <f>H86*About!$B$27</f>
        <v>5.1435199999999996</v>
      </c>
    </row>
    <row r="87" spans="1:22" x14ac:dyDescent="0.25">
      <c r="A87" s="13">
        <v>38533</v>
      </c>
      <c r="B87" s="12">
        <v>7.33</v>
      </c>
      <c r="C87" s="12">
        <v>8.1199999999999992</v>
      </c>
      <c r="D87" s="12">
        <v>8.09</v>
      </c>
      <c r="E87" s="12">
        <v>8.26</v>
      </c>
      <c r="F87" s="25">
        <v>7.59</v>
      </c>
      <c r="G87" s="25">
        <v>7.77</v>
      </c>
      <c r="H87" s="25">
        <v>5.79</v>
      </c>
      <c r="I87" s="12"/>
      <c r="J87" s="12">
        <v>8.67</v>
      </c>
      <c r="K87" s="12">
        <v>12.7</v>
      </c>
      <c r="L87" s="12">
        <v>98.1</v>
      </c>
      <c r="M87" s="12">
        <v>11.34</v>
      </c>
      <c r="N87" s="12">
        <v>82.1</v>
      </c>
      <c r="O87" s="12">
        <v>8.56</v>
      </c>
      <c r="P87" s="12">
        <v>24</v>
      </c>
      <c r="Q87" s="12">
        <v>9.14</v>
      </c>
      <c r="R87" s="12">
        <v>8.4700000000000006</v>
      </c>
      <c r="S87">
        <f t="shared" si="2"/>
        <v>2005</v>
      </c>
      <c r="U87">
        <f>G87*About!$B$27</f>
        <v>8.0574899999999996</v>
      </c>
      <c r="V87">
        <f>H87*About!$B$27</f>
        <v>6.0042299999999997</v>
      </c>
    </row>
    <row r="88" spans="1:22" x14ac:dyDescent="0.25">
      <c r="A88" s="13">
        <v>38898</v>
      </c>
      <c r="B88" s="12">
        <v>6.39</v>
      </c>
      <c r="C88" s="12">
        <v>6.88</v>
      </c>
      <c r="D88" s="12">
        <v>6.83</v>
      </c>
      <c r="E88" s="12">
        <v>7.19</v>
      </c>
      <c r="F88" s="25">
        <v>6.83</v>
      </c>
      <c r="G88" s="25">
        <v>6.9</v>
      </c>
      <c r="H88" s="25">
        <v>6.02</v>
      </c>
      <c r="I88" s="12"/>
      <c r="J88" s="12">
        <v>8.61</v>
      </c>
      <c r="K88" s="12">
        <v>13.73</v>
      </c>
      <c r="L88" s="12">
        <v>98.1</v>
      </c>
      <c r="M88" s="12">
        <v>12</v>
      </c>
      <c r="N88" s="12">
        <v>80.8</v>
      </c>
      <c r="O88" s="12">
        <v>7.87</v>
      </c>
      <c r="P88" s="12">
        <v>23.4</v>
      </c>
      <c r="Q88" s="12">
        <v>8.7200000000000006</v>
      </c>
      <c r="R88" s="12">
        <v>7.11</v>
      </c>
      <c r="S88">
        <f t="shared" si="2"/>
        <v>2006</v>
      </c>
      <c r="U88">
        <f>G88*About!$B$27</f>
        <v>7.1552999999999995</v>
      </c>
      <c r="V88">
        <f>H88*About!$B$27</f>
        <v>6.2427399999999995</v>
      </c>
    </row>
    <row r="89" spans="1:22" x14ac:dyDescent="0.25">
      <c r="A89" s="13">
        <v>39263</v>
      </c>
      <c r="B89" s="12">
        <v>6.25</v>
      </c>
      <c r="C89" s="12">
        <v>6.87</v>
      </c>
      <c r="D89" s="12">
        <v>6.83</v>
      </c>
      <c r="E89" s="12">
        <v>7.07</v>
      </c>
      <c r="F89" s="25">
        <v>6.92</v>
      </c>
      <c r="G89" s="25">
        <v>6.96</v>
      </c>
      <c r="H89" s="25">
        <v>6.23</v>
      </c>
      <c r="I89" s="12"/>
      <c r="J89" s="12">
        <v>8.16</v>
      </c>
      <c r="K89" s="12">
        <v>13.08</v>
      </c>
      <c r="L89" s="12">
        <v>98</v>
      </c>
      <c r="M89" s="12">
        <v>11.34</v>
      </c>
      <c r="N89" s="12">
        <v>80.400000000000006</v>
      </c>
      <c r="O89" s="12">
        <v>7.68</v>
      </c>
      <c r="P89" s="12">
        <v>22.2</v>
      </c>
      <c r="Q89" s="12">
        <v>8.5</v>
      </c>
      <c r="R89" s="12">
        <v>7.31</v>
      </c>
      <c r="S89">
        <f t="shared" si="2"/>
        <v>2007</v>
      </c>
      <c r="U89">
        <f>G89*About!$B$27</f>
        <v>7.2175199999999995</v>
      </c>
      <c r="V89">
        <f>H89*About!$B$27</f>
        <v>6.4605100000000002</v>
      </c>
    </row>
    <row r="90" spans="1:22" x14ac:dyDescent="0.25">
      <c r="A90" s="13">
        <v>39629</v>
      </c>
      <c r="B90" s="12">
        <v>7.97</v>
      </c>
      <c r="C90" s="12">
        <v>8.6999999999999993</v>
      </c>
      <c r="D90" s="12">
        <v>8.57</v>
      </c>
      <c r="E90" s="12">
        <v>10.029999999999999</v>
      </c>
      <c r="F90" s="25">
        <v>8.58</v>
      </c>
      <c r="G90" s="25">
        <v>8.6199999999999992</v>
      </c>
      <c r="H90" s="25">
        <v>7.69</v>
      </c>
      <c r="I90" s="12"/>
      <c r="J90" s="12">
        <v>9.18</v>
      </c>
      <c r="K90" s="12">
        <v>13.89</v>
      </c>
      <c r="L90" s="12">
        <v>97.5</v>
      </c>
      <c r="M90" s="12">
        <v>12.23</v>
      </c>
      <c r="N90" s="12">
        <v>79.7</v>
      </c>
      <c r="O90" s="12">
        <v>9.65</v>
      </c>
      <c r="P90" s="12">
        <v>20.399999999999999</v>
      </c>
      <c r="Q90" s="12">
        <v>11.75</v>
      </c>
      <c r="R90" s="12">
        <v>9.26</v>
      </c>
      <c r="S90">
        <f t="shared" si="2"/>
        <v>2008</v>
      </c>
      <c r="U90">
        <f>G90*About!$B$27</f>
        <v>8.9389399999999988</v>
      </c>
      <c r="V90">
        <f>H90*About!$B$27</f>
        <v>7.9745299999999997</v>
      </c>
    </row>
    <row r="91" spans="1:22" x14ac:dyDescent="0.25">
      <c r="A91" s="13">
        <v>39994</v>
      </c>
      <c r="B91" s="12">
        <v>3.67</v>
      </c>
      <c r="C91" s="12">
        <v>4.1900000000000004</v>
      </c>
      <c r="D91" s="12">
        <v>4.13</v>
      </c>
      <c r="E91" s="12">
        <v>4.59</v>
      </c>
      <c r="F91" s="25">
        <v>4.47</v>
      </c>
      <c r="G91" s="25">
        <v>4.34</v>
      </c>
      <c r="H91" s="25">
        <v>8.4</v>
      </c>
      <c r="I91" s="12"/>
      <c r="J91" s="12">
        <v>6.48</v>
      </c>
      <c r="K91" s="12">
        <v>12.14</v>
      </c>
      <c r="L91" s="12">
        <v>97.4</v>
      </c>
      <c r="M91" s="12">
        <v>10.06</v>
      </c>
      <c r="N91" s="12">
        <v>77.8</v>
      </c>
      <c r="O91" s="12">
        <v>5.33</v>
      </c>
      <c r="P91" s="12">
        <v>18.8</v>
      </c>
      <c r="Q91" s="12">
        <v>8.1300000000000008</v>
      </c>
      <c r="R91" s="12">
        <v>4.93</v>
      </c>
      <c r="S91">
        <f t="shared" si="2"/>
        <v>2009</v>
      </c>
      <c r="U91">
        <f>G91*About!$B$27</f>
        <v>4.5005799999999994</v>
      </c>
      <c r="V91">
        <f>H91*About!$B$27</f>
        <v>8.710799999999999</v>
      </c>
    </row>
    <row r="92" spans="1:22" x14ac:dyDescent="0.25">
      <c r="A92" s="13">
        <v>40359</v>
      </c>
      <c r="B92" s="12">
        <v>4.4800000000000004</v>
      </c>
      <c r="C92" s="12">
        <v>4.5199999999999996</v>
      </c>
      <c r="D92" s="12">
        <v>4.46</v>
      </c>
      <c r="E92" s="12">
        <v>4.9400000000000004</v>
      </c>
      <c r="F92" s="25">
        <v>5.0199999999999996</v>
      </c>
      <c r="G92" s="25">
        <v>4.75</v>
      </c>
      <c r="H92" s="25">
        <v>9.5299999999999994</v>
      </c>
      <c r="I92" s="12"/>
      <c r="J92" s="12">
        <v>6.18</v>
      </c>
      <c r="K92" s="12">
        <v>11.39</v>
      </c>
      <c r="L92" s="12">
        <v>97.4</v>
      </c>
      <c r="M92" s="12">
        <v>9.4700000000000006</v>
      </c>
      <c r="N92" s="12">
        <v>77.5</v>
      </c>
      <c r="O92" s="12">
        <v>5.49</v>
      </c>
      <c r="P92" s="12">
        <v>18</v>
      </c>
      <c r="Q92" s="12">
        <v>6.25</v>
      </c>
      <c r="R92" s="12">
        <v>5.27</v>
      </c>
      <c r="S92">
        <f t="shared" si="2"/>
        <v>2010</v>
      </c>
      <c r="U92">
        <f>G92*About!$B$27</f>
        <v>4.9257499999999999</v>
      </c>
      <c r="V92">
        <f>H92*About!$B$27</f>
        <v>9.8826099999999979</v>
      </c>
    </row>
    <row r="93" spans="1:22" x14ac:dyDescent="0.25">
      <c r="A93" s="13">
        <v>40724</v>
      </c>
      <c r="B93" s="12">
        <v>3.95</v>
      </c>
      <c r="C93" s="12">
        <v>4.24</v>
      </c>
      <c r="D93" s="12">
        <v>4.09</v>
      </c>
      <c r="E93" s="12">
        <v>5.63</v>
      </c>
      <c r="F93" s="25">
        <v>4.6399999999999997</v>
      </c>
      <c r="G93" s="25">
        <v>4.3499999999999996</v>
      </c>
      <c r="H93" s="25">
        <v>10.54</v>
      </c>
      <c r="I93" s="12"/>
      <c r="J93" s="12">
        <v>5.63</v>
      </c>
      <c r="K93" s="12">
        <v>11.03</v>
      </c>
      <c r="L93" s="12">
        <v>96.3</v>
      </c>
      <c r="M93" s="12">
        <v>8.91</v>
      </c>
      <c r="N93" s="12">
        <v>67.3</v>
      </c>
      <c r="O93" s="12">
        <v>5.13</v>
      </c>
      <c r="P93" s="12">
        <v>16.3</v>
      </c>
      <c r="Q93" s="12">
        <v>7.48</v>
      </c>
      <c r="R93" s="12">
        <v>4.8899999999999997</v>
      </c>
      <c r="S93">
        <f t="shared" si="2"/>
        <v>2011</v>
      </c>
      <c r="U93">
        <f>G93*About!$B$27</f>
        <v>4.5109499999999993</v>
      </c>
      <c r="V93">
        <f>H93*About!$B$27</f>
        <v>10.929979999999999</v>
      </c>
    </row>
    <row r="94" spans="1:22" x14ac:dyDescent="0.25">
      <c r="A94" s="13">
        <v>41090</v>
      </c>
      <c r="B94" s="12">
        <v>2.66</v>
      </c>
      <c r="C94" s="12">
        <v>2.88</v>
      </c>
      <c r="D94" s="12">
        <v>2.79</v>
      </c>
      <c r="E94" s="12">
        <v>4.2699999999999996</v>
      </c>
      <c r="F94" s="25">
        <v>3.25</v>
      </c>
      <c r="G94" s="25">
        <v>3.08</v>
      </c>
      <c r="H94" s="25">
        <v>12.82</v>
      </c>
      <c r="I94" s="12"/>
      <c r="J94" s="12">
        <v>4.7300000000000004</v>
      </c>
      <c r="K94" s="12">
        <v>10.65</v>
      </c>
      <c r="L94" s="12">
        <v>95.8</v>
      </c>
      <c r="M94" s="12">
        <v>8.1</v>
      </c>
      <c r="N94" s="12">
        <v>65.2</v>
      </c>
      <c r="O94" s="12">
        <v>3.88</v>
      </c>
      <c r="P94" s="12">
        <v>16.2</v>
      </c>
      <c r="Q94" s="12">
        <v>8.0399999999999991</v>
      </c>
      <c r="R94" s="12">
        <v>3.54</v>
      </c>
      <c r="S94">
        <f t="shared" si="2"/>
        <v>2012</v>
      </c>
      <c r="U94">
        <f>G94*About!$B$27</f>
        <v>3.1939599999999997</v>
      </c>
      <c r="V94">
        <f>H94*About!$B$27</f>
        <v>13.29434</v>
      </c>
    </row>
    <row r="95" spans="1:22" x14ac:dyDescent="0.25">
      <c r="A95" s="13">
        <v>41455</v>
      </c>
      <c r="B95" s="12"/>
      <c r="C95" s="12">
        <v>3.83</v>
      </c>
      <c r="D95" s="12">
        <v>3.73</v>
      </c>
      <c r="E95" s="12">
        <v>6.8</v>
      </c>
      <c r="F95" s="25">
        <v>4.08</v>
      </c>
      <c r="G95" s="25">
        <v>4.0599999999999996</v>
      </c>
      <c r="H95" s="25">
        <v>13.36</v>
      </c>
      <c r="I95" s="12"/>
      <c r="J95" s="12">
        <v>4.88</v>
      </c>
      <c r="K95" s="12">
        <v>10.32</v>
      </c>
      <c r="L95" s="12">
        <v>95.7</v>
      </c>
      <c r="M95" s="12">
        <v>8.08</v>
      </c>
      <c r="N95" s="12">
        <v>65.8</v>
      </c>
      <c r="O95" s="12">
        <v>4.6399999999999997</v>
      </c>
      <c r="P95" s="12">
        <v>16.600000000000001</v>
      </c>
      <c r="Q95" s="12"/>
      <c r="R95" s="12">
        <v>4.49</v>
      </c>
      <c r="S95">
        <f t="shared" si="2"/>
        <v>2013</v>
      </c>
      <c r="U95">
        <f>G95*About!$B$27</f>
        <v>4.2102199999999996</v>
      </c>
      <c r="V95">
        <f>H95*About!$B$27</f>
        <v>13.854319999999998</v>
      </c>
    </row>
    <row r="96" spans="1:22" x14ac:dyDescent="0.25">
      <c r="A96" s="13">
        <v>41820</v>
      </c>
      <c r="B96" s="12"/>
      <c r="C96" s="12">
        <v>5.3</v>
      </c>
      <c r="D96" s="12">
        <v>5.21</v>
      </c>
      <c r="E96" s="12">
        <v>8.85</v>
      </c>
      <c r="F96" s="25">
        <v>5.51</v>
      </c>
      <c r="G96" s="25">
        <v>5.4</v>
      </c>
      <c r="H96" s="25">
        <v>15.66</v>
      </c>
      <c r="I96" s="12"/>
      <c r="J96" s="12">
        <v>5.71</v>
      </c>
      <c r="K96" s="12">
        <v>10.97</v>
      </c>
      <c r="L96" s="12">
        <v>95.5</v>
      </c>
      <c r="M96" s="12">
        <v>8.9</v>
      </c>
      <c r="N96" s="12">
        <v>65.8</v>
      </c>
      <c r="O96" s="12">
        <v>5.62</v>
      </c>
      <c r="P96" s="12">
        <v>15.9</v>
      </c>
      <c r="Q96" s="12"/>
      <c r="R96" s="12">
        <v>5.19</v>
      </c>
      <c r="S96">
        <f t="shared" si="2"/>
        <v>2014</v>
      </c>
      <c r="U96">
        <f>G96*About!$B$27</f>
        <v>5.5998000000000001</v>
      </c>
      <c r="V96">
        <f>H96*About!$B$27</f>
        <v>16.239419999999999</v>
      </c>
    </row>
    <row r="97" spans="1:22" x14ac:dyDescent="0.25">
      <c r="A97" s="13">
        <v>42185</v>
      </c>
      <c r="B97" s="12"/>
      <c r="C97" s="12">
        <v>2.99</v>
      </c>
      <c r="D97" s="12">
        <v>2.84</v>
      </c>
      <c r="E97" s="12">
        <v>7.37</v>
      </c>
      <c r="F97" s="25">
        <v>3.07</v>
      </c>
      <c r="G97" s="25">
        <v>2.95</v>
      </c>
      <c r="H97" s="25">
        <v>10.92</v>
      </c>
      <c r="I97" s="12"/>
      <c r="J97" s="12">
        <v>4.26</v>
      </c>
      <c r="K97" s="12">
        <v>10.38</v>
      </c>
      <c r="L97" s="12">
        <v>95.6</v>
      </c>
      <c r="M97" s="12">
        <v>7.91</v>
      </c>
      <c r="N97" s="12">
        <v>65.7</v>
      </c>
      <c r="O97" s="12">
        <v>3.93</v>
      </c>
      <c r="P97" s="12">
        <v>14.8</v>
      </c>
      <c r="Q97" s="12"/>
      <c r="R97" s="12">
        <v>3.38</v>
      </c>
      <c r="S97">
        <f t="shared" si="2"/>
        <v>2015</v>
      </c>
      <c r="U97">
        <f>G97*About!$B$27</f>
        <v>3.0591499999999998</v>
      </c>
      <c r="V97">
        <f>H97*About!$B$27</f>
        <v>11.324039999999998</v>
      </c>
    </row>
    <row r="98" spans="1:22" x14ac:dyDescent="0.25">
      <c r="A98" s="13">
        <v>42551</v>
      </c>
      <c r="B98" s="12"/>
      <c r="C98" s="12">
        <v>2.2400000000000002</v>
      </c>
      <c r="D98" s="12">
        <v>2.1800000000000002</v>
      </c>
      <c r="E98" s="12">
        <v>4.07</v>
      </c>
      <c r="F98" s="25">
        <v>2.79</v>
      </c>
      <c r="G98" s="25">
        <v>2.63</v>
      </c>
      <c r="H98" s="25">
        <v>4.71</v>
      </c>
      <c r="I98" s="12"/>
      <c r="J98" s="12">
        <v>3.71</v>
      </c>
      <c r="K98" s="12">
        <v>10.050000000000001</v>
      </c>
      <c r="L98" s="12">
        <v>95.8</v>
      </c>
      <c r="M98" s="12">
        <v>7.28</v>
      </c>
      <c r="N98" s="12">
        <v>64.8</v>
      </c>
      <c r="O98" s="12">
        <v>3.51</v>
      </c>
      <c r="P98" s="12">
        <v>14.9</v>
      </c>
      <c r="Q98" s="12"/>
      <c r="R98" s="12">
        <v>2.99</v>
      </c>
      <c r="S98">
        <f t="shared" si="2"/>
        <v>2016</v>
      </c>
      <c r="U98">
        <f>G98*About!$B$27</f>
        <v>2.7273099999999997</v>
      </c>
      <c r="V98">
        <f>H98*About!$B$27</f>
        <v>4.8842699999999999</v>
      </c>
    </row>
    <row r="99" spans="1:22" x14ac:dyDescent="0.25">
      <c r="A99" s="13">
        <v>42916</v>
      </c>
      <c r="B99" s="12"/>
      <c r="C99" s="12">
        <v>2.6</v>
      </c>
      <c r="D99" s="12">
        <v>2.5499999999999998</v>
      </c>
      <c r="E99" s="12">
        <v>4.58</v>
      </c>
      <c r="F99" s="25">
        <v>3.54</v>
      </c>
      <c r="G99" s="25">
        <v>3.2</v>
      </c>
      <c r="H99" s="25">
        <v>4.6900000000000004</v>
      </c>
      <c r="I99" s="12"/>
      <c r="J99" s="12">
        <v>4.16</v>
      </c>
      <c r="K99" s="12">
        <v>10.91</v>
      </c>
      <c r="L99" s="12">
        <v>95.9</v>
      </c>
      <c r="M99" s="12">
        <v>7.88</v>
      </c>
      <c r="N99" s="12">
        <v>65.400000000000006</v>
      </c>
      <c r="O99" s="12">
        <v>4.08</v>
      </c>
      <c r="P99" s="12">
        <v>14.8</v>
      </c>
      <c r="Q99" s="12"/>
      <c r="R99" s="12">
        <v>3.51</v>
      </c>
      <c r="S99">
        <f t="shared" si="2"/>
        <v>2017</v>
      </c>
      <c r="U99">
        <f>G99*About!$B$27</f>
        <v>3.3184</v>
      </c>
      <c r="V99">
        <f>H99*About!$B$27</f>
        <v>4.8635299999999999</v>
      </c>
    </row>
    <row r="100" spans="1:22" x14ac:dyDescent="0.25">
      <c r="A100" s="13">
        <v>43281</v>
      </c>
      <c r="B100" s="12"/>
      <c r="C100" s="12">
        <v>2.69</v>
      </c>
      <c r="D100" s="12">
        <v>2.58</v>
      </c>
      <c r="E100" s="12">
        <v>6.56</v>
      </c>
      <c r="F100" s="25">
        <v>3.89</v>
      </c>
      <c r="G100" s="25">
        <v>3.34</v>
      </c>
      <c r="H100" s="25">
        <v>5.2</v>
      </c>
      <c r="I100" s="12"/>
      <c r="J100" s="12">
        <v>4.2300000000000004</v>
      </c>
      <c r="K100" s="12">
        <v>10.5</v>
      </c>
      <c r="L100" s="12">
        <v>96</v>
      </c>
      <c r="M100" s="12">
        <v>7.79</v>
      </c>
      <c r="N100" s="12">
        <v>65.8</v>
      </c>
      <c r="O100" s="12">
        <v>4.1900000000000004</v>
      </c>
      <c r="P100" s="12">
        <v>14.5</v>
      </c>
      <c r="Q100" s="12"/>
      <c r="R100" s="12">
        <v>3.68</v>
      </c>
      <c r="S100">
        <f t="shared" si="2"/>
        <v>2018</v>
      </c>
      <c r="U100">
        <f>G100*About!$B$27</f>
        <v>3.4635799999999994</v>
      </c>
      <c r="V100">
        <f>H100*About!$B$27</f>
        <v>5.3923999999999994</v>
      </c>
    </row>
    <row r="101" spans="1:22" x14ac:dyDescent="0.25">
      <c r="A101" s="13">
        <v>43646</v>
      </c>
      <c r="B101" s="12"/>
      <c r="C101" s="12">
        <v>2.5499999999999998</v>
      </c>
      <c r="D101" s="12">
        <v>2.46</v>
      </c>
      <c r="E101" s="12">
        <v>7.44</v>
      </c>
      <c r="F101" s="25">
        <v>3.64</v>
      </c>
      <c r="G101" s="25">
        <v>2.64</v>
      </c>
      <c r="H101" s="25">
        <v>5.21</v>
      </c>
      <c r="I101" s="12"/>
      <c r="J101" s="12">
        <v>3.81</v>
      </c>
      <c r="K101" s="12">
        <v>10.51</v>
      </c>
      <c r="L101" s="12">
        <v>96.2</v>
      </c>
      <c r="M101" s="12">
        <v>7.61</v>
      </c>
      <c r="N101" s="12">
        <v>65.5</v>
      </c>
      <c r="O101" s="12">
        <v>3.9</v>
      </c>
      <c r="P101" s="12">
        <v>13</v>
      </c>
      <c r="Q101" s="12"/>
      <c r="R101" s="12">
        <v>2.99</v>
      </c>
      <c r="S101">
        <f t="shared" si="2"/>
        <v>2019</v>
      </c>
      <c r="U101">
        <f>G101*About!$B$27</f>
        <v>2.7376800000000001</v>
      </c>
      <c r="V101">
        <f>H101*About!$B$27</f>
        <v>5.4027699999999994</v>
      </c>
    </row>
    <row r="102" spans="1:22" x14ac:dyDescent="0.25">
      <c r="A102" s="13">
        <v>44012</v>
      </c>
      <c r="B102" s="12"/>
      <c r="C102" s="12">
        <v>2.0699999999999998</v>
      </c>
      <c r="D102" s="12">
        <v>2.02</v>
      </c>
      <c r="E102" s="12">
        <v>4.5999999999999996</v>
      </c>
      <c r="F102" s="25">
        <v>3.7</v>
      </c>
      <c r="G102" s="25">
        <v>2.1</v>
      </c>
      <c r="H102" s="25">
        <v>5.64</v>
      </c>
      <c r="I102" s="12"/>
      <c r="J102" s="12">
        <v>3.43</v>
      </c>
      <c r="K102" s="12">
        <v>10.78</v>
      </c>
      <c r="L102" s="12">
        <v>96.3</v>
      </c>
      <c r="M102" s="12">
        <v>7.49</v>
      </c>
      <c r="N102" s="12">
        <v>64.599999999999994</v>
      </c>
      <c r="O102" s="12">
        <v>3.32</v>
      </c>
      <c r="P102" s="12">
        <v>13.2</v>
      </c>
      <c r="Q102" s="12"/>
      <c r="R102" s="12">
        <v>2.48</v>
      </c>
      <c r="S102">
        <f t="shared" si="2"/>
        <v>2020</v>
      </c>
      <c r="U102">
        <f>G102*About!$B$27</f>
        <v>2.1776999999999997</v>
      </c>
      <c r="V102">
        <f>H102*About!$B$27</f>
        <v>5.848679999999999</v>
      </c>
    </row>
    <row r="103" spans="1:22" x14ac:dyDescent="0.25">
      <c r="A103" s="13">
        <v>44377</v>
      </c>
      <c r="B103" s="12"/>
      <c r="C103" s="12">
        <v>3.78</v>
      </c>
      <c r="D103" s="12">
        <v>3.72</v>
      </c>
      <c r="E103" s="12">
        <v>12.21</v>
      </c>
      <c r="F103" s="25">
        <v>6.38</v>
      </c>
      <c r="G103" s="25">
        <v>4.9400000000000004</v>
      </c>
      <c r="H103" s="25">
        <v>7.62</v>
      </c>
      <c r="I103" s="12"/>
      <c r="J103" s="12">
        <v>6.11</v>
      </c>
      <c r="K103" s="12">
        <v>12.24</v>
      </c>
      <c r="L103" s="12">
        <v>96.6</v>
      </c>
      <c r="M103" s="12">
        <v>8.7799999999999994</v>
      </c>
      <c r="N103" s="12">
        <v>65.099999999999994</v>
      </c>
      <c r="O103" s="12">
        <v>5.5</v>
      </c>
      <c r="P103" s="12">
        <v>13.4</v>
      </c>
      <c r="Q103" s="12"/>
      <c r="R103" s="12">
        <v>5.16</v>
      </c>
      <c r="S103">
        <f t="shared" si="2"/>
        <v>2021</v>
      </c>
      <c r="U103">
        <f>G103*About!$B$27</f>
        <v>5.1227799999999997</v>
      </c>
      <c r="V103">
        <f>H103*About!$B$27</f>
        <v>7.9019399999999997</v>
      </c>
    </row>
  </sheetData>
  <hyperlinks>
    <hyperlink ref="A1" location="Contents!A1" display="Back to Contents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J28" sqref="J28"/>
    </sheetView>
  </sheetViews>
  <sheetFormatPr baseColWidth="10" defaultColWidth="9.140625" defaultRowHeight="15" x14ac:dyDescent="0.25"/>
  <cols>
    <col min="1" max="1" width="28.7109375" customWidth="1"/>
    <col min="2" max="2" width="29.85546875" customWidth="1"/>
  </cols>
  <sheetData>
    <row r="1" spans="1:6" x14ac:dyDescent="0.25">
      <c r="A1" t="s">
        <v>1630</v>
      </c>
    </row>
    <row r="2" spans="1:6" x14ac:dyDescent="0.25">
      <c r="A2">
        <v>1</v>
      </c>
      <c r="B2" cm="1">
        <f t="array" ref="B2">SUMPRODUCT(IF('Historical Monthly Gas Cons'!$C$4:$C$257='NG Calcs'!A2,IF('Historical Monthly Gas Cons'!$D$4:$D$257&gt;2015,'Historical Monthly Gas Cons'!$B$4:$B$257))/SUMPRODUCT(IF('Historical Monthly Gas Cons'!$D$4:$D$257&gt;2015,'Historical Monthly Gas Cons'!$B$4:$B$257)))</f>
        <v>0.1270463460485193</v>
      </c>
    </row>
    <row r="3" spans="1:6" x14ac:dyDescent="0.25">
      <c r="A3">
        <v>2</v>
      </c>
      <c r="B3" cm="1">
        <f t="array" ref="B3">SUMPRODUCT(IF('Historical Monthly Gas Cons'!$C$4:$C$257='NG Calcs'!A3,IF('Historical Monthly Gas Cons'!$D$4:$D$257&gt;2015,'Historical Monthly Gas Cons'!$B$4:$B$257))/SUMPRODUCT(IF('Historical Monthly Gas Cons'!$D$4:$D$257&gt;2015,'Historical Monthly Gas Cons'!$B$4:$B$257)))</f>
        <v>0.1095772406187249</v>
      </c>
    </row>
    <row r="4" spans="1:6" x14ac:dyDescent="0.25">
      <c r="A4">
        <v>3</v>
      </c>
      <c r="B4" cm="1">
        <f t="array" ref="B4">SUMPRODUCT(IF('Historical Monthly Gas Cons'!$C$4:$C$257='NG Calcs'!A4,IF('Historical Monthly Gas Cons'!$D$4:$D$257&gt;2015,'Historical Monthly Gas Cons'!$B$4:$B$257))/SUMPRODUCT(IF('Historical Monthly Gas Cons'!$D$4:$D$257&gt;2015,'Historical Monthly Gas Cons'!$B$4:$B$257)))</f>
        <v>8.7240360280687282E-2</v>
      </c>
    </row>
    <row r="5" spans="1:6" x14ac:dyDescent="0.25">
      <c r="A5">
        <v>4</v>
      </c>
      <c r="B5" cm="1">
        <f t="array" ref="B5">SUMPRODUCT(IF('Historical Monthly Gas Cons'!$C$4:$C$257='NG Calcs'!A5,IF('Historical Monthly Gas Cons'!$D$4:$D$257&gt;2015,'Historical Monthly Gas Cons'!$B$4:$B$257))/SUMPRODUCT(IF('Historical Monthly Gas Cons'!$D$4:$D$257&gt;2015,'Historical Monthly Gas Cons'!$B$4:$B$257)))</f>
        <v>7.0786697063152826E-2</v>
      </c>
    </row>
    <row r="6" spans="1:6" x14ac:dyDescent="0.25">
      <c r="A6">
        <v>5</v>
      </c>
      <c r="B6" cm="1">
        <f t="array" ref="B6">SUMPRODUCT(IF('Historical Monthly Gas Cons'!$C$4:$C$257='NG Calcs'!A6,IF('Historical Monthly Gas Cons'!$D$4:$D$257&gt;2015,'Historical Monthly Gas Cons'!$B$4:$B$257))/SUMPRODUCT(IF('Historical Monthly Gas Cons'!$D$4:$D$257&gt;2015,'Historical Monthly Gas Cons'!$B$4:$B$257)))</f>
        <v>6.5746454474812546E-2</v>
      </c>
    </row>
    <row r="7" spans="1:6" x14ac:dyDescent="0.25">
      <c r="A7">
        <v>6</v>
      </c>
      <c r="B7" cm="1">
        <f t="array" ref="B7">SUMPRODUCT(IF('Historical Monthly Gas Cons'!$C$4:$C$257='NG Calcs'!A7,IF('Historical Monthly Gas Cons'!$D$4:$D$257&gt;2015,'Historical Monthly Gas Cons'!$B$4:$B$257))/SUMPRODUCT(IF('Historical Monthly Gas Cons'!$D$4:$D$257&gt;2015,'Historical Monthly Gas Cons'!$B$4:$B$257)))</f>
        <v>6.7228771759466358E-2</v>
      </c>
    </row>
    <row r="8" spans="1:6" x14ac:dyDescent="0.25">
      <c r="A8">
        <v>7</v>
      </c>
      <c r="B8" cm="1">
        <f t="array" ref="B8">SUMPRODUCT(IF('Historical Monthly Gas Cons'!$C$4:$C$257='NG Calcs'!A8,IF('Historical Monthly Gas Cons'!$D$4:$D$257&gt;2015,'Historical Monthly Gas Cons'!$B$4:$B$257))/SUMPRODUCT(IF('Historical Monthly Gas Cons'!$D$4:$D$257&gt;2015,'Historical Monthly Gas Cons'!$B$4:$B$257)))</f>
        <v>7.5765383374164705E-2</v>
      </c>
    </row>
    <row r="9" spans="1:6" x14ac:dyDescent="0.25">
      <c r="A9">
        <v>8</v>
      </c>
      <c r="B9" cm="1">
        <f t="array" ref="B9">SUMPRODUCT(IF('Historical Monthly Gas Cons'!$C$4:$C$257='NG Calcs'!A9,IF('Historical Monthly Gas Cons'!$D$4:$D$257&gt;2015,'Historical Monthly Gas Cons'!$B$4:$B$257))/SUMPRODUCT(IF('Historical Monthly Gas Cons'!$D$4:$D$257&gt;2015,'Historical Monthly Gas Cons'!$B$4:$B$257)))</f>
        <v>7.5220400584460917E-2</v>
      </c>
    </row>
    <row r="10" spans="1:6" x14ac:dyDescent="0.25">
      <c r="A10">
        <v>9</v>
      </c>
      <c r="B10" cm="1">
        <f t="array" ref="B10">SUMPRODUCT(IF('Historical Monthly Gas Cons'!$C$4:$C$257='NG Calcs'!A10,IF('Historical Monthly Gas Cons'!$D$4:$D$257&gt;2015,'Historical Monthly Gas Cons'!$B$4:$B$257))/SUMPRODUCT(IF('Historical Monthly Gas Cons'!$D$4:$D$257&gt;2015,'Historical Monthly Gas Cons'!$B$4:$B$257)))</f>
        <v>6.7544194573749827E-2</v>
      </c>
    </row>
    <row r="11" spans="1:6" x14ac:dyDescent="0.25">
      <c r="A11">
        <v>10</v>
      </c>
      <c r="B11" cm="1">
        <f t="array" ref="B11">SUMPRODUCT(IF('Historical Monthly Gas Cons'!$C$4:$C$257='NG Calcs'!A11,IF('Historical Monthly Gas Cons'!$D$4:$D$257&gt;2015,'Historical Monthly Gas Cons'!$B$4:$B$257))/SUMPRODUCT(IF('Historical Monthly Gas Cons'!$D$4:$D$257&gt;2015,'Historical Monthly Gas Cons'!$B$4:$B$257)))</f>
        <v>7.0774681411857457E-2</v>
      </c>
    </row>
    <row r="12" spans="1:6" x14ac:dyDescent="0.25">
      <c r="A12">
        <v>11</v>
      </c>
      <c r="B12" cm="1">
        <f t="array" ref="B12">SUMPRODUCT(IF('Historical Monthly Gas Cons'!$C$4:$C$257='NG Calcs'!A12,IF('Historical Monthly Gas Cons'!$D$4:$D$257&gt;2015,'Historical Monthly Gas Cons'!$B$4:$B$257))/SUMPRODUCT(IF('Historical Monthly Gas Cons'!$D$4:$D$257&gt;2015,'Historical Monthly Gas Cons'!$B$4:$B$257)))</f>
        <v>8.2458274678494717E-2</v>
      </c>
    </row>
    <row r="13" spans="1:6" x14ac:dyDescent="0.25">
      <c r="A13">
        <v>12</v>
      </c>
      <c r="B13" cm="1">
        <f t="array" ref="B13">SUMPRODUCT(IF('Historical Monthly Gas Cons'!$C$4:$C$257='NG Calcs'!A13,IF('Historical Monthly Gas Cons'!$D$4:$D$257&gt;2015,'Historical Monthly Gas Cons'!$B$4:$B$257))/SUMPRODUCT(IF('Historical Monthly Gas Cons'!$D$4:$D$257&gt;2015,'Historical Monthly Gas Cons'!$B$4:$B$257)))</f>
        <v>0.10061119513190914</v>
      </c>
    </row>
    <row r="15" spans="1:6" x14ac:dyDescent="0.25">
      <c r="A15" s="7" t="s">
        <v>1639</v>
      </c>
    </row>
    <row r="16" spans="1:6" x14ac:dyDescent="0.25">
      <c r="A16" t="s">
        <v>1629</v>
      </c>
      <c r="B16">
        <v>2021</v>
      </c>
      <c r="C16">
        <v>2022</v>
      </c>
      <c r="D16">
        <v>2023</v>
      </c>
      <c r="E16">
        <v>2024</v>
      </c>
      <c r="F16">
        <v>2025</v>
      </c>
    </row>
    <row r="17" spans="1:6" x14ac:dyDescent="0.25">
      <c r="A17">
        <v>1</v>
      </c>
      <c r="B17">
        <v>2.71</v>
      </c>
      <c r="C17">
        <v>4.38</v>
      </c>
      <c r="D17">
        <v>8.9830000000000005</v>
      </c>
      <c r="E17">
        <v>5.6280000000000001</v>
      </c>
      <c r="F17">
        <v>4.9770000000000003</v>
      </c>
    </row>
    <row r="18" spans="1:6" x14ac:dyDescent="0.25">
      <c r="A18">
        <v>2</v>
      </c>
      <c r="B18">
        <v>5.35</v>
      </c>
      <c r="C18">
        <v>4.6900000000000004</v>
      </c>
      <c r="D18">
        <v>8.625</v>
      </c>
      <c r="E18">
        <v>5.4320000000000004</v>
      </c>
      <c r="F18">
        <v>4.8440000000000003</v>
      </c>
    </row>
    <row r="19" spans="1:6" x14ac:dyDescent="0.25">
      <c r="A19">
        <v>3</v>
      </c>
      <c r="B19">
        <v>2.62</v>
      </c>
      <c r="C19">
        <v>4.9000000000000004</v>
      </c>
      <c r="D19">
        <v>7.1689999999999996</v>
      </c>
      <c r="E19">
        <v>4.9960000000000004</v>
      </c>
      <c r="F19">
        <v>4.5220000000000002</v>
      </c>
    </row>
    <row r="20" spans="1:6" x14ac:dyDescent="0.25">
      <c r="A20">
        <v>4</v>
      </c>
      <c r="B20">
        <v>2.66</v>
      </c>
      <c r="C20">
        <v>6.6</v>
      </c>
      <c r="D20">
        <v>5.173</v>
      </c>
      <c r="E20">
        <v>4.1909999999999998</v>
      </c>
      <c r="F20">
        <v>3.9319999999999999</v>
      </c>
    </row>
    <row r="21" spans="1:6" x14ac:dyDescent="0.25">
      <c r="A21">
        <v>5</v>
      </c>
      <c r="B21">
        <v>2.91</v>
      </c>
      <c r="C21" s="28">
        <v>7.3649999999999993</v>
      </c>
      <c r="D21">
        <v>4.9669999999999996</v>
      </c>
      <c r="E21">
        <v>4.1139999999999999</v>
      </c>
      <c r="F21">
        <v>3.8919999999999999</v>
      </c>
    </row>
    <row r="22" spans="1:6" x14ac:dyDescent="0.25">
      <c r="A22">
        <v>6</v>
      </c>
      <c r="B22">
        <v>3.26</v>
      </c>
      <c r="C22" s="28">
        <v>8.129999999999999</v>
      </c>
      <c r="D22">
        <v>5.0209999999999999</v>
      </c>
      <c r="E22">
        <v>4.1719999999999997</v>
      </c>
      <c r="F22">
        <v>3.952</v>
      </c>
    </row>
    <row r="23" spans="1:6" x14ac:dyDescent="0.25">
      <c r="A23">
        <v>7</v>
      </c>
      <c r="B23">
        <v>3.84</v>
      </c>
      <c r="C23">
        <v>8.8949999999999996</v>
      </c>
      <c r="D23">
        <v>5.0599999999999996</v>
      </c>
      <c r="E23">
        <v>4.2290000000000001</v>
      </c>
      <c r="F23">
        <v>4.0060000000000002</v>
      </c>
    </row>
    <row r="24" spans="1:6" x14ac:dyDescent="0.25">
      <c r="A24">
        <v>8</v>
      </c>
      <c r="B24">
        <v>4.07</v>
      </c>
      <c r="C24">
        <v>8.8800000000000008</v>
      </c>
      <c r="D24">
        <v>5.0419999999999998</v>
      </c>
      <c r="E24">
        <v>4.24</v>
      </c>
      <c r="F24">
        <v>4.0309999999999997</v>
      </c>
    </row>
    <row r="25" spans="1:6" x14ac:dyDescent="0.25">
      <c r="A25">
        <v>9</v>
      </c>
      <c r="B25">
        <v>5.16</v>
      </c>
      <c r="C25">
        <v>8.8369999999999997</v>
      </c>
      <c r="D25">
        <v>5.008</v>
      </c>
      <c r="E25">
        <v>4.2220000000000004</v>
      </c>
      <c r="F25">
        <v>4.0209999999999999</v>
      </c>
    </row>
    <row r="26" spans="1:6" x14ac:dyDescent="0.25">
      <c r="A26">
        <v>10</v>
      </c>
      <c r="B26">
        <v>5.51</v>
      </c>
      <c r="C26">
        <v>8.8019999999999996</v>
      </c>
      <c r="D26">
        <v>5.069</v>
      </c>
      <c r="E26">
        <v>4.2779999999999996</v>
      </c>
      <c r="F26">
        <v>4.0880000000000001</v>
      </c>
    </row>
    <row r="27" spans="1:6" x14ac:dyDescent="0.25">
      <c r="A27">
        <v>11</v>
      </c>
      <c r="B27">
        <v>5.05</v>
      </c>
      <c r="C27">
        <v>8.8339999999999996</v>
      </c>
      <c r="D27">
        <v>5.2190000000000003</v>
      </c>
      <c r="E27">
        <v>4.4550000000000001</v>
      </c>
      <c r="F27">
        <v>4.274</v>
      </c>
    </row>
    <row r="28" spans="1:6" x14ac:dyDescent="0.25">
      <c r="A28">
        <v>12</v>
      </c>
      <c r="B28">
        <v>3.76</v>
      </c>
      <c r="C28">
        <v>8.9049999999999994</v>
      </c>
      <c r="D28">
        <v>5.492</v>
      </c>
      <c r="E28">
        <v>4.8109999999999999</v>
      </c>
      <c r="F28">
        <v>4.641</v>
      </c>
    </row>
    <row r="31" spans="1:6" x14ac:dyDescent="0.25">
      <c r="A31" t="s">
        <v>1628</v>
      </c>
      <c r="B31">
        <v>2021</v>
      </c>
      <c r="C31">
        <v>2022</v>
      </c>
      <c r="D31">
        <v>2023</v>
      </c>
      <c r="E31">
        <v>2024</v>
      </c>
      <c r="F31">
        <v>2025</v>
      </c>
    </row>
    <row r="32" spans="1:6" x14ac:dyDescent="0.25">
      <c r="B32">
        <f>SUMPRODUCT(B17:B28,$B$2:$B$13)</f>
        <v>3.8881791936204264</v>
      </c>
      <c r="C32">
        <f>SUMPRODUCT(C17:C28,$B$2:$B$13)</f>
        <v>7.1819588984960454</v>
      </c>
      <c r="D32">
        <f>SUMPRODUCT(D17:D28,$B$2:$B$13)</f>
        <v>6.1846437613646419</v>
      </c>
      <c r="E32">
        <f>SUMPRODUCT(E17:E28,$B$2:$B$13)</f>
        <v>4.672403698255903</v>
      </c>
      <c r="F32">
        <f>SUMPRODUCT(F17:F28,$B$2:$B$13)</f>
        <v>4.3445242138202138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opLeftCell="A60" workbookViewId="0">
      <selection activeCell="D60" sqref="D60"/>
    </sheetView>
  </sheetViews>
  <sheetFormatPr baseColWidth="10" defaultColWidth="9.140625" defaultRowHeight="15" x14ac:dyDescent="0.25"/>
  <cols>
    <col min="2" max="2" width="32" customWidth="1"/>
    <col min="3" max="3" width="21.5703125" customWidth="1"/>
    <col min="4" max="4" width="18.85546875" customWidth="1"/>
    <col min="5" max="5" width="17.85546875" customWidth="1"/>
    <col min="6" max="6" width="21.140625" customWidth="1"/>
    <col min="7" max="7" width="25.42578125" customWidth="1"/>
  </cols>
  <sheetData>
    <row r="1" spans="1:7" x14ac:dyDescent="0.25">
      <c r="A1" s="18" t="s">
        <v>1589</v>
      </c>
      <c r="B1" s="19"/>
      <c r="C1" s="19"/>
      <c r="D1" s="19"/>
      <c r="E1" s="19"/>
      <c r="F1" s="19"/>
      <c r="G1" s="19"/>
    </row>
    <row r="2" spans="1:7" x14ac:dyDescent="0.25">
      <c r="B2" t="s">
        <v>1580</v>
      </c>
      <c r="C2" t="s">
        <v>1561</v>
      </c>
      <c r="D2" t="s">
        <v>1581</v>
      </c>
      <c r="E2" t="s">
        <v>1596</v>
      </c>
      <c r="F2" t="s">
        <v>1587</v>
      </c>
      <c r="G2" t="s">
        <v>1588</v>
      </c>
    </row>
    <row r="3" spans="1:7" x14ac:dyDescent="0.25">
      <c r="B3">
        <v>2001</v>
      </c>
      <c r="C3">
        <f>'NG Sector Price Historicals'!U83</f>
        <v>4.2931799999999996</v>
      </c>
      <c r="D3">
        <f>'NG Sector Price Historicals'!V83</f>
        <v>4.5628000000000002</v>
      </c>
      <c r="E3">
        <f>'EIA Henry Hub Nat Gas Spot'!B8</f>
        <v>3.96</v>
      </c>
      <c r="F3">
        <f>C3/E3</f>
        <v>1.0841363636363635</v>
      </c>
      <c r="G3">
        <f>D3/E3</f>
        <v>1.1522222222222223</v>
      </c>
    </row>
    <row r="4" spans="1:7" x14ac:dyDescent="0.25">
      <c r="B4">
        <v>2002</v>
      </c>
      <c r="C4">
        <f>'NG Sector Price Historicals'!U84</f>
        <v>3.4428399999999995</v>
      </c>
      <c r="D4">
        <f>'NG Sector Price Historicals'!V84</f>
        <v>4.2309599999999996</v>
      </c>
      <c r="E4">
        <f>'EIA Henry Hub Nat Gas Spot'!B9</f>
        <v>3.38</v>
      </c>
      <c r="F4">
        <f t="shared" ref="F4:F23" si="0">C4/E4</f>
        <v>1.0185917159763311</v>
      </c>
      <c r="G4">
        <f t="shared" ref="G4:G23" si="1">D4/E4</f>
        <v>1.2517633136094675</v>
      </c>
    </row>
    <row r="5" spans="1:7" x14ac:dyDescent="0.25">
      <c r="B5">
        <v>2003</v>
      </c>
      <c r="C5">
        <f>'NG Sector Price Historicals'!U85</f>
        <v>5.8694199999999999</v>
      </c>
      <c r="D5">
        <f>'NG Sector Price Historicals'!V85</f>
        <v>4.6353899999999992</v>
      </c>
      <c r="E5">
        <f>'EIA Henry Hub Nat Gas Spot'!B10</f>
        <v>5.47</v>
      </c>
      <c r="F5">
        <f t="shared" si="0"/>
        <v>1.073020109689214</v>
      </c>
      <c r="G5">
        <f t="shared" si="1"/>
        <v>0.84742047531992681</v>
      </c>
    </row>
    <row r="6" spans="1:7" x14ac:dyDescent="0.25">
      <c r="B6">
        <v>2004</v>
      </c>
      <c r="C6">
        <f>'NG Sector Price Historicals'!U86</f>
        <v>6.4086599999999994</v>
      </c>
      <c r="D6">
        <f>'NG Sector Price Historicals'!V86</f>
        <v>5.1435199999999996</v>
      </c>
      <c r="E6">
        <f>'EIA Henry Hub Nat Gas Spot'!B11</f>
        <v>5.89</v>
      </c>
      <c r="F6">
        <f t="shared" si="0"/>
        <v>1.0880577249575552</v>
      </c>
      <c r="G6">
        <f t="shared" si="1"/>
        <v>0.87326315789473685</v>
      </c>
    </row>
    <row r="7" spans="1:7" x14ac:dyDescent="0.25">
      <c r="B7">
        <v>2005</v>
      </c>
      <c r="C7">
        <f>'NG Sector Price Historicals'!U87</f>
        <v>8.0574899999999996</v>
      </c>
      <c r="D7">
        <f>'NG Sector Price Historicals'!V87</f>
        <v>6.0042299999999997</v>
      </c>
      <c r="E7">
        <f>'EIA Henry Hub Nat Gas Spot'!B12</f>
        <v>8.69</v>
      </c>
      <c r="F7">
        <f t="shared" si="0"/>
        <v>0.92721403912543154</v>
      </c>
      <c r="G7">
        <f t="shared" si="1"/>
        <v>0.6909355581127733</v>
      </c>
    </row>
    <row r="8" spans="1:7" x14ac:dyDescent="0.25">
      <c r="B8">
        <v>2006</v>
      </c>
      <c r="C8">
        <f>'NG Sector Price Historicals'!U88</f>
        <v>7.1552999999999995</v>
      </c>
      <c r="D8">
        <f>'NG Sector Price Historicals'!V88</f>
        <v>6.2427399999999995</v>
      </c>
      <c r="E8">
        <f>'EIA Henry Hub Nat Gas Spot'!B13</f>
        <v>6.73</v>
      </c>
      <c r="F8">
        <f t="shared" si="0"/>
        <v>1.0631946508172361</v>
      </c>
      <c r="G8">
        <f t="shared" si="1"/>
        <v>0.92759881129271904</v>
      </c>
    </row>
    <row r="9" spans="1:7" x14ac:dyDescent="0.25">
      <c r="B9">
        <v>2007</v>
      </c>
      <c r="C9">
        <f>'NG Sector Price Historicals'!U89</f>
        <v>7.2175199999999995</v>
      </c>
      <c r="D9">
        <f>'NG Sector Price Historicals'!V89</f>
        <v>6.4605100000000002</v>
      </c>
      <c r="E9">
        <f>'EIA Henry Hub Nat Gas Spot'!B14</f>
        <v>6.97</v>
      </c>
      <c r="F9">
        <f t="shared" si="0"/>
        <v>1.0355121951219513</v>
      </c>
      <c r="G9">
        <f t="shared" si="1"/>
        <v>0.92690243902439029</v>
      </c>
    </row>
    <row r="10" spans="1:7" x14ac:dyDescent="0.25">
      <c r="B10">
        <v>2008</v>
      </c>
      <c r="C10">
        <f>'NG Sector Price Historicals'!U90</f>
        <v>8.9389399999999988</v>
      </c>
      <c r="D10">
        <f>'NG Sector Price Historicals'!V90</f>
        <v>7.9745299999999997</v>
      </c>
      <c r="E10">
        <f>'EIA Henry Hub Nat Gas Spot'!B15</f>
        <v>8.86</v>
      </c>
      <c r="F10">
        <f t="shared" si="0"/>
        <v>1.0089097065462753</v>
      </c>
      <c r="G10">
        <f t="shared" si="1"/>
        <v>0.90005981941309254</v>
      </c>
    </row>
    <row r="11" spans="1:7" x14ac:dyDescent="0.25">
      <c r="B11">
        <v>2009</v>
      </c>
      <c r="C11">
        <f>'NG Sector Price Historicals'!U91</f>
        <v>4.5005799999999994</v>
      </c>
      <c r="D11">
        <f>'NG Sector Price Historicals'!V91</f>
        <v>8.710799999999999</v>
      </c>
      <c r="E11">
        <f>'EIA Henry Hub Nat Gas Spot'!B16</f>
        <v>3.94</v>
      </c>
      <c r="F11">
        <f t="shared" si="0"/>
        <v>1.1422791878172587</v>
      </c>
      <c r="G11">
        <f t="shared" si="1"/>
        <v>2.2108629441624363</v>
      </c>
    </row>
    <row r="12" spans="1:7" x14ac:dyDescent="0.25">
      <c r="B12">
        <v>2010</v>
      </c>
      <c r="C12">
        <f>'NG Sector Price Historicals'!U92</f>
        <v>4.9257499999999999</v>
      </c>
      <c r="D12">
        <f>'NG Sector Price Historicals'!V92</f>
        <v>9.8826099999999979</v>
      </c>
      <c r="E12">
        <f>'EIA Henry Hub Nat Gas Spot'!B17</f>
        <v>4.37</v>
      </c>
      <c r="F12">
        <f t="shared" si="0"/>
        <v>1.1271739130434781</v>
      </c>
      <c r="G12">
        <f t="shared" si="1"/>
        <v>2.2614668192219676</v>
      </c>
    </row>
    <row r="13" spans="1:7" x14ac:dyDescent="0.25">
      <c r="B13">
        <v>2011</v>
      </c>
      <c r="C13">
        <f>'NG Sector Price Historicals'!U93</f>
        <v>4.5109499999999993</v>
      </c>
      <c r="D13">
        <f>'NG Sector Price Historicals'!V93</f>
        <v>10.929979999999999</v>
      </c>
      <c r="E13">
        <f>'EIA Henry Hub Nat Gas Spot'!B18</f>
        <v>4</v>
      </c>
      <c r="F13">
        <f t="shared" si="0"/>
        <v>1.1277374999999998</v>
      </c>
      <c r="G13">
        <f t="shared" si="1"/>
        <v>2.7324949999999997</v>
      </c>
    </row>
    <row r="14" spans="1:7" x14ac:dyDescent="0.25">
      <c r="B14">
        <v>2012</v>
      </c>
      <c r="C14">
        <f>'NG Sector Price Historicals'!U94</f>
        <v>3.1939599999999997</v>
      </c>
      <c r="D14">
        <f>'NG Sector Price Historicals'!V94</f>
        <v>13.29434</v>
      </c>
      <c r="E14">
        <f>'EIA Henry Hub Nat Gas Spot'!B19</f>
        <v>2.75</v>
      </c>
      <c r="F14">
        <f t="shared" si="0"/>
        <v>1.1614399999999998</v>
      </c>
      <c r="G14">
        <f t="shared" si="1"/>
        <v>4.8343054545454542</v>
      </c>
    </row>
    <row r="15" spans="1:7" x14ac:dyDescent="0.25">
      <c r="B15">
        <v>2013</v>
      </c>
      <c r="C15">
        <f>'NG Sector Price Historicals'!U95</f>
        <v>4.2102199999999996</v>
      </c>
      <c r="D15">
        <f>'NG Sector Price Historicals'!V95</f>
        <v>13.854319999999998</v>
      </c>
      <c r="E15">
        <f>'EIA Henry Hub Nat Gas Spot'!B20</f>
        <v>3.73</v>
      </c>
      <c r="F15">
        <f t="shared" si="0"/>
        <v>1.128745308310992</v>
      </c>
      <c r="G15">
        <f t="shared" si="1"/>
        <v>3.7142949061662192</v>
      </c>
    </row>
    <row r="16" spans="1:7" x14ac:dyDescent="0.25">
      <c r="B16">
        <v>2014</v>
      </c>
      <c r="C16">
        <f>'NG Sector Price Historicals'!U96</f>
        <v>5.5998000000000001</v>
      </c>
      <c r="D16">
        <f>'NG Sector Price Historicals'!V96</f>
        <v>16.239419999999999</v>
      </c>
      <c r="E16">
        <f>'EIA Henry Hub Nat Gas Spot'!B21</f>
        <v>4.37</v>
      </c>
      <c r="F16">
        <f t="shared" si="0"/>
        <v>1.2814187643020596</v>
      </c>
      <c r="G16">
        <f t="shared" si="1"/>
        <v>3.7161144164759721</v>
      </c>
    </row>
    <row r="17" spans="1:7" x14ac:dyDescent="0.25">
      <c r="B17">
        <v>2015</v>
      </c>
      <c r="C17">
        <f>'NG Sector Price Historicals'!U97</f>
        <v>3.0591499999999998</v>
      </c>
      <c r="D17">
        <f>'NG Sector Price Historicals'!V97</f>
        <v>11.324039999999998</v>
      </c>
      <c r="E17">
        <f>'EIA Henry Hub Nat Gas Spot'!B22</f>
        <v>2.62</v>
      </c>
      <c r="F17">
        <f t="shared" si="0"/>
        <v>1.1676145038167938</v>
      </c>
      <c r="G17">
        <f t="shared" si="1"/>
        <v>4.3221526717557248</v>
      </c>
    </row>
    <row r="18" spans="1:7" x14ac:dyDescent="0.25">
      <c r="B18">
        <v>2016</v>
      </c>
      <c r="C18">
        <f>'NG Sector Price Historicals'!U98</f>
        <v>2.7273099999999997</v>
      </c>
      <c r="D18">
        <f>'NG Sector Price Historicals'!V98</f>
        <v>4.8842699999999999</v>
      </c>
      <c r="E18">
        <f>'EIA Henry Hub Nat Gas Spot'!B23</f>
        <v>2.52</v>
      </c>
      <c r="F18">
        <f t="shared" si="0"/>
        <v>1.082265873015873</v>
      </c>
      <c r="G18">
        <f t="shared" si="1"/>
        <v>1.938202380952381</v>
      </c>
    </row>
    <row r="19" spans="1:7" x14ac:dyDescent="0.25">
      <c r="B19">
        <v>2017</v>
      </c>
      <c r="C19">
        <f>'NG Sector Price Historicals'!U99</f>
        <v>3.3184</v>
      </c>
      <c r="D19">
        <f>'NG Sector Price Historicals'!V99</f>
        <v>4.8635299999999999</v>
      </c>
      <c r="E19">
        <f>'EIA Henry Hub Nat Gas Spot'!B24</f>
        <v>2.99</v>
      </c>
      <c r="F19">
        <f t="shared" si="0"/>
        <v>1.1098327759197324</v>
      </c>
      <c r="G19">
        <f t="shared" si="1"/>
        <v>1.6265986622073576</v>
      </c>
    </row>
    <row r="20" spans="1:7" x14ac:dyDescent="0.25">
      <c r="B20">
        <v>2018</v>
      </c>
      <c r="C20">
        <f>'NG Sector Price Historicals'!U100</f>
        <v>3.4635799999999994</v>
      </c>
      <c r="D20">
        <f>'NG Sector Price Historicals'!V100</f>
        <v>5.3923999999999994</v>
      </c>
      <c r="E20">
        <f>'EIA Henry Hub Nat Gas Spot'!B25</f>
        <v>3.15</v>
      </c>
      <c r="F20">
        <f t="shared" si="0"/>
        <v>1.0995492063492063</v>
      </c>
      <c r="G20">
        <f t="shared" si="1"/>
        <v>1.7118730158730158</v>
      </c>
    </row>
    <row r="21" spans="1:7" x14ac:dyDescent="0.25">
      <c r="B21">
        <v>2019</v>
      </c>
      <c r="C21">
        <f>'NG Sector Price Historicals'!U101</f>
        <v>2.7376800000000001</v>
      </c>
      <c r="D21">
        <f>'NG Sector Price Historicals'!V101</f>
        <v>5.4027699999999994</v>
      </c>
      <c r="E21">
        <f>'EIA Henry Hub Nat Gas Spot'!B26</f>
        <v>2.56</v>
      </c>
      <c r="F21">
        <f t="shared" si="0"/>
        <v>1.0694062500000001</v>
      </c>
      <c r="G21">
        <f t="shared" si="1"/>
        <v>2.1104570312499997</v>
      </c>
    </row>
    <row r="22" spans="1:7" x14ac:dyDescent="0.25">
      <c r="B22">
        <v>2020</v>
      </c>
      <c r="C22">
        <f>'NG Sector Price Historicals'!U102</f>
        <v>2.1776999999999997</v>
      </c>
      <c r="D22">
        <f>'NG Sector Price Historicals'!V102</f>
        <v>5.848679999999999</v>
      </c>
      <c r="E22">
        <f>'EIA Henry Hub Nat Gas Spot'!B27</f>
        <v>2.0299999999999998</v>
      </c>
      <c r="F22">
        <f t="shared" si="0"/>
        <v>1.0727586206896551</v>
      </c>
      <c r="G22">
        <f t="shared" si="1"/>
        <v>2.8811231527093595</v>
      </c>
    </row>
    <row r="23" spans="1:7" x14ac:dyDescent="0.25">
      <c r="B23">
        <v>2021</v>
      </c>
      <c r="C23">
        <f>'NG Sector Price Historicals'!U103</f>
        <v>5.1227799999999997</v>
      </c>
      <c r="D23">
        <f>'NG Sector Price Historicals'!V103</f>
        <v>7.9019399999999997</v>
      </c>
      <c r="E23">
        <f>'EIA Henry Hub Nat Gas Spot'!B28</f>
        <v>3.89</v>
      </c>
      <c r="F23">
        <f t="shared" si="0"/>
        <v>1.3169100257069408</v>
      </c>
      <c r="G23">
        <f t="shared" si="1"/>
        <v>2.0313470437017993</v>
      </c>
    </row>
    <row r="24" spans="1:7" x14ac:dyDescent="0.25">
      <c r="A24" s="20" t="s">
        <v>1474</v>
      </c>
      <c r="B24" s="20"/>
      <c r="C24" s="20"/>
      <c r="D24" s="20"/>
      <c r="E24" s="20">
        <f>AVERAGE(E3:E23)</f>
        <v>4.4223809523809523</v>
      </c>
      <c r="F24" s="20">
        <f>AVERAGE(F3:F23)</f>
        <v>1.104084211182969</v>
      </c>
      <c r="G24" s="20">
        <f>AVERAGE(G3:G23)</f>
        <v>2.0791171093290961</v>
      </c>
    </row>
    <row r="26" spans="1:7" x14ac:dyDescent="0.25">
      <c r="A26" s="19" t="s">
        <v>1590</v>
      </c>
      <c r="B26" s="19"/>
      <c r="C26" s="19" t="s">
        <v>1561</v>
      </c>
      <c r="D26" s="19" t="s">
        <v>1581</v>
      </c>
      <c r="E26" s="19"/>
      <c r="F26" s="19"/>
      <c r="G26" s="19"/>
    </row>
    <row r="27" spans="1:7" x14ac:dyDescent="0.25">
      <c r="B27">
        <v>2022</v>
      </c>
      <c r="C27" s="21">
        <f t="shared" ref="C27:C55" si="2">$E27*F$24</f>
        <v>7.9294874251945107</v>
      </c>
      <c r="D27" s="21">
        <f t="shared" ref="D27:D55" si="3">$E27*G$24</f>
        <v>14.932133624361477</v>
      </c>
      <c r="E27" s="38" cm="1">
        <f t="array" ref="E27:E30">TRANSPOSE('NG Calcs'!C32:F32)</f>
        <v>7.1819588984960454</v>
      </c>
      <c r="G27" s="39" t="s">
        <v>1633</v>
      </c>
    </row>
    <row r="28" spans="1:7" x14ac:dyDescent="0.25">
      <c r="B28">
        <v>2023</v>
      </c>
      <c r="C28" s="21">
        <f t="shared" si="2"/>
        <v>6.8283675287139509</v>
      </c>
      <c r="D28" s="21">
        <f t="shared" si="3"/>
        <v>12.858598659358682</v>
      </c>
      <c r="E28" s="38">
        <v>6.1846437613646419</v>
      </c>
      <c r="G28" s="29" t="s">
        <v>1634</v>
      </c>
    </row>
    <row r="29" spans="1:7" x14ac:dyDescent="0.25">
      <c r="B29">
        <v>2024</v>
      </c>
      <c r="C29" s="21">
        <f t="shared" si="2"/>
        <v>5.1587271515172555</v>
      </c>
      <c r="D29" s="21">
        <f t="shared" si="3"/>
        <v>9.7144744707363913</v>
      </c>
      <c r="E29" s="38">
        <v>4.672403698255903</v>
      </c>
      <c r="G29" s="10" t="s">
        <v>1635</v>
      </c>
    </row>
    <row r="30" spans="1:7" x14ac:dyDescent="0.25">
      <c r="B30">
        <v>2025</v>
      </c>
      <c r="C30" s="21">
        <f t="shared" si="2"/>
        <v>4.7967205895809988</v>
      </c>
      <c r="D30" s="21">
        <f t="shared" si="3"/>
        <v>9.0327746248481464</v>
      </c>
      <c r="E30" s="38">
        <v>4.3445242138202138</v>
      </c>
    </row>
    <row r="31" spans="1:7" x14ac:dyDescent="0.25">
      <c r="B31">
        <v>2026</v>
      </c>
      <c r="C31" s="21">
        <f t="shared" si="2"/>
        <v>4.5857183463161908</v>
      </c>
      <c r="D31" s="21">
        <f t="shared" si="3"/>
        <v>8.6354332177025448</v>
      </c>
      <c r="E31" s="40">
        <f>E30-(($E$30-$E$35)/5)</f>
        <v>4.1534135710561708</v>
      </c>
      <c r="F31" s="21"/>
    </row>
    <row r="32" spans="1:7" x14ac:dyDescent="0.25">
      <c r="B32">
        <v>2027</v>
      </c>
      <c r="C32" s="21">
        <f t="shared" si="2"/>
        <v>4.3747161030513828</v>
      </c>
      <c r="D32" s="21">
        <f t="shared" si="3"/>
        <v>8.2380918105569432</v>
      </c>
      <c r="E32" s="40">
        <f t="shared" ref="E32:E34" si="4">E31-(($E$30-$E$35)/5)</f>
        <v>3.9623029282921283</v>
      </c>
    </row>
    <row r="33" spans="2:6" x14ac:dyDescent="0.25">
      <c r="B33">
        <v>2028</v>
      </c>
      <c r="C33" s="21">
        <f t="shared" si="2"/>
        <v>4.1637138597865739</v>
      </c>
      <c r="D33" s="21">
        <f t="shared" si="3"/>
        <v>7.8407504034113407</v>
      </c>
      <c r="E33" s="40">
        <f t="shared" si="4"/>
        <v>3.7711922855280857</v>
      </c>
    </row>
    <row r="34" spans="2:6" x14ac:dyDescent="0.25">
      <c r="B34">
        <v>2029</v>
      </c>
      <c r="C34" s="21">
        <f t="shared" si="2"/>
        <v>3.9527116165217664</v>
      </c>
      <c r="D34" s="21">
        <f t="shared" si="3"/>
        <v>7.443408996265739</v>
      </c>
      <c r="E34" s="40">
        <f t="shared" si="4"/>
        <v>3.5800816427640432</v>
      </c>
      <c r="F34" s="21"/>
    </row>
    <row r="35" spans="2:6" x14ac:dyDescent="0.25">
      <c r="B35">
        <v>2030</v>
      </c>
      <c r="C35" s="21">
        <f t="shared" si="2"/>
        <v>3.7417093732569575</v>
      </c>
      <c r="D35" s="21">
        <f t="shared" si="3"/>
        <v>7.0460675891201365</v>
      </c>
      <c r="E35" s="22" cm="1">
        <f t="array" ref="E35:E55">TRANSPOSE('AEO22 Table13'!O29:AI29)</f>
        <v>3.3889710000000002</v>
      </c>
    </row>
    <row r="36" spans="2:6" x14ac:dyDescent="0.25">
      <c r="B36">
        <v>2031</v>
      </c>
      <c r="C36" s="21">
        <f t="shared" si="2"/>
        <v>3.8140014951525849</v>
      </c>
      <c r="D36" s="21">
        <f t="shared" si="3"/>
        <v>7.182201940087678</v>
      </c>
      <c r="E36" s="22">
        <v>3.4544480000000002</v>
      </c>
    </row>
    <row r="37" spans="2:6" x14ac:dyDescent="0.25">
      <c r="B37">
        <v>2032</v>
      </c>
      <c r="C37" s="21">
        <f t="shared" si="2"/>
        <v>3.8553052854929399</v>
      </c>
      <c r="D37" s="21">
        <f t="shared" si="3"/>
        <v>7.2599817111476792</v>
      </c>
      <c r="E37" s="22">
        <v>3.4918580000000001</v>
      </c>
    </row>
    <row r="38" spans="2:6" x14ac:dyDescent="0.25">
      <c r="B38">
        <v>2033</v>
      </c>
      <c r="C38" s="21">
        <f t="shared" si="2"/>
        <v>3.9672947552016504</v>
      </c>
      <c r="D38" s="21">
        <f t="shared" si="3"/>
        <v>7.470870717781148</v>
      </c>
      <c r="E38" s="22">
        <v>3.5932900000000001</v>
      </c>
    </row>
    <row r="39" spans="2:6" x14ac:dyDescent="0.25">
      <c r="B39">
        <v>2034</v>
      </c>
      <c r="C39" s="21">
        <f t="shared" si="2"/>
        <v>3.9682475798759014</v>
      </c>
      <c r="D39" s="21">
        <f t="shared" si="3"/>
        <v>7.4726649958464986</v>
      </c>
      <c r="E39" s="22">
        <v>3.5941529999999999</v>
      </c>
    </row>
    <row r="40" spans="2:6" x14ac:dyDescent="0.25">
      <c r="B40">
        <v>2035</v>
      </c>
      <c r="C40" s="21">
        <f t="shared" si="2"/>
        <v>3.8911946468616532</v>
      </c>
      <c r="D40" s="21">
        <f t="shared" si="3"/>
        <v>7.3275654919035302</v>
      </c>
      <c r="E40" s="22">
        <v>3.5243639999999998</v>
      </c>
    </row>
    <row r="41" spans="2:6" x14ac:dyDescent="0.25">
      <c r="B41">
        <v>2036</v>
      </c>
      <c r="C41" s="21">
        <f t="shared" si="2"/>
        <v>3.8480702216570575</v>
      </c>
      <c r="D41" s="21">
        <f t="shared" si="3"/>
        <v>7.2463572567302448</v>
      </c>
      <c r="E41" s="22">
        <v>3.4853049999999999</v>
      </c>
    </row>
    <row r="42" spans="2:6" x14ac:dyDescent="0.25">
      <c r="B42">
        <v>2037</v>
      </c>
      <c r="C42" s="21">
        <f t="shared" si="2"/>
        <v>3.8498643585002301</v>
      </c>
      <c r="D42" s="21">
        <f t="shared" si="3"/>
        <v>7.2497358220329051</v>
      </c>
      <c r="E42" s="22">
        <v>3.4869300000000001</v>
      </c>
    </row>
    <row r="43" spans="2:6" x14ac:dyDescent="0.25">
      <c r="B43">
        <v>2038</v>
      </c>
      <c r="C43" s="21">
        <f t="shared" si="2"/>
        <v>3.8844663576787037</v>
      </c>
      <c r="D43" s="21">
        <f t="shared" si="3"/>
        <v>7.3148953522392786</v>
      </c>
      <c r="E43" s="22">
        <v>3.5182699999999998</v>
      </c>
    </row>
    <row r="44" spans="2:6" x14ac:dyDescent="0.25">
      <c r="B44">
        <v>2039</v>
      </c>
      <c r="C44" s="21">
        <f t="shared" si="2"/>
        <v>3.9146553322650801</v>
      </c>
      <c r="D44" s="21">
        <f t="shared" si="3"/>
        <v>7.3717446513596645</v>
      </c>
      <c r="E44" s="22">
        <v>3.5456129999999999</v>
      </c>
    </row>
    <row r="45" spans="2:6" x14ac:dyDescent="0.25">
      <c r="B45">
        <v>2040</v>
      </c>
      <c r="C45" s="21">
        <f t="shared" si="2"/>
        <v>3.9500357108124384</v>
      </c>
      <c r="D45" s="21">
        <f t="shared" si="3"/>
        <v>7.4383699591281154</v>
      </c>
      <c r="E45" s="22">
        <v>3.577658</v>
      </c>
    </row>
    <row r="46" spans="2:6" x14ac:dyDescent="0.25">
      <c r="B46">
        <v>2041</v>
      </c>
      <c r="C46" s="21">
        <f t="shared" si="2"/>
        <v>4.0129596781761787</v>
      </c>
      <c r="D46" s="21">
        <f t="shared" si="3"/>
        <v>7.5568630014229994</v>
      </c>
      <c r="E46" s="22">
        <v>3.6346500000000002</v>
      </c>
    </row>
    <row r="47" spans="2:6" x14ac:dyDescent="0.25">
      <c r="B47">
        <v>2042</v>
      </c>
      <c r="C47" s="21">
        <f t="shared" si="2"/>
        <v>4.0321475576823271</v>
      </c>
      <c r="D47" s="21">
        <f t="shared" si="3"/>
        <v>7.5929959776660301</v>
      </c>
      <c r="E47" s="22">
        <v>3.6520290000000002</v>
      </c>
    </row>
    <row r="48" spans="2:6" x14ac:dyDescent="0.25">
      <c r="B48">
        <v>2043</v>
      </c>
      <c r="C48" s="21">
        <f t="shared" si="2"/>
        <v>3.9631787292623604</v>
      </c>
      <c r="D48" s="21">
        <f t="shared" si="3"/>
        <v>7.4631197691975686</v>
      </c>
      <c r="E48" s="22">
        <v>3.5895619999999999</v>
      </c>
    </row>
    <row r="49" spans="1:7" x14ac:dyDescent="0.25">
      <c r="B49">
        <v>2044</v>
      </c>
      <c r="C49" s="21">
        <f t="shared" si="2"/>
        <v>3.9317829906331614</v>
      </c>
      <c r="D49" s="21">
        <f t="shared" si="3"/>
        <v>7.4039979950766863</v>
      </c>
      <c r="E49" s="22">
        <v>3.5611259999999998</v>
      </c>
    </row>
    <row r="50" spans="1:7" x14ac:dyDescent="0.25">
      <c r="B50">
        <v>2045</v>
      </c>
      <c r="C50" s="21">
        <f t="shared" si="2"/>
        <v>3.8308144895204794</v>
      </c>
      <c r="D50" s="21">
        <f t="shared" si="3"/>
        <v>7.213862735428541</v>
      </c>
      <c r="E50" s="22">
        <v>3.4696760000000002</v>
      </c>
    </row>
    <row r="51" spans="1:7" x14ac:dyDescent="0.25">
      <c r="B51">
        <v>2046</v>
      </c>
      <c r="C51" s="21">
        <f t="shared" si="2"/>
        <v>3.7818925181229615</v>
      </c>
      <c r="D51" s="21">
        <f t="shared" si="3"/>
        <v>7.121737056314168</v>
      </c>
      <c r="E51" s="22">
        <v>3.4253659999999999</v>
      </c>
    </row>
    <row r="52" spans="1:7" x14ac:dyDescent="0.25">
      <c r="B52">
        <v>2047</v>
      </c>
      <c r="C52" s="21">
        <f t="shared" si="2"/>
        <v>3.7542341045486172</v>
      </c>
      <c r="D52" s="21">
        <f t="shared" si="3"/>
        <v>7.0696530936083652</v>
      </c>
      <c r="E52" s="22">
        <v>3.400315</v>
      </c>
    </row>
    <row r="53" spans="1:7" x14ac:dyDescent="0.25">
      <c r="B53">
        <v>2048</v>
      </c>
      <c r="C53" s="21">
        <f t="shared" si="2"/>
        <v>3.7455306087118618</v>
      </c>
      <c r="D53" s="21">
        <f t="shared" si="3"/>
        <v>7.0532634134355243</v>
      </c>
      <c r="E53" s="22">
        <v>3.3924319999999999</v>
      </c>
    </row>
    <row r="54" spans="1:7" x14ac:dyDescent="0.25">
      <c r="B54">
        <v>2049</v>
      </c>
      <c r="C54" s="21">
        <f t="shared" si="2"/>
        <v>3.7578256904875951</v>
      </c>
      <c r="D54" s="21">
        <f t="shared" si="3"/>
        <v>7.0764164615650129</v>
      </c>
      <c r="E54" s="22">
        <v>3.4035679999999999</v>
      </c>
    </row>
    <row r="55" spans="1:7" x14ac:dyDescent="0.25">
      <c r="B55">
        <v>2050</v>
      </c>
      <c r="C55" s="21">
        <f t="shared" si="2"/>
        <v>3.7643883670388667</v>
      </c>
      <c r="D55" s="21">
        <f t="shared" si="3"/>
        <v>7.0887747336628646</v>
      </c>
      <c r="E55" s="22">
        <v>3.4095119999999999</v>
      </c>
    </row>
    <row r="57" spans="1:7" x14ac:dyDescent="0.25">
      <c r="A57" s="19" t="s">
        <v>1592</v>
      </c>
      <c r="B57" s="19"/>
      <c r="C57" s="19" t="s">
        <v>1561</v>
      </c>
      <c r="D57" s="19" t="s">
        <v>1581</v>
      </c>
      <c r="E57" s="19" t="s">
        <v>1593</v>
      </c>
      <c r="F57" s="19" t="s">
        <v>1594</v>
      </c>
      <c r="G57" s="19"/>
    </row>
    <row r="58" spans="1:7" x14ac:dyDescent="0.25">
      <c r="B58">
        <v>2020</v>
      </c>
      <c r="C58">
        <f>SUM('AEO21 Table60'!C23:D23)</f>
        <v>2.9463729999999999</v>
      </c>
      <c r="D58">
        <f>'AEO21 Table60'!E23</f>
        <v>2.3141799999999999</v>
      </c>
      <c r="E58" s="23">
        <f>C58/SUM(C58:D58)</f>
        <v>0.56008807439065822</v>
      </c>
      <c r="F58" s="23">
        <f>D58/SUM(C58:D58)</f>
        <v>0.43991192560934184</v>
      </c>
    </row>
    <row r="59" spans="1:7" x14ac:dyDescent="0.25">
      <c r="B59">
        <v>2021</v>
      </c>
      <c r="C59">
        <f>SUM('AEO22 Table60'!C23:D23)</f>
        <v>3.1695950000000002</v>
      </c>
      <c r="D59">
        <f>'AEO22 Table60'!E23</f>
        <v>3.5793599999999999</v>
      </c>
      <c r="E59" s="23">
        <f t="shared" ref="E59:E88" si="5">C59/SUM(C59:D59)</f>
        <v>0.46964233722109572</v>
      </c>
      <c r="F59" s="23">
        <f t="shared" ref="F59:F87" si="6">D59/SUM(C59:D59)</f>
        <v>0.53035766277890428</v>
      </c>
    </row>
    <row r="60" spans="1:7" x14ac:dyDescent="0.25">
      <c r="B60">
        <v>2022</v>
      </c>
      <c r="C60">
        <f>SUM('AEO22 Table60'!C24:D24)</f>
        <v>3.315312</v>
      </c>
      <c r="D60">
        <f>'AEO22 Table60'!E24</f>
        <v>4.1955</v>
      </c>
      <c r="E60" s="23">
        <f t="shared" si="5"/>
        <v>0.44140527016253372</v>
      </c>
      <c r="F60" s="23">
        <f t="shared" si="6"/>
        <v>0.55859472983746639</v>
      </c>
    </row>
    <row r="61" spans="1:7" x14ac:dyDescent="0.25">
      <c r="B61">
        <v>2023</v>
      </c>
      <c r="C61">
        <f>SUM('AEO22 Table60'!C25:D25)</f>
        <v>3.276408</v>
      </c>
      <c r="D61">
        <f>'AEO22 Table60'!E25</f>
        <v>4.4365750000000004</v>
      </c>
      <c r="E61" s="23">
        <f t="shared" si="5"/>
        <v>0.42479129021806478</v>
      </c>
      <c r="F61" s="23">
        <f t="shared" si="6"/>
        <v>0.57520870978193528</v>
      </c>
    </row>
    <row r="62" spans="1:7" x14ac:dyDescent="0.25">
      <c r="B62">
        <v>2024</v>
      </c>
      <c r="C62">
        <f>SUM('AEO22 Table60'!C26:D26)</f>
        <v>3.3142690000000004</v>
      </c>
      <c r="D62">
        <f>'AEO22 Table60'!E26</f>
        <v>4.4810759999999998</v>
      </c>
      <c r="E62" s="23">
        <f t="shared" si="5"/>
        <v>0.42516001536814602</v>
      </c>
      <c r="F62" s="23">
        <f t="shared" si="6"/>
        <v>0.57483998463185393</v>
      </c>
    </row>
    <row r="63" spans="1:7" x14ac:dyDescent="0.25">
      <c r="B63">
        <v>2025</v>
      </c>
      <c r="C63">
        <f>SUM('AEO22 Table60'!C27:D27)</f>
        <v>3.3664139999999998</v>
      </c>
      <c r="D63">
        <f>'AEO22 Table60'!E27</f>
        <v>4.6510009999999999</v>
      </c>
      <c r="E63" s="23">
        <f t="shared" si="5"/>
        <v>0.4198877069479377</v>
      </c>
      <c r="F63" s="23">
        <f t="shared" si="6"/>
        <v>0.58011229305206236</v>
      </c>
    </row>
    <row r="64" spans="1:7" x14ac:dyDescent="0.25">
      <c r="B64">
        <v>2026</v>
      </c>
      <c r="C64">
        <f>SUM('AEO22 Table60'!C28:D28)</f>
        <v>3.3658000000000001</v>
      </c>
      <c r="D64">
        <f>'AEO22 Table60'!E28</f>
        <v>4.6630580000000004</v>
      </c>
      <c r="E64" s="23">
        <f t="shared" si="5"/>
        <v>0.4192127946465114</v>
      </c>
      <c r="F64" s="23">
        <f t="shared" si="6"/>
        <v>0.58078720535348871</v>
      </c>
    </row>
    <row r="65" spans="2:6" x14ac:dyDescent="0.25">
      <c r="B65">
        <v>2027</v>
      </c>
      <c r="C65">
        <f>SUM('AEO22 Table60'!C29:D29)</f>
        <v>3.3924820000000002</v>
      </c>
      <c r="D65">
        <f>'AEO22 Table60'!E29</f>
        <v>4.763058</v>
      </c>
      <c r="E65" s="23">
        <f t="shared" si="5"/>
        <v>0.4159727007653693</v>
      </c>
      <c r="F65" s="23">
        <f t="shared" si="6"/>
        <v>0.5840272992346307</v>
      </c>
    </row>
    <row r="66" spans="2:6" x14ac:dyDescent="0.25">
      <c r="B66">
        <v>2028</v>
      </c>
      <c r="C66">
        <f>SUM('AEO22 Table60'!C30:D30)</f>
        <v>3.4725910000000004</v>
      </c>
      <c r="D66">
        <f>'AEO22 Table60'!E30</f>
        <v>4.9758329999999997</v>
      </c>
      <c r="E66" s="23">
        <f t="shared" si="5"/>
        <v>0.4110341763150146</v>
      </c>
      <c r="F66" s="23">
        <f t="shared" si="6"/>
        <v>0.58896582368498551</v>
      </c>
    </row>
    <row r="67" spans="2:6" x14ac:dyDescent="0.25">
      <c r="B67">
        <v>2029</v>
      </c>
      <c r="C67">
        <f>SUM('AEO22 Table60'!C31:D31)</f>
        <v>3.5399240000000001</v>
      </c>
      <c r="D67">
        <f>'AEO22 Table60'!E31</f>
        <v>5.1630580000000004</v>
      </c>
      <c r="E67" s="23">
        <f t="shared" si="5"/>
        <v>0.40674839957154912</v>
      </c>
      <c r="F67" s="23">
        <f t="shared" si="6"/>
        <v>0.59325160042845082</v>
      </c>
    </row>
    <row r="68" spans="2:6" x14ac:dyDescent="0.25">
      <c r="B68">
        <v>2030</v>
      </c>
      <c r="C68">
        <f>SUM('AEO22 Table60'!C32:D32)</f>
        <v>3.5634980000000001</v>
      </c>
      <c r="D68">
        <f>'AEO22 Table60'!E32</f>
        <v>5.3630579999999997</v>
      </c>
      <c r="E68" s="23">
        <f t="shared" si="5"/>
        <v>0.39920188704355858</v>
      </c>
      <c r="F68" s="23">
        <f t="shared" si="6"/>
        <v>0.60079811295644137</v>
      </c>
    </row>
    <row r="69" spans="2:6" x14ac:dyDescent="0.25">
      <c r="B69">
        <v>2031</v>
      </c>
      <c r="C69">
        <f>SUM('AEO22 Table60'!C33:D33)</f>
        <v>3.6336200000000001</v>
      </c>
      <c r="D69">
        <f>'AEO22 Table60'!E33</f>
        <v>5.5630579999999998</v>
      </c>
      <c r="E69" s="23">
        <f t="shared" si="5"/>
        <v>0.39510136160035175</v>
      </c>
      <c r="F69" s="23">
        <f t="shared" si="6"/>
        <v>0.60489863839964819</v>
      </c>
    </row>
    <row r="70" spans="2:6" x14ac:dyDescent="0.25">
      <c r="B70">
        <v>2032</v>
      </c>
      <c r="C70">
        <f>SUM('AEO22 Table60'!C34:D34)</f>
        <v>3.6734929999999997</v>
      </c>
      <c r="D70">
        <f>'AEO22 Table60'!E34</f>
        <v>5.7758330000000004</v>
      </c>
      <c r="E70" s="23">
        <f t="shared" si="5"/>
        <v>0.38875714521861138</v>
      </c>
      <c r="F70" s="23">
        <f t="shared" si="6"/>
        <v>0.61124285478138873</v>
      </c>
    </row>
    <row r="71" spans="2:6" x14ac:dyDescent="0.25">
      <c r="B71">
        <v>2033</v>
      </c>
      <c r="C71">
        <f>SUM('AEO22 Table60'!C35:D35)</f>
        <v>3.7062370000000002</v>
      </c>
      <c r="D71">
        <f>'AEO22 Table60'!E35</f>
        <v>5.8630579999999997</v>
      </c>
      <c r="E71" s="23">
        <f t="shared" si="5"/>
        <v>0.3873051254037001</v>
      </c>
      <c r="F71" s="23">
        <f t="shared" si="6"/>
        <v>0.6126948745962999</v>
      </c>
    </row>
    <row r="72" spans="2:6" x14ac:dyDescent="0.25">
      <c r="B72">
        <v>2034</v>
      </c>
      <c r="C72">
        <f>SUM('AEO22 Table60'!C36:D36)</f>
        <v>3.750356</v>
      </c>
      <c r="D72">
        <f>'AEO22 Table60'!E36</f>
        <v>5.8630579999999997</v>
      </c>
      <c r="E72" s="23">
        <f t="shared" si="5"/>
        <v>0.39011697613355678</v>
      </c>
      <c r="F72" s="23">
        <f t="shared" si="6"/>
        <v>0.60988302386644333</v>
      </c>
    </row>
    <row r="73" spans="2:6" x14ac:dyDescent="0.25">
      <c r="B73">
        <v>2035</v>
      </c>
      <c r="C73">
        <f>SUM('AEO22 Table60'!C37:D37)</f>
        <v>3.8006479999999998</v>
      </c>
      <c r="D73">
        <f>'AEO22 Table60'!E37</f>
        <v>5.8630579999999997</v>
      </c>
      <c r="E73" s="23">
        <f t="shared" si="5"/>
        <v>0.39329093827978623</v>
      </c>
      <c r="F73" s="23">
        <f t="shared" si="6"/>
        <v>0.60670906172021377</v>
      </c>
    </row>
    <row r="74" spans="2:6" x14ac:dyDescent="0.25">
      <c r="B74">
        <v>2036</v>
      </c>
      <c r="C74">
        <f>SUM('AEO22 Table60'!C38:D38)</f>
        <v>3.8115070000000002</v>
      </c>
      <c r="D74">
        <f>'AEO22 Table60'!E38</f>
        <v>5.8758340000000002</v>
      </c>
      <c r="E74" s="23">
        <f t="shared" si="5"/>
        <v>0.39345234156617387</v>
      </c>
      <c r="F74" s="23">
        <f t="shared" si="6"/>
        <v>0.60654765843382619</v>
      </c>
    </row>
    <row r="75" spans="2:6" x14ac:dyDescent="0.25">
      <c r="B75">
        <v>2037</v>
      </c>
      <c r="C75">
        <f>SUM('AEO22 Table60'!C39:D39)</f>
        <v>3.818203</v>
      </c>
      <c r="D75">
        <f>'AEO22 Table60'!E39</f>
        <v>5.8630579999999997</v>
      </c>
      <c r="E75" s="23">
        <f t="shared" si="5"/>
        <v>0.39439108190554933</v>
      </c>
      <c r="F75" s="23">
        <f t="shared" si="6"/>
        <v>0.60560891809445072</v>
      </c>
    </row>
    <row r="76" spans="2:6" x14ac:dyDescent="0.25">
      <c r="B76">
        <v>2038</v>
      </c>
      <c r="C76">
        <f>SUM('AEO22 Table60'!C40:D40)</f>
        <v>3.8383419999999999</v>
      </c>
      <c r="D76">
        <f>'AEO22 Table60'!E40</f>
        <v>5.8630579999999997</v>
      </c>
      <c r="E76" s="23">
        <f t="shared" si="5"/>
        <v>0.3956482569526048</v>
      </c>
      <c r="F76" s="23">
        <f t="shared" si="6"/>
        <v>0.60435174304739525</v>
      </c>
    </row>
    <row r="77" spans="2:6" x14ac:dyDescent="0.25">
      <c r="B77">
        <v>2039</v>
      </c>
      <c r="C77">
        <f>SUM('AEO22 Table60'!C41:D41)</f>
        <v>3.8642839999999996</v>
      </c>
      <c r="D77">
        <f>'AEO22 Table60'!E41</f>
        <v>5.8630579999999997</v>
      </c>
      <c r="E77" s="23">
        <f t="shared" si="5"/>
        <v>0.39726001203617595</v>
      </c>
      <c r="F77" s="23">
        <f t="shared" si="6"/>
        <v>0.602739987963824</v>
      </c>
    </row>
    <row r="78" spans="2:6" x14ac:dyDescent="0.25">
      <c r="B78">
        <v>2040</v>
      </c>
      <c r="C78">
        <f>SUM('AEO22 Table60'!C42:D42)</f>
        <v>3.8802690000000002</v>
      </c>
      <c r="D78">
        <f>'AEO22 Table60'!E42</f>
        <v>5.8758340000000002</v>
      </c>
      <c r="E78" s="23">
        <f t="shared" si="5"/>
        <v>0.397727350767002</v>
      </c>
      <c r="F78" s="23">
        <f t="shared" si="6"/>
        <v>0.60227264923299806</v>
      </c>
    </row>
    <row r="79" spans="2:6" x14ac:dyDescent="0.25">
      <c r="B79">
        <v>2041</v>
      </c>
      <c r="C79">
        <f>SUM('AEO22 Table60'!C43:D43)</f>
        <v>3.8937850000000003</v>
      </c>
      <c r="D79">
        <f>'AEO22 Table60'!E43</f>
        <v>5.8630579999999997</v>
      </c>
      <c r="E79" s="23">
        <f t="shared" si="5"/>
        <v>0.39908246960620358</v>
      </c>
      <c r="F79" s="23">
        <f t="shared" si="6"/>
        <v>0.60091753039379636</v>
      </c>
    </row>
    <row r="80" spans="2:6" x14ac:dyDescent="0.25">
      <c r="B80">
        <v>2042</v>
      </c>
      <c r="C80">
        <f>SUM('AEO22 Table60'!C44:D44)</f>
        <v>3.898647</v>
      </c>
      <c r="D80">
        <f>'AEO22 Table60'!E44</f>
        <v>5.8630579999999997</v>
      </c>
      <c r="E80" s="23">
        <f t="shared" si="5"/>
        <v>0.39938176783666379</v>
      </c>
      <c r="F80" s="23">
        <f t="shared" si="6"/>
        <v>0.60061823216333621</v>
      </c>
    </row>
    <row r="81" spans="1:6" x14ac:dyDescent="0.25">
      <c r="B81">
        <v>2043</v>
      </c>
      <c r="C81">
        <f>SUM('AEO22 Table60'!C45:D45)</f>
        <v>3.9081699999999997</v>
      </c>
      <c r="D81">
        <f>'AEO22 Table60'!E45</f>
        <v>5.8630579999999997</v>
      </c>
      <c r="E81" s="23">
        <f t="shared" si="5"/>
        <v>0.39996712798022932</v>
      </c>
      <c r="F81" s="23">
        <f t="shared" si="6"/>
        <v>0.60003287201977074</v>
      </c>
    </row>
    <row r="82" spans="1:6" x14ac:dyDescent="0.25">
      <c r="B82">
        <v>2044</v>
      </c>
      <c r="C82">
        <f>SUM('AEO22 Table60'!C46:D46)</f>
        <v>3.9381530000000002</v>
      </c>
      <c r="D82">
        <f>'AEO22 Table60'!E46</f>
        <v>5.8758340000000002</v>
      </c>
      <c r="E82" s="23">
        <f t="shared" si="5"/>
        <v>0.40127962264470085</v>
      </c>
      <c r="F82" s="23">
        <f t="shared" si="6"/>
        <v>0.59872037735529904</v>
      </c>
    </row>
    <row r="83" spans="1:6" x14ac:dyDescent="0.25">
      <c r="B83">
        <v>2045</v>
      </c>
      <c r="C83">
        <f>SUM('AEO22 Table60'!C47:D47)</f>
        <v>3.9412219999999998</v>
      </c>
      <c r="D83">
        <f>'AEO22 Table60'!E47</f>
        <v>5.8630579999999997</v>
      </c>
      <c r="E83" s="23">
        <f t="shared" si="5"/>
        <v>0.40198994724752868</v>
      </c>
      <c r="F83" s="23">
        <f t="shared" si="6"/>
        <v>0.59801005275247143</v>
      </c>
    </row>
    <row r="84" spans="1:6" x14ac:dyDescent="0.25">
      <c r="B84">
        <v>2046</v>
      </c>
      <c r="C84">
        <f>SUM('AEO22 Table60'!C48:D48)</f>
        <v>3.92889</v>
      </c>
      <c r="D84">
        <f>'AEO22 Table60'!E48</f>
        <v>5.8630579999999997</v>
      </c>
      <c r="E84" s="23">
        <f t="shared" si="5"/>
        <v>0.4012368121235938</v>
      </c>
      <c r="F84" s="23">
        <f t="shared" si="6"/>
        <v>0.59876318787640614</v>
      </c>
    </row>
    <row r="85" spans="1:6" x14ac:dyDescent="0.25">
      <c r="B85">
        <v>2047</v>
      </c>
      <c r="C85">
        <f>SUM('AEO22 Table60'!C49:D49)</f>
        <v>3.9186170000000002</v>
      </c>
      <c r="D85">
        <f>'AEO22 Table60'!E49</f>
        <v>5.8630579999999997</v>
      </c>
      <c r="E85" s="23">
        <f t="shared" si="5"/>
        <v>0.40060797358325645</v>
      </c>
      <c r="F85" s="23">
        <f t="shared" si="6"/>
        <v>0.5993920264167435</v>
      </c>
    </row>
    <row r="86" spans="1:6" x14ac:dyDescent="0.25">
      <c r="B86">
        <v>2048</v>
      </c>
      <c r="C86">
        <f>SUM('AEO22 Table60'!C50:D50)</f>
        <v>3.9068899999999998</v>
      </c>
      <c r="D86">
        <f>'AEO22 Table60'!E50</f>
        <v>5.8758340000000002</v>
      </c>
      <c r="E86" s="23">
        <f t="shared" si="5"/>
        <v>0.39936627058066854</v>
      </c>
      <c r="F86" s="23">
        <f t="shared" si="6"/>
        <v>0.60063372941933146</v>
      </c>
    </row>
    <row r="87" spans="1:6" x14ac:dyDescent="0.25">
      <c r="B87">
        <v>2049</v>
      </c>
      <c r="C87">
        <f>SUM('AEO22 Table60'!C51:D51)</f>
        <v>3.8935820000000003</v>
      </c>
      <c r="D87">
        <f>'AEO22 Table60'!E51</f>
        <v>5.8630579999999997</v>
      </c>
      <c r="E87" s="23">
        <f t="shared" si="5"/>
        <v>0.39906996670985095</v>
      </c>
      <c r="F87" s="23">
        <f t="shared" si="6"/>
        <v>0.60093003329014893</v>
      </c>
    </row>
    <row r="88" spans="1:6" x14ac:dyDescent="0.25">
      <c r="B88">
        <v>2050</v>
      </c>
      <c r="C88">
        <f>SUM('AEO22 Table60'!C52:D52)</f>
        <v>3.8848979999999997</v>
      </c>
      <c r="D88">
        <f>'AEO22 Table60'!E52</f>
        <v>5.8630579999999997</v>
      </c>
      <c r="E88" s="23">
        <f t="shared" si="5"/>
        <v>0.3985346261308525</v>
      </c>
      <c r="F88" s="23">
        <f>D88/SUM(C88:D88)</f>
        <v>0.60146537386914756</v>
      </c>
    </row>
    <row r="90" spans="1:6" x14ac:dyDescent="0.25">
      <c r="A90" s="18" t="s">
        <v>1595</v>
      </c>
      <c r="B90" s="19" t="s">
        <v>1631</v>
      </c>
      <c r="C90" s="19"/>
      <c r="D90" s="19" t="s">
        <v>1606</v>
      </c>
    </row>
    <row r="91" spans="1:6" x14ac:dyDescent="0.25">
      <c r="B91">
        <v>2020</v>
      </c>
      <c r="C91" s="26">
        <f>E58*C22+F58*D22</f>
        <v>3.7926078806733816</v>
      </c>
      <c r="D91" s="4">
        <f>C91*About!$B$28/10^6</f>
        <v>3.3640431901572894E-6</v>
      </c>
    </row>
    <row r="92" spans="1:6" x14ac:dyDescent="0.25">
      <c r="B92">
        <v>2021</v>
      </c>
      <c r="C92" s="26">
        <f>E59*C23+F59*D23</f>
        <v>6.5967288020886192</v>
      </c>
      <c r="D92" s="4">
        <f>C92*About!$B$29/10^6</f>
        <v>5.58742929536906E-6</v>
      </c>
    </row>
    <row r="93" spans="1:6" x14ac:dyDescent="0.25">
      <c r="B93">
        <v>2022</v>
      </c>
      <c r="C93" s="26">
        <f t="shared" ref="C93:C120" si="7">E60*C27+D27*F60</f>
        <v>11.841128686965543</v>
      </c>
      <c r="D93" s="4">
        <f>C93*About!$B$29/10^6</f>
        <v>1.0029435997859815E-5</v>
      </c>
    </row>
    <row r="94" spans="1:6" x14ac:dyDescent="0.25">
      <c r="B94">
        <v>2023</v>
      </c>
      <c r="C94" s="26">
        <f t="shared" si="7"/>
        <v>10.297008997058969</v>
      </c>
      <c r="D94" s="4">
        <f>C94*About!$B$29/10^6</f>
        <v>8.7215666205089458E-6</v>
      </c>
    </row>
    <row r="95" spans="1:6" x14ac:dyDescent="0.25">
      <c r="B95">
        <v>2024</v>
      </c>
      <c r="C95" s="26">
        <f t="shared" si="7"/>
        <v>7.7775528704837926</v>
      </c>
      <c r="D95" s="4">
        <f>C95*About!$B$29/10^6</f>
        <v>6.5875872812997719E-6</v>
      </c>
    </row>
    <row r="96" spans="1:6" x14ac:dyDescent="0.25">
      <c r="B96">
        <v>2025</v>
      </c>
      <c r="C96" s="26">
        <f t="shared" si="7"/>
        <v>7.2541076094722658</v>
      </c>
      <c r="D96" s="4">
        <f>C96*About!$B$29/10^6</f>
        <v>6.1442291452230091E-6</v>
      </c>
    </row>
    <row r="97" spans="2:4" x14ac:dyDescent="0.25">
      <c r="B97">
        <v>2026</v>
      </c>
      <c r="C97" s="26">
        <f t="shared" si="7"/>
        <v>6.9377409289471341</v>
      </c>
      <c r="D97" s="4">
        <f>C97*About!$B$29/10^6</f>
        <v>5.8762665668182228E-6</v>
      </c>
    </row>
    <row r="98" spans="2:4" x14ac:dyDescent="0.25">
      <c r="B98">
        <v>2027</v>
      </c>
      <c r="C98" s="26">
        <f t="shared" si="7"/>
        <v>6.6310329834345358</v>
      </c>
      <c r="D98" s="4">
        <f>C98*About!$B$29/10^6</f>
        <v>5.6164849369690513E-6</v>
      </c>
    </row>
    <row r="99" spans="2:4" x14ac:dyDescent="0.25">
      <c r="B99">
        <v>2028</v>
      </c>
      <c r="C99" s="26">
        <f t="shared" si="7"/>
        <v>6.3293627164223274</v>
      </c>
      <c r="D99" s="4">
        <f>C99*About!$B$29/10^6</f>
        <v>5.360970220809711E-6</v>
      </c>
    </row>
    <row r="100" spans="2:4" x14ac:dyDescent="0.25">
      <c r="B100">
        <v>2029</v>
      </c>
      <c r="C100" s="26">
        <f t="shared" si="7"/>
        <v>6.0235734236662779</v>
      </c>
      <c r="D100" s="4">
        <f>C100*About!$B$29/10^6</f>
        <v>5.1019666898453374E-6</v>
      </c>
    </row>
    <row r="101" spans="2:4" x14ac:dyDescent="0.25">
      <c r="B101">
        <v>2030</v>
      </c>
      <c r="C101" s="26">
        <f t="shared" si="7"/>
        <v>5.7269615538796685</v>
      </c>
      <c r="D101" s="4">
        <f>C101*About!$B$29/10^6</f>
        <v>4.8507364361360788E-6</v>
      </c>
    </row>
    <row r="102" spans="2:4" x14ac:dyDescent="0.25">
      <c r="B102">
        <v>2031</v>
      </c>
      <c r="C102" s="26">
        <f t="shared" si="7"/>
        <v>5.8514213581509118</v>
      </c>
      <c r="D102" s="4">
        <f>C102*About!$B$29/10^6</f>
        <v>4.9561538903538221E-6</v>
      </c>
    </row>
    <row r="103" spans="2:4" x14ac:dyDescent="0.25">
      <c r="B103">
        <v>2032</v>
      </c>
      <c r="C103" s="26">
        <f t="shared" si="7"/>
        <v>5.9363894235170376</v>
      </c>
      <c r="D103" s="4">
        <f>C103*About!$B$29/10^6</f>
        <v>5.0281218417189303E-6</v>
      </c>
    </row>
    <row r="104" spans="2:4" x14ac:dyDescent="0.25">
      <c r="B104">
        <v>2033</v>
      </c>
      <c r="C104" s="26">
        <f t="shared" si="7"/>
        <v>6.1139177902329056</v>
      </c>
      <c r="D104" s="4">
        <f>C104*About!$B$29/10^6</f>
        <v>5.1784883683272704E-6</v>
      </c>
    </row>
    <row r="105" spans="2:4" x14ac:dyDescent="0.25">
      <c r="B105">
        <v>2034</v>
      </c>
      <c r="C105" s="26">
        <f t="shared" si="7"/>
        <v>6.1055322704182773</v>
      </c>
      <c r="D105" s="4">
        <f>C105*About!$B$29/10^6</f>
        <v>5.1713858330442802E-6</v>
      </c>
    </row>
    <row r="106" spans="2:4" x14ac:dyDescent="0.25">
      <c r="B106">
        <v>2035</v>
      </c>
      <c r="C106" s="26">
        <f t="shared" si="7"/>
        <v>5.9760719779797089</v>
      </c>
      <c r="D106" s="4">
        <f>C106*About!$B$29/10^6</f>
        <v>5.0617329653488135E-6</v>
      </c>
    </row>
    <row r="107" spans="2:4" x14ac:dyDescent="0.25">
      <c r="B107">
        <v>2036</v>
      </c>
      <c r="C107" s="26">
        <f t="shared" si="7"/>
        <v>5.9092932654667294</v>
      </c>
      <c r="D107" s="4">
        <f>C107*About!$B$29/10^6</f>
        <v>5.0051713958503191E-6</v>
      </c>
    </row>
    <row r="108" spans="2:4" x14ac:dyDescent="0.25">
      <c r="B108">
        <v>2037</v>
      </c>
      <c r="C108" s="26">
        <f t="shared" si="7"/>
        <v>5.9088568371904504</v>
      </c>
      <c r="D108" s="4">
        <f>C108*About!$B$29/10^6</f>
        <v>5.0048017411003118E-6</v>
      </c>
    </row>
    <row r="109" spans="2:4" x14ac:dyDescent="0.25">
      <c r="B109">
        <v>2038</v>
      </c>
      <c r="C109" s="26">
        <f t="shared" si="7"/>
        <v>5.9576520999417113</v>
      </c>
      <c r="D109" s="4">
        <f>C109*About!$B$29/10^6</f>
        <v>5.0461313286506297E-6</v>
      </c>
    </row>
    <row r="110" spans="2:4" x14ac:dyDescent="0.25">
      <c r="B110">
        <v>2039</v>
      </c>
      <c r="C110" s="26">
        <f t="shared" si="7"/>
        <v>5.9983813068460146</v>
      </c>
      <c r="D110" s="4">
        <f>C110*About!$B$29/10^6</f>
        <v>5.0806289668985744E-6</v>
      </c>
    </row>
    <row r="111" spans="2:4" x14ac:dyDescent="0.25">
      <c r="B111">
        <v>2040</v>
      </c>
      <c r="C111" s="26">
        <f t="shared" si="7"/>
        <v>6.0509640199557202</v>
      </c>
      <c r="D111" s="4">
        <f>C111*About!$B$29/10^6</f>
        <v>5.1251665249024947E-6</v>
      </c>
    </row>
    <row r="112" spans="2:4" x14ac:dyDescent="0.25">
      <c r="B112">
        <v>2041</v>
      </c>
      <c r="C112" s="26">
        <f t="shared" si="7"/>
        <v>6.1425533111360258</v>
      </c>
      <c r="D112" s="4">
        <f>C112*About!$B$29/10^6</f>
        <v>5.2027426545322138E-6</v>
      </c>
    </row>
    <row r="113" spans="2:4" x14ac:dyDescent="0.25">
      <c r="B113">
        <v>2042</v>
      </c>
      <c r="C113" s="26">
        <f t="shared" si="7"/>
        <v>6.1708580406945472</v>
      </c>
      <c r="D113" s="4">
        <f>C113*About!$B$29/10^6</f>
        <v>5.2267167604682806E-6</v>
      </c>
    </row>
    <row r="114" spans="2:4" x14ac:dyDescent="0.25">
      <c r="B114">
        <v>2043</v>
      </c>
      <c r="C114" s="26">
        <f t="shared" si="7"/>
        <v>6.0632584033545465</v>
      </c>
      <c r="D114" s="4">
        <f>C114*About!$B$29/10^6</f>
        <v>5.1355798676413009E-6</v>
      </c>
    </row>
    <row r="115" spans="2:4" x14ac:dyDescent="0.25">
      <c r="B115">
        <v>2044</v>
      </c>
      <c r="C115" s="26">
        <f t="shared" si="7"/>
        <v>6.0106688683523188</v>
      </c>
      <c r="D115" s="4">
        <f>C115*About!$B$29/10^6</f>
        <v>5.0910365314944137E-6</v>
      </c>
    </row>
    <row r="116" spans="2:4" x14ac:dyDescent="0.25">
      <c r="B116">
        <v>2045</v>
      </c>
      <c r="C116" s="26">
        <f t="shared" si="7"/>
        <v>5.853911349520116</v>
      </c>
      <c r="D116" s="4">
        <f>C116*About!$B$29/10^6</f>
        <v>4.9582629130435384E-6</v>
      </c>
    </row>
    <row r="117" spans="2:4" x14ac:dyDescent="0.25">
      <c r="B117">
        <v>2046</v>
      </c>
      <c r="C117" s="26">
        <f t="shared" si="7"/>
        <v>5.7816684808219314</v>
      </c>
      <c r="D117" s="4">
        <f>C117*About!$B$29/10^6</f>
        <v>4.8970732032561762E-6</v>
      </c>
    </row>
    <row r="118" spans="2:4" x14ac:dyDescent="0.25">
      <c r="B118">
        <v>2047</v>
      </c>
      <c r="C118" s="26">
        <f t="shared" si="7"/>
        <v>5.7414698108216902</v>
      </c>
      <c r="D118" s="4">
        <f>C118*About!$B$29/10^6</f>
        <v>4.863024929765971E-6</v>
      </c>
    </row>
    <row r="119" spans="2:4" x14ac:dyDescent="0.25">
      <c r="B119">
        <v>2048</v>
      </c>
      <c r="C119" s="26">
        <f t="shared" si="7"/>
        <v>5.7322664991357009</v>
      </c>
      <c r="D119" s="4">
        <f>C119*About!$B$29/10^6</f>
        <v>4.8552297247679382E-6</v>
      </c>
    </row>
    <row r="120" spans="2:4" x14ac:dyDescent="0.25">
      <c r="B120">
        <v>2049</v>
      </c>
      <c r="C120" s="26">
        <f t="shared" si="7"/>
        <v>5.7520665530275279</v>
      </c>
      <c r="D120" s="4">
        <f>C120*About!$B$29/10^6</f>
        <v>4.8720003704143164E-6</v>
      </c>
    </row>
    <row r="121" spans="2:4" x14ac:dyDescent="0.25">
      <c r="B121">
        <v>2050</v>
      </c>
      <c r="C121" s="26">
        <f>E88*C55+D55*F88</f>
        <v>5.7638916559258666</v>
      </c>
      <c r="D121" s="4">
        <f>C121*About!$B$29/10^6</f>
        <v>4.8820162325692083E-6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51"/>
  <sheetViews>
    <sheetView topLeftCell="AO95" zoomScale="92" workbookViewId="0">
      <selection activeCell="AV117" sqref="AV117"/>
    </sheetView>
  </sheetViews>
  <sheetFormatPr baseColWidth="10" defaultColWidth="9.140625" defaultRowHeight="15" x14ac:dyDescent="0.25"/>
  <cols>
    <col min="1" max="1" width="39.5703125" customWidth="1"/>
    <col min="33" max="33" width="11.85546875" bestFit="1" customWidth="1"/>
  </cols>
  <sheetData>
    <row r="1" spans="1:52" x14ac:dyDescent="0.2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s="3" customFormat="1" x14ac:dyDescent="0.25">
      <c r="A2" s="5" t="s">
        <v>22</v>
      </c>
    </row>
    <row r="3" spans="1:52" x14ac:dyDescent="0.25">
      <c r="A3" t="s">
        <v>30</v>
      </c>
      <c r="B3">
        <v>2020</v>
      </c>
      <c r="C3">
        <v>2021</v>
      </c>
      <c r="D3">
        <v>2022</v>
      </c>
      <c r="E3">
        <v>2023</v>
      </c>
      <c r="F3">
        <v>2024</v>
      </c>
      <c r="G3">
        <v>2025</v>
      </c>
      <c r="H3">
        <v>2026</v>
      </c>
      <c r="I3">
        <v>2027</v>
      </c>
      <c r="J3">
        <v>2028</v>
      </c>
      <c r="K3">
        <v>2029</v>
      </c>
      <c r="L3">
        <v>2030</v>
      </c>
      <c r="M3">
        <v>2031</v>
      </c>
      <c r="N3">
        <v>2032</v>
      </c>
      <c r="O3">
        <v>2033</v>
      </c>
      <c r="P3">
        <v>2034</v>
      </c>
      <c r="Q3">
        <v>2035</v>
      </c>
      <c r="R3">
        <v>2036</v>
      </c>
      <c r="S3">
        <v>2037</v>
      </c>
      <c r="T3">
        <v>2038</v>
      </c>
      <c r="U3">
        <v>2039</v>
      </c>
      <c r="V3">
        <v>2040</v>
      </c>
      <c r="W3">
        <v>2041</v>
      </c>
      <c r="X3">
        <v>2042</v>
      </c>
      <c r="Y3">
        <v>2043</v>
      </c>
      <c r="Z3">
        <v>2044</v>
      </c>
      <c r="AA3">
        <v>2045</v>
      </c>
      <c r="AB3">
        <v>2046</v>
      </c>
      <c r="AC3">
        <v>2047</v>
      </c>
      <c r="AD3">
        <v>2048</v>
      </c>
      <c r="AE3">
        <v>2049</v>
      </c>
      <c r="AF3">
        <v>2050</v>
      </c>
      <c r="AG3">
        <v>2051</v>
      </c>
      <c r="AH3">
        <v>2052</v>
      </c>
      <c r="AI3">
        <v>2053</v>
      </c>
      <c r="AJ3">
        <v>2054</v>
      </c>
      <c r="AK3">
        <v>2055</v>
      </c>
      <c r="AL3">
        <v>2056</v>
      </c>
      <c r="AM3">
        <v>2057</v>
      </c>
      <c r="AN3">
        <v>2058</v>
      </c>
      <c r="AO3">
        <v>2059</v>
      </c>
      <c r="AP3">
        <v>2060</v>
      </c>
      <c r="AQ3">
        <v>2061</v>
      </c>
      <c r="AR3">
        <v>2062</v>
      </c>
      <c r="AS3">
        <v>2063</v>
      </c>
      <c r="AT3">
        <v>2064</v>
      </c>
      <c r="AU3">
        <v>2065</v>
      </c>
      <c r="AV3">
        <v>2066</v>
      </c>
      <c r="AW3">
        <v>2067</v>
      </c>
      <c r="AX3">
        <v>2068</v>
      </c>
      <c r="AY3">
        <v>2069</v>
      </c>
      <c r="AZ3">
        <v>2070</v>
      </c>
    </row>
    <row r="4" spans="1:52" x14ac:dyDescent="0.25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53</v>
      </c>
      <c r="B5">
        <v>1.6291065511515873E-6</v>
      </c>
      <c r="C5">
        <v>1.6305050647442705E-6</v>
      </c>
      <c r="D5">
        <v>1.6084036948467081E-6</v>
      </c>
      <c r="E5">
        <v>1.5947890734560347E-6</v>
      </c>
      <c r="F5">
        <v>1.5940765606704825E-6</v>
      </c>
      <c r="G5">
        <v>1.5547972128929893E-6</v>
      </c>
      <c r="H5">
        <v>1.5291015766077971E-6</v>
      </c>
      <c r="I5">
        <v>1.5279777244054466E-6</v>
      </c>
      <c r="J5">
        <v>1.5198991450693695E-6</v>
      </c>
      <c r="K5">
        <v>1.5256222316371919E-6</v>
      </c>
      <c r="L5">
        <v>1.5233388619651389E-6</v>
      </c>
      <c r="M5">
        <v>1.522352122901721E-6</v>
      </c>
      <c r="N5">
        <v>1.5135015886678372E-6</v>
      </c>
      <c r="O5">
        <v>1.5107212829373403E-6</v>
      </c>
      <c r="P5">
        <v>1.5052423053105075E-6</v>
      </c>
      <c r="Q5">
        <v>1.4944317664952331E-6</v>
      </c>
      <c r="R5">
        <v>1.4823610549001721E-6</v>
      </c>
      <c r="S5">
        <v>1.4798375390946126E-6</v>
      </c>
      <c r="T5">
        <v>1.4793033526458227E-6</v>
      </c>
      <c r="U5">
        <v>1.4772054423640021E-6</v>
      </c>
      <c r="V5">
        <v>1.4811531911791693E-6</v>
      </c>
      <c r="W5">
        <v>1.4778545502298167E-6</v>
      </c>
      <c r="X5">
        <v>1.4693701794074182E-6</v>
      </c>
      <c r="Y5">
        <v>1.4604126493714772E-6</v>
      </c>
      <c r="Z5">
        <v>1.4562223767383133E-6</v>
      </c>
      <c r="AA5">
        <v>1.4537868352588896E-6</v>
      </c>
      <c r="AB5">
        <v>1.451543886223169E-6</v>
      </c>
      <c r="AC5">
        <v>1.4471840054297068E-6</v>
      </c>
      <c r="AD5">
        <v>1.4403616360659324E-6</v>
      </c>
      <c r="AE5">
        <v>1.4414086098031008E-6</v>
      </c>
      <c r="AF5">
        <v>1.4392607681469868E-6</v>
      </c>
      <c r="AG5">
        <f>_xlfn.FORECAST.ETS(AG3,$B$5:$AF$5,$B$3:$AF$3)</f>
        <v>1.4350352829683432E-6</v>
      </c>
      <c r="AH5">
        <f t="shared" ref="AH5:AZ5" si="0">_xlfn.FORECAST.ETS(AH3,$B$5:$AF$5,$B$3:$AF$3)</f>
        <v>1.4308144264424042E-6</v>
      </c>
      <c r="AI5">
        <f t="shared" si="0"/>
        <v>1.4265935699164652E-6</v>
      </c>
      <c r="AJ5">
        <f t="shared" si="0"/>
        <v>1.4223727133905262E-6</v>
      </c>
      <c r="AK5">
        <f t="shared" si="0"/>
        <v>1.4181518568645869E-6</v>
      </c>
      <c r="AL5">
        <f t="shared" si="0"/>
        <v>1.4139310003386479E-6</v>
      </c>
      <c r="AM5">
        <f t="shared" si="0"/>
        <v>1.4097101438127089E-6</v>
      </c>
      <c r="AN5">
        <f t="shared" si="0"/>
        <v>1.4054892872867699E-6</v>
      </c>
      <c r="AO5">
        <f t="shared" si="0"/>
        <v>1.4012684307608309E-6</v>
      </c>
      <c r="AP5">
        <f t="shared" si="0"/>
        <v>1.3970475742348919E-6</v>
      </c>
      <c r="AQ5">
        <f t="shared" si="0"/>
        <v>1.3928267177089529E-6</v>
      </c>
      <c r="AR5">
        <f t="shared" si="0"/>
        <v>1.3886058611830139E-6</v>
      </c>
      <c r="AS5">
        <f t="shared" si="0"/>
        <v>1.3843850046570749E-6</v>
      </c>
      <c r="AT5">
        <f t="shared" si="0"/>
        <v>1.3801641481311358E-6</v>
      </c>
      <c r="AU5">
        <f t="shared" si="0"/>
        <v>1.3759432916051968E-6</v>
      </c>
      <c r="AV5">
        <f t="shared" si="0"/>
        <v>1.3717224350792576E-6</v>
      </c>
      <c r="AW5">
        <f t="shared" si="0"/>
        <v>1.3675015785533186E-6</v>
      </c>
      <c r="AX5">
        <f t="shared" si="0"/>
        <v>1.3632807220273796E-6</v>
      </c>
      <c r="AY5">
        <f t="shared" si="0"/>
        <v>1.3590598655014406E-6</v>
      </c>
      <c r="AZ5">
        <f t="shared" si="0"/>
        <v>1.3548390089755016E-6</v>
      </c>
    </row>
    <row r="6" spans="1:52" x14ac:dyDescent="0.25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56</v>
      </c>
      <c r="B8">
        <v>2.8308895399118561E-6</v>
      </c>
      <c r="C8">
        <v>2.616174539137715E-6</v>
      </c>
      <c r="D8">
        <v>2.4732866897626558E-6</v>
      </c>
      <c r="E8">
        <v>2.4145631966839381E-6</v>
      </c>
      <c r="F8">
        <v>2.3432790009973459E-6</v>
      </c>
      <c r="G8">
        <v>2.3026125453788493E-6</v>
      </c>
      <c r="H8">
        <v>2.2736441848061817E-6</v>
      </c>
      <c r="I8">
        <v>2.2572891502468129E-6</v>
      </c>
      <c r="J8">
        <v>2.256428920854533E-6</v>
      </c>
      <c r="K8">
        <v>2.260021060615561E-6</v>
      </c>
      <c r="L8">
        <v>2.2709220574620628E-6</v>
      </c>
      <c r="M8">
        <v>2.2801664305857967E-6</v>
      </c>
      <c r="N8">
        <v>2.2940978357610456E-6</v>
      </c>
      <c r="O8">
        <v>2.3052552914508709E-6</v>
      </c>
      <c r="P8">
        <v>2.3164661642579769E-6</v>
      </c>
      <c r="Q8">
        <v>2.3263273296808544E-6</v>
      </c>
      <c r="R8">
        <v>2.3366028703408624E-6</v>
      </c>
      <c r="S8">
        <v>2.3490500919117098E-6</v>
      </c>
      <c r="T8">
        <v>2.3621242212297881E-6</v>
      </c>
      <c r="U8">
        <v>2.3720450262589519E-6</v>
      </c>
      <c r="V8">
        <v>2.3830872802298497E-6</v>
      </c>
      <c r="W8">
        <v>2.3956624985365389E-6</v>
      </c>
      <c r="X8">
        <v>2.4042074857747723E-6</v>
      </c>
      <c r="Y8">
        <v>2.4153949815643934E-6</v>
      </c>
      <c r="Z8">
        <v>2.4280849864002845E-6</v>
      </c>
      <c r="AA8">
        <v>2.4411161702037764E-6</v>
      </c>
      <c r="AB8">
        <v>2.4546342246534684E-6</v>
      </c>
      <c r="AC8">
        <v>2.4651949401485543E-6</v>
      </c>
      <c r="AD8">
        <v>2.4721520677437124E-6</v>
      </c>
      <c r="AE8">
        <v>2.4821588910396485E-6</v>
      </c>
      <c r="AF8">
        <v>2.4959149440424242E-6</v>
      </c>
      <c r="AG8">
        <f>_xlfn.FORECAST.ETS(AG3,$B$8:$AF$8,$B$3:$AF$3)</f>
        <v>2.5085984122493527E-6</v>
      </c>
      <c r="AH8">
        <f t="shared" ref="AH8:AZ8" si="1">_xlfn.FORECAST.ETS(AH3,$B$8:$AF$8,$B$3:$AF$3)</f>
        <v>2.5212903904550545E-6</v>
      </c>
      <c r="AI8">
        <f t="shared" si="1"/>
        <v>2.5339823686607562E-6</v>
      </c>
      <c r="AJ8">
        <f t="shared" si="1"/>
        <v>2.546674346866458E-6</v>
      </c>
      <c r="AK8">
        <f t="shared" si="1"/>
        <v>2.5593663250721597E-6</v>
      </c>
      <c r="AL8">
        <f t="shared" si="1"/>
        <v>2.5720583032778615E-6</v>
      </c>
      <c r="AM8">
        <f t="shared" si="1"/>
        <v>2.5847502814835632E-6</v>
      </c>
      <c r="AN8">
        <f t="shared" si="1"/>
        <v>2.5974422596892646E-6</v>
      </c>
      <c r="AO8">
        <f t="shared" si="1"/>
        <v>2.6101342378949663E-6</v>
      </c>
      <c r="AP8">
        <f t="shared" si="1"/>
        <v>2.6228262161006681E-6</v>
      </c>
      <c r="AQ8">
        <f t="shared" si="1"/>
        <v>2.6355181943063698E-6</v>
      </c>
      <c r="AR8">
        <f t="shared" si="1"/>
        <v>2.6482101725120716E-6</v>
      </c>
      <c r="AS8">
        <f t="shared" si="1"/>
        <v>2.6609021507177734E-6</v>
      </c>
      <c r="AT8">
        <f t="shared" si="1"/>
        <v>2.6735941289234751E-6</v>
      </c>
      <c r="AU8">
        <f t="shared" si="1"/>
        <v>2.6862861071291769E-6</v>
      </c>
      <c r="AV8">
        <f t="shared" si="1"/>
        <v>2.6989780853348786E-6</v>
      </c>
      <c r="AW8">
        <f t="shared" si="1"/>
        <v>2.7116700635405804E-6</v>
      </c>
      <c r="AX8">
        <f t="shared" si="1"/>
        <v>2.7243620417462822E-6</v>
      </c>
      <c r="AY8">
        <f t="shared" si="1"/>
        <v>2.7370540199519839E-6</v>
      </c>
      <c r="AZ8">
        <f t="shared" si="1"/>
        <v>2.7497459981576857E-6</v>
      </c>
    </row>
    <row r="9" spans="1:52" x14ac:dyDescent="0.25">
      <c r="A9" t="s">
        <v>57</v>
      </c>
      <c r="B9">
        <v>1.6291065511515873E-6</v>
      </c>
      <c r="C9">
        <v>1.6305050647442705E-6</v>
      </c>
      <c r="D9">
        <v>1.6084036948467081E-6</v>
      </c>
      <c r="E9">
        <v>1.5947890734560347E-6</v>
      </c>
      <c r="F9">
        <v>1.5940765606704825E-6</v>
      </c>
      <c r="G9">
        <v>1.5547972128929893E-6</v>
      </c>
      <c r="H9">
        <v>1.5291015766077971E-6</v>
      </c>
      <c r="I9">
        <v>1.5279777244054466E-6</v>
      </c>
      <c r="J9">
        <v>1.5198991450693695E-6</v>
      </c>
      <c r="K9">
        <v>1.5256222316371919E-6</v>
      </c>
      <c r="L9">
        <v>1.5233388619651389E-6</v>
      </c>
      <c r="M9">
        <v>1.522352122901721E-6</v>
      </c>
      <c r="N9">
        <v>1.5135015886678372E-6</v>
      </c>
      <c r="O9">
        <v>1.5107212829373403E-6</v>
      </c>
      <c r="P9">
        <v>1.5052423053105075E-6</v>
      </c>
      <c r="Q9">
        <v>1.4944317664952331E-6</v>
      </c>
      <c r="R9">
        <v>1.4823610549001721E-6</v>
      </c>
      <c r="S9">
        <v>1.4798375390946126E-6</v>
      </c>
      <c r="T9">
        <v>1.4793033526458227E-6</v>
      </c>
      <c r="U9">
        <v>1.4772054423640021E-6</v>
      </c>
      <c r="V9">
        <v>1.4811531911791693E-6</v>
      </c>
      <c r="W9">
        <v>1.4778545502298167E-6</v>
      </c>
      <c r="X9">
        <v>1.4693701794074182E-6</v>
      </c>
      <c r="Y9">
        <v>1.4604126493714772E-6</v>
      </c>
      <c r="Z9">
        <v>1.4562223767383133E-6</v>
      </c>
      <c r="AA9">
        <v>1.4537868352588896E-6</v>
      </c>
      <c r="AB9">
        <v>1.451543886223169E-6</v>
      </c>
      <c r="AC9">
        <v>1.4471840054297068E-6</v>
      </c>
      <c r="AD9">
        <v>1.4403616360659324E-6</v>
      </c>
      <c r="AE9">
        <v>1.4414086098031008E-6</v>
      </c>
      <c r="AF9">
        <v>1.4392607681469868E-6</v>
      </c>
      <c r="AG9">
        <f>_xlfn.FORECAST.ETS(AG3,$B$9:$AF$9,$B$3:$AF$3)</f>
        <v>1.4350352829683432E-6</v>
      </c>
      <c r="AH9">
        <f t="shared" ref="AH9:AZ9" si="2">_xlfn.FORECAST.ETS(AH3,$B$9:$AF$9,$B$3:$AF$3)</f>
        <v>1.4308144264424042E-6</v>
      </c>
      <c r="AI9">
        <f t="shared" si="2"/>
        <v>1.4265935699164652E-6</v>
      </c>
      <c r="AJ9">
        <f t="shared" si="2"/>
        <v>1.4223727133905262E-6</v>
      </c>
      <c r="AK9">
        <f t="shared" si="2"/>
        <v>1.4181518568645869E-6</v>
      </c>
      <c r="AL9">
        <f t="shared" si="2"/>
        <v>1.4139310003386479E-6</v>
      </c>
      <c r="AM9">
        <f t="shared" si="2"/>
        <v>1.4097101438127089E-6</v>
      </c>
      <c r="AN9">
        <f t="shared" si="2"/>
        <v>1.4054892872867699E-6</v>
      </c>
      <c r="AO9">
        <f t="shared" si="2"/>
        <v>1.4012684307608309E-6</v>
      </c>
      <c r="AP9">
        <f t="shared" si="2"/>
        <v>1.3970475742348919E-6</v>
      </c>
      <c r="AQ9">
        <f t="shared" si="2"/>
        <v>1.3928267177089529E-6</v>
      </c>
      <c r="AR9">
        <f t="shared" si="2"/>
        <v>1.3886058611830139E-6</v>
      </c>
      <c r="AS9">
        <f t="shared" si="2"/>
        <v>1.3843850046570749E-6</v>
      </c>
      <c r="AT9">
        <f t="shared" si="2"/>
        <v>1.3801641481311358E-6</v>
      </c>
      <c r="AU9">
        <f t="shared" si="2"/>
        <v>1.3759432916051968E-6</v>
      </c>
      <c r="AV9">
        <f t="shared" si="2"/>
        <v>1.3717224350792576E-6</v>
      </c>
      <c r="AW9">
        <f t="shared" si="2"/>
        <v>1.3675015785533186E-6</v>
      </c>
      <c r="AX9">
        <f t="shared" si="2"/>
        <v>1.3632807220273796E-6</v>
      </c>
      <c r="AY9">
        <f t="shared" si="2"/>
        <v>1.3590598655014406E-6</v>
      </c>
      <c r="AZ9">
        <f t="shared" si="2"/>
        <v>1.3548390089755016E-6</v>
      </c>
    </row>
    <row r="10" spans="1:52" x14ac:dyDescent="0.25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t="s">
        <v>59</v>
      </c>
      <c r="B11">
        <v>2.8308895399118561E-6</v>
      </c>
      <c r="C11">
        <v>2.616174539137715E-6</v>
      </c>
      <c r="D11">
        <v>2.4732866897626558E-6</v>
      </c>
      <c r="E11">
        <v>2.4145631966839381E-6</v>
      </c>
      <c r="F11">
        <v>2.3432790009973459E-6</v>
      </c>
      <c r="G11">
        <v>2.3026125453788493E-6</v>
      </c>
      <c r="H11">
        <v>2.2736441848061817E-6</v>
      </c>
      <c r="I11">
        <v>2.2572891502468129E-6</v>
      </c>
      <c r="J11">
        <v>2.256428920854533E-6</v>
      </c>
      <c r="K11">
        <v>2.260021060615561E-6</v>
      </c>
      <c r="L11">
        <v>2.2709220574620628E-6</v>
      </c>
      <c r="M11">
        <v>2.2801664305857967E-6</v>
      </c>
      <c r="N11">
        <v>2.2940978357610456E-6</v>
      </c>
      <c r="O11">
        <v>2.3052552914508709E-6</v>
      </c>
      <c r="P11">
        <v>2.3164661642579769E-6</v>
      </c>
      <c r="Q11">
        <v>2.3263273296808544E-6</v>
      </c>
      <c r="R11">
        <v>2.3366028703408624E-6</v>
      </c>
      <c r="S11">
        <v>2.3490500919117098E-6</v>
      </c>
      <c r="T11">
        <v>2.3621242212297881E-6</v>
      </c>
      <c r="U11">
        <v>2.3720450262589519E-6</v>
      </c>
      <c r="V11">
        <v>2.3830872802298497E-6</v>
      </c>
      <c r="W11">
        <v>2.3956624985365389E-6</v>
      </c>
      <c r="X11">
        <v>2.4042074857747723E-6</v>
      </c>
      <c r="Y11">
        <v>2.4153949815643934E-6</v>
      </c>
      <c r="Z11">
        <v>2.4280849864002845E-6</v>
      </c>
      <c r="AA11">
        <v>2.4411161702037764E-6</v>
      </c>
      <c r="AB11">
        <v>2.4546342246534684E-6</v>
      </c>
      <c r="AC11">
        <v>2.4651949401485543E-6</v>
      </c>
      <c r="AD11">
        <v>2.4721520677437124E-6</v>
      </c>
      <c r="AE11">
        <v>2.4821588910396485E-6</v>
      </c>
      <c r="AF11">
        <v>2.4959149440424242E-6</v>
      </c>
      <c r="AG11">
        <f>_xlfn.FORECAST.ETS(AG3,$B$11:$AF$11,$B$3:$AF$3)</f>
        <v>2.5085984122493527E-6</v>
      </c>
      <c r="AH11">
        <f t="shared" ref="AH11:AZ11" si="3">_xlfn.FORECAST.ETS(AH3,$B$11:$AF$11,$B$3:$AF$3)</f>
        <v>2.5212903904550545E-6</v>
      </c>
      <c r="AI11">
        <f t="shared" si="3"/>
        <v>2.5339823686607562E-6</v>
      </c>
      <c r="AJ11">
        <f t="shared" si="3"/>
        <v>2.546674346866458E-6</v>
      </c>
      <c r="AK11">
        <f t="shared" si="3"/>
        <v>2.5593663250721597E-6</v>
      </c>
      <c r="AL11">
        <f t="shared" si="3"/>
        <v>2.5720583032778615E-6</v>
      </c>
      <c r="AM11">
        <f t="shared" si="3"/>
        <v>2.5847502814835632E-6</v>
      </c>
      <c r="AN11">
        <f t="shared" si="3"/>
        <v>2.5974422596892646E-6</v>
      </c>
      <c r="AO11">
        <f t="shared" si="3"/>
        <v>2.6101342378949663E-6</v>
      </c>
      <c r="AP11">
        <f t="shared" si="3"/>
        <v>2.6228262161006681E-6</v>
      </c>
      <c r="AQ11">
        <f t="shared" si="3"/>
        <v>2.6355181943063698E-6</v>
      </c>
      <c r="AR11">
        <f t="shared" si="3"/>
        <v>2.6482101725120716E-6</v>
      </c>
      <c r="AS11">
        <f t="shared" si="3"/>
        <v>2.6609021507177734E-6</v>
      </c>
      <c r="AT11">
        <f t="shared" si="3"/>
        <v>2.6735941289234751E-6</v>
      </c>
      <c r="AU11">
        <f t="shared" si="3"/>
        <v>2.6862861071291769E-6</v>
      </c>
      <c r="AV11">
        <f t="shared" si="3"/>
        <v>2.6989780853348786E-6</v>
      </c>
      <c r="AW11">
        <f t="shared" si="3"/>
        <v>2.7116700635405804E-6</v>
      </c>
      <c r="AX11">
        <f t="shared" si="3"/>
        <v>2.7243620417462822E-6</v>
      </c>
      <c r="AY11">
        <f t="shared" si="3"/>
        <v>2.7370540199519839E-6</v>
      </c>
      <c r="AZ11">
        <f t="shared" si="3"/>
        <v>2.7497459981576857E-6</v>
      </c>
    </row>
    <row r="12" spans="1:52" s="3" customFormat="1" x14ac:dyDescent="0.25">
      <c r="A12" s="5" t="s">
        <v>31</v>
      </c>
    </row>
    <row r="13" spans="1:52" x14ac:dyDescent="0.25">
      <c r="A13" t="s">
        <v>30</v>
      </c>
      <c r="B13">
        <v>2020</v>
      </c>
      <c r="C13">
        <v>2021</v>
      </c>
      <c r="D13">
        <v>2022</v>
      </c>
      <c r="E13">
        <v>2023</v>
      </c>
      <c r="F13">
        <v>2024</v>
      </c>
      <c r="G13">
        <v>2025</v>
      </c>
      <c r="H13">
        <v>2026</v>
      </c>
      <c r="I13">
        <v>2027</v>
      </c>
      <c r="J13">
        <v>2028</v>
      </c>
      <c r="K13">
        <v>2029</v>
      </c>
      <c r="L13">
        <v>2030</v>
      </c>
      <c r="M13">
        <v>2031</v>
      </c>
      <c r="N13">
        <v>2032</v>
      </c>
      <c r="O13">
        <v>2033</v>
      </c>
      <c r="P13">
        <v>2034</v>
      </c>
      <c r="Q13">
        <v>2035</v>
      </c>
      <c r="R13">
        <v>2036</v>
      </c>
      <c r="S13">
        <v>2037</v>
      </c>
      <c r="T13">
        <v>2038</v>
      </c>
      <c r="U13">
        <v>2039</v>
      </c>
      <c r="V13">
        <v>2040</v>
      </c>
      <c r="W13">
        <v>2041</v>
      </c>
      <c r="X13">
        <v>2042</v>
      </c>
      <c r="Y13">
        <v>2043</v>
      </c>
      <c r="Z13">
        <v>2044</v>
      </c>
      <c r="AA13">
        <v>2045</v>
      </c>
      <c r="AB13">
        <v>2046</v>
      </c>
      <c r="AC13">
        <v>2047</v>
      </c>
      <c r="AD13">
        <v>2048</v>
      </c>
      <c r="AE13">
        <v>2049</v>
      </c>
      <c r="AF13">
        <v>2050</v>
      </c>
      <c r="AG13">
        <v>2051</v>
      </c>
      <c r="AH13">
        <v>2052</v>
      </c>
      <c r="AI13">
        <v>2053</v>
      </c>
      <c r="AJ13">
        <v>2054</v>
      </c>
      <c r="AK13">
        <v>2055</v>
      </c>
      <c r="AL13">
        <v>2056</v>
      </c>
      <c r="AM13">
        <v>2057</v>
      </c>
      <c r="AN13">
        <v>2058</v>
      </c>
      <c r="AO13">
        <v>2059</v>
      </c>
      <c r="AP13">
        <v>2060</v>
      </c>
      <c r="AQ13">
        <v>2061</v>
      </c>
      <c r="AR13">
        <v>2062</v>
      </c>
      <c r="AS13">
        <v>2063</v>
      </c>
      <c r="AT13">
        <v>2064</v>
      </c>
      <c r="AU13">
        <v>2065</v>
      </c>
      <c r="AV13">
        <v>2066</v>
      </c>
      <c r="AW13">
        <v>2067</v>
      </c>
      <c r="AX13">
        <v>2068</v>
      </c>
      <c r="AY13">
        <v>2069</v>
      </c>
      <c r="AZ13">
        <v>2070</v>
      </c>
    </row>
    <row r="14" spans="1:52" x14ac:dyDescent="0.25">
      <c r="A14" t="s">
        <v>52</v>
      </c>
      <c r="B14">
        <v>1.0759342434698278E-5</v>
      </c>
      <c r="C14">
        <v>1.1803273900137211E-5</v>
      </c>
      <c r="D14">
        <v>2.1802140229947455E-5</v>
      </c>
      <c r="E14">
        <v>1.8774609053496225E-5</v>
      </c>
      <c r="F14">
        <v>1.4183929771810905E-5</v>
      </c>
      <c r="G14">
        <v>1.3188592065313209E-5</v>
      </c>
      <c r="H14">
        <v>1.2660100096071635E-5</v>
      </c>
      <c r="I14">
        <v>1.2131608126830061E-5</v>
      </c>
      <c r="J14">
        <v>1.1603116157588487E-5</v>
      </c>
      <c r="K14">
        <v>1.1074624188346913E-5</v>
      </c>
      <c r="L14">
        <v>1.0546132219105339E-5</v>
      </c>
      <c r="M14">
        <v>1.0323734744747912E-5</v>
      </c>
      <c r="N14">
        <v>1.0259291647453161E-5</v>
      </c>
      <c r="O14">
        <v>1.0155611712578647E-5</v>
      </c>
      <c r="P14">
        <v>1.004057668304327E-5</v>
      </c>
      <c r="Q14">
        <v>9.9308645091527666E-6</v>
      </c>
      <c r="R14">
        <v>9.8287918484897493E-6</v>
      </c>
      <c r="S14">
        <v>9.7313731726706216E-6</v>
      </c>
      <c r="T14">
        <v>9.6877890882780725E-6</v>
      </c>
      <c r="U14">
        <v>9.6109135926714404E-6</v>
      </c>
      <c r="V14">
        <v>9.5745151153633181E-6</v>
      </c>
      <c r="W14">
        <v>9.5137404726346262E-6</v>
      </c>
      <c r="X14">
        <v>9.4628368416400244E-6</v>
      </c>
      <c r="Y14">
        <v>9.4110311858693168E-6</v>
      </c>
      <c r="Z14">
        <v>9.3715942658002641E-6</v>
      </c>
      <c r="AA14">
        <v>9.3467534460037328E-6</v>
      </c>
      <c r="AB14">
        <v>9.3312015797906278E-6</v>
      </c>
      <c r="AC14">
        <v>9.3299539579875652E-6</v>
      </c>
      <c r="AD14">
        <v>9.3377489071984734E-6</v>
      </c>
      <c r="AE14">
        <v>9.3652668637732086E-6</v>
      </c>
      <c r="AF14">
        <v>9.3821035572109371E-6</v>
      </c>
      <c r="AG14">
        <f>_xlfn.FORECAST.ETS(AG1,$L$14:$AF$14,$L$13:$AF$13)</f>
        <v>9.3250488252737594E-6</v>
      </c>
      <c r="AH14">
        <f t="shared" ref="AH14:AZ14" si="4">_xlfn.FORECAST.ETS(AH1,$L$14:$AF$14,$L$13:$AF$13)</f>
        <v>9.2679940933365801E-6</v>
      </c>
      <c r="AI14">
        <f t="shared" si="4"/>
        <v>9.2109393613994024E-6</v>
      </c>
      <c r="AJ14">
        <f t="shared" si="4"/>
        <v>9.1538846294622248E-6</v>
      </c>
      <c r="AK14">
        <f t="shared" si="4"/>
        <v>9.0968298975250455E-6</v>
      </c>
      <c r="AL14">
        <f t="shared" si="4"/>
        <v>9.0397751655878678E-6</v>
      </c>
      <c r="AM14">
        <f t="shared" si="4"/>
        <v>8.9827204336506902E-6</v>
      </c>
      <c r="AN14">
        <f t="shared" si="4"/>
        <v>8.9256657017135125E-6</v>
      </c>
      <c r="AO14">
        <f t="shared" si="4"/>
        <v>8.8686109697763332E-6</v>
      </c>
      <c r="AP14">
        <f t="shared" si="4"/>
        <v>8.8115562378391556E-6</v>
      </c>
      <c r="AQ14">
        <f t="shared" si="4"/>
        <v>8.7545015059019779E-6</v>
      </c>
      <c r="AR14">
        <f t="shared" si="4"/>
        <v>8.6974467739647986E-6</v>
      </c>
      <c r="AS14">
        <f t="shared" si="4"/>
        <v>8.6403920420276209E-6</v>
      </c>
      <c r="AT14">
        <f t="shared" si="4"/>
        <v>8.5833373100904433E-6</v>
      </c>
      <c r="AU14">
        <f t="shared" si="4"/>
        <v>8.5262825781532657E-6</v>
      </c>
      <c r="AV14">
        <f t="shared" si="4"/>
        <v>8.4692278462160863E-6</v>
      </c>
      <c r="AW14">
        <f t="shared" si="4"/>
        <v>8.4121731142789087E-6</v>
      </c>
      <c r="AX14">
        <f t="shared" si="4"/>
        <v>8.355118382341731E-6</v>
      </c>
      <c r="AY14">
        <f t="shared" si="4"/>
        <v>8.2980636504045517E-6</v>
      </c>
      <c r="AZ14">
        <f t="shared" si="4"/>
        <v>8.2410089184673741E-6</v>
      </c>
    </row>
    <row r="15" spans="1:52" x14ac:dyDescent="0.25">
      <c r="A15" t="s">
        <v>53</v>
      </c>
      <c r="B15">
        <v>2.0235855162517513E-6</v>
      </c>
      <c r="C15">
        <v>3.711762470007917E-6</v>
      </c>
      <c r="D15">
        <v>6.8560948899464271E-6</v>
      </c>
      <c r="E15">
        <v>5.9040305141972571E-6</v>
      </c>
      <c r="F15">
        <v>4.4604046851461831E-6</v>
      </c>
      <c r="G15">
        <v>4.1474019390251296E-6</v>
      </c>
      <c r="H15">
        <v>3.9148397126155069E-6</v>
      </c>
      <c r="I15">
        <v>3.6822774862058838E-6</v>
      </c>
      <c r="J15">
        <v>3.4497152597962607E-6</v>
      </c>
      <c r="K15">
        <v>3.2171530333866376E-6</v>
      </c>
      <c r="L15">
        <v>2.984590806977014E-6</v>
      </c>
      <c r="M15">
        <v>2.9831373151746411E-6</v>
      </c>
      <c r="N15">
        <v>3.0280963465907089E-6</v>
      </c>
      <c r="O15">
        <v>3.0838664467256805E-6</v>
      </c>
      <c r="P15">
        <v>3.111546453580999E-6</v>
      </c>
      <c r="Q15">
        <v>3.1117432289217077E-6</v>
      </c>
      <c r="R15">
        <v>3.113605153574122E-6</v>
      </c>
      <c r="S15">
        <v>3.0969685426256844E-6</v>
      </c>
      <c r="T15">
        <v>3.1209156055175712E-6</v>
      </c>
      <c r="U15">
        <v>3.1195613281726978E-6</v>
      </c>
      <c r="V15">
        <v>3.1185088281360531E-6</v>
      </c>
      <c r="W15">
        <v>3.1103054460751053E-6</v>
      </c>
      <c r="X15">
        <v>3.0985427453513493E-6</v>
      </c>
      <c r="Y15">
        <v>3.0855258085273656E-6</v>
      </c>
      <c r="Z15">
        <v>3.085268677725012E-6</v>
      </c>
      <c r="AA15">
        <v>3.0912901685081087E-6</v>
      </c>
      <c r="AB15">
        <v>3.0947957460064371E-6</v>
      </c>
      <c r="AC15">
        <v>3.1109619150688959E-6</v>
      </c>
      <c r="AD15">
        <v>3.1506741552575125E-6</v>
      </c>
      <c r="AE15">
        <v>3.1919696928303971E-6</v>
      </c>
      <c r="AF15">
        <v>3.2257406405890635E-6</v>
      </c>
      <c r="AG15">
        <f>_xlfn.FORECAST.ETS(AG1,$B$15:$AF$15,$B$13:$AF$13)</f>
        <v>3.2323523250376882E-6</v>
      </c>
      <c r="AH15">
        <f t="shared" ref="AH15:AZ15" si="5">_xlfn.FORECAST.ETS(AH1,$B$15:$AF$15,$B$13:$AF$13)</f>
        <v>3.2390243482396053E-6</v>
      </c>
      <c r="AI15">
        <f t="shared" si="5"/>
        <v>3.2456963714415225E-6</v>
      </c>
      <c r="AJ15">
        <f t="shared" si="5"/>
        <v>3.2523683946434396E-6</v>
      </c>
      <c r="AK15">
        <f t="shared" si="5"/>
        <v>3.2590404178453567E-6</v>
      </c>
      <c r="AL15">
        <f t="shared" si="5"/>
        <v>3.2657124410472738E-6</v>
      </c>
      <c r="AM15">
        <f t="shared" si="5"/>
        <v>3.2723844642491913E-6</v>
      </c>
      <c r="AN15">
        <f t="shared" si="5"/>
        <v>3.2790564874511085E-6</v>
      </c>
      <c r="AO15">
        <f t="shared" si="5"/>
        <v>3.2857285106530256E-6</v>
      </c>
      <c r="AP15">
        <f t="shared" si="5"/>
        <v>3.2924005338549427E-6</v>
      </c>
      <c r="AQ15">
        <f t="shared" si="5"/>
        <v>3.2990725570568598E-6</v>
      </c>
      <c r="AR15">
        <f t="shared" si="5"/>
        <v>3.3057445802587769E-6</v>
      </c>
      <c r="AS15">
        <f t="shared" si="5"/>
        <v>3.312416603460694E-6</v>
      </c>
      <c r="AT15">
        <f t="shared" si="5"/>
        <v>3.3190886266626112E-6</v>
      </c>
      <c r="AU15">
        <f t="shared" si="5"/>
        <v>3.3257606498645283E-6</v>
      </c>
      <c r="AV15">
        <f t="shared" si="5"/>
        <v>3.3324326730664454E-6</v>
      </c>
      <c r="AW15">
        <f t="shared" si="5"/>
        <v>3.3391046962683625E-6</v>
      </c>
      <c r="AX15">
        <f t="shared" si="5"/>
        <v>3.3457767194702796E-6</v>
      </c>
      <c r="AY15">
        <f t="shared" si="5"/>
        <v>3.3524487426721972E-6</v>
      </c>
      <c r="AZ15">
        <f t="shared" si="5"/>
        <v>3.3591207658741143E-6</v>
      </c>
    </row>
    <row r="16" spans="1:52" x14ac:dyDescent="0.25">
      <c r="A16" t="s">
        <v>54</v>
      </c>
      <c r="B16">
        <v>8.3850404254816371E-6</v>
      </c>
      <c r="C16">
        <v>1.1803273900137211E-5</v>
      </c>
      <c r="D16">
        <v>2.1802140229947455E-5</v>
      </c>
      <c r="E16">
        <v>1.8774609053496225E-5</v>
      </c>
      <c r="F16">
        <v>1.4183929771810905E-5</v>
      </c>
      <c r="G16">
        <v>1.3188592065313209E-5</v>
      </c>
      <c r="H16">
        <v>1.2368350723777221E-5</v>
      </c>
      <c r="I16">
        <v>1.1548109382241232E-5</v>
      </c>
      <c r="J16">
        <v>1.0727868040705244E-5</v>
      </c>
      <c r="K16">
        <v>9.907626699169256E-6</v>
      </c>
      <c r="L16">
        <v>9.0873853576332695E-6</v>
      </c>
      <c r="M16">
        <v>9.125841708147366E-6</v>
      </c>
      <c r="N16">
        <v>9.2021053812660805E-6</v>
      </c>
      <c r="O16">
        <v>9.292139194298635E-6</v>
      </c>
      <c r="P16">
        <v>9.3463830453623999E-6</v>
      </c>
      <c r="Q16">
        <v>9.3753453990809059E-6</v>
      </c>
      <c r="R16">
        <v>9.3883838323706815E-6</v>
      </c>
      <c r="S16">
        <v>9.4106996442238407E-6</v>
      </c>
      <c r="T16">
        <v>9.4362159491185174E-6</v>
      </c>
      <c r="U16">
        <v>9.4532543786198249E-6</v>
      </c>
      <c r="V16">
        <v>9.4589368866731324E-6</v>
      </c>
      <c r="W16">
        <v>9.4794205382111272E-6</v>
      </c>
      <c r="X16">
        <v>9.4863101554973479E-6</v>
      </c>
      <c r="Y16">
        <v>9.4976644233710639E-6</v>
      </c>
      <c r="Z16">
        <v>9.5017851305058916E-6</v>
      </c>
      <c r="AA16">
        <v>9.5297826236252077E-6</v>
      </c>
      <c r="AB16">
        <v>9.545121178754691E-6</v>
      </c>
      <c r="AC16">
        <v>9.580760665462938E-6</v>
      </c>
      <c r="AD16">
        <v>9.6187639366211172E-6</v>
      </c>
      <c r="AE16">
        <v>9.6722273006192173E-6</v>
      </c>
      <c r="AF16">
        <v>9.7213698749931965E-6</v>
      </c>
      <c r="AG16">
        <f>_xlfn.FORECAST.ETS(AG1,$B$16:$AF$16,$B$13:$AF$13)</f>
        <v>9.7139258671623231E-6</v>
      </c>
      <c r="AH16">
        <f t="shared" ref="AH16:AZ16" si="6">_xlfn.FORECAST.ETS(AH1,$B$16:$AF$16,$B$13:$AF$13)</f>
        <v>9.7066075195774048E-6</v>
      </c>
      <c r="AI16">
        <f t="shared" si="6"/>
        <v>9.6992891719924865E-6</v>
      </c>
      <c r="AJ16">
        <f t="shared" si="6"/>
        <v>9.69197082440757E-6</v>
      </c>
      <c r="AK16">
        <f t="shared" si="6"/>
        <v>9.6846524768226517E-6</v>
      </c>
      <c r="AL16">
        <f t="shared" si="6"/>
        <v>9.6773341292377335E-6</v>
      </c>
      <c r="AM16">
        <f t="shared" si="6"/>
        <v>9.6700157816528152E-6</v>
      </c>
      <c r="AN16">
        <f t="shared" si="6"/>
        <v>9.6626974340678969E-6</v>
      </c>
      <c r="AO16">
        <f t="shared" si="6"/>
        <v>9.6553790864829787E-6</v>
      </c>
      <c r="AP16">
        <f t="shared" si="6"/>
        <v>9.6480607388980604E-6</v>
      </c>
      <c r="AQ16">
        <f t="shared" si="6"/>
        <v>9.6407423913131422E-6</v>
      </c>
      <c r="AR16">
        <f t="shared" si="6"/>
        <v>9.6334240437282256E-6</v>
      </c>
      <c r="AS16">
        <f t="shared" si="6"/>
        <v>9.6261056961433073E-6</v>
      </c>
      <c r="AT16">
        <f t="shared" si="6"/>
        <v>9.6187873485583891E-6</v>
      </c>
      <c r="AU16">
        <f t="shared" si="6"/>
        <v>9.6114690009734708E-6</v>
      </c>
      <c r="AV16">
        <f t="shared" si="6"/>
        <v>9.6041506533885526E-6</v>
      </c>
      <c r="AW16">
        <f t="shared" si="6"/>
        <v>9.5968323058036343E-6</v>
      </c>
      <c r="AX16">
        <f t="shared" si="6"/>
        <v>9.589513958218716E-6</v>
      </c>
      <c r="AY16">
        <f t="shared" si="6"/>
        <v>9.5821956106337995E-6</v>
      </c>
      <c r="AZ16">
        <f t="shared" si="6"/>
        <v>9.5748772630488812E-6</v>
      </c>
    </row>
    <row r="17" spans="1:52" x14ac:dyDescent="0.25">
      <c r="A17" t="s">
        <v>55</v>
      </c>
      <c r="B17">
        <v>5.9755759857398948E-6</v>
      </c>
      <c r="C17">
        <v>8.6732305889665559E-6</v>
      </c>
      <c r="D17">
        <v>1.602055422480033E-5</v>
      </c>
      <c r="E17">
        <v>1.3795876882665489E-5</v>
      </c>
      <c r="F17">
        <v>1.0422573822267537E-5</v>
      </c>
      <c r="G17">
        <v>9.6911840811341681E-6</v>
      </c>
      <c r="H17">
        <v>9.1082498258414528E-6</v>
      </c>
      <c r="I17">
        <v>8.5253155705487375E-6</v>
      </c>
      <c r="J17">
        <v>7.9423813152560221E-6</v>
      </c>
      <c r="K17">
        <v>7.3594470599633068E-6</v>
      </c>
      <c r="L17">
        <v>6.7765128046705897E-6</v>
      </c>
      <c r="M17">
        <v>6.7851609982159951E-6</v>
      </c>
      <c r="N17">
        <v>6.8299844365401467E-6</v>
      </c>
      <c r="O17">
        <v>6.8999479916076215E-6</v>
      </c>
      <c r="P17">
        <v>6.9382026060581355E-6</v>
      </c>
      <c r="Q17">
        <v>6.9538561670901789E-6</v>
      </c>
      <c r="R17">
        <v>6.9552154051579257E-6</v>
      </c>
      <c r="S17">
        <v>6.9659785202223714E-6</v>
      </c>
      <c r="T17">
        <v>6.9803042610982067E-6</v>
      </c>
      <c r="U17">
        <v>6.9883224428384885E-6</v>
      </c>
      <c r="V17">
        <v>6.9866622542496579E-6</v>
      </c>
      <c r="W17">
        <v>6.9998569503099958E-6</v>
      </c>
      <c r="X17">
        <v>6.9991500473003075E-6</v>
      </c>
      <c r="Y17">
        <v>7.0048598393294265E-6</v>
      </c>
      <c r="Z17">
        <v>7.0022877045187418E-6</v>
      </c>
      <c r="AA17">
        <v>7.0235940092668388E-6</v>
      </c>
      <c r="AB17">
        <v>7.0332252527286393E-6</v>
      </c>
      <c r="AC17">
        <v>7.0621735510656664E-6</v>
      </c>
      <c r="AD17">
        <v>7.0938270969438554E-6</v>
      </c>
      <c r="AE17">
        <v>7.139412833016463E-6</v>
      </c>
      <c r="AF17">
        <v>7.1809464852873484E-6</v>
      </c>
      <c r="AG17">
        <f>_xlfn.FORECAST.ETS(AG1,$B$17:$AF$17,$B$13:$AF$13)</f>
        <v>7.1768901036578312E-6</v>
      </c>
      <c r="AH17">
        <f t="shared" ref="AH17:AZ17" si="7">_xlfn.FORECAST.ETS(AH1,$B$17:$AF$17,$B$13:$AF$13)</f>
        <v>7.1729349653444299E-6</v>
      </c>
      <c r="AI17">
        <f t="shared" si="7"/>
        <v>7.1689798270310294E-6</v>
      </c>
      <c r="AJ17">
        <f t="shared" si="7"/>
        <v>7.1650246887176281E-6</v>
      </c>
      <c r="AK17">
        <f t="shared" si="7"/>
        <v>7.1610695504042276E-6</v>
      </c>
      <c r="AL17">
        <f t="shared" si="7"/>
        <v>7.1571144120908272E-6</v>
      </c>
      <c r="AM17">
        <f t="shared" si="7"/>
        <v>7.1531592737774258E-6</v>
      </c>
      <c r="AN17">
        <f t="shared" si="7"/>
        <v>7.1492041354640254E-6</v>
      </c>
      <c r="AO17">
        <f t="shared" si="7"/>
        <v>7.145248997150624E-6</v>
      </c>
      <c r="AP17">
        <f t="shared" si="7"/>
        <v>7.1412938588372235E-6</v>
      </c>
      <c r="AQ17">
        <f t="shared" si="7"/>
        <v>7.1373387205238231E-6</v>
      </c>
      <c r="AR17">
        <f t="shared" si="7"/>
        <v>7.1333835822104217E-6</v>
      </c>
      <c r="AS17">
        <f t="shared" si="7"/>
        <v>7.1294284438970213E-6</v>
      </c>
      <c r="AT17">
        <f t="shared" si="7"/>
        <v>7.1254733055836199E-6</v>
      </c>
      <c r="AU17">
        <f t="shared" si="7"/>
        <v>7.1215181672702195E-6</v>
      </c>
      <c r="AV17">
        <f t="shared" si="7"/>
        <v>7.117563028956819E-6</v>
      </c>
      <c r="AW17">
        <f t="shared" si="7"/>
        <v>7.1136078906434177E-6</v>
      </c>
      <c r="AX17">
        <f t="shared" si="7"/>
        <v>7.1096527523300172E-6</v>
      </c>
      <c r="AY17">
        <f t="shared" si="7"/>
        <v>7.1056976140166158E-6</v>
      </c>
      <c r="AZ17">
        <f t="shared" si="7"/>
        <v>7.1017424757032154E-6</v>
      </c>
    </row>
    <row r="18" spans="1:52" x14ac:dyDescent="0.25">
      <c r="A18" t="s">
        <v>56</v>
      </c>
      <c r="B18">
        <v>2.5308053748383799E-6</v>
      </c>
      <c r="C18">
        <v>4.4088164650050991E-6</v>
      </c>
      <c r="D18">
        <v>8.1436418091615247E-6</v>
      </c>
      <c r="E18">
        <v>7.012783590332994E-6</v>
      </c>
      <c r="F18">
        <v>5.2980506633595083E-6</v>
      </c>
      <c r="G18">
        <v>4.9262672661618513E-6</v>
      </c>
      <c r="H18">
        <v>4.6351556937350232E-6</v>
      </c>
      <c r="I18">
        <v>4.3440441213081952E-6</v>
      </c>
      <c r="J18">
        <v>4.0529325488813671E-6</v>
      </c>
      <c r="K18">
        <v>3.761820976454539E-6</v>
      </c>
      <c r="L18">
        <v>3.4707094040277118E-6</v>
      </c>
      <c r="M18">
        <v>3.4777362679801405E-6</v>
      </c>
      <c r="N18">
        <v>3.5206738048246483E-6</v>
      </c>
      <c r="O18">
        <v>3.5800900362727405E-6</v>
      </c>
      <c r="P18">
        <v>3.6071945992745593E-6</v>
      </c>
      <c r="Q18">
        <v>3.6161222468752569E-6</v>
      </c>
      <c r="R18">
        <v>3.616529852938152E-6</v>
      </c>
      <c r="S18">
        <v>3.6074219657396634E-6</v>
      </c>
      <c r="T18">
        <v>3.6222942129188946E-6</v>
      </c>
      <c r="U18">
        <v>3.6164711510507983E-6</v>
      </c>
      <c r="V18">
        <v>3.6088283306747237E-6</v>
      </c>
      <c r="W18">
        <v>3.6060387508446859E-6</v>
      </c>
      <c r="X18">
        <v>3.5906117294906011E-6</v>
      </c>
      <c r="Y18">
        <v>3.5766340660031606E-6</v>
      </c>
      <c r="Z18">
        <v>3.5692624318109202E-6</v>
      </c>
      <c r="AA18">
        <v>3.575218606409496E-6</v>
      </c>
      <c r="AB18">
        <v>3.5776733374454726E-6</v>
      </c>
      <c r="AC18">
        <v>3.5959693101955945E-6</v>
      </c>
      <c r="AD18">
        <v>3.6288770921740111E-6</v>
      </c>
      <c r="AE18">
        <v>3.6730391007814969E-6</v>
      </c>
      <c r="AF18">
        <v>3.7045826839692903E-6</v>
      </c>
      <c r="AG18">
        <f>_xlfn.FORECAST.ETS(AG1,$B$18:$AF$18,$B$13:$AF$13)</f>
        <v>3.707504036023655E-6</v>
      </c>
      <c r="AH18">
        <f t="shared" ref="AH18:AZ18" si="8">_xlfn.FORECAST.ETS(AH1,$B$18:$AF$18,$B$13:$AF$13)</f>
        <v>3.710489000062449E-6</v>
      </c>
      <c r="AI18">
        <f t="shared" si="8"/>
        <v>3.7134739641012426E-6</v>
      </c>
      <c r="AJ18">
        <f t="shared" si="8"/>
        <v>3.7164589281400366E-6</v>
      </c>
      <c r="AK18">
        <f t="shared" si="8"/>
        <v>3.7194438921788306E-6</v>
      </c>
      <c r="AL18">
        <f t="shared" si="8"/>
        <v>3.7224288562176246E-6</v>
      </c>
      <c r="AM18">
        <f t="shared" si="8"/>
        <v>3.7254138202564186E-6</v>
      </c>
      <c r="AN18">
        <f t="shared" si="8"/>
        <v>3.7283987842952121E-6</v>
      </c>
      <c r="AO18">
        <f t="shared" si="8"/>
        <v>3.7313837483340061E-6</v>
      </c>
      <c r="AP18">
        <f t="shared" si="8"/>
        <v>3.7343687123728002E-6</v>
      </c>
      <c r="AQ18">
        <f t="shared" si="8"/>
        <v>3.7373536764115942E-6</v>
      </c>
      <c r="AR18">
        <f t="shared" si="8"/>
        <v>3.7403386404503877E-6</v>
      </c>
      <c r="AS18">
        <f t="shared" si="8"/>
        <v>3.7433236044891817E-6</v>
      </c>
      <c r="AT18">
        <f t="shared" si="8"/>
        <v>3.7463085685279757E-6</v>
      </c>
      <c r="AU18">
        <f t="shared" si="8"/>
        <v>3.7492935325667697E-6</v>
      </c>
      <c r="AV18">
        <f t="shared" si="8"/>
        <v>3.7522784966055637E-6</v>
      </c>
      <c r="AW18">
        <f t="shared" si="8"/>
        <v>3.7552634606443573E-6</v>
      </c>
      <c r="AX18">
        <f t="shared" si="8"/>
        <v>3.7582484246831513E-6</v>
      </c>
      <c r="AY18">
        <f t="shared" si="8"/>
        <v>3.7612333887219453E-6</v>
      </c>
      <c r="AZ18">
        <f t="shared" si="8"/>
        <v>3.7642183527607393E-6</v>
      </c>
    </row>
    <row r="19" spans="1:52" x14ac:dyDescent="0.25">
      <c r="A19" t="s">
        <v>57</v>
      </c>
      <c r="B19">
        <v>2.0235855162517513E-6</v>
      </c>
      <c r="C19">
        <v>3.711762470007917E-6</v>
      </c>
      <c r="D19">
        <v>6.8560948899464271E-6</v>
      </c>
      <c r="E19">
        <v>5.9040305141972571E-6</v>
      </c>
      <c r="F19">
        <v>4.4604046851461831E-6</v>
      </c>
      <c r="G19">
        <v>4.1474019390251296E-6</v>
      </c>
      <c r="H19">
        <v>3.9148397126155069E-6</v>
      </c>
      <c r="I19">
        <v>3.6822774862058838E-6</v>
      </c>
      <c r="J19">
        <v>3.4497152597962607E-6</v>
      </c>
      <c r="K19">
        <v>3.2171530333866376E-6</v>
      </c>
      <c r="L19">
        <v>2.984590806977014E-6</v>
      </c>
      <c r="M19">
        <v>2.9831373151746411E-6</v>
      </c>
      <c r="N19">
        <v>3.0280963465907089E-6</v>
      </c>
      <c r="O19">
        <v>3.0838664467256805E-6</v>
      </c>
      <c r="P19">
        <v>3.111546453580999E-6</v>
      </c>
      <c r="Q19">
        <v>3.1117432289217077E-6</v>
      </c>
      <c r="R19">
        <v>3.113605153574122E-6</v>
      </c>
      <c r="S19">
        <v>3.0969685426256844E-6</v>
      </c>
      <c r="T19">
        <v>3.1209156055175712E-6</v>
      </c>
      <c r="U19">
        <v>3.1195613281726978E-6</v>
      </c>
      <c r="V19">
        <v>3.1185088281360531E-6</v>
      </c>
      <c r="W19">
        <v>3.1103054460751053E-6</v>
      </c>
      <c r="X19">
        <v>3.0985427453513493E-6</v>
      </c>
      <c r="Y19">
        <v>3.0855258085273656E-6</v>
      </c>
      <c r="Z19">
        <v>3.085268677725012E-6</v>
      </c>
      <c r="AA19">
        <v>3.0912901685081087E-6</v>
      </c>
      <c r="AB19">
        <v>3.0947957460064371E-6</v>
      </c>
      <c r="AC19">
        <v>3.1109619150688959E-6</v>
      </c>
      <c r="AD19">
        <v>3.1506741552575125E-6</v>
      </c>
      <c r="AE19">
        <v>3.1919696928303971E-6</v>
      </c>
      <c r="AF19">
        <v>3.2257406405890635E-6</v>
      </c>
      <c r="AG19">
        <f>_xlfn.FORECAST.ETS(AG1,$B$19:$AF$19,$B$13:$AF$13)</f>
        <v>3.2323523250376882E-6</v>
      </c>
      <c r="AH19">
        <f t="shared" ref="AH19:AZ19" si="9">_xlfn.FORECAST.ETS(AH1,$B$19:$AF$19,$B$13:$AF$13)</f>
        <v>3.2390243482396053E-6</v>
      </c>
      <c r="AI19">
        <f t="shared" si="9"/>
        <v>3.2456963714415225E-6</v>
      </c>
      <c r="AJ19">
        <f t="shared" si="9"/>
        <v>3.2523683946434396E-6</v>
      </c>
      <c r="AK19">
        <f t="shared" si="9"/>
        <v>3.2590404178453567E-6</v>
      </c>
      <c r="AL19">
        <f t="shared" si="9"/>
        <v>3.2657124410472738E-6</v>
      </c>
      <c r="AM19">
        <f t="shared" si="9"/>
        <v>3.2723844642491913E-6</v>
      </c>
      <c r="AN19">
        <f t="shared" si="9"/>
        <v>3.2790564874511085E-6</v>
      </c>
      <c r="AO19">
        <f t="shared" si="9"/>
        <v>3.2857285106530256E-6</v>
      </c>
      <c r="AP19">
        <f t="shared" si="9"/>
        <v>3.2924005338549427E-6</v>
      </c>
      <c r="AQ19">
        <f t="shared" si="9"/>
        <v>3.2990725570568598E-6</v>
      </c>
      <c r="AR19">
        <f t="shared" si="9"/>
        <v>3.3057445802587769E-6</v>
      </c>
      <c r="AS19">
        <f t="shared" si="9"/>
        <v>3.312416603460694E-6</v>
      </c>
      <c r="AT19">
        <f t="shared" si="9"/>
        <v>3.3190886266626112E-6</v>
      </c>
      <c r="AU19">
        <f t="shared" si="9"/>
        <v>3.3257606498645283E-6</v>
      </c>
      <c r="AV19">
        <f t="shared" si="9"/>
        <v>3.3324326730664454E-6</v>
      </c>
      <c r="AW19">
        <f t="shared" si="9"/>
        <v>3.3391046962683625E-6</v>
      </c>
      <c r="AX19">
        <f t="shared" si="9"/>
        <v>3.3457767194702796E-6</v>
      </c>
      <c r="AY19">
        <f t="shared" si="9"/>
        <v>3.3524487426721972E-6</v>
      </c>
      <c r="AZ19">
        <f t="shared" si="9"/>
        <v>3.3591207658741143E-6</v>
      </c>
    </row>
    <row r="20" spans="1:52" x14ac:dyDescent="0.25">
      <c r="A20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t="s">
        <v>59</v>
      </c>
      <c r="B21">
        <v>2.5308053748383799E-6</v>
      </c>
      <c r="C21">
        <v>4.4088164650050991E-6</v>
      </c>
      <c r="D21">
        <v>8.1436418091615247E-6</v>
      </c>
      <c r="E21">
        <v>7.012783590332994E-6</v>
      </c>
      <c r="F21">
        <v>5.2980506633595083E-6</v>
      </c>
      <c r="G21">
        <v>4.9262672661618513E-6</v>
      </c>
      <c r="H21">
        <v>4.6351556937350232E-6</v>
      </c>
      <c r="I21">
        <v>4.3440441213081952E-6</v>
      </c>
      <c r="J21">
        <v>4.0529325488813671E-6</v>
      </c>
      <c r="K21">
        <v>3.761820976454539E-6</v>
      </c>
      <c r="L21">
        <v>3.4707094040277118E-6</v>
      </c>
      <c r="M21">
        <v>3.4777362679801405E-6</v>
      </c>
      <c r="N21">
        <v>3.5206738048246483E-6</v>
      </c>
      <c r="O21">
        <v>3.5800900362727405E-6</v>
      </c>
      <c r="P21">
        <v>3.6071945992745593E-6</v>
      </c>
      <c r="Q21">
        <v>3.6161222468752569E-6</v>
      </c>
      <c r="R21">
        <v>3.616529852938152E-6</v>
      </c>
      <c r="S21">
        <v>3.6074219657396634E-6</v>
      </c>
      <c r="T21">
        <v>3.6222942129188946E-6</v>
      </c>
      <c r="U21">
        <v>3.6164711510507983E-6</v>
      </c>
      <c r="V21">
        <v>3.6088283306747237E-6</v>
      </c>
      <c r="W21">
        <v>3.6060387508446859E-6</v>
      </c>
      <c r="X21">
        <v>3.5906117294906011E-6</v>
      </c>
      <c r="Y21">
        <v>3.5766340660031606E-6</v>
      </c>
      <c r="Z21">
        <v>3.5692624318109202E-6</v>
      </c>
      <c r="AA21">
        <v>3.575218606409496E-6</v>
      </c>
      <c r="AB21">
        <v>3.5776733374454726E-6</v>
      </c>
      <c r="AC21">
        <v>3.5959693101955945E-6</v>
      </c>
      <c r="AD21">
        <v>3.6288770921740111E-6</v>
      </c>
      <c r="AE21">
        <v>3.6730391007814969E-6</v>
      </c>
      <c r="AF21">
        <v>3.7045826839692903E-6</v>
      </c>
      <c r="AG21">
        <f>_xlfn.FORECAST.ETS(AG1,$B$21:$AF$21,$B$13:$AF$13)</f>
        <v>3.707504036023655E-6</v>
      </c>
      <c r="AH21">
        <f t="shared" ref="AH21:AZ21" si="10">_xlfn.FORECAST.ETS(AH1,$B$21:$AF$21,$B$13:$AF$13)</f>
        <v>3.710489000062449E-6</v>
      </c>
      <c r="AI21">
        <f t="shared" si="10"/>
        <v>3.7134739641012426E-6</v>
      </c>
      <c r="AJ21">
        <f t="shared" si="10"/>
        <v>3.7164589281400366E-6</v>
      </c>
      <c r="AK21">
        <f t="shared" si="10"/>
        <v>3.7194438921788306E-6</v>
      </c>
      <c r="AL21">
        <f t="shared" si="10"/>
        <v>3.7224288562176246E-6</v>
      </c>
      <c r="AM21">
        <f t="shared" si="10"/>
        <v>3.7254138202564186E-6</v>
      </c>
      <c r="AN21">
        <f t="shared" si="10"/>
        <v>3.7283987842952121E-6</v>
      </c>
      <c r="AO21">
        <f t="shared" si="10"/>
        <v>3.7313837483340061E-6</v>
      </c>
      <c r="AP21">
        <f t="shared" si="10"/>
        <v>3.7343687123728002E-6</v>
      </c>
      <c r="AQ21">
        <f t="shared" si="10"/>
        <v>3.7373536764115942E-6</v>
      </c>
      <c r="AR21">
        <f t="shared" si="10"/>
        <v>3.7403386404503877E-6</v>
      </c>
      <c r="AS21">
        <f t="shared" si="10"/>
        <v>3.7433236044891817E-6</v>
      </c>
      <c r="AT21">
        <f t="shared" si="10"/>
        <v>3.7463085685279757E-6</v>
      </c>
      <c r="AU21">
        <f t="shared" si="10"/>
        <v>3.7492935325667697E-6</v>
      </c>
      <c r="AV21">
        <f t="shared" si="10"/>
        <v>3.7522784966055637E-6</v>
      </c>
      <c r="AW21">
        <f t="shared" si="10"/>
        <v>3.7552634606443573E-6</v>
      </c>
      <c r="AX21">
        <f t="shared" si="10"/>
        <v>3.7582484246831513E-6</v>
      </c>
      <c r="AY21">
        <f t="shared" si="10"/>
        <v>3.7612333887219453E-6</v>
      </c>
      <c r="AZ21">
        <f t="shared" si="10"/>
        <v>3.7642183527607393E-6</v>
      </c>
    </row>
    <row r="22" spans="1:52" s="3" customFormat="1" x14ac:dyDescent="0.25">
      <c r="A22" s="5" t="s">
        <v>32</v>
      </c>
    </row>
    <row r="23" spans="1:52" x14ac:dyDescent="0.25">
      <c r="A23" t="s">
        <v>30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  <c r="AG23">
        <v>2051</v>
      </c>
      <c r="AH23">
        <v>2052</v>
      </c>
      <c r="AI23">
        <v>2053</v>
      </c>
      <c r="AJ23">
        <v>2054</v>
      </c>
      <c r="AK23">
        <v>2055</v>
      </c>
      <c r="AL23">
        <v>2056</v>
      </c>
      <c r="AM23">
        <v>2057</v>
      </c>
      <c r="AN23">
        <v>2058</v>
      </c>
      <c r="AO23">
        <v>2059</v>
      </c>
      <c r="AP23">
        <v>2060</v>
      </c>
      <c r="AQ23">
        <v>2061</v>
      </c>
      <c r="AR23">
        <v>2062</v>
      </c>
      <c r="AS23">
        <v>2063</v>
      </c>
      <c r="AT23">
        <v>2064</v>
      </c>
      <c r="AU23">
        <v>2065</v>
      </c>
      <c r="AV23">
        <v>2066</v>
      </c>
      <c r="AW23">
        <v>2067</v>
      </c>
      <c r="AX23">
        <v>2068</v>
      </c>
      <c r="AY23">
        <v>2069</v>
      </c>
      <c r="AZ23">
        <v>2070</v>
      </c>
    </row>
    <row r="24" spans="1:52" x14ac:dyDescent="0.25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5">
      <c r="A25" t="s">
        <v>53</v>
      </c>
      <c r="B25">
        <v>5.6727767685988622E-7</v>
      </c>
      <c r="C25">
        <v>5.6594056580326965E-7</v>
      </c>
      <c r="D25">
        <v>5.6676894793705564E-7</v>
      </c>
      <c r="E25">
        <v>5.6842650189207649E-7</v>
      </c>
      <c r="F25">
        <v>5.6925488402586248E-7</v>
      </c>
      <c r="G25">
        <v>5.7091164829343457E-7</v>
      </c>
      <c r="H25">
        <v>5.7174082011466943E-7</v>
      </c>
      <c r="I25">
        <v>5.7339758438224142E-7</v>
      </c>
      <c r="J25">
        <v>5.7422596651602751E-7</v>
      </c>
      <c r="K25">
        <v>5.7588352047104826E-7</v>
      </c>
      <c r="L25">
        <v>5.7754107442606911E-7</v>
      </c>
      <c r="M25">
        <v>5.7836945655985532E-7</v>
      </c>
      <c r="N25">
        <v>5.8002701051487606E-7</v>
      </c>
      <c r="O25">
        <v>5.8168377478244826E-7</v>
      </c>
      <c r="P25">
        <v>5.8251215691623414E-7</v>
      </c>
      <c r="Q25">
        <v>5.8416971087125489E-7</v>
      </c>
      <c r="R25">
        <v>5.8582726482627585E-7</v>
      </c>
      <c r="S25">
        <v>5.8665564696006184E-7</v>
      </c>
      <c r="T25">
        <v>5.8831241122763393E-7</v>
      </c>
      <c r="U25">
        <v>5.8996996518265478E-7</v>
      </c>
      <c r="V25">
        <v>5.9162751913767553E-7</v>
      </c>
      <c r="W25">
        <v>5.9328428340524772E-7</v>
      </c>
      <c r="X25">
        <v>5.9494183736026847E-7</v>
      </c>
      <c r="Y25">
        <v>5.9659860162784056E-7</v>
      </c>
      <c r="Z25">
        <v>5.9825615558286141E-7</v>
      </c>
      <c r="AA25">
        <v>5.9991370953788226E-7</v>
      </c>
      <c r="AB25">
        <v>6.0157047380545435E-7</v>
      </c>
      <c r="AC25">
        <v>6.032280277604751E-7</v>
      </c>
      <c r="AD25">
        <v>6.0488479202804729E-7</v>
      </c>
      <c r="AE25">
        <v>6.0654234598306804E-7</v>
      </c>
      <c r="AF25">
        <v>6.0819911025064013E-7</v>
      </c>
      <c r="AG25">
        <f>_xlfn.FORECAST.ETS(AG13,$B$25:$AF$25,$B$23:$AF$23)</f>
        <v>6.0985670706571562E-7</v>
      </c>
      <c r="AH25">
        <f t="shared" ref="AH25:AZ25" si="11">_xlfn.FORECAST.ETS(AH13,$B$25:$AF$25,$B$23:$AF$23)</f>
        <v>6.1151417372513448E-7</v>
      </c>
      <c r="AI25">
        <f t="shared" si="11"/>
        <v>6.1317164038455343E-7</v>
      </c>
      <c r="AJ25">
        <f t="shared" si="11"/>
        <v>6.1482910704397228E-7</v>
      </c>
      <c r="AK25">
        <f t="shared" si="11"/>
        <v>6.1648657370339124E-7</v>
      </c>
      <c r="AL25">
        <f t="shared" si="11"/>
        <v>6.181440403628102E-7</v>
      </c>
      <c r="AM25">
        <f t="shared" si="11"/>
        <v>6.1980150702222905E-7</v>
      </c>
      <c r="AN25">
        <f t="shared" si="11"/>
        <v>6.2145897368164801E-7</v>
      </c>
      <c r="AO25">
        <f t="shared" si="11"/>
        <v>6.2311644034106696E-7</v>
      </c>
      <c r="AP25">
        <f t="shared" si="11"/>
        <v>6.2477390700048581E-7</v>
      </c>
      <c r="AQ25">
        <f t="shared" si="11"/>
        <v>6.2643137365990477E-7</v>
      </c>
      <c r="AR25">
        <f t="shared" si="11"/>
        <v>6.2808884031932362E-7</v>
      </c>
      <c r="AS25">
        <f t="shared" si="11"/>
        <v>6.2974630697874258E-7</v>
      </c>
      <c r="AT25">
        <f t="shared" si="11"/>
        <v>6.3140377363816154E-7</v>
      </c>
      <c r="AU25">
        <f t="shared" si="11"/>
        <v>6.3306124029758039E-7</v>
      </c>
      <c r="AV25">
        <f t="shared" si="11"/>
        <v>6.3471870695699934E-7</v>
      </c>
      <c r="AW25">
        <f t="shared" si="11"/>
        <v>6.363761736164183E-7</v>
      </c>
      <c r="AX25">
        <f t="shared" si="11"/>
        <v>6.3803364027583715E-7</v>
      </c>
      <c r="AY25">
        <f t="shared" si="11"/>
        <v>6.3969110693525611E-7</v>
      </c>
      <c r="AZ25">
        <f t="shared" si="11"/>
        <v>6.4134857359467496E-7</v>
      </c>
    </row>
    <row r="26" spans="1:52" x14ac:dyDescent="0.25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5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5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5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5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s="3" customFormat="1" x14ac:dyDescent="0.25">
      <c r="A32" s="5" t="s">
        <v>33</v>
      </c>
    </row>
    <row r="33" spans="1:52" x14ac:dyDescent="0.25">
      <c r="A33" t="s">
        <v>30</v>
      </c>
      <c r="B33">
        <v>2020</v>
      </c>
      <c r="C33">
        <v>2021</v>
      </c>
      <c r="D33">
        <v>2022</v>
      </c>
      <c r="E33">
        <v>2023</v>
      </c>
      <c r="F33">
        <v>2024</v>
      </c>
      <c r="G33">
        <v>2025</v>
      </c>
      <c r="H33">
        <v>2026</v>
      </c>
      <c r="I33">
        <v>2027</v>
      </c>
      <c r="J33">
        <v>2028</v>
      </c>
      <c r="K33">
        <v>2029</v>
      </c>
      <c r="L33">
        <v>2030</v>
      </c>
      <c r="M33">
        <v>2031</v>
      </c>
      <c r="N33">
        <v>2032</v>
      </c>
      <c r="O33">
        <v>2033</v>
      </c>
      <c r="P33">
        <v>2034</v>
      </c>
      <c r="Q33">
        <v>2035</v>
      </c>
      <c r="R33">
        <v>2036</v>
      </c>
      <c r="S33">
        <v>2037</v>
      </c>
      <c r="T33">
        <v>2038</v>
      </c>
      <c r="U33">
        <v>2039</v>
      </c>
      <c r="V33">
        <v>2040</v>
      </c>
      <c r="W33">
        <v>2041</v>
      </c>
      <c r="X33">
        <v>2042</v>
      </c>
      <c r="Y33">
        <v>2043</v>
      </c>
      <c r="Z33">
        <v>2044</v>
      </c>
      <c r="AA33">
        <v>2045</v>
      </c>
      <c r="AB33">
        <v>2046</v>
      </c>
      <c r="AC33">
        <v>2047</v>
      </c>
      <c r="AD33">
        <v>2048</v>
      </c>
      <c r="AE33">
        <v>2049</v>
      </c>
      <c r="AF33">
        <v>2050</v>
      </c>
      <c r="AG33">
        <v>2051</v>
      </c>
      <c r="AH33">
        <v>2052</v>
      </c>
      <c r="AI33">
        <v>2053</v>
      </c>
      <c r="AJ33">
        <v>2054</v>
      </c>
      <c r="AK33">
        <v>2055</v>
      </c>
      <c r="AL33">
        <v>2056</v>
      </c>
      <c r="AM33">
        <v>2057</v>
      </c>
      <c r="AN33">
        <v>2058</v>
      </c>
      <c r="AO33">
        <v>2059</v>
      </c>
      <c r="AP33">
        <v>2060</v>
      </c>
      <c r="AQ33">
        <v>2061</v>
      </c>
      <c r="AR33">
        <v>2062</v>
      </c>
      <c r="AS33">
        <v>2063</v>
      </c>
      <c r="AT33">
        <v>2064</v>
      </c>
      <c r="AU33">
        <v>2065</v>
      </c>
      <c r="AV33">
        <v>2066</v>
      </c>
      <c r="AW33">
        <v>2067</v>
      </c>
      <c r="AX33">
        <v>2068</v>
      </c>
      <c r="AY33">
        <v>2069</v>
      </c>
      <c r="AZ33">
        <v>2070</v>
      </c>
    </row>
    <row r="34" spans="1:52" x14ac:dyDescent="0.25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5">
      <c r="A35" t="s">
        <v>53</v>
      </c>
      <c r="B35">
        <v>1.8911025600000004E-6</v>
      </c>
      <c r="C35">
        <v>1.8911025600000004E-6</v>
      </c>
      <c r="D35">
        <v>1.8911025600000004E-6</v>
      </c>
      <c r="E35">
        <v>1.8911025600000004E-6</v>
      </c>
      <c r="F35">
        <v>1.8911025600000004E-6</v>
      </c>
      <c r="G35">
        <v>1.8911025600000004E-6</v>
      </c>
      <c r="H35">
        <v>1.8911025600000004E-6</v>
      </c>
      <c r="I35">
        <v>1.8911025600000004E-6</v>
      </c>
      <c r="J35">
        <v>1.8911025600000004E-6</v>
      </c>
      <c r="K35">
        <v>1.8911025600000004E-6</v>
      </c>
      <c r="L35">
        <v>1.8911025600000004E-6</v>
      </c>
      <c r="M35">
        <v>1.8911025600000004E-6</v>
      </c>
      <c r="N35">
        <v>1.8911025600000004E-6</v>
      </c>
      <c r="O35">
        <v>1.8911025600000004E-6</v>
      </c>
      <c r="P35">
        <v>1.8911025600000004E-6</v>
      </c>
      <c r="Q35">
        <v>1.8911025600000004E-6</v>
      </c>
      <c r="R35">
        <v>1.8911025600000004E-6</v>
      </c>
      <c r="S35">
        <v>1.8911025600000004E-6</v>
      </c>
      <c r="T35">
        <v>1.8911025600000004E-6</v>
      </c>
      <c r="U35">
        <v>1.8911025600000004E-6</v>
      </c>
      <c r="V35">
        <v>1.8911025600000004E-6</v>
      </c>
      <c r="W35">
        <v>1.8911025600000004E-6</v>
      </c>
      <c r="X35">
        <v>1.8911025600000004E-6</v>
      </c>
      <c r="Y35">
        <v>1.8911025600000004E-6</v>
      </c>
      <c r="Z35">
        <v>1.8911025600000004E-6</v>
      </c>
      <c r="AA35">
        <v>1.8911025600000004E-6</v>
      </c>
      <c r="AB35">
        <v>1.8911025600000004E-6</v>
      </c>
      <c r="AC35">
        <v>1.8911025600000004E-6</v>
      </c>
      <c r="AD35">
        <v>1.8911025600000004E-6</v>
      </c>
      <c r="AE35">
        <v>1.8911025600000004E-6</v>
      </c>
      <c r="AF35">
        <v>1.8911025600000004E-6</v>
      </c>
      <c r="AG35">
        <v>1.89110256E-6</v>
      </c>
      <c r="AH35">
        <v>1.89110256E-6</v>
      </c>
      <c r="AI35">
        <v>1.89110256E-6</v>
      </c>
      <c r="AJ35">
        <v>1.89110256E-6</v>
      </c>
      <c r="AK35">
        <v>1.89110256E-6</v>
      </c>
      <c r="AL35">
        <v>1.89110256E-6</v>
      </c>
      <c r="AM35">
        <v>1.89110256E-6</v>
      </c>
      <c r="AN35">
        <v>1.89110256E-6</v>
      </c>
      <c r="AO35">
        <v>1.89110256E-6</v>
      </c>
      <c r="AP35">
        <v>1.89110256E-6</v>
      </c>
      <c r="AQ35">
        <v>1.89110256E-6</v>
      </c>
      <c r="AR35">
        <v>1.89110256E-6</v>
      </c>
      <c r="AS35">
        <v>1.89110256E-6</v>
      </c>
      <c r="AT35">
        <v>1.89110256E-6</v>
      </c>
      <c r="AU35">
        <v>1.89110256E-6</v>
      </c>
      <c r="AV35">
        <v>1.89110256E-6</v>
      </c>
      <c r="AW35">
        <v>1.89110256E-6</v>
      </c>
      <c r="AX35">
        <v>1.89110256E-6</v>
      </c>
      <c r="AY35">
        <v>1.89110256E-6</v>
      </c>
      <c r="AZ35">
        <v>1.89110256E-6</v>
      </c>
    </row>
    <row r="36" spans="1:52" x14ac:dyDescent="0.25">
      <c r="A36" t="s">
        <v>54</v>
      </c>
      <c r="B36">
        <v>7.5388547999999995E-6</v>
      </c>
      <c r="C36">
        <v>7.5388547999999995E-6</v>
      </c>
      <c r="D36">
        <v>7.5388547999999995E-6</v>
      </c>
      <c r="E36">
        <v>7.5388547999999995E-6</v>
      </c>
      <c r="F36">
        <v>7.5388547999999995E-6</v>
      </c>
      <c r="G36">
        <v>7.5388547999999995E-6</v>
      </c>
      <c r="H36">
        <v>7.5388547999999995E-6</v>
      </c>
      <c r="I36">
        <v>7.5388547999999995E-6</v>
      </c>
      <c r="J36">
        <v>7.5388547999999995E-6</v>
      </c>
      <c r="K36">
        <v>7.5388547999999995E-6</v>
      </c>
      <c r="L36">
        <v>7.5388547999999995E-6</v>
      </c>
      <c r="M36">
        <v>7.5388547999999995E-6</v>
      </c>
      <c r="N36">
        <v>7.5388547999999995E-6</v>
      </c>
      <c r="O36">
        <v>7.5388547999999995E-6</v>
      </c>
      <c r="P36">
        <v>7.5388547999999995E-6</v>
      </c>
      <c r="Q36">
        <v>7.5388547999999995E-6</v>
      </c>
      <c r="R36">
        <v>7.5388547999999995E-6</v>
      </c>
      <c r="S36">
        <v>7.5388547999999995E-6</v>
      </c>
      <c r="T36">
        <v>7.5388547999999995E-6</v>
      </c>
      <c r="U36">
        <v>7.5388547999999995E-6</v>
      </c>
      <c r="V36">
        <v>7.5388547999999995E-6</v>
      </c>
      <c r="W36">
        <v>7.5388547999999995E-6</v>
      </c>
      <c r="X36">
        <v>7.5388547999999995E-6</v>
      </c>
      <c r="Y36">
        <v>7.5388547999999995E-6</v>
      </c>
      <c r="Z36">
        <v>7.5388547999999995E-6</v>
      </c>
      <c r="AA36">
        <v>7.5388547999999995E-6</v>
      </c>
      <c r="AB36">
        <v>7.5388547999999995E-6</v>
      </c>
      <c r="AC36">
        <v>7.5388547999999995E-6</v>
      </c>
      <c r="AD36">
        <v>7.5388547999999995E-6</v>
      </c>
      <c r="AE36">
        <v>7.5388547999999995E-6</v>
      </c>
      <c r="AF36">
        <v>7.5388547999999995E-6</v>
      </c>
      <c r="AG36">
        <v>7.5388548000000003E-6</v>
      </c>
      <c r="AH36">
        <v>7.5388548000000003E-6</v>
      </c>
      <c r="AI36">
        <v>7.5388548000000003E-6</v>
      </c>
      <c r="AJ36">
        <v>7.5388548000000003E-6</v>
      </c>
      <c r="AK36">
        <v>7.5388548000000003E-6</v>
      </c>
      <c r="AL36">
        <v>7.5388548000000003E-6</v>
      </c>
      <c r="AM36">
        <v>7.5388548000000003E-6</v>
      </c>
      <c r="AN36">
        <v>7.5388548000000003E-6</v>
      </c>
      <c r="AO36">
        <v>7.5388548000000003E-6</v>
      </c>
      <c r="AP36">
        <v>7.5388548000000003E-6</v>
      </c>
      <c r="AQ36">
        <v>7.5388548000000003E-6</v>
      </c>
      <c r="AR36">
        <v>7.5388548000000003E-6</v>
      </c>
      <c r="AS36">
        <v>7.5388548000000003E-6</v>
      </c>
      <c r="AT36">
        <v>7.5388548000000003E-6</v>
      </c>
      <c r="AU36">
        <v>7.5388548000000003E-6</v>
      </c>
      <c r="AV36">
        <v>7.5388548000000003E-6</v>
      </c>
      <c r="AW36">
        <v>7.5388548000000003E-6</v>
      </c>
      <c r="AX36">
        <v>7.5388548000000003E-6</v>
      </c>
      <c r="AY36">
        <v>7.5388548000000003E-6</v>
      </c>
      <c r="AZ36">
        <v>7.5388548000000003E-6</v>
      </c>
    </row>
    <row r="37" spans="1:52" x14ac:dyDescent="0.25">
      <c r="A37" t="s">
        <v>55</v>
      </c>
      <c r="B37">
        <v>3.5010952800000005E-6</v>
      </c>
      <c r="C37">
        <v>3.5010952800000005E-6</v>
      </c>
      <c r="D37">
        <v>3.5010952800000005E-6</v>
      </c>
      <c r="E37">
        <v>3.5010952800000005E-6</v>
      </c>
      <c r="F37">
        <v>3.5010952800000005E-6</v>
      </c>
      <c r="G37">
        <v>3.5010952800000005E-6</v>
      </c>
      <c r="H37">
        <v>3.5010952800000005E-6</v>
      </c>
      <c r="I37">
        <v>3.5010952800000005E-6</v>
      </c>
      <c r="J37">
        <v>3.5010952800000005E-6</v>
      </c>
      <c r="K37">
        <v>3.5010952800000005E-6</v>
      </c>
      <c r="L37">
        <v>3.5010952800000005E-6</v>
      </c>
      <c r="M37">
        <v>3.5010952800000005E-6</v>
      </c>
      <c r="N37">
        <v>3.5010952800000005E-6</v>
      </c>
      <c r="O37">
        <v>3.5010952800000005E-6</v>
      </c>
      <c r="P37">
        <v>3.5010952800000005E-6</v>
      </c>
      <c r="Q37">
        <v>3.5010952800000005E-6</v>
      </c>
      <c r="R37">
        <v>3.5010952800000005E-6</v>
      </c>
      <c r="S37">
        <v>3.5010952800000005E-6</v>
      </c>
      <c r="T37">
        <v>3.5010952800000005E-6</v>
      </c>
      <c r="U37">
        <v>3.5010952800000005E-6</v>
      </c>
      <c r="V37">
        <v>3.5010952800000005E-6</v>
      </c>
      <c r="W37">
        <v>3.5010952800000005E-6</v>
      </c>
      <c r="X37">
        <v>3.5010952800000005E-6</v>
      </c>
      <c r="Y37">
        <v>3.5010952800000005E-6</v>
      </c>
      <c r="Z37">
        <v>3.5010952800000005E-6</v>
      </c>
      <c r="AA37">
        <v>3.5010952800000005E-6</v>
      </c>
      <c r="AB37">
        <v>3.5010952800000005E-6</v>
      </c>
      <c r="AC37">
        <v>3.5010952800000005E-6</v>
      </c>
      <c r="AD37">
        <v>3.5010952800000005E-6</v>
      </c>
      <c r="AE37">
        <v>3.5010952800000005E-6</v>
      </c>
      <c r="AF37">
        <v>3.5010952800000005E-6</v>
      </c>
      <c r="AG37">
        <v>3.5010952800000001E-6</v>
      </c>
      <c r="AH37">
        <v>3.5010952800000001E-6</v>
      </c>
      <c r="AI37">
        <v>3.5010952800000001E-6</v>
      </c>
      <c r="AJ37">
        <v>3.5010952800000001E-6</v>
      </c>
      <c r="AK37">
        <v>3.5010952800000001E-6</v>
      </c>
      <c r="AL37">
        <v>3.5010952800000001E-6</v>
      </c>
      <c r="AM37">
        <v>3.5010952800000001E-6</v>
      </c>
      <c r="AN37">
        <v>3.5010952800000001E-6</v>
      </c>
      <c r="AO37">
        <v>3.5010952800000001E-6</v>
      </c>
      <c r="AP37">
        <v>3.5010952800000001E-6</v>
      </c>
      <c r="AQ37">
        <v>3.5010952800000001E-6</v>
      </c>
      <c r="AR37">
        <v>3.5010952800000001E-6</v>
      </c>
      <c r="AS37">
        <v>3.5010952800000001E-6</v>
      </c>
      <c r="AT37">
        <v>3.5010952800000001E-6</v>
      </c>
      <c r="AU37">
        <v>3.5010952800000001E-6</v>
      </c>
      <c r="AV37">
        <v>3.5010952800000001E-6</v>
      </c>
      <c r="AW37">
        <v>3.5010952800000001E-6</v>
      </c>
      <c r="AX37">
        <v>3.5010952800000001E-6</v>
      </c>
      <c r="AY37">
        <v>3.5010952800000001E-6</v>
      </c>
      <c r="AZ37">
        <v>3.5010952800000001E-6</v>
      </c>
    </row>
    <row r="38" spans="1:52" x14ac:dyDescent="0.25">
      <c r="A38" t="s">
        <v>56</v>
      </c>
      <c r="B38">
        <v>2.2403602399999999E-6</v>
      </c>
      <c r="C38">
        <v>2.2403602399999999E-6</v>
      </c>
      <c r="D38">
        <v>2.2403602399999999E-6</v>
      </c>
      <c r="E38">
        <v>2.2403602399999999E-6</v>
      </c>
      <c r="F38">
        <v>2.2403602399999999E-6</v>
      </c>
      <c r="G38">
        <v>2.2403602399999999E-6</v>
      </c>
      <c r="H38">
        <v>2.2403602399999999E-6</v>
      </c>
      <c r="I38">
        <v>2.2403602399999999E-6</v>
      </c>
      <c r="J38">
        <v>2.2403602399999999E-6</v>
      </c>
      <c r="K38">
        <v>2.2403602399999999E-6</v>
      </c>
      <c r="L38">
        <v>2.2403602399999999E-6</v>
      </c>
      <c r="M38">
        <v>2.2403602399999999E-6</v>
      </c>
      <c r="N38">
        <v>2.2403602399999999E-6</v>
      </c>
      <c r="O38">
        <v>2.2403602399999999E-6</v>
      </c>
      <c r="P38">
        <v>2.2403602399999999E-6</v>
      </c>
      <c r="Q38">
        <v>2.2403602399999999E-6</v>
      </c>
      <c r="R38">
        <v>2.2403602399999999E-6</v>
      </c>
      <c r="S38">
        <v>2.2403602399999999E-6</v>
      </c>
      <c r="T38">
        <v>2.2403602399999999E-6</v>
      </c>
      <c r="U38">
        <v>2.2403602399999999E-6</v>
      </c>
      <c r="V38">
        <v>2.2403602399999999E-6</v>
      </c>
      <c r="W38">
        <v>2.2403602399999999E-6</v>
      </c>
      <c r="X38">
        <v>2.2403602399999999E-6</v>
      </c>
      <c r="Y38">
        <v>2.2403602399999999E-6</v>
      </c>
      <c r="Z38">
        <v>2.2403602399999999E-6</v>
      </c>
      <c r="AA38">
        <v>2.2403602399999999E-6</v>
      </c>
      <c r="AB38">
        <v>2.2403602399999999E-6</v>
      </c>
      <c r="AC38">
        <v>2.2403602399999999E-6</v>
      </c>
      <c r="AD38">
        <v>2.2403602399999999E-6</v>
      </c>
      <c r="AE38">
        <v>2.2403602399999999E-6</v>
      </c>
      <c r="AF38">
        <v>2.2403602399999999E-6</v>
      </c>
      <c r="AG38">
        <v>2.2403602399999999E-6</v>
      </c>
      <c r="AH38">
        <v>2.2403602399999999E-6</v>
      </c>
      <c r="AI38">
        <v>2.2403602399999999E-6</v>
      </c>
      <c r="AJ38">
        <v>2.2403602399999999E-6</v>
      </c>
      <c r="AK38">
        <v>2.2403602399999999E-6</v>
      </c>
      <c r="AL38">
        <v>2.2403602399999999E-6</v>
      </c>
      <c r="AM38">
        <v>2.2403602399999999E-6</v>
      </c>
      <c r="AN38">
        <v>2.2403602399999999E-6</v>
      </c>
      <c r="AO38">
        <v>2.2403602399999999E-6</v>
      </c>
      <c r="AP38">
        <v>2.2403602399999999E-6</v>
      </c>
      <c r="AQ38">
        <v>2.2403602399999999E-6</v>
      </c>
      <c r="AR38">
        <v>2.2403602399999999E-6</v>
      </c>
      <c r="AS38">
        <v>2.2403602399999999E-6</v>
      </c>
      <c r="AT38">
        <v>2.2403602399999999E-6</v>
      </c>
      <c r="AU38">
        <v>2.2403602399999999E-6</v>
      </c>
      <c r="AV38">
        <v>2.2403602399999999E-6</v>
      </c>
      <c r="AW38">
        <v>2.2403602399999999E-6</v>
      </c>
      <c r="AX38">
        <v>2.2403602399999999E-6</v>
      </c>
      <c r="AY38">
        <v>2.2403602399999999E-6</v>
      </c>
      <c r="AZ38">
        <v>2.2403602399999999E-6</v>
      </c>
    </row>
    <row r="39" spans="1:52" x14ac:dyDescent="0.25">
      <c r="A39" t="s">
        <v>57</v>
      </c>
      <c r="B39">
        <v>1.8911025600000004E-6</v>
      </c>
      <c r="C39">
        <v>1.8911025600000004E-6</v>
      </c>
      <c r="D39">
        <v>1.8911025600000004E-6</v>
      </c>
      <c r="E39">
        <v>1.8911025600000004E-6</v>
      </c>
      <c r="F39">
        <v>1.8911025600000004E-6</v>
      </c>
      <c r="G39">
        <v>1.8911025600000004E-6</v>
      </c>
      <c r="H39">
        <v>1.8911025600000004E-6</v>
      </c>
      <c r="I39">
        <v>1.8911025600000004E-6</v>
      </c>
      <c r="J39">
        <v>1.8911025600000004E-6</v>
      </c>
      <c r="K39">
        <v>1.8911025600000004E-6</v>
      </c>
      <c r="L39">
        <v>1.8911025600000004E-6</v>
      </c>
      <c r="M39">
        <v>1.8911025600000004E-6</v>
      </c>
      <c r="N39">
        <v>1.8911025600000004E-6</v>
      </c>
      <c r="O39">
        <v>1.8911025600000004E-6</v>
      </c>
      <c r="P39">
        <v>1.8911025600000004E-6</v>
      </c>
      <c r="Q39">
        <v>1.8911025600000004E-6</v>
      </c>
      <c r="R39">
        <v>1.8911025600000004E-6</v>
      </c>
      <c r="S39">
        <v>1.8911025600000004E-6</v>
      </c>
      <c r="T39">
        <v>1.8911025600000004E-6</v>
      </c>
      <c r="U39">
        <v>1.8911025600000004E-6</v>
      </c>
      <c r="V39">
        <v>1.8911025600000004E-6</v>
      </c>
      <c r="W39">
        <v>1.8911025600000004E-6</v>
      </c>
      <c r="X39">
        <v>1.8911025600000004E-6</v>
      </c>
      <c r="Y39">
        <v>1.8911025600000004E-6</v>
      </c>
      <c r="Z39">
        <v>1.8911025600000004E-6</v>
      </c>
      <c r="AA39">
        <v>1.8911025600000004E-6</v>
      </c>
      <c r="AB39">
        <v>1.8911025600000004E-6</v>
      </c>
      <c r="AC39">
        <v>1.8911025600000004E-6</v>
      </c>
      <c r="AD39">
        <v>1.8911025600000004E-6</v>
      </c>
      <c r="AE39">
        <v>1.8911025600000004E-6</v>
      </c>
      <c r="AF39">
        <v>1.8911025600000004E-6</v>
      </c>
      <c r="AG39">
        <v>1.89110256E-6</v>
      </c>
      <c r="AH39">
        <v>1.89110256E-6</v>
      </c>
      <c r="AI39">
        <v>1.89110256E-6</v>
      </c>
      <c r="AJ39">
        <v>1.89110256E-6</v>
      </c>
      <c r="AK39">
        <v>1.89110256E-6</v>
      </c>
      <c r="AL39">
        <v>1.89110256E-6</v>
      </c>
      <c r="AM39">
        <v>1.89110256E-6</v>
      </c>
      <c r="AN39">
        <v>1.89110256E-6</v>
      </c>
      <c r="AO39">
        <v>1.89110256E-6</v>
      </c>
      <c r="AP39">
        <v>1.89110256E-6</v>
      </c>
      <c r="AQ39">
        <v>1.89110256E-6</v>
      </c>
      <c r="AR39">
        <v>1.89110256E-6</v>
      </c>
      <c r="AS39">
        <v>1.89110256E-6</v>
      </c>
      <c r="AT39">
        <v>1.89110256E-6</v>
      </c>
      <c r="AU39">
        <v>1.89110256E-6</v>
      </c>
      <c r="AV39">
        <v>1.89110256E-6</v>
      </c>
      <c r="AW39">
        <v>1.89110256E-6</v>
      </c>
      <c r="AX39">
        <v>1.89110256E-6</v>
      </c>
      <c r="AY39">
        <v>1.89110256E-6</v>
      </c>
      <c r="AZ39">
        <v>1.89110256E-6</v>
      </c>
    </row>
    <row r="40" spans="1:52" x14ac:dyDescent="0.25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5">
      <c r="A41" t="s">
        <v>59</v>
      </c>
      <c r="B41">
        <v>2.2403602399999999E-6</v>
      </c>
      <c r="C41">
        <v>2.2403602399999999E-6</v>
      </c>
      <c r="D41">
        <v>2.2403602399999999E-6</v>
      </c>
      <c r="E41">
        <v>2.2403602399999999E-6</v>
      </c>
      <c r="F41">
        <v>2.2403602399999999E-6</v>
      </c>
      <c r="G41">
        <v>2.2403602399999999E-6</v>
      </c>
      <c r="H41">
        <v>2.2403602399999999E-6</v>
      </c>
      <c r="I41">
        <v>2.2403602399999999E-6</v>
      </c>
      <c r="J41">
        <v>2.2403602399999999E-6</v>
      </c>
      <c r="K41">
        <v>2.2403602399999999E-6</v>
      </c>
      <c r="L41">
        <v>2.2403602399999999E-6</v>
      </c>
      <c r="M41">
        <v>2.2403602399999999E-6</v>
      </c>
      <c r="N41">
        <v>2.2403602399999999E-6</v>
      </c>
      <c r="O41">
        <v>2.2403602399999999E-6</v>
      </c>
      <c r="P41">
        <v>2.2403602399999999E-6</v>
      </c>
      <c r="Q41">
        <v>2.2403602399999999E-6</v>
      </c>
      <c r="R41">
        <v>2.2403602399999999E-6</v>
      </c>
      <c r="S41">
        <v>2.2403602399999999E-6</v>
      </c>
      <c r="T41">
        <v>2.2403602399999999E-6</v>
      </c>
      <c r="U41">
        <v>2.2403602399999999E-6</v>
      </c>
      <c r="V41">
        <v>2.2403602399999999E-6</v>
      </c>
      <c r="W41">
        <v>2.2403602399999999E-6</v>
      </c>
      <c r="X41">
        <v>2.2403602399999999E-6</v>
      </c>
      <c r="Y41">
        <v>2.2403602399999999E-6</v>
      </c>
      <c r="Z41">
        <v>2.2403602399999999E-6</v>
      </c>
      <c r="AA41">
        <v>2.2403602399999999E-6</v>
      </c>
      <c r="AB41">
        <v>2.2403602399999999E-6</v>
      </c>
      <c r="AC41">
        <v>2.2403602399999999E-6</v>
      </c>
      <c r="AD41">
        <v>2.2403602399999999E-6</v>
      </c>
      <c r="AE41">
        <v>2.2403602399999999E-6</v>
      </c>
      <c r="AF41">
        <v>2.2403602399999999E-6</v>
      </c>
      <c r="AG41">
        <v>2.2403602399999999E-6</v>
      </c>
      <c r="AH41">
        <v>2.2403602399999999E-6</v>
      </c>
      <c r="AI41">
        <v>2.2403602399999999E-6</v>
      </c>
      <c r="AJ41">
        <v>2.2403602399999999E-6</v>
      </c>
      <c r="AK41">
        <v>2.2403602399999999E-6</v>
      </c>
      <c r="AL41">
        <v>2.2403602399999999E-6</v>
      </c>
      <c r="AM41">
        <v>2.2403602399999999E-6</v>
      </c>
      <c r="AN41">
        <v>2.2403602399999999E-6</v>
      </c>
      <c r="AO41">
        <v>2.2403602399999999E-6</v>
      </c>
      <c r="AP41">
        <v>2.2403602399999999E-6</v>
      </c>
      <c r="AQ41">
        <v>2.2403602399999999E-6</v>
      </c>
      <c r="AR41">
        <v>2.2403602399999999E-6</v>
      </c>
      <c r="AS41">
        <v>2.2403602399999999E-6</v>
      </c>
      <c r="AT41">
        <v>2.2403602399999999E-6</v>
      </c>
      <c r="AU41">
        <v>2.2403602399999999E-6</v>
      </c>
      <c r="AV41">
        <v>2.2403602399999999E-6</v>
      </c>
      <c r="AW41">
        <v>2.2403602399999999E-6</v>
      </c>
      <c r="AX41">
        <v>2.2403602399999999E-6</v>
      </c>
      <c r="AY41">
        <v>2.2403602399999999E-6</v>
      </c>
      <c r="AZ41">
        <v>2.2403602399999999E-6</v>
      </c>
    </row>
    <row r="42" spans="1:52" s="3" customFormat="1" x14ac:dyDescent="0.25">
      <c r="A42" s="5" t="s">
        <v>34</v>
      </c>
    </row>
    <row r="43" spans="1:52" x14ac:dyDescent="0.25">
      <c r="A43" t="s">
        <v>30</v>
      </c>
      <c r="B43">
        <v>2020</v>
      </c>
      <c r="C43">
        <v>2021</v>
      </c>
      <c r="D43">
        <v>2022</v>
      </c>
      <c r="E43">
        <v>2023</v>
      </c>
      <c r="F43">
        <v>2024</v>
      </c>
      <c r="G43">
        <v>2025</v>
      </c>
      <c r="H43">
        <v>2026</v>
      </c>
      <c r="I43">
        <v>2027</v>
      </c>
      <c r="J43">
        <v>2028</v>
      </c>
      <c r="K43">
        <v>2029</v>
      </c>
      <c r="L43">
        <v>2030</v>
      </c>
      <c r="M43">
        <v>2031</v>
      </c>
      <c r="N43">
        <v>2032</v>
      </c>
      <c r="O43">
        <v>2033</v>
      </c>
      <c r="P43">
        <v>2034</v>
      </c>
      <c r="Q43">
        <v>2035</v>
      </c>
      <c r="R43">
        <v>2036</v>
      </c>
      <c r="S43">
        <v>2037</v>
      </c>
      <c r="T43">
        <v>2038</v>
      </c>
      <c r="U43">
        <v>2039</v>
      </c>
      <c r="V43">
        <v>2040</v>
      </c>
      <c r="W43">
        <v>2041</v>
      </c>
      <c r="X43">
        <v>2042</v>
      </c>
      <c r="Y43">
        <v>2043</v>
      </c>
      <c r="Z43">
        <v>2044</v>
      </c>
      <c r="AA43">
        <v>2045</v>
      </c>
      <c r="AB43">
        <v>2046</v>
      </c>
      <c r="AC43">
        <v>2047</v>
      </c>
      <c r="AD43">
        <v>2048</v>
      </c>
      <c r="AE43">
        <v>2049</v>
      </c>
      <c r="AF43">
        <v>2050</v>
      </c>
      <c r="AG43">
        <v>2051</v>
      </c>
      <c r="AH43">
        <v>2052</v>
      </c>
      <c r="AI43">
        <v>2053</v>
      </c>
      <c r="AJ43">
        <v>2054</v>
      </c>
      <c r="AK43">
        <v>2055</v>
      </c>
      <c r="AL43">
        <v>2056</v>
      </c>
      <c r="AM43">
        <v>2057</v>
      </c>
      <c r="AN43">
        <v>2058</v>
      </c>
      <c r="AO43">
        <v>2059</v>
      </c>
      <c r="AP43">
        <v>2060</v>
      </c>
      <c r="AQ43">
        <v>2061</v>
      </c>
      <c r="AR43">
        <v>2062</v>
      </c>
      <c r="AS43">
        <v>2063</v>
      </c>
      <c r="AT43">
        <v>2064</v>
      </c>
      <c r="AU43">
        <v>2065</v>
      </c>
      <c r="AV43">
        <v>2066</v>
      </c>
      <c r="AW43">
        <v>2067</v>
      </c>
      <c r="AX43">
        <v>2068</v>
      </c>
      <c r="AY43">
        <v>2069</v>
      </c>
      <c r="AZ43">
        <v>2070</v>
      </c>
    </row>
    <row r="44" spans="1:52" x14ac:dyDescent="0.25">
      <c r="A44" t="s">
        <v>52</v>
      </c>
      <c r="B44">
        <v>1.1538520409509203E-5</v>
      </c>
      <c r="C44">
        <v>1.621556899973665E-5</v>
      </c>
      <c r="D44">
        <v>2.0531291333561059E-5</v>
      </c>
      <c r="E44">
        <v>1.918277110658681E-5</v>
      </c>
      <c r="F44">
        <v>1.8075816038038418E-5</v>
      </c>
      <c r="G44">
        <v>1.6968860969490025E-5</v>
      </c>
      <c r="H44">
        <v>1.5861905900941632E-5</v>
      </c>
      <c r="I44">
        <v>1.475495083239324E-5</v>
      </c>
      <c r="J44">
        <v>1.3647995763844845E-5</v>
      </c>
      <c r="K44">
        <v>1.3907132078374234E-5</v>
      </c>
      <c r="L44">
        <v>1.4617966432023768E-5</v>
      </c>
      <c r="M44">
        <v>1.5115772777832597E-5</v>
      </c>
      <c r="N44">
        <v>1.5402922890635467E-5</v>
      </c>
      <c r="O44">
        <v>1.5625271207981139E-5</v>
      </c>
      <c r="P44">
        <v>1.5908000478445172E-5</v>
      </c>
      <c r="Q44">
        <v>1.593481864998826E-5</v>
      </c>
      <c r="R44">
        <v>1.610277253864747E-5</v>
      </c>
      <c r="S44">
        <v>1.6305217476982272E-5</v>
      </c>
      <c r="T44">
        <v>1.6576196795111388E-5</v>
      </c>
      <c r="U44">
        <v>1.6628326045283045E-5</v>
      </c>
      <c r="V44">
        <v>1.6830835314081796E-5</v>
      </c>
      <c r="W44">
        <v>1.7009761394359371E-5</v>
      </c>
      <c r="X44">
        <v>1.7063714012295112E-5</v>
      </c>
      <c r="Y44">
        <v>1.7291077900185937E-5</v>
      </c>
      <c r="Z44">
        <v>1.7527339342058407E-5</v>
      </c>
      <c r="AA44">
        <v>1.7666186668914094E-5</v>
      </c>
      <c r="AB44">
        <v>1.7860354769387775E-5</v>
      </c>
      <c r="AC44">
        <v>1.7971446239091422E-5</v>
      </c>
      <c r="AD44">
        <v>1.7976061687680299E-5</v>
      </c>
      <c r="AE44">
        <v>1.8054796189943165E-5</v>
      </c>
      <c r="AF44">
        <v>1.8119589914378401E-5</v>
      </c>
      <c r="AG44">
        <f>_xlfn.FORECAST.ETS(AG43,$B$44:$AF$44,$B$43:$AF$43)</f>
        <v>1.824817709677553E-5</v>
      </c>
      <c r="AH44">
        <f t="shared" ref="AH44:AZ44" si="12">_xlfn.FORECAST.ETS(AH43,$B$44:$AF$44,$B$43:$AF$43)</f>
        <v>1.8376622706556402E-5</v>
      </c>
      <c r="AI44">
        <f t="shared" si="12"/>
        <v>1.8505068316337277E-5</v>
      </c>
      <c r="AJ44">
        <f t="shared" si="12"/>
        <v>1.863351392611815E-5</v>
      </c>
      <c r="AK44">
        <f t="shared" si="12"/>
        <v>1.8761959535899025E-5</v>
      </c>
      <c r="AL44">
        <f t="shared" si="12"/>
        <v>1.8890405145679897E-5</v>
      </c>
      <c r="AM44">
        <f t="shared" si="12"/>
        <v>1.9018850755460773E-5</v>
      </c>
      <c r="AN44">
        <f t="shared" si="12"/>
        <v>1.9147296365241645E-5</v>
      </c>
      <c r="AO44">
        <f t="shared" si="12"/>
        <v>1.927574197502252E-5</v>
      </c>
      <c r="AP44">
        <f t="shared" si="12"/>
        <v>1.9404187584803392E-5</v>
      </c>
      <c r="AQ44">
        <f t="shared" si="12"/>
        <v>1.9532633194584268E-5</v>
      </c>
      <c r="AR44">
        <f t="shared" si="12"/>
        <v>1.966107880436514E-5</v>
      </c>
      <c r="AS44">
        <f t="shared" si="12"/>
        <v>1.9789524414146016E-5</v>
      </c>
      <c r="AT44">
        <f t="shared" si="12"/>
        <v>1.9917970023926891E-5</v>
      </c>
      <c r="AU44">
        <f t="shared" si="12"/>
        <v>2.0046415633707763E-5</v>
      </c>
      <c r="AV44">
        <f t="shared" si="12"/>
        <v>2.0174861243488639E-5</v>
      </c>
      <c r="AW44">
        <f t="shared" si="12"/>
        <v>2.0303306853269511E-5</v>
      </c>
      <c r="AX44">
        <f t="shared" si="12"/>
        <v>2.0431752463050386E-5</v>
      </c>
      <c r="AY44">
        <f t="shared" si="12"/>
        <v>2.0560198072831259E-5</v>
      </c>
      <c r="AZ44">
        <f t="shared" si="12"/>
        <v>2.0688643682612134E-5</v>
      </c>
    </row>
    <row r="45" spans="1:52" x14ac:dyDescent="0.25">
      <c r="A45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5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5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5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5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5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5">
      <c r="A51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s="3" customFormat="1" x14ac:dyDescent="0.25">
      <c r="A52" s="5" t="s">
        <v>35</v>
      </c>
    </row>
    <row r="53" spans="1:52" x14ac:dyDescent="0.25">
      <c r="A53" t="s">
        <v>30</v>
      </c>
      <c r="B53">
        <v>2020</v>
      </c>
      <c r="C53">
        <v>2021</v>
      </c>
      <c r="D53">
        <v>2022</v>
      </c>
      <c r="E53">
        <v>2023</v>
      </c>
      <c r="F53">
        <v>2024</v>
      </c>
      <c r="G53">
        <v>2025</v>
      </c>
      <c r="H53">
        <v>2026</v>
      </c>
      <c r="I53">
        <v>2027</v>
      </c>
      <c r="J53">
        <v>2028</v>
      </c>
      <c r="K53">
        <v>2029</v>
      </c>
      <c r="L53">
        <v>2030</v>
      </c>
      <c r="M53">
        <v>2031</v>
      </c>
      <c r="N53">
        <v>2032</v>
      </c>
      <c r="O53">
        <v>2033</v>
      </c>
      <c r="P53">
        <v>2034</v>
      </c>
      <c r="Q53">
        <v>2035</v>
      </c>
      <c r="R53">
        <v>2036</v>
      </c>
      <c r="S53">
        <v>2037</v>
      </c>
      <c r="T53">
        <v>2038</v>
      </c>
      <c r="U53">
        <v>2039</v>
      </c>
      <c r="V53">
        <v>2040</v>
      </c>
      <c r="W53">
        <v>2041</v>
      </c>
      <c r="X53">
        <v>2042</v>
      </c>
      <c r="Y53">
        <v>2043</v>
      </c>
      <c r="Z53">
        <v>2044</v>
      </c>
      <c r="AA53">
        <v>2045</v>
      </c>
      <c r="AB53">
        <v>2046</v>
      </c>
      <c r="AC53">
        <v>2047</v>
      </c>
      <c r="AD53">
        <v>2048</v>
      </c>
      <c r="AE53">
        <v>2049</v>
      </c>
      <c r="AF53">
        <v>2050</v>
      </c>
      <c r="AG53">
        <v>2051</v>
      </c>
      <c r="AH53">
        <v>2052</v>
      </c>
      <c r="AI53">
        <v>2053</v>
      </c>
      <c r="AJ53">
        <v>2054</v>
      </c>
      <c r="AK53">
        <v>2055</v>
      </c>
      <c r="AL53">
        <v>2056</v>
      </c>
      <c r="AM53">
        <v>2057</v>
      </c>
      <c r="AN53">
        <v>2058</v>
      </c>
      <c r="AO53">
        <v>2059</v>
      </c>
      <c r="AP53">
        <v>2060</v>
      </c>
      <c r="AQ53">
        <v>2061</v>
      </c>
      <c r="AR53">
        <v>2062</v>
      </c>
      <c r="AS53">
        <v>2063</v>
      </c>
      <c r="AT53">
        <v>2064</v>
      </c>
      <c r="AU53">
        <v>2065</v>
      </c>
      <c r="AV53">
        <v>2066</v>
      </c>
      <c r="AW53">
        <v>2067</v>
      </c>
      <c r="AX53">
        <v>2068</v>
      </c>
      <c r="AY53">
        <v>2069</v>
      </c>
      <c r="AZ53">
        <v>2070</v>
      </c>
    </row>
    <row r="54" spans="1:52" x14ac:dyDescent="0.25">
      <c r="A54" t="s">
        <v>52</v>
      </c>
      <c r="B54">
        <v>1.2089986144400414E-5</v>
      </c>
      <c r="C54">
        <v>1.5656387990389512E-5</v>
      </c>
      <c r="D54">
        <v>2.2795693309215541E-5</v>
      </c>
      <c r="E54">
        <v>1.9719121554485351E-5</v>
      </c>
      <c r="F54">
        <v>1.8757336732544412E-5</v>
      </c>
      <c r="G54">
        <v>1.7795551910603473E-5</v>
      </c>
      <c r="H54">
        <v>1.6833767088662534E-5</v>
      </c>
      <c r="I54">
        <v>1.5871982266721595E-5</v>
      </c>
      <c r="J54">
        <v>1.491019744478065E-5</v>
      </c>
      <c r="K54">
        <v>1.5112213156919839E-5</v>
      </c>
      <c r="L54">
        <v>1.5312719489971391E-5</v>
      </c>
      <c r="M54">
        <v>1.5808790298430923E-5</v>
      </c>
      <c r="N54">
        <v>1.5983321644990559E-5</v>
      </c>
      <c r="O54">
        <v>1.6151427688207927E-5</v>
      </c>
      <c r="P54">
        <v>1.6243406784198743E-5</v>
      </c>
      <c r="Q54">
        <v>1.6295298744258514E-5</v>
      </c>
      <c r="R54">
        <v>1.6438007333173573E-5</v>
      </c>
      <c r="S54">
        <v>1.6650180990269502E-5</v>
      </c>
      <c r="T54">
        <v>1.6813376634207203E-5</v>
      </c>
      <c r="U54">
        <v>1.6876561194799892E-5</v>
      </c>
      <c r="V54">
        <v>1.7118274020748642E-5</v>
      </c>
      <c r="W54">
        <v>1.7253423997271946E-5</v>
      </c>
      <c r="X54">
        <v>1.7307135218630074E-5</v>
      </c>
      <c r="Y54">
        <v>1.7541562459406721E-5</v>
      </c>
      <c r="Z54">
        <v>1.7803518532365268E-5</v>
      </c>
      <c r="AA54">
        <v>1.7946475759288211E-5</v>
      </c>
      <c r="AB54">
        <v>1.8131511975039057E-5</v>
      </c>
      <c r="AC54">
        <v>1.8224218016198675E-5</v>
      </c>
      <c r="AD54">
        <v>1.8232474553467371E-5</v>
      </c>
      <c r="AE54">
        <v>1.8273567522002384E-5</v>
      </c>
      <c r="AF54">
        <v>1.8284554481473502E-5</v>
      </c>
      <c r="AG54">
        <f>_xlfn.FORECAST.ETS(AG53,$B$54:$AF$54,$B$53:$AF$53)</f>
        <v>1.8340584515994546E-5</v>
      </c>
      <c r="AH54">
        <f t="shared" ref="AH54:AZ54" si="13">_xlfn.FORECAST.ETS(AH53,$B$54:$AF$54,$B$53:$AF$53)</f>
        <v>1.8392383396429475E-5</v>
      </c>
      <c r="AI54">
        <f t="shared" si="13"/>
        <v>1.8444182276864404E-5</v>
      </c>
      <c r="AJ54">
        <f t="shared" si="13"/>
        <v>1.8495981157299333E-5</v>
      </c>
      <c r="AK54">
        <f t="shared" si="13"/>
        <v>1.8547780037734262E-5</v>
      </c>
      <c r="AL54">
        <f t="shared" si="13"/>
        <v>1.859957891816919E-5</v>
      </c>
      <c r="AM54">
        <f t="shared" si="13"/>
        <v>1.8651377798604119E-5</v>
      </c>
      <c r="AN54">
        <f t="shared" si="13"/>
        <v>1.8703176679039048E-5</v>
      </c>
      <c r="AO54">
        <f t="shared" si="13"/>
        <v>1.8754975559473977E-5</v>
      </c>
      <c r="AP54">
        <f t="shared" si="13"/>
        <v>1.8806774439908906E-5</v>
      </c>
      <c r="AQ54">
        <f t="shared" si="13"/>
        <v>1.8858573320343834E-5</v>
      </c>
      <c r="AR54">
        <f t="shared" si="13"/>
        <v>1.8910372200778763E-5</v>
      </c>
      <c r="AS54">
        <f t="shared" si="13"/>
        <v>1.8962171081213692E-5</v>
      </c>
      <c r="AT54">
        <f t="shared" si="13"/>
        <v>1.9013969961648621E-5</v>
      </c>
      <c r="AU54">
        <f t="shared" si="13"/>
        <v>1.906576884208355E-5</v>
      </c>
      <c r="AV54">
        <f t="shared" si="13"/>
        <v>1.9117567722518478E-5</v>
      </c>
      <c r="AW54">
        <f t="shared" si="13"/>
        <v>1.9169366602953407E-5</v>
      </c>
      <c r="AX54">
        <f t="shared" si="13"/>
        <v>1.9221165483388336E-5</v>
      </c>
      <c r="AY54">
        <f t="shared" si="13"/>
        <v>1.9272964363823268E-5</v>
      </c>
      <c r="AZ54">
        <f t="shared" si="13"/>
        <v>1.9324763244258194E-5</v>
      </c>
    </row>
    <row r="55" spans="1:52" x14ac:dyDescent="0.25">
      <c r="A55" t="s">
        <v>53</v>
      </c>
      <c r="B55">
        <v>1.1681180377119835E-5</v>
      </c>
      <c r="C55">
        <v>1.4337336593734998E-5</v>
      </c>
      <c r="D55">
        <v>2.2018840131940414E-5</v>
      </c>
      <c r="E55">
        <v>1.8279625992933165E-5</v>
      </c>
      <c r="F55">
        <v>1.7129578100886319E-5</v>
      </c>
      <c r="G55">
        <v>1.5979530208839474E-5</v>
      </c>
      <c r="H55">
        <v>1.482948231679263E-5</v>
      </c>
      <c r="I55">
        <v>1.3679434424745786E-5</v>
      </c>
      <c r="J55">
        <v>1.2529386532698943E-5</v>
      </c>
      <c r="K55">
        <v>1.2718014954359839E-5</v>
      </c>
      <c r="L55">
        <v>1.2914210386656861E-5</v>
      </c>
      <c r="M55">
        <v>1.3112992603893181E-5</v>
      </c>
      <c r="N55">
        <v>1.3292261345024253E-5</v>
      </c>
      <c r="O55">
        <v>1.3385306096850057E-5</v>
      </c>
      <c r="P55">
        <v>1.3522711192647859E-5</v>
      </c>
      <c r="Q55">
        <v>1.357644373851999E-5</v>
      </c>
      <c r="R55">
        <v>1.3718557963672505E-5</v>
      </c>
      <c r="S55">
        <v>1.392284072393663E-5</v>
      </c>
      <c r="T55">
        <v>1.4051099599502695E-5</v>
      </c>
      <c r="U55">
        <v>1.4099776659663362E-5</v>
      </c>
      <c r="V55">
        <v>1.4333270512821636E-5</v>
      </c>
      <c r="W55">
        <v>1.4442315498080699E-5</v>
      </c>
      <c r="X55">
        <v>1.4505155834099279E-5</v>
      </c>
      <c r="Y55">
        <v>1.4711250921575053E-5</v>
      </c>
      <c r="Z55">
        <v>1.4951807660524916E-5</v>
      </c>
      <c r="AA55">
        <v>1.5083351448819072E-5</v>
      </c>
      <c r="AB55">
        <v>1.5300768970953417E-5</v>
      </c>
      <c r="AC55">
        <v>1.5390797350710956E-5</v>
      </c>
      <c r="AD55">
        <v>1.5390760216986597E-5</v>
      </c>
      <c r="AE55">
        <v>1.5433488088815617E-5</v>
      </c>
      <c r="AF55">
        <v>1.5440183964755424E-5</v>
      </c>
      <c r="AG55">
        <f>_xlfn.FORECAST.ETS(AG53,$B$55:$AF$55,$B$53:$AF$53)</f>
        <v>1.5430568680051637E-5</v>
      </c>
      <c r="AH55">
        <f t="shared" ref="AH55:AY55" si="14">_xlfn.FORECAST.ETS(AH53,$B$55:$AF$55,$B$53:$AF$53)</f>
        <v>1.5422914791960314E-5</v>
      </c>
      <c r="AI55">
        <f t="shared" si="14"/>
        <v>1.5415260903868989E-5</v>
      </c>
      <c r="AJ55">
        <f t="shared" si="14"/>
        <v>1.5407607015777666E-5</v>
      </c>
      <c r="AK55">
        <f t="shared" si="14"/>
        <v>1.539995312768634E-5</v>
      </c>
      <c r="AL55">
        <f t="shared" si="14"/>
        <v>1.5392299239595018E-5</v>
      </c>
      <c r="AM55">
        <f t="shared" si="14"/>
        <v>1.5384645351503692E-5</v>
      </c>
      <c r="AN55">
        <f t="shared" si="14"/>
        <v>1.537699146341237E-5</v>
      </c>
      <c r="AO55">
        <f t="shared" si="14"/>
        <v>1.5369337575321044E-5</v>
      </c>
      <c r="AP55">
        <f t="shared" si="14"/>
        <v>1.5361683687229722E-5</v>
      </c>
      <c r="AQ55">
        <f t="shared" si="14"/>
        <v>1.5354029799138396E-5</v>
      </c>
      <c r="AR55">
        <f t="shared" si="14"/>
        <v>1.5346375911047074E-5</v>
      </c>
      <c r="AS55">
        <f t="shared" si="14"/>
        <v>1.5338722022955748E-5</v>
      </c>
      <c r="AT55">
        <f t="shared" si="14"/>
        <v>1.5331068134864425E-5</v>
      </c>
      <c r="AU55">
        <f t="shared" si="14"/>
        <v>1.53234142467731E-5</v>
      </c>
      <c r="AV55">
        <f t="shared" si="14"/>
        <v>1.5315760358681777E-5</v>
      </c>
      <c r="AW55">
        <f t="shared" si="14"/>
        <v>1.5308106470590451E-5</v>
      </c>
      <c r="AX55">
        <f t="shared" si="14"/>
        <v>1.5300452582499129E-5</v>
      </c>
      <c r="AY55">
        <f t="shared" si="14"/>
        <v>1.5292798694407803E-5</v>
      </c>
      <c r="AZ55">
        <f>_xlfn.FORECAST.ETS(AZ53,$B$55:$AF$55,$B$53:$AF$53)</f>
        <v>1.5285144806316481E-5</v>
      </c>
    </row>
    <row r="56" spans="1:52" x14ac:dyDescent="0.25">
      <c r="A56" t="s">
        <v>54</v>
      </c>
      <c r="B56">
        <v>1.1706844147787918E-5</v>
      </c>
      <c r="C56">
        <v>1.4334381248199957E-5</v>
      </c>
      <c r="D56">
        <v>2.2022128532625969E-5</v>
      </c>
      <c r="E56">
        <v>1.9460449478989063E-5</v>
      </c>
      <c r="F56">
        <v>1.8817701296296123E-5</v>
      </c>
      <c r="G56">
        <v>1.8174953113603184E-5</v>
      </c>
      <c r="H56">
        <v>1.7532204930910245E-5</v>
      </c>
      <c r="I56">
        <v>1.6889456748217306E-5</v>
      </c>
      <c r="J56">
        <v>1.6246708565524373E-5</v>
      </c>
      <c r="K56">
        <v>1.645027361168567E-5</v>
      </c>
      <c r="L56">
        <v>1.6671052773268442E-5</v>
      </c>
      <c r="M56">
        <v>1.6948502546072242E-5</v>
      </c>
      <c r="N56">
        <v>1.7135932944189768E-5</v>
      </c>
      <c r="O56">
        <v>1.7263537261075212E-5</v>
      </c>
      <c r="P56">
        <v>1.7366366382078877E-5</v>
      </c>
      <c r="Q56">
        <v>1.7403554018831319E-5</v>
      </c>
      <c r="R56">
        <v>1.7539201054133258E-5</v>
      </c>
      <c r="S56">
        <v>1.7767300927573466E-5</v>
      </c>
      <c r="T56">
        <v>1.7930644402334424E-5</v>
      </c>
      <c r="U56">
        <v>1.7980289774030052E-5</v>
      </c>
      <c r="V56">
        <v>1.8242560106522163E-5</v>
      </c>
      <c r="W56">
        <v>1.8369183860624388E-5</v>
      </c>
      <c r="X56">
        <v>1.8426138095264607E-5</v>
      </c>
      <c r="Y56">
        <v>1.8640135847908858E-5</v>
      </c>
      <c r="Z56">
        <v>1.8886527104174695E-5</v>
      </c>
      <c r="AA56">
        <v>1.9030793730238737E-5</v>
      </c>
      <c r="AB56">
        <v>1.9236184839440913E-5</v>
      </c>
      <c r="AC56">
        <v>1.9310358648490914E-5</v>
      </c>
      <c r="AD56">
        <v>1.9301862794639333E-5</v>
      </c>
      <c r="AE56">
        <v>1.9350499742420805E-5</v>
      </c>
      <c r="AF56">
        <v>1.937049680373371E-5</v>
      </c>
      <c r="AG56">
        <f>_xlfn.FORECAST.ETS(AG53,$B$56:$AF$56,$B$53:$AF$53)</f>
        <v>1.9476776845022149E-5</v>
      </c>
      <c r="AH56">
        <f t="shared" ref="AH56:AZ56" si="15">_xlfn.FORECAST.ETS(AH53,$B$56:$AF$56,$B$53:$AF$53)</f>
        <v>1.9574658273804016E-5</v>
      </c>
      <c r="AI56">
        <f t="shared" si="15"/>
        <v>1.9672539702585886E-5</v>
      </c>
      <c r="AJ56">
        <f t="shared" si="15"/>
        <v>1.9770421131367756E-5</v>
      </c>
      <c r="AK56">
        <f t="shared" si="15"/>
        <v>1.9868302560149623E-5</v>
      </c>
      <c r="AL56">
        <f t="shared" si="15"/>
        <v>1.9966183988931493E-5</v>
      </c>
      <c r="AM56">
        <f t="shared" si="15"/>
        <v>2.006406541771336E-5</v>
      </c>
      <c r="AN56">
        <f t="shared" si="15"/>
        <v>2.016194684649523E-5</v>
      </c>
      <c r="AO56">
        <f t="shared" si="15"/>
        <v>2.0259828275277101E-5</v>
      </c>
      <c r="AP56">
        <f t="shared" si="15"/>
        <v>2.0357709704058967E-5</v>
      </c>
      <c r="AQ56">
        <f t="shared" si="15"/>
        <v>2.0455591132840838E-5</v>
      </c>
      <c r="AR56">
        <f t="shared" si="15"/>
        <v>2.0553472561622708E-5</v>
      </c>
      <c r="AS56">
        <f t="shared" si="15"/>
        <v>2.0651353990404575E-5</v>
      </c>
      <c r="AT56">
        <f t="shared" si="15"/>
        <v>2.0749235419186445E-5</v>
      </c>
      <c r="AU56">
        <f t="shared" si="15"/>
        <v>2.0847116847968312E-5</v>
      </c>
      <c r="AV56">
        <f t="shared" si="15"/>
        <v>2.0944998276750182E-5</v>
      </c>
      <c r="AW56">
        <f t="shared" si="15"/>
        <v>2.1042879705532052E-5</v>
      </c>
      <c r="AX56">
        <f t="shared" si="15"/>
        <v>2.1140761134313919E-5</v>
      </c>
      <c r="AY56">
        <f t="shared" si="15"/>
        <v>2.1238642563095789E-5</v>
      </c>
      <c r="AZ56">
        <f t="shared" si="15"/>
        <v>2.1336523991877659E-5</v>
      </c>
    </row>
    <row r="57" spans="1:52" x14ac:dyDescent="0.25">
      <c r="A57" t="s">
        <v>55</v>
      </c>
      <c r="B57">
        <v>1.1757431616370677E-5</v>
      </c>
      <c r="C57">
        <v>1.4386042352019904E-5</v>
      </c>
      <c r="D57">
        <v>2.2105069194415666E-5</v>
      </c>
      <c r="E57">
        <v>1.8497440343169398E-5</v>
      </c>
      <c r="F57">
        <v>1.7356168393678116E-5</v>
      </c>
      <c r="G57">
        <v>1.6214896444186834E-5</v>
      </c>
      <c r="H57">
        <v>1.5073624494695552E-5</v>
      </c>
      <c r="I57">
        <v>1.393235254520427E-5</v>
      </c>
      <c r="J57">
        <v>1.279108059571299E-5</v>
      </c>
      <c r="K57">
        <v>1.2964663800134996E-5</v>
      </c>
      <c r="L57">
        <v>1.3135487385498802E-5</v>
      </c>
      <c r="M57">
        <v>1.3602247068520739E-5</v>
      </c>
      <c r="N57">
        <v>1.3770092599127715E-5</v>
      </c>
      <c r="O57">
        <v>1.3915193678694074E-5</v>
      </c>
      <c r="P57">
        <v>1.4007466430927713E-5</v>
      </c>
      <c r="Q57">
        <v>1.4057366116514909E-5</v>
      </c>
      <c r="R57">
        <v>1.4191150885665587E-5</v>
      </c>
      <c r="S57">
        <v>1.4405462103596696E-5</v>
      </c>
      <c r="T57">
        <v>1.4557177685910671E-5</v>
      </c>
      <c r="U57">
        <v>1.4606365353643898E-5</v>
      </c>
      <c r="V57">
        <v>1.4836662240912686E-5</v>
      </c>
      <c r="W57">
        <v>1.4956919739854466E-5</v>
      </c>
      <c r="X57">
        <v>1.5007380573142223E-5</v>
      </c>
      <c r="Y57">
        <v>1.5224081898021946E-5</v>
      </c>
      <c r="Z57">
        <v>1.5470671234203419E-5</v>
      </c>
      <c r="AA57">
        <v>1.5607054244215434E-5</v>
      </c>
      <c r="AB57">
        <v>1.5790854275840625E-5</v>
      </c>
      <c r="AC57">
        <v>1.586686031893979E-5</v>
      </c>
      <c r="AD57">
        <v>1.5863356314866017E-5</v>
      </c>
      <c r="AE57">
        <v>1.5897203506306462E-5</v>
      </c>
      <c r="AF57">
        <v>1.589278240498782E-5</v>
      </c>
      <c r="AG57">
        <f>_xlfn.FORECAST.ETS(AG53,$B$57:$AF$57,$B$53:$AF$53)</f>
        <v>1.5899851047958951E-5</v>
      </c>
      <c r="AH57">
        <f t="shared" ref="AH57:AZ57" si="16">_xlfn.FORECAST.ETS(AH53,$B$57:$AF$57,$B$53:$AF$53)</f>
        <v>1.5906124530456845E-5</v>
      </c>
      <c r="AI57">
        <f t="shared" si="16"/>
        <v>1.591239801295474E-5</v>
      </c>
      <c r="AJ57">
        <f t="shared" si="16"/>
        <v>1.5918671495452635E-5</v>
      </c>
      <c r="AK57">
        <f t="shared" si="16"/>
        <v>1.5924944977950533E-5</v>
      </c>
      <c r="AL57">
        <f t="shared" si="16"/>
        <v>1.5931218460448428E-5</v>
      </c>
      <c r="AM57">
        <f t="shared" si="16"/>
        <v>1.5937491942946323E-5</v>
      </c>
      <c r="AN57">
        <f t="shared" si="16"/>
        <v>1.5943765425444218E-5</v>
      </c>
      <c r="AO57">
        <f t="shared" si="16"/>
        <v>1.5950038907942113E-5</v>
      </c>
      <c r="AP57">
        <f t="shared" si="16"/>
        <v>1.5956312390440008E-5</v>
      </c>
      <c r="AQ57">
        <f t="shared" si="16"/>
        <v>1.5962585872937902E-5</v>
      </c>
      <c r="AR57">
        <f t="shared" si="16"/>
        <v>1.5968859355435797E-5</v>
      </c>
      <c r="AS57">
        <f t="shared" si="16"/>
        <v>1.5975132837933692E-5</v>
      </c>
      <c r="AT57">
        <f t="shared" si="16"/>
        <v>1.5981406320431587E-5</v>
      </c>
      <c r="AU57">
        <f t="shared" si="16"/>
        <v>1.5987679802929485E-5</v>
      </c>
      <c r="AV57">
        <f t="shared" si="16"/>
        <v>1.599395328542738E-5</v>
      </c>
      <c r="AW57">
        <f t="shared" si="16"/>
        <v>1.6000226767925275E-5</v>
      </c>
      <c r="AX57">
        <f t="shared" si="16"/>
        <v>1.600650025042317E-5</v>
      </c>
      <c r="AY57">
        <f t="shared" si="16"/>
        <v>1.6012773732921065E-5</v>
      </c>
      <c r="AZ57">
        <f t="shared" si="16"/>
        <v>1.601904721541896E-5</v>
      </c>
    </row>
    <row r="58" spans="1:52" x14ac:dyDescent="0.25">
      <c r="A58" t="s">
        <v>56</v>
      </c>
      <c r="B58">
        <v>1.1708484576431165E-5</v>
      </c>
      <c r="C58">
        <v>1.4339362946605199E-5</v>
      </c>
      <c r="D58">
        <v>2.202882527566342E-5</v>
      </c>
      <c r="E58">
        <v>1.8501723040914008E-5</v>
      </c>
      <c r="F58">
        <v>1.7349895524304993E-5</v>
      </c>
      <c r="G58">
        <v>1.6198068007695978E-5</v>
      </c>
      <c r="H58">
        <v>1.5046240491086963E-5</v>
      </c>
      <c r="I58">
        <v>1.3894412974477948E-5</v>
      </c>
      <c r="J58">
        <v>1.2742585457868936E-5</v>
      </c>
      <c r="K58">
        <v>1.2922081636026248E-5</v>
      </c>
      <c r="L58">
        <v>1.3095463950652918E-5</v>
      </c>
      <c r="M58">
        <v>1.3360099281288879E-5</v>
      </c>
      <c r="N58">
        <v>1.3526108120676326E-5</v>
      </c>
      <c r="O58">
        <v>1.3650187060539484E-5</v>
      </c>
      <c r="P58">
        <v>1.3739639100732975E-5</v>
      </c>
      <c r="Q58">
        <v>1.379635123830746E-5</v>
      </c>
      <c r="R58">
        <v>1.3935824192362565E-5</v>
      </c>
      <c r="S58">
        <v>1.4153293794143927E-5</v>
      </c>
      <c r="T58">
        <v>1.4307850972170812E-5</v>
      </c>
      <c r="U58">
        <v>1.4361700716121022E-5</v>
      </c>
      <c r="V58">
        <v>1.4587846917205858E-5</v>
      </c>
      <c r="W58">
        <v>1.4714272131587291E-5</v>
      </c>
      <c r="X58">
        <v>1.4767564205798099E-5</v>
      </c>
      <c r="Y58">
        <v>1.4995033822744791E-5</v>
      </c>
      <c r="Z58">
        <v>1.5247741933994607E-5</v>
      </c>
      <c r="AA58">
        <v>1.5386494370865061E-5</v>
      </c>
      <c r="AB58">
        <v>1.5567029911045895E-5</v>
      </c>
      <c r="AC58">
        <v>1.5649888437961832E-5</v>
      </c>
      <c r="AD58">
        <v>1.5655022339891959E-5</v>
      </c>
      <c r="AE58">
        <v>1.5688497325746411E-5</v>
      </c>
      <c r="AF58">
        <v>1.5683758040234864E-5</v>
      </c>
      <c r="AG58">
        <f>_xlfn.FORECAST.ETS(AG53,$B$58:$AF$58,$B$53:$AF$53)</f>
        <v>1.5681847131021938E-5</v>
      </c>
      <c r="AH58">
        <f t="shared" ref="AH58:AZ58" si="17">_xlfn.FORECAST.ETS(AH53,$B$58:$AF$58,$B$53:$AF$53)</f>
        <v>1.5680016385515001E-5</v>
      </c>
      <c r="AI58">
        <f t="shared" si="17"/>
        <v>1.5678185640008063E-5</v>
      </c>
      <c r="AJ58">
        <f t="shared" si="17"/>
        <v>1.5676354894501126E-5</v>
      </c>
      <c r="AK58">
        <f t="shared" si="17"/>
        <v>1.5674524148994189E-5</v>
      </c>
      <c r="AL58">
        <f t="shared" si="17"/>
        <v>1.5672693403487252E-5</v>
      </c>
      <c r="AM58">
        <f t="shared" si="17"/>
        <v>1.5670862657980318E-5</v>
      </c>
      <c r="AN58">
        <f t="shared" si="17"/>
        <v>1.5669031912473381E-5</v>
      </c>
      <c r="AO58">
        <f t="shared" si="17"/>
        <v>1.5667201166966444E-5</v>
      </c>
      <c r="AP58">
        <f t="shared" si="17"/>
        <v>1.5665370421459507E-5</v>
      </c>
      <c r="AQ58">
        <f t="shared" si="17"/>
        <v>1.566353967595257E-5</v>
      </c>
      <c r="AR58">
        <f t="shared" si="17"/>
        <v>1.5661708930445633E-5</v>
      </c>
      <c r="AS58">
        <f t="shared" si="17"/>
        <v>1.5659878184938696E-5</v>
      </c>
      <c r="AT58">
        <f t="shared" si="17"/>
        <v>1.5658047439431759E-5</v>
      </c>
      <c r="AU58">
        <f t="shared" si="17"/>
        <v>1.5656216693924822E-5</v>
      </c>
      <c r="AV58">
        <f t="shared" si="17"/>
        <v>1.5654385948417884E-5</v>
      </c>
      <c r="AW58">
        <f t="shared" si="17"/>
        <v>1.5652555202910947E-5</v>
      </c>
      <c r="AX58">
        <f t="shared" si="17"/>
        <v>1.565072445740401E-5</v>
      </c>
      <c r="AY58">
        <f t="shared" si="17"/>
        <v>1.5648893711897073E-5</v>
      </c>
      <c r="AZ58">
        <f t="shared" si="17"/>
        <v>1.5647062966390139E-5</v>
      </c>
    </row>
    <row r="59" spans="1:52" x14ac:dyDescent="0.25">
      <c r="A59" t="s">
        <v>57</v>
      </c>
      <c r="B59">
        <v>1.1681180377119835E-5</v>
      </c>
      <c r="C59">
        <v>1.4337336593734998E-5</v>
      </c>
      <c r="D59">
        <v>2.2018840131940414E-5</v>
      </c>
      <c r="E59">
        <v>1.8279625992933165E-5</v>
      </c>
      <c r="F59">
        <v>1.7129578100886319E-5</v>
      </c>
      <c r="G59">
        <v>1.5979530208839474E-5</v>
      </c>
      <c r="H59">
        <v>1.482948231679263E-5</v>
      </c>
      <c r="I59">
        <v>1.3679434424745786E-5</v>
      </c>
      <c r="J59">
        <v>1.2529386532698943E-5</v>
      </c>
      <c r="K59">
        <v>1.2718014954359839E-5</v>
      </c>
      <c r="L59">
        <v>1.2914210386656861E-5</v>
      </c>
      <c r="M59">
        <v>1.3112992603893181E-5</v>
      </c>
      <c r="N59">
        <v>1.3292261345024253E-5</v>
      </c>
      <c r="O59">
        <v>1.3385306096850057E-5</v>
      </c>
      <c r="P59">
        <v>1.3522711192647859E-5</v>
      </c>
      <c r="Q59">
        <v>1.357644373851999E-5</v>
      </c>
      <c r="R59">
        <v>1.3718557963672505E-5</v>
      </c>
      <c r="S59">
        <v>1.392284072393663E-5</v>
      </c>
      <c r="T59">
        <v>1.4051099599502695E-5</v>
      </c>
      <c r="U59">
        <v>1.4099776659663362E-5</v>
      </c>
      <c r="V59">
        <v>1.4333270512821636E-5</v>
      </c>
      <c r="W59">
        <v>1.4442315498080699E-5</v>
      </c>
      <c r="X59">
        <v>1.4505155834099279E-5</v>
      </c>
      <c r="Y59">
        <v>1.4711250921575053E-5</v>
      </c>
      <c r="Z59">
        <v>1.4951807660524916E-5</v>
      </c>
      <c r="AA59">
        <v>1.5083351448819072E-5</v>
      </c>
      <c r="AB59">
        <v>1.5300768970953417E-5</v>
      </c>
      <c r="AC59">
        <v>1.5390797350710956E-5</v>
      </c>
      <c r="AD59">
        <v>1.5390760216986597E-5</v>
      </c>
      <c r="AE59">
        <v>1.5433488088815617E-5</v>
      </c>
      <c r="AF59">
        <v>1.5440183964755424E-5</v>
      </c>
      <c r="AG59">
        <f>_xlfn.FORECAST.ETS(AG53,$B$59:$AF$59,$B$53:$AF$53)</f>
        <v>1.5430568680051637E-5</v>
      </c>
      <c r="AH59">
        <f t="shared" ref="AH59:AZ59" si="18">_xlfn.FORECAST.ETS(AH53,$B$59:$AF$59,$B$53:$AF$53)</f>
        <v>1.5422914791960314E-5</v>
      </c>
      <c r="AI59">
        <f t="shared" si="18"/>
        <v>1.5415260903868989E-5</v>
      </c>
      <c r="AJ59">
        <f t="shared" si="18"/>
        <v>1.5407607015777666E-5</v>
      </c>
      <c r="AK59">
        <f t="shared" si="18"/>
        <v>1.539995312768634E-5</v>
      </c>
      <c r="AL59">
        <f t="shared" si="18"/>
        <v>1.5392299239595018E-5</v>
      </c>
      <c r="AM59">
        <f t="shared" si="18"/>
        <v>1.5384645351503692E-5</v>
      </c>
      <c r="AN59">
        <f t="shared" si="18"/>
        <v>1.537699146341237E-5</v>
      </c>
      <c r="AO59">
        <f t="shared" si="18"/>
        <v>1.5369337575321044E-5</v>
      </c>
      <c r="AP59">
        <f t="shared" si="18"/>
        <v>1.5361683687229722E-5</v>
      </c>
      <c r="AQ59">
        <f t="shared" si="18"/>
        <v>1.5354029799138396E-5</v>
      </c>
      <c r="AR59">
        <f t="shared" si="18"/>
        <v>1.5346375911047074E-5</v>
      </c>
      <c r="AS59">
        <f t="shared" si="18"/>
        <v>1.5338722022955748E-5</v>
      </c>
      <c r="AT59">
        <f t="shared" si="18"/>
        <v>1.5331068134864425E-5</v>
      </c>
      <c r="AU59">
        <f t="shared" si="18"/>
        <v>1.53234142467731E-5</v>
      </c>
      <c r="AV59">
        <f t="shared" si="18"/>
        <v>1.5315760358681777E-5</v>
      </c>
      <c r="AW59">
        <f t="shared" si="18"/>
        <v>1.5308106470590451E-5</v>
      </c>
      <c r="AX59">
        <f t="shared" si="18"/>
        <v>1.5300452582499129E-5</v>
      </c>
      <c r="AY59">
        <f t="shared" si="18"/>
        <v>1.5292798694407803E-5</v>
      </c>
      <c r="AZ59">
        <f t="shared" si="18"/>
        <v>1.5285144806316481E-5</v>
      </c>
    </row>
    <row r="60" spans="1:52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5">
      <c r="A61" t="s">
        <v>59</v>
      </c>
      <c r="B61">
        <v>1.1708484576431165E-5</v>
      </c>
      <c r="C61">
        <v>1.4339362946605199E-5</v>
      </c>
      <c r="D61">
        <v>2.202882527566342E-5</v>
      </c>
      <c r="E61">
        <v>1.8501723040914008E-5</v>
      </c>
      <c r="F61">
        <v>1.7349895524304993E-5</v>
      </c>
      <c r="G61">
        <v>1.6198068007695978E-5</v>
      </c>
      <c r="H61">
        <v>1.5046240491086963E-5</v>
      </c>
      <c r="I61">
        <v>1.3894412974477948E-5</v>
      </c>
      <c r="J61">
        <v>1.2742585457868936E-5</v>
      </c>
      <c r="K61">
        <v>1.2922081636026248E-5</v>
      </c>
      <c r="L61">
        <v>1.3095463950652918E-5</v>
      </c>
      <c r="M61">
        <v>1.3360099281288879E-5</v>
      </c>
      <c r="N61">
        <v>1.3526108120676326E-5</v>
      </c>
      <c r="O61">
        <v>1.3650187060539484E-5</v>
      </c>
      <c r="P61">
        <v>1.3739639100732975E-5</v>
      </c>
      <c r="Q61">
        <v>1.379635123830746E-5</v>
      </c>
      <c r="R61">
        <v>1.3935824192362565E-5</v>
      </c>
      <c r="S61">
        <v>1.4153293794143927E-5</v>
      </c>
      <c r="T61">
        <v>1.4307850972170812E-5</v>
      </c>
      <c r="U61">
        <v>1.4361700716121022E-5</v>
      </c>
      <c r="V61">
        <v>1.4587846917205858E-5</v>
      </c>
      <c r="W61">
        <v>1.4714272131587291E-5</v>
      </c>
      <c r="X61">
        <v>1.4767564205798099E-5</v>
      </c>
      <c r="Y61">
        <v>1.4995033822744791E-5</v>
      </c>
      <c r="Z61">
        <v>1.5247741933994607E-5</v>
      </c>
      <c r="AA61">
        <v>1.5386494370865061E-5</v>
      </c>
      <c r="AB61">
        <v>1.5567029911045895E-5</v>
      </c>
      <c r="AC61">
        <v>1.5649888437961832E-5</v>
      </c>
      <c r="AD61">
        <v>1.5655022339891959E-5</v>
      </c>
      <c r="AE61">
        <v>1.5688497325746411E-5</v>
      </c>
      <c r="AF61">
        <v>1.5683758040234864E-5</v>
      </c>
      <c r="AG61">
        <f>_xlfn.FORECAST.ETS(AG53,$B$61:$AF$61,$B$53:$AF$53)</f>
        <v>1.5681847131021938E-5</v>
      </c>
      <c r="AH61">
        <f t="shared" ref="AH61:AZ61" si="19">_xlfn.FORECAST.ETS(AH53,$B$61:$AF$61,$B$53:$AF$53)</f>
        <v>1.5680016385515001E-5</v>
      </c>
      <c r="AI61">
        <f t="shared" si="19"/>
        <v>1.5678185640008063E-5</v>
      </c>
      <c r="AJ61">
        <f t="shared" si="19"/>
        <v>1.5676354894501126E-5</v>
      </c>
      <c r="AK61">
        <f t="shared" si="19"/>
        <v>1.5674524148994189E-5</v>
      </c>
      <c r="AL61">
        <f t="shared" si="19"/>
        <v>1.5672693403487252E-5</v>
      </c>
      <c r="AM61">
        <f t="shared" si="19"/>
        <v>1.5670862657980318E-5</v>
      </c>
      <c r="AN61">
        <f t="shared" si="19"/>
        <v>1.5669031912473381E-5</v>
      </c>
      <c r="AO61">
        <f t="shared" si="19"/>
        <v>1.5667201166966444E-5</v>
      </c>
      <c r="AP61">
        <f t="shared" si="19"/>
        <v>1.5665370421459507E-5</v>
      </c>
      <c r="AQ61">
        <f t="shared" si="19"/>
        <v>1.566353967595257E-5</v>
      </c>
      <c r="AR61">
        <f t="shared" si="19"/>
        <v>1.5661708930445633E-5</v>
      </c>
      <c r="AS61">
        <f t="shared" si="19"/>
        <v>1.5659878184938696E-5</v>
      </c>
      <c r="AT61">
        <f t="shared" si="19"/>
        <v>1.5658047439431759E-5</v>
      </c>
      <c r="AU61">
        <f t="shared" si="19"/>
        <v>1.5656216693924822E-5</v>
      </c>
      <c r="AV61">
        <f t="shared" si="19"/>
        <v>1.5654385948417884E-5</v>
      </c>
      <c r="AW61">
        <f t="shared" si="19"/>
        <v>1.5652555202910947E-5</v>
      </c>
      <c r="AX61">
        <f t="shared" si="19"/>
        <v>1.565072445740401E-5</v>
      </c>
      <c r="AY61">
        <f t="shared" si="19"/>
        <v>1.5648893711897073E-5</v>
      </c>
      <c r="AZ61">
        <f t="shared" si="19"/>
        <v>1.5647062966390139E-5</v>
      </c>
    </row>
    <row r="62" spans="1:52" s="3" customFormat="1" x14ac:dyDescent="0.25">
      <c r="A62" s="5" t="s">
        <v>36</v>
      </c>
    </row>
    <row r="63" spans="1:52" x14ac:dyDescent="0.25">
      <c r="A63" t="s">
        <v>30</v>
      </c>
      <c r="B63">
        <v>2020</v>
      </c>
      <c r="C63">
        <v>2021</v>
      </c>
      <c r="D63">
        <v>2022</v>
      </c>
      <c r="E63">
        <v>2023</v>
      </c>
      <c r="F63">
        <v>2024</v>
      </c>
      <c r="G63">
        <v>2025</v>
      </c>
      <c r="H63">
        <v>2026</v>
      </c>
      <c r="I63">
        <v>2027</v>
      </c>
      <c r="J63">
        <v>2028</v>
      </c>
      <c r="K63">
        <v>2029</v>
      </c>
      <c r="L63">
        <v>2030</v>
      </c>
      <c r="M63">
        <v>2031</v>
      </c>
      <c r="N63">
        <v>2032</v>
      </c>
      <c r="O63">
        <v>2033</v>
      </c>
      <c r="P63">
        <v>2034</v>
      </c>
      <c r="Q63">
        <v>2035</v>
      </c>
      <c r="R63">
        <v>2036</v>
      </c>
      <c r="S63">
        <v>2037</v>
      </c>
      <c r="T63">
        <v>2038</v>
      </c>
      <c r="U63">
        <v>2039</v>
      </c>
      <c r="V63">
        <v>2040</v>
      </c>
      <c r="W63">
        <v>2041</v>
      </c>
      <c r="X63">
        <v>2042</v>
      </c>
      <c r="Y63">
        <v>2043</v>
      </c>
      <c r="Z63">
        <v>2044</v>
      </c>
      <c r="AA63">
        <v>2045</v>
      </c>
      <c r="AB63">
        <v>2046</v>
      </c>
      <c r="AC63">
        <v>2047</v>
      </c>
      <c r="AD63">
        <v>2048</v>
      </c>
      <c r="AE63">
        <v>2049</v>
      </c>
      <c r="AF63">
        <v>2050</v>
      </c>
      <c r="AG63">
        <v>2051</v>
      </c>
      <c r="AH63">
        <v>2052</v>
      </c>
      <c r="AI63">
        <v>2053</v>
      </c>
      <c r="AJ63">
        <v>2054</v>
      </c>
      <c r="AK63">
        <v>2055</v>
      </c>
      <c r="AL63">
        <v>2056</v>
      </c>
      <c r="AM63">
        <v>2057</v>
      </c>
      <c r="AN63">
        <v>2058</v>
      </c>
      <c r="AO63">
        <v>2059</v>
      </c>
      <c r="AP63">
        <v>2060</v>
      </c>
      <c r="AQ63">
        <v>2061</v>
      </c>
      <c r="AR63">
        <v>2062</v>
      </c>
      <c r="AS63">
        <v>2063</v>
      </c>
      <c r="AT63">
        <v>2064</v>
      </c>
      <c r="AU63">
        <v>2065</v>
      </c>
      <c r="AV63">
        <v>2066</v>
      </c>
      <c r="AW63">
        <v>2067</v>
      </c>
      <c r="AX63">
        <v>2068</v>
      </c>
      <c r="AY63">
        <v>2069</v>
      </c>
      <c r="AZ63">
        <v>2070</v>
      </c>
    </row>
    <row r="64" spans="1:52" x14ac:dyDescent="0.25">
      <c r="A64" t="s">
        <v>52</v>
      </c>
      <c r="B64">
        <v>1.2558725728370854E-5</v>
      </c>
      <c r="C64">
        <v>1.5006498254255334E-5</v>
      </c>
      <c r="D64">
        <v>1.5129904704291136E-5</v>
      </c>
      <c r="E64">
        <v>1.5209110620176186E-5</v>
      </c>
      <c r="F64">
        <v>1.5051184317411577E-5</v>
      </c>
      <c r="G64">
        <v>1.4872986909549891E-5</v>
      </c>
      <c r="H64">
        <v>1.5096538101376765E-5</v>
      </c>
      <c r="I64">
        <v>1.5547915324987475E-5</v>
      </c>
      <c r="J64">
        <v>1.588729555539356E-5</v>
      </c>
      <c r="K64">
        <v>1.621022342593818E-5</v>
      </c>
      <c r="L64">
        <v>1.7061355874304907E-5</v>
      </c>
      <c r="M64">
        <v>1.7558506154838257E-5</v>
      </c>
      <c r="N64">
        <v>1.7941594434980395E-5</v>
      </c>
      <c r="O64">
        <v>1.8157524461695073E-5</v>
      </c>
      <c r="P64">
        <v>1.8652222116580683E-5</v>
      </c>
      <c r="Q64">
        <v>1.8724323690528844E-5</v>
      </c>
      <c r="R64">
        <v>1.8814968996582941E-5</v>
      </c>
      <c r="S64">
        <v>1.9020213654043687E-5</v>
      </c>
      <c r="T64">
        <v>1.9372610575710339E-5</v>
      </c>
      <c r="U64">
        <v>1.9416320962054926E-5</v>
      </c>
      <c r="V64">
        <v>1.965307179610352E-5</v>
      </c>
      <c r="W64">
        <v>1.9878433081159986E-5</v>
      </c>
      <c r="X64">
        <v>1.9922620819078616E-5</v>
      </c>
      <c r="Y64">
        <v>2.0184501189935774E-5</v>
      </c>
      <c r="Z64">
        <v>2.0465893029487298E-5</v>
      </c>
      <c r="AA64">
        <v>2.0631456238151563E-5</v>
      </c>
      <c r="AB64">
        <v>2.086977073454565E-5</v>
      </c>
      <c r="AC64">
        <v>2.1006863074355756E-5</v>
      </c>
      <c r="AD64">
        <v>2.1016654064095643E-5</v>
      </c>
      <c r="AE64">
        <v>2.1116624331062454E-5</v>
      </c>
      <c r="AF64">
        <v>2.1194441853198995E-5</v>
      </c>
      <c r="AG64">
        <f>_xlfn.FORECAST.ETS(AG63,$B$64:$AF$64,$B$63:$AF$63)</f>
        <v>2.1316522903245125E-5</v>
      </c>
      <c r="AH64">
        <f t="shared" ref="AH64:AZ64" si="20">_xlfn.FORECAST.ETS(AH63,$B$64:$AF$64,$B$63:$AF$63)</f>
        <v>2.1438486125529802E-5</v>
      </c>
      <c r="AI64">
        <f t="shared" si="20"/>
        <v>2.1560449347814475E-5</v>
      </c>
      <c r="AJ64">
        <f t="shared" si="20"/>
        <v>2.1682412570099148E-5</v>
      </c>
      <c r="AK64">
        <f t="shared" si="20"/>
        <v>2.1804375792383821E-5</v>
      </c>
      <c r="AL64">
        <f t="shared" si="20"/>
        <v>2.1926339014668497E-5</v>
      </c>
      <c r="AM64">
        <f t="shared" si="20"/>
        <v>2.204830223695317E-5</v>
      </c>
      <c r="AN64">
        <f t="shared" si="20"/>
        <v>2.2170265459237843E-5</v>
      </c>
      <c r="AO64">
        <f t="shared" si="20"/>
        <v>2.2292228681522519E-5</v>
      </c>
      <c r="AP64">
        <f t="shared" si="20"/>
        <v>2.2414191903807192E-5</v>
      </c>
      <c r="AQ64">
        <f t="shared" si="20"/>
        <v>2.2536155126091865E-5</v>
      </c>
      <c r="AR64">
        <f t="shared" si="20"/>
        <v>2.2658118348376538E-5</v>
      </c>
      <c r="AS64">
        <f t="shared" si="20"/>
        <v>2.2780081570661215E-5</v>
      </c>
      <c r="AT64">
        <f t="shared" si="20"/>
        <v>2.2902044792945888E-5</v>
      </c>
      <c r="AU64">
        <f t="shared" si="20"/>
        <v>2.3024008015230561E-5</v>
      </c>
      <c r="AV64">
        <f t="shared" si="20"/>
        <v>2.3145971237515234E-5</v>
      </c>
      <c r="AW64">
        <f t="shared" si="20"/>
        <v>2.326793445979991E-5</v>
      </c>
      <c r="AX64">
        <f t="shared" si="20"/>
        <v>2.3389897682084583E-5</v>
      </c>
      <c r="AY64">
        <f t="shared" si="20"/>
        <v>2.3511860904369256E-5</v>
      </c>
      <c r="AZ64">
        <f t="shared" si="20"/>
        <v>2.3633824126653933E-5</v>
      </c>
    </row>
    <row r="65" spans="1:52" x14ac:dyDescent="0.25">
      <c r="A65" t="s">
        <v>53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25">
      <c r="A66" t="s">
        <v>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 t="s">
        <v>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 x14ac:dyDescent="0.25">
      <c r="A68" t="s">
        <v>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 x14ac:dyDescent="0.25">
      <c r="A69" t="s">
        <v>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25">
      <c r="A70" t="s">
        <v>58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 t="s">
        <v>59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 s="3" customFormat="1" x14ac:dyDescent="0.25">
      <c r="A72" s="5" t="s">
        <v>37</v>
      </c>
    </row>
    <row r="73" spans="1:52" x14ac:dyDescent="0.25">
      <c r="A73" t="s">
        <v>30</v>
      </c>
      <c r="B73">
        <v>2020</v>
      </c>
      <c r="C73">
        <v>2021</v>
      </c>
      <c r="D73">
        <v>2022</v>
      </c>
      <c r="E73">
        <v>2023</v>
      </c>
      <c r="F73">
        <v>2024</v>
      </c>
      <c r="G73">
        <v>2025</v>
      </c>
      <c r="H73">
        <v>2026</v>
      </c>
      <c r="I73">
        <v>2027</v>
      </c>
      <c r="J73">
        <v>2028</v>
      </c>
      <c r="K73">
        <v>2029</v>
      </c>
      <c r="L73">
        <v>2030</v>
      </c>
      <c r="M73">
        <v>2031</v>
      </c>
      <c r="N73">
        <v>2032</v>
      </c>
      <c r="O73">
        <v>2033</v>
      </c>
      <c r="P73">
        <v>2034</v>
      </c>
      <c r="Q73">
        <v>2035</v>
      </c>
      <c r="R73">
        <v>2036</v>
      </c>
      <c r="S73">
        <v>2037</v>
      </c>
      <c r="T73">
        <v>2038</v>
      </c>
      <c r="U73">
        <v>2039</v>
      </c>
      <c r="V73">
        <v>2040</v>
      </c>
      <c r="W73">
        <v>2041</v>
      </c>
      <c r="X73">
        <v>2042</v>
      </c>
      <c r="Y73">
        <v>2043</v>
      </c>
      <c r="Z73">
        <v>2044</v>
      </c>
      <c r="AA73">
        <v>2045</v>
      </c>
      <c r="AB73">
        <v>2046</v>
      </c>
      <c r="AC73">
        <v>2047</v>
      </c>
      <c r="AD73">
        <v>2048</v>
      </c>
      <c r="AE73">
        <v>2049</v>
      </c>
      <c r="AF73">
        <v>2050</v>
      </c>
      <c r="AG73">
        <v>2051</v>
      </c>
      <c r="AH73">
        <v>2052</v>
      </c>
      <c r="AI73">
        <v>2053</v>
      </c>
      <c r="AJ73">
        <v>2054</v>
      </c>
      <c r="AK73">
        <v>2055</v>
      </c>
      <c r="AL73">
        <v>2056</v>
      </c>
      <c r="AM73">
        <v>2057</v>
      </c>
      <c r="AN73">
        <v>2058</v>
      </c>
      <c r="AO73">
        <v>2059</v>
      </c>
      <c r="AP73">
        <v>2060</v>
      </c>
      <c r="AQ73">
        <v>2061</v>
      </c>
      <c r="AR73">
        <v>2062</v>
      </c>
      <c r="AS73">
        <v>2063</v>
      </c>
      <c r="AT73">
        <v>2064</v>
      </c>
      <c r="AU73">
        <v>2065</v>
      </c>
      <c r="AV73">
        <v>2066</v>
      </c>
      <c r="AW73">
        <v>2067</v>
      </c>
      <c r="AX73">
        <v>2068</v>
      </c>
      <c r="AY73">
        <v>2069</v>
      </c>
      <c r="AZ73">
        <v>2070</v>
      </c>
    </row>
    <row r="74" spans="1:52" x14ac:dyDescent="0.25">
      <c r="A74" t="s">
        <v>52</v>
      </c>
      <c r="B74">
        <v>1.2380099441309819E-5</v>
      </c>
      <c r="C74">
        <v>1.2337062947907578E-5</v>
      </c>
      <c r="D74">
        <v>1.3174898380693747E-5</v>
      </c>
      <c r="E74">
        <v>1.4731359036091205E-5</v>
      </c>
      <c r="F74">
        <v>1.5347416098360005E-5</v>
      </c>
      <c r="G74">
        <v>1.582663574007371E-5</v>
      </c>
      <c r="H74">
        <v>1.6238321508993249E-5</v>
      </c>
      <c r="I74">
        <v>1.6757255618865476E-5</v>
      </c>
      <c r="J74">
        <v>1.7179849589253481E-5</v>
      </c>
      <c r="K74">
        <v>1.7480585987609126E-5</v>
      </c>
      <c r="L74">
        <v>1.8315366825779804E-5</v>
      </c>
      <c r="M74">
        <v>1.8613106820403579E-5</v>
      </c>
      <c r="N74">
        <v>1.8970277233726725E-5</v>
      </c>
      <c r="O74">
        <v>1.9168767521296353E-5</v>
      </c>
      <c r="P74">
        <v>1.9325044225951537E-5</v>
      </c>
      <c r="Q74">
        <v>1.9408194519999342E-5</v>
      </c>
      <c r="R74">
        <v>1.9472842446125195E-5</v>
      </c>
      <c r="S74">
        <v>1.9769625630142761E-5</v>
      </c>
      <c r="T74">
        <v>2.0005702814384272E-5</v>
      </c>
      <c r="U74">
        <v>2.0007525253093736E-5</v>
      </c>
      <c r="V74">
        <v>2.0433225753776603E-5</v>
      </c>
      <c r="W74">
        <v>2.0682229605157684E-5</v>
      </c>
      <c r="X74">
        <v>2.084653795873998E-5</v>
      </c>
      <c r="Y74">
        <v>2.110694281221116E-5</v>
      </c>
      <c r="Z74">
        <v>2.1227992481062515E-5</v>
      </c>
      <c r="AA74">
        <v>2.1277615454982103E-5</v>
      </c>
      <c r="AB74">
        <v>2.1591310232459297E-5</v>
      </c>
      <c r="AC74">
        <v>2.1740854653066087E-5</v>
      </c>
      <c r="AD74">
        <v>2.180379415356793E-5</v>
      </c>
      <c r="AE74">
        <v>2.1971006759154658E-5</v>
      </c>
      <c r="AF74">
        <v>2.2014281898334207E-5</v>
      </c>
      <c r="AG74">
        <f>_xlfn.FORECAST.ETS(AG73,$B$74:$AF$74,$B$73:$AF$73)</f>
        <v>2.2194586496775209E-5</v>
      </c>
      <c r="AH74">
        <f t="shared" ref="AH74:AZ74" si="21">_xlfn.FORECAST.ETS(AH73,$B$74:$AF$74,$B$73:$AF$73)</f>
        <v>2.2331749782449323E-5</v>
      </c>
      <c r="AI74">
        <f t="shared" si="21"/>
        <v>2.2468913068123438E-5</v>
      </c>
      <c r="AJ74">
        <f t="shared" si="21"/>
        <v>2.2606076353797552E-5</v>
      </c>
      <c r="AK74">
        <f t="shared" si="21"/>
        <v>2.2743239639471663E-5</v>
      </c>
      <c r="AL74">
        <f t="shared" si="21"/>
        <v>2.2880402925145778E-5</v>
      </c>
      <c r="AM74">
        <f t="shared" si="21"/>
        <v>2.3017566210819892E-5</v>
      </c>
      <c r="AN74">
        <f t="shared" si="21"/>
        <v>2.3154729496494006E-5</v>
      </c>
      <c r="AO74">
        <f t="shared" si="21"/>
        <v>2.3291892782168121E-5</v>
      </c>
      <c r="AP74">
        <f t="shared" si="21"/>
        <v>2.3429056067842235E-5</v>
      </c>
      <c r="AQ74">
        <f t="shared" si="21"/>
        <v>2.356621935351635E-5</v>
      </c>
      <c r="AR74">
        <f t="shared" si="21"/>
        <v>2.3703382639190464E-5</v>
      </c>
      <c r="AS74">
        <f t="shared" si="21"/>
        <v>2.3840545924864575E-5</v>
      </c>
      <c r="AT74">
        <f t="shared" si="21"/>
        <v>2.3977709210538689E-5</v>
      </c>
      <c r="AU74">
        <f t="shared" si="21"/>
        <v>2.4114872496212804E-5</v>
      </c>
      <c r="AV74">
        <f t="shared" si="21"/>
        <v>2.4252035781886918E-5</v>
      </c>
      <c r="AW74">
        <f t="shared" si="21"/>
        <v>2.4389199067561033E-5</v>
      </c>
      <c r="AX74">
        <f t="shared" si="21"/>
        <v>2.4526362353235147E-5</v>
      </c>
      <c r="AY74">
        <f t="shared" si="21"/>
        <v>2.4663525638909261E-5</v>
      </c>
      <c r="AZ74">
        <f t="shared" si="21"/>
        <v>2.4800688924583376E-5</v>
      </c>
    </row>
    <row r="75" spans="1:52" x14ac:dyDescent="0.25">
      <c r="A75" t="s">
        <v>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 t="s">
        <v>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 t="s">
        <v>55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 x14ac:dyDescent="0.25">
      <c r="A78" t="s">
        <v>56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 t="s">
        <v>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25">
      <c r="A80" t="s">
        <v>58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25">
      <c r="A81" t="s">
        <v>59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s="3" customFormat="1" x14ac:dyDescent="0.25">
      <c r="A82" s="5" t="s">
        <v>38</v>
      </c>
    </row>
    <row r="83" spans="1:52" x14ac:dyDescent="0.25">
      <c r="A83" t="s">
        <v>30</v>
      </c>
      <c r="B83">
        <v>2020</v>
      </c>
      <c r="C83">
        <v>2021</v>
      </c>
      <c r="D83">
        <v>2022</v>
      </c>
      <c r="E83">
        <v>2023</v>
      </c>
      <c r="F83">
        <v>2024</v>
      </c>
      <c r="G83">
        <v>2025</v>
      </c>
      <c r="H83">
        <v>2026</v>
      </c>
      <c r="I83">
        <v>2027</v>
      </c>
      <c r="J83">
        <v>2028</v>
      </c>
      <c r="K83">
        <v>2029</v>
      </c>
      <c r="L83">
        <v>2030</v>
      </c>
      <c r="M83">
        <v>2031</v>
      </c>
      <c r="N83">
        <v>2032</v>
      </c>
      <c r="O83">
        <v>2033</v>
      </c>
      <c r="P83">
        <v>2034</v>
      </c>
      <c r="Q83">
        <v>2035</v>
      </c>
      <c r="R83">
        <v>2036</v>
      </c>
      <c r="S83">
        <v>2037</v>
      </c>
      <c r="T83">
        <v>2038</v>
      </c>
      <c r="U83">
        <v>2039</v>
      </c>
      <c r="V83">
        <v>2040</v>
      </c>
      <c r="W83">
        <v>2041</v>
      </c>
      <c r="X83">
        <v>2042</v>
      </c>
      <c r="Y83">
        <v>2043</v>
      </c>
      <c r="Z83">
        <v>2044</v>
      </c>
      <c r="AA83">
        <v>2045</v>
      </c>
      <c r="AB83">
        <v>2046</v>
      </c>
      <c r="AC83">
        <v>2047</v>
      </c>
      <c r="AD83">
        <v>2048</v>
      </c>
      <c r="AE83">
        <v>2049</v>
      </c>
      <c r="AF83">
        <v>2050</v>
      </c>
      <c r="AG83">
        <v>2051</v>
      </c>
      <c r="AH83">
        <v>2052</v>
      </c>
      <c r="AI83">
        <v>2053</v>
      </c>
      <c r="AJ83">
        <v>2054</v>
      </c>
      <c r="AK83">
        <v>2055</v>
      </c>
      <c r="AL83">
        <v>2056</v>
      </c>
      <c r="AM83">
        <v>2057</v>
      </c>
      <c r="AN83">
        <v>2058</v>
      </c>
      <c r="AO83">
        <v>2059</v>
      </c>
      <c r="AP83">
        <v>2060</v>
      </c>
      <c r="AQ83">
        <v>2061</v>
      </c>
      <c r="AR83">
        <v>2062</v>
      </c>
      <c r="AS83">
        <v>2063</v>
      </c>
      <c r="AT83">
        <v>2064</v>
      </c>
      <c r="AU83">
        <v>2065</v>
      </c>
      <c r="AV83">
        <v>2066</v>
      </c>
      <c r="AW83">
        <v>2067</v>
      </c>
      <c r="AX83">
        <v>2068</v>
      </c>
      <c r="AY83">
        <v>2069</v>
      </c>
      <c r="AZ83">
        <v>2070</v>
      </c>
    </row>
    <row r="84" spans="1:52" x14ac:dyDescent="0.25">
      <c r="A84" t="s">
        <v>52</v>
      </c>
      <c r="B84">
        <v>7.7566702768554118E-6</v>
      </c>
      <c r="C84">
        <v>1.1563325367505712E-5</v>
      </c>
      <c r="D84">
        <v>2.0850153636704157E-5</v>
      </c>
      <c r="E84">
        <v>1.6712543942759333E-5</v>
      </c>
      <c r="F84">
        <v>1.5961729258328236E-5</v>
      </c>
      <c r="G84">
        <v>1.5210914573897138E-5</v>
      </c>
      <c r="H84">
        <v>1.446009988946604E-5</v>
      </c>
      <c r="I84">
        <v>1.3709285205034942E-5</v>
      </c>
      <c r="J84">
        <v>1.2958470520603842E-5</v>
      </c>
      <c r="K84">
        <v>1.3119339800300022E-5</v>
      </c>
      <c r="L84">
        <v>1.3104677482824361E-5</v>
      </c>
      <c r="M84">
        <v>1.3512690059818322E-5</v>
      </c>
      <c r="N84">
        <v>1.3683818701912327E-5</v>
      </c>
      <c r="O84">
        <v>1.3789924111725242E-5</v>
      </c>
      <c r="P84">
        <v>1.3937847836035047E-5</v>
      </c>
      <c r="Q84">
        <v>1.4028470260606635E-5</v>
      </c>
      <c r="R84">
        <v>1.4189464025166537E-5</v>
      </c>
      <c r="S84">
        <v>1.4412170981069599E-5</v>
      </c>
      <c r="T84">
        <v>1.4572836089776774E-5</v>
      </c>
      <c r="U84">
        <v>1.465680701115449E-5</v>
      </c>
      <c r="V84">
        <v>1.4832436905342686E-5</v>
      </c>
      <c r="W84">
        <v>1.4959520419415289E-5</v>
      </c>
      <c r="X84">
        <v>1.5002667773961288E-5</v>
      </c>
      <c r="Y84">
        <v>1.5250785984634583E-5</v>
      </c>
      <c r="Z84">
        <v>1.5517655217014096E-5</v>
      </c>
      <c r="AA84">
        <v>1.5621484251696896E-5</v>
      </c>
      <c r="AB84">
        <v>1.5802554054294193E-5</v>
      </c>
      <c r="AC84">
        <v>1.5886319349000606E-5</v>
      </c>
      <c r="AD84">
        <v>1.5870792544814223E-5</v>
      </c>
      <c r="AE84">
        <v>1.5916647026154607E-5</v>
      </c>
      <c r="AF84">
        <v>1.5879606630002834E-5</v>
      </c>
      <c r="AG84">
        <f>_xlfn.FORECAST.ETS(AG83,$B$84:$AF$84,$B$83:$AF$83)</f>
        <v>1.5968505919438057E-5</v>
      </c>
      <c r="AH84">
        <f t="shared" ref="AH84:AZ84" si="22">_xlfn.FORECAST.ETS(AH83,$B$84:$AF$84,$B$83:$AF$83)</f>
        <v>1.6045577327756792E-5</v>
      </c>
      <c r="AI84">
        <f t="shared" si="22"/>
        <v>1.6122648736075526E-5</v>
      </c>
      <c r="AJ84">
        <f t="shared" si="22"/>
        <v>1.619972014439426E-5</v>
      </c>
      <c r="AK84">
        <f t="shared" si="22"/>
        <v>1.6276791552712995E-5</v>
      </c>
      <c r="AL84">
        <f t="shared" si="22"/>
        <v>1.6353862961031729E-5</v>
      </c>
      <c r="AM84">
        <f t="shared" si="22"/>
        <v>1.6430934369350463E-5</v>
      </c>
      <c r="AN84">
        <f t="shared" si="22"/>
        <v>1.6508005777669198E-5</v>
      </c>
      <c r="AO84">
        <f t="shared" si="22"/>
        <v>1.6585077185987932E-5</v>
      </c>
      <c r="AP84">
        <f t="shared" si="22"/>
        <v>1.6662148594306667E-5</v>
      </c>
      <c r="AQ84">
        <f t="shared" si="22"/>
        <v>1.6739220002625401E-5</v>
      </c>
      <c r="AR84">
        <f t="shared" si="22"/>
        <v>1.6816291410944135E-5</v>
      </c>
      <c r="AS84">
        <f t="shared" si="22"/>
        <v>1.689336281926287E-5</v>
      </c>
      <c r="AT84">
        <f t="shared" si="22"/>
        <v>1.6970434227581604E-5</v>
      </c>
      <c r="AU84">
        <f t="shared" si="22"/>
        <v>1.7047505635900338E-5</v>
      </c>
      <c r="AV84">
        <f t="shared" si="22"/>
        <v>1.7124577044219073E-5</v>
      </c>
      <c r="AW84">
        <f t="shared" si="22"/>
        <v>1.7201648452537807E-5</v>
      </c>
      <c r="AX84">
        <f t="shared" si="22"/>
        <v>1.7278719860856542E-5</v>
      </c>
      <c r="AY84">
        <f t="shared" si="22"/>
        <v>1.7355791269175276E-5</v>
      </c>
      <c r="AZ84">
        <f t="shared" si="22"/>
        <v>1.743286267749401E-5</v>
      </c>
    </row>
    <row r="85" spans="1:52" x14ac:dyDescent="0.25">
      <c r="A85" t="s">
        <v>53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 x14ac:dyDescent="0.25">
      <c r="A86" t="s">
        <v>54</v>
      </c>
      <c r="B86">
        <v>1.4387414571398449E-5</v>
      </c>
      <c r="C86">
        <v>1.7080750746760737E-5</v>
      </c>
      <c r="D86">
        <v>2.9901056321133914E-5</v>
      </c>
      <c r="E86">
        <v>2.5300227396468814E-5</v>
      </c>
      <c r="F86">
        <v>2.4224032230703573E-5</v>
      </c>
      <c r="G86">
        <v>2.3147837064938333E-5</v>
      </c>
      <c r="H86">
        <v>2.2071641899173093E-5</v>
      </c>
      <c r="I86">
        <v>2.0995446733407853E-5</v>
      </c>
      <c r="J86">
        <v>1.9919251567642613E-5</v>
      </c>
      <c r="K86">
        <v>2.0055847614996366E-5</v>
      </c>
      <c r="L86">
        <v>2.0074232952467613E-5</v>
      </c>
      <c r="M86">
        <v>2.0323600153945998E-5</v>
      </c>
      <c r="N86">
        <v>2.0442511481023966E-5</v>
      </c>
      <c r="O86">
        <v>2.0517990079575139E-5</v>
      </c>
      <c r="P86">
        <v>2.057559109535969E-5</v>
      </c>
      <c r="Q86">
        <v>2.0639857078002073E-5</v>
      </c>
      <c r="R86">
        <v>2.0779952553107246E-5</v>
      </c>
      <c r="S86">
        <v>2.0977396635513827E-5</v>
      </c>
      <c r="T86">
        <v>2.110336025698059E-5</v>
      </c>
      <c r="U86">
        <v>2.1158751050884699E-5</v>
      </c>
      <c r="V86">
        <v>2.1374781630171766E-5</v>
      </c>
      <c r="W86">
        <v>2.1470949718932803E-5</v>
      </c>
      <c r="X86">
        <v>2.1495519886772257E-5</v>
      </c>
      <c r="Y86">
        <v>2.1696125741846352E-5</v>
      </c>
      <c r="Z86">
        <v>2.1926300547589664E-5</v>
      </c>
      <c r="AA86">
        <v>2.2028202474224446E-5</v>
      </c>
      <c r="AB86">
        <v>2.2211013007252574E-5</v>
      </c>
      <c r="AC86">
        <v>2.2247961751421733E-5</v>
      </c>
      <c r="AD86">
        <v>2.2194762155804439E-5</v>
      </c>
      <c r="AE86">
        <v>2.2199463151887385E-5</v>
      </c>
      <c r="AF86">
        <v>2.2170829572445439E-5</v>
      </c>
      <c r="AG86">
        <f>_xlfn.FORECAST.ETS(AG83,$B$86:$AF$86,$B$83:$AF$83)</f>
        <v>2.2206882567660668E-5</v>
      </c>
      <c r="AH86">
        <f t="shared" ref="AH86:AZ86" si="23">_xlfn.FORECAST.ETS(AH83,$B$86:$AF$86,$B$83:$AF$83)</f>
        <v>2.2236746155707538E-5</v>
      </c>
      <c r="AI86">
        <f t="shared" si="23"/>
        <v>2.2266609743754412E-5</v>
      </c>
      <c r="AJ86">
        <f t="shared" si="23"/>
        <v>2.2296473331801286E-5</v>
      </c>
      <c r="AK86">
        <f t="shared" si="23"/>
        <v>2.2326336919848157E-5</v>
      </c>
      <c r="AL86">
        <f t="shared" si="23"/>
        <v>2.2356200507895031E-5</v>
      </c>
      <c r="AM86">
        <f t="shared" si="23"/>
        <v>2.2386064095941905E-5</v>
      </c>
      <c r="AN86">
        <f t="shared" si="23"/>
        <v>2.2415927683988775E-5</v>
      </c>
      <c r="AO86">
        <f t="shared" si="23"/>
        <v>2.2445791272035649E-5</v>
      </c>
      <c r="AP86">
        <f t="shared" si="23"/>
        <v>2.2475654860082523E-5</v>
      </c>
      <c r="AQ86">
        <f t="shared" si="23"/>
        <v>2.2505518448129394E-5</v>
      </c>
      <c r="AR86">
        <f t="shared" si="23"/>
        <v>2.2535382036176267E-5</v>
      </c>
      <c r="AS86">
        <f t="shared" si="23"/>
        <v>2.2565245624223141E-5</v>
      </c>
      <c r="AT86">
        <f t="shared" si="23"/>
        <v>2.2595109212270012E-5</v>
      </c>
      <c r="AU86">
        <f t="shared" si="23"/>
        <v>2.2624972800316886E-5</v>
      </c>
      <c r="AV86">
        <f t="shared" si="23"/>
        <v>2.265483638836376E-5</v>
      </c>
      <c r="AW86">
        <f t="shared" si="23"/>
        <v>2.268469997641063E-5</v>
      </c>
      <c r="AX86">
        <f t="shared" si="23"/>
        <v>2.2714563564457504E-5</v>
      </c>
      <c r="AY86">
        <f t="shared" si="23"/>
        <v>2.2744427152504378E-5</v>
      </c>
      <c r="AZ86">
        <f t="shared" si="23"/>
        <v>2.2774290740551249E-5</v>
      </c>
    </row>
    <row r="87" spans="1:52" x14ac:dyDescent="0.25">
      <c r="A87" t="s">
        <v>55</v>
      </c>
      <c r="B87">
        <v>1.4449585287385582E-5</v>
      </c>
      <c r="C87">
        <v>1.7142309765065899E-5</v>
      </c>
      <c r="D87">
        <v>3.0013670930380774E-5</v>
      </c>
      <c r="E87">
        <v>2.4048234211654656E-5</v>
      </c>
      <c r="F87">
        <v>2.2375084231816382E-5</v>
      </c>
      <c r="G87">
        <v>2.0701934251978108E-5</v>
      </c>
      <c r="H87">
        <v>1.9028784272139834E-5</v>
      </c>
      <c r="I87">
        <v>1.735563429230156E-5</v>
      </c>
      <c r="J87">
        <v>1.5682484312463292E-5</v>
      </c>
      <c r="K87">
        <v>1.5806261202273282E-5</v>
      </c>
      <c r="L87">
        <v>1.5816927539424135E-5</v>
      </c>
      <c r="M87">
        <v>1.6310976728729652E-5</v>
      </c>
      <c r="N87">
        <v>1.6427192903312411E-5</v>
      </c>
      <c r="O87">
        <v>1.6538430191740981E-5</v>
      </c>
      <c r="P87">
        <v>1.6595981866544327E-5</v>
      </c>
      <c r="Q87">
        <v>1.6671423964557573E-5</v>
      </c>
      <c r="R87">
        <v>1.6813276794533532E-5</v>
      </c>
      <c r="S87">
        <v>1.7008159736633792E-5</v>
      </c>
      <c r="T87">
        <v>1.7132979615091595E-5</v>
      </c>
      <c r="U87">
        <v>1.7188401975723468E-5</v>
      </c>
      <c r="V87">
        <v>1.7384095963961859E-5</v>
      </c>
      <c r="W87">
        <v>1.7482500807938064E-5</v>
      </c>
      <c r="X87">
        <v>1.7507273954559261E-5</v>
      </c>
      <c r="Y87">
        <v>1.772002081201066E-5</v>
      </c>
      <c r="Z87">
        <v>1.7960665043554448E-5</v>
      </c>
      <c r="AA87">
        <v>1.8065213453052787E-5</v>
      </c>
      <c r="AB87">
        <v>1.8232870636447879E-5</v>
      </c>
      <c r="AC87">
        <v>1.8280618600447939E-5</v>
      </c>
      <c r="AD87">
        <v>1.8240903696559951E-5</v>
      </c>
      <c r="AE87">
        <v>1.8237740014674954E-5</v>
      </c>
      <c r="AF87">
        <v>1.8190352767050713E-5</v>
      </c>
      <c r="AG87">
        <f>_xlfn.FORECAST.ETS(AG83,$B$87:$AF$87,$B$83:$AF$83)</f>
        <v>1.8116425833220469E-5</v>
      </c>
      <c r="AH87">
        <f t="shared" ref="AH87:AZ87" si="24">_xlfn.FORECAST.ETS(AH83,$B$87:$AF$87,$B$83:$AF$83)</f>
        <v>1.8045572308100932E-5</v>
      </c>
      <c r="AI87">
        <f t="shared" si="24"/>
        <v>1.7974718782981398E-5</v>
      </c>
      <c r="AJ87">
        <f t="shared" si="24"/>
        <v>1.7903865257861865E-5</v>
      </c>
      <c r="AK87">
        <f t="shared" si="24"/>
        <v>1.7833011732742328E-5</v>
      </c>
      <c r="AL87">
        <f t="shared" si="24"/>
        <v>1.7762158207622794E-5</v>
      </c>
      <c r="AM87">
        <f t="shared" si="24"/>
        <v>1.7691304682503261E-5</v>
      </c>
      <c r="AN87">
        <f t="shared" si="24"/>
        <v>1.7620451157383724E-5</v>
      </c>
      <c r="AO87">
        <f t="shared" si="24"/>
        <v>1.754959763226419E-5</v>
      </c>
      <c r="AP87">
        <f t="shared" si="24"/>
        <v>1.7478744107144656E-5</v>
      </c>
      <c r="AQ87">
        <f t="shared" si="24"/>
        <v>1.7407890582025119E-5</v>
      </c>
      <c r="AR87">
        <f t="shared" si="24"/>
        <v>1.7337037056905586E-5</v>
      </c>
      <c r="AS87">
        <f t="shared" si="24"/>
        <v>1.7266183531786049E-5</v>
      </c>
      <c r="AT87">
        <f t="shared" si="24"/>
        <v>1.7195330006666515E-5</v>
      </c>
      <c r="AU87">
        <f t="shared" si="24"/>
        <v>1.7124476481546982E-5</v>
      </c>
      <c r="AV87">
        <f t="shared" si="24"/>
        <v>1.7053622956427445E-5</v>
      </c>
      <c r="AW87">
        <f t="shared" si="24"/>
        <v>1.6982769431307911E-5</v>
      </c>
      <c r="AX87">
        <f t="shared" si="24"/>
        <v>1.6911915906188377E-5</v>
      </c>
      <c r="AY87">
        <f t="shared" si="24"/>
        <v>1.684106238106884E-5</v>
      </c>
      <c r="AZ87">
        <f t="shared" si="24"/>
        <v>1.6770208855949307E-5</v>
      </c>
    </row>
    <row r="88" spans="1:52" x14ac:dyDescent="0.25">
      <c r="A88" t="s">
        <v>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 x14ac:dyDescent="0.25">
      <c r="A89" t="s">
        <v>57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 x14ac:dyDescent="0.25">
      <c r="A90" t="s">
        <v>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25">
      <c r="A91" t="s">
        <v>59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s="3" customFormat="1" x14ac:dyDescent="0.25">
      <c r="A92" s="5" t="s">
        <v>39</v>
      </c>
    </row>
    <row r="93" spans="1:52" x14ac:dyDescent="0.25">
      <c r="A93" t="s">
        <v>30</v>
      </c>
      <c r="B93">
        <v>2020</v>
      </c>
      <c r="C93">
        <v>2021</v>
      </c>
      <c r="D93">
        <v>2022</v>
      </c>
      <c r="E93">
        <v>2023</v>
      </c>
      <c r="F93">
        <v>2024</v>
      </c>
      <c r="G93">
        <v>2025</v>
      </c>
      <c r="H93">
        <v>2026</v>
      </c>
      <c r="I93">
        <v>2027</v>
      </c>
      <c r="J93">
        <v>2028</v>
      </c>
      <c r="K93">
        <v>2029</v>
      </c>
      <c r="L93">
        <v>2030</v>
      </c>
      <c r="M93">
        <v>2031</v>
      </c>
      <c r="N93">
        <v>2032</v>
      </c>
      <c r="O93">
        <v>2033</v>
      </c>
      <c r="P93">
        <v>2034</v>
      </c>
      <c r="Q93">
        <v>2035</v>
      </c>
      <c r="R93">
        <v>2036</v>
      </c>
      <c r="S93">
        <v>2037</v>
      </c>
      <c r="T93">
        <v>2038</v>
      </c>
      <c r="U93">
        <v>2039</v>
      </c>
      <c r="V93">
        <v>2040</v>
      </c>
      <c r="W93">
        <v>2041</v>
      </c>
      <c r="X93">
        <v>2042</v>
      </c>
      <c r="Y93">
        <v>2043</v>
      </c>
      <c r="Z93">
        <v>2044</v>
      </c>
      <c r="AA93">
        <v>2045</v>
      </c>
      <c r="AB93">
        <v>2046</v>
      </c>
      <c r="AC93">
        <v>2047</v>
      </c>
      <c r="AD93">
        <v>2048</v>
      </c>
      <c r="AE93">
        <v>2049</v>
      </c>
      <c r="AF93">
        <v>2050</v>
      </c>
      <c r="AG93">
        <v>2051</v>
      </c>
      <c r="AH93">
        <v>2052</v>
      </c>
      <c r="AI93">
        <v>2053</v>
      </c>
      <c r="AJ93">
        <v>2054</v>
      </c>
      <c r="AK93">
        <v>2055</v>
      </c>
      <c r="AL93">
        <v>2056</v>
      </c>
      <c r="AM93">
        <v>2057</v>
      </c>
      <c r="AN93">
        <v>2058</v>
      </c>
      <c r="AO93">
        <v>2059</v>
      </c>
      <c r="AP93">
        <v>2060</v>
      </c>
      <c r="AQ93">
        <v>2061</v>
      </c>
      <c r="AR93">
        <v>2062</v>
      </c>
      <c r="AS93">
        <v>2063</v>
      </c>
      <c r="AT93">
        <v>2064</v>
      </c>
      <c r="AU93">
        <v>2065</v>
      </c>
      <c r="AV93">
        <v>2066</v>
      </c>
      <c r="AW93">
        <v>2067</v>
      </c>
      <c r="AX93">
        <v>2068</v>
      </c>
      <c r="AY93">
        <v>2069</v>
      </c>
      <c r="AZ93">
        <v>2070</v>
      </c>
    </row>
    <row r="94" spans="1:52" x14ac:dyDescent="0.25">
      <c r="A94" t="s">
        <v>52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25">
      <c r="A95" t="s">
        <v>53</v>
      </c>
      <c r="B95">
        <v>1.4943636952997554E-6</v>
      </c>
      <c r="C95">
        <v>1.4956465383027569E-6</v>
      </c>
      <c r="D95">
        <v>1.4753731652885967E-6</v>
      </c>
      <c r="E95">
        <v>1.4628846046618583E-6</v>
      </c>
      <c r="F95">
        <v>1.4622310235695633E-6</v>
      </c>
      <c r="G95">
        <v>1.4262004574581898E-6</v>
      </c>
      <c r="H95">
        <v>1.4026300986224987E-6</v>
      </c>
      <c r="I95">
        <v>1.4015991998584565E-6</v>
      </c>
      <c r="J95">
        <v>1.394188797106777E-6</v>
      </c>
      <c r="K95">
        <v>1.3994385291061764E-6</v>
      </c>
      <c r="L95">
        <v>1.3973440161730276E-6</v>
      </c>
      <c r="M95">
        <v>1.3964388899662344E-6</v>
      </c>
      <c r="N95">
        <v>1.3883203804471522E-6</v>
      </c>
      <c r="O95">
        <v>1.3857700328701005E-6</v>
      </c>
      <c r="P95">
        <v>1.3807442196431445E-6</v>
      </c>
      <c r="Q95">
        <v>1.3708278168635009E-6</v>
      </c>
      <c r="R95">
        <v>1.3597554697715674E-6</v>
      </c>
      <c r="S95">
        <v>1.3574406731109822E-6</v>
      </c>
      <c r="T95">
        <v>1.3569506690440114E-6</v>
      </c>
      <c r="U95">
        <v>1.3550262762171993E-6</v>
      </c>
      <c r="V95">
        <v>1.3586475080533728E-6</v>
      </c>
      <c r="W95">
        <v>1.355621696589379E-6</v>
      </c>
      <c r="X95">
        <v>1.3478390652289621E-6</v>
      </c>
      <c r="Y95">
        <v>1.3396224094946856E-6</v>
      </c>
      <c r="Z95">
        <v>1.3357787129040716E-6</v>
      </c>
      <c r="AA95">
        <v>1.333544614242646E-6</v>
      </c>
      <c r="AB95">
        <v>1.3314871787685701E-6</v>
      </c>
      <c r="AC95">
        <v>1.3274879022516477E-6</v>
      </c>
      <c r="AD95">
        <v>1.3212298087672514E-6</v>
      </c>
      <c r="AE95">
        <v>1.3221901876581538E-6</v>
      </c>
      <c r="AF95">
        <v>1.3202199932642509E-6</v>
      </c>
      <c r="AG95">
        <f>_xlfn.FORECAST.ETS(AG93,$B$95:$AF$95,$B$93:$AF$93)</f>
        <v>1.3163439965459709E-6</v>
      </c>
      <c r="AH95">
        <f t="shared" ref="AH95:AZ95" si="25">_xlfn.FORECAST.ETS(AH93,$B$95:$AF$95,$B$93:$AF$93)</f>
        <v>1.3124722456460843E-6</v>
      </c>
      <c r="AI95">
        <f t="shared" si="25"/>
        <v>1.3086004947461976E-6</v>
      </c>
      <c r="AJ95">
        <f t="shared" si="25"/>
        <v>1.304728743846311E-6</v>
      </c>
      <c r="AK95">
        <f t="shared" si="25"/>
        <v>1.3008569929464244E-6</v>
      </c>
      <c r="AL95">
        <f t="shared" si="25"/>
        <v>1.2969852420465378E-6</v>
      </c>
      <c r="AM95">
        <f t="shared" si="25"/>
        <v>1.2931134911466513E-6</v>
      </c>
      <c r="AN95">
        <f t="shared" si="25"/>
        <v>1.2892417402467647E-6</v>
      </c>
      <c r="AO95">
        <f t="shared" si="25"/>
        <v>1.2853699893468781E-6</v>
      </c>
      <c r="AP95">
        <f t="shared" si="25"/>
        <v>1.2814982384469915E-6</v>
      </c>
      <c r="AQ95">
        <f t="shared" si="25"/>
        <v>1.2776264875471048E-6</v>
      </c>
      <c r="AR95">
        <f t="shared" si="25"/>
        <v>1.2737547366472182E-6</v>
      </c>
      <c r="AS95">
        <f t="shared" si="25"/>
        <v>1.2698829857473316E-6</v>
      </c>
      <c r="AT95">
        <f t="shared" si="25"/>
        <v>1.2660112348474449E-6</v>
      </c>
      <c r="AU95">
        <f t="shared" si="25"/>
        <v>1.2621394839475583E-6</v>
      </c>
      <c r="AV95">
        <f t="shared" si="25"/>
        <v>1.2582677330476717E-6</v>
      </c>
      <c r="AW95">
        <f t="shared" si="25"/>
        <v>1.2543959821477851E-6</v>
      </c>
      <c r="AX95">
        <f t="shared" si="25"/>
        <v>1.2505242312478986E-6</v>
      </c>
      <c r="AY95">
        <f t="shared" si="25"/>
        <v>1.246652480348012E-6</v>
      </c>
      <c r="AZ95">
        <f t="shared" si="25"/>
        <v>1.2427807294481254E-6</v>
      </c>
    </row>
    <row r="96" spans="1:52" x14ac:dyDescent="0.25">
      <c r="A96" t="s">
        <v>54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25">
      <c r="A97" t="s">
        <v>55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t="s">
        <v>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 x14ac:dyDescent="0.25">
      <c r="A99" t="s">
        <v>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 x14ac:dyDescent="0.25">
      <c r="A100" t="s">
        <v>58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25">
      <c r="A101" t="s">
        <v>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 s="3" customFormat="1" x14ac:dyDescent="0.25">
      <c r="A102" s="5" t="s">
        <v>46</v>
      </c>
    </row>
    <row r="103" spans="1:52" x14ac:dyDescent="0.25">
      <c r="A103" t="s">
        <v>30</v>
      </c>
      <c r="B103">
        <v>2020</v>
      </c>
      <c r="C103">
        <v>2021</v>
      </c>
      <c r="D103">
        <v>2022</v>
      </c>
      <c r="E103">
        <v>2023</v>
      </c>
      <c r="F103">
        <v>2024</v>
      </c>
      <c r="G103">
        <v>2025</v>
      </c>
      <c r="H103">
        <v>2026</v>
      </c>
      <c r="I103">
        <v>2027</v>
      </c>
      <c r="J103">
        <v>2028</v>
      </c>
      <c r="K103">
        <v>2029</v>
      </c>
      <c r="L103">
        <v>2030</v>
      </c>
      <c r="M103">
        <v>2031</v>
      </c>
      <c r="N103">
        <v>2032</v>
      </c>
      <c r="O103">
        <v>2033</v>
      </c>
      <c r="P103">
        <v>2034</v>
      </c>
      <c r="Q103">
        <v>2035</v>
      </c>
      <c r="R103">
        <v>2036</v>
      </c>
      <c r="S103">
        <v>2037</v>
      </c>
      <c r="T103">
        <v>2038</v>
      </c>
      <c r="U103">
        <v>2039</v>
      </c>
      <c r="V103">
        <v>2040</v>
      </c>
      <c r="W103">
        <v>2041</v>
      </c>
      <c r="X103">
        <v>2042</v>
      </c>
      <c r="Y103">
        <v>2043</v>
      </c>
      <c r="Z103">
        <v>2044</v>
      </c>
      <c r="AA103">
        <v>2045</v>
      </c>
      <c r="AB103">
        <v>2046</v>
      </c>
      <c r="AC103">
        <v>2047</v>
      </c>
      <c r="AD103">
        <v>2048</v>
      </c>
      <c r="AE103">
        <v>2049</v>
      </c>
      <c r="AF103">
        <v>2050</v>
      </c>
      <c r="AG103">
        <v>2051</v>
      </c>
      <c r="AH103">
        <v>2052</v>
      </c>
      <c r="AI103">
        <v>2053</v>
      </c>
      <c r="AJ103">
        <v>2054</v>
      </c>
      <c r="AK103">
        <v>2055</v>
      </c>
      <c r="AL103">
        <v>2056</v>
      </c>
      <c r="AM103">
        <v>2057</v>
      </c>
      <c r="AN103">
        <v>2058</v>
      </c>
      <c r="AO103">
        <v>2059</v>
      </c>
      <c r="AP103">
        <v>2060</v>
      </c>
      <c r="AQ103">
        <v>2061</v>
      </c>
      <c r="AR103">
        <v>2062</v>
      </c>
      <c r="AS103">
        <v>2063</v>
      </c>
      <c r="AT103">
        <v>2064</v>
      </c>
      <c r="AU103">
        <v>2065</v>
      </c>
      <c r="AV103">
        <v>2066</v>
      </c>
      <c r="AW103">
        <v>2067</v>
      </c>
      <c r="AX103">
        <v>2068</v>
      </c>
      <c r="AY103">
        <v>2069</v>
      </c>
      <c r="AZ103">
        <v>2070</v>
      </c>
    </row>
    <row r="104" spans="1:52" x14ac:dyDescent="0.25">
      <c r="A104" t="s">
        <v>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 x14ac:dyDescent="0.25">
      <c r="A105" t="s">
        <v>53</v>
      </c>
      <c r="B105">
        <v>5.8032702844488082E-6</v>
      </c>
      <c r="C105">
        <v>1.010572034981499E-5</v>
      </c>
      <c r="D105">
        <v>1.4548918609468291E-5</v>
      </c>
      <c r="E105">
        <v>1.3814064879295553E-5</v>
      </c>
      <c r="F105">
        <v>1.3102705815542782E-5</v>
      </c>
      <c r="G105">
        <v>1.2391346751790012E-5</v>
      </c>
      <c r="H105">
        <v>1.1679987688037241E-5</v>
      </c>
      <c r="I105">
        <v>1.096862862428447E-5</v>
      </c>
      <c r="J105">
        <v>1.0257269560531699E-5</v>
      </c>
      <c r="K105">
        <v>1.0408034285260253E-5</v>
      </c>
      <c r="L105">
        <v>1.0568057722521E-5</v>
      </c>
      <c r="M105">
        <v>1.0789191951557296E-5</v>
      </c>
      <c r="N105">
        <v>1.0962604245994599E-5</v>
      </c>
      <c r="O105">
        <v>1.1079859048003297E-5</v>
      </c>
      <c r="P105">
        <v>1.1139624583353451E-5</v>
      </c>
      <c r="Q105">
        <v>1.1245470781201217E-5</v>
      </c>
      <c r="R105">
        <v>1.1425356603639763E-5</v>
      </c>
      <c r="S105">
        <v>1.1557046984922532E-5</v>
      </c>
      <c r="T105">
        <v>1.1709809000606015E-5</v>
      </c>
      <c r="U105">
        <v>1.1748037247266352E-5</v>
      </c>
      <c r="V105">
        <v>1.1971575603617068E-5</v>
      </c>
      <c r="W105">
        <v>1.2108322993442573E-5</v>
      </c>
      <c r="X105">
        <v>1.2166028123384359E-5</v>
      </c>
      <c r="Y105">
        <v>1.2377163304386512E-5</v>
      </c>
      <c r="Z105">
        <v>1.2631320319234431E-5</v>
      </c>
      <c r="AA105">
        <v>1.2700802369138198E-5</v>
      </c>
      <c r="AB105">
        <v>1.2885034347660337E-5</v>
      </c>
      <c r="AC105">
        <v>1.2877523135077211E-5</v>
      </c>
      <c r="AD105">
        <v>1.2895332818958327E-5</v>
      </c>
      <c r="AE105">
        <v>1.2940666330778267E-5</v>
      </c>
      <c r="AF105">
        <v>1.2899894838325157E-5</v>
      </c>
      <c r="AG105">
        <f>_xlfn.FORECAST.ETS(AG103,$B$105:$AF$105,$B$103:$AF$103)</f>
        <v>1.2997822325031527E-5</v>
      </c>
      <c r="AH105">
        <f t="shared" ref="AH105:AZ105" si="26">_xlfn.FORECAST.ETS(AH103,$B$105:$AF$105,$B$103:$AF$103)</f>
        <v>1.3095442282746987E-5</v>
      </c>
      <c r="AI105">
        <f t="shared" si="26"/>
        <v>1.3193062240462445E-5</v>
      </c>
      <c r="AJ105">
        <f t="shared" si="26"/>
        <v>1.3290682198177904E-5</v>
      </c>
      <c r="AK105">
        <f t="shared" si="26"/>
        <v>1.3388302155893362E-5</v>
      </c>
      <c r="AL105">
        <f t="shared" si="26"/>
        <v>1.3485922113608822E-5</v>
      </c>
      <c r="AM105">
        <f t="shared" si="26"/>
        <v>1.358354207132428E-5</v>
      </c>
      <c r="AN105">
        <f t="shared" si="26"/>
        <v>1.3681162029039738E-5</v>
      </c>
      <c r="AO105">
        <f t="shared" si="26"/>
        <v>1.3778781986755198E-5</v>
      </c>
      <c r="AP105">
        <f t="shared" si="26"/>
        <v>1.3876401944470656E-5</v>
      </c>
      <c r="AQ105">
        <f t="shared" si="26"/>
        <v>1.3974021902186115E-5</v>
      </c>
      <c r="AR105">
        <f t="shared" si="26"/>
        <v>1.4071641859901575E-5</v>
      </c>
      <c r="AS105">
        <f t="shared" si="26"/>
        <v>1.4169261817617033E-5</v>
      </c>
      <c r="AT105">
        <f t="shared" si="26"/>
        <v>1.4266881775332491E-5</v>
      </c>
      <c r="AU105">
        <f t="shared" si="26"/>
        <v>1.4364501733047951E-5</v>
      </c>
      <c r="AV105">
        <f t="shared" si="26"/>
        <v>1.4462121690763409E-5</v>
      </c>
      <c r="AW105">
        <f t="shared" si="26"/>
        <v>1.4559741648478868E-5</v>
      </c>
      <c r="AX105">
        <f t="shared" si="26"/>
        <v>1.4657361606194326E-5</v>
      </c>
      <c r="AY105">
        <f t="shared" si="26"/>
        <v>1.4754981563909786E-5</v>
      </c>
      <c r="AZ105">
        <f t="shared" si="26"/>
        <v>1.4852601521625244E-5</v>
      </c>
    </row>
    <row r="106" spans="1:52" x14ac:dyDescent="0.25">
      <c r="A106" t="s">
        <v>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25">
      <c r="A107" t="s">
        <v>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 x14ac:dyDescent="0.25">
      <c r="A108" t="s">
        <v>56</v>
      </c>
      <c r="B108">
        <v>5.8032702844488082E-6</v>
      </c>
      <c r="C108">
        <v>1.010572034981499E-5</v>
      </c>
      <c r="D108">
        <v>1.4548918609468291E-5</v>
      </c>
      <c r="E108">
        <v>1.3814064879295553E-5</v>
      </c>
      <c r="F108">
        <v>1.3102705815542782E-5</v>
      </c>
      <c r="G108">
        <v>1.2391346751790012E-5</v>
      </c>
      <c r="H108">
        <v>1.1679987688037241E-5</v>
      </c>
      <c r="I108">
        <v>1.096862862428447E-5</v>
      </c>
      <c r="J108">
        <v>1.0257269560531699E-5</v>
      </c>
      <c r="K108">
        <v>1.0408034285260253E-5</v>
      </c>
      <c r="L108">
        <v>1.0568057722521E-5</v>
      </c>
      <c r="M108">
        <v>1.0789191951557296E-5</v>
      </c>
      <c r="N108">
        <v>1.0962604245994599E-5</v>
      </c>
      <c r="O108">
        <v>1.1079859048003297E-5</v>
      </c>
      <c r="P108">
        <v>1.1139624583353451E-5</v>
      </c>
      <c r="Q108">
        <v>1.1245470781201217E-5</v>
      </c>
      <c r="R108">
        <v>1.1425356603639763E-5</v>
      </c>
      <c r="S108">
        <v>1.1557046984922532E-5</v>
      </c>
      <c r="T108">
        <v>1.1709809000606015E-5</v>
      </c>
      <c r="U108">
        <v>1.1748037247266352E-5</v>
      </c>
      <c r="V108">
        <v>1.1971575603617068E-5</v>
      </c>
      <c r="W108">
        <v>1.2108322993442573E-5</v>
      </c>
      <c r="X108">
        <v>1.2166028123384359E-5</v>
      </c>
      <c r="Y108">
        <v>1.2377163304386512E-5</v>
      </c>
      <c r="Z108">
        <v>1.2631320319234431E-5</v>
      </c>
      <c r="AA108">
        <v>1.2700802369138198E-5</v>
      </c>
      <c r="AB108">
        <v>1.2885034347660337E-5</v>
      </c>
      <c r="AC108">
        <v>1.2877523135077211E-5</v>
      </c>
      <c r="AD108">
        <v>1.2895332818958327E-5</v>
      </c>
      <c r="AE108">
        <v>1.2940666330778267E-5</v>
      </c>
      <c r="AF108">
        <v>1.2899894838325157E-5</v>
      </c>
      <c r="AG108">
        <f>_xlfn.FORECAST.ETS(AG103,$B$108:$AF$108,$B$103:$AF$103)</f>
        <v>1.2997822325031527E-5</v>
      </c>
      <c r="AH108">
        <f>_xlfn.FORECAST.ETS(AH103,$B$108:$AF$108,$B$103:$AF$103)</f>
        <v>1.3095442282746987E-5</v>
      </c>
      <c r="AI108">
        <f t="shared" ref="AI108:AU108" si="27">_xlfn.FORECAST.ETS(AI103,$B$108:$AF$108,$B$103:$AF$103)</f>
        <v>1.3193062240462445E-5</v>
      </c>
      <c r="AJ108">
        <f t="shared" si="27"/>
        <v>1.3290682198177904E-5</v>
      </c>
      <c r="AK108">
        <f t="shared" si="27"/>
        <v>1.3388302155893362E-5</v>
      </c>
      <c r="AL108">
        <f t="shared" si="27"/>
        <v>1.3485922113608822E-5</v>
      </c>
      <c r="AM108">
        <f t="shared" si="27"/>
        <v>1.358354207132428E-5</v>
      </c>
      <c r="AN108">
        <f t="shared" si="27"/>
        <v>1.3681162029039738E-5</v>
      </c>
      <c r="AO108">
        <f t="shared" si="27"/>
        <v>1.3778781986755198E-5</v>
      </c>
      <c r="AP108">
        <f t="shared" si="27"/>
        <v>1.3876401944470656E-5</v>
      </c>
      <c r="AQ108">
        <f t="shared" si="27"/>
        <v>1.3974021902186115E-5</v>
      </c>
      <c r="AR108">
        <f t="shared" si="27"/>
        <v>1.4071641859901575E-5</v>
      </c>
      <c r="AS108">
        <f t="shared" si="27"/>
        <v>1.4169261817617033E-5</v>
      </c>
      <c r="AT108">
        <f t="shared" si="27"/>
        <v>1.4266881775332491E-5</v>
      </c>
      <c r="AU108">
        <f t="shared" si="27"/>
        <v>1.4364501733047951E-5</v>
      </c>
      <c r="AV108">
        <f>_xlfn.FORECAST.ETS(AV103,$B$108:$AF$108,$B$103:$AF$103)</f>
        <v>1.4462121690763409E-5</v>
      </c>
      <c r="AW108">
        <f>_xlfn.FORECAST.ETS(AW103,$B$108:$AF$108,$B$103:$AF$103)</f>
        <v>1.4559741648478868E-5</v>
      </c>
      <c r="AX108">
        <f t="shared" ref="AX108:AZ108" si="28">_xlfn.FORECAST.ETS(AX103,$B$108:$AF$108,$B$103:$AF$103)</f>
        <v>1.4657361606194326E-5</v>
      </c>
      <c r="AY108">
        <f t="shared" si="28"/>
        <v>1.4754981563909786E-5</v>
      </c>
      <c r="AZ108">
        <f t="shared" si="28"/>
        <v>1.4852601521625244E-5</v>
      </c>
    </row>
    <row r="109" spans="1:52" x14ac:dyDescent="0.25">
      <c r="A109" t="s">
        <v>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 t="s">
        <v>58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 x14ac:dyDescent="0.25">
      <c r="A111" t="s">
        <v>59</v>
      </c>
      <c r="B111">
        <v>5.8032702844488082E-6</v>
      </c>
      <c r="C111">
        <v>1.010572034981499E-5</v>
      </c>
      <c r="D111">
        <v>1.4548918609468291E-5</v>
      </c>
      <c r="E111">
        <v>1.3814064879295553E-5</v>
      </c>
      <c r="F111">
        <v>1.3102705815542782E-5</v>
      </c>
      <c r="G111">
        <v>1.2391346751790012E-5</v>
      </c>
      <c r="H111">
        <v>1.1679987688037241E-5</v>
      </c>
      <c r="I111">
        <v>1.096862862428447E-5</v>
      </c>
      <c r="J111">
        <v>1.0257269560531699E-5</v>
      </c>
      <c r="K111">
        <v>1.0408034285260253E-5</v>
      </c>
      <c r="L111">
        <v>1.0568057722521E-5</v>
      </c>
      <c r="M111">
        <v>1.0789191951557296E-5</v>
      </c>
      <c r="N111">
        <v>1.0962604245994599E-5</v>
      </c>
      <c r="O111">
        <v>1.1079859048003297E-5</v>
      </c>
      <c r="P111">
        <v>1.1139624583353451E-5</v>
      </c>
      <c r="Q111">
        <v>1.1245470781201217E-5</v>
      </c>
      <c r="R111">
        <v>1.1425356603639763E-5</v>
      </c>
      <c r="S111">
        <v>1.1557046984922532E-5</v>
      </c>
      <c r="T111">
        <v>1.1709809000606015E-5</v>
      </c>
      <c r="U111">
        <v>1.1748037247266352E-5</v>
      </c>
      <c r="V111">
        <v>1.1971575603617068E-5</v>
      </c>
      <c r="W111">
        <v>1.2108322993442573E-5</v>
      </c>
      <c r="X111">
        <v>1.2166028123384359E-5</v>
      </c>
      <c r="Y111">
        <v>1.2377163304386512E-5</v>
      </c>
      <c r="Z111">
        <v>1.2631320319234431E-5</v>
      </c>
      <c r="AA111">
        <v>1.2700802369138198E-5</v>
      </c>
      <c r="AB111">
        <v>1.2885034347660337E-5</v>
      </c>
      <c r="AC111">
        <v>1.2877523135077211E-5</v>
      </c>
      <c r="AD111">
        <v>1.2895332818958327E-5</v>
      </c>
      <c r="AE111">
        <v>1.2940666330778267E-5</v>
      </c>
      <c r="AF111">
        <v>1.2899894838325157E-5</v>
      </c>
      <c r="AG111">
        <f>_xlfn.FORECAST.ETS(AG103,$B$111:$AF$111,$B$103:$AF$103)</f>
        <v>1.2997822325031527E-5</v>
      </c>
      <c r="AH111">
        <f>_xlfn.FORECAST.ETS(AH103,$B$111:$AF$111,$B$103:$AF$103)</f>
        <v>1.3095442282746987E-5</v>
      </c>
      <c r="AI111">
        <f t="shared" ref="AI111:AU111" si="29">_xlfn.FORECAST.ETS(AI103,$B$111:$AF$111,$B$103:$AF$103)</f>
        <v>1.3193062240462445E-5</v>
      </c>
      <c r="AJ111">
        <f t="shared" si="29"/>
        <v>1.3290682198177904E-5</v>
      </c>
      <c r="AK111">
        <f t="shared" si="29"/>
        <v>1.3388302155893362E-5</v>
      </c>
      <c r="AL111">
        <f t="shared" si="29"/>
        <v>1.3485922113608822E-5</v>
      </c>
      <c r="AM111">
        <f t="shared" si="29"/>
        <v>1.358354207132428E-5</v>
      </c>
      <c r="AN111">
        <f t="shared" si="29"/>
        <v>1.3681162029039738E-5</v>
      </c>
      <c r="AO111">
        <f t="shared" si="29"/>
        <v>1.3778781986755198E-5</v>
      </c>
      <c r="AP111">
        <f t="shared" si="29"/>
        <v>1.3876401944470656E-5</v>
      </c>
      <c r="AQ111">
        <f t="shared" si="29"/>
        <v>1.3974021902186115E-5</v>
      </c>
      <c r="AR111">
        <f t="shared" si="29"/>
        <v>1.4071641859901575E-5</v>
      </c>
      <c r="AS111">
        <f t="shared" si="29"/>
        <v>1.4169261817617033E-5</v>
      </c>
      <c r="AT111">
        <f t="shared" si="29"/>
        <v>1.4266881775332491E-5</v>
      </c>
      <c r="AU111">
        <f t="shared" si="29"/>
        <v>1.4364501733047951E-5</v>
      </c>
      <c r="AV111">
        <f>_xlfn.FORECAST.ETS(AV103,$B$111:$AF$111,$B$103:$AF$103)</f>
        <v>1.4462121690763409E-5</v>
      </c>
      <c r="AW111">
        <f>_xlfn.FORECAST.ETS(AW103,$B$111:$AF$111,$B$103:$AF$103)</f>
        <v>1.4559741648478868E-5</v>
      </c>
      <c r="AX111">
        <f t="shared" ref="AX111:AZ111" si="30">_xlfn.FORECAST.ETS(AX103,$B$111:$AF$111,$B$103:$AF$103)</f>
        <v>1.4657361606194326E-5</v>
      </c>
      <c r="AY111">
        <f t="shared" si="30"/>
        <v>1.4754981563909786E-5</v>
      </c>
      <c r="AZ111">
        <f t="shared" si="30"/>
        <v>1.4852601521625244E-5</v>
      </c>
    </row>
    <row r="112" spans="1:52" s="3" customFormat="1" x14ac:dyDescent="0.25">
      <c r="A112" s="5" t="s">
        <v>47</v>
      </c>
    </row>
    <row r="113" spans="1:52" x14ac:dyDescent="0.25">
      <c r="A113" t="s">
        <v>30</v>
      </c>
      <c r="B113">
        <v>2020</v>
      </c>
      <c r="C113">
        <v>2021</v>
      </c>
      <c r="D113">
        <v>2022</v>
      </c>
      <c r="E113">
        <v>2023</v>
      </c>
      <c r="F113">
        <v>2024</v>
      </c>
      <c r="G113">
        <v>2025</v>
      </c>
      <c r="H113">
        <v>2026</v>
      </c>
      <c r="I113">
        <v>2027</v>
      </c>
      <c r="J113">
        <v>2028</v>
      </c>
      <c r="K113">
        <v>2029</v>
      </c>
      <c r="L113">
        <v>2030</v>
      </c>
      <c r="M113">
        <v>2031</v>
      </c>
      <c r="N113">
        <v>2032</v>
      </c>
      <c r="O113">
        <v>2033</v>
      </c>
      <c r="P113">
        <v>2034</v>
      </c>
      <c r="Q113">
        <v>2035</v>
      </c>
      <c r="R113">
        <v>2036</v>
      </c>
      <c r="S113">
        <v>2037</v>
      </c>
      <c r="T113">
        <v>2038</v>
      </c>
      <c r="U113">
        <v>2039</v>
      </c>
      <c r="V113">
        <v>2040</v>
      </c>
      <c r="W113">
        <v>2041</v>
      </c>
      <c r="X113">
        <v>2042</v>
      </c>
      <c r="Y113">
        <v>2043</v>
      </c>
      <c r="Z113">
        <v>2044</v>
      </c>
      <c r="AA113">
        <v>2045</v>
      </c>
      <c r="AB113">
        <v>2046</v>
      </c>
      <c r="AC113">
        <v>2047</v>
      </c>
      <c r="AD113">
        <v>2048</v>
      </c>
      <c r="AE113">
        <v>2049</v>
      </c>
      <c r="AF113">
        <v>2050</v>
      </c>
      <c r="AG113">
        <v>2051</v>
      </c>
      <c r="AH113">
        <v>2052</v>
      </c>
      <c r="AI113">
        <v>2053</v>
      </c>
      <c r="AJ113">
        <v>2054</v>
      </c>
      <c r="AK113">
        <v>2055</v>
      </c>
      <c r="AL113">
        <v>2056</v>
      </c>
      <c r="AM113">
        <v>2057</v>
      </c>
      <c r="AN113">
        <v>2058</v>
      </c>
      <c r="AO113">
        <v>2059</v>
      </c>
      <c r="AP113">
        <v>2060</v>
      </c>
      <c r="AQ113">
        <v>2061</v>
      </c>
      <c r="AR113">
        <v>2062</v>
      </c>
      <c r="AS113">
        <v>2063</v>
      </c>
      <c r="AT113">
        <v>2064</v>
      </c>
      <c r="AU113">
        <v>2065</v>
      </c>
      <c r="AV113">
        <v>2066</v>
      </c>
      <c r="AW113">
        <v>2067</v>
      </c>
      <c r="AX113">
        <v>2068</v>
      </c>
      <c r="AY113">
        <v>2069</v>
      </c>
      <c r="AZ113">
        <v>2070</v>
      </c>
    </row>
    <row r="114" spans="1:52" x14ac:dyDescent="0.25">
      <c r="A114" t="s">
        <v>52</v>
      </c>
      <c r="B114" s="42">
        <v>1.4927235207542256E-5</v>
      </c>
      <c r="C114" s="42">
        <v>1.835315804206015E-5</v>
      </c>
      <c r="D114" s="42">
        <v>2.6795610741407819E-5</v>
      </c>
      <c r="E114" s="42">
        <v>2.3369687906889925E-5</v>
      </c>
      <c r="F114" s="42">
        <v>2.117401763410256E-5</v>
      </c>
      <c r="G114" s="42">
        <v>1.8978347361315195E-5</v>
      </c>
      <c r="H114" s="42">
        <v>1.678267708852783E-5</v>
      </c>
      <c r="I114" s="42">
        <v>1.4587006815740463E-5</v>
      </c>
      <c r="J114" s="42">
        <v>1.2391336542953093E-5</v>
      </c>
      <c r="K114" s="42">
        <v>1.2477675986456064E-5</v>
      </c>
      <c r="L114" s="42">
        <v>1.2579748173037605E-5</v>
      </c>
      <c r="M114" s="42">
        <v>1.2772463260796397E-5</v>
      </c>
      <c r="N114" s="42">
        <v>1.2863922115850461E-5</v>
      </c>
      <c r="O114" s="42">
        <v>1.2974373292969698E-5</v>
      </c>
      <c r="P114" s="42">
        <v>1.2986282999815475E-5</v>
      </c>
      <c r="Q114" s="42">
        <v>1.3015132858124513E-5</v>
      </c>
      <c r="R114" s="42">
        <v>1.3002682571244048E-5</v>
      </c>
      <c r="S114" s="42">
        <v>1.3031510399645716E-5</v>
      </c>
      <c r="T114" s="42">
        <v>1.3191422955330845E-5</v>
      </c>
      <c r="U114" s="42">
        <v>1.3147735107104103E-5</v>
      </c>
      <c r="V114" s="42">
        <v>1.3424564617721518E-5</v>
      </c>
      <c r="W114" s="42">
        <v>1.3535538581488725E-5</v>
      </c>
      <c r="X114" s="42">
        <v>1.360756621093848E-5</v>
      </c>
      <c r="Y114" s="42">
        <v>1.3866842969206922E-5</v>
      </c>
      <c r="Z114" s="42">
        <v>1.4050525794944086E-5</v>
      </c>
      <c r="AA114" s="42">
        <v>1.413115017209285E-5</v>
      </c>
      <c r="AB114" s="42">
        <v>1.4257588283529538E-5</v>
      </c>
      <c r="AC114" s="42">
        <v>1.4303693490438054E-5</v>
      </c>
      <c r="AD114" s="42">
        <v>1.427933264940768E-5</v>
      </c>
      <c r="AE114" s="42">
        <v>1.4307708017404141E-5</v>
      </c>
      <c r="AF114" s="42">
        <v>1.4275271520714466E-5</v>
      </c>
      <c r="AG114" s="42">
        <f>_xlfn.FORECAST.ETS(AG113,$L$114:$AF$114,$L$113:$AF$113)</f>
        <v>1.4553254224291295E-5</v>
      </c>
      <c r="AH114" s="42">
        <f t="shared" ref="AH114:AZ114" si="31">_xlfn.FORECAST.ETS(AH113,$L$114:$AF$114,$L$113:$AF$113)</f>
        <v>1.4647116840562957E-5</v>
      </c>
      <c r="AI114" s="42">
        <f t="shared" si="31"/>
        <v>1.4740979456834617E-5</v>
      </c>
      <c r="AJ114" s="42">
        <f t="shared" si="31"/>
        <v>1.4834842073106279E-5</v>
      </c>
      <c r="AK114" s="42">
        <f t="shared" si="31"/>
        <v>1.4928704689377941E-5</v>
      </c>
      <c r="AL114" s="42">
        <f t="shared" si="31"/>
        <v>1.5022567305649603E-5</v>
      </c>
      <c r="AM114" s="42">
        <f t="shared" si="31"/>
        <v>1.5116429921921264E-5</v>
      </c>
      <c r="AN114" s="42">
        <f t="shared" si="31"/>
        <v>1.5210292538192926E-5</v>
      </c>
      <c r="AO114" s="42">
        <f t="shared" si="31"/>
        <v>1.5304155154464588E-5</v>
      </c>
      <c r="AP114" s="42">
        <f t="shared" si="31"/>
        <v>1.5398017770736248E-5</v>
      </c>
      <c r="AQ114" s="42">
        <f t="shared" si="31"/>
        <v>1.5491880387007912E-5</v>
      </c>
      <c r="AR114" s="42">
        <f t="shared" si="31"/>
        <v>1.5585743003279572E-5</v>
      </c>
      <c r="AS114" s="42">
        <f t="shared" si="31"/>
        <v>1.5679605619551236E-5</v>
      </c>
      <c r="AT114" s="42">
        <f t="shared" si="31"/>
        <v>1.5773468235822897E-5</v>
      </c>
      <c r="AU114" s="42">
        <f t="shared" si="31"/>
        <v>1.5867330852094557E-5</v>
      </c>
      <c r="AV114" s="42">
        <f t="shared" si="31"/>
        <v>1.5961193468366221E-5</v>
      </c>
      <c r="AW114" s="42">
        <f t="shared" si="31"/>
        <v>1.6055056084637881E-5</v>
      </c>
      <c r="AX114" s="42">
        <f t="shared" si="31"/>
        <v>1.6148918700909542E-5</v>
      </c>
      <c r="AY114" s="42">
        <f t="shared" si="31"/>
        <v>1.6242781317181205E-5</v>
      </c>
      <c r="AZ114" s="42">
        <f t="shared" si="31"/>
        <v>1.6336643933452866E-5</v>
      </c>
    </row>
    <row r="115" spans="1:52" x14ac:dyDescent="0.25">
      <c r="A115" t="s">
        <v>53</v>
      </c>
      <c r="B115" s="42">
        <v>1.3440227052039288E-5</v>
      </c>
      <c r="C115" s="42">
        <v>1.9314501239121262E-5</v>
      </c>
      <c r="D115" s="42">
        <v>3.4260821340317909E-5</v>
      </c>
      <c r="E115" s="42">
        <v>2.3289665132092304E-5</v>
      </c>
      <c r="F115" s="42">
        <v>2.1121113671993361E-5</v>
      </c>
      <c r="G115" s="42">
        <v>1.8952562211894418E-5</v>
      </c>
      <c r="H115" s="42">
        <v>1.6784010751795474E-5</v>
      </c>
      <c r="I115" s="42">
        <v>1.4615459291696531E-5</v>
      </c>
      <c r="J115" s="42">
        <v>1.2446907831597591E-5</v>
      </c>
      <c r="K115" s="42">
        <v>1.2529524220755063E-5</v>
      </c>
      <c r="L115" s="42">
        <v>1.2607007641495365E-5</v>
      </c>
      <c r="M115" s="42">
        <v>1.28450789193121E-5</v>
      </c>
      <c r="N115" s="42">
        <v>1.2923944293087793E-5</v>
      </c>
      <c r="O115" s="42">
        <v>1.3038766712211682E-5</v>
      </c>
      <c r="P115" s="42">
        <v>1.3061193157914159E-5</v>
      </c>
      <c r="Q115" s="42">
        <v>1.3094616763914823E-5</v>
      </c>
      <c r="R115" s="42">
        <v>1.3079316993246483E-5</v>
      </c>
      <c r="S115" s="42">
        <v>1.3118923377480901E-5</v>
      </c>
      <c r="T115" s="42">
        <v>1.3262904920921133E-5</v>
      </c>
      <c r="U115" s="42">
        <v>1.3248684615713915E-5</v>
      </c>
      <c r="V115" s="42">
        <v>1.3432568252529797E-5</v>
      </c>
      <c r="W115" s="42">
        <v>1.3464638713835477E-5</v>
      </c>
      <c r="X115" s="42">
        <v>1.3417280344119274E-5</v>
      </c>
      <c r="Y115" s="42">
        <v>1.3534054104653649E-5</v>
      </c>
      <c r="Z115" s="42">
        <v>1.3544019248521975E-5</v>
      </c>
      <c r="AA115" s="42">
        <v>1.3389006652618371E-5</v>
      </c>
      <c r="AB115" s="42">
        <v>1.3578085111052882E-5</v>
      </c>
      <c r="AC115" s="42">
        <v>1.3650717715651176E-5</v>
      </c>
      <c r="AD115" s="42">
        <v>1.368319403563494E-5</v>
      </c>
      <c r="AE115" s="42">
        <v>1.37311692427575E-5</v>
      </c>
      <c r="AF115" s="42">
        <v>1.3726539572993318E-5</v>
      </c>
      <c r="AG115" s="42">
        <f>_xlfn.FORECAST.ETS(AG113,$L$115:$AF$115,$L$113:$AF$113)</f>
        <v>1.3760923370483187E-5</v>
      </c>
      <c r="AH115" s="42">
        <f t="shared" ref="AH115:AZ115" si="32">_xlfn.FORECAST.ETS(AH113,$L$115:$AF$115,$L$113:$AF$113)</f>
        <v>1.3795203551896969E-5</v>
      </c>
      <c r="AI115" s="42">
        <f t="shared" si="32"/>
        <v>1.382948373331075E-5</v>
      </c>
      <c r="AJ115" s="42">
        <f t="shared" si="32"/>
        <v>1.3863763914724532E-5</v>
      </c>
      <c r="AK115" s="42">
        <f t="shared" si="32"/>
        <v>1.3898044096138312E-5</v>
      </c>
      <c r="AL115" s="42">
        <f t="shared" si="32"/>
        <v>1.3932324277552095E-5</v>
      </c>
      <c r="AM115" s="42">
        <f t="shared" si="32"/>
        <v>1.3966604458965875E-5</v>
      </c>
      <c r="AN115" s="42">
        <f t="shared" si="32"/>
        <v>1.4000884640379657E-5</v>
      </c>
      <c r="AO115" s="42">
        <f t="shared" si="32"/>
        <v>1.4035164821793438E-5</v>
      </c>
      <c r="AP115" s="42">
        <f t="shared" si="32"/>
        <v>1.406944500320722E-5</v>
      </c>
      <c r="AQ115" s="42">
        <f t="shared" si="32"/>
        <v>1.4103725184621001E-5</v>
      </c>
      <c r="AR115" s="42">
        <f t="shared" si="32"/>
        <v>1.4138005366034781E-5</v>
      </c>
      <c r="AS115" s="42">
        <f t="shared" si="32"/>
        <v>1.4172285547448563E-5</v>
      </c>
      <c r="AT115" s="42">
        <f t="shared" si="32"/>
        <v>1.4206565728862344E-5</v>
      </c>
      <c r="AU115" s="42">
        <f t="shared" si="32"/>
        <v>1.4240845910276126E-5</v>
      </c>
      <c r="AV115" s="42">
        <f t="shared" si="32"/>
        <v>1.4275126091689906E-5</v>
      </c>
      <c r="AW115" s="42">
        <f t="shared" si="32"/>
        <v>1.4309406273103689E-5</v>
      </c>
      <c r="AX115" s="42">
        <f t="shared" si="32"/>
        <v>1.4343686454517469E-5</v>
      </c>
      <c r="AY115" s="42">
        <f t="shared" si="32"/>
        <v>1.4377966635931251E-5</v>
      </c>
      <c r="AZ115" s="42">
        <f t="shared" si="32"/>
        <v>1.4412246817345032E-5</v>
      </c>
    </row>
    <row r="116" spans="1:52" x14ac:dyDescent="0.25">
      <c r="A116" t="s">
        <v>54</v>
      </c>
      <c r="B116">
        <v>8.5051560296238753E-6</v>
      </c>
      <c r="C116">
        <v>9.6681985880672616E-6</v>
      </c>
      <c r="D116">
        <v>1.9380993332185943E-5</v>
      </c>
      <c r="E116">
        <v>1.3941376221413941E-5</v>
      </c>
      <c r="F116">
        <v>1.3034456083278697E-5</v>
      </c>
      <c r="G116">
        <v>1.2127535945143453E-5</v>
      </c>
      <c r="H116">
        <v>1.1220615807008209E-5</v>
      </c>
      <c r="I116">
        <v>1.0313695668872966E-5</v>
      </c>
      <c r="J116">
        <v>9.4067755307377185E-6</v>
      </c>
      <c r="K116">
        <v>9.4895249466435392E-6</v>
      </c>
      <c r="L116">
        <v>9.620852850212199E-6</v>
      </c>
      <c r="M116">
        <v>9.7740496733660521E-6</v>
      </c>
      <c r="N116">
        <v>9.8933348433405903E-6</v>
      </c>
      <c r="O116">
        <v>9.9951545332915061E-6</v>
      </c>
      <c r="P116">
        <v>1.0004276609550872E-5</v>
      </c>
      <c r="Q116">
        <v>1.0019889035443037E-5</v>
      </c>
      <c r="R116">
        <v>9.9776890532678871E-6</v>
      </c>
      <c r="S116">
        <v>9.959061919282575E-6</v>
      </c>
      <c r="T116">
        <v>1.0128836247732221E-5</v>
      </c>
      <c r="U116">
        <v>9.9825957914824492E-6</v>
      </c>
      <c r="V116">
        <v>1.0427620255651916E-5</v>
      </c>
      <c r="W116">
        <v>1.0573672610384912E-5</v>
      </c>
      <c r="X116">
        <v>1.0693172995608367E-5</v>
      </c>
      <c r="Y116">
        <v>1.100867092478872E-5</v>
      </c>
      <c r="Z116">
        <v>1.1241573647414841E-5</v>
      </c>
      <c r="AA116">
        <v>1.1319719659984498E-5</v>
      </c>
      <c r="AB116">
        <v>1.1444550435487321E-5</v>
      </c>
      <c r="AC116">
        <v>1.1542895331202714E-5</v>
      </c>
      <c r="AD116">
        <v>1.1463989286828799E-5</v>
      </c>
      <c r="AE116">
        <v>1.1512050071668448E-5</v>
      </c>
      <c r="AF116">
        <v>1.1440579121031846E-5</v>
      </c>
      <c r="AG116">
        <f>_xlfn.FORECAST.ETS(AG113,$B$116:$AF$116,$B$113:$AF$113)</f>
        <v>1.1429856600786197E-5</v>
      </c>
      <c r="AH116">
        <f>_xlfn.FORECAST.ETS(AH113,$B$116:$AF$116,$B$113:$AF$113)</f>
        <v>1.1410146334624564E-5</v>
      </c>
      <c r="AI116">
        <f t="shared" ref="AI116:AZ116" si="33">_xlfn.FORECAST.ETS(AI113,$B$116:$AF$116,$B$113:$AF$113)</f>
        <v>1.1390436068462926E-5</v>
      </c>
      <c r="AJ116">
        <f t="shared" si="33"/>
        <v>1.1370725802301293E-5</v>
      </c>
      <c r="AK116">
        <f t="shared" si="33"/>
        <v>1.1351015536139654E-5</v>
      </c>
      <c r="AL116">
        <f t="shared" si="33"/>
        <v>1.1331305269978021E-5</v>
      </c>
      <c r="AM116">
        <f t="shared" si="33"/>
        <v>1.1311595003816383E-5</v>
      </c>
      <c r="AN116">
        <f t="shared" si="33"/>
        <v>1.129188473765475E-5</v>
      </c>
      <c r="AO116">
        <f t="shared" si="33"/>
        <v>1.1272174471493112E-5</v>
      </c>
      <c r="AP116">
        <f t="shared" si="33"/>
        <v>1.1252464205331479E-5</v>
      </c>
      <c r="AQ116">
        <f t="shared" si="33"/>
        <v>1.123275393916984E-5</v>
      </c>
      <c r="AR116">
        <f t="shared" si="33"/>
        <v>1.1213043673008209E-5</v>
      </c>
      <c r="AS116">
        <f t="shared" si="33"/>
        <v>1.1193333406846569E-5</v>
      </c>
      <c r="AT116">
        <f t="shared" si="33"/>
        <v>1.1173623140684938E-5</v>
      </c>
      <c r="AU116">
        <f t="shared" si="33"/>
        <v>1.1153912874523298E-5</v>
      </c>
      <c r="AV116">
        <f t="shared" si="33"/>
        <v>1.1134202608361666E-5</v>
      </c>
      <c r="AW116">
        <f t="shared" si="33"/>
        <v>1.1114492342200026E-5</v>
      </c>
      <c r="AX116">
        <f t="shared" si="33"/>
        <v>1.1094782076038395E-5</v>
      </c>
      <c r="AY116">
        <f t="shared" si="33"/>
        <v>1.1075071809876755E-5</v>
      </c>
      <c r="AZ116">
        <f t="shared" si="33"/>
        <v>1.1055361543715124E-5</v>
      </c>
    </row>
    <row r="117" spans="1:52" x14ac:dyDescent="0.25">
      <c r="A117" t="s">
        <v>55</v>
      </c>
      <c r="B117">
        <v>8.5051560296238753E-6</v>
      </c>
      <c r="C117">
        <v>9.6681985880672616E-6</v>
      </c>
      <c r="D117">
        <v>1.9380993332185943E-5</v>
      </c>
      <c r="E117">
        <v>1.3941376221413941E-5</v>
      </c>
      <c r="F117">
        <v>1.3034456083278697E-5</v>
      </c>
      <c r="G117">
        <v>1.2127535945143453E-5</v>
      </c>
      <c r="H117">
        <v>1.1220615807008209E-5</v>
      </c>
      <c r="I117">
        <v>1.0313695668872966E-5</v>
      </c>
      <c r="J117">
        <v>9.4067755307377185E-6</v>
      </c>
      <c r="K117">
        <v>9.4895249466435392E-6</v>
      </c>
      <c r="L117">
        <v>9.620852850212199E-6</v>
      </c>
      <c r="M117">
        <v>9.7740496733660521E-6</v>
      </c>
      <c r="N117">
        <v>9.8933348433405903E-6</v>
      </c>
      <c r="O117">
        <v>9.9951545332915061E-6</v>
      </c>
      <c r="P117">
        <v>1.0004276609550872E-5</v>
      </c>
      <c r="Q117">
        <v>1.0019889035443037E-5</v>
      </c>
      <c r="R117">
        <v>9.9776890532678871E-6</v>
      </c>
      <c r="S117">
        <v>9.959061919282575E-6</v>
      </c>
      <c r="T117">
        <v>1.0128836247732221E-5</v>
      </c>
      <c r="U117">
        <v>9.9825957914824492E-6</v>
      </c>
      <c r="V117">
        <v>1.0427620255651916E-5</v>
      </c>
      <c r="W117">
        <v>1.0573672610384912E-5</v>
      </c>
      <c r="X117">
        <v>1.0693172995608367E-5</v>
      </c>
      <c r="Y117">
        <v>1.100867092478872E-5</v>
      </c>
      <c r="Z117">
        <v>1.1241573647414841E-5</v>
      </c>
      <c r="AA117">
        <v>1.1319719659984498E-5</v>
      </c>
      <c r="AB117">
        <v>1.1444550435487321E-5</v>
      </c>
      <c r="AC117">
        <v>1.1542895331202714E-5</v>
      </c>
      <c r="AD117">
        <v>1.1463989286828799E-5</v>
      </c>
      <c r="AE117">
        <v>1.1512050071668448E-5</v>
      </c>
      <c r="AF117">
        <v>1.1440579121031846E-5</v>
      </c>
      <c r="AG117">
        <f>_xlfn.FORECAST.ETS(AG113,$B$117:$AF$117,$B$113:$AF$113)</f>
        <v>1.1429856600786197E-5</v>
      </c>
      <c r="AH117">
        <f>_xlfn.FORECAST.ETS(AH113,$B$117:$AF$117,$B$113:$AF$113)</f>
        <v>1.1410146334624564E-5</v>
      </c>
      <c r="AI117">
        <f t="shared" ref="AI117:AZ117" si="34">_xlfn.FORECAST.ETS(AI113,$B$117:$AF$117,$B$113:$AF$113)</f>
        <v>1.1390436068462926E-5</v>
      </c>
      <c r="AJ117">
        <f t="shared" si="34"/>
        <v>1.1370725802301293E-5</v>
      </c>
      <c r="AK117">
        <f t="shared" si="34"/>
        <v>1.1351015536139654E-5</v>
      </c>
      <c r="AL117">
        <f t="shared" si="34"/>
        <v>1.1331305269978021E-5</v>
      </c>
      <c r="AM117">
        <f t="shared" si="34"/>
        <v>1.1311595003816383E-5</v>
      </c>
      <c r="AN117">
        <f t="shared" si="34"/>
        <v>1.129188473765475E-5</v>
      </c>
      <c r="AO117">
        <f t="shared" si="34"/>
        <v>1.1272174471493112E-5</v>
      </c>
      <c r="AP117">
        <f t="shared" si="34"/>
        <v>1.1252464205331479E-5</v>
      </c>
      <c r="AQ117">
        <f t="shared" si="34"/>
        <v>1.123275393916984E-5</v>
      </c>
      <c r="AR117">
        <f t="shared" si="34"/>
        <v>1.1213043673008209E-5</v>
      </c>
      <c r="AS117">
        <f t="shared" si="34"/>
        <v>1.1193333406846569E-5</v>
      </c>
      <c r="AT117">
        <f t="shared" si="34"/>
        <v>1.1173623140684938E-5</v>
      </c>
      <c r="AU117">
        <f t="shared" si="34"/>
        <v>1.1153912874523298E-5</v>
      </c>
      <c r="AV117">
        <f t="shared" si="34"/>
        <v>1.1134202608361666E-5</v>
      </c>
      <c r="AW117">
        <f t="shared" si="34"/>
        <v>1.1114492342200026E-5</v>
      </c>
      <c r="AX117">
        <f t="shared" si="34"/>
        <v>1.1094782076038395E-5</v>
      </c>
      <c r="AY117">
        <f t="shared" si="34"/>
        <v>1.1075071809876755E-5</v>
      </c>
      <c r="AZ117">
        <f t="shared" si="34"/>
        <v>1.1055361543715124E-5</v>
      </c>
    </row>
    <row r="118" spans="1:52" x14ac:dyDescent="0.25">
      <c r="A118" t="s">
        <v>56</v>
      </c>
      <c r="B118">
        <v>8.7907978460530088E-6</v>
      </c>
      <c r="C118">
        <v>1.0532853075767043E-5</v>
      </c>
      <c r="D118">
        <v>2.127032890654978E-5</v>
      </c>
      <c r="E118">
        <v>1.5683538562914313E-5</v>
      </c>
      <c r="F118">
        <v>1.4738694620022559E-5</v>
      </c>
      <c r="G118">
        <v>1.3793850677130806E-5</v>
      </c>
      <c r="H118">
        <v>1.2849006734239053E-5</v>
      </c>
      <c r="I118">
        <v>1.19041627913473E-5</v>
      </c>
      <c r="J118">
        <v>1.0959318848455545E-5</v>
      </c>
      <c r="K118">
        <v>1.1060770808414214E-5</v>
      </c>
      <c r="L118">
        <v>1.120498197127357E-5</v>
      </c>
      <c r="M118">
        <v>1.1375702738435987E-5</v>
      </c>
      <c r="N118">
        <v>1.1506722223301469E-5</v>
      </c>
      <c r="O118">
        <v>1.1620780374100452E-5</v>
      </c>
      <c r="P118">
        <v>1.164121396049009E-5</v>
      </c>
      <c r="Q118">
        <v>1.1671604217706756E-5</v>
      </c>
      <c r="R118">
        <v>1.1636764766505515E-5</v>
      </c>
      <c r="S118">
        <v>1.1608711374078309E-5</v>
      </c>
      <c r="T118">
        <v>1.1809786811683947E-5</v>
      </c>
      <c r="U118">
        <v>1.1701001434483519E-5</v>
      </c>
      <c r="V118">
        <v>1.2136292916116174E-5</v>
      </c>
      <c r="W118">
        <v>1.2288257759065575E-5</v>
      </c>
      <c r="X118">
        <v>1.2410101787511531E-5</v>
      </c>
      <c r="Y118">
        <v>1.2723622956157506E-5</v>
      </c>
      <c r="Z118">
        <v>1.2937252051747422E-5</v>
      </c>
      <c r="AA118">
        <v>1.3010755684990955E-5</v>
      </c>
      <c r="AB118">
        <v>1.3156353884710482E-5</v>
      </c>
      <c r="AC118">
        <v>1.3221510724973242E-5</v>
      </c>
      <c r="AD118">
        <v>1.3194303789371515E-5</v>
      </c>
      <c r="AE118">
        <v>1.3219168776359003E-5</v>
      </c>
      <c r="AF118">
        <v>1.3178508345787353E-5</v>
      </c>
      <c r="AG118">
        <f>_xlfn.FORECAST.ETS(AG113,$B$118:$AF$118,$B$113:$AF$113)</f>
        <v>1.3181948425596508E-5</v>
      </c>
      <c r="AH118">
        <f>_xlfn.FORECAST.ETS(AH113,$B$118:$AF$118,$B$113:$AF$113)</f>
        <v>1.3178071618106646E-5</v>
      </c>
      <c r="AI118">
        <f t="shared" ref="AI118:AZ118" si="35">_xlfn.FORECAST.ETS(AI113,$B$118:$AF$118,$B$113:$AF$113)</f>
        <v>1.3174194810616777E-5</v>
      </c>
      <c r="AJ118">
        <f t="shared" si="35"/>
        <v>1.3170318003126913E-5</v>
      </c>
      <c r="AK118">
        <f t="shared" si="35"/>
        <v>1.3166441195637044E-5</v>
      </c>
      <c r="AL118">
        <f t="shared" si="35"/>
        <v>1.3162564388147181E-5</v>
      </c>
      <c r="AM118">
        <f t="shared" si="35"/>
        <v>1.3158687580657312E-5</v>
      </c>
      <c r="AN118">
        <f t="shared" si="35"/>
        <v>1.315481077316745E-5</v>
      </c>
      <c r="AO118">
        <f t="shared" si="35"/>
        <v>1.3150933965677581E-5</v>
      </c>
      <c r="AP118">
        <f t="shared" si="35"/>
        <v>1.3147057158187717E-5</v>
      </c>
      <c r="AQ118">
        <f t="shared" si="35"/>
        <v>1.3143180350697847E-5</v>
      </c>
      <c r="AR118">
        <f t="shared" si="35"/>
        <v>1.3139303543207985E-5</v>
      </c>
      <c r="AS118">
        <f t="shared" si="35"/>
        <v>1.3135426735718116E-5</v>
      </c>
      <c r="AT118">
        <f t="shared" si="35"/>
        <v>1.3131549928228254E-5</v>
      </c>
      <c r="AU118">
        <f t="shared" si="35"/>
        <v>1.3127673120738384E-5</v>
      </c>
      <c r="AV118">
        <f t="shared" si="35"/>
        <v>1.312379631324852E-5</v>
      </c>
      <c r="AW118">
        <f t="shared" si="35"/>
        <v>1.3119919505758651E-5</v>
      </c>
      <c r="AX118">
        <f t="shared" si="35"/>
        <v>1.3116042698268789E-5</v>
      </c>
      <c r="AY118">
        <f t="shared" si="35"/>
        <v>1.311216589077892E-5</v>
      </c>
      <c r="AZ118">
        <f t="shared" si="35"/>
        <v>1.3108289083289057E-5</v>
      </c>
    </row>
    <row r="119" spans="1:52" x14ac:dyDescent="0.25">
      <c r="A119" t="s">
        <v>57</v>
      </c>
      <c r="B119">
        <v>8.7907978460530088E-6</v>
      </c>
      <c r="C119">
        <v>1.0532853075767043E-5</v>
      </c>
      <c r="D119">
        <v>2.127032890654978E-5</v>
      </c>
      <c r="E119">
        <v>1.5683538562914313E-5</v>
      </c>
      <c r="F119">
        <v>1.4738694620022559E-5</v>
      </c>
      <c r="G119">
        <v>1.3793850677130806E-5</v>
      </c>
      <c r="H119">
        <v>1.2849006734239053E-5</v>
      </c>
      <c r="I119">
        <v>1.19041627913473E-5</v>
      </c>
      <c r="J119">
        <v>1.0959318848455545E-5</v>
      </c>
      <c r="K119">
        <v>1.1060770808414214E-5</v>
      </c>
      <c r="L119">
        <v>1.120498197127357E-5</v>
      </c>
      <c r="M119">
        <v>1.1375702738435987E-5</v>
      </c>
      <c r="N119">
        <v>1.1506722223301469E-5</v>
      </c>
      <c r="O119">
        <v>1.1620780374100452E-5</v>
      </c>
      <c r="P119">
        <v>1.164121396049009E-5</v>
      </c>
      <c r="Q119">
        <v>1.1671604217706756E-5</v>
      </c>
      <c r="R119">
        <v>1.1636764766505515E-5</v>
      </c>
      <c r="S119">
        <v>1.1608711374078309E-5</v>
      </c>
      <c r="T119">
        <v>1.1809786811683947E-5</v>
      </c>
      <c r="U119">
        <v>1.1701001434483519E-5</v>
      </c>
      <c r="V119">
        <v>1.2136292916116174E-5</v>
      </c>
      <c r="W119">
        <v>1.2288257759065575E-5</v>
      </c>
      <c r="X119">
        <v>1.2410101787511531E-5</v>
      </c>
      <c r="Y119">
        <v>1.2723622956157506E-5</v>
      </c>
      <c r="Z119">
        <v>1.2937252051747422E-5</v>
      </c>
      <c r="AA119">
        <v>1.3010755684990955E-5</v>
      </c>
      <c r="AB119">
        <v>1.3156353884710482E-5</v>
      </c>
      <c r="AC119">
        <v>1.3221510724973242E-5</v>
      </c>
      <c r="AD119">
        <v>1.3194303789371515E-5</v>
      </c>
      <c r="AE119">
        <v>1.3219168776359003E-5</v>
      </c>
      <c r="AF119">
        <v>1.3178508345787353E-5</v>
      </c>
      <c r="AG119">
        <f>_xlfn.FORECAST.ETS(AG113,$B$119:$AF$119,$B$113:$AF$113)</f>
        <v>1.3181948425596508E-5</v>
      </c>
      <c r="AH119">
        <f>_xlfn.FORECAST.ETS(AH113,$B$119:$AF$119,$B$113:$AF$113)</f>
        <v>1.3178071618106646E-5</v>
      </c>
      <c r="AI119">
        <f t="shared" ref="AI119:AZ119" si="36">_xlfn.FORECAST.ETS(AI113,$B$119:$AF$119,$B$113:$AF$113)</f>
        <v>1.3174194810616777E-5</v>
      </c>
      <c r="AJ119">
        <f t="shared" si="36"/>
        <v>1.3170318003126913E-5</v>
      </c>
      <c r="AK119">
        <f t="shared" si="36"/>
        <v>1.3166441195637044E-5</v>
      </c>
      <c r="AL119">
        <f t="shared" si="36"/>
        <v>1.3162564388147181E-5</v>
      </c>
      <c r="AM119">
        <f t="shared" si="36"/>
        <v>1.3158687580657312E-5</v>
      </c>
      <c r="AN119">
        <f t="shared" si="36"/>
        <v>1.315481077316745E-5</v>
      </c>
      <c r="AO119">
        <f t="shared" si="36"/>
        <v>1.3150933965677581E-5</v>
      </c>
      <c r="AP119">
        <f t="shared" si="36"/>
        <v>1.3147057158187717E-5</v>
      </c>
      <c r="AQ119">
        <f t="shared" si="36"/>
        <v>1.3143180350697847E-5</v>
      </c>
      <c r="AR119">
        <f t="shared" si="36"/>
        <v>1.3139303543207985E-5</v>
      </c>
      <c r="AS119">
        <f t="shared" si="36"/>
        <v>1.3135426735718116E-5</v>
      </c>
      <c r="AT119">
        <f t="shared" si="36"/>
        <v>1.3131549928228254E-5</v>
      </c>
      <c r="AU119">
        <f t="shared" si="36"/>
        <v>1.3127673120738384E-5</v>
      </c>
      <c r="AV119">
        <f t="shared" si="36"/>
        <v>1.312379631324852E-5</v>
      </c>
      <c r="AW119">
        <f t="shared" si="36"/>
        <v>1.3119919505758651E-5</v>
      </c>
      <c r="AX119">
        <f t="shared" si="36"/>
        <v>1.3116042698268789E-5</v>
      </c>
      <c r="AY119">
        <f t="shared" si="36"/>
        <v>1.311216589077892E-5</v>
      </c>
      <c r="AZ119">
        <f t="shared" si="36"/>
        <v>1.3108289083289057E-5</v>
      </c>
    </row>
    <row r="120" spans="1:52" x14ac:dyDescent="0.25">
      <c r="A120" t="s">
        <v>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25">
      <c r="A121" t="s">
        <v>59</v>
      </c>
      <c r="B121">
        <v>8.7907978460530088E-6</v>
      </c>
      <c r="C121">
        <v>1.0532853075767043E-5</v>
      </c>
      <c r="D121">
        <v>2.127032890654978E-5</v>
      </c>
      <c r="E121">
        <v>1.5683538562914313E-5</v>
      </c>
      <c r="F121">
        <v>1.4738694620022559E-5</v>
      </c>
      <c r="G121">
        <v>1.3793850677130806E-5</v>
      </c>
      <c r="H121">
        <v>1.2849006734239053E-5</v>
      </c>
      <c r="I121">
        <v>1.19041627913473E-5</v>
      </c>
      <c r="J121">
        <v>1.0959318848455545E-5</v>
      </c>
      <c r="K121">
        <v>1.1060770808414214E-5</v>
      </c>
      <c r="L121">
        <v>1.120498197127357E-5</v>
      </c>
      <c r="M121">
        <v>1.1375702738435987E-5</v>
      </c>
      <c r="N121">
        <v>1.1506722223301469E-5</v>
      </c>
      <c r="O121">
        <v>1.1620780374100452E-5</v>
      </c>
      <c r="P121">
        <v>1.164121396049009E-5</v>
      </c>
      <c r="Q121">
        <v>1.1671604217706756E-5</v>
      </c>
      <c r="R121">
        <v>1.1636764766505515E-5</v>
      </c>
      <c r="S121">
        <v>1.1608711374078309E-5</v>
      </c>
      <c r="T121">
        <v>1.1809786811683947E-5</v>
      </c>
      <c r="U121">
        <v>1.1701001434483519E-5</v>
      </c>
      <c r="V121">
        <v>1.2136292916116174E-5</v>
      </c>
      <c r="W121">
        <v>1.2288257759065575E-5</v>
      </c>
      <c r="X121">
        <v>1.2410101787511531E-5</v>
      </c>
      <c r="Y121">
        <v>1.2723622956157506E-5</v>
      </c>
      <c r="Z121">
        <v>1.2937252051747422E-5</v>
      </c>
      <c r="AA121">
        <v>1.3010755684990955E-5</v>
      </c>
      <c r="AB121">
        <v>1.3156353884710482E-5</v>
      </c>
      <c r="AC121">
        <v>1.3221510724973242E-5</v>
      </c>
      <c r="AD121">
        <v>1.3194303789371515E-5</v>
      </c>
      <c r="AE121">
        <v>1.3219168776359003E-5</v>
      </c>
      <c r="AF121">
        <v>1.3178508345787353E-5</v>
      </c>
      <c r="AG121">
        <f>_xlfn.FORECAST.ETS(AG113,$B$121:$AF$121,$B$113:$AF$113)</f>
        <v>1.3181948425596508E-5</v>
      </c>
      <c r="AH121">
        <f>_xlfn.FORECAST.ETS(AH113,$B$121:$AF$121,$B$113:$AF$113)</f>
        <v>1.3178071618106646E-5</v>
      </c>
      <c r="AI121">
        <f t="shared" ref="AI121:AZ121" si="37">_xlfn.FORECAST.ETS(AI113,$B$121:$AF$121,$B$113:$AF$113)</f>
        <v>1.3174194810616777E-5</v>
      </c>
      <c r="AJ121">
        <f t="shared" si="37"/>
        <v>1.3170318003126913E-5</v>
      </c>
      <c r="AK121">
        <f t="shared" si="37"/>
        <v>1.3166441195637044E-5</v>
      </c>
      <c r="AL121">
        <f t="shared" si="37"/>
        <v>1.3162564388147181E-5</v>
      </c>
      <c r="AM121">
        <f t="shared" si="37"/>
        <v>1.3158687580657312E-5</v>
      </c>
      <c r="AN121">
        <f t="shared" si="37"/>
        <v>1.315481077316745E-5</v>
      </c>
      <c r="AO121">
        <f t="shared" si="37"/>
        <v>1.3150933965677581E-5</v>
      </c>
      <c r="AP121">
        <f t="shared" si="37"/>
        <v>1.3147057158187717E-5</v>
      </c>
      <c r="AQ121">
        <f t="shared" si="37"/>
        <v>1.3143180350697847E-5</v>
      </c>
      <c r="AR121">
        <f t="shared" si="37"/>
        <v>1.3139303543207985E-5</v>
      </c>
      <c r="AS121">
        <f t="shared" si="37"/>
        <v>1.3135426735718116E-5</v>
      </c>
      <c r="AT121">
        <f t="shared" si="37"/>
        <v>1.3131549928228254E-5</v>
      </c>
      <c r="AU121">
        <f t="shared" si="37"/>
        <v>1.3127673120738384E-5</v>
      </c>
      <c r="AV121">
        <f t="shared" si="37"/>
        <v>1.312379631324852E-5</v>
      </c>
      <c r="AW121">
        <f t="shared" si="37"/>
        <v>1.3119919505758651E-5</v>
      </c>
      <c r="AX121">
        <f t="shared" si="37"/>
        <v>1.3116042698268789E-5</v>
      </c>
      <c r="AY121">
        <f t="shared" si="37"/>
        <v>1.311216589077892E-5</v>
      </c>
      <c r="AZ121">
        <f t="shared" si="37"/>
        <v>1.3108289083289057E-5</v>
      </c>
    </row>
    <row r="122" spans="1:52" s="3" customFormat="1" x14ac:dyDescent="0.25">
      <c r="A122" s="5" t="s">
        <v>48</v>
      </c>
    </row>
    <row r="123" spans="1:52" x14ac:dyDescent="0.25">
      <c r="A123" t="s">
        <v>30</v>
      </c>
      <c r="B123">
        <v>2020</v>
      </c>
      <c r="C123">
        <v>2021</v>
      </c>
      <c r="D123">
        <v>2022</v>
      </c>
      <c r="E123">
        <v>2023</v>
      </c>
      <c r="F123">
        <v>2024</v>
      </c>
      <c r="G123">
        <v>2025</v>
      </c>
      <c r="H123">
        <v>2026</v>
      </c>
      <c r="I123">
        <v>2027</v>
      </c>
      <c r="J123">
        <v>2028</v>
      </c>
      <c r="K123">
        <v>2029</v>
      </c>
      <c r="L123">
        <v>2030</v>
      </c>
      <c r="M123">
        <v>2031</v>
      </c>
      <c r="N123">
        <v>2032</v>
      </c>
      <c r="O123">
        <v>2033</v>
      </c>
      <c r="P123">
        <v>2034</v>
      </c>
      <c r="Q123">
        <v>2035</v>
      </c>
      <c r="R123">
        <v>2036</v>
      </c>
      <c r="S123">
        <v>2037</v>
      </c>
      <c r="T123">
        <v>2038</v>
      </c>
      <c r="U123">
        <v>2039</v>
      </c>
      <c r="V123">
        <v>2040</v>
      </c>
      <c r="W123">
        <v>2041</v>
      </c>
      <c r="X123">
        <v>2042</v>
      </c>
      <c r="Y123">
        <v>2043</v>
      </c>
      <c r="Z123">
        <v>2044</v>
      </c>
      <c r="AA123">
        <v>2045</v>
      </c>
      <c r="AB123">
        <v>2046</v>
      </c>
      <c r="AC123">
        <v>2047</v>
      </c>
      <c r="AD123">
        <v>2048</v>
      </c>
      <c r="AE123">
        <v>2049</v>
      </c>
      <c r="AF123">
        <v>2050</v>
      </c>
      <c r="AG123">
        <v>2051</v>
      </c>
      <c r="AH123">
        <v>2052</v>
      </c>
      <c r="AI123">
        <v>2053</v>
      </c>
      <c r="AJ123">
        <v>2054</v>
      </c>
      <c r="AK123">
        <v>2055</v>
      </c>
      <c r="AL123">
        <v>2056</v>
      </c>
      <c r="AM123">
        <v>2057</v>
      </c>
      <c r="AN123">
        <v>2058</v>
      </c>
      <c r="AO123">
        <v>2059</v>
      </c>
      <c r="AP123">
        <v>2060</v>
      </c>
      <c r="AQ123">
        <v>2061</v>
      </c>
      <c r="AR123">
        <v>2062</v>
      </c>
      <c r="AS123">
        <v>2063</v>
      </c>
      <c r="AT123">
        <v>2064</v>
      </c>
      <c r="AU123">
        <v>2065</v>
      </c>
      <c r="AV123">
        <v>2066</v>
      </c>
      <c r="AW123">
        <v>2067</v>
      </c>
      <c r="AX123">
        <v>2068</v>
      </c>
      <c r="AY123">
        <v>2069</v>
      </c>
      <c r="AZ123">
        <v>2070</v>
      </c>
    </row>
    <row r="124" spans="1:52" x14ac:dyDescent="0.25">
      <c r="A124" t="s">
        <v>52</v>
      </c>
      <c r="B124">
        <v>9.9107148796216842E-6</v>
      </c>
      <c r="C124">
        <v>1.4011475733655088E-5</v>
      </c>
      <c r="D124">
        <v>1.4493301161475053E-5</v>
      </c>
      <c r="E124">
        <v>1.3301760722486943E-5</v>
      </c>
      <c r="F124">
        <v>1.3303683611424759E-5</v>
      </c>
      <c r="G124">
        <v>1.3224997574651922E-5</v>
      </c>
      <c r="H124">
        <v>1.3327638780183958E-5</v>
      </c>
      <c r="I124">
        <v>1.3600587929360382E-5</v>
      </c>
      <c r="J124">
        <v>1.3972472280871652E-5</v>
      </c>
      <c r="K124">
        <v>1.4211769689105122E-5</v>
      </c>
      <c r="L124">
        <v>1.4464344902102633E-5</v>
      </c>
      <c r="M124">
        <v>1.4954987979975845E-5</v>
      </c>
      <c r="N124">
        <v>1.5136065681046902E-5</v>
      </c>
      <c r="O124">
        <v>1.5348171781356012E-5</v>
      </c>
      <c r="P124">
        <v>1.5451034889061165E-5</v>
      </c>
      <c r="Q124">
        <v>1.5519958019904548E-5</v>
      </c>
      <c r="R124">
        <v>1.5616900051118631E-5</v>
      </c>
      <c r="S124">
        <v>1.5741861772390858E-5</v>
      </c>
      <c r="T124">
        <v>1.5855494637522676E-5</v>
      </c>
      <c r="U124">
        <v>1.5909538477455862E-5</v>
      </c>
      <c r="V124">
        <v>1.6096654918447852E-5</v>
      </c>
      <c r="W124">
        <v>1.6204583871137022E-5</v>
      </c>
      <c r="X124">
        <v>1.6211067205091631E-5</v>
      </c>
      <c r="Y124">
        <v>1.6326813273836421E-5</v>
      </c>
      <c r="Z124">
        <v>1.646516572517787E-5</v>
      </c>
      <c r="AA124">
        <v>1.6482301942816723E-5</v>
      </c>
      <c r="AB124">
        <v>1.6549843120624718E-5</v>
      </c>
      <c r="AC124">
        <v>1.6593910839017276E-5</v>
      </c>
      <c r="AD124">
        <v>1.6615312158567071E-5</v>
      </c>
      <c r="AE124">
        <v>1.6599111720555043E-5</v>
      </c>
      <c r="AF124">
        <v>1.6581392713578974E-5</v>
      </c>
      <c r="AG124">
        <f>_xlfn.FORECAST.ETS(AG123,$B$124:$AF$124,$B$123:$AF$123)</f>
        <v>1.6749290346100419E-5</v>
      </c>
      <c r="AH124">
        <f>_xlfn.FORECAST.ETS(AH123,$B$124:$AF$124,$B$123:$AF$123)</f>
        <v>1.6898661085924914E-5</v>
      </c>
      <c r="AI124">
        <f t="shared" ref="AI124:AZ124" si="38">_xlfn.FORECAST.ETS(AI123,$B$124:$AF$124,$B$123:$AF$123)</f>
        <v>1.704803182574941E-5</v>
      </c>
      <c r="AJ124">
        <f t="shared" si="38"/>
        <v>1.7197402565573905E-5</v>
      </c>
      <c r="AK124">
        <f t="shared" si="38"/>
        <v>1.7346773305398401E-5</v>
      </c>
      <c r="AL124">
        <f t="shared" si="38"/>
        <v>1.7496144045222896E-5</v>
      </c>
      <c r="AM124">
        <f t="shared" si="38"/>
        <v>1.7645514785047392E-5</v>
      </c>
      <c r="AN124">
        <f t="shared" si="38"/>
        <v>1.7794885524871888E-5</v>
      </c>
      <c r="AO124">
        <f t="shared" si="38"/>
        <v>1.7944256264696383E-5</v>
      </c>
      <c r="AP124">
        <f t="shared" si="38"/>
        <v>1.8093627004520879E-5</v>
      </c>
      <c r="AQ124">
        <f t="shared" si="38"/>
        <v>1.8242997744345374E-5</v>
      </c>
      <c r="AR124">
        <f t="shared" si="38"/>
        <v>1.839236848416987E-5</v>
      </c>
      <c r="AS124">
        <f t="shared" si="38"/>
        <v>1.8541739223994365E-5</v>
      </c>
      <c r="AT124">
        <f t="shared" si="38"/>
        <v>1.8691109963818861E-5</v>
      </c>
      <c r="AU124">
        <f t="shared" si="38"/>
        <v>1.8840480703643357E-5</v>
      </c>
      <c r="AV124">
        <f t="shared" si="38"/>
        <v>1.8989851443467852E-5</v>
      </c>
      <c r="AW124">
        <f t="shared" si="38"/>
        <v>1.9139222183292348E-5</v>
      </c>
      <c r="AX124">
        <f t="shared" si="38"/>
        <v>1.9288592923116843E-5</v>
      </c>
      <c r="AY124">
        <f t="shared" si="38"/>
        <v>1.9437963662941339E-5</v>
      </c>
      <c r="AZ124">
        <f t="shared" si="38"/>
        <v>1.9587334402765834E-5</v>
      </c>
    </row>
    <row r="125" spans="1:52" x14ac:dyDescent="0.25">
      <c r="A125" t="s">
        <v>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 x14ac:dyDescent="0.25">
      <c r="A126" t="s">
        <v>54</v>
      </c>
      <c r="B126">
        <v>1.4300496583912337E-5</v>
      </c>
      <c r="C126">
        <v>1.696653591735551E-5</v>
      </c>
      <c r="D126">
        <v>1.8337049540363637E-5</v>
      </c>
      <c r="E126">
        <v>1.8162567308864917E-5</v>
      </c>
      <c r="F126">
        <v>1.819759547503112E-5</v>
      </c>
      <c r="G126">
        <v>1.8153341390400646E-5</v>
      </c>
      <c r="H126">
        <v>1.8220933108205363E-5</v>
      </c>
      <c r="I126">
        <v>1.8469086861177074E-5</v>
      </c>
      <c r="J126">
        <v>1.8880875698850851E-5</v>
      </c>
      <c r="K126">
        <v>1.9270231885166708E-5</v>
      </c>
      <c r="L126">
        <v>1.9673045135297483E-5</v>
      </c>
      <c r="M126">
        <v>2.0200269694548676E-5</v>
      </c>
      <c r="N126">
        <v>2.0546116471498271E-5</v>
      </c>
      <c r="O126">
        <v>2.0888879518960324E-5</v>
      </c>
      <c r="P126">
        <v>2.1140793763563194E-5</v>
      </c>
      <c r="Q126">
        <v>2.1331874435548137E-5</v>
      </c>
      <c r="R126">
        <v>2.1515018748672692E-5</v>
      </c>
      <c r="S126">
        <v>2.1713738857037276E-5</v>
      </c>
      <c r="T126">
        <v>2.1908747434392527E-5</v>
      </c>
      <c r="U126">
        <v>2.2053468715008508E-5</v>
      </c>
      <c r="V126">
        <v>2.2287246207974901E-5</v>
      </c>
      <c r="W126">
        <v>2.2490763667590915E-5</v>
      </c>
      <c r="X126">
        <v>2.2601539443532994E-5</v>
      </c>
      <c r="Y126">
        <v>2.2762585932777913E-5</v>
      </c>
      <c r="Z126">
        <v>2.2958297331962588E-5</v>
      </c>
      <c r="AA126">
        <v>2.3069699330051559E-5</v>
      </c>
      <c r="AB126">
        <v>2.3189585730090381E-5</v>
      </c>
      <c r="AC126">
        <v>2.3288522511800122E-5</v>
      </c>
      <c r="AD126">
        <v>2.3359028176290895E-5</v>
      </c>
      <c r="AE126">
        <v>2.3384356611523543E-5</v>
      </c>
      <c r="AF126">
        <v>2.3387160001966766E-5</v>
      </c>
      <c r="AG126">
        <f>_xlfn.FORECAST.ETS(AG123,$B$126:$AF$126,$B$123:$AF$123)</f>
        <v>2.3418266459460316E-5</v>
      </c>
      <c r="AH126">
        <f>_xlfn.FORECAST.ETS(AH123,$B$126:$AF$126,$B$123:$AF$123)</f>
        <v>2.3449259840744914E-5</v>
      </c>
      <c r="AI126">
        <f t="shared" ref="AI126:AZ126" si="39">_xlfn.FORECAST.ETS(AI123,$B$126:$AF$126,$B$123:$AF$123)</f>
        <v>2.3480253222029515E-5</v>
      </c>
      <c r="AJ126">
        <f t="shared" si="39"/>
        <v>2.3511246603314113E-5</v>
      </c>
      <c r="AK126">
        <f t="shared" si="39"/>
        <v>2.3542239984598714E-5</v>
      </c>
      <c r="AL126">
        <f t="shared" si="39"/>
        <v>2.3573233365883312E-5</v>
      </c>
      <c r="AM126">
        <f t="shared" si="39"/>
        <v>2.3604226747167913E-5</v>
      </c>
      <c r="AN126">
        <f t="shared" si="39"/>
        <v>2.3635220128452511E-5</v>
      </c>
      <c r="AO126">
        <f t="shared" si="39"/>
        <v>2.3666213509737112E-5</v>
      </c>
      <c r="AP126">
        <f t="shared" si="39"/>
        <v>2.369720689102171E-5</v>
      </c>
      <c r="AQ126">
        <f t="shared" si="39"/>
        <v>2.3728200272306311E-5</v>
      </c>
      <c r="AR126">
        <f t="shared" si="39"/>
        <v>2.3759193653590909E-5</v>
      </c>
      <c r="AS126">
        <f t="shared" si="39"/>
        <v>2.379018703487551E-5</v>
      </c>
      <c r="AT126">
        <f t="shared" si="39"/>
        <v>2.3821180416160108E-5</v>
      </c>
      <c r="AU126">
        <f t="shared" si="39"/>
        <v>2.3852173797444709E-5</v>
      </c>
      <c r="AV126">
        <f t="shared" si="39"/>
        <v>2.3883167178729307E-5</v>
      </c>
      <c r="AW126">
        <f t="shared" si="39"/>
        <v>2.3914160560013908E-5</v>
      </c>
      <c r="AX126">
        <f t="shared" si="39"/>
        <v>2.3945153941298506E-5</v>
      </c>
      <c r="AY126">
        <f t="shared" si="39"/>
        <v>2.3976147322583107E-5</v>
      </c>
      <c r="AZ126">
        <f t="shared" si="39"/>
        <v>2.4007140703867705E-5</v>
      </c>
    </row>
    <row r="127" spans="1:52" x14ac:dyDescent="0.25">
      <c r="A127" t="s">
        <v>55</v>
      </c>
      <c r="B127">
        <v>1.05582215007517E-5</v>
      </c>
      <c r="C127">
        <v>1.4839957368059664E-5</v>
      </c>
      <c r="D127">
        <v>1.5643337207529392E-5</v>
      </c>
      <c r="E127">
        <v>1.4417846525742683E-5</v>
      </c>
      <c r="F127">
        <v>1.4359015600494901E-5</v>
      </c>
      <c r="G127">
        <v>1.4259742411931975E-5</v>
      </c>
      <c r="H127">
        <v>1.4364065651729946E-5</v>
      </c>
      <c r="I127">
        <v>1.4669353291621975E-5</v>
      </c>
      <c r="J127">
        <v>1.5098745052216847E-5</v>
      </c>
      <c r="K127">
        <v>1.5392952587514838E-5</v>
      </c>
      <c r="L127">
        <v>1.5695023040740473E-5</v>
      </c>
      <c r="M127">
        <v>1.6158999952842775E-5</v>
      </c>
      <c r="N127">
        <v>1.6380053211946733E-5</v>
      </c>
      <c r="O127">
        <v>1.6617850214027501E-5</v>
      </c>
      <c r="P127">
        <v>1.6748105999956448E-5</v>
      </c>
      <c r="Q127">
        <v>1.683561205584488E-5</v>
      </c>
      <c r="R127">
        <v>1.695095143555354E-5</v>
      </c>
      <c r="S127">
        <v>1.7098971240643135E-5</v>
      </c>
      <c r="T127">
        <v>1.7236582965157615E-5</v>
      </c>
      <c r="U127">
        <v>1.7307501636184105E-5</v>
      </c>
      <c r="V127">
        <v>1.7522805180973385E-5</v>
      </c>
      <c r="W127">
        <v>1.7658449794052918E-5</v>
      </c>
      <c r="X127">
        <v>1.767693716691666E-5</v>
      </c>
      <c r="Y127">
        <v>1.7809766544241231E-5</v>
      </c>
      <c r="Z127">
        <v>1.7974063387025393E-5</v>
      </c>
      <c r="AA127">
        <v>1.8005406081868071E-5</v>
      </c>
      <c r="AB127">
        <v>1.8085250590128292E-5</v>
      </c>
      <c r="AC127">
        <v>1.8140688228408602E-5</v>
      </c>
      <c r="AD127">
        <v>1.816944153810668E-5</v>
      </c>
      <c r="AE127">
        <v>1.8154284277214506E-5</v>
      </c>
      <c r="AF127">
        <v>1.8134594210366254E-5</v>
      </c>
      <c r="AG127">
        <f>_xlfn.FORECAST.ETS(AG123,$B$127:$AF$127,$B$123:$AF$123)</f>
        <v>1.8329032808366135E-5</v>
      </c>
      <c r="AH127">
        <f>_xlfn.FORECAST.ETS(AH123,$B$127:$AF$127,$B$123:$AF$123)</f>
        <v>1.850212709455562E-5</v>
      </c>
      <c r="AI127">
        <f t="shared" ref="AI127:AZ127" si="40">_xlfn.FORECAST.ETS(AI123,$B$127:$AF$127,$B$123:$AF$123)</f>
        <v>1.8675221380745106E-5</v>
      </c>
      <c r="AJ127">
        <f t="shared" si="40"/>
        <v>1.8848315666934591E-5</v>
      </c>
      <c r="AK127">
        <f t="shared" si="40"/>
        <v>1.9021409953124076E-5</v>
      </c>
      <c r="AL127">
        <f t="shared" si="40"/>
        <v>1.9194504239313562E-5</v>
      </c>
      <c r="AM127">
        <f t="shared" si="40"/>
        <v>1.9367598525503047E-5</v>
      </c>
      <c r="AN127">
        <f t="shared" si="40"/>
        <v>1.9540692811692533E-5</v>
      </c>
      <c r="AO127">
        <f t="shared" si="40"/>
        <v>1.9713787097882021E-5</v>
      </c>
      <c r="AP127">
        <f t="shared" si="40"/>
        <v>1.9886881384071507E-5</v>
      </c>
      <c r="AQ127">
        <f t="shared" si="40"/>
        <v>2.0059975670260992E-5</v>
      </c>
      <c r="AR127">
        <f t="shared" si="40"/>
        <v>2.0233069956450478E-5</v>
      </c>
      <c r="AS127">
        <f t="shared" si="40"/>
        <v>2.0406164242639963E-5</v>
      </c>
      <c r="AT127">
        <f t="shared" si="40"/>
        <v>2.0579258528829449E-5</v>
      </c>
      <c r="AU127">
        <f t="shared" si="40"/>
        <v>2.0752352815018934E-5</v>
      </c>
      <c r="AV127">
        <f t="shared" si="40"/>
        <v>2.0925447101208419E-5</v>
      </c>
      <c r="AW127">
        <f t="shared" si="40"/>
        <v>2.1098541387397905E-5</v>
      </c>
      <c r="AX127">
        <f t="shared" si="40"/>
        <v>2.127163567358739E-5</v>
      </c>
      <c r="AY127">
        <f t="shared" si="40"/>
        <v>2.1444729959776876E-5</v>
      </c>
      <c r="AZ127">
        <f t="shared" si="40"/>
        <v>2.1617824245966361E-5</v>
      </c>
    </row>
    <row r="128" spans="1:52" x14ac:dyDescent="0.25">
      <c r="A128" t="s">
        <v>56</v>
      </c>
      <c r="B128">
        <v>6.3021246636449609E-6</v>
      </c>
      <c r="C128">
        <v>1.0772901172400809E-5</v>
      </c>
      <c r="D128">
        <v>1.1429823998242104E-5</v>
      </c>
      <c r="E128">
        <v>1.0021684927048689E-5</v>
      </c>
      <c r="F128">
        <v>1.0008330522602116E-5</v>
      </c>
      <c r="G128">
        <v>9.9142155724547204E-6</v>
      </c>
      <c r="H128">
        <v>1.0032586562279306E-5</v>
      </c>
      <c r="I128">
        <v>1.0355389469785614E-5</v>
      </c>
      <c r="J128">
        <v>1.0804045655693837E-5</v>
      </c>
      <c r="K128">
        <v>1.1100795984576948E-5</v>
      </c>
      <c r="L128">
        <v>1.1414534859545984E-5</v>
      </c>
      <c r="M128">
        <v>1.1695547507262056E-5</v>
      </c>
      <c r="N128">
        <v>1.1926641642277444E-5</v>
      </c>
      <c r="O128">
        <v>1.2150280338088759E-5</v>
      </c>
      <c r="P128">
        <v>1.2285194490278153E-5</v>
      </c>
      <c r="Q128">
        <v>1.2376464196547542E-5</v>
      </c>
      <c r="R128">
        <v>1.2502660199302238E-5</v>
      </c>
      <c r="S128">
        <v>1.2665495330618678E-5</v>
      </c>
      <c r="T128">
        <v>1.2815072399357302E-5</v>
      </c>
      <c r="U128">
        <v>1.288873681364325E-5</v>
      </c>
      <c r="V128">
        <v>1.3132743917821337E-5</v>
      </c>
      <c r="W128">
        <v>1.3278155385267564E-5</v>
      </c>
      <c r="X128">
        <v>1.329134948316203E-5</v>
      </c>
      <c r="Y128">
        <v>1.3444332473867302E-5</v>
      </c>
      <c r="Z128">
        <v>1.3629118547197901E-5</v>
      </c>
      <c r="AA128">
        <v>1.3656523860420886E-5</v>
      </c>
      <c r="AB128">
        <v>1.3747824364500772E-5</v>
      </c>
      <c r="AC128">
        <v>1.3808980919285259E-5</v>
      </c>
      <c r="AD128">
        <v>1.3839969834150877E-5</v>
      </c>
      <c r="AE128">
        <v>1.3821161848182926E-5</v>
      </c>
      <c r="AF128">
        <v>1.3799770004882514E-5</v>
      </c>
      <c r="AG128">
        <f>_xlfn.FORECAST.ETS(AG123,$E$128:$AF$128,$E$123:$AF$123)</f>
        <v>1.393835106653797E-5</v>
      </c>
      <c r="AH128">
        <f t="shared" ref="AH128:AZ128" si="41">_xlfn.FORECAST.ETS(AH123,$E$128:$AF$128,$E$123:$AF$123)</f>
        <v>1.3953882655623111E-5</v>
      </c>
      <c r="AI128">
        <f t="shared" si="41"/>
        <v>1.3969414244708253E-5</v>
      </c>
      <c r="AJ128">
        <f t="shared" si="41"/>
        <v>1.3984945833793394E-5</v>
      </c>
      <c r="AK128">
        <f t="shared" si="41"/>
        <v>1.4000477422878535E-5</v>
      </c>
      <c r="AL128">
        <f t="shared" si="41"/>
        <v>1.4016009011963677E-5</v>
      </c>
      <c r="AM128">
        <f t="shared" si="41"/>
        <v>1.403154060104882E-5</v>
      </c>
      <c r="AN128">
        <f t="shared" si="41"/>
        <v>1.4047072190133962E-5</v>
      </c>
      <c r="AO128">
        <f t="shared" si="41"/>
        <v>1.4062603779219103E-5</v>
      </c>
      <c r="AP128">
        <f t="shared" si="41"/>
        <v>1.4078135368304244E-5</v>
      </c>
      <c r="AQ128">
        <f t="shared" si="41"/>
        <v>1.4093666957389386E-5</v>
      </c>
      <c r="AR128">
        <f t="shared" si="41"/>
        <v>1.4109198546474527E-5</v>
      </c>
      <c r="AS128">
        <f t="shared" si="41"/>
        <v>1.4124730135559669E-5</v>
      </c>
      <c r="AT128">
        <f t="shared" si="41"/>
        <v>1.414026172464481E-5</v>
      </c>
      <c r="AU128">
        <f t="shared" si="41"/>
        <v>1.4155793313729952E-5</v>
      </c>
      <c r="AV128">
        <f t="shared" si="41"/>
        <v>1.4171324902815093E-5</v>
      </c>
      <c r="AW128">
        <f t="shared" si="41"/>
        <v>1.4186856491900235E-5</v>
      </c>
      <c r="AX128">
        <f t="shared" si="41"/>
        <v>1.4202388080985376E-5</v>
      </c>
      <c r="AY128">
        <f t="shared" si="41"/>
        <v>1.4217919670070519E-5</v>
      </c>
      <c r="AZ128">
        <f t="shared" si="41"/>
        <v>1.4233451259155661E-5</v>
      </c>
    </row>
    <row r="129" spans="1:52" x14ac:dyDescent="0.25">
      <c r="A129" t="s">
        <v>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 x14ac:dyDescent="0.25">
      <c r="A130" t="s">
        <v>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 x14ac:dyDescent="0.25">
      <c r="A131" t="s">
        <v>59</v>
      </c>
      <c r="B131">
        <v>6.3021246636449609E-6</v>
      </c>
      <c r="C131">
        <v>1.0772901172400809E-5</v>
      </c>
      <c r="D131">
        <v>1.1429823998242104E-5</v>
      </c>
      <c r="E131">
        <v>1.0021684927048689E-5</v>
      </c>
      <c r="F131">
        <v>1.0008330522602116E-5</v>
      </c>
      <c r="G131">
        <v>9.9142155724547204E-6</v>
      </c>
      <c r="H131">
        <v>1.0032586562279306E-5</v>
      </c>
      <c r="I131">
        <v>1.0355389469785614E-5</v>
      </c>
      <c r="J131">
        <v>1.0804045655693837E-5</v>
      </c>
      <c r="K131">
        <v>1.1100795984576948E-5</v>
      </c>
      <c r="L131">
        <v>1.1414534859545984E-5</v>
      </c>
      <c r="M131">
        <v>1.1695547507262056E-5</v>
      </c>
      <c r="N131">
        <v>1.1926641642277444E-5</v>
      </c>
      <c r="O131">
        <v>1.2150280338088759E-5</v>
      </c>
      <c r="P131">
        <v>1.2285194490278153E-5</v>
      </c>
      <c r="Q131">
        <v>1.2376464196547542E-5</v>
      </c>
      <c r="R131">
        <v>1.2502660199302238E-5</v>
      </c>
      <c r="S131">
        <v>1.2665495330618678E-5</v>
      </c>
      <c r="T131">
        <v>1.2815072399357302E-5</v>
      </c>
      <c r="U131">
        <v>1.288873681364325E-5</v>
      </c>
      <c r="V131">
        <v>1.3132743917821337E-5</v>
      </c>
      <c r="W131">
        <v>1.3278155385267564E-5</v>
      </c>
      <c r="X131">
        <v>1.329134948316203E-5</v>
      </c>
      <c r="Y131">
        <v>1.3444332473867302E-5</v>
      </c>
      <c r="Z131">
        <v>1.3629118547197901E-5</v>
      </c>
      <c r="AA131">
        <v>1.3656523860420886E-5</v>
      </c>
      <c r="AB131">
        <v>1.3747824364500772E-5</v>
      </c>
      <c r="AC131">
        <v>1.3808980919285259E-5</v>
      </c>
      <c r="AD131">
        <v>1.3839969834150877E-5</v>
      </c>
      <c r="AE131">
        <v>1.3821161848182926E-5</v>
      </c>
      <c r="AF131">
        <v>1.3799770004882514E-5</v>
      </c>
      <c r="AG131">
        <f>_xlfn.FORECAST.ETS(AG123,$E$131:$AF$131,$E$123:$AF$123)</f>
        <v>1.393835106653797E-5</v>
      </c>
      <c r="AH131">
        <f t="shared" ref="AH131:AZ131" si="42">_xlfn.FORECAST.ETS(AH123,$E$131:$AF$131,$E$123:$AF$123)</f>
        <v>1.3953882655623111E-5</v>
      </c>
      <c r="AI131">
        <f t="shared" si="42"/>
        <v>1.3969414244708253E-5</v>
      </c>
      <c r="AJ131">
        <f t="shared" si="42"/>
        <v>1.3984945833793394E-5</v>
      </c>
      <c r="AK131">
        <f t="shared" si="42"/>
        <v>1.4000477422878535E-5</v>
      </c>
      <c r="AL131">
        <f t="shared" si="42"/>
        <v>1.4016009011963677E-5</v>
      </c>
      <c r="AM131">
        <f t="shared" si="42"/>
        <v>1.403154060104882E-5</v>
      </c>
      <c r="AN131">
        <f t="shared" si="42"/>
        <v>1.4047072190133962E-5</v>
      </c>
      <c r="AO131">
        <f t="shared" si="42"/>
        <v>1.4062603779219103E-5</v>
      </c>
      <c r="AP131">
        <f t="shared" si="42"/>
        <v>1.4078135368304244E-5</v>
      </c>
      <c r="AQ131">
        <f t="shared" si="42"/>
        <v>1.4093666957389386E-5</v>
      </c>
      <c r="AR131">
        <f t="shared" si="42"/>
        <v>1.4109198546474527E-5</v>
      </c>
      <c r="AS131">
        <f t="shared" si="42"/>
        <v>1.4124730135559669E-5</v>
      </c>
      <c r="AT131">
        <f t="shared" si="42"/>
        <v>1.414026172464481E-5</v>
      </c>
      <c r="AU131">
        <f t="shared" si="42"/>
        <v>1.4155793313729952E-5</v>
      </c>
      <c r="AV131">
        <f t="shared" si="42"/>
        <v>1.4171324902815093E-5</v>
      </c>
      <c r="AW131">
        <f t="shared" si="42"/>
        <v>1.4186856491900235E-5</v>
      </c>
      <c r="AX131">
        <f t="shared" si="42"/>
        <v>1.4202388080985376E-5</v>
      </c>
      <c r="AY131">
        <f t="shared" si="42"/>
        <v>1.4217919670070519E-5</v>
      </c>
      <c r="AZ131">
        <f t="shared" si="42"/>
        <v>1.4233451259155661E-5</v>
      </c>
    </row>
    <row r="132" spans="1:52" s="3" customFormat="1" x14ac:dyDescent="0.25">
      <c r="A132" s="5" t="s">
        <v>49</v>
      </c>
    </row>
    <row r="133" spans="1:52" x14ac:dyDescent="0.25">
      <c r="A133" t="s">
        <v>30</v>
      </c>
      <c r="B133">
        <v>2020</v>
      </c>
      <c r="C133">
        <v>2021</v>
      </c>
      <c r="D133">
        <v>2022</v>
      </c>
      <c r="E133">
        <v>2023</v>
      </c>
      <c r="F133">
        <v>2024</v>
      </c>
      <c r="G133">
        <v>2025</v>
      </c>
      <c r="H133">
        <v>2026</v>
      </c>
      <c r="I133">
        <v>2027</v>
      </c>
      <c r="J133">
        <v>2028</v>
      </c>
      <c r="K133">
        <v>2029</v>
      </c>
      <c r="L133">
        <v>2030</v>
      </c>
      <c r="M133">
        <v>2031</v>
      </c>
      <c r="N133">
        <v>2032</v>
      </c>
      <c r="O133">
        <v>2033</v>
      </c>
      <c r="P133">
        <v>2034</v>
      </c>
      <c r="Q133">
        <v>2035</v>
      </c>
      <c r="R133">
        <v>2036</v>
      </c>
      <c r="S133">
        <v>2037</v>
      </c>
      <c r="T133">
        <v>2038</v>
      </c>
      <c r="U133">
        <v>2039</v>
      </c>
      <c r="V133">
        <v>2040</v>
      </c>
      <c r="W133">
        <v>2041</v>
      </c>
      <c r="X133">
        <v>2042</v>
      </c>
      <c r="Y133">
        <v>2043</v>
      </c>
      <c r="Z133">
        <v>2044</v>
      </c>
      <c r="AA133">
        <v>2045</v>
      </c>
      <c r="AB133">
        <v>2046</v>
      </c>
      <c r="AC133">
        <v>2047</v>
      </c>
      <c r="AD133">
        <v>2048</v>
      </c>
      <c r="AE133">
        <v>2049</v>
      </c>
      <c r="AF133">
        <v>2050</v>
      </c>
      <c r="AG133">
        <v>2051</v>
      </c>
      <c r="AH133">
        <v>2052</v>
      </c>
      <c r="AI133">
        <v>2053</v>
      </c>
      <c r="AJ133">
        <v>2054</v>
      </c>
      <c r="AK133">
        <v>2055</v>
      </c>
      <c r="AL133">
        <v>2056</v>
      </c>
      <c r="AM133">
        <v>2057</v>
      </c>
      <c r="AN133">
        <v>2058</v>
      </c>
      <c r="AO133">
        <v>2059</v>
      </c>
      <c r="AP133">
        <v>2060</v>
      </c>
      <c r="AQ133">
        <v>2061</v>
      </c>
      <c r="AR133">
        <v>2062</v>
      </c>
      <c r="AS133">
        <v>2063</v>
      </c>
      <c r="AT133">
        <v>2064</v>
      </c>
      <c r="AU133">
        <v>2065</v>
      </c>
      <c r="AV133">
        <v>2066</v>
      </c>
      <c r="AW133">
        <v>2067</v>
      </c>
      <c r="AX133">
        <v>2068</v>
      </c>
      <c r="AY133">
        <v>2069</v>
      </c>
      <c r="AZ133">
        <v>2070</v>
      </c>
    </row>
    <row r="134" spans="1:52" x14ac:dyDescent="0.25">
      <c r="A134" t="s">
        <v>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25">
      <c r="A135" t="s">
        <v>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25">
      <c r="A136" t="s">
        <v>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25">
      <c r="A137" t="s">
        <v>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5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25">
      <c r="A139" t="s">
        <v>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t="s">
        <v>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25">
      <c r="A141" t="s">
        <v>59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 s="3" customFormat="1" x14ac:dyDescent="0.25">
      <c r="A142" s="5" t="s">
        <v>50</v>
      </c>
    </row>
    <row r="143" spans="1:52" x14ac:dyDescent="0.25">
      <c r="A143" t="s">
        <v>30</v>
      </c>
      <c r="B143">
        <v>2020</v>
      </c>
      <c r="C143">
        <v>2021</v>
      </c>
      <c r="D143">
        <v>2022</v>
      </c>
      <c r="E143">
        <v>2023</v>
      </c>
      <c r="F143">
        <v>2024</v>
      </c>
      <c r="G143">
        <v>2025</v>
      </c>
      <c r="H143">
        <v>2026</v>
      </c>
      <c r="I143">
        <v>2027</v>
      </c>
      <c r="J143">
        <v>2028</v>
      </c>
      <c r="K143">
        <v>2029</v>
      </c>
      <c r="L143">
        <v>2030</v>
      </c>
      <c r="M143">
        <v>2031</v>
      </c>
      <c r="N143">
        <v>2032</v>
      </c>
      <c r="O143">
        <v>2033</v>
      </c>
      <c r="P143">
        <v>2034</v>
      </c>
      <c r="Q143">
        <v>2035</v>
      </c>
      <c r="R143">
        <v>2036</v>
      </c>
      <c r="S143">
        <v>2037</v>
      </c>
      <c r="T143">
        <v>2038</v>
      </c>
      <c r="U143">
        <v>2039</v>
      </c>
      <c r="V143">
        <v>2040</v>
      </c>
      <c r="W143">
        <v>2041</v>
      </c>
      <c r="X143">
        <v>2042</v>
      </c>
      <c r="Y143">
        <v>2043</v>
      </c>
      <c r="Z143">
        <v>2044</v>
      </c>
      <c r="AA143">
        <v>2045</v>
      </c>
      <c r="AB143">
        <v>2046</v>
      </c>
      <c r="AC143">
        <v>2047</v>
      </c>
      <c r="AD143">
        <v>2048</v>
      </c>
      <c r="AE143">
        <v>2049</v>
      </c>
      <c r="AF143">
        <v>2050</v>
      </c>
      <c r="AG143">
        <v>2051</v>
      </c>
      <c r="AH143">
        <v>2052</v>
      </c>
      <c r="AI143">
        <v>2053</v>
      </c>
      <c r="AJ143">
        <v>2054</v>
      </c>
      <c r="AK143">
        <v>2055</v>
      </c>
      <c r="AL143">
        <v>2056</v>
      </c>
      <c r="AM143">
        <v>2057</v>
      </c>
      <c r="AN143">
        <v>2058</v>
      </c>
      <c r="AO143">
        <v>2059</v>
      </c>
      <c r="AP143">
        <v>2060</v>
      </c>
      <c r="AQ143">
        <v>2061</v>
      </c>
      <c r="AR143">
        <v>2062</v>
      </c>
      <c r="AS143">
        <v>2063</v>
      </c>
      <c r="AT143">
        <v>2064</v>
      </c>
      <c r="AU143">
        <v>2065</v>
      </c>
      <c r="AV143">
        <v>2066</v>
      </c>
      <c r="AW143">
        <v>2067</v>
      </c>
      <c r="AX143">
        <v>2068</v>
      </c>
      <c r="AY143">
        <v>2069</v>
      </c>
      <c r="AZ143">
        <v>2070</v>
      </c>
    </row>
    <row r="144" spans="1:52" x14ac:dyDescent="0.25">
      <c r="A144" t="s">
        <v>52</v>
      </c>
      <c r="B144">
        <v>7.2323913984774236E-5</v>
      </c>
      <c r="C144">
        <v>6.6407640789389056E-5</v>
      </c>
      <c r="D144">
        <v>6.049136759400544E-5</v>
      </c>
      <c r="E144">
        <v>5.457509439862026E-5</v>
      </c>
      <c r="F144">
        <v>4.8658821203235079E-5</v>
      </c>
      <c r="G144">
        <v>4.2742548007849899E-5</v>
      </c>
      <c r="H144">
        <v>3.6826274812466284E-5</v>
      </c>
      <c r="I144">
        <v>3.091000161708111E-5</v>
      </c>
      <c r="J144">
        <v>2.499372842169593E-5</v>
      </c>
      <c r="K144">
        <v>1.9077455226312314E-5</v>
      </c>
      <c r="L144">
        <v>1.3161182030927136E-5</v>
      </c>
      <c r="M144">
        <v>1.284050348397962E-5</v>
      </c>
      <c r="N144">
        <v>1.251982493703318E-5</v>
      </c>
      <c r="O144">
        <v>1.219914639008674E-5</v>
      </c>
      <c r="P144">
        <v>1.1878467843140302E-5</v>
      </c>
      <c r="Q144">
        <v>1.1557789296193959E-5</v>
      </c>
      <c r="R144">
        <v>1.1237110749247519E-5</v>
      </c>
      <c r="S144">
        <v>1.0916432202301079E-5</v>
      </c>
      <c r="T144">
        <v>1.059575365535464E-5</v>
      </c>
      <c r="U144">
        <v>1.02750751084082E-5</v>
      </c>
      <c r="V144">
        <v>9.9543965614618587E-6</v>
      </c>
      <c r="W144">
        <v>9.6337180145154188E-6</v>
      </c>
      <c r="X144">
        <v>9.3130394675689806E-6</v>
      </c>
      <c r="Y144">
        <v>8.9923609206225406E-6</v>
      </c>
      <c r="Z144">
        <v>8.6716823736761007E-6</v>
      </c>
      <c r="AA144">
        <v>8.3510038267296607E-6</v>
      </c>
      <c r="AB144">
        <v>8.0303252797833207E-6</v>
      </c>
      <c r="AC144">
        <v>7.7096467328368808E-6</v>
      </c>
      <c r="AD144">
        <v>7.3889681858904408E-6</v>
      </c>
      <c r="AE144">
        <v>7.0682896389440018E-6</v>
      </c>
      <c r="AF144">
        <v>6.7476110919975618E-6</v>
      </c>
      <c r="AG144">
        <f>_xlfn.FORECAST.ETS(AG143,$B$144:$AF$144,$B$143:$AF$143)</f>
        <v>6.4269325450511219E-6</v>
      </c>
      <c r="AH144">
        <f>_xlfn.FORECAST.ETS(AH143,$B$144:$AF$144,$B$143:$AF$143)</f>
        <v>6.1062539981046819E-6</v>
      </c>
      <c r="AI144">
        <f t="shared" ref="AI144:AZ144" si="43">_xlfn.FORECAST.ETS(AI143,$B$144:$AF$144,$B$143:$AF$143)</f>
        <v>5.7855754511582428E-6</v>
      </c>
      <c r="AJ144">
        <f t="shared" si="43"/>
        <v>5.4648969042118029E-6</v>
      </c>
      <c r="AK144">
        <f t="shared" si="43"/>
        <v>5.1442183572653629E-6</v>
      </c>
      <c r="AL144">
        <f t="shared" si="43"/>
        <v>4.823539810318923E-6</v>
      </c>
      <c r="AM144">
        <f t="shared" si="43"/>
        <v>4.5028612633724831E-6</v>
      </c>
      <c r="AN144">
        <f t="shared" si="43"/>
        <v>4.1821827164260431E-6</v>
      </c>
      <c r="AO144">
        <f t="shared" si="43"/>
        <v>3.8615041694796032E-6</v>
      </c>
      <c r="AP144">
        <f t="shared" si="43"/>
        <v>3.5408256225331632E-6</v>
      </c>
      <c r="AQ144">
        <f t="shared" si="43"/>
        <v>3.2201470755867237E-6</v>
      </c>
      <c r="AR144">
        <f t="shared" si="43"/>
        <v>2.8994685286402842E-6</v>
      </c>
      <c r="AS144">
        <f t="shared" si="43"/>
        <v>2.5787899816938442E-6</v>
      </c>
      <c r="AT144">
        <f t="shared" si="43"/>
        <v>2.2581114347474043E-6</v>
      </c>
      <c r="AU144">
        <f t="shared" si="43"/>
        <v>1.9374328878009644E-6</v>
      </c>
      <c r="AV144">
        <f t="shared" si="43"/>
        <v>1.6167543408545242E-6</v>
      </c>
      <c r="AW144">
        <f t="shared" si="43"/>
        <v>1.2960757939080847E-6</v>
      </c>
      <c r="AX144">
        <f t="shared" si="43"/>
        <v>9.7539724696164431E-7</v>
      </c>
      <c r="AY144">
        <f t="shared" si="43"/>
        <v>6.5471870001520469E-7</v>
      </c>
      <c r="AZ144">
        <f t="shared" si="43"/>
        <v>3.3404015306876448E-7</v>
      </c>
    </row>
    <row r="145" spans="1:52" x14ac:dyDescent="0.25">
      <c r="A145" t="s">
        <v>53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25">
      <c r="A146" t="s">
        <v>54</v>
      </c>
      <c r="B146">
        <v>7.2323913984774236E-5</v>
      </c>
      <c r="C146">
        <v>6.6407640789389056E-5</v>
      </c>
      <c r="D146">
        <v>6.049136759400544E-5</v>
      </c>
      <c r="E146">
        <v>5.457509439862026E-5</v>
      </c>
      <c r="F146">
        <v>4.8658821203235079E-5</v>
      </c>
      <c r="G146">
        <v>4.2742548007849899E-5</v>
      </c>
      <c r="H146">
        <v>3.6826274812466284E-5</v>
      </c>
      <c r="I146">
        <v>3.091000161708111E-5</v>
      </c>
      <c r="J146">
        <v>2.499372842169593E-5</v>
      </c>
      <c r="K146">
        <v>1.9077455226312314E-5</v>
      </c>
      <c r="L146">
        <v>1.3161182030927136E-5</v>
      </c>
      <c r="M146">
        <v>1.284050348397962E-5</v>
      </c>
      <c r="N146">
        <v>1.251982493703318E-5</v>
      </c>
      <c r="O146">
        <v>1.219914639008674E-5</v>
      </c>
      <c r="P146">
        <v>1.1878467843140302E-5</v>
      </c>
      <c r="Q146">
        <v>1.1557789296193959E-5</v>
      </c>
      <c r="R146">
        <v>1.1237110749247519E-5</v>
      </c>
      <c r="S146">
        <v>1.0916432202301079E-5</v>
      </c>
      <c r="T146">
        <v>1.059575365535464E-5</v>
      </c>
      <c r="U146">
        <v>1.02750751084082E-5</v>
      </c>
      <c r="V146">
        <v>9.9543965614618587E-6</v>
      </c>
      <c r="W146">
        <v>9.6337180145154188E-6</v>
      </c>
      <c r="X146">
        <v>9.3130394675689806E-6</v>
      </c>
      <c r="Y146">
        <v>8.9923609206225406E-6</v>
      </c>
      <c r="Z146">
        <v>8.6716823736761007E-6</v>
      </c>
      <c r="AA146">
        <v>8.3510038267296607E-6</v>
      </c>
      <c r="AB146">
        <v>8.0303252797833207E-6</v>
      </c>
      <c r="AC146">
        <v>7.7096467328368808E-6</v>
      </c>
      <c r="AD146">
        <v>7.3889681858904408E-6</v>
      </c>
      <c r="AE146">
        <v>7.0682896389440018E-6</v>
      </c>
      <c r="AF146">
        <v>6.7476110919975618E-6</v>
      </c>
      <c r="AG146">
        <f>_xlfn.FORECAST.ETS(AG143,$B$146:$AF$146,$B$143:$AF$143)</f>
        <v>6.4269325450511219E-6</v>
      </c>
      <c r="AH146">
        <f>_xlfn.FORECAST.ETS(AH143,$B$146:$AF$146,$B$143:$AF$143)</f>
        <v>6.1062539981046819E-6</v>
      </c>
      <c r="AI146">
        <f t="shared" ref="AI146:AZ146" si="44">_xlfn.FORECAST.ETS(AI143,$B$146:$AF$146,$B$143:$AF$143)</f>
        <v>5.7855754511582428E-6</v>
      </c>
      <c r="AJ146">
        <f t="shared" si="44"/>
        <v>5.4648969042118029E-6</v>
      </c>
      <c r="AK146">
        <f t="shared" si="44"/>
        <v>5.1442183572653629E-6</v>
      </c>
      <c r="AL146">
        <f t="shared" si="44"/>
        <v>4.823539810318923E-6</v>
      </c>
      <c r="AM146">
        <f t="shared" si="44"/>
        <v>4.5028612633724831E-6</v>
      </c>
      <c r="AN146">
        <f t="shared" si="44"/>
        <v>4.1821827164260431E-6</v>
      </c>
      <c r="AO146">
        <f t="shared" si="44"/>
        <v>3.8615041694796032E-6</v>
      </c>
      <c r="AP146">
        <f t="shared" si="44"/>
        <v>3.5408256225331632E-6</v>
      </c>
      <c r="AQ146">
        <f t="shared" si="44"/>
        <v>3.2201470755867237E-6</v>
      </c>
      <c r="AR146">
        <f t="shared" si="44"/>
        <v>2.8994685286402842E-6</v>
      </c>
      <c r="AS146">
        <f t="shared" si="44"/>
        <v>2.5787899816938442E-6</v>
      </c>
      <c r="AT146">
        <f t="shared" si="44"/>
        <v>2.2581114347474043E-6</v>
      </c>
      <c r="AU146">
        <f t="shared" si="44"/>
        <v>1.9374328878009644E-6</v>
      </c>
      <c r="AV146">
        <f t="shared" si="44"/>
        <v>1.6167543408545242E-6</v>
      </c>
      <c r="AW146">
        <f t="shared" si="44"/>
        <v>1.2960757939080847E-6</v>
      </c>
      <c r="AX146">
        <f t="shared" si="44"/>
        <v>9.7539724696164431E-7</v>
      </c>
      <c r="AY146">
        <f t="shared" si="44"/>
        <v>6.5471870001520469E-7</v>
      </c>
      <c r="AZ146">
        <f t="shared" si="44"/>
        <v>3.3404015306876448E-7</v>
      </c>
    </row>
    <row r="147" spans="1:52" x14ac:dyDescent="0.25">
      <c r="A147" t="s">
        <v>55</v>
      </c>
      <c r="B147">
        <v>7.2323913984774236E-5</v>
      </c>
      <c r="C147">
        <v>6.6407640789389056E-5</v>
      </c>
      <c r="D147">
        <v>6.049136759400544E-5</v>
      </c>
      <c r="E147">
        <v>5.457509439862026E-5</v>
      </c>
      <c r="F147">
        <v>4.8658821203235079E-5</v>
      </c>
      <c r="G147">
        <v>4.2742548007849899E-5</v>
      </c>
      <c r="H147">
        <v>3.6826274812466284E-5</v>
      </c>
      <c r="I147">
        <v>3.091000161708111E-5</v>
      </c>
      <c r="J147">
        <v>2.499372842169593E-5</v>
      </c>
      <c r="K147">
        <v>1.9077455226312314E-5</v>
      </c>
      <c r="L147">
        <v>1.3161182030927136E-5</v>
      </c>
      <c r="M147">
        <v>1.284050348397962E-5</v>
      </c>
      <c r="N147">
        <v>1.251982493703318E-5</v>
      </c>
      <c r="O147">
        <v>1.219914639008674E-5</v>
      </c>
      <c r="P147">
        <v>1.1878467843140302E-5</v>
      </c>
      <c r="Q147">
        <v>1.1557789296193959E-5</v>
      </c>
      <c r="R147">
        <v>1.1237110749247519E-5</v>
      </c>
      <c r="S147">
        <v>1.0916432202301079E-5</v>
      </c>
      <c r="T147">
        <v>1.059575365535464E-5</v>
      </c>
      <c r="U147">
        <v>1.02750751084082E-5</v>
      </c>
      <c r="V147">
        <v>9.9543965614618587E-6</v>
      </c>
      <c r="W147">
        <v>9.6337180145154188E-6</v>
      </c>
      <c r="X147">
        <v>9.3130394675689806E-6</v>
      </c>
      <c r="Y147">
        <v>8.9923609206225406E-6</v>
      </c>
      <c r="Z147">
        <v>8.6716823736761007E-6</v>
      </c>
      <c r="AA147">
        <v>8.3510038267296607E-6</v>
      </c>
      <c r="AB147">
        <v>8.0303252797833207E-6</v>
      </c>
      <c r="AC147">
        <v>7.7096467328368808E-6</v>
      </c>
      <c r="AD147">
        <v>7.3889681858904408E-6</v>
      </c>
      <c r="AE147">
        <v>7.0682896389440018E-6</v>
      </c>
      <c r="AF147">
        <v>6.7476110919975618E-6</v>
      </c>
      <c r="AG147">
        <f>_xlfn.FORECAST.ETS(AG143,$B$147:$AF$147,$B$143:$AF$143)</f>
        <v>6.4269325450511219E-6</v>
      </c>
      <c r="AH147">
        <f>_xlfn.FORECAST.ETS(AH143,$B$147:$AF$147,$B$143:$AF$143)</f>
        <v>6.1062539981046819E-6</v>
      </c>
      <c r="AI147">
        <f t="shared" ref="AI147:AZ147" si="45">_xlfn.FORECAST.ETS(AI143,$B$147:$AF$147,$B$143:$AF$143)</f>
        <v>5.7855754511582428E-6</v>
      </c>
      <c r="AJ147">
        <f t="shared" si="45"/>
        <v>5.4648969042118029E-6</v>
      </c>
      <c r="AK147">
        <f t="shared" si="45"/>
        <v>5.1442183572653629E-6</v>
      </c>
      <c r="AL147">
        <f t="shared" si="45"/>
        <v>4.823539810318923E-6</v>
      </c>
      <c r="AM147">
        <f t="shared" si="45"/>
        <v>4.5028612633724831E-6</v>
      </c>
      <c r="AN147">
        <f t="shared" si="45"/>
        <v>4.1821827164260431E-6</v>
      </c>
      <c r="AO147">
        <f t="shared" si="45"/>
        <v>3.8615041694796032E-6</v>
      </c>
      <c r="AP147">
        <f t="shared" si="45"/>
        <v>3.5408256225331632E-6</v>
      </c>
      <c r="AQ147">
        <f t="shared" si="45"/>
        <v>3.2201470755867237E-6</v>
      </c>
      <c r="AR147">
        <f t="shared" si="45"/>
        <v>2.8994685286402842E-6</v>
      </c>
      <c r="AS147">
        <f t="shared" si="45"/>
        <v>2.5787899816938442E-6</v>
      </c>
      <c r="AT147">
        <f t="shared" si="45"/>
        <v>2.2581114347474043E-6</v>
      </c>
      <c r="AU147">
        <f t="shared" si="45"/>
        <v>1.9374328878009644E-6</v>
      </c>
      <c r="AV147">
        <f t="shared" si="45"/>
        <v>1.6167543408545242E-6</v>
      </c>
      <c r="AW147">
        <f t="shared" si="45"/>
        <v>1.2960757939080847E-6</v>
      </c>
      <c r="AX147">
        <f t="shared" si="45"/>
        <v>9.7539724696164431E-7</v>
      </c>
      <c r="AY147">
        <f t="shared" si="45"/>
        <v>6.5471870001520469E-7</v>
      </c>
      <c r="AZ147">
        <f t="shared" si="45"/>
        <v>3.3404015306876448E-7</v>
      </c>
    </row>
    <row r="148" spans="1:52" x14ac:dyDescent="0.25">
      <c r="A148" t="s">
        <v>56</v>
      </c>
      <c r="B148">
        <v>7.2323913984774236E-5</v>
      </c>
      <c r="C148">
        <v>6.6407640789389056E-5</v>
      </c>
      <c r="D148">
        <v>6.049136759400544E-5</v>
      </c>
      <c r="E148">
        <v>5.457509439862026E-5</v>
      </c>
      <c r="F148">
        <v>4.8658821203235079E-5</v>
      </c>
      <c r="G148">
        <v>4.2742548007849899E-5</v>
      </c>
      <c r="H148">
        <v>3.6826274812466284E-5</v>
      </c>
      <c r="I148">
        <v>3.091000161708111E-5</v>
      </c>
      <c r="J148">
        <v>2.499372842169593E-5</v>
      </c>
      <c r="K148">
        <v>1.9077455226312314E-5</v>
      </c>
      <c r="L148">
        <v>1.3161182030927136E-5</v>
      </c>
      <c r="M148">
        <v>1.284050348397962E-5</v>
      </c>
      <c r="N148">
        <v>1.251982493703318E-5</v>
      </c>
      <c r="O148">
        <v>1.219914639008674E-5</v>
      </c>
      <c r="P148">
        <v>1.1878467843140302E-5</v>
      </c>
      <c r="Q148">
        <v>1.1557789296193959E-5</v>
      </c>
      <c r="R148">
        <v>1.1237110749247519E-5</v>
      </c>
      <c r="S148">
        <v>1.0916432202301079E-5</v>
      </c>
      <c r="T148">
        <v>1.059575365535464E-5</v>
      </c>
      <c r="U148">
        <v>1.02750751084082E-5</v>
      </c>
      <c r="V148">
        <v>9.9543965614618587E-6</v>
      </c>
      <c r="W148">
        <v>9.6337180145154188E-6</v>
      </c>
      <c r="X148">
        <v>9.3130394675689806E-6</v>
      </c>
      <c r="Y148">
        <v>8.9923609206225406E-6</v>
      </c>
      <c r="Z148">
        <v>8.6716823736761007E-6</v>
      </c>
      <c r="AA148">
        <v>8.3510038267296607E-6</v>
      </c>
      <c r="AB148">
        <v>8.0303252797833207E-6</v>
      </c>
      <c r="AC148">
        <v>7.7096467328368808E-6</v>
      </c>
      <c r="AD148">
        <v>7.3889681858904408E-6</v>
      </c>
      <c r="AE148">
        <v>7.0682896389440018E-6</v>
      </c>
      <c r="AF148">
        <v>6.7476110919975618E-6</v>
      </c>
      <c r="AG148">
        <f>_xlfn.FORECAST.ETS(AG143,$B$148:$AF$148,$B$143:$AF$143)</f>
        <v>6.4269325450511219E-6</v>
      </c>
      <c r="AH148">
        <f>_xlfn.FORECAST.ETS(AH143,$B$148:$AF$148,$B$143:$AF$143)</f>
        <v>6.1062539981046819E-6</v>
      </c>
      <c r="AI148">
        <f t="shared" ref="AI148:AZ148" si="46">_xlfn.FORECAST.ETS(AI143,$B$148:$AF$148,$B$143:$AF$143)</f>
        <v>5.7855754511582428E-6</v>
      </c>
      <c r="AJ148">
        <f t="shared" si="46"/>
        <v>5.4648969042118029E-6</v>
      </c>
      <c r="AK148">
        <f t="shared" si="46"/>
        <v>5.1442183572653629E-6</v>
      </c>
      <c r="AL148">
        <f t="shared" si="46"/>
        <v>4.823539810318923E-6</v>
      </c>
      <c r="AM148">
        <f t="shared" si="46"/>
        <v>4.5028612633724831E-6</v>
      </c>
      <c r="AN148">
        <f t="shared" si="46"/>
        <v>4.1821827164260431E-6</v>
      </c>
      <c r="AO148">
        <f t="shared" si="46"/>
        <v>3.8615041694796032E-6</v>
      </c>
      <c r="AP148">
        <f t="shared" si="46"/>
        <v>3.5408256225331632E-6</v>
      </c>
      <c r="AQ148">
        <f t="shared" si="46"/>
        <v>3.2201470755867237E-6</v>
      </c>
      <c r="AR148">
        <f t="shared" si="46"/>
        <v>2.8994685286402842E-6</v>
      </c>
      <c r="AS148">
        <f t="shared" si="46"/>
        <v>2.5787899816938442E-6</v>
      </c>
      <c r="AT148">
        <f t="shared" si="46"/>
        <v>2.2581114347474043E-6</v>
      </c>
      <c r="AU148">
        <f t="shared" si="46"/>
        <v>1.9374328878009644E-6</v>
      </c>
      <c r="AV148">
        <f t="shared" si="46"/>
        <v>1.6167543408545242E-6</v>
      </c>
      <c r="AW148">
        <f t="shared" si="46"/>
        <v>1.2960757939080847E-6</v>
      </c>
      <c r="AX148">
        <f t="shared" si="46"/>
        <v>9.7539724696164431E-7</v>
      </c>
      <c r="AY148">
        <f t="shared" si="46"/>
        <v>6.5471870001520469E-7</v>
      </c>
      <c r="AZ148">
        <f t="shared" si="46"/>
        <v>3.3404015306876448E-7</v>
      </c>
    </row>
    <row r="149" spans="1:52" x14ac:dyDescent="0.25">
      <c r="A149" t="s">
        <v>57</v>
      </c>
      <c r="B149">
        <v>7.2323913984774236E-5</v>
      </c>
      <c r="C149">
        <v>6.6407640789389056E-5</v>
      </c>
      <c r="D149">
        <v>6.049136759400544E-5</v>
      </c>
      <c r="E149">
        <v>5.457509439862026E-5</v>
      </c>
      <c r="F149">
        <v>4.8658821203235079E-5</v>
      </c>
      <c r="G149">
        <v>4.2742548007849899E-5</v>
      </c>
      <c r="H149">
        <v>3.6826274812466284E-5</v>
      </c>
      <c r="I149">
        <v>3.091000161708111E-5</v>
      </c>
      <c r="J149">
        <v>2.499372842169593E-5</v>
      </c>
      <c r="K149">
        <v>1.9077455226312314E-5</v>
      </c>
      <c r="L149">
        <v>1.3161182030927136E-5</v>
      </c>
      <c r="M149">
        <v>1.284050348397962E-5</v>
      </c>
      <c r="N149">
        <v>1.251982493703318E-5</v>
      </c>
      <c r="O149">
        <v>1.219914639008674E-5</v>
      </c>
      <c r="P149">
        <v>1.1878467843140302E-5</v>
      </c>
      <c r="Q149">
        <v>1.1557789296193959E-5</v>
      </c>
      <c r="R149">
        <v>1.1237110749247519E-5</v>
      </c>
      <c r="S149">
        <v>1.0916432202301079E-5</v>
      </c>
      <c r="T149">
        <v>1.059575365535464E-5</v>
      </c>
      <c r="U149">
        <v>1.02750751084082E-5</v>
      </c>
      <c r="V149">
        <v>9.9543965614618587E-6</v>
      </c>
      <c r="W149">
        <v>9.6337180145154188E-6</v>
      </c>
      <c r="X149">
        <v>9.3130394675689806E-6</v>
      </c>
      <c r="Y149">
        <v>8.9923609206225406E-6</v>
      </c>
      <c r="Z149">
        <v>8.6716823736761007E-6</v>
      </c>
      <c r="AA149">
        <v>8.3510038267296607E-6</v>
      </c>
      <c r="AB149">
        <v>8.0303252797833207E-6</v>
      </c>
      <c r="AC149">
        <v>7.7096467328368808E-6</v>
      </c>
      <c r="AD149">
        <v>7.3889681858904408E-6</v>
      </c>
      <c r="AE149">
        <v>7.0682896389440018E-6</v>
      </c>
      <c r="AF149">
        <v>6.7476110919975618E-6</v>
      </c>
      <c r="AG149">
        <f>_xlfn.FORECAST.ETS(AG143,$B$149:$AF$149,$B$143:$AF$143)</f>
        <v>6.4269325450511219E-6</v>
      </c>
      <c r="AH149">
        <f>_xlfn.FORECAST.ETS(AH143,$B$149:$AF$149,$B$143:$AF$143)</f>
        <v>6.1062539981046819E-6</v>
      </c>
      <c r="AI149">
        <f t="shared" ref="AI149:AZ149" si="47">_xlfn.FORECAST.ETS(AI143,$B$149:$AF$149,$B$143:$AF$143)</f>
        <v>5.7855754511582428E-6</v>
      </c>
      <c r="AJ149">
        <f t="shared" si="47"/>
        <v>5.4648969042118029E-6</v>
      </c>
      <c r="AK149">
        <f t="shared" si="47"/>
        <v>5.1442183572653629E-6</v>
      </c>
      <c r="AL149">
        <f t="shared" si="47"/>
        <v>4.823539810318923E-6</v>
      </c>
      <c r="AM149">
        <f t="shared" si="47"/>
        <v>4.5028612633724831E-6</v>
      </c>
      <c r="AN149">
        <f t="shared" si="47"/>
        <v>4.1821827164260431E-6</v>
      </c>
      <c r="AO149">
        <f t="shared" si="47"/>
        <v>3.8615041694796032E-6</v>
      </c>
      <c r="AP149">
        <f t="shared" si="47"/>
        <v>3.5408256225331632E-6</v>
      </c>
      <c r="AQ149">
        <f t="shared" si="47"/>
        <v>3.2201470755867237E-6</v>
      </c>
      <c r="AR149">
        <f t="shared" si="47"/>
        <v>2.8994685286402842E-6</v>
      </c>
      <c r="AS149">
        <f t="shared" si="47"/>
        <v>2.5787899816938442E-6</v>
      </c>
      <c r="AT149">
        <f t="shared" si="47"/>
        <v>2.2581114347474043E-6</v>
      </c>
      <c r="AU149">
        <f t="shared" si="47"/>
        <v>1.9374328878009644E-6</v>
      </c>
      <c r="AV149">
        <f t="shared" si="47"/>
        <v>1.6167543408545242E-6</v>
      </c>
      <c r="AW149">
        <f t="shared" si="47"/>
        <v>1.2960757939080847E-6</v>
      </c>
      <c r="AX149">
        <f t="shared" si="47"/>
        <v>9.7539724696164431E-7</v>
      </c>
      <c r="AY149">
        <f t="shared" si="47"/>
        <v>6.5471870001520469E-7</v>
      </c>
      <c r="AZ149">
        <f t="shared" si="47"/>
        <v>3.3404015306876448E-7</v>
      </c>
    </row>
    <row r="150" spans="1:52" x14ac:dyDescent="0.25">
      <c r="A150" t="s">
        <v>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25">
      <c r="A151" t="s">
        <v>59</v>
      </c>
      <c r="B151">
        <v>7.2323913984774236E-5</v>
      </c>
      <c r="C151">
        <v>6.6407640789389056E-5</v>
      </c>
      <c r="D151">
        <v>6.049136759400544E-5</v>
      </c>
      <c r="E151">
        <v>5.457509439862026E-5</v>
      </c>
      <c r="F151">
        <v>4.8658821203235079E-5</v>
      </c>
      <c r="G151">
        <v>4.2742548007849899E-5</v>
      </c>
      <c r="H151">
        <v>3.6826274812466284E-5</v>
      </c>
      <c r="I151">
        <v>3.091000161708111E-5</v>
      </c>
      <c r="J151">
        <v>2.499372842169593E-5</v>
      </c>
      <c r="K151">
        <v>1.9077455226312314E-5</v>
      </c>
      <c r="L151">
        <v>1.3161182030927136E-5</v>
      </c>
      <c r="M151">
        <v>1.284050348397962E-5</v>
      </c>
      <c r="N151">
        <v>1.251982493703318E-5</v>
      </c>
      <c r="O151">
        <v>1.219914639008674E-5</v>
      </c>
      <c r="P151">
        <v>1.1878467843140302E-5</v>
      </c>
      <c r="Q151">
        <v>1.1557789296193959E-5</v>
      </c>
      <c r="R151">
        <v>1.1237110749247519E-5</v>
      </c>
      <c r="S151">
        <v>1.0916432202301079E-5</v>
      </c>
      <c r="T151">
        <v>1.059575365535464E-5</v>
      </c>
      <c r="U151">
        <v>1.02750751084082E-5</v>
      </c>
      <c r="V151">
        <v>9.9543965614618587E-6</v>
      </c>
      <c r="W151">
        <v>9.6337180145154188E-6</v>
      </c>
      <c r="X151">
        <v>9.3130394675689806E-6</v>
      </c>
      <c r="Y151">
        <v>8.9923609206225406E-6</v>
      </c>
      <c r="Z151">
        <v>8.6716823736761007E-6</v>
      </c>
      <c r="AA151">
        <v>8.3510038267296607E-6</v>
      </c>
      <c r="AB151">
        <v>8.0303252797833207E-6</v>
      </c>
      <c r="AC151">
        <v>7.7096467328368808E-6</v>
      </c>
      <c r="AD151">
        <v>7.3889681858904408E-6</v>
      </c>
      <c r="AE151">
        <v>7.0682896389440018E-6</v>
      </c>
      <c r="AF151">
        <v>6.7476110919975618E-6</v>
      </c>
      <c r="AG151">
        <f>_xlfn.FORECAST.ETS(AG143,$B$151:$AF$151,$B$143:$AF$143)</f>
        <v>6.4269325450511219E-6</v>
      </c>
      <c r="AH151">
        <f>_xlfn.FORECAST.ETS(AH143,$B$151:$AF$151,$B$143:$AF$143)</f>
        <v>6.1062539981046819E-6</v>
      </c>
      <c r="AI151">
        <f t="shared" ref="AI151:AZ151" si="48">_xlfn.FORECAST.ETS(AI143,$B$151:$AF$151,$B$143:$AF$143)</f>
        <v>5.7855754511582428E-6</v>
      </c>
      <c r="AJ151">
        <f t="shared" si="48"/>
        <v>5.4648969042118029E-6</v>
      </c>
      <c r="AK151">
        <f t="shared" si="48"/>
        <v>5.1442183572653629E-6</v>
      </c>
      <c r="AL151">
        <f t="shared" si="48"/>
        <v>4.823539810318923E-6</v>
      </c>
      <c r="AM151">
        <f t="shared" si="48"/>
        <v>4.5028612633724831E-6</v>
      </c>
      <c r="AN151">
        <f t="shared" si="48"/>
        <v>4.1821827164260431E-6</v>
      </c>
      <c r="AO151">
        <f t="shared" si="48"/>
        <v>3.8615041694796032E-6</v>
      </c>
      <c r="AP151">
        <f t="shared" si="48"/>
        <v>3.5408256225331632E-6</v>
      </c>
      <c r="AQ151">
        <f t="shared" si="48"/>
        <v>3.2201470755867237E-6</v>
      </c>
      <c r="AR151">
        <f t="shared" si="48"/>
        <v>2.8994685286402842E-6</v>
      </c>
      <c r="AS151">
        <f t="shared" si="48"/>
        <v>2.5787899816938442E-6</v>
      </c>
      <c r="AT151">
        <f t="shared" si="48"/>
        <v>2.2581114347474043E-6</v>
      </c>
      <c r="AU151">
        <f t="shared" si="48"/>
        <v>1.9374328878009644E-6</v>
      </c>
      <c r="AV151">
        <f t="shared" si="48"/>
        <v>1.6167543408545242E-6</v>
      </c>
      <c r="AW151">
        <f t="shared" si="48"/>
        <v>1.2960757939080847E-6</v>
      </c>
      <c r="AX151">
        <f t="shared" si="48"/>
        <v>9.7539724696164431E-7</v>
      </c>
      <c r="AY151">
        <f t="shared" si="48"/>
        <v>6.5471870001520469E-7</v>
      </c>
      <c r="AZ151">
        <f t="shared" si="48"/>
        <v>3.3404015306876448E-7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51"/>
  <sheetViews>
    <sheetView topLeftCell="X112" workbookViewId="0">
      <selection activeCell="AF125" sqref="AF125"/>
    </sheetView>
  </sheetViews>
  <sheetFormatPr baseColWidth="10" defaultColWidth="9.140625" defaultRowHeight="15" x14ac:dyDescent="0.25"/>
  <cols>
    <col min="1" max="1" width="39.5703125" customWidth="1"/>
    <col min="33" max="33" width="11.5703125" bestFit="1" customWidth="1"/>
    <col min="40" max="40" width="11.5703125" bestFit="1" customWidth="1"/>
  </cols>
  <sheetData>
    <row r="1" spans="1:52" x14ac:dyDescent="0.2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s="3" customFormat="1" x14ac:dyDescent="0.25">
      <c r="A2" s="5" t="s">
        <v>22</v>
      </c>
    </row>
    <row r="3" spans="1:52" x14ac:dyDescent="0.25">
      <c r="A3" t="s">
        <v>30</v>
      </c>
      <c r="B3">
        <v>2020</v>
      </c>
      <c r="C3">
        <v>2021</v>
      </c>
      <c r="D3">
        <v>2022</v>
      </c>
      <c r="E3">
        <v>2023</v>
      </c>
      <c r="F3">
        <v>2024</v>
      </c>
      <c r="G3">
        <v>2025</v>
      </c>
      <c r="H3">
        <v>2026</v>
      </c>
      <c r="I3">
        <v>2027</v>
      </c>
      <c r="J3">
        <v>2028</v>
      </c>
      <c r="K3">
        <v>2029</v>
      </c>
      <c r="L3">
        <v>2030</v>
      </c>
      <c r="M3">
        <v>2031</v>
      </c>
      <c r="N3">
        <v>2032</v>
      </c>
      <c r="O3">
        <v>2033</v>
      </c>
      <c r="P3">
        <v>2034</v>
      </c>
      <c r="Q3">
        <v>2035</v>
      </c>
      <c r="R3">
        <v>2036</v>
      </c>
      <c r="S3">
        <v>2037</v>
      </c>
      <c r="T3">
        <v>2038</v>
      </c>
      <c r="U3">
        <v>2039</v>
      </c>
      <c r="V3">
        <v>2040</v>
      </c>
      <c r="W3">
        <v>2041</v>
      </c>
      <c r="X3">
        <v>2042</v>
      </c>
      <c r="Y3">
        <v>2043</v>
      </c>
      <c r="Z3">
        <v>2044</v>
      </c>
      <c r="AA3">
        <v>2045</v>
      </c>
      <c r="AB3">
        <v>2046</v>
      </c>
      <c r="AC3">
        <v>2047</v>
      </c>
      <c r="AD3">
        <v>2048</v>
      </c>
      <c r="AE3">
        <v>2049</v>
      </c>
      <c r="AF3">
        <v>2050</v>
      </c>
      <c r="AG3">
        <v>2051</v>
      </c>
      <c r="AH3">
        <v>2052</v>
      </c>
      <c r="AI3">
        <v>2053</v>
      </c>
      <c r="AJ3">
        <v>2054</v>
      </c>
      <c r="AK3">
        <v>2055</v>
      </c>
      <c r="AL3">
        <v>2056</v>
      </c>
      <c r="AM3">
        <v>2057</v>
      </c>
      <c r="AN3">
        <v>2058</v>
      </c>
      <c r="AO3">
        <v>2059</v>
      </c>
      <c r="AP3">
        <v>2060</v>
      </c>
      <c r="AQ3">
        <v>2061</v>
      </c>
      <c r="AR3">
        <v>2062</v>
      </c>
      <c r="AS3">
        <v>2063</v>
      </c>
      <c r="AT3">
        <v>2064</v>
      </c>
      <c r="AU3">
        <v>2065</v>
      </c>
      <c r="AV3">
        <v>2066</v>
      </c>
      <c r="AW3">
        <v>2067</v>
      </c>
      <c r="AX3">
        <v>2068</v>
      </c>
      <c r="AY3">
        <v>2069</v>
      </c>
      <c r="AZ3">
        <v>2070</v>
      </c>
    </row>
    <row r="4" spans="1:52" x14ac:dyDescent="0.25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25">
      <c r="A5" t="s">
        <v>53</v>
      </c>
      <c r="B5">
        <v>1.1886185137157506E-7</v>
      </c>
      <c r="C5">
        <v>1.1896388884400258E-7</v>
      </c>
      <c r="D5">
        <v>1.173513425424637E-7</v>
      </c>
      <c r="E5">
        <v>1.1635800106760769E-7</v>
      </c>
      <c r="F5">
        <v>1.1630601515621546E-7</v>
      </c>
      <c r="G5">
        <v>1.1344013999648422E-7</v>
      </c>
      <c r="H5">
        <v>1.1156535108297234E-7</v>
      </c>
      <c r="I5">
        <v>1.1148335328280084E-7</v>
      </c>
      <c r="J5">
        <v>1.1089392903939607E-7</v>
      </c>
      <c r="K5">
        <v>1.1131149329541744E-7</v>
      </c>
      <c r="L5">
        <v>1.1114489550818612E-7</v>
      </c>
      <c r="M5">
        <v>1.1107290167094103E-7</v>
      </c>
      <c r="N5">
        <v>1.1042715453799672E-7</v>
      </c>
      <c r="O5">
        <v>1.1022429961345402E-7</v>
      </c>
      <c r="P5">
        <v>1.0982454588102418E-7</v>
      </c>
      <c r="Q5">
        <v>1.0903579412196982E-7</v>
      </c>
      <c r="R5">
        <v>1.0815509842619284E-7</v>
      </c>
      <c r="S5">
        <v>1.0797097924724643E-7</v>
      </c>
      <c r="T5">
        <v>1.0793200427029609E-7</v>
      </c>
      <c r="U5">
        <v>1.0777893785488428E-7</v>
      </c>
      <c r="V5">
        <v>1.0806697103023984E-7</v>
      </c>
      <c r="W5">
        <v>1.0782629765625273E-7</v>
      </c>
      <c r="X5">
        <v>1.0720726630869576E-7</v>
      </c>
      <c r="Y5">
        <v>1.0655371261508633E-7</v>
      </c>
      <c r="Z5">
        <v>1.0624798456888982E-7</v>
      </c>
      <c r="AA5">
        <v>1.0607028411760141E-7</v>
      </c>
      <c r="AB5">
        <v>1.059066354755102E-7</v>
      </c>
      <c r="AC5">
        <v>1.0558853258500008E-7</v>
      </c>
      <c r="AD5">
        <v>1.0509076314644143E-7</v>
      </c>
      <c r="AE5">
        <v>1.0516715178820909E-7</v>
      </c>
      <c r="AF5">
        <v>1.0501044231115356E-7</v>
      </c>
      <c r="AG5">
        <f>_xlfn.FORECAST.ETS(AG3,$B$5:$AF$5,$B$3:$AF$3)</f>
        <v>1.0470214510927828E-7</v>
      </c>
      <c r="AH5">
        <f t="shared" ref="AH5:AZ5" si="0">_xlfn.FORECAST.ETS(AH3,$B$5:$AF$5,$B$3:$AF$3)</f>
        <v>1.0439418562026127E-7</v>
      </c>
      <c r="AI5">
        <f t="shared" si="0"/>
        <v>1.0408622613124426E-7</v>
      </c>
      <c r="AJ5">
        <f t="shared" si="0"/>
        <v>1.0377826664222725E-7</v>
      </c>
      <c r="AK5">
        <f t="shared" si="0"/>
        <v>1.0347030715321024E-7</v>
      </c>
      <c r="AL5">
        <f t="shared" si="0"/>
        <v>1.0316234766419323E-7</v>
      </c>
      <c r="AM5">
        <f t="shared" si="0"/>
        <v>1.0285438817517621E-7</v>
      </c>
      <c r="AN5">
        <f t="shared" si="0"/>
        <v>1.025464286861592E-7</v>
      </c>
      <c r="AO5">
        <f t="shared" si="0"/>
        <v>1.0223846919714219E-7</v>
      </c>
      <c r="AP5">
        <f t="shared" si="0"/>
        <v>1.0193050970812518E-7</v>
      </c>
      <c r="AQ5">
        <f t="shared" si="0"/>
        <v>1.0162255021910817E-7</v>
      </c>
      <c r="AR5">
        <f t="shared" si="0"/>
        <v>1.0131459073009115E-7</v>
      </c>
      <c r="AS5">
        <f t="shared" si="0"/>
        <v>1.0100663124107415E-7</v>
      </c>
      <c r="AT5">
        <f t="shared" si="0"/>
        <v>1.0069867175205713E-7</v>
      </c>
      <c r="AU5">
        <f t="shared" si="0"/>
        <v>1.0039071226304013E-7</v>
      </c>
      <c r="AV5">
        <f t="shared" si="0"/>
        <v>1.0008275277402311E-7</v>
      </c>
      <c r="AW5">
        <f t="shared" si="0"/>
        <v>9.9774793285006094E-8</v>
      </c>
      <c r="AX5">
        <f t="shared" si="0"/>
        <v>9.946683379598909E-8</v>
      </c>
      <c r="AY5">
        <f t="shared" si="0"/>
        <v>9.9158874306972073E-8</v>
      </c>
      <c r="AZ5">
        <f t="shared" si="0"/>
        <v>9.8850914817955069E-8</v>
      </c>
    </row>
    <row r="6" spans="1:52" x14ac:dyDescent="0.25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25">
      <c r="A7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25">
      <c r="A8" t="s">
        <v>56</v>
      </c>
      <c r="B8">
        <v>2.0654558874893374E-7</v>
      </c>
      <c r="C8">
        <v>1.9087968740489769E-7</v>
      </c>
      <c r="D8">
        <v>1.8045439367367019E-7</v>
      </c>
      <c r="E8">
        <v>1.7616984696835604E-7</v>
      </c>
      <c r="F8">
        <v>1.7096885415002097E-7</v>
      </c>
      <c r="G8">
        <v>1.6800177369716928E-7</v>
      </c>
      <c r="H8">
        <v>1.6588820232491459E-7</v>
      </c>
      <c r="I8">
        <v>1.64694916541613E-7</v>
      </c>
      <c r="J8">
        <v>1.646321530237213E-7</v>
      </c>
      <c r="K8">
        <v>1.6489424047409675E-7</v>
      </c>
      <c r="L8">
        <v>1.6568959217534365E-7</v>
      </c>
      <c r="M8">
        <v>1.6636407433458606E-7</v>
      </c>
      <c r="N8">
        <v>1.6738052878943253E-7</v>
      </c>
      <c r="O8">
        <v>1.6819459208010648E-7</v>
      </c>
      <c r="P8">
        <v>1.6901255275701978E-7</v>
      </c>
      <c r="Q8">
        <v>1.6973203692950444E-7</v>
      </c>
      <c r="R8">
        <v>1.7048175448838912E-7</v>
      </c>
      <c r="S8">
        <v>1.7138992086909472E-7</v>
      </c>
      <c r="T8">
        <v>1.7234382730002747E-7</v>
      </c>
      <c r="U8">
        <v>1.7306766286009522E-7</v>
      </c>
      <c r="V8">
        <v>1.7387332087513928E-7</v>
      </c>
      <c r="W8">
        <v>1.7479082607348143E-7</v>
      </c>
      <c r="X8">
        <v>1.7541428007798769E-7</v>
      </c>
      <c r="Y8">
        <v>1.7623053513559956E-7</v>
      </c>
      <c r="Z8">
        <v>1.7715641531675898E-7</v>
      </c>
      <c r="AA8">
        <v>1.7810718838396654E-7</v>
      </c>
      <c r="AB8">
        <v>1.7909348420218439E-7</v>
      </c>
      <c r="AC8">
        <v>1.7986400850869281E-7</v>
      </c>
      <c r="AD8">
        <v>1.8037161009288893E-7</v>
      </c>
      <c r="AE8">
        <v>1.8110172166383703E-7</v>
      </c>
      <c r="AF8">
        <v>1.8210538218335287E-7</v>
      </c>
      <c r="AG8">
        <f>_xlfn.FORECAST.ETS(AG3,$B$8:$AF$8,$B$3:$AF$3)</f>
        <v>1.8303078544308585E-7</v>
      </c>
      <c r="AH8">
        <f t="shared" ref="AH8:AZ8" si="1">_xlfn.FORECAST.ETS(AH3,$B$8:$AF$8,$B$3:$AF$3)</f>
        <v>1.839568096040169E-7</v>
      </c>
      <c r="AI8">
        <f t="shared" si="1"/>
        <v>1.8488283376494792E-7</v>
      </c>
      <c r="AJ8">
        <f t="shared" si="1"/>
        <v>1.8580885792587896E-7</v>
      </c>
      <c r="AK8">
        <f t="shared" si="1"/>
        <v>1.8673488208681E-7</v>
      </c>
      <c r="AL8">
        <f t="shared" si="1"/>
        <v>1.8766090624774102E-7</v>
      </c>
      <c r="AM8">
        <f t="shared" si="1"/>
        <v>1.8858693040867207E-7</v>
      </c>
      <c r="AN8">
        <f t="shared" si="1"/>
        <v>1.8951295456960311E-7</v>
      </c>
      <c r="AO8">
        <f t="shared" si="1"/>
        <v>1.9043897873053416E-7</v>
      </c>
      <c r="AP8">
        <f t="shared" si="1"/>
        <v>1.913650028914652E-7</v>
      </c>
      <c r="AQ8">
        <f t="shared" si="1"/>
        <v>1.9229102705239622E-7</v>
      </c>
      <c r="AR8">
        <f t="shared" si="1"/>
        <v>1.9321705121332726E-7</v>
      </c>
      <c r="AS8">
        <f t="shared" si="1"/>
        <v>1.9414307537425831E-7</v>
      </c>
      <c r="AT8">
        <f t="shared" si="1"/>
        <v>1.9506909953518932E-7</v>
      </c>
      <c r="AU8">
        <f t="shared" si="1"/>
        <v>1.9599512369612037E-7</v>
      </c>
      <c r="AV8">
        <f t="shared" si="1"/>
        <v>1.9692114785705141E-7</v>
      </c>
      <c r="AW8">
        <f t="shared" si="1"/>
        <v>1.9784717201798246E-7</v>
      </c>
      <c r="AX8">
        <f t="shared" si="1"/>
        <v>1.987731961789135E-7</v>
      </c>
      <c r="AY8">
        <f t="shared" si="1"/>
        <v>1.9969922033984452E-7</v>
      </c>
      <c r="AZ8">
        <f t="shared" si="1"/>
        <v>2.0062524450077556E-7</v>
      </c>
    </row>
    <row r="9" spans="1:52" x14ac:dyDescent="0.25">
      <c r="A9" t="s">
        <v>57</v>
      </c>
      <c r="B9">
        <v>1.1886185137157506E-7</v>
      </c>
      <c r="C9">
        <v>1.1896388884400258E-7</v>
      </c>
      <c r="D9">
        <v>1.173513425424637E-7</v>
      </c>
      <c r="E9">
        <v>1.1635800106760769E-7</v>
      </c>
      <c r="F9">
        <v>1.1630601515621546E-7</v>
      </c>
      <c r="G9">
        <v>1.1344013999648422E-7</v>
      </c>
      <c r="H9">
        <v>1.1156535108297234E-7</v>
      </c>
      <c r="I9">
        <v>1.1148335328280084E-7</v>
      </c>
      <c r="J9">
        <v>1.1089392903939607E-7</v>
      </c>
      <c r="K9">
        <v>1.1131149329541744E-7</v>
      </c>
      <c r="L9">
        <v>1.1114489550818612E-7</v>
      </c>
      <c r="M9">
        <v>1.1107290167094103E-7</v>
      </c>
      <c r="N9">
        <v>1.1042715453799672E-7</v>
      </c>
      <c r="O9">
        <v>1.1022429961345402E-7</v>
      </c>
      <c r="P9">
        <v>1.0982454588102418E-7</v>
      </c>
      <c r="Q9">
        <v>1.0903579412196982E-7</v>
      </c>
      <c r="R9">
        <v>1.0815509842619284E-7</v>
      </c>
      <c r="S9">
        <v>1.0797097924724643E-7</v>
      </c>
      <c r="T9">
        <v>1.0793200427029609E-7</v>
      </c>
      <c r="U9">
        <v>1.0777893785488428E-7</v>
      </c>
      <c r="V9">
        <v>1.0806697103023984E-7</v>
      </c>
      <c r="W9">
        <v>1.0782629765625273E-7</v>
      </c>
      <c r="X9">
        <v>1.0720726630869576E-7</v>
      </c>
      <c r="Y9">
        <v>1.0655371261508633E-7</v>
      </c>
      <c r="Z9">
        <v>1.0624798456888982E-7</v>
      </c>
      <c r="AA9">
        <v>1.0607028411760141E-7</v>
      </c>
      <c r="AB9">
        <v>1.059066354755102E-7</v>
      </c>
      <c r="AC9">
        <v>1.0558853258500008E-7</v>
      </c>
      <c r="AD9">
        <v>1.0509076314644143E-7</v>
      </c>
      <c r="AE9">
        <v>1.0516715178820909E-7</v>
      </c>
      <c r="AF9">
        <v>1.0501044231115356E-7</v>
      </c>
      <c r="AG9">
        <f>_xlfn.FORECAST.ETS(AG3,$B$9:$AF$9,$B$3:$AF$3)</f>
        <v>1.0470214510927828E-7</v>
      </c>
      <c r="AH9">
        <f t="shared" ref="AH9:AZ9" si="2">_xlfn.FORECAST.ETS(AH3,$B$9:$AF$9,$B$3:$AF$3)</f>
        <v>1.0439418562026127E-7</v>
      </c>
      <c r="AI9">
        <f t="shared" si="2"/>
        <v>1.0408622613124426E-7</v>
      </c>
      <c r="AJ9">
        <f t="shared" si="2"/>
        <v>1.0377826664222725E-7</v>
      </c>
      <c r="AK9">
        <f t="shared" si="2"/>
        <v>1.0347030715321024E-7</v>
      </c>
      <c r="AL9">
        <f t="shared" si="2"/>
        <v>1.0316234766419323E-7</v>
      </c>
      <c r="AM9">
        <f t="shared" si="2"/>
        <v>1.0285438817517621E-7</v>
      </c>
      <c r="AN9">
        <f t="shared" si="2"/>
        <v>1.025464286861592E-7</v>
      </c>
      <c r="AO9">
        <f t="shared" si="2"/>
        <v>1.0223846919714219E-7</v>
      </c>
      <c r="AP9">
        <f t="shared" si="2"/>
        <v>1.0193050970812518E-7</v>
      </c>
      <c r="AQ9">
        <f t="shared" si="2"/>
        <v>1.0162255021910817E-7</v>
      </c>
      <c r="AR9">
        <f t="shared" si="2"/>
        <v>1.0131459073009115E-7</v>
      </c>
      <c r="AS9">
        <f t="shared" si="2"/>
        <v>1.0100663124107415E-7</v>
      </c>
      <c r="AT9">
        <f t="shared" si="2"/>
        <v>1.0069867175205713E-7</v>
      </c>
      <c r="AU9">
        <f t="shared" si="2"/>
        <v>1.0039071226304013E-7</v>
      </c>
      <c r="AV9">
        <f t="shared" si="2"/>
        <v>1.0008275277402311E-7</v>
      </c>
      <c r="AW9">
        <f t="shared" si="2"/>
        <v>9.9774793285006094E-8</v>
      </c>
      <c r="AX9">
        <f t="shared" si="2"/>
        <v>9.946683379598909E-8</v>
      </c>
      <c r="AY9">
        <f t="shared" si="2"/>
        <v>9.9158874306972073E-8</v>
      </c>
      <c r="AZ9">
        <f t="shared" si="2"/>
        <v>9.8850914817955069E-8</v>
      </c>
    </row>
    <row r="10" spans="1:52" x14ac:dyDescent="0.25">
      <c r="A10" t="s">
        <v>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t="s">
        <v>59</v>
      </c>
      <c r="B11">
        <v>2.0654558874893374E-7</v>
      </c>
      <c r="C11">
        <v>1.9087968740489769E-7</v>
      </c>
      <c r="D11">
        <v>1.8045439367367019E-7</v>
      </c>
      <c r="E11">
        <v>1.7616984696835604E-7</v>
      </c>
      <c r="F11">
        <v>1.7096885415002097E-7</v>
      </c>
      <c r="G11">
        <v>1.6800177369716928E-7</v>
      </c>
      <c r="H11">
        <v>1.6588820232491459E-7</v>
      </c>
      <c r="I11">
        <v>1.64694916541613E-7</v>
      </c>
      <c r="J11">
        <v>1.646321530237213E-7</v>
      </c>
      <c r="K11">
        <v>1.6489424047409675E-7</v>
      </c>
      <c r="L11">
        <v>1.6568959217534365E-7</v>
      </c>
      <c r="M11">
        <v>1.6636407433458606E-7</v>
      </c>
      <c r="N11">
        <v>1.6738052878943253E-7</v>
      </c>
      <c r="O11">
        <v>1.6819459208010648E-7</v>
      </c>
      <c r="P11">
        <v>1.6901255275701978E-7</v>
      </c>
      <c r="Q11">
        <v>1.6973203692950444E-7</v>
      </c>
      <c r="R11">
        <v>1.7048175448838912E-7</v>
      </c>
      <c r="S11">
        <v>1.7138992086909472E-7</v>
      </c>
      <c r="T11">
        <v>1.7234382730002747E-7</v>
      </c>
      <c r="U11">
        <v>1.7306766286009522E-7</v>
      </c>
      <c r="V11">
        <v>1.7387332087513928E-7</v>
      </c>
      <c r="W11">
        <v>1.7479082607348143E-7</v>
      </c>
      <c r="X11">
        <v>1.7541428007798769E-7</v>
      </c>
      <c r="Y11">
        <v>1.7623053513559956E-7</v>
      </c>
      <c r="Z11">
        <v>1.7715641531675898E-7</v>
      </c>
      <c r="AA11">
        <v>1.7810718838396654E-7</v>
      </c>
      <c r="AB11">
        <v>1.7909348420218439E-7</v>
      </c>
      <c r="AC11">
        <v>1.7986400850869281E-7</v>
      </c>
      <c r="AD11">
        <v>1.8037161009288893E-7</v>
      </c>
      <c r="AE11">
        <v>1.8110172166383703E-7</v>
      </c>
      <c r="AF11">
        <v>1.8210538218335287E-7</v>
      </c>
      <c r="AG11">
        <f>_xlfn.FORECAST.ETS(AG3,$B$11:$AF$11,$B$3:$AF$3)</f>
        <v>1.8303078544308585E-7</v>
      </c>
      <c r="AH11">
        <f t="shared" ref="AH11:AZ11" si="3">_xlfn.FORECAST.ETS(AH3,$B$11:$AF$11,$B$3:$AF$3)</f>
        <v>1.839568096040169E-7</v>
      </c>
      <c r="AI11">
        <f t="shared" si="3"/>
        <v>1.8488283376494792E-7</v>
      </c>
      <c r="AJ11">
        <f t="shared" si="3"/>
        <v>1.8580885792587896E-7</v>
      </c>
      <c r="AK11">
        <f t="shared" si="3"/>
        <v>1.8673488208681E-7</v>
      </c>
      <c r="AL11">
        <f t="shared" si="3"/>
        <v>1.8766090624774102E-7</v>
      </c>
      <c r="AM11">
        <f t="shared" si="3"/>
        <v>1.8858693040867207E-7</v>
      </c>
      <c r="AN11">
        <f t="shared" si="3"/>
        <v>1.8951295456960311E-7</v>
      </c>
      <c r="AO11">
        <f t="shared" si="3"/>
        <v>1.9043897873053416E-7</v>
      </c>
      <c r="AP11">
        <f t="shared" si="3"/>
        <v>1.913650028914652E-7</v>
      </c>
      <c r="AQ11">
        <f t="shared" si="3"/>
        <v>1.9229102705239622E-7</v>
      </c>
      <c r="AR11">
        <f t="shared" si="3"/>
        <v>1.9321705121332726E-7</v>
      </c>
      <c r="AS11">
        <f t="shared" si="3"/>
        <v>1.9414307537425831E-7</v>
      </c>
      <c r="AT11">
        <f t="shared" si="3"/>
        <v>1.9506909953518932E-7</v>
      </c>
      <c r="AU11">
        <f t="shared" si="3"/>
        <v>1.9599512369612037E-7</v>
      </c>
      <c r="AV11">
        <f t="shared" si="3"/>
        <v>1.9692114785705141E-7</v>
      </c>
      <c r="AW11">
        <f t="shared" si="3"/>
        <v>1.9784717201798246E-7</v>
      </c>
      <c r="AX11">
        <f t="shared" si="3"/>
        <v>1.987731961789135E-7</v>
      </c>
      <c r="AY11">
        <f t="shared" si="3"/>
        <v>1.9969922033984452E-7</v>
      </c>
      <c r="AZ11">
        <f t="shared" si="3"/>
        <v>2.0062524450077556E-7</v>
      </c>
    </row>
    <row r="12" spans="1:52" s="3" customFormat="1" x14ac:dyDescent="0.25">
      <c r="A12" s="5" t="s">
        <v>31</v>
      </c>
    </row>
    <row r="13" spans="1:52" x14ac:dyDescent="0.25">
      <c r="A13" t="s">
        <v>30</v>
      </c>
      <c r="B13" s="42">
        <v>2020</v>
      </c>
      <c r="C13" s="42">
        <v>2021</v>
      </c>
      <c r="D13" s="42">
        <v>2022</v>
      </c>
      <c r="E13" s="42">
        <v>2023</v>
      </c>
      <c r="F13" s="42">
        <v>2024</v>
      </c>
      <c r="G13" s="42">
        <v>2025</v>
      </c>
      <c r="H13" s="42">
        <v>2026</v>
      </c>
      <c r="I13" s="42">
        <v>2027</v>
      </c>
      <c r="J13" s="42">
        <v>2028</v>
      </c>
      <c r="K13" s="42">
        <v>2029</v>
      </c>
      <c r="L13" s="42">
        <v>2030</v>
      </c>
      <c r="M13" s="42">
        <v>2031</v>
      </c>
      <c r="N13" s="42">
        <v>2032</v>
      </c>
      <c r="O13" s="42">
        <v>2033</v>
      </c>
      <c r="P13" s="42">
        <v>2034</v>
      </c>
      <c r="Q13" s="42">
        <v>2035</v>
      </c>
      <c r="R13" s="42">
        <v>2036</v>
      </c>
      <c r="S13" s="42">
        <v>2037</v>
      </c>
      <c r="T13" s="42">
        <v>2038</v>
      </c>
      <c r="U13" s="42">
        <v>2039</v>
      </c>
      <c r="V13" s="42">
        <v>2040</v>
      </c>
      <c r="W13" s="42">
        <v>2041</v>
      </c>
      <c r="X13" s="42">
        <v>2042</v>
      </c>
      <c r="Y13" s="42">
        <v>2043</v>
      </c>
      <c r="Z13" s="42">
        <v>2044</v>
      </c>
      <c r="AA13" s="42">
        <v>2045</v>
      </c>
      <c r="AB13" s="42">
        <v>2046</v>
      </c>
      <c r="AC13" s="42">
        <v>2047</v>
      </c>
      <c r="AD13" s="42">
        <v>2048</v>
      </c>
      <c r="AE13" s="42">
        <v>2049</v>
      </c>
      <c r="AF13" s="42">
        <v>2050</v>
      </c>
      <c r="AG13" s="42">
        <v>2051</v>
      </c>
      <c r="AH13" s="42">
        <v>2052</v>
      </c>
      <c r="AI13" s="42">
        <v>2053</v>
      </c>
      <c r="AJ13" s="42">
        <v>2054</v>
      </c>
      <c r="AK13" s="42">
        <v>2055</v>
      </c>
      <c r="AL13" s="42">
        <v>2056</v>
      </c>
      <c r="AM13" s="42">
        <v>2057</v>
      </c>
      <c r="AN13" s="42">
        <v>2058</v>
      </c>
      <c r="AO13" s="42">
        <v>2059</v>
      </c>
      <c r="AP13" s="42">
        <v>2060</v>
      </c>
      <c r="AQ13" s="42">
        <v>2061</v>
      </c>
      <c r="AR13" s="42">
        <v>2062</v>
      </c>
      <c r="AS13" s="42">
        <v>2063</v>
      </c>
      <c r="AT13" s="42">
        <v>2064</v>
      </c>
      <c r="AU13" s="42">
        <v>2065</v>
      </c>
      <c r="AV13" s="42">
        <v>2066</v>
      </c>
      <c r="AW13" s="42">
        <v>2067</v>
      </c>
      <c r="AX13" s="42">
        <v>2068</v>
      </c>
      <c r="AY13" s="42">
        <v>2069</v>
      </c>
      <c r="AZ13" s="42">
        <v>2070</v>
      </c>
    </row>
    <row r="14" spans="1:52" x14ac:dyDescent="0.25">
      <c r="A14" t="s">
        <v>52</v>
      </c>
      <c r="B14" s="42">
        <v>7.8501640081489598E-7</v>
      </c>
      <c r="C14" s="42">
        <v>8.6118307425893831E-7</v>
      </c>
      <c r="D14" s="42">
        <v>1.5907140940305012E-6</v>
      </c>
      <c r="E14" s="42">
        <v>1.369821261413888E-6</v>
      </c>
      <c r="F14" s="42">
        <v>1.0348789962265469E-6</v>
      </c>
      <c r="G14" s="42">
        <v>9.622577901730669E-7</v>
      </c>
      <c r="H14" s="42">
        <v>9.2369829027132115E-7</v>
      </c>
      <c r="I14" s="42">
        <v>8.8513879036957541E-7</v>
      </c>
      <c r="J14" s="42">
        <v>8.4657929046782966E-7</v>
      </c>
      <c r="K14" s="42">
        <v>8.0801979056608391E-7</v>
      </c>
      <c r="L14" s="42">
        <v>7.6946029066433816E-7</v>
      </c>
      <c r="M14" s="42">
        <v>7.5323386549662883E-7</v>
      </c>
      <c r="N14" s="42">
        <v>7.485320086124625E-7</v>
      </c>
      <c r="O14" s="42">
        <v>7.4096737817097436E-7</v>
      </c>
      <c r="P14" s="42">
        <v>7.3257426442804991E-7</v>
      </c>
      <c r="Q14" s="42">
        <v>7.2456951354333496E-7</v>
      </c>
      <c r="R14" s="42">
        <v>7.171221520357328E-7</v>
      </c>
      <c r="S14" s="42">
        <v>7.1001435165407974E-7</v>
      </c>
      <c r="T14" s="42">
        <v>7.068343969988294E-7</v>
      </c>
      <c r="U14" s="42">
        <v>7.0122545525928977E-7</v>
      </c>
      <c r="V14" s="42">
        <v>6.9856977236556418E-7</v>
      </c>
      <c r="W14" s="42">
        <v>6.9413557096475826E-7</v>
      </c>
      <c r="X14" s="42">
        <v>6.9042157213682589E-7</v>
      </c>
      <c r="Y14" s="42">
        <v>6.8664176034239665E-7</v>
      </c>
      <c r="Z14" s="42">
        <v>6.8376438849186484E-7</v>
      </c>
      <c r="AA14" s="42">
        <v>6.8195196816336262E-7</v>
      </c>
      <c r="AB14" s="42">
        <v>6.8081728264566825E-7</v>
      </c>
      <c r="AC14" s="42">
        <v>6.8072625444544483E-7</v>
      </c>
      <c r="AD14" s="42">
        <v>6.812949846453822E-7</v>
      </c>
      <c r="AE14" s="42">
        <v>6.8330273254997674E-7</v>
      </c>
      <c r="AF14" s="42">
        <v>6.8453116082654918E-7</v>
      </c>
      <c r="AG14" s="42">
        <f>_xlfn.FORECAST.ETS(AG1,$D$14:$AF$14,$D$13:$AF$13)</f>
        <v>6.6654315724534484E-7</v>
      </c>
      <c r="AH14" s="42">
        <f t="shared" ref="AH14:AZ14" si="4">_xlfn.FORECAST.ETS(AH1,$D$14:$AF$14,$D$13:$AF$13)</f>
        <v>6.4855515366414061E-7</v>
      </c>
      <c r="AI14" s="42">
        <f t="shared" si="4"/>
        <v>6.3056715008293628E-7</v>
      </c>
      <c r="AJ14" s="42">
        <f t="shared" si="4"/>
        <v>6.1257914650173194E-7</v>
      </c>
      <c r="AK14" s="42">
        <f t="shared" si="4"/>
        <v>5.9459114292052771E-7</v>
      </c>
      <c r="AL14" s="42">
        <f t="shared" si="4"/>
        <v>5.7660313933932338E-7</v>
      </c>
      <c r="AM14" s="42">
        <f t="shared" si="4"/>
        <v>5.5861513575811904E-7</v>
      </c>
      <c r="AN14" s="42">
        <f t="shared" si="4"/>
        <v>5.4062713217691481E-7</v>
      </c>
      <c r="AO14" s="42">
        <f t="shared" si="4"/>
        <v>5.2263912859571058E-7</v>
      </c>
      <c r="AP14" s="42">
        <f t="shared" si="4"/>
        <v>5.0465112501450625E-7</v>
      </c>
      <c r="AQ14" s="42">
        <f t="shared" si="4"/>
        <v>4.8666312143330191E-7</v>
      </c>
      <c r="AR14" s="42">
        <f t="shared" si="4"/>
        <v>4.6867511785209763E-7</v>
      </c>
      <c r="AS14" s="42">
        <f t="shared" si="4"/>
        <v>4.5068711427089335E-7</v>
      </c>
      <c r="AT14" s="42">
        <f t="shared" si="4"/>
        <v>4.3269911068968901E-7</v>
      </c>
      <c r="AU14" s="42">
        <f t="shared" si="4"/>
        <v>4.1471110710848473E-7</v>
      </c>
      <c r="AV14" s="42">
        <f t="shared" si="4"/>
        <v>3.9672310352728045E-7</v>
      </c>
      <c r="AW14" s="42">
        <f t="shared" si="4"/>
        <v>3.7873509994607616E-7</v>
      </c>
      <c r="AX14" s="42">
        <f t="shared" si="4"/>
        <v>3.6074709636487188E-7</v>
      </c>
      <c r="AY14" s="42">
        <f t="shared" si="4"/>
        <v>3.4275909278366755E-7</v>
      </c>
      <c r="AZ14" s="42">
        <f t="shared" si="4"/>
        <v>3.2477108920246326E-7</v>
      </c>
    </row>
    <row r="15" spans="1:52" x14ac:dyDescent="0.25">
      <c r="A15" t="s">
        <v>53</v>
      </c>
      <c r="B15">
        <v>1.47643578438969E-7</v>
      </c>
      <c r="C15">
        <v>2.708152875113073E-7</v>
      </c>
      <c r="D15">
        <v>5.0023009926647764E-7</v>
      </c>
      <c r="E15">
        <v>4.3076617485559394E-7</v>
      </c>
      <c r="F15">
        <v>3.2543725170594475E-7</v>
      </c>
      <c r="G15">
        <v>3.0260014147393654E-7</v>
      </c>
      <c r="H15">
        <v>2.8563208203632456E-7</v>
      </c>
      <c r="I15">
        <v>2.6866402259871259E-7</v>
      </c>
      <c r="J15">
        <v>2.5169596316110061E-7</v>
      </c>
      <c r="K15">
        <v>2.3472790372348861E-7</v>
      </c>
      <c r="L15">
        <v>2.1775984428587659E-7</v>
      </c>
      <c r="M15">
        <v>2.1765379552776354E-7</v>
      </c>
      <c r="N15">
        <v>2.2093406820618909E-7</v>
      </c>
      <c r="O15">
        <v>2.2500313130616556E-7</v>
      </c>
      <c r="P15">
        <v>2.2702270262178967E-7</v>
      </c>
      <c r="Q15">
        <v>2.2703705962089715E-7</v>
      </c>
      <c r="R15">
        <v>2.2717290820068704E-7</v>
      </c>
      <c r="S15">
        <v>2.2595907821732466E-7</v>
      </c>
      <c r="T15">
        <v>2.2770628881458677E-7</v>
      </c>
      <c r="U15">
        <v>2.2760747887955308E-7</v>
      </c>
      <c r="V15">
        <v>2.2753068703138588E-7</v>
      </c>
      <c r="W15">
        <v>2.2693215700977166E-7</v>
      </c>
      <c r="X15">
        <v>2.2607393421018431E-7</v>
      </c>
      <c r="Y15">
        <v>2.2512420062216834E-7</v>
      </c>
      <c r="Z15">
        <v>2.251054400056876E-7</v>
      </c>
      <c r="AA15">
        <v>2.2554477624308091E-7</v>
      </c>
      <c r="AB15">
        <v>2.2580054799188601E-7</v>
      </c>
      <c r="AC15">
        <v>2.2698005388914694E-7</v>
      </c>
      <c r="AD15">
        <v>2.2987751347372411E-7</v>
      </c>
      <c r="AE15">
        <v>2.3289049260994319E-7</v>
      </c>
      <c r="AF15">
        <v>2.3535446733911626E-7</v>
      </c>
      <c r="AG15">
        <f>_xlfn.FORECAST.ETS(AG1,$B$15:$AF$15,$B$13:$AF$13)</f>
        <v>2.3583686491691293E-7</v>
      </c>
      <c r="AH15">
        <f t="shared" ref="AH15:AZ15" si="5">_xlfn.FORECAST.ETS(AH1,$B$15:$AF$15,$B$13:$AF$13)</f>
        <v>2.3632366489301846E-7</v>
      </c>
      <c r="AI15">
        <f t="shared" si="5"/>
        <v>2.3681046486912402E-7</v>
      </c>
      <c r="AJ15">
        <f t="shared" si="5"/>
        <v>2.3729726484522955E-7</v>
      </c>
      <c r="AK15">
        <f t="shared" si="5"/>
        <v>2.3778406482133511E-7</v>
      </c>
      <c r="AL15">
        <f t="shared" si="5"/>
        <v>2.3827086479744064E-7</v>
      </c>
      <c r="AM15">
        <f t="shared" si="5"/>
        <v>2.3875766477354622E-7</v>
      </c>
      <c r="AN15">
        <f t="shared" si="5"/>
        <v>2.3924446474965175E-7</v>
      </c>
      <c r="AO15">
        <f t="shared" si="5"/>
        <v>2.3973126472575728E-7</v>
      </c>
      <c r="AP15">
        <f t="shared" si="5"/>
        <v>2.4021806470186281E-7</v>
      </c>
      <c r="AQ15">
        <f t="shared" si="5"/>
        <v>2.4070486467796839E-7</v>
      </c>
      <c r="AR15">
        <f t="shared" si="5"/>
        <v>2.4119166465407392E-7</v>
      </c>
      <c r="AS15">
        <f t="shared" si="5"/>
        <v>2.4167846463017945E-7</v>
      </c>
      <c r="AT15">
        <f t="shared" si="5"/>
        <v>2.4216526460628504E-7</v>
      </c>
      <c r="AU15">
        <f t="shared" si="5"/>
        <v>2.4265206458239057E-7</v>
      </c>
      <c r="AV15">
        <f t="shared" si="5"/>
        <v>2.431388645584961E-7</v>
      </c>
      <c r="AW15">
        <f t="shared" si="5"/>
        <v>2.4362566453460163E-7</v>
      </c>
      <c r="AX15">
        <f t="shared" si="5"/>
        <v>2.4411246451070721E-7</v>
      </c>
      <c r="AY15">
        <f t="shared" si="5"/>
        <v>2.4459926448681274E-7</v>
      </c>
      <c r="AZ15">
        <f t="shared" si="5"/>
        <v>2.4508606446291827E-7</v>
      </c>
    </row>
    <row r="16" spans="1:52" x14ac:dyDescent="0.25">
      <c r="A16" t="s">
        <v>54</v>
      </c>
      <c r="B16">
        <v>6.1178406537848864E-7</v>
      </c>
      <c r="C16">
        <v>8.6118307425893831E-7</v>
      </c>
      <c r="D16">
        <v>1.5907140940305012E-6</v>
      </c>
      <c r="E16">
        <v>1.369821261413888E-6</v>
      </c>
      <c r="F16">
        <v>1.0348789962265469E-6</v>
      </c>
      <c r="G16">
        <v>9.622577901730669E-7</v>
      </c>
      <c r="H16">
        <v>9.0241185538288753E-7</v>
      </c>
      <c r="I16">
        <v>8.4256592059270816E-7</v>
      </c>
      <c r="J16">
        <v>7.8271998580252879E-7</v>
      </c>
      <c r="K16">
        <v>7.2287405101234941E-7</v>
      </c>
      <c r="L16">
        <v>6.6302811622216994E-7</v>
      </c>
      <c r="M16">
        <v>6.6583394437126718E-7</v>
      </c>
      <c r="N16">
        <v>6.7139824670181712E-7</v>
      </c>
      <c r="O16">
        <v>6.7796723735226095E-7</v>
      </c>
      <c r="P16">
        <v>6.8192494322386619E-7</v>
      </c>
      <c r="Q16">
        <v>6.8403807632779147E-7</v>
      </c>
      <c r="R16">
        <v>6.849893783274747E-7</v>
      </c>
      <c r="S16">
        <v>6.8661757060860642E-7</v>
      </c>
      <c r="T16">
        <v>6.884792752575743E-7</v>
      </c>
      <c r="U16">
        <v>6.8972242247440797E-7</v>
      </c>
      <c r="V16">
        <v>6.9013702606628014E-7</v>
      </c>
      <c r="W16">
        <v>6.916315414145458E-7</v>
      </c>
      <c r="X16">
        <v>6.9213421735388384E-7</v>
      </c>
      <c r="Y16">
        <v>6.9296264033179443E-7</v>
      </c>
      <c r="Z16">
        <v>6.9326329278369175E-7</v>
      </c>
      <c r="AA16">
        <v>6.9530602833316981E-7</v>
      </c>
      <c r="AB16">
        <v>6.9642515038124369E-7</v>
      </c>
      <c r="AC16">
        <v>6.990254562784118E-7</v>
      </c>
      <c r="AD16">
        <v>7.0179822713544642E-7</v>
      </c>
      <c r="AE16">
        <v>7.056989875988271E-7</v>
      </c>
      <c r="AF16">
        <v>7.0928449731710025E-7</v>
      </c>
      <c r="AG16">
        <f>_xlfn.FORECAST.ETS(AG1,$B$16:$AF$16,$B$13:$AF$13)</f>
        <v>7.0874137228222961E-7</v>
      </c>
      <c r="AH16">
        <f t="shared" ref="AH16:AZ16" si="6">_xlfn.FORECAST.ETS(AH1,$B$16:$AF$16,$B$13:$AF$13)</f>
        <v>7.0820741559148444E-7</v>
      </c>
      <c r="AI16">
        <f t="shared" si="6"/>
        <v>7.0767345890073937E-7</v>
      </c>
      <c r="AJ16">
        <f t="shared" si="6"/>
        <v>7.071395022099943E-7</v>
      </c>
      <c r="AK16">
        <f t="shared" si="6"/>
        <v>7.0660554551924923E-7</v>
      </c>
      <c r="AL16">
        <f t="shared" si="6"/>
        <v>7.0607158882850406E-7</v>
      </c>
      <c r="AM16">
        <f t="shared" si="6"/>
        <v>7.0553763213775899E-7</v>
      </c>
      <c r="AN16">
        <f t="shared" si="6"/>
        <v>7.0500367544701393E-7</v>
      </c>
      <c r="AO16">
        <f t="shared" si="6"/>
        <v>7.0446971875626886E-7</v>
      </c>
      <c r="AP16">
        <f t="shared" si="6"/>
        <v>7.0393576206552368E-7</v>
      </c>
      <c r="AQ16">
        <f t="shared" si="6"/>
        <v>7.0340180537477862E-7</v>
      </c>
      <c r="AR16">
        <f t="shared" si="6"/>
        <v>7.0286784868403355E-7</v>
      </c>
      <c r="AS16">
        <f t="shared" si="6"/>
        <v>7.0233389199328838E-7</v>
      </c>
      <c r="AT16">
        <f t="shared" si="6"/>
        <v>7.0179993530254331E-7</v>
      </c>
      <c r="AU16">
        <f t="shared" si="6"/>
        <v>7.0126597861179824E-7</v>
      </c>
      <c r="AV16">
        <f t="shared" si="6"/>
        <v>7.0073202192105317E-7</v>
      </c>
      <c r="AW16">
        <f t="shared" si="6"/>
        <v>7.00198065230308E-7</v>
      </c>
      <c r="AX16">
        <f t="shared" si="6"/>
        <v>6.9966410853956293E-7</v>
      </c>
      <c r="AY16">
        <f t="shared" si="6"/>
        <v>6.9913015184881786E-7</v>
      </c>
      <c r="AZ16">
        <f t="shared" si="6"/>
        <v>6.985961951580728E-7</v>
      </c>
    </row>
    <row r="17" spans="1:52" x14ac:dyDescent="0.25">
      <c r="A17" t="s">
        <v>55</v>
      </c>
      <c r="B17">
        <v>4.3598623071921982E-7</v>
      </c>
      <c r="C17">
        <v>6.3281081550399768E-7</v>
      </c>
      <c r="D17">
        <v>1.1688816387193375E-6</v>
      </c>
      <c r="E17">
        <v>1.0065661244863235E-6</v>
      </c>
      <c r="F17">
        <v>7.6044530033711653E-7</v>
      </c>
      <c r="G17">
        <v>7.0708210034026123E-7</v>
      </c>
      <c r="H17">
        <v>6.6455041647770263E-7</v>
      </c>
      <c r="I17">
        <v>6.2201873261514403E-7</v>
      </c>
      <c r="J17">
        <v>5.7948704875258543E-7</v>
      </c>
      <c r="K17">
        <v>5.3695536489002683E-7</v>
      </c>
      <c r="L17">
        <v>4.9442368102746802E-7</v>
      </c>
      <c r="M17">
        <v>4.9505466510588813E-7</v>
      </c>
      <c r="N17">
        <v>4.9832504472610519E-7</v>
      </c>
      <c r="O17">
        <v>5.0342968179111407E-7</v>
      </c>
      <c r="P17">
        <v>5.0622079099994987E-7</v>
      </c>
      <c r="Q17">
        <v>5.0736289631130068E-7</v>
      </c>
      <c r="R17">
        <v>5.0746206818748826E-7</v>
      </c>
      <c r="S17">
        <v>5.0824735984455073E-7</v>
      </c>
      <c r="T17">
        <v>5.0929258557368899E-7</v>
      </c>
      <c r="U17">
        <v>5.09877603125555E-7</v>
      </c>
      <c r="V17">
        <v>5.097564734860266E-7</v>
      </c>
      <c r="W17">
        <v>5.1071917663205984E-7</v>
      </c>
      <c r="X17">
        <v>5.1066760001761906E-7</v>
      </c>
      <c r="Y17">
        <v>5.1108419428583806E-7</v>
      </c>
      <c r="Z17">
        <v>5.1089652779750487E-7</v>
      </c>
      <c r="AA17">
        <v>5.1245106505380376E-7</v>
      </c>
      <c r="AB17">
        <v>5.1315377380423559E-7</v>
      </c>
      <c r="AC17">
        <v>5.1526588140822464E-7</v>
      </c>
      <c r="AD17">
        <v>5.1757536758817834E-7</v>
      </c>
      <c r="AE17">
        <v>5.2090136549905534E-7</v>
      </c>
      <c r="AF17">
        <v>5.2393171781066499E-7</v>
      </c>
      <c r="AG17">
        <f>_xlfn.FORECAST.ETS(AG1,$B$17:$AF$17,$B$13:$AF$13)</f>
        <v>5.236357586359793E-7</v>
      </c>
      <c r="AH17">
        <f t="shared" ref="AH17:AZ17" si="7">_xlfn.FORECAST.ETS(AH1,$B$17:$AF$17,$B$13:$AF$13)</f>
        <v>5.233471863126839E-7</v>
      </c>
      <c r="AI17">
        <f t="shared" si="7"/>
        <v>5.2305861398938861E-7</v>
      </c>
      <c r="AJ17">
        <f t="shared" si="7"/>
        <v>5.2277004166609332E-7</v>
      </c>
      <c r="AK17">
        <f t="shared" si="7"/>
        <v>5.2248146934279803E-7</v>
      </c>
      <c r="AL17">
        <f t="shared" si="7"/>
        <v>5.2219289701950264E-7</v>
      </c>
      <c r="AM17">
        <f t="shared" si="7"/>
        <v>5.2190432469620735E-7</v>
      </c>
      <c r="AN17">
        <f t="shared" si="7"/>
        <v>5.2161575237291206E-7</v>
      </c>
      <c r="AO17">
        <f t="shared" si="7"/>
        <v>5.2132718004961666E-7</v>
      </c>
      <c r="AP17">
        <f t="shared" si="7"/>
        <v>5.2103860772632137E-7</v>
      </c>
      <c r="AQ17">
        <f t="shared" si="7"/>
        <v>5.2075003540302608E-7</v>
      </c>
      <c r="AR17">
        <f t="shared" si="7"/>
        <v>5.2046146307973068E-7</v>
      </c>
      <c r="AS17">
        <f t="shared" si="7"/>
        <v>5.201728907564354E-7</v>
      </c>
      <c r="AT17">
        <f t="shared" si="7"/>
        <v>5.1988431843314011E-7</v>
      </c>
      <c r="AU17">
        <f t="shared" si="7"/>
        <v>5.1959574610984482E-7</v>
      </c>
      <c r="AV17">
        <f t="shared" si="7"/>
        <v>5.1930717378654942E-7</v>
      </c>
      <c r="AW17">
        <f t="shared" si="7"/>
        <v>5.1901860146325413E-7</v>
      </c>
      <c r="AX17">
        <f t="shared" si="7"/>
        <v>5.1873002913995884E-7</v>
      </c>
      <c r="AY17">
        <f t="shared" si="7"/>
        <v>5.1844145681666344E-7</v>
      </c>
      <c r="AZ17">
        <f t="shared" si="7"/>
        <v>5.1815288449336815E-7</v>
      </c>
    </row>
    <row r="18" spans="1:52" x14ac:dyDescent="0.25">
      <c r="A18" t="s">
        <v>56</v>
      </c>
      <c r="B18">
        <v>1.8465103593241403E-7</v>
      </c>
      <c r="C18">
        <v>3.216733043136768E-7</v>
      </c>
      <c r="D18">
        <v>5.9417129079719279E-7</v>
      </c>
      <c r="E18">
        <v>5.1166232204146313E-7</v>
      </c>
      <c r="F18">
        <v>3.8655305269146628E-7</v>
      </c>
      <c r="G18">
        <v>3.5942722542811801E-7</v>
      </c>
      <c r="H18">
        <v>3.3818732529397175E-7</v>
      </c>
      <c r="I18">
        <v>3.169474251598255E-7</v>
      </c>
      <c r="J18">
        <v>2.9570752502567925E-7</v>
      </c>
      <c r="K18">
        <v>2.7446762489153299E-7</v>
      </c>
      <c r="L18">
        <v>2.5322772475738674E-7</v>
      </c>
      <c r="M18">
        <v>2.5374041440198454E-7</v>
      </c>
      <c r="N18">
        <v>2.568731960601675E-7</v>
      </c>
      <c r="O18">
        <v>2.6120828590831157E-7</v>
      </c>
      <c r="P18">
        <v>2.6318587205007518E-7</v>
      </c>
      <c r="Q18">
        <v>2.6383724548016897E-7</v>
      </c>
      <c r="R18">
        <v>2.6386698497832015E-7</v>
      </c>
      <c r="S18">
        <v>2.6320246101963211E-7</v>
      </c>
      <c r="T18">
        <v>2.642875605992327E-7</v>
      </c>
      <c r="U18">
        <v>2.638627020079982E-7</v>
      </c>
      <c r="V18">
        <v>2.6330507133678248E-7</v>
      </c>
      <c r="W18">
        <v>2.6310153976120028E-7</v>
      </c>
      <c r="X18">
        <v>2.6197596309588084E-7</v>
      </c>
      <c r="Y18">
        <v>2.6095613357104608E-7</v>
      </c>
      <c r="Z18">
        <v>2.6041828901624745E-7</v>
      </c>
      <c r="AA18">
        <v>2.6085285969511346E-7</v>
      </c>
      <c r="AB18">
        <v>2.6103196024280275E-7</v>
      </c>
      <c r="AC18">
        <v>2.6236685954216787E-7</v>
      </c>
      <c r="AD18">
        <v>2.6476785651055018E-7</v>
      </c>
      <c r="AE18">
        <v>2.6798997731023802E-7</v>
      </c>
      <c r="AF18">
        <v>2.7029144046127874E-7</v>
      </c>
      <c r="AG18">
        <f>_xlfn.FORECAST.ETS(AG1,$B$18:$AF$18,$B$13:$AF$13)</f>
        <v>2.7050458631932259E-7</v>
      </c>
      <c r="AH18">
        <f t="shared" ref="AH18:AZ18" si="8">_xlfn.FORECAST.ETS(AH1,$B$18:$AF$18,$B$13:$AF$13)</f>
        <v>2.7072237339511446E-7</v>
      </c>
      <c r="AI18">
        <f t="shared" si="8"/>
        <v>2.7094016047090629E-7</v>
      </c>
      <c r="AJ18">
        <f t="shared" si="8"/>
        <v>2.7115794754669811E-7</v>
      </c>
      <c r="AK18">
        <f t="shared" si="8"/>
        <v>2.7137573462248999E-7</v>
      </c>
      <c r="AL18">
        <f t="shared" si="8"/>
        <v>2.7159352169828181E-7</v>
      </c>
      <c r="AM18">
        <f t="shared" si="8"/>
        <v>2.7181130877407364E-7</v>
      </c>
      <c r="AN18">
        <f t="shared" si="8"/>
        <v>2.7202909584986551E-7</v>
      </c>
      <c r="AO18">
        <f t="shared" si="8"/>
        <v>2.7224688292565734E-7</v>
      </c>
      <c r="AP18">
        <f t="shared" si="8"/>
        <v>2.7246467000144916E-7</v>
      </c>
      <c r="AQ18">
        <f t="shared" si="8"/>
        <v>2.7268245707724104E-7</v>
      </c>
      <c r="AR18">
        <f t="shared" si="8"/>
        <v>2.7290024415303286E-7</v>
      </c>
      <c r="AS18">
        <f t="shared" si="8"/>
        <v>2.7311803122882468E-7</v>
      </c>
      <c r="AT18">
        <f t="shared" si="8"/>
        <v>2.7333581830461651E-7</v>
      </c>
      <c r="AU18">
        <f t="shared" si="8"/>
        <v>2.7355360538040838E-7</v>
      </c>
      <c r="AV18">
        <f t="shared" si="8"/>
        <v>2.7377139245620021E-7</v>
      </c>
      <c r="AW18">
        <f t="shared" si="8"/>
        <v>2.7398917953199203E-7</v>
      </c>
      <c r="AX18">
        <f t="shared" si="8"/>
        <v>2.7420696660778391E-7</v>
      </c>
      <c r="AY18">
        <f t="shared" si="8"/>
        <v>2.7442475368357573E-7</v>
      </c>
      <c r="AZ18">
        <f t="shared" si="8"/>
        <v>2.7464254075936756E-7</v>
      </c>
    </row>
    <row r="19" spans="1:52" x14ac:dyDescent="0.25">
      <c r="A19" t="s">
        <v>57</v>
      </c>
      <c r="B19">
        <v>1.47643578438969E-7</v>
      </c>
      <c r="C19">
        <v>2.708152875113073E-7</v>
      </c>
      <c r="D19">
        <v>5.0023009926647764E-7</v>
      </c>
      <c r="E19">
        <v>4.3076617485559394E-7</v>
      </c>
      <c r="F19">
        <v>3.2543725170594475E-7</v>
      </c>
      <c r="G19">
        <v>3.0260014147393654E-7</v>
      </c>
      <c r="H19">
        <v>2.8563208203632456E-7</v>
      </c>
      <c r="I19">
        <v>2.6866402259871259E-7</v>
      </c>
      <c r="J19">
        <v>2.5169596316110061E-7</v>
      </c>
      <c r="K19">
        <v>2.3472790372348861E-7</v>
      </c>
      <c r="L19">
        <v>2.1775984428587659E-7</v>
      </c>
      <c r="M19">
        <v>2.1765379552776354E-7</v>
      </c>
      <c r="N19">
        <v>2.2093406820618909E-7</v>
      </c>
      <c r="O19">
        <v>2.2500313130616556E-7</v>
      </c>
      <c r="P19">
        <v>2.2702270262178967E-7</v>
      </c>
      <c r="Q19">
        <v>2.2703705962089715E-7</v>
      </c>
      <c r="R19">
        <v>2.2717290820068704E-7</v>
      </c>
      <c r="S19">
        <v>2.2595907821732466E-7</v>
      </c>
      <c r="T19">
        <v>2.2770628881458677E-7</v>
      </c>
      <c r="U19">
        <v>2.2760747887955308E-7</v>
      </c>
      <c r="V19">
        <v>2.2753068703138588E-7</v>
      </c>
      <c r="W19">
        <v>2.2693215700977166E-7</v>
      </c>
      <c r="X19">
        <v>2.2607393421018431E-7</v>
      </c>
      <c r="Y19">
        <v>2.2512420062216834E-7</v>
      </c>
      <c r="Z19">
        <v>2.251054400056876E-7</v>
      </c>
      <c r="AA19">
        <v>2.2554477624308091E-7</v>
      </c>
      <c r="AB19">
        <v>2.2580054799188601E-7</v>
      </c>
      <c r="AC19">
        <v>2.2698005388914694E-7</v>
      </c>
      <c r="AD19">
        <v>2.2987751347372411E-7</v>
      </c>
      <c r="AE19">
        <v>2.3289049260994319E-7</v>
      </c>
      <c r="AF19">
        <v>2.3535446733911626E-7</v>
      </c>
      <c r="AG19">
        <f>_xlfn.FORECAST.ETS(AG1,$B$19:$AF$19,$B$13:$AF$13)</f>
        <v>2.3583686491691293E-7</v>
      </c>
      <c r="AH19">
        <f t="shared" ref="AH19:AZ19" si="9">_xlfn.FORECAST.ETS(AH1,$B$19:$AF$19,$B$13:$AF$13)</f>
        <v>2.3632366489301846E-7</v>
      </c>
      <c r="AI19">
        <f t="shared" si="9"/>
        <v>2.3681046486912402E-7</v>
      </c>
      <c r="AJ19">
        <f t="shared" si="9"/>
        <v>2.3729726484522955E-7</v>
      </c>
      <c r="AK19">
        <f t="shared" si="9"/>
        <v>2.3778406482133511E-7</v>
      </c>
      <c r="AL19">
        <f t="shared" si="9"/>
        <v>2.3827086479744064E-7</v>
      </c>
      <c r="AM19">
        <f t="shared" si="9"/>
        <v>2.3875766477354622E-7</v>
      </c>
      <c r="AN19">
        <f t="shared" si="9"/>
        <v>2.3924446474965175E-7</v>
      </c>
      <c r="AO19">
        <f t="shared" si="9"/>
        <v>2.3973126472575728E-7</v>
      </c>
      <c r="AP19">
        <f t="shared" si="9"/>
        <v>2.4021806470186281E-7</v>
      </c>
      <c r="AQ19">
        <f t="shared" si="9"/>
        <v>2.4070486467796839E-7</v>
      </c>
      <c r="AR19">
        <f t="shared" si="9"/>
        <v>2.4119166465407392E-7</v>
      </c>
      <c r="AS19">
        <f t="shared" si="9"/>
        <v>2.4167846463017945E-7</v>
      </c>
      <c r="AT19">
        <f t="shared" si="9"/>
        <v>2.4216526460628504E-7</v>
      </c>
      <c r="AU19">
        <f t="shared" si="9"/>
        <v>2.4265206458239057E-7</v>
      </c>
      <c r="AV19">
        <f t="shared" si="9"/>
        <v>2.431388645584961E-7</v>
      </c>
      <c r="AW19">
        <f t="shared" si="9"/>
        <v>2.4362566453460163E-7</v>
      </c>
      <c r="AX19">
        <f t="shared" si="9"/>
        <v>2.4411246451070721E-7</v>
      </c>
      <c r="AY19">
        <f t="shared" si="9"/>
        <v>2.4459926448681274E-7</v>
      </c>
      <c r="AZ19">
        <f t="shared" si="9"/>
        <v>2.4508606446291827E-7</v>
      </c>
    </row>
    <row r="20" spans="1:52" x14ac:dyDescent="0.25">
      <c r="A20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t="s">
        <v>59</v>
      </c>
      <c r="B21">
        <v>1.8465103593241403E-7</v>
      </c>
      <c r="C21">
        <v>3.216733043136768E-7</v>
      </c>
      <c r="D21">
        <v>5.9417129079719279E-7</v>
      </c>
      <c r="E21">
        <v>5.1166232204146313E-7</v>
      </c>
      <c r="F21">
        <v>3.8655305269146628E-7</v>
      </c>
      <c r="G21">
        <v>3.5942722542811801E-7</v>
      </c>
      <c r="H21">
        <v>3.3818732529397175E-7</v>
      </c>
      <c r="I21">
        <v>3.169474251598255E-7</v>
      </c>
      <c r="J21">
        <v>2.9570752502567925E-7</v>
      </c>
      <c r="K21">
        <v>2.7446762489153299E-7</v>
      </c>
      <c r="L21">
        <v>2.5322772475738674E-7</v>
      </c>
      <c r="M21">
        <v>2.5374041440198454E-7</v>
      </c>
      <c r="N21">
        <v>2.568731960601675E-7</v>
      </c>
      <c r="O21">
        <v>2.6120828590831157E-7</v>
      </c>
      <c r="P21">
        <v>2.6318587205007518E-7</v>
      </c>
      <c r="Q21">
        <v>2.6383724548016897E-7</v>
      </c>
      <c r="R21">
        <v>2.6386698497832015E-7</v>
      </c>
      <c r="S21">
        <v>2.6320246101963211E-7</v>
      </c>
      <c r="T21">
        <v>2.642875605992327E-7</v>
      </c>
      <c r="U21">
        <v>2.638627020079982E-7</v>
      </c>
      <c r="V21">
        <v>2.6330507133678248E-7</v>
      </c>
      <c r="W21">
        <v>2.6310153976120028E-7</v>
      </c>
      <c r="X21">
        <v>2.6197596309588084E-7</v>
      </c>
      <c r="Y21">
        <v>2.6095613357104608E-7</v>
      </c>
      <c r="Z21">
        <v>2.6041828901624745E-7</v>
      </c>
      <c r="AA21">
        <v>2.6085285969511346E-7</v>
      </c>
      <c r="AB21">
        <v>2.6103196024280275E-7</v>
      </c>
      <c r="AC21">
        <v>2.6236685954216787E-7</v>
      </c>
      <c r="AD21">
        <v>2.6476785651055018E-7</v>
      </c>
      <c r="AE21">
        <v>2.6798997731023802E-7</v>
      </c>
      <c r="AF21">
        <v>2.7029144046127874E-7</v>
      </c>
      <c r="AG21">
        <f>_xlfn.FORECAST.ETS(AG1,$B$21:$AF$21,$B$13:$AF$13)</f>
        <v>2.7050458631932259E-7</v>
      </c>
      <c r="AH21">
        <f t="shared" ref="AH21:AZ21" si="10">_xlfn.FORECAST.ETS(AH1,$B$21:$AF$21,$B$13:$AF$13)</f>
        <v>2.7072237339511446E-7</v>
      </c>
      <c r="AI21">
        <f t="shared" si="10"/>
        <v>2.7094016047090629E-7</v>
      </c>
      <c r="AJ21">
        <f t="shared" si="10"/>
        <v>2.7115794754669811E-7</v>
      </c>
      <c r="AK21">
        <f t="shared" si="10"/>
        <v>2.7137573462248999E-7</v>
      </c>
      <c r="AL21">
        <f t="shared" si="10"/>
        <v>2.7159352169828181E-7</v>
      </c>
      <c r="AM21">
        <f t="shared" si="10"/>
        <v>2.7181130877407364E-7</v>
      </c>
      <c r="AN21">
        <f t="shared" si="10"/>
        <v>2.7202909584986551E-7</v>
      </c>
      <c r="AO21">
        <f t="shared" si="10"/>
        <v>2.7224688292565734E-7</v>
      </c>
      <c r="AP21">
        <f t="shared" si="10"/>
        <v>2.7246467000144916E-7</v>
      </c>
      <c r="AQ21">
        <f t="shared" si="10"/>
        <v>2.7268245707724104E-7</v>
      </c>
      <c r="AR21">
        <f t="shared" si="10"/>
        <v>2.7290024415303286E-7</v>
      </c>
      <c r="AS21">
        <f t="shared" si="10"/>
        <v>2.7311803122882468E-7</v>
      </c>
      <c r="AT21">
        <f t="shared" si="10"/>
        <v>2.7333581830461651E-7</v>
      </c>
      <c r="AU21">
        <f t="shared" si="10"/>
        <v>2.7355360538040838E-7</v>
      </c>
      <c r="AV21">
        <f t="shared" si="10"/>
        <v>2.7377139245620021E-7</v>
      </c>
      <c r="AW21">
        <f t="shared" si="10"/>
        <v>2.7398917953199203E-7</v>
      </c>
      <c r="AX21">
        <f t="shared" si="10"/>
        <v>2.7420696660778391E-7</v>
      </c>
      <c r="AY21">
        <f t="shared" si="10"/>
        <v>2.7442475368357573E-7</v>
      </c>
      <c r="AZ21">
        <f t="shared" si="10"/>
        <v>2.7464254075936756E-7</v>
      </c>
    </row>
    <row r="22" spans="1:52" s="3" customFormat="1" x14ac:dyDescent="0.25">
      <c r="A22" s="5" t="s">
        <v>32</v>
      </c>
    </row>
    <row r="23" spans="1:52" x14ac:dyDescent="0.25">
      <c r="A23" t="s">
        <v>30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  <c r="AG23">
        <v>2051</v>
      </c>
      <c r="AH23">
        <v>2052</v>
      </c>
      <c r="AI23">
        <v>2053</v>
      </c>
      <c r="AJ23">
        <v>2054</v>
      </c>
      <c r="AK23">
        <v>2055</v>
      </c>
      <c r="AL23">
        <v>2056</v>
      </c>
      <c r="AM23">
        <v>2057</v>
      </c>
      <c r="AN23">
        <v>2058</v>
      </c>
      <c r="AO23">
        <v>2059</v>
      </c>
      <c r="AP23">
        <v>2060</v>
      </c>
      <c r="AQ23">
        <v>2061</v>
      </c>
      <c r="AR23">
        <v>2062</v>
      </c>
      <c r="AS23">
        <v>2063</v>
      </c>
      <c r="AT23">
        <v>2064</v>
      </c>
      <c r="AU23">
        <v>2065</v>
      </c>
      <c r="AV23">
        <v>2066</v>
      </c>
      <c r="AW23">
        <v>2067</v>
      </c>
      <c r="AX23">
        <v>2068</v>
      </c>
      <c r="AY23">
        <v>2069</v>
      </c>
      <c r="AZ23">
        <v>2070</v>
      </c>
    </row>
    <row r="24" spans="1:52" x14ac:dyDescent="0.25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25">
      <c r="A25" t="s">
        <v>53</v>
      </c>
      <c r="B25">
        <v>4.1389358397502433E-8</v>
      </c>
      <c r="C25">
        <v>4.1291800938435987E-8</v>
      </c>
      <c r="D25">
        <v>4.1352240836609217E-8</v>
      </c>
      <c r="E25">
        <v>4.1473178249636492E-8</v>
      </c>
      <c r="F25">
        <v>4.1533618147809715E-8</v>
      </c>
      <c r="G25">
        <v>4.165449794415618E-8</v>
      </c>
      <c r="H25">
        <v>4.171499545901022E-8</v>
      </c>
      <c r="I25">
        <v>4.1835875255356672E-8</v>
      </c>
      <c r="J25">
        <v>4.1896315153529914E-8</v>
      </c>
      <c r="K25">
        <v>4.2017252566557177E-8</v>
      </c>
      <c r="L25">
        <v>4.2138189979584452E-8</v>
      </c>
      <c r="M25">
        <v>4.2198629877757688E-8</v>
      </c>
      <c r="N25">
        <v>4.231956729078495E-8</v>
      </c>
      <c r="O25">
        <v>4.2440447087131422E-8</v>
      </c>
      <c r="P25">
        <v>4.2500886985304645E-8</v>
      </c>
      <c r="Q25">
        <v>4.2621824398331907E-8</v>
      </c>
      <c r="R25">
        <v>4.2742761811359189E-8</v>
      </c>
      <c r="S25">
        <v>4.2803201709532419E-8</v>
      </c>
      <c r="T25">
        <v>4.2924081505878877E-8</v>
      </c>
      <c r="U25">
        <v>4.3045018918906153E-8</v>
      </c>
      <c r="V25">
        <v>4.3165956331933415E-8</v>
      </c>
      <c r="W25">
        <v>4.3286836128279881E-8</v>
      </c>
      <c r="X25">
        <v>4.3407773541307149E-8</v>
      </c>
      <c r="Y25">
        <v>4.3528653337653608E-8</v>
      </c>
      <c r="Z25">
        <v>4.3649590750680884E-8</v>
      </c>
      <c r="AA25">
        <v>4.3770528163708153E-8</v>
      </c>
      <c r="AB25">
        <v>4.3891407960054618E-8</v>
      </c>
      <c r="AC25">
        <v>4.401234537308188E-8</v>
      </c>
      <c r="AD25">
        <v>4.4133225169428345E-8</v>
      </c>
      <c r="AE25">
        <v>4.4254162582455614E-8</v>
      </c>
      <c r="AF25">
        <v>4.4375042378802073E-8</v>
      </c>
      <c r="AG25">
        <f>_xlfn.FORECAST.ETS(AG13,$B$25:$AF$25,$B$23:$AF$23)</f>
        <v>4.4495982918957795E-8</v>
      </c>
      <c r="AH25">
        <f t="shared" ref="AH25:AZ25" si="11">_xlfn.FORECAST.ETS(AH13,$B$25:$AF$25,$B$23:$AF$23)</f>
        <v>4.4616913962778064E-8</v>
      </c>
      <c r="AI25">
        <f t="shared" si="11"/>
        <v>4.4737845006598327E-8</v>
      </c>
      <c r="AJ25">
        <f t="shared" si="11"/>
        <v>4.4858776050418597E-8</v>
      </c>
      <c r="AK25">
        <f t="shared" si="11"/>
        <v>4.497970709423886E-8</v>
      </c>
      <c r="AL25">
        <f t="shared" si="11"/>
        <v>4.5100638138059129E-8</v>
      </c>
      <c r="AM25">
        <f t="shared" si="11"/>
        <v>4.5221569181879392E-8</v>
      </c>
      <c r="AN25">
        <f t="shared" si="11"/>
        <v>4.5342500225699655E-8</v>
      </c>
      <c r="AO25">
        <f t="shared" si="11"/>
        <v>4.5463431269519925E-8</v>
      </c>
      <c r="AP25">
        <f t="shared" si="11"/>
        <v>4.5584362313340188E-8</v>
      </c>
      <c r="AQ25">
        <f t="shared" si="11"/>
        <v>4.5705293357160457E-8</v>
      </c>
      <c r="AR25">
        <f t="shared" si="11"/>
        <v>4.582622440098072E-8</v>
      </c>
      <c r="AS25">
        <f t="shared" si="11"/>
        <v>4.594715544480099E-8</v>
      </c>
      <c r="AT25">
        <f t="shared" si="11"/>
        <v>4.6068086488621253E-8</v>
      </c>
      <c r="AU25">
        <f t="shared" si="11"/>
        <v>4.6189017532441522E-8</v>
      </c>
      <c r="AV25">
        <f t="shared" si="11"/>
        <v>4.6309948576261785E-8</v>
      </c>
      <c r="AW25">
        <f t="shared" si="11"/>
        <v>4.6430879620082048E-8</v>
      </c>
      <c r="AX25">
        <f t="shared" si="11"/>
        <v>4.6551810663902318E-8</v>
      </c>
      <c r="AY25">
        <f t="shared" si="11"/>
        <v>4.6672741707722581E-8</v>
      </c>
      <c r="AZ25">
        <f t="shared" si="11"/>
        <v>4.679367275154285E-8</v>
      </c>
    </row>
    <row r="26" spans="1:52" x14ac:dyDescent="0.25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 x14ac:dyDescent="0.25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5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5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5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 s="3" customFormat="1" x14ac:dyDescent="0.25">
      <c r="A32" s="5" t="s">
        <v>33</v>
      </c>
    </row>
    <row r="33" spans="1:52" x14ac:dyDescent="0.25">
      <c r="A33" t="s">
        <v>30</v>
      </c>
      <c r="B33">
        <v>2020</v>
      </c>
      <c r="C33">
        <v>2021</v>
      </c>
      <c r="D33">
        <v>2022</v>
      </c>
      <c r="E33">
        <v>2023</v>
      </c>
      <c r="F33">
        <v>2024</v>
      </c>
      <c r="G33">
        <v>2025</v>
      </c>
      <c r="H33">
        <v>2026</v>
      </c>
      <c r="I33">
        <v>2027</v>
      </c>
      <c r="J33">
        <v>2028</v>
      </c>
      <c r="K33">
        <v>2029</v>
      </c>
      <c r="L33">
        <v>2030</v>
      </c>
      <c r="M33">
        <v>2031</v>
      </c>
      <c r="N33">
        <v>2032</v>
      </c>
      <c r="O33">
        <v>2033</v>
      </c>
      <c r="P33">
        <v>2034</v>
      </c>
      <c r="Q33">
        <v>2035</v>
      </c>
      <c r="R33">
        <v>2036</v>
      </c>
      <c r="S33">
        <v>2037</v>
      </c>
      <c r="T33">
        <v>2038</v>
      </c>
      <c r="U33">
        <v>2039</v>
      </c>
      <c r="V33">
        <v>2040</v>
      </c>
      <c r="W33">
        <v>2041</v>
      </c>
      <c r="X33">
        <v>2042</v>
      </c>
      <c r="Y33">
        <v>2043</v>
      </c>
      <c r="Z33">
        <v>2044</v>
      </c>
      <c r="AA33">
        <v>2045</v>
      </c>
      <c r="AB33">
        <v>2046</v>
      </c>
      <c r="AC33">
        <v>2047</v>
      </c>
      <c r="AD33">
        <v>2048</v>
      </c>
      <c r="AE33">
        <v>2049</v>
      </c>
      <c r="AF33">
        <v>2050</v>
      </c>
      <c r="AG33">
        <v>2051</v>
      </c>
      <c r="AH33">
        <v>2052</v>
      </c>
      <c r="AI33">
        <v>2053</v>
      </c>
      <c r="AJ33">
        <v>2054</v>
      </c>
      <c r="AK33">
        <v>2055</v>
      </c>
      <c r="AL33">
        <v>2056</v>
      </c>
      <c r="AM33">
        <v>2057</v>
      </c>
      <c r="AN33">
        <v>2058</v>
      </c>
      <c r="AO33">
        <v>2059</v>
      </c>
      <c r="AP33">
        <v>2060</v>
      </c>
      <c r="AQ33">
        <v>2061</v>
      </c>
      <c r="AR33">
        <v>2062</v>
      </c>
      <c r="AS33">
        <v>2063</v>
      </c>
      <c r="AT33">
        <v>2064</v>
      </c>
      <c r="AU33">
        <v>2065</v>
      </c>
      <c r="AV33">
        <v>2066</v>
      </c>
      <c r="AW33">
        <v>2067</v>
      </c>
      <c r="AX33">
        <v>2068</v>
      </c>
      <c r="AY33">
        <v>2069</v>
      </c>
      <c r="AZ33">
        <v>2070</v>
      </c>
    </row>
    <row r="34" spans="1:52" x14ac:dyDescent="0.25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 x14ac:dyDescent="0.25">
      <c r="A35" t="s">
        <v>53</v>
      </c>
      <c r="B35">
        <v>1.3797744000000005E-7</v>
      </c>
      <c r="C35">
        <v>1.3797744000000005E-7</v>
      </c>
      <c r="D35">
        <v>1.3797744000000005E-7</v>
      </c>
      <c r="E35">
        <v>1.3797744000000005E-7</v>
      </c>
      <c r="F35">
        <v>1.3797744000000005E-7</v>
      </c>
      <c r="G35">
        <v>1.3797744000000005E-7</v>
      </c>
      <c r="H35">
        <v>1.3797744000000005E-7</v>
      </c>
      <c r="I35">
        <v>1.3797744000000005E-7</v>
      </c>
      <c r="J35">
        <v>1.3797744000000005E-7</v>
      </c>
      <c r="K35">
        <v>1.3797744000000005E-7</v>
      </c>
      <c r="L35">
        <v>1.3797744000000005E-7</v>
      </c>
      <c r="M35">
        <v>1.3797744000000005E-7</v>
      </c>
      <c r="N35">
        <v>1.3797744000000005E-7</v>
      </c>
      <c r="O35">
        <v>1.3797744000000005E-7</v>
      </c>
      <c r="P35">
        <v>1.3797744000000005E-7</v>
      </c>
      <c r="Q35">
        <v>1.3797744000000005E-7</v>
      </c>
      <c r="R35">
        <v>1.3797744000000005E-7</v>
      </c>
      <c r="S35">
        <v>1.3797744000000005E-7</v>
      </c>
      <c r="T35">
        <v>1.3797744000000005E-7</v>
      </c>
      <c r="U35">
        <v>1.3797744000000005E-7</v>
      </c>
      <c r="V35">
        <v>1.3797744000000005E-7</v>
      </c>
      <c r="W35">
        <v>1.3797744000000005E-7</v>
      </c>
      <c r="X35">
        <v>1.3797744000000005E-7</v>
      </c>
      <c r="Y35">
        <v>1.3797744000000005E-7</v>
      </c>
      <c r="Z35">
        <v>1.3797744000000005E-7</v>
      </c>
      <c r="AA35">
        <v>1.3797744000000005E-7</v>
      </c>
      <c r="AB35">
        <v>1.3797744000000005E-7</v>
      </c>
      <c r="AC35">
        <v>1.3797744000000005E-7</v>
      </c>
      <c r="AD35">
        <v>1.3797744000000005E-7</v>
      </c>
      <c r="AE35">
        <v>1.3797744000000005E-7</v>
      </c>
      <c r="AF35">
        <v>1.3797744000000005E-7</v>
      </c>
      <c r="AG35">
        <v>1.3797744E-7</v>
      </c>
      <c r="AH35">
        <v>1.3797744E-7</v>
      </c>
      <c r="AI35">
        <v>1.3797744E-7</v>
      </c>
      <c r="AJ35">
        <v>1.3797744E-7</v>
      </c>
      <c r="AK35">
        <v>1.3797744E-7</v>
      </c>
      <c r="AL35">
        <v>1.3797744E-7</v>
      </c>
      <c r="AM35">
        <v>1.3797744E-7</v>
      </c>
      <c r="AN35">
        <v>1.3797744E-7</v>
      </c>
      <c r="AO35">
        <v>1.3797744E-7</v>
      </c>
      <c r="AP35">
        <v>1.3797744E-7</v>
      </c>
      <c r="AQ35">
        <v>1.3797744E-7</v>
      </c>
      <c r="AR35">
        <v>1.3797744E-7</v>
      </c>
      <c r="AS35">
        <v>1.3797744E-7</v>
      </c>
      <c r="AT35">
        <v>1.3797744E-7</v>
      </c>
      <c r="AU35">
        <v>1.3797744E-7</v>
      </c>
      <c r="AV35">
        <v>1.3797744E-7</v>
      </c>
      <c r="AW35">
        <v>1.3797744E-7</v>
      </c>
      <c r="AX35">
        <v>1.3797744E-7</v>
      </c>
      <c r="AY35">
        <v>1.3797744E-7</v>
      </c>
      <c r="AZ35">
        <v>1.3797744E-7</v>
      </c>
    </row>
    <row r="36" spans="1:52" x14ac:dyDescent="0.25">
      <c r="A36" t="s">
        <v>54</v>
      </c>
      <c r="B36">
        <v>5.5004519999999998E-7</v>
      </c>
      <c r="C36">
        <v>5.5004519999999998E-7</v>
      </c>
      <c r="D36">
        <v>5.5004519999999998E-7</v>
      </c>
      <c r="E36">
        <v>5.5004519999999998E-7</v>
      </c>
      <c r="F36">
        <v>5.5004519999999998E-7</v>
      </c>
      <c r="G36">
        <v>5.5004519999999998E-7</v>
      </c>
      <c r="H36">
        <v>5.5004519999999998E-7</v>
      </c>
      <c r="I36">
        <v>5.5004519999999998E-7</v>
      </c>
      <c r="J36">
        <v>5.5004519999999998E-7</v>
      </c>
      <c r="K36">
        <v>5.5004519999999998E-7</v>
      </c>
      <c r="L36">
        <v>5.5004519999999998E-7</v>
      </c>
      <c r="M36">
        <v>5.5004519999999998E-7</v>
      </c>
      <c r="N36">
        <v>5.5004519999999998E-7</v>
      </c>
      <c r="O36">
        <v>5.5004519999999998E-7</v>
      </c>
      <c r="P36">
        <v>5.5004519999999998E-7</v>
      </c>
      <c r="Q36">
        <v>5.5004519999999998E-7</v>
      </c>
      <c r="R36">
        <v>5.5004519999999998E-7</v>
      </c>
      <c r="S36">
        <v>5.5004519999999998E-7</v>
      </c>
      <c r="T36">
        <v>5.5004519999999998E-7</v>
      </c>
      <c r="U36">
        <v>5.5004519999999998E-7</v>
      </c>
      <c r="V36">
        <v>5.5004519999999998E-7</v>
      </c>
      <c r="W36">
        <v>5.5004519999999998E-7</v>
      </c>
      <c r="X36">
        <v>5.5004519999999998E-7</v>
      </c>
      <c r="Y36">
        <v>5.5004519999999998E-7</v>
      </c>
      <c r="Z36">
        <v>5.5004519999999998E-7</v>
      </c>
      <c r="AA36">
        <v>5.5004519999999998E-7</v>
      </c>
      <c r="AB36">
        <v>5.5004519999999998E-7</v>
      </c>
      <c r="AC36">
        <v>5.5004519999999998E-7</v>
      </c>
      <c r="AD36">
        <v>5.5004519999999998E-7</v>
      </c>
      <c r="AE36">
        <v>5.5004519999999998E-7</v>
      </c>
      <c r="AF36">
        <v>5.5004519999999998E-7</v>
      </c>
      <c r="AG36">
        <v>5.5004519999999998E-7</v>
      </c>
      <c r="AH36">
        <v>5.5004519999999998E-7</v>
      </c>
      <c r="AI36">
        <v>5.5004519999999998E-7</v>
      </c>
      <c r="AJ36">
        <v>5.5004519999999998E-7</v>
      </c>
      <c r="AK36">
        <v>5.5004519999999998E-7</v>
      </c>
      <c r="AL36">
        <v>5.5004519999999998E-7</v>
      </c>
      <c r="AM36">
        <v>5.5004519999999998E-7</v>
      </c>
      <c r="AN36">
        <v>5.5004519999999998E-7</v>
      </c>
      <c r="AO36">
        <v>5.5004519999999998E-7</v>
      </c>
      <c r="AP36">
        <v>5.5004519999999998E-7</v>
      </c>
      <c r="AQ36">
        <v>5.5004519999999998E-7</v>
      </c>
      <c r="AR36">
        <v>5.5004519999999998E-7</v>
      </c>
      <c r="AS36">
        <v>5.5004519999999998E-7</v>
      </c>
      <c r="AT36">
        <v>5.5004519999999998E-7</v>
      </c>
      <c r="AU36">
        <v>5.5004519999999998E-7</v>
      </c>
      <c r="AV36">
        <v>5.5004519999999998E-7</v>
      </c>
      <c r="AW36">
        <v>5.5004519999999998E-7</v>
      </c>
      <c r="AX36">
        <v>5.5004519999999998E-7</v>
      </c>
      <c r="AY36">
        <v>5.5004519999999998E-7</v>
      </c>
      <c r="AZ36">
        <v>5.5004519999999998E-7</v>
      </c>
    </row>
    <row r="37" spans="1:52" x14ac:dyDescent="0.25">
      <c r="A37" t="s">
        <v>55</v>
      </c>
      <c r="B37">
        <v>2.5544472000000004E-7</v>
      </c>
      <c r="C37">
        <v>2.5544472000000004E-7</v>
      </c>
      <c r="D37">
        <v>2.5544472000000004E-7</v>
      </c>
      <c r="E37">
        <v>2.5544472000000004E-7</v>
      </c>
      <c r="F37">
        <v>2.5544472000000004E-7</v>
      </c>
      <c r="G37">
        <v>2.5544472000000004E-7</v>
      </c>
      <c r="H37">
        <v>2.5544472000000004E-7</v>
      </c>
      <c r="I37">
        <v>2.5544472000000004E-7</v>
      </c>
      <c r="J37">
        <v>2.5544472000000004E-7</v>
      </c>
      <c r="K37">
        <v>2.5544472000000004E-7</v>
      </c>
      <c r="L37">
        <v>2.5544472000000004E-7</v>
      </c>
      <c r="M37">
        <v>2.5544472000000004E-7</v>
      </c>
      <c r="N37">
        <v>2.5544472000000004E-7</v>
      </c>
      <c r="O37">
        <v>2.5544472000000004E-7</v>
      </c>
      <c r="P37">
        <v>2.5544472000000004E-7</v>
      </c>
      <c r="Q37">
        <v>2.5544472000000004E-7</v>
      </c>
      <c r="R37">
        <v>2.5544472000000004E-7</v>
      </c>
      <c r="S37">
        <v>2.5544472000000004E-7</v>
      </c>
      <c r="T37">
        <v>2.5544472000000004E-7</v>
      </c>
      <c r="U37">
        <v>2.5544472000000004E-7</v>
      </c>
      <c r="V37">
        <v>2.5544472000000004E-7</v>
      </c>
      <c r="W37">
        <v>2.5544472000000004E-7</v>
      </c>
      <c r="X37">
        <v>2.5544472000000004E-7</v>
      </c>
      <c r="Y37">
        <v>2.5544472000000004E-7</v>
      </c>
      <c r="Z37">
        <v>2.5544472000000004E-7</v>
      </c>
      <c r="AA37">
        <v>2.5544472000000004E-7</v>
      </c>
      <c r="AB37">
        <v>2.5544472000000004E-7</v>
      </c>
      <c r="AC37">
        <v>2.5544472000000004E-7</v>
      </c>
      <c r="AD37">
        <v>2.5544472000000004E-7</v>
      </c>
      <c r="AE37">
        <v>2.5544472000000004E-7</v>
      </c>
      <c r="AF37">
        <v>2.5544472000000004E-7</v>
      </c>
      <c r="AG37">
        <v>2.5544471999999999E-7</v>
      </c>
      <c r="AH37">
        <v>2.5544471999999999E-7</v>
      </c>
      <c r="AI37">
        <v>2.5544471999999999E-7</v>
      </c>
      <c r="AJ37">
        <v>2.5544471999999999E-7</v>
      </c>
      <c r="AK37">
        <v>2.5544471999999999E-7</v>
      </c>
      <c r="AL37">
        <v>2.5544471999999999E-7</v>
      </c>
      <c r="AM37">
        <v>2.5544471999999999E-7</v>
      </c>
      <c r="AN37">
        <v>2.5544471999999999E-7</v>
      </c>
      <c r="AO37">
        <v>2.5544471999999999E-7</v>
      </c>
      <c r="AP37">
        <v>2.5544471999999999E-7</v>
      </c>
      <c r="AQ37">
        <v>2.5544471999999999E-7</v>
      </c>
      <c r="AR37">
        <v>2.5544471999999999E-7</v>
      </c>
      <c r="AS37">
        <v>2.5544471999999999E-7</v>
      </c>
      <c r="AT37">
        <v>2.5544471999999999E-7</v>
      </c>
      <c r="AU37">
        <v>2.5544471999999999E-7</v>
      </c>
      <c r="AV37">
        <v>2.5544471999999999E-7</v>
      </c>
      <c r="AW37">
        <v>2.5544471999999999E-7</v>
      </c>
      <c r="AX37">
        <v>2.5544471999999999E-7</v>
      </c>
      <c r="AY37">
        <v>2.5544471999999999E-7</v>
      </c>
      <c r="AZ37">
        <v>2.5544471999999999E-7</v>
      </c>
    </row>
    <row r="38" spans="1:52" x14ac:dyDescent="0.25">
      <c r="A38" t="s">
        <v>56</v>
      </c>
      <c r="B38">
        <v>1.6345976000000001E-7</v>
      </c>
      <c r="C38">
        <v>1.6345976000000001E-7</v>
      </c>
      <c r="D38">
        <v>1.6345976000000001E-7</v>
      </c>
      <c r="E38">
        <v>1.6345976000000001E-7</v>
      </c>
      <c r="F38">
        <v>1.6345976000000001E-7</v>
      </c>
      <c r="G38">
        <v>1.6345976000000001E-7</v>
      </c>
      <c r="H38">
        <v>1.6345976000000001E-7</v>
      </c>
      <c r="I38">
        <v>1.6345976000000001E-7</v>
      </c>
      <c r="J38">
        <v>1.6345976000000001E-7</v>
      </c>
      <c r="K38">
        <v>1.6345976000000001E-7</v>
      </c>
      <c r="L38">
        <v>1.6345976000000001E-7</v>
      </c>
      <c r="M38">
        <v>1.6345976000000001E-7</v>
      </c>
      <c r="N38">
        <v>1.6345976000000001E-7</v>
      </c>
      <c r="O38">
        <v>1.6345976000000001E-7</v>
      </c>
      <c r="P38">
        <v>1.6345976000000001E-7</v>
      </c>
      <c r="Q38">
        <v>1.6345976000000001E-7</v>
      </c>
      <c r="R38">
        <v>1.6345976000000001E-7</v>
      </c>
      <c r="S38">
        <v>1.6345976000000001E-7</v>
      </c>
      <c r="T38">
        <v>1.6345976000000001E-7</v>
      </c>
      <c r="U38">
        <v>1.6345976000000001E-7</v>
      </c>
      <c r="V38">
        <v>1.6345976000000001E-7</v>
      </c>
      <c r="W38">
        <v>1.6345976000000001E-7</v>
      </c>
      <c r="X38">
        <v>1.6345976000000001E-7</v>
      </c>
      <c r="Y38">
        <v>1.6345976000000001E-7</v>
      </c>
      <c r="Z38">
        <v>1.6345976000000001E-7</v>
      </c>
      <c r="AA38">
        <v>1.6345976000000001E-7</v>
      </c>
      <c r="AB38">
        <v>1.6345976000000001E-7</v>
      </c>
      <c r="AC38">
        <v>1.6345976000000001E-7</v>
      </c>
      <c r="AD38">
        <v>1.6345976000000001E-7</v>
      </c>
      <c r="AE38">
        <v>1.6345976000000001E-7</v>
      </c>
      <c r="AF38">
        <v>1.6345976000000001E-7</v>
      </c>
      <c r="AG38">
        <v>1.6345976000000001E-7</v>
      </c>
      <c r="AH38">
        <v>1.6345976000000001E-7</v>
      </c>
      <c r="AI38">
        <v>1.6345976000000001E-7</v>
      </c>
      <c r="AJ38">
        <v>1.6345976000000001E-7</v>
      </c>
      <c r="AK38">
        <v>1.6345976000000001E-7</v>
      </c>
      <c r="AL38">
        <v>1.6345976000000001E-7</v>
      </c>
      <c r="AM38">
        <v>1.6345976000000001E-7</v>
      </c>
      <c r="AN38">
        <v>1.6345976000000001E-7</v>
      </c>
      <c r="AO38">
        <v>1.6345976000000001E-7</v>
      </c>
      <c r="AP38">
        <v>1.6345976000000001E-7</v>
      </c>
      <c r="AQ38">
        <v>1.6345976000000001E-7</v>
      </c>
      <c r="AR38">
        <v>1.6345976000000001E-7</v>
      </c>
      <c r="AS38">
        <v>1.6345976000000001E-7</v>
      </c>
      <c r="AT38">
        <v>1.6345976000000001E-7</v>
      </c>
      <c r="AU38">
        <v>1.6345976000000001E-7</v>
      </c>
      <c r="AV38">
        <v>1.6345976000000001E-7</v>
      </c>
      <c r="AW38">
        <v>1.6345976000000001E-7</v>
      </c>
      <c r="AX38">
        <v>1.6345976000000001E-7</v>
      </c>
      <c r="AY38">
        <v>1.6345976000000001E-7</v>
      </c>
      <c r="AZ38">
        <v>1.6345976000000001E-7</v>
      </c>
    </row>
    <row r="39" spans="1:52" x14ac:dyDescent="0.25">
      <c r="A39" t="s">
        <v>57</v>
      </c>
      <c r="B39">
        <v>1.3797744000000005E-7</v>
      </c>
      <c r="C39">
        <v>1.3797744000000005E-7</v>
      </c>
      <c r="D39">
        <v>1.3797744000000005E-7</v>
      </c>
      <c r="E39">
        <v>1.3797744000000005E-7</v>
      </c>
      <c r="F39">
        <v>1.3797744000000005E-7</v>
      </c>
      <c r="G39">
        <v>1.3797744000000005E-7</v>
      </c>
      <c r="H39">
        <v>1.3797744000000005E-7</v>
      </c>
      <c r="I39">
        <v>1.3797744000000005E-7</v>
      </c>
      <c r="J39">
        <v>1.3797744000000005E-7</v>
      </c>
      <c r="K39">
        <v>1.3797744000000005E-7</v>
      </c>
      <c r="L39">
        <v>1.3797744000000005E-7</v>
      </c>
      <c r="M39">
        <v>1.3797744000000005E-7</v>
      </c>
      <c r="N39">
        <v>1.3797744000000005E-7</v>
      </c>
      <c r="O39">
        <v>1.3797744000000005E-7</v>
      </c>
      <c r="P39">
        <v>1.3797744000000005E-7</v>
      </c>
      <c r="Q39">
        <v>1.3797744000000005E-7</v>
      </c>
      <c r="R39">
        <v>1.3797744000000005E-7</v>
      </c>
      <c r="S39">
        <v>1.3797744000000005E-7</v>
      </c>
      <c r="T39">
        <v>1.3797744000000005E-7</v>
      </c>
      <c r="U39">
        <v>1.3797744000000005E-7</v>
      </c>
      <c r="V39">
        <v>1.3797744000000005E-7</v>
      </c>
      <c r="W39">
        <v>1.3797744000000005E-7</v>
      </c>
      <c r="X39">
        <v>1.3797744000000005E-7</v>
      </c>
      <c r="Y39">
        <v>1.3797744000000005E-7</v>
      </c>
      <c r="Z39">
        <v>1.3797744000000005E-7</v>
      </c>
      <c r="AA39">
        <v>1.3797744000000005E-7</v>
      </c>
      <c r="AB39">
        <v>1.3797744000000005E-7</v>
      </c>
      <c r="AC39">
        <v>1.3797744000000005E-7</v>
      </c>
      <c r="AD39">
        <v>1.3797744000000005E-7</v>
      </c>
      <c r="AE39">
        <v>1.3797744000000005E-7</v>
      </c>
      <c r="AF39">
        <v>1.3797744000000005E-7</v>
      </c>
      <c r="AG39">
        <v>1.3797744E-7</v>
      </c>
      <c r="AH39">
        <v>1.3797744E-7</v>
      </c>
      <c r="AI39">
        <v>1.3797744E-7</v>
      </c>
      <c r="AJ39">
        <v>1.3797744E-7</v>
      </c>
      <c r="AK39">
        <v>1.3797744E-7</v>
      </c>
      <c r="AL39">
        <v>1.3797744E-7</v>
      </c>
      <c r="AM39">
        <v>1.3797744E-7</v>
      </c>
      <c r="AN39">
        <v>1.3797744E-7</v>
      </c>
      <c r="AO39">
        <v>1.3797744E-7</v>
      </c>
      <c r="AP39">
        <v>1.3797744E-7</v>
      </c>
      <c r="AQ39">
        <v>1.3797744E-7</v>
      </c>
      <c r="AR39">
        <v>1.3797744E-7</v>
      </c>
      <c r="AS39">
        <v>1.3797744E-7</v>
      </c>
      <c r="AT39">
        <v>1.3797744E-7</v>
      </c>
      <c r="AU39">
        <v>1.3797744E-7</v>
      </c>
      <c r="AV39">
        <v>1.3797744E-7</v>
      </c>
      <c r="AW39">
        <v>1.3797744E-7</v>
      </c>
      <c r="AX39">
        <v>1.3797744E-7</v>
      </c>
      <c r="AY39">
        <v>1.3797744E-7</v>
      </c>
      <c r="AZ39">
        <v>1.3797744E-7</v>
      </c>
    </row>
    <row r="40" spans="1:52" x14ac:dyDescent="0.25">
      <c r="A40" t="s">
        <v>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 x14ac:dyDescent="0.25">
      <c r="A41" t="s">
        <v>59</v>
      </c>
      <c r="B41">
        <v>1.6345976000000001E-7</v>
      </c>
      <c r="C41">
        <v>1.6345976000000001E-7</v>
      </c>
      <c r="D41">
        <v>1.6345976000000001E-7</v>
      </c>
      <c r="E41">
        <v>1.6345976000000001E-7</v>
      </c>
      <c r="F41">
        <v>1.6345976000000001E-7</v>
      </c>
      <c r="G41">
        <v>1.6345976000000001E-7</v>
      </c>
      <c r="H41">
        <v>1.6345976000000001E-7</v>
      </c>
      <c r="I41">
        <v>1.6345976000000001E-7</v>
      </c>
      <c r="J41">
        <v>1.6345976000000001E-7</v>
      </c>
      <c r="K41">
        <v>1.6345976000000001E-7</v>
      </c>
      <c r="L41">
        <v>1.6345976000000001E-7</v>
      </c>
      <c r="M41">
        <v>1.6345976000000001E-7</v>
      </c>
      <c r="N41">
        <v>1.6345976000000001E-7</v>
      </c>
      <c r="O41">
        <v>1.6345976000000001E-7</v>
      </c>
      <c r="P41">
        <v>1.6345976000000001E-7</v>
      </c>
      <c r="Q41">
        <v>1.6345976000000001E-7</v>
      </c>
      <c r="R41">
        <v>1.6345976000000001E-7</v>
      </c>
      <c r="S41">
        <v>1.6345976000000001E-7</v>
      </c>
      <c r="T41">
        <v>1.6345976000000001E-7</v>
      </c>
      <c r="U41">
        <v>1.6345976000000001E-7</v>
      </c>
      <c r="V41">
        <v>1.6345976000000001E-7</v>
      </c>
      <c r="W41">
        <v>1.6345976000000001E-7</v>
      </c>
      <c r="X41">
        <v>1.6345976000000001E-7</v>
      </c>
      <c r="Y41">
        <v>1.6345976000000001E-7</v>
      </c>
      <c r="Z41">
        <v>1.6345976000000001E-7</v>
      </c>
      <c r="AA41">
        <v>1.6345976000000001E-7</v>
      </c>
      <c r="AB41">
        <v>1.6345976000000001E-7</v>
      </c>
      <c r="AC41">
        <v>1.6345976000000001E-7</v>
      </c>
      <c r="AD41">
        <v>1.6345976000000001E-7</v>
      </c>
      <c r="AE41">
        <v>1.6345976000000001E-7</v>
      </c>
      <c r="AF41">
        <v>1.6345976000000001E-7</v>
      </c>
      <c r="AG41">
        <v>1.6345976000000001E-7</v>
      </c>
      <c r="AH41">
        <v>1.6345976000000001E-7</v>
      </c>
      <c r="AI41">
        <v>1.6345976000000001E-7</v>
      </c>
      <c r="AJ41">
        <v>1.6345976000000001E-7</v>
      </c>
      <c r="AK41">
        <v>1.6345976000000001E-7</v>
      </c>
      <c r="AL41">
        <v>1.6345976000000001E-7</v>
      </c>
      <c r="AM41">
        <v>1.6345976000000001E-7</v>
      </c>
      <c r="AN41">
        <v>1.6345976000000001E-7</v>
      </c>
      <c r="AO41">
        <v>1.6345976000000001E-7</v>
      </c>
      <c r="AP41">
        <v>1.6345976000000001E-7</v>
      </c>
      <c r="AQ41">
        <v>1.6345976000000001E-7</v>
      </c>
      <c r="AR41">
        <v>1.6345976000000001E-7</v>
      </c>
      <c r="AS41">
        <v>1.6345976000000001E-7</v>
      </c>
      <c r="AT41">
        <v>1.6345976000000001E-7</v>
      </c>
      <c r="AU41">
        <v>1.6345976000000001E-7</v>
      </c>
      <c r="AV41">
        <v>1.6345976000000001E-7</v>
      </c>
      <c r="AW41">
        <v>1.6345976000000001E-7</v>
      </c>
      <c r="AX41">
        <v>1.6345976000000001E-7</v>
      </c>
      <c r="AY41">
        <v>1.6345976000000001E-7</v>
      </c>
      <c r="AZ41">
        <v>1.6345976000000001E-7</v>
      </c>
    </row>
    <row r="42" spans="1:52" s="3" customFormat="1" x14ac:dyDescent="0.25">
      <c r="A42" s="5" t="s">
        <v>34</v>
      </c>
    </row>
    <row r="43" spans="1:52" x14ac:dyDescent="0.25">
      <c r="A43" t="s">
        <v>30</v>
      </c>
      <c r="B43">
        <v>2020</v>
      </c>
      <c r="C43">
        <v>2021</v>
      </c>
      <c r="D43">
        <v>2022</v>
      </c>
      <c r="E43">
        <v>2023</v>
      </c>
      <c r="F43">
        <v>2024</v>
      </c>
      <c r="G43">
        <v>2025</v>
      </c>
      <c r="H43">
        <v>2026</v>
      </c>
      <c r="I43">
        <v>2027</v>
      </c>
      <c r="J43">
        <v>2028</v>
      </c>
      <c r="K43">
        <v>2029</v>
      </c>
      <c r="L43">
        <v>2030</v>
      </c>
      <c r="M43">
        <v>2031</v>
      </c>
      <c r="N43">
        <v>2032</v>
      </c>
      <c r="O43">
        <v>2033</v>
      </c>
      <c r="P43">
        <v>2034</v>
      </c>
      <c r="Q43">
        <v>2035</v>
      </c>
      <c r="R43">
        <v>2036</v>
      </c>
      <c r="S43">
        <v>2037</v>
      </c>
      <c r="T43">
        <v>2038</v>
      </c>
      <c r="U43">
        <v>2039</v>
      </c>
      <c r="V43">
        <v>2040</v>
      </c>
      <c r="W43">
        <v>2041</v>
      </c>
      <c r="X43">
        <v>2042</v>
      </c>
      <c r="Y43">
        <v>2043</v>
      </c>
      <c r="Z43">
        <v>2044</v>
      </c>
      <c r="AA43">
        <v>2045</v>
      </c>
      <c r="AB43">
        <v>2046</v>
      </c>
      <c r="AC43">
        <v>2047</v>
      </c>
      <c r="AD43">
        <v>2048</v>
      </c>
      <c r="AE43">
        <v>2049</v>
      </c>
      <c r="AF43">
        <v>2050</v>
      </c>
      <c r="AG43">
        <v>2051</v>
      </c>
      <c r="AH43">
        <v>2052</v>
      </c>
      <c r="AI43">
        <v>2053</v>
      </c>
      <c r="AJ43">
        <v>2054</v>
      </c>
      <c r="AK43">
        <v>2055</v>
      </c>
      <c r="AL43">
        <v>2056</v>
      </c>
      <c r="AM43">
        <v>2057</v>
      </c>
      <c r="AN43">
        <v>2058</v>
      </c>
      <c r="AO43">
        <v>2059</v>
      </c>
      <c r="AP43">
        <v>2060</v>
      </c>
      <c r="AQ43">
        <v>2061</v>
      </c>
      <c r="AR43">
        <v>2062</v>
      </c>
      <c r="AS43">
        <v>2063</v>
      </c>
      <c r="AT43">
        <v>2064</v>
      </c>
      <c r="AU43">
        <v>2065</v>
      </c>
      <c r="AV43">
        <v>2066</v>
      </c>
      <c r="AW43">
        <v>2067</v>
      </c>
      <c r="AX43">
        <v>2068</v>
      </c>
      <c r="AY43">
        <v>2069</v>
      </c>
      <c r="AZ43">
        <v>2070</v>
      </c>
    </row>
    <row r="44" spans="1:52" x14ac:dyDescent="0.25">
      <c r="A44" t="s">
        <v>52</v>
      </c>
      <c r="B44">
        <v>4.5563409507419039E-6</v>
      </c>
      <c r="C44">
        <v>6.0642563605425108E-6</v>
      </c>
      <c r="D44">
        <v>7.1485166247332709E-6</v>
      </c>
      <c r="E44">
        <v>6.5837522267673565E-6</v>
      </c>
      <c r="F44">
        <v>6.357152338180288E-6</v>
      </c>
      <c r="G44">
        <v>6.1305524495932195E-6</v>
      </c>
      <c r="H44">
        <v>5.903952561006151E-6</v>
      </c>
      <c r="I44">
        <v>5.6773526724190826E-6</v>
      </c>
      <c r="J44">
        <v>5.4507527838320141E-6</v>
      </c>
      <c r="K44">
        <v>5.3349515196919689E-6</v>
      </c>
      <c r="L44">
        <v>5.0996284800993411E-6</v>
      </c>
      <c r="M44">
        <v>5.2333373900826686E-6</v>
      </c>
      <c r="N44">
        <v>5.1527625659907267E-6</v>
      </c>
      <c r="O44">
        <v>5.100688486531166E-6</v>
      </c>
      <c r="P44">
        <v>4.9786216359069646E-6</v>
      </c>
      <c r="Q44">
        <v>5.0304205780295962E-6</v>
      </c>
      <c r="R44">
        <v>5.0115049438561225E-6</v>
      </c>
      <c r="S44">
        <v>4.9413945063959608E-6</v>
      </c>
      <c r="T44">
        <v>4.903443311904148E-6</v>
      </c>
      <c r="U44">
        <v>4.8626899669766098E-6</v>
      </c>
      <c r="V44">
        <v>4.8289484293215302E-6</v>
      </c>
      <c r="W44">
        <v>4.7872424055299115E-6</v>
      </c>
      <c r="X44">
        <v>4.7680182419544261E-6</v>
      </c>
      <c r="Y44">
        <v>4.7573100200044847E-6</v>
      </c>
      <c r="Z44">
        <v>4.7295497891295455E-6</v>
      </c>
      <c r="AA44">
        <v>4.6620403861621113E-6</v>
      </c>
      <c r="AB44">
        <v>4.6466780288555696E-6</v>
      </c>
      <c r="AC44">
        <v>4.6049112884282218E-6</v>
      </c>
      <c r="AD44">
        <v>4.5396237803346076E-6</v>
      </c>
      <c r="AE44">
        <v>4.474209746293313E-6</v>
      </c>
      <c r="AF44">
        <v>4.4050058038634655E-6</v>
      </c>
      <c r="AG44">
        <f>_xlfn.FORECAST.ETS(AG43,$B$44:$AF$44,$B$43:$AF$43)</f>
        <v>4.3611195356628819E-6</v>
      </c>
      <c r="AH44">
        <f t="shared" ref="AH44:AZ44" si="12">_xlfn.FORECAST.ETS(AH43,$B$44:$AF$44,$B$43:$AF$43)</f>
        <v>4.3171770733482823E-6</v>
      </c>
      <c r="AI44">
        <f t="shared" si="12"/>
        <v>4.2732346110336826E-6</v>
      </c>
      <c r="AJ44">
        <f t="shared" si="12"/>
        <v>4.2292921487190837E-6</v>
      </c>
      <c r="AK44">
        <f t="shared" si="12"/>
        <v>4.1853496864044841E-6</v>
      </c>
      <c r="AL44">
        <f t="shared" si="12"/>
        <v>4.1414072240898844E-6</v>
      </c>
      <c r="AM44">
        <f t="shared" si="12"/>
        <v>4.0974647617752847E-6</v>
      </c>
      <c r="AN44">
        <f t="shared" si="12"/>
        <v>4.053522299460685E-6</v>
      </c>
      <c r="AO44">
        <f t="shared" si="12"/>
        <v>4.0095798371460854E-6</v>
      </c>
      <c r="AP44">
        <f t="shared" si="12"/>
        <v>3.9656373748314857E-6</v>
      </c>
      <c r="AQ44">
        <f t="shared" si="12"/>
        <v>3.9216949125168869E-6</v>
      </c>
      <c r="AR44">
        <f t="shared" si="12"/>
        <v>3.8777524502022872E-6</v>
      </c>
      <c r="AS44">
        <f t="shared" si="12"/>
        <v>3.8338099878876875E-6</v>
      </c>
      <c r="AT44">
        <f t="shared" si="12"/>
        <v>3.7898675255730878E-6</v>
      </c>
      <c r="AU44">
        <f t="shared" si="12"/>
        <v>3.7459250632584882E-6</v>
      </c>
      <c r="AV44">
        <f t="shared" si="12"/>
        <v>3.7019826009438889E-6</v>
      </c>
      <c r="AW44">
        <f t="shared" si="12"/>
        <v>3.6580401386292892E-6</v>
      </c>
      <c r="AX44">
        <f t="shared" si="12"/>
        <v>3.6140976763146896E-6</v>
      </c>
      <c r="AY44">
        <f t="shared" si="12"/>
        <v>3.5701552140000903E-6</v>
      </c>
      <c r="AZ44">
        <f t="shared" si="12"/>
        <v>3.5262127516854906E-6</v>
      </c>
    </row>
    <row r="45" spans="1:52" x14ac:dyDescent="0.25">
      <c r="A45" t="s">
        <v>53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 x14ac:dyDescent="0.25">
      <c r="A46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 x14ac:dyDescent="0.25">
      <c r="A47" t="s">
        <v>55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 x14ac:dyDescent="0.25">
      <c r="A48" t="s">
        <v>56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 x14ac:dyDescent="0.25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5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5">
      <c r="A51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 s="3" customFormat="1" x14ac:dyDescent="0.25">
      <c r="A52" s="5" t="s">
        <v>35</v>
      </c>
    </row>
    <row r="53" spans="1:52" x14ac:dyDescent="0.25">
      <c r="A53" t="s">
        <v>30</v>
      </c>
      <c r="B53">
        <v>2020</v>
      </c>
      <c r="C53">
        <v>2021</v>
      </c>
      <c r="D53">
        <v>2022</v>
      </c>
      <c r="E53">
        <v>2023</v>
      </c>
      <c r="F53">
        <v>2024</v>
      </c>
      <c r="G53">
        <v>2025</v>
      </c>
      <c r="H53">
        <v>2026</v>
      </c>
      <c r="I53">
        <v>2027</v>
      </c>
      <c r="J53">
        <v>2028</v>
      </c>
      <c r="K53">
        <v>2029</v>
      </c>
      <c r="L53">
        <v>2030</v>
      </c>
      <c r="M53">
        <v>2031</v>
      </c>
      <c r="N53">
        <v>2032</v>
      </c>
      <c r="O53">
        <v>2033</v>
      </c>
      <c r="P53">
        <v>2034</v>
      </c>
      <c r="Q53">
        <v>2035</v>
      </c>
      <c r="R53">
        <v>2036</v>
      </c>
      <c r="S53">
        <v>2037</v>
      </c>
      <c r="T53">
        <v>2038</v>
      </c>
      <c r="U53">
        <v>2039</v>
      </c>
      <c r="V53">
        <v>2040</v>
      </c>
      <c r="W53">
        <v>2041</v>
      </c>
      <c r="X53">
        <v>2042</v>
      </c>
      <c r="Y53">
        <v>2043</v>
      </c>
      <c r="Z53">
        <v>2044</v>
      </c>
      <c r="AA53">
        <v>2045</v>
      </c>
      <c r="AB53">
        <v>2046</v>
      </c>
      <c r="AC53">
        <v>2047</v>
      </c>
      <c r="AD53">
        <v>2048</v>
      </c>
      <c r="AE53">
        <v>2049</v>
      </c>
      <c r="AF53">
        <v>2050</v>
      </c>
      <c r="AG53">
        <v>2051</v>
      </c>
      <c r="AH53">
        <v>2052</v>
      </c>
      <c r="AI53">
        <v>2053</v>
      </c>
      <c r="AJ53">
        <v>2054</v>
      </c>
      <c r="AK53">
        <v>2055</v>
      </c>
      <c r="AL53">
        <v>2056</v>
      </c>
      <c r="AM53">
        <v>2057</v>
      </c>
      <c r="AN53">
        <v>2058</v>
      </c>
      <c r="AO53">
        <v>2059</v>
      </c>
      <c r="AP53">
        <v>2060</v>
      </c>
      <c r="AQ53">
        <v>2061</v>
      </c>
      <c r="AR53">
        <v>2062</v>
      </c>
      <c r="AS53">
        <v>2063</v>
      </c>
      <c r="AT53">
        <v>2064</v>
      </c>
      <c r="AU53">
        <v>2065</v>
      </c>
      <c r="AV53">
        <v>2066</v>
      </c>
      <c r="AW53">
        <v>2067</v>
      </c>
      <c r="AX53">
        <v>2068</v>
      </c>
      <c r="AY53">
        <v>2069</v>
      </c>
      <c r="AZ53">
        <v>2070</v>
      </c>
    </row>
    <row r="54" spans="1:52" x14ac:dyDescent="0.25">
      <c r="A54" t="s">
        <v>52</v>
      </c>
      <c r="B54">
        <v>3.6907851197326333E-6</v>
      </c>
      <c r="C54">
        <v>4.6243688295314764E-6</v>
      </c>
      <c r="D54">
        <v>6.3001037090297612E-6</v>
      </c>
      <c r="E54">
        <v>5.3081953722256521E-6</v>
      </c>
      <c r="F54">
        <v>5.1569020037920998E-6</v>
      </c>
      <c r="G54">
        <v>5.0056086353585474E-6</v>
      </c>
      <c r="H54">
        <v>4.8543152669249951E-6</v>
      </c>
      <c r="I54">
        <v>4.7030218984914427E-6</v>
      </c>
      <c r="J54">
        <v>4.5517285300578895E-6</v>
      </c>
      <c r="K54">
        <v>4.4636379419693303E-6</v>
      </c>
      <c r="L54">
        <v>4.2320152120620418E-6</v>
      </c>
      <c r="M54">
        <v>4.2555723017757388E-6</v>
      </c>
      <c r="N54">
        <v>4.1630549111374231E-6</v>
      </c>
      <c r="O54">
        <v>4.1060448434819265E-6</v>
      </c>
      <c r="P54">
        <v>4.0478053979321161E-6</v>
      </c>
      <c r="Q54">
        <v>4.0800829354993866E-6</v>
      </c>
      <c r="R54">
        <v>4.0914405037751651E-6</v>
      </c>
      <c r="S54">
        <v>4.0489954207058779E-6</v>
      </c>
      <c r="T54">
        <v>3.9992741350218601E-6</v>
      </c>
      <c r="U54">
        <v>4.0109734660998342E-6</v>
      </c>
      <c r="V54">
        <v>3.941867506306011E-6</v>
      </c>
      <c r="W54">
        <v>3.904031256372366E-6</v>
      </c>
      <c r="X54">
        <v>3.860574109590758E-6</v>
      </c>
      <c r="Y54">
        <v>3.8470517649649754E-6</v>
      </c>
      <c r="Z54">
        <v>3.8275102507915344E-6</v>
      </c>
      <c r="AA54">
        <v>3.771625385443676E-6</v>
      </c>
      <c r="AB54">
        <v>3.7406731202703826E-6</v>
      </c>
      <c r="AC54">
        <v>3.6985155488749464E-6</v>
      </c>
      <c r="AD54">
        <v>3.6474328716793178E-6</v>
      </c>
      <c r="AE54">
        <v>3.588502456607789E-6</v>
      </c>
      <c r="AF54">
        <v>3.5258604481792196E-6</v>
      </c>
      <c r="AG54">
        <f>_xlfn.FORECAST.ETS(AG53,$B$54:$AF$54,$B$53:$AF$53)</f>
        <v>3.4779598787564186E-6</v>
      </c>
      <c r="AH54">
        <f t="shared" ref="AH54:AZ54" si="13">_xlfn.FORECAST.ETS(AH53,$B$54:$AF$54,$B$53:$AF$53)</f>
        <v>3.4286295857509254E-6</v>
      </c>
      <c r="AI54">
        <f t="shared" si="13"/>
        <v>3.3792992927454317E-6</v>
      </c>
      <c r="AJ54">
        <f t="shared" si="13"/>
        <v>3.3299689997399385E-6</v>
      </c>
      <c r="AK54">
        <f t="shared" si="13"/>
        <v>3.2806387067344453E-6</v>
      </c>
      <c r="AL54">
        <f t="shared" si="13"/>
        <v>3.2313084137289521E-6</v>
      </c>
      <c r="AM54">
        <f t="shared" si="13"/>
        <v>3.1819781207234585E-6</v>
      </c>
      <c r="AN54">
        <f t="shared" si="13"/>
        <v>3.1326478277179653E-6</v>
      </c>
      <c r="AO54">
        <f t="shared" si="13"/>
        <v>3.0833175347124721E-6</v>
      </c>
      <c r="AP54">
        <f t="shared" si="13"/>
        <v>3.0339872417069789E-6</v>
      </c>
      <c r="AQ54">
        <f t="shared" si="13"/>
        <v>2.9846569487014853E-6</v>
      </c>
      <c r="AR54">
        <f t="shared" si="13"/>
        <v>2.935326655695992E-6</v>
      </c>
      <c r="AS54">
        <f t="shared" si="13"/>
        <v>2.8859963626904988E-6</v>
      </c>
      <c r="AT54">
        <f t="shared" si="13"/>
        <v>2.8366660696850056E-6</v>
      </c>
      <c r="AU54">
        <f t="shared" si="13"/>
        <v>2.7873357766795124E-6</v>
      </c>
      <c r="AV54">
        <f t="shared" si="13"/>
        <v>2.7380054836740188E-6</v>
      </c>
      <c r="AW54">
        <f t="shared" si="13"/>
        <v>2.6886751906685256E-6</v>
      </c>
      <c r="AX54">
        <f t="shared" si="13"/>
        <v>2.6393448976630324E-6</v>
      </c>
      <c r="AY54">
        <f t="shared" si="13"/>
        <v>2.5900146046575388E-6</v>
      </c>
      <c r="AZ54">
        <f t="shared" si="13"/>
        <v>2.5406843116520456E-6</v>
      </c>
    </row>
    <row r="55" spans="1:52" x14ac:dyDescent="0.25">
      <c r="A55" t="s">
        <v>53</v>
      </c>
      <c r="B55">
        <v>3.5659864454646011E-6</v>
      </c>
      <c r="C55">
        <v>4.2347655463870261E-6</v>
      </c>
      <c r="D55">
        <v>6.0854028215799374E-6</v>
      </c>
      <c r="E55">
        <v>4.9206971940204143E-6</v>
      </c>
      <c r="F55">
        <v>4.7015424759917424E-6</v>
      </c>
      <c r="G55">
        <v>4.4823877579630705E-6</v>
      </c>
      <c r="H55">
        <v>4.2632330399343987E-6</v>
      </c>
      <c r="I55">
        <v>4.0440783219057268E-6</v>
      </c>
      <c r="J55">
        <v>3.8249236038770558E-6</v>
      </c>
      <c r="K55">
        <v>3.7564725634391769E-6</v>
      </c>
      <c r="L55">
        <v>3.569133153904824E-6</v>
      </c>
      <c r="M55">
        <v>3.5298898312324766E-6</v>
      </c>
      <c r="N55">
        <v>3.4621347865991742E-6</v>
      </c>
      <c r="O55">
        <v>3.4028364636474128E-6</v>
      </c>
      <c r="P55">
        <v>3.3698166947049793E-6</v>
      </c>
      <c r="Q55">
        <v>3.3993250011338445E-6</v>
      </c>
      <c r="R55">
        <v>3.4145661678033003E-6</v>
      </c>
      <c r="S55">
        <v>3.3857600927810854E-6</v>
      </c>
      <c r="T55">
        <v>3.3422316301758658E-6</v>
      </c>
      <c r="U55">
        <v>3.3510280564306674E-6</v>
      </c>
      <c r="V55">
        <v>3.3005578263967273E-6</v>
      </c>
      <c r="W55">
        <v>3.2679456047572478E-6</v>
      </c>
      <c r="X55">
        <v>3.235557379156796E-6</v>
      </c>
      <c r="Y55">
        <v>3.2263342534996757E-6</v>
      </c>
      <c r="Z55">
        <v>3.2144318542700729E-6</v>
      </c>
      <c r="AA55">
        <v>3.1699121312156148E-6</v>
      </c>
      <c r="AB55">
        <v>3.1566686378888864E-6</v>
      </c>
      <c r="AC55">
        <v>3.1234867394909053E-6</v>
      </c>
      <c r="AD55">
        <v>3.0789438137400487E-6</v>
      </c>
      <c r="AE55">
        <v>3.0307770967030697E-6</v>
      </c>
      <c r="AF55">
        <v>2.9773727333144726E-6</v>
      </c>
      <c r="AG55">
        <f>_xlfn.FORECAST.ETS(AG53,$B$55:$AF$55,$B$53:$AF$53)</f>
        <v>2.9210220961729673E-6</v>
      </c>
      <c r="AH55">
        <f t="shared" ref="AH55:AY55" si="14">_xlfn.FORECAST.ETS(AH53,$B$55:$AF$55,$B$53:$AF$53)</f>
        <v>2.8650238566060294E-6</v>
      </c>
      <c r="AI55">
        <f t="shared" si="14"/>
        <v>2.8090256170390916E-6</v>
      </c>
      <c r="AJ55">
        <f t="shared" si="14"/>
        <v>2.7530273774721538E-6</v>
      </c>
      <c r="AK55">
        <f t="shared" si="14"/>
        <v>2.697029137905216E-6</v>
      </c>
      <c r="AL55">
        <f t="shared" si="14"/>
        <v>2.6410308983382777E-6</v>
      </c>
      <c r="AM55">
        <f t="shared" si="14"/>
        <v>2.5850326587713399E-6</v>
      </c>
      <c r="AN55">
        <f>_xlfn.FORECAST.ETS(AN53,$B$55:$AF$55,$B$53:$AF$53)</f>
        <v>2.529034419204402E-6</v>
      </c>
      <c r="AO55">
        <f t="shared" si="14"/>
        <v>2.4730361796374642E-6</v>
      </c>
      <c r="AP55">
        <f t="shared" si="14"/>
        <v>2.4170379400705264E-6</v>
      </c>
      <c r="AQ55">
        <f t="shared" si="14"/>
        <v>2.3610397005035886E-6</v>
      </c>
      <c r="AR55">
        <f t="shared" si="14"/>
        <v>2.3050414609366507E-6</v>
      </c>
      <c r="AS55">
        <f t="shared" si="14"/>
        <v>2.2490432213697129E-6</v>
      </c>
      <c r="AT55">
        <f t="shared" si="14"/>
        <v>2.1930449818027751E-6</v>
      </c>
      <c r="AU55">
        <f t="shared" si="14"/>
        <v>2.1370467422358372E-6</v>
      </c>
      <c r="AV55">
        <f t="shared" si="14"/>
        <v>2.0810485026688994E-6</v>
      </c>
      <c r="AW55">
        <f t="shared" si="14"/>
        <v>2.0250502631019616E-6</v>
      </c>
      <c r="AX55">
        <f t="shared" si="14"/>
        <v>1.9690520235350238E-6</v>
      </c>
      <c r="AY55">
        <f t="shared" si="14"/>
        <v>1.9130537839680859E-6</v>
      </c>
      <c r="AZ55">
        <f>_xlfn.FORECAST.ETS(AZ53,$B$55:$AF$55,$B$53:$AF$53)</f>
        <v>1.8570555444011481E-6</v>
      </c>
    </row>
    <row r="56" spans="1:52" x14ac:dyDescent="0.25">
      <c r="A56" t="s">
        <v>54</v>
      </c>
      <c r="B56">
        <v>3.5738209840460912E-6</v>
      </c>
      <c r="C56">
        <v>4.2338926370173088E-6</v>
      </c>
      <c r="D56">
        <v>6.0863116452368815E-6</v>
      </c>
      <c r="E56">
        <v>5.2385633700961721E-6</v>
      </c>
      <c r="F56">
        <v>5.1827974113515871E-6</v>
      </c>
      <c r="G56">
        <v>5.127031452607002E-6</v>
      </c>
      <c r="H56">
        <v>5.0712654938624169E-6</v>
      </c>
      <c r="I56">
        <v>5.0154995351178318E-6</v>
      </c>
      <c r="J56">
        <v>4.9597335763732467E-6</v>
      </c>
      <c r="K56">
        <v>4.8588558595915859E-6</v>
      </c>
      <c r="L56">
        <v>4.6074212345995865E-6</v>
      </c>
      <c r="M56">
        <v>4.5623717330730451E-6</v>
      </c>
      <c r="N56">
        <v>4.4632668593382934E-6</v>
      </c>
      <c r="O56">
        <v>4.3887673287760587E-6</v>
      </c>
      <c r="P56">
        <v>4.3276433643358545E-6</v>
      </c>
      <c r="Q56">
        <v>4.3575723822979544E-6</v>
      </c>
      <c r="R56">
        <v>4.3655289927944425E-6</v>
      </c>
      <c r="S56">
        <v>4.3206569427738E-6</v>
      </c>
      <c r="T56">
        <v>4.2650303947058323E-6</v>
      </c>
      <c r="U56">
        <v>4.2732914818359031E-6</v>
      </c>
      <c r="V56">
        <v>4.2007596576952778E-6</v>
      </c>
      <c r="W56">
        <v>4.1565006434240279E-6</v>
      </c>
      <c r="X56">
        <v>4.1101817702186503E-6</v>
      </c>
      <c r="Y56">
        <v>4.0879806276566985E-6</v>
      </c>
      <c r="Z56">
        <v>4.0603421150525231E-6</v>
      </c>
      <c r="AA56">
        <v>3.9995052901103734E-6</v>
      </c>
      <c r="AB56">
        <v>3.9685757958028356E-6</v>
      </c>
      <c r="AC56">
        <v>3.9189424562586861E-6</v>
      </c>
      <c r="AD56">
        <v>3.8613655340833994E-6</v>
      </c>
      <c r="AE56">
        <v>3.7999868268008793E-6</v>
      </c>
      <c r="AF56">
        <v>3.7352656643107201E-6</v>
      </c>
      <c r="AG56">
        <f>_xlfn.FORECAST.ETS(AG53,$B$56:$AF$56,$B$53:$AF$53)</f>
        <v>3.6976891918473295E-6</v>
      </c>
      <c r="AH56">
        <f t="shared" ref="AH56:AZ56" si="15">_xlfn.FORECAST.ETS(AH53,$B$56:$AF$56,$B$53:$AF$53)</f>
        <v>3.6574335032744594E-6</v>
      </c>
      <c r="AI56">
        <f t="shared" si="15"/>
        <v>3.6171778147015898E-6</v>
      </c>
      <c r="AJ56">
        <f t="shared" si="15"/>
        <v>3.5769221261287202E-6</v>
      </c>
      <c r="AK56">
        <f t="shared" si="15"/>
        <v>3.5366664375558502E-6</v>
      </c>
      <c r="AL56">
        <f t="shared" si="15"/>
        <v>3.4964107489829806E-6</v>
      </c>
      <c r="AM56">
        <f t="shared" si="15"/>
        <v>3.456155060410111E-6</v>
      </c>
      <c r="AN56">
        <f t="shared" si="15"/>
        <v>3.415899371837241E-6</v>
      </c>
      <c r="AO56">
        <f t="shared" si="15"/>
        <v>3.3756436832643714E-6</v>
      </c>
      <c r="AP56">
        <f t="shared" si="15"/>
        <v>3.3353879946915013E-6</v>
      </c>
      <c r="AQ56">
        <f t="shared" si="15"/>
        <v>3.2951323061186317E-6</v>
      </c>
      <c r="AR56">
        <f t="shared" si="15"/>
        <v>3.2548766175457621E-6</v>
      </c>
      <c r="AS56">
        <f t="shared" si="15"/>
        <v>3.2146209289728921E-6</v>
      </c>
      <c r="AT56">
        <f t="shared" si="15"/>
        <v>3.1743652404000225E-6</v>
      </c>
      <c r="AU56">
        <f t="shared" si="15"/>
        <v>3.1341095518271529E-6</v>
      </c>
      <c r="AV56">
        <f t="shared" si="15"/>
        <v>3.0938538632542829E-6</v>
      </c>
      <c r="AW56">
        <f t="shared" si="15"/>
        <v>3.0535981746814133E-6</v>
      </c>
      <c r="AX56">
        <f t="shared" si="15"/>
        <v>3.0133424861085436E-6</v>
      </c>
      <c r="AY56">
        <f t="shared" si="15"/>
        <v>2.9730867975356736E-6</v>
      </c>
      <c r="AZ56">
        <f t="shared" si="15"/>
        <v>2.932831108962804E-6</v>
      </c>
    </row>
    <row r="57" spans="1:52" x14ac:dyDescent="0.25">
      <c r="A57" t="s">
        <v>55</v>
      </c>
      <c r="B57">
        <v>3.5892641346055873E-6</v>
      </c>
      <c r="C57">
        <v>4.2491515842502716E-6</v>
      </c>
      <c r="D57">
        <v>6.1092341667799915E-6</v>
      </c>
      <c r="E57">
        <v>4.97933069464232E-6</v>
      </c>
      <c r="F57">
        <v>4.7644270707093535E-6</v>
      </c>
      <c r="G57">
        <v>4.549523446776387E-6</v>
      </c>
      <c r="H57">
        <v>4.3346198228434204E-6</v>
      </c>
      <c r="I57">
        <v>4.1197161989104539E-6</v>
      </c>
      <c r="J57">
        <v>3.9048125749774874E-6</v>
      </c>
      <c r="K57">
        <v>3.8293243115526429E-6</v>
      </c>
      <c r="L57">
        <v>3.6302880405852617E-6</v>
      </c>
      <c r="M57">
        <v>3.661592365638022E-6</v>
      </c>
      <c r="N57">
        <v>3.5865918796411472E-6</v>
      </c>
      <c r="O57">
        <v>3.5375454327278508E-6</v>
      </c>
      <c r="P57">
        <v>3.4906161609902072E-6</v>
      </c>
      <c r="Q57">
        <v>3.5197402950509449E-6</v>
      </c>
      <c r="R57">
        <v>3.532195134845904E-6</v>
      </c>
      <c r="S57">
        <v>3.5031240876421842E-6</v>
      </c>
      <c r="T57">
        <v>3.4626086992980201E-6</v>
      </c>
      <c r="U57">
        <v>3.4714266249736584E-6</v>
      </c>
      <c r="V57">
        <v>3.4164750908066916E-6</v>
      </c>
      <c r="W57">
        <v>3.3843880595919661E-6</v>
      </c>
      <c r="X57">
        <v>3.347584921569366E-6</v>
      </c>
      <c r="Y57">
        <v>3.3388035570542611E-6</v>
      </c>
      <c r="Z57">
        <v>3.3259803464069782E-6</v>
      </c>
      <c r="AA57">
        <v>3.2799733367713884E-6</v>
      </c>
      <c r="AB57">
        <v>3.2577770798740257E-6</v>
      </c>
      <c r="AC57">
        <v>3.2201013809900835E-6</v>
      </c>
      <c r="AD57">
        <v>3.1734873457975204E-6</v>
      </c>
      <c r="AE57">
        <v>3.1218399892022605E-6</v>
      </c>
      <c r="AF57">
        <v>3.064648523432297E-6</v>
      </c>
      <c r="AG57">
        <f>_xlfn.FORECAST.ETS(AG53,$B$57:$AF$57,$B$53:$AF$53)</f>
        <v>3.0112095426165127E-6</v>
      </c>
      <c r="AH57">
        <f t="shared" ref="AH57:AZ57" si="16">_xlfn.FORECAST.ETS(AH53,$B$57:$AF$57,$B$53:$AF$53)</f>
        <v>2.9574565433628749E-6</v>
      </c>
      <c r="AI57">
        <f t="shared" si="16"/>
        <v>2.9037035441092376E-6</v>
      </c>
      <c r="AJ57">
        <f t="shared" si="16"/>
        <v>2.8499505448555998E-6</v>
      </c>
      <c r="AK57">
        <f t="shared" si="16"/>
        <v>2.7961975456019621E-6</v>
      </c>
      <c r="AL57">
        <f t="shared" si="16"/>
        <v>2.7424445463483243E-6</v>
      </c>
      <c r="AM57">
        <f t="shared" si="16"/>
        <v>2.6886915470946866E-6</v>
      </c>
      <c r="AN57">
        <f t="shared" si="16"/>
        <v>2.6349385478410492E-6</v>
      </c>
      <c r="AO57">
        <f t="shared" si="16"/>
        <v>2.5811855485874115E-6</v>
      </c>
      <c r="AP57">
        <f t="shared" si="16"/>
        <v>2.5274325493337737E-6</v>
      </c>
      <c r="AQ57">
        <f t="shared" si="16"/>
        <v>2.4736795500801359E-6</v>
      </c>
      <c r="AR57">
        <f t="shared" si="16"/>
        <v>2.4199265508264986E-6</v>
      </c>
      <c r="AS57">
        <f t="shared" si="16"/>
        <v>2.3661735515728609E-6</v>
      </c>
      <c r="AT57">
        <f t="shared" si="16"/>
        <v>2.3124205523192231E-6</v>
      </c>
      <c r="AU57">
        <f t="shared" si="16"/>
        <v>2.2586675530655853E-6</v>
      </c>
      <c r="AV57">
        <f t="shared" si="16"/>
        <v>2.2049145538119476E-6</v>
      </c>
      <c r="AW57">
        <f t="shared" si="16"/>
        <v>2.1511615545583098E-6</v>
      </c>
      <c r="AX57">
        <f t="shared" si="16"/>
        <v>2.0974085553046721E-6</v>
      </c>
      <c r="AY57">
        <f t="shared" si="16"/>
        <v>2.0436555560510347E-6</v>
      </c>
      <c r="AZ57">
        <f t="shared" si="16"/>
        <v>1.989902556797397E-6</v>
      </c>
    </row>
    <row r="58" spans="1:52" x14ac:dyDescent="0.25">
      <c r="A58" t="s">
        <v>56</v>
      </c>
      <c r="B58">
        <v>3.5743217678810906E-6</v>
      </c>
      <c r="C58">
        <v>4.2353640626639819E-6</v>
      </c>
      <c r="D58">
        <v>6.0881624411339989E-6</v>
      </c>
      <c r="E58">
        <v>4.9804835551430145E-6</v>
      </c>
      <c r="F58">
        <v>4.7623884767565889E-6</v>
      </c>
      <c r="G58">
        <v>4.5442933983701634E-6</v>
      </c>
      <c r="H58">
        <v>4.3261983199837378E-6</v>
      </c>
      <c r="I58">
        <v>4.1081032415973123E-6</v>
      </c>
      <c r="J58">
        <v>3.890008163210885E-6</v>
      </c>
      <c r="K58">
        <v>3.8167469768238814E-6</v>
      </c>
      <c r="L58">
        <v>3.6192266621529271E-6</v>
      </c>
      <c r="M58">
        <v>3.5964085408906937E-6</v>
      </c>
      <c r="N58">
        <v>3.5230430877305055E-6</v>
      </c>
      <c r="O58">
        <v>3.4701749761361602E-6</v>
      </c>
      <c r="P58">
        <v>3.4238744406553689E-6</v>
      </c>
      <c r="Q58">
        <v>3.454386332095164E-6</v>
      </c>
      <c r="R58">
        <v>3.4686440027955646E-6</v>
      </c>
      <c r="S58">
        <v>3.4418017313976424E-6</v>
      </c>
      <c r="T58">
        <v>3.4033031892197446E-6</v>
      </c>
      <c r="U58">
        <v>3.4132783234405493E-6</v>
      </c>
      <c r="V58">
        <v>3.3591797677850974E-6</v>
      </c>
      <c r="W58">
        <v>3.3294827928397644E-6</v>
      </c>
      <c r="X58">
        <v>3.2940908656710662E-6</v>
      </c>
      <c r="Y58">
        <v>3.2885708708670464E-6</v>
      </c>
      <c r="Z58">
        <v>3.2780536301121151E-6</v>
      </c>
      <c r="AA58">
        <v>3.2336205470372829E-6</v>
      </c>
      <c r="AB58">
        <v>3.2116003580318617E-6</v>
      </c>
      <c r="AC58">
        <v>3.1760680032752019E-6</v>
      </c>
      <c r="AD58">
        <v>3.1318098331604062E-6</v>
      </c>
      <c r="AE58">
        <v>3.080854963112133E-6</v>
      </c>
      <c r="AF58">
        <v>3.0243417857901537E-6</v>
      </c>
      <c r="AG58">
        <f>_xlfn.FORECAST.ETS(AG53,$B$58:$AF$58,$B$53:$AF$53)</f>
        <v>2.9691338272076383E-6</v>
      </c>
      <c r="AH58">
        <f t="shared" ref="AH58:AZ58" si="17">_xlfn.FORECAST.ETS(AH53,$B$58:$AF$58,$B$53:$AF$53)</f>
        <v>2.9138586206561837E-6</v>
      </c>
      <c r="AI58">
        <f t="shared" si="17"/>
        <v>2.8585834141047295E-6</v>
      </c>
      <c r="AJ58">
        <f t="shared" si="17"/>
        <v>2.8033082075532749E-6</v>
      </c>
      <c r="AK58">
        <f t="shared" si="17"/>
        <v>2.7480330010018202E-6</v>
      </c>
      <c r="AL58">
        <f t="shared" si="17"/>
        <v>2.6927577944503656E-6</v>
      </c>
      <c r="AM58">
        <f t="shared" si="17"/>
        <v>2.6374825878989114E-6</v>
      </c>
      <c r="AN58">
        <f t="shared" si="17"/>
        <v>2.5822073813474567E-6</v>
      </c>
      <c r="AO58">
        <f t="shared" si="17"/>
        <v>2.5269321747960021E-6</v>
      </c>
      <c r="AP58">
        <f t="shared" si="17"/>
        <v>2.4716569682445475E-6</v>
      </c>
      <c r="AQ58">
        <f t="shared" si="17"/>
        <v>2.4163817616930928E-6</v>
      </c>
      <c r="AR58">
        <f t="shared" si="17"/>
        <v>2.3611065551416386E-6</v>
      </c>
      <c r="AS58">
        <f t="shared" si="17"/>
        <v>2.305831348590184E-6</v>
      </c>
      <c r="AT58">
        <f t="shared" si="17"/>
        <v>2.2505561420387293E-6</v>
      </c>
      <c r="AU58">
        <f t="shared" si="17"/>
        <v>2.1952809354872751E-6</v>
      </c>
      <c r="AV58">
        <f t="shared" si="17"/>
        <v>2.1400057289358205E-6</v>
      </c>
      <c r="AW58">
        <f t="shared" si="17"/>
        <v>2.0847305223843659E-6</v>
      </c>
      <c r="AX58">
        <f t="shared" si="17"/>
        <v>2.0294553158329112E-6</v>
      </c>
      <c r="AY58">
        <f t="shared" si="17"/>
        <v>1.9741801092814566E-6</v>
      </c>
      <c r="AZ58">
        <f t="shared" si="17"/>
        <v>1.9189049027300024E-6</v>
      </c>
    </row>
    <row r="59" spans="1:52" x14ac:dyDescent="0.25">
      <c r="A59" t="s">
        <v>57</v>
      </c>
      <c r="B59">
        <v>3.5659864454646011E-6</v>
      </c>
      <c r="C59">
        <v>4.2347655463870261E-6</v>
      </c>
      <c r="D59">
        <v>6.0854028215799374E-6</v>
      </c>
      <c r="E59">
        <v>4.9206971940204143E-6</v>
      </c>
      <c r="F59">
        <v>4.7015424759917424E-6</v>
      </c>
      <c r="G59">
        <v>4.4823877579630705E-6</v>
      </c>
      <c r="H59">
        <v>4.2632330399343987E-6</v>
      </c>
      <c r="I59">
        <v>4.0440783219057268E-6</v>
      </c>
      <c r="J59">
        <v>3.8249236038770558E-6</v>
      </c>
      <c r="K59">
        <v>3.7564725634391769E-6</v>
      </c>
      <c r="L59">
        <v>3.569133153904824E-6</v>
      </c>
      <c r="M59">
        <v>3.5298898312324766E-6</v>
      </c>
      <c r="N59">
        <v>3.4621347865991742E-6</v>
      </c>
      <c r="O59">
        <v>3.4028364636474128E-6</v>
      </c>
      <c r="P59">
        <v>3.3698166947049793E-6</v>
      </c>
      <c r="Q59">
        <v>3.3993250011338445E-6</v>
      </c>
      <c r="R59">
        <v>3.4145661678033003E-6</v>
      </c>
      <c r="S59">
        <v>3.3857600927810854E-6</v>
      </c>
      <c r="T59">
        <v>3.3422316301758658E-6</v>
      </c>
      <c r="U59">
        <v>3.3510280564306674E-6</v>
      </c>
      <c r="V59">
        <v>3.3005578263967273E-6</v>
      </c>
      <c r="W59">
        <v>3.2679456047572478E-6</v>
      </c>
      <c r="X59">
        <v>3.235557379156796E-6</v>
      </c>
      <c r="Y59">
        <v>3.2263342534996757E-6</v>
      </c>
      <c r="Z59">
        <v>3.2144318542700729E-6</v>
      </c>
      <c r="AA59">
        <v>3.1699121312156148E-6</v>
      </c>
      <c r="AB59">
        <v>3.1566686378888864E-6</v>
      </c>
      <c r="AC59">
        <v>3.1234867394909053E-6</v>
      </c>
      <c r="AD59">
        <v>3.0789438137400487E-6</v>
      </c>
      <c r="AE59">
        <v>3.0307770967030697E-6</v>
      </c>
      <c r="AF59">
        <v>2.9773727333144726E-6</v>
      </c>
      <c r="AG59">
        <f>_xlfn.FORECAST.ETS(AG53,$B$59:$AF$59,$B$53:$AF$53)</f>
        <v>2.9210220961729673E-6</v>
      </c>
      <c r="AH59">
        <f t="shared" ref="AH59:AZ59" si="18">_xlfn.FORECAST.ETS(AH53,$B$59:$AF$59,$B$53:$AF$53)</f>
        <v>2.8650238566060294E-6</v>
      </c>
      <c r="AI59">
        <f t="shared" si="18"/>
        <v>2.8090256170390916E-6</v>
      </c>
      <c r="AJ59">
        <f t="shared" si="18"/>
        <v>2.7530273774721538E-6</v>
      </c>
      <c r="AK59">
        <f t="shared" si="18"/>
        <v>2.697029137905216E-6</v>
      </c>
      <c r="AL59">
        <f t="shared" si="18"/>
        <v>2.6410308983382777E-6</v>
      </c>
      <c r="AM59">
        <f t="shared" si="18"/>
        <v>2.5850326587713399E-6</v>
      </c>
      <c r="AN59">
        <f t="shared" si="18"/>
        <v>2.529034419204402E-6</v>
      </c>
      <c r="AO59">
        <f t="shared" si="18"/>
        <v>2.4730361796374642E-6</v>
      </c>
      <c r="AP59">
        <f t="shared" si="18"/>
        <v>2.4170379400705264E-6</v>
      </c>
      <c r="AQ59">
        <f t="shared" si="18"/>
        <v>2.3610397005035886E-6</v>
      </c>
      <c r="AR59">
        <f t="shared" si="18"/>
        <v>2.3050414609366507E-6</v>
      </c>
      <c r="AS59">
        <f t="shared" si="18"/>
        <v>2.2490432213697129E-6</v>
      </c>
      <c r="AT59">
        <f t="shared" si="18"/>
        <v>2.1930449818027751E-6</v>
      </c>
      <c r="AU59">
        <f t="shared" si="18"/>
        <v>2.1370467422358372E-6</v>
      </c>
      <c r="AV59">
        <f t="shared" si="18"/>
        <v>2.0810485026688994E-6</v>
      </c>
      <c r="AW59">
        <f t="shared" si="18"/>
        <v>2.0250502631019616E-6</v>
      </c>
      <c r="AX59">
        <f t="shared" si="18"/>
        <v>1.9690520235350238E-6</v>
      </c>
      <c r="AY59">
        <f t="shared" si="18"/>
        <v>1.9130537839680859E-6</v>
      </c>
      <c r="AZ59">
        <f t="shared" si="18"/>
        <v>1.8570555444011481E-6</v>
      </c>
    </row>
    <row r="60" spans="1:52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5">
      <c r="A61" t="s">
        <v>59</v>
      </c>
      <c r="B61">
        <v>3.5743217678810906E-6</v>
      </c>
      <c r="C61">
        <v>4.2353640626639819E-6</v>
      </c>
      <c r="D61">
        <v>6.0881624411339989E-6</v>
      </c>
      <c r="E61">
        <v>4.9804835551430145E-6</v>
      </c>
      <c r="F61">
        <v>4.7623884767565889E-6</v>
      </c>
      <c r="G61">
        <v>4.5442933983701634E-6</v>
      </c>
      <c r="H61">
        <v>4.3261983199837378E-6</v>
      </c>
      <c r="I61">
        <v>4.1081032415973123E-6</v>
      </c>
      <c r="J61">
        <v>3.890008163210885E-6</v>
      </c>
      <c r="K61">
        <v>3.8167469768238814E-6</v>
      </c>
      <c r="L61">
        <v>3.6192266621529271E-6</v>
      </c>
      <c r="M61">
        <v>3.5964085408906937E-6</v>
      </c>
      <c r="N61">
        <v>3.5230430877305055E-6</v>
      </c>
      <c r="O61">
        <v>3.4701749761361602E-6</v>
      </c>
      <c r="P61">
        <v>3.4238744406553689E-6</v>
      </c>
      <c r="Q61">
        <v>3.454386332095164E-6</v>
      </c>
      <c r="R61">
        <v>3.4686440027955646E-6</v>
      </c>
      <c r="S61">
        <v>3.4418017313976424E-6</v>
      </c>
      <c r="T61">
        <v>3.4033031892197446E-6</v>
      </c>
      <c r="U61">
        <v>3.4132783234405493E-6</v>
      </c>
      <c r="V61">
        <v>3.3591797677850974E-6</v>
      </c>
      <c r="W61">
        <v>3.3294827928397644E-6</v>
      </c>
      <c r="X61">
        <v>3.2940908656710662E-6</v>
      </c>
      <c r="Y61">
        <v>3.2885708708670464E-6</v>
      </c>
      <c r="Z61">
        <v>3.2780536301121151E-6</v>
      </c>
      <c r="AA61">
        <v>3.2336205470372829E-6</v>
      </c>
      <c r="AB61">
        <v>3.2116003580318617E-6</v>
      </c>
      <c r="AC61">
        <v>3.1760680032752019E-6</v>
      </c>
      <c r="AD61">
        <v>3.1318098331604062E-6</v>
      </c>
      <c r="AE61">
        <v>3.080854963112133E-6</v>
      </c>
      <c r="AF61">
        <v>3.0243417857901537E-6</v>
      </c>
      <c r="AG61">
        <f>_xlfn.FORECAST.ETS(AG53,$B$61:$AF$61,$B$53:$AF$53)</f>
        <v>2.9691338272076383E-6</v>
      </c>
      <c r="AH61">
        <f t="shared" ref="AH61:AZ61" si="19">_xlfn.FORECAST.ETS(AH53,$B$61:$AF$61,$B$53:$AF$53)</f>
        <v>2.9138586206561837E-6</v>
      </c>
      <c r="AI61">
        <f t="shared" si="19"/>
        <v>2.8585834141047295E-6</v>
      </c>
      <c r="AJ61">
        <f t="shared" si="19"/>
        <v>2.8033082075532749E-6</v>
      </c>
      <c r="AK61">
        <f t="shared" si="19"/>
        <v>2.7480330010018202E-6</v>
      </c>
      <c r="AL61">
        <f t="shared" si="19"/>
        <v>2.6927577944503656E-6</v>
      </c>
      <c r="AM61">
        <f t="shared" si="19"/>
        <v>2.6374825878989114E-6</v>
      </c>
      <c r="AN61">
        <f t="shared" si="19"/>
        <v>2.5822073813474567E-6</v>
      </c>
      <c r="AO61">
        <f t="shared" si="19"/>
        <v>2.5269321747960021E-6</v>
      </c>
      <c r="AP61">
        <f t="shared" si="19"/>
        <v>2.4716569682445475E-6</v>
      </c>
      <c r="AQ61">
        <f t="shared" si="19"/>
        <v>2.4163817616930928E-6</v>
      </c>
      <c r="AR61">
        <f t="shared" si="19"/>
        <v>2.3611065551416386E-6</v>
      </c>
      <c r="AS61">
        <f t="shared" si="19"/>
        <v>2.305831348590184E-6</v>
      </c>
      <c r="AT61">
        <f t="shared" si="19"/>
        <v>2.2505561420387293E-6</v>
      </c>
      <c r="AU61">
        <f t="shared" si="19"/>
        <v>2.1952809354872751E-6</v>
      </c>
      <c r="AV61">
        <f t="shared" si="19"/>
        <v>2.1400057289358205E-6</v>
      </c>
      <c r="AW61">
        <f t="shared" si="19"/>
        <v>2.0847305223843659E-6</v>
      </c>
      <c r="AX61">
        <f t="shared" si="19"/>
        <v>2.0294553158329112E-6</v>
      </c>
      <c r="AY61">
        <f t="shared" si="19"/>
        <v>1.9741801092814566E-6</v>
      </c>
      <c r="AZ61">
        <f t="shared" si="19"/>
        <v>1.9189049027300024E-6</v>
      </c>
    </row>
    <row r="62" spans="1:52" s="3" customFormat="1" x14ac:dyDescent="0.25">
      <c r="A62" s="5" t="s">
        <v>36</v>
      </c>
    </row>
    <row r="63" spans="1:52" x14ac:dyDescent="0.25">
      <c r="A63" t="s">
        <v>30</v>
      </c>
      <c r="B63">
        <v>2020</v>
      </c>
      <c r="C63">
        <v>2021</v>
      </c>
      <c r="D63">
        <v>2022</v>
      </c>
      <c r="E63">
        <v>2023</v>
      </c>
      <c r="F63">
        <v>2024</v>
      </c>
      <c r="G63">
        <v>2025</v>
      </c>
      <c r="H63">
        <v>2026</v>
      </c>
      <c r="I63">
        <v>2027</v>
      </c>
      <c r="J63">
        <v>2028</v>
      </c>
      <c r="K63">
        <v>2029</v>
      </c>
      <c r="L63">
        <v>2030</v>
      </c>
      <c r="M63">
        <v>2031</v>
      </c>
      <c r="N63">
        <v>2032</v>
      </c>
      <c r="O63">
        <v>2033</v>
      </c>
      <c r="P63">
        <v>2034</v>
      </c>
      <c r="Q63">
        <v>2035</v>
      </c>
      <c r="R63">
        <v>2036</v>
      </c>
      <c r="S63">
        <v>2037</v>
      </c>
      <c r="T63">
        <v>2038</v>
      </c>
      <c r="U63">
        <v>2039</v>
      </c>
      <c r="V63">
        <v>2040</v>
      </c>
      <c r="W63">
        <v>2041</v>
      </c>
      <c r="X63">
        <v>2042</v>
      </c>
      <c r="Y63">
        <v>2043</v>
      </c>
      <c r="Z63">
        <v>2044</v>
      </c>
      <c r="AA63">
        <v>2045</v>
      </c>
      <c r="AB63">
        <v>2046</v>
      </c>
      <c r="AC63">
        <v>2047</v>
      </c>
      <c r="AD63">
        <v>2048</v>
      </c>
      <c r="AE63">
        <v>2049</v>
      </c>
      <c r="AF63">
        <v>2050</v>
      </c>
      <c r="AG63">
        <v>2051</v>
      </c>
      <c r="AH63">
        <v>2052</v>
      </c>
      <c r="AI63">
        <v>2053</v>
      </c>
      <c r="AJ63">
        <v>2054</v>
      </c>
      <c r="AK63">
        <v>2055</v>
      </c>
      <c r="AL63">
        <v>2056</v>
      </c>
      <c r="AM63">
        <v>2057</v>
      </c>
      <c r="AN63">
        <v>2058</v>
      </c>
      <c r="AO63">
        <v>2059</v>
      </c>
      <c r="AP63">
        <v>2060</v>
      </c>
      <c r="AQ63">
        <v>2061</v>
      </c>
      <c r="AR63">
        <v>2062</v>
      </c>
      <c r="AS63">
        <v>2063</v>
      </c>
      <c r="AT63">
        <v>2064</v>
      </c>
      <c r="AU63">
        <v>2065</v>
      </c>
      <c r="AV63">
        <v>2066</v>
      </c>
      <c r="AW63">
        <v>2067</v>
      </c>
      <c r="AX63">
        <v>2068</v>
      </c>
      <c r="AY63">
        <v>2069</v>
      </c>
      <c r="AZ63">
        <v>2070</v>
      </c>
    </row>
    <row r="64" spans="1:52" x14ac:dyDescent="0.25">
      <c r="A64" t="s">
        <v>52</v>
      </c>
      <c r="B64">
        <v>6.124342198811532E-6</v>
      </c>
      <c r="C64">
        <v>6.7653346818556678E-6</v>
      </c>
      <c r="D64">
        <v>6.6363139946570799E-6</v>
      </c>
      <c r="E64">
        <v>6.6821896562972195E-6</v>
      </c>
      <c r="F64">
        <v>6.6502384928330965E-6</v>
      </c>
      <c r="G64">
        <v>6.569545513109439E-6</v>
      </c>
      <c r="H64">
        <v>6.5860881140566752E-6</v>
      </c>
      <c r="I64">
        <v>6.4138992957602047E-6</v>
      </c>
      <c r="J64">
        <v>6.3450869984537243E-6</v>
      </c>
      <c r="K64">
        <v>6.2184464498783265E-6</v>
      </c>
      <c r="L64">
        <v>5.9520301083130882E-6</v>
      </c>
      <c r="M64">
        <v>6.0790531932888373E-6</v>
      </c>
      <c r="N64">
        <v>6.0020281108438659E-6</v>
      </c>
      <c r="O64">
        <v>5.9273131795862438E-6</v>
      </c>
      <c r="P64">
        <v>5.8374625216523267E-6</v>
      </c>
      <c r="Q64">
        <v>5.9110320155788382E-6</v>
      </c>
      <c r="R64">
        <v>5.8555947380223596E-6</v>
      </c>
      <c r="S64">
        <v>5.7641904741992863E-6</v>
      </c>
      <c r="T64">
        <v>5.7306569737157925E-6</v>
      </c>
      <c r="U64">
        <v>5.6779948192418902E-6</v>
      </c>
      <c r="V64">
        <v>5.638678556954012E-6</v>
      </c>
      <c r="W64">
        <v>5.5946039215561711E-6</v>
      </c>
      <c r="X64">
        <v>5.5668665933138946E-6</v>
      </c>
      <c r="Y64">
        <v>5.5533802064844855E-6</v>
      </c>
      <c r="Z64">
        <v>5.5224845125062756E-6</v>
      </c>
      <c r="AA64">
        <v>5.4445639010963243E-6</v>
      </c>
      <c r="AB64">
        <v>5.4296292762156804E-6</v>
      </c>
      <c r="AC64">
        <v>5.3826909431000473E-6</v>
      </c>
      <c r="AD64">
        <v>5.3074863799461267E-6</v>
      </c>
      <c r="AE64">
        <v>5.2329699763368845E-6</v>
      </c>
      <c r="AF64">
        <v>5.1525249640944278E-6</v>
      </c>
      <c r="AG64">
        <f>_xlfn.FORECAST.ETS(AG63,$B$64:$AF$64,$B$63:$AF$63)</f>
        <v>5.1066872316114779E-6</v>
      </c>
      <c r="AH64">
        <f t="shared" ref="AH64:AZ64" si="20">_xlfn.FORECAST.ETS(AH63,$B$64:$AF$64,$B$63:$AF$63)</f>
        <v>5.0574467512910489E-6</v>
      </c>
      <c r="AI64">
        <f t="shared" si="20"/>
        <v>5.0082062709706208E-6</v>
      </c>
      <c r="AJ64">
        <f t="shared" si="20"/>
        <v>4.9589657906501927E-6</v>
      </c>
      <c r="AK64">
        <f t="shared" si="20"/>
        <v>4.9097253103297638E-6</v>
      </c>
      <c r="AL64">
        <f t="shared" si="20"/>
        <v>4.8604848300093357E-6</v>
      </c>
      <c r="AM64">
        <f t="shared" si="20"/>
        <v>4.8112443496889076E-6</v>
      </c>
      <c r="AN64">
        <f t="shared" si="20"/>
        <v>4.7620038693684787E-6</v>
      </c>
      <c r="AO64">
        <f t="shared" si="20"/>
        <v>4.7127633890480506E-6</v>
      </c>
      <c r="AP64">
        <f t="shared" si="20"/>
        <v>4.6635229087276225E-6</v>
      </c>
      <c r="AQ64">
        <f t="shared" si="20"/>
        <v>4.6142824284071935E-6</v>
      </c>
      <c r="AR64">
        <f t="shared" si="20"/>
        <v>4.5650419480867654E-6</v>
      </c>
      <c r="AS64">
        <f t="shared" si="20"/>
        <v>4.5158014677663373E-6</v>
      </c>
      <c r="AT64">
        <f t="shared" si="20"/>
        <v>4.4665609874459084E-6</v>
      </c>
      <c r="AU64">
        <f t="shared" si="20"/>
        <v>4.4173205071254803E-6</v>
      </c>
      <c r="AV64">
        <f t="shared" si="20"/>
        <v>4.3680800268050522E-6</v>
      </c>
      <c r="AW64">
        <f t="shared" si="20"/>
        <v>4.3188395464846233E-6</v>
      </c>
      <c r="AX64">
        <f t="shared" si="20"/>
        <v>4.2695990661641952E-6</v>
      </c>
      <c r="AY64">
        <f t="shared" si="20"/>
        <v>4.2203585858437671E-6</v>
      </c>
      <c r="AZ64">
        <f t="shared" si="20"/>
        <v>4.1711181055233381E-6</v>
      </c>
    </row>
    <row r="65" spans="1:52" x14ac:dyDescent="0.25">
      <c r="A65" t="s">
        <v>53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25">
      <c r="A66" t="s">
        <v>54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 t="s">
        <v>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 x14ac:dyDescent="0.25">
      <c r="A68" t="s">
        <v>56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 x14ac:dyDescent="0.25">
      <c r="A69" t="s">
        <v>57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 x14ac:dyDescent="0.25">
      <c r="A70" t="s">
        <v>58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 t="s">
        <v>59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 s="3" customFormat="1" x14ac:dyDescent="0.25">
      <c r="A72" s="5" t="s">
        <v>37</v>
      </c>
    </row>
    <row r="73" spans="1:52" x14ac:dyDescent="0.25">
      <c r="A73" t="s">
        <v>30</v>
      </c>
      <c r="B73">
        <v>2020</v>
      </c>
      <c r="C73">
        <v>2021</v>
      </c>
      <c r="D73">
        <v>2022</v>
      </c>
      <c r="E73">
        <v>2023</v>
      </c>
      <c r="F73">
        <v>2024</v>
      </c>
      <c r="G73">
        <v>2025</v>
      </c>
      <c r="H73">
        <v>2026</v>
      </c>
      <c r="I73">
        <v>2027</v>
      </c>
      <c r="J73">
        <v>2028</v>
      </c>
      <c r="K73">
        <v>2029</v>
      </c>
      <c r="L73">
        <v>2030</v>
      </c>
      <c r="M73">
        <v>2031</v>
      </c>
      <c r="N73">
        <v>2032</v>
      </c>
      <c r="O73">
        <v>2033</v>
      </c>
      <c r="P73">
        <v>2034</v>
      </c>
      <c r="Q73">
        <v>2035</v>
      </c>
      <c r="R73">
        <v>2036</v>
      </c>
      <c r="S73">
        <v>2037</v>
      </c>
      <c r="T73">
        <v>2038</v>
      </c>
      <c r="U73">
        <v>2039</v>
      </c>
      <c r="V73">
        <v>2040</v>
      </c>
      <c r="W73">
        <v>2041</v>
      </c>
      <c r="X73">
        <v>2042</v>
      </c>
      <c r="Y73">
        <v>2043</v>
      </c>
      <c r="Z73">
        <v>2044</v>
      </c>
      <c r="AA73">
        <v>2045</v>
      </c>
      <c r="AB73">
        <v>2046</v>
      </c>
      <c r="AC73">
        <v>2047</v>
      </c>
      <c r="AD73">
        <v>2048</v>
      </c>
      <c r="AE73">
        <v>2049</v>
      </c>
      <c r="AF73">
        <v>2050</v>
      </c>
      <c r="AG73">
        <v>2051</v>
      </c>
      <c r="AH73">
        <v>2052</v>
      </c>
      <c r="AI73">
        <v>2053</v>
      </c>
      <c r="AJ73">
        <v>2054</v>
      </c>
      <c r="AK73">
        <v>2055</v>
      </c>
      <c r="AL73">
        <v>2056</v>
      </c>
      <c r="AM73">
        <v>2057</v>
      </c>
      <c r="AN73">
        <v>2058</v>
      </c>
      <c r="AO73">
        <v>2059</v>
      </c>
      <c r="AP73">
        <v>2060</v>
      </c>
      <c r="AQ73">
        <v>2061</v>
      </c>
      <c r="AR73">
        <v>2062</v>
      </c>
      <c r="AS73">
        <v>2063</v>
      </c>
      <c r="AT73">
        <v>2064</v>
      </c>
      <c r="AU73">
        <v>2065</v>
      </c>
      <c r="AV73">
        <v>2066</v>
      </c>
      <c r="AW73">
        <v>2067</v>
      </c>
      <c r="AX73">
        <v>2068</v>
      </c>
      <c r="AY73">
        <v>2069</v>
      </c>
      <c r="AZ73">
        <v>2070</v>
      </c>
    </row>
    <row r="74" spans="1:52" x14ac:dyDescent="0.25">
      <c r="A74" t="s">
        <v>52</v>
      </c>
      <c r="B74">
        <v>5.5129228027215422E-6</v>
      </c>
      <c r="C74">
        <v>5.5014042769793524E-6</v>
      </c>
      <c r="D74">
        <v>5.4178582435397053E-6</v>
      </c>
      <c r="E74">
        <v>5.4012392389083085E-6</v>
      </c>
      <c r="F74">
        <v>5.4429389174351501E-6</v>
      </c>
      <c r="G74">
        <v>5.4408445775372187E-6</v>
      </c>
      <c r="H74">
        <v>5.4440805527724787E-6</v>
      </c>
      <c r="I74">
        <v>5.2986079344276497E-6</v>
      </c>
      <c r="J74">
        <v>5.2445993292249653E-6</v>
      </c>
      <c r="K74">
        <v>5.1631753768918465E-6</v>
      </c>
      <c r="L74">
        <v>5.0618644893194881E-6</v>
      </c>
      <c r="M74">
        <v>5.0104669832178348E-6</v>
      </c>
      <c r="N74">
        <v>4.9410446437619164E-6</v>
      </c>
      <c r="O74">
        <v>4.8731183741847717E-6</v>
      </c>
      <c r="P74">
        <v>4.8157396642420009E-6</v>
      </c>
      <c r="Q74">
        <v>4.8595023946893144E-6</v>
      </c>
      <c r="R74">
        <v>4.8468147442009434E-6</v>
      </c>
      <c r="S74">
        <v>4.8075827939827065E-6</v>
      </c>
      <c r="T74">
        <v>4.7586092644663859E-6</v>
      </c>
      <c r="U74">
        <v>4.7550950686096146E-6</v>
      </c>
      <c r="V74">
        <v>4.7052096811980246E-6</v>
      </c>
      <c r="W74">
        <v>4.6798867774171939E-6</v>
      </c>
      <c r="X74">
        <v>4.6500823909598362E-6</v>
      </c>
      <c r="Y74">
        <v>4.6289777086070364E-6</v>
      </c>
      <c r="Z74">
        <v>4.5637247871698058E-6</v>
      </c>
      <c r="AA74">
        <v>4.471696597599957E-6</v>
      </c>
      <c r="AB74">
        <v>4.4544566348998797E-6</v>
      </c>
      <c r="AC74">
        <v>4.4121996844376729E-6</v>
      </c>
      <c r="AD74">
        <v>4.3618805165384823E-6</v>
      </c>
      <c r="AE74">
        <v>4.3145932853254566E-6</v>
      </c>
      <c r="AF74">
        <v>4.2450739458295621E-6</v>
      </c>
      <c r="AG74">
        <f>_xlfn.FORECAST.ETS(AG73,$B$74:$AF$74,$B$73:$AF$73)</f>
        <v>4.2052640958587678E-6</v>
      </c>
      <c r="AH74">
        <f t="shared" ref="AH74:AZ74" si="21">_xlfn.FORECAST.ETS(AH73,$B$74:$AF$74,$B$73:$AF$73)</f>
        <v>4.1627007549752627E-6</v>
      </c>
      <c r="AI74">
        <f t="shared" si="21"/>
        <v>4.1201374140917567E-6</v>
      </c>
      <c r="AJ74">
        <f t="shared" si="21"/>
        <v>4.0775740732082507E-6</v>
      </c>
      <c r="AK74">
        <f t="shared" si="21"/>
        <v>4.0350107323247455E-6</v>
      </c>
      <c r="AL74">
        <f t="shared" si="21"/>
        <v>3.9924473914412395E-6</v>
      </c>
      <c r="AM74">
        <f t="shared" si="21"/>
        <v>3.9498840505577335E-6</v>
      </c>
      <c r="AN74">
        <f t="shared" si="21"/>
        <v>3.9073207096742284E-6</v>
      </c>
      <c r="AO74">
        <f t="shared" si="21"/>
        <v>3.8647573687907224E-6</v>
      </c>
      <c r="AP74">
        <f t="shared" si="21"/>
        <v>3.8221940279072172E-6</v>
      </c>
      <c r="AQ74">
        <f t="shared" si="21"/>
        <v>3.7796306870237112E-6</v>
      </c>
      <c r="AR74">
        <f t="shared" si="21"/>
        <v>3.7370673461402052E-6</v>
      </c>
      <c r="AS74">
        <f t="shared" si="21"/>
        <v>3.6945040052566997E-6</v>
      </c>
      <c r="AT74">
        <f t="shared" si="21"/>
        <v>3.6519406643731941E-6</v>
      </c>
      <c r="AU74">
        <f t="shared" si="21"/>
        <v>3.6093773234896881E-6</v>
      </c>
      <c r="AV74">
        <f t="shared" si="21"/>
        <v>3.5668139826061825E-6</v>
      </c>
      <c r="AW74">
        <f t="shared" si="21"/>
        <v>3.5242506417226769E-6</v>
      </c>
      <c r="AX74">
        <f t="shared" si="21"/>
        <v>3.4816873008391714E-6</v>
      </c>
      <c r="AY74">
        <f t="shared" si="21"/>
        <v>3.4391239599556654E-6</v>
      </c>
      <c r="AZ74">
        <f t="shared" si="21"/>
        <v>3.3965606190721598E-6</v>
      </c>
    </row>
    <row r="75" spans="1:52" x14ac:dyDescent="0.25">
      <c r="A75" t="s">
        <v>53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 t="s">
        <v>54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 t="s">
        <v>55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 x14ac:dyDescent="0.25">
      <c r="A78" t="s">
        <v>56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 t="s">
        <v>57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 x14ac:dyDescent="0.25">
      <c r="A80" t="s">
        <v>58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 x14ac:dyDescent="0.25">
      <c r="A81" t="s">
        <v>59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 s="3" customFormat="1" x14ac:dyDescent="0.25">
      <c r="A82" s="5" t="s">
        <v>38</v>
      </c>
    </row>
    <row r="83" spans="1:52" x14ac:dyDescent="0.25">
      <c r="A83" t="s">
        <v>30</v>
      </c>
      <c r="B83">
        <v>2020</v>
      </c>
      <c r="C83">
        <v>2021</v>
      </c>
      <c r="D83">
        <v>2022</v>
      </c>
      <c r="E83">
        <v>2023</v>
      </c>
      <c r="F83">
        <v>2024</v>
      </c>
      <c r="G83">
        <v>2025</v>
      </c>
      <c r="H83">
        <v>2026</v>
      </c>
      <c r="I83">
        <v>2027</v>
      </c>
      <c r="J83">
        <v>2028</v>
      </c>
      <c r="K83">
        <v>2029</v>
      </c>
      <c r="L83">
        <v>2030</v>
      </c>
      <c r="M83">
        <v>2031</v>
      </c>
      <c r="N83">
        <v>2032</v>
      </c>
      <c r="O83">
        <v>2033</v>
      </c>
      <c r="P83">
        <v>2034</v>
      </c>
      <c r="Q83">
        <v>2035</v>
      </c>
      <c r="R83">
        <v>2036</v>
      </c>
      <c r="S83">
        <v>2037</v>
      </c>
      <c r="T83">
        <v>2038</v>
      </c>
      <c r="U83">
        <v>2039</v>
      </c>
      <c r="V83">
        <v>2040</v>
      </c>
      <c r="W83">
        <v>2041</v>
      </c>
      <c r="X83">
        <v>2042</v>
      </c>
      <c r="Y83">
        <v>2043</v>
      </c>
      <c r="Z83">
        <v>2044</v>
      </c>
      <c r="AA83">
        <v>2045</v>
      </c>
      <c r="AB83">
        <v>2046</v>
      </c>
      <c r="AC83">
        <v>2047</v>
      </c>
      <c r="AD83">
        <v>2048</v>
      </c>
      <c r="AE83">
        <v>2049</v>
      </c>
      <c r="AF83">
        <v>2050</v>
      </c>
      <c r="AG83">
        <v>2051</v>
      </c>
      <c r="AH83">
        <v>2052</v>
      </c>
      <c r="AI83">
        <v>2053</v>
      </c>
      <c r="AJ83">
        <v>2054</v>
      </c>
      <c r="AK83">
        <v>2055</v>
      </c>
      <c r="AL83">
        <v>2056</v>
      </c>
      <c r="AM83">
        <v>2057</v>
      </c>
      <c r="AN83">
        <v>2058</v>
      </c>
      <c r="AO83">
        <v>2059</v>
      </c>
      <c r="AP83">
        <v>2060</v>
      </c>
      <c r="AQ83">
        <v>2061</v>
      </c>
      <c r="AR83">
        <v>2062</v>
      </c>
      <c r="AS83">
        <v>2063</v>
      </c>
      <c r="AT83">
        <v>2064</v>
      </c>
      <c r="AU83">
        <v>2065</v>
      </c>
      <c r="AV83">
        <v>2066</v>
      </c>
      <c r="AW83">
        <v>2067</v>
      </c>
      <c r="AX83">
        <v>2068</v>
      </c>
      <c r="AY83">
        <v>2069</v>
      </c>
      <c r="AZ83">
        <v>2070</v>
      </c>
    </row>
    <row r="84" spans="1:52" x14ac:dyDescent="0.25">
      <c r="A84" t="s">
        <v>52</v>
      </c>
      <c r="B84">
        <v>4.8357060636282318E-7</v>
      </c>
      <c r="C84">
        <v>6.9264884762557121E-7</v>
      </c>
      <c r="D84">
        <v>1.2159217083092492E-6</v>
      </c>
      <c r="E84">
        <v>9.4447521084165449E-7</v>
      </c>
      <c r="F84">
        <v>9.2305655255491621E-7</v>
      </c>
      <c r="G84">
        <v>9.0163789426817794E-7</v>
      </c>
      <c r="H84">
        <v>8.8021923598143967E-7</v>
      </c>
      <c r="I84">
        <v>8.5880057769470139E-7</v>
      </c>
      <c r="J84">
        <v>8.3738191940796291E-7</v>
      </c>
      <c r="K84">
        <v>8.1982227097723945E-7</v>
      </c>
      <c r="L84">
        <v>7.8614165133809265E-7</v>
      </c>
      <c r="M84">
        <v>7.8939101086108386E-7</v>
      </c>
      <c r="N84">
        <v>7.742646158940688E-7</v>
      </c>
      <c r="O84">
        <v>7.6236078460276552E-7</v>
      </c>
      <c r="P84">
        <v>7.5761366481006406E-7</v>
      </c>
      <c r="Q84">
        <v>7.6210282339528227E-7</v>
      </c>
      <c r="R84">
        <v>7.6804746036322615E-7</v>
      </c>
      <c r="S84">
        <v>7.6299260005746016E-7</v>
      </c>
      <c r="T84">
        <v>7.5429318160381735E-7</v>
      </c>
      <c r="U84">
        <v>7.5839613528238424E-7</v>
      </c>
      <c r="V84">
        <v>7.4148240334830993E-7</v>
      </c>
      <c r="W84">
        <v>7.3486859042343466E-7</v>
      </c>
      <c r="X84">
        <v>7.2642003459316307E-7</v>
      </c>
      <c r="Y84">
        <v>7.2541383679952306E-7</v>
      </c>
      <c r="Z84">
        <v>7.2227564049780411E-7</v>
      </c>
      <c r="AA84">
        <v>7.106451573742175E-7</v>
      </c>
      <c r="AB84">
        <v>7.070254113366826E-7</v>
      </c>
      <c r="AC84">
        <v>7.0073252241689018E-7</v>
      </c>
      <c r="AD84">
        <v>6.9252040680403348E-7</v>
      </c>
      <c r="AE84">
        <v>6.8186802283236226E-7</v>
      </c>
      <c r="AF84">
        <v>6.6963514193501501E-7</v>
      </c>
      <c r="AG84">
        <f>_xlfn.FORECAST.ETS(AG83,$B$84:$AF$84,$B$83:$AF$83)</f>
        <v>6.6445678483820357E-7</v>
      </c>
      <c r="AH84">
        <f t="shared" ref="AH84:AZ84" si="22">_xlfn.FORECAST.ETS(AH83,$B$84:$AF$84,$B$83:$AF$83)</f>
        <v>6.5859069159663607E-7</v>
      </c>
      <c r="AI84">
        <f t="shared" si="22"/>
        <v>6.5272459835506858E-7</v>
      </c>
      <c r="AJ84">
        <f t="shared" si="22"/>
        <v>6.4685850511350108E-7</v>
      </c>
      <c r="AK84">
        <f t="shared" si="22"/>
        <v>6.4099241187193358E-7</v>
      </c>
      <c r="AL84">
        <f t="shared" si="22"/>
        <v>6.3512631863036619E-7</v>
      </c>
      <c r="AM84">
        <f t="shared" si="22"/>
        <v>6.2926022538879869E-7</v>
      </c>
      <c r="AN84">
        <f t="shared" si="22"/>
        <v>6.2339413214723119E-7</v>
      </c>
      <c r="AO84">
        <f t="shared" si="22"/>
        <v>6.175280389056637E-7</v>
      </c>
      <c r="AP84">
        <f t="shared" si="22"/>
        <v>6.116619456640962E-7</v>
      </c>
      <c r="AQ84">
        <f t="shared" si="22"/>
        <v>6.057958524225287E-7</v>
      </c>
      <c r="AR84">
        <f t="shared" si="22"/>
        <v>5.999297591809612E-7</v>
      </c>
      <c r="AS84">
        <f t="shared" si="22"/>
        <v>5.9406366593939371E-7</v>
      </c>
      <c r="AT84">
        <f t="shared" si="22"/>
        <v>5.8819757269782621E-7</v>
      </c>
      <c r="AU84">
        <f t="shared" si="22"/>
        <v>5.8233147945625871E-7</v>
      </c>
      <c r="AV84">
        <f t="shared" si="22"/>
        <v>5.7646538621469121E-7</v>
      </c>
      <c r="AW84">
        <f t="shared" si="22"/>
        <v>5.7059929297312371E-7</v>
      </c>
      <c r="AX84">
        <f t="shared" si="22"/>
        <v>5.6473319973155622E-7</v>
      </c>
      <c r="AY84">
        <f t="shared" si="22"/>
        <v>5.5886710648998883E-7</v>
      </c>
      <c r="AZ84">
        <f t="shared" si="22"/>
        <v>5.5300101324842122E-7</v>
      </c>
    </row>
    <row r="85" spans="1:52" x14ac:dyDescent="0.25">
      <c r="A85" t="s">
        <v>53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 x14ac:dyDescent="0.25">
      <c r="A86" t="s">
        <v>54</v>
      </c>
      <c r="B86">
        <v>8.96948115616563E-7</v>
      </c>
      <c r="C86">
        <v>1.0231453276035819E-6</v>
      </c>
      <c r="D86">
        <v>1.743744632089499E-6</v>
      </c>
      <c r="E86">
        <v>1.4297905624938879E-6</v>
      </c>
      <c r="F86">
        <v>1.4012705648461118E-6</v>
      </c>
      <c r="G86">
        <v>1.3727505671983357E-6</v>
      </c>
      <c r="H86">
        <v>1.3442305695505596E-6</v>
      </c>
      <c r="I86">
        <v>1.3157105719027835E-6</v>
      </c>
      <c r="J86">
        <v>1.2871905742550076E-6</v>
      </c>
      <c r="K86">
        <v>1.2532818562808901E-6</v>
      </c>
      <c r="L86">
        <v>1.2042410554004137E-6</v>
      </c>
      <c r="M86">
        <v>1.1872741251992879E-6</v>
      </c>
      <c r="N86">
        <v>1.1566883225040935E-6</v>
      </c>
      <c r="O86">
        <v>1.1343145102761334E-6</v>
      </c>
      <c r="P86">
        <v>1.1184186510550433E-6</v>
      </c>
      <c r="Q86">
        <v>1.1212693231272017E-6</v>
      </c>
      <c r="R86">
        <v>1.1247774938204575E-6</v>
      </c>
      <c r="S86">
        <v>1.1105612348334391E-6</v>
      </c>
      <c r="T86">
        <v>1.0923145400596675E-6</v>
      </c>
      <c r="U86">
        <v>1.0948302049812601E-6</v>
      </c>
      <c r="V86">
        <v>1.0685381340456742E-6</v>
      </c>
      <c r="W86">
        <v>1.0547347851156116E-6</v>
      </c>
      <c r="X86">
        <v>1.0407999787110009E-6</v>
      </c>
      <c r="Y86">
        <v>1.031990733719208E-6</v>
      </c>
      <c r="Z86">
        <v>1.0205686716375566E-6</v>
      </c>
      <c r="AA86">
        <v>1.0020965461246681E-6</v>
      </c>
      <c r="AB86">
        <v>9.937476279911738E-7</v>
      </c>
      <c r="AC86">
        <v>9.8133935332786756E-7</v>
      </c>
      <c r="AD86">
        <v>9.6846617291829618E-7</v>
      </c>
      <c r="AE86">
        <v>9.5102341733429713E-7</v>
      </c>
      <c r="AF86">
        <v>9.3493289559899379E-7</v>
      </c>
      <c r="AG86">
        <f>_xlfn.FORECAST.ETS(AG83,$B$86:$AF$86,$B$83:$AF$83)</f>
        <v>9.2307392241399461E-7</v>
      </c>
      <c r="AH86">
        <f t="shared" ref="AH86:AZ86" si="23">_xlfn.FORECAST.ETS(AH83,$B$86:$AF$86,$B$83:$AF$83)</f>
        <v>9.1014637320082278E-7</v>
      </c>
      <c r="AI86">
        <f t="shared" si="23"/>
        <v>8.9721882398765042E-7</v>
      </c>
      <c r="AJ86">
        <f t="shared" si="23"/>
        <v>8.8429127477447849E-7</v>
      </c>
      <c r="AK86">
        <f t="shared" si="23"/>
        <v>8.7136372556130624E-7</v>
      </c>
      <c r="AL86">
        <f t="shared" si="23"/>
        <v>8.584361763481343E-7</v>
      </c>
      <c r="AM86">
        <f t="shared" si="23"/>
        <v>8.4550862713496194E-7</v>
      </c>
      <c r="AN86">
        <f t="shared" si="23"/>
        <v>8.3258107792179001E-7</v>
      </c>
      <c r="AO86">
        <f t="shared" si="23"/>
        <v>8.1965352870861776E-7</v>
      </c>
      <c r="AP86">
        <f t="shared" si="23"/>
        <v>8.0672597949544582E-7</v>
      </c>
      <c r="AQ86">
        <f t="shared" si="23"/>
        <v>7.9379843028227357E-7</v>
      </c>
      <c r="AR86">
        <f t="shared" si="23"/>
        <v>7.8087088106910163E-7</v>
      </c>
      <c r="AS86">
        <f t="shared" si="23"/>
        <v>7.6794333185592927E-7</v>
      </c>
      <c r="AT86">
        <f t="shared" si="23"/>
        <v>7.5501578264275734E-7</v>
      </c>
      <c r="AU86">
        <f t="shared" si="23"/>
        <v>7.4208823342958509E-7</v>
      </c>
      <c r="AV86">
        <f t="shared" si="23"/>
        <v>7.2916068421641315E-7</v>
      </c>
      <c r="AW86">
        <f t="shared" si="23"/>
        <v>7.1623313500324079E-7</v>
      </c>
      <c r="AX86">
        <f t="shared" si="23"/>
        <v>7.0330558579006896E-7</v>
      </c>
      <c r="AY86">
        <f t="shared" si="23"/>
        <v>6.9037803657689661E-7</v>
      </c>
      <c r="AZ86">
        <f t="shared" si="23"/>
        <v>6.7745048736372467E-7</v>
      </c>
    </row>
    <row r="87" spans="1:52" x14ac:dyDescent="0.25">
      <c r="A87" t="s">
        <v>55</v>
      </c>
      <c r="B87">
        <v>9.0082399660090956E-7</v>
      </c>
      <c r="C87">
        <v>1.0268327429218302E-6</v>
      </c>
      <c r="D87">
        <v>1.7503119960735694E-6</v>
      </c>
      <c r="E87">
        <v>1.3590367304471534E-6</v>
      </c>
      <c r="F87">
        <v>1.2899111560031598E-6</v>
      </c>
      <c r="G87">
        <v>1.2207855815591662E-6</v>
      </c>
      <c r="H87">
        <v>1.1516600071151726E-6</v>
      </c>
      <c r="I87">
        <v>1.0825344326711789E-6</v>
      </c>
      <c r="J87">
        <v>1.0134088582271855E-6</v>
      </c>
      <c r="K87">
        <v>9.8772690941435748E-7</v>
      </c>
      <c r="L87">
        <v>9.4884788665992844E-7</v>
      </c>
      <c r="M87">
        <v>9.5286270542910884E-7</v>
      </c>
      <c r="N87">
        <v>9.2949157545645239E-7</v>
      </c>
      <c r="O87">
        <v>9.1430891968094496E-7</v>
      </c>
      <c r="P87">
        <v>9.0210072537359552E-7</v>
      </c>
      <c r="Q87">
        <v>9.0568244700827967E-7</v>
      </c>
      <c r="R87">
        <v>9.1006922597796163E-7</v>
      </c>
      <c r="S87">
        <v>9.0042645460508733E-7</v>
      </c>
      <c r="T87">
        <v>8.8680677011709555E-7</v>
      </c>
      <c r="U87">
        <v>8.893900028940877E-7</v>
      </c>
      <c r="V87">
        <v>8.6904136775751796E-7</v>
      </c>
      <c r="W87">
        <v>8.5880699150836534E-7</v>
      </c>
      <c r="X87">
        <v>8.4769154015232666E-7</v>
      </c>
      <c r="Y87">
        <v>8.4286464306554561E-7</v>
      </c>
      <c r="Z87">
        <v>8.3598653705595001E-7</v>
      </c>
      <c r="AA87">
        <v>8.2181412793403383E-7</v>
      </c>
      <c r="AB87">
        <v>8.1576071926677251E-7</v>
      </c>
      <c r="AC87">
        <v>8.0634309948193631E-7</v>
      </c>
      <c r="AD87">
        <v>7.9593996410358619E-7</v>
      </c>
      <c r="AE87">
        <v>7.8130348083376996E-7</v>
      </c>
      <c r="AF87">
        <v>7.6707816136940558E-7</v>
      </c>
      <c r="AG87">
        <f>_xlfn.FORECAST.ETS(AG83,$B$87:$AF$87,$B$83:$AF$83)</f>
        <v>7.5024183157071613E-7</v>
      </c>
      <c r="AH87">
        <f t="shared" ref="AH87:AZ87" si="24">_xlfn.FORECAST.ETS(AH83,$B$87:$AF$87,$B$83:$AF$83)</f>
        <v>7.34105407125651E-7</v>
      </c>
      <c r="AI87">
        <f t="shared" si="24"/>
        <v>7.1796898268058555E-7</v>
      </c>
      <c r="AJ87">
        <f t="shared" si="24"/>
        <v>7.0183255823552042E-7</v>
      </c>
      <c r="AK87">
        <f t="shared" si="24"/>
        <v>6.8569613379045486E-7</v>
      </c>
      <c r="AL87">
        <f t="shared" si="24"/>
        <v>6.6955970934538973E-7</v>
      </c>
      <c r="AM87">
        <f t="shared" si="24"/>
        <v>6.5342328490032417E-7</v>
      </c>
      <c r="AN87">
        <f t="shared" si="24"/>
        <v>6.3728686045525914E-7</v>
      </c>
      <c r="AO87">
        <f t="shared" si="24"/>
        <v>6.2115043601019359E-7</v>
      </c>
      <c r="AP87">
        <f t="shared" si="24"/>
        <v>6.0501401156512845E-7</v>
      </c>
      <c r="AQ87">
        <f t="shared" si="24"/>
        <v>5.8887758712006289E-7</v>
      </c>
      <c r="AR87">
        <f t="shared" si="24"/>
        <v>5.7274116267499776E-7</v>
      </c>
      <c r="AS87">
        <f t="shared" si="24"/>
        <v>5.566047382299322E-7</v>
      </c>
      <c r="AT87">
        <f t="shared" si="24"/>
        <v>5.4046831378486707E-7</v>
      </c>
      <c r="AU87">
        <f t="shared" si="24"/>
        <v>5.2433188933980162E-7</v>
      </c>
      <c r="AV87">
        <f t="shared" si="24"/>
        <v>5.0819546489473649E-7</v>
      </c>
      <c r="AW87">
        <f t="shared" si="24"/>
        <v>4.9205904044967093E-7</v>
      </c>
      <c r="AX87">
        <f t="shared" si="24"/>
        <v>4.759226160046058E-7</v>
      </c>
      <c r="AY87">
        <f t="shared" si="24"/>
        <v>4.5978619155954035E-7</v>
      </c>
      <c r="AZ87">
        <f t="shared" si="24"/>
        <v>4.4364976711447516E-7</v>
      </c>
    </row>
    <row r="88" spans="1:52" x14ac:dyDescent="0.25">
      <c r="A88" t="s">
        <v>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 x14ac:dyDescent="0.25">
      <c r="A89" t="s">
        <v>57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 x14ac:dyDescent="0.25">
      <c r="A90" t="s">
        <v>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25">
      <c r="A91" t="s">
        <v>59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 s="3" customFormat="1" x14ac:dyDescent="0.25">
      <c r="A92" s="5" t="s">
        <v>39</v>
      </c>
    </row>
    <row r="93" spans="1:52" x14ac:dyDescent="0.25">
      <c r="A93" t="s">
        <v>30</v>
      </c>
      <c r="B93">
        <v>2020</v>
      </c>
      <c r="C93">
        <v>2021</v>
      </c>
      <c r="D93">
        <v>2022</v>
      </c>
      <c r="E93">
        <v>2023</v>
      </c>
      <c r="F93">
        <v>2024</v>
      </c>
      <c r="G93">
        <v>2025</v>
      </c>
      <c r="H93">
        <v>2026</v>
      </c>
      <c r="I93">
        <v>2027</v>
      </c>
      <c r="J93">
        <v>2028</v>
      </c>
      <c r="K93">
        <v>2029</v>
      </c>
      <c r="L93">
        <v>2030</v>
      </c>
      <c r="M93">
        <v>2031</v>
      </c>
      <c r="N93">
        <v>2032</v>
      </c>
      <c r="O93">
        <v>2033</v>
      </c>
      <c r="P93">
        <v>2034</v>
      </c>
      <c r="Q93">
        <v>2035</v>
      </c>
      <c r="R93">
        <v>2036</v>
      </c>
      <c r="S93">
        <v>2037</v>
      </c>
      <c r="T93">
        <v>2038</v>
      </c>
      <c r="U93">
        <v>2039</v>
      </c>
      <c r="V93">
        <v>2040</v>
      </c>
      <c r="W93">
        <v>2041</v>
      </c>
      <c r="X93">
        <v>2042</v>
      </c>
      <c r="Y93">
        <v>2043</v>
      </c>
      <c r="Z93">
        <v>2044</v>
      </c>
      <c r="AA93">
        <v>2045</v>
      </c>
      <c r="AB93">
        <v>2046</v>
      </c>
      <c r="AC93">
        <v>2047</v>
      </c>
      <c r="AD93">
        <v>2048</v>
      </c>
      <c r="AE93">
        <v>2049</v>
      </c>
      <c r="AF93">
        <v>2050</v>
      </c>
      <c r="AG93">
        <v>2051</v>
      </c>
      <c r="AH93">
        <v>2052</v>
      </c>
      <c r="AI93">
        <v>2053</v>
      </c>
      <c r="AJ93">
        <v>2054</v>
      </c>
      <c r="AK93">
        <v>2055</v>
      </c>
      <c r="AL93">
        <v>2056</v>
      </c>
      <c r="AM93">
        <v>2057</v>
      </c>
      <c r="AN93">
        <v>2058</v>
      </c>
      <c r="AO93">
        <v>2059</v>
      </c>
      <c r="AP93">
        <v>2060</v>
      </c>
      <c r="AQ93">
        <v>2061</v>
      </c>
      <c r="AR93">
        <v>2062</v>
      </c>
      <c r="AS93">
        <v>2063</v>
      </c>
      <c r="AT93">
        <v>2064</v>
      </c>
      <c r="AU93">
        <v>2065</v>
      </c>
      <c r="AV93">
        <v>2066</v>
      </c>
      <c r="AW93">
        <v>2067</v>
      </c>
      <c r="AX93">
        <v>2068</v>
      </c>
      <c r="AY93">
        <v>2069</v>
      </c>
      <c r="AZ93">
        <v>2070</v>
      </c>
    </row>
    <row r="94" spans="1:52" x14ac:dyDescent="0.25">
      <c r="A94" t="s">
        <v>52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 x14ac:dyDescent="0.25">
      <c r="A95" t="s">
        <v>53</v>
      </c>
      <c r="B95">
        <v>1.0903082755405942E-7</v>
      </c>
      <c r="C95">
        <v>1.0912442554140288E-7</v>
      </c>
      <c r="D95">
        <v>1.0764525240303067E-7</v>
      </c>
      <c r="E95">
        <v>1.0673406986803258E-7</v>
      </c>
      <c r="F95">
        <v>1.0668638369391665E-7</v>
      </c>
      <c r="G95">
        <v>1.0405754410639155E-7</v>
      </c>
      <c r="H95">
        <v>1.0233781835443125E-7</v>
      </c>
      <c r="I95">
        <v>1.022626025647801E-7</v>
      </c>
      <c r="J95">
        <v>1.017219294026404E-7</v>
      </c>
      <c r="K95">
        <v>1.0210495705924894E-7</v>
      </c>
      <c r="L95">
        <v>1.0195213851906212E-7</v>
      </c>
      <c r="M95">
        <v>1.0188609926792269E-7</v>
      </c>
      <c r="N95">
        <v>1.0129376166352613E-7</v>
      </c>
      <c r="O95">
        <v>1.0110768480168116E-7</v>
      </c>
      <c r="P95">
        <v>1.0074099456623802E-7</v>
      </c>
      <c r="Q95">
        <v>1.0001748020034127E-7</v>
      </c>
      <c r="R95">
        <v>9.920962654985687E-8</v>
      </c>
      <c r="S95">
        <v>9.9040735806380684E-8</v>
      </c>
      <c r="T95">
        <v>9.9004984436687545E-8</v>
      </c>
      <c r="U95">
        <v>9.8864578093100392E-8</v>
      </c>
      <c r="V95">
        <v>9.9128788141233214E-8</v>
      </c>
      <c r="W95">
        <v>9.8908020781199344E-8</v>
      </c>
      <c r="X95">
        <v>9.8340189308550892E-8</v>
      </c>
      <c r="Y95">
        <v>9.7740690821500676E-8</v>
      </c>
      <c r="Z95">
        <v>9.746024943935287E-8</v>
      </c>
      <c r="AA95">
        <v>9.7297246532725259E-8</v>
      </c>
      <c r="AB95">
        <v>9.7147133214874229E-8</v>
      </c>
      <c r="AC95">
        <v>9.6855340507630967E-8</v>
      </c>
      <c r="AD95">
        <v>9.6398741412202895E-8</v>
      </c>
      <c r="AE95">
        <v>9.6468811975058448E-8</v>
      </c>
      <c r="AF95">
        <v>9.6325063886232905E-8</v>
      </c>
      <c r="AG95">
        <f>_xlfn.FORECAST.ETS(AG93,$B$95:$AF$95,$B$93:$AF$93)</f>
        <v>9.6042265842409897E-8</v>
      </c>
      <c r="AH95">
        <f t="shared" ref="AH95:AZ95" si="25">_xlfn.FORECAST.ETS(AH93,$B$95:$AF$95,$B$93:$AF$93)</f>
        <v>9.5759777579328042E-8</v>
      </c>
      <c r="AI95">
        <f t="shared" si="25"/>
        <v>9.5477289316246188E-8</v>
      </c>
      <c r="AJ95">
        <f t="shared" si="25"/>
        <v>9.5194801053164333E-8</v>
      </c>
      <c r="AK95">
        <f t="shared" si="25"/>
        <v>9.4912312790082479E-8</v>
      </c>
      <c r="AL95">
        <f t="shared" si="25"/>
        <v>9.4629824527000624E-8</v>
      </c>
      <c r="AM95">
        <f t="shared" si="25"/>
        <v>9.434733626391877E-8</v>
      </c>
      <c r="AN95">
        <f t="shared" si="25"/>
        <v>9.4064848000836902E-8</v>
      </c>
      <c r="AO95">
        <f t="shared" si="25"/>
        <v>9.3782359737755047E-8</v>
      </c>
      <c r="AP95">
        <f t="shared" si="25"/>
        <v>9.3499871474673193E-8</v>
      </c>
      <c r="AQ95">
        <f t="shared" si="25"/>
        <v>9.3217383211591338E-8</v>
      </c>
      <c r="AR95">
        <f t="shared" si="25"/>
        <v>9.2934894948509484E-8</v>
      </c>
      <c r="AS95">
        <f t="shared" si="25"/>
        <v>9.2652406685427629E-8</v>
      </c>
      <c r="AT95">
        <f t="shared" si="25"/>
        <v>9.2369918422345774E-8</v>
      </c>
      <c r="AU95">
        <f t="shared" si="25"/>
        <v>9.208743015926392E-8</v>
      </c>
      <c r="AV95">
        <f t="shared" si="25"/>
        <v>9.1804941896182065E-8</v>
      </c>
      <c r="AW95">
        <f t="shared" si="25"/>
        <v>9.1522453633100211E-8</v>
      </c>
      <c r="AX95">
        <f t="shared" si="25"/>
        <v>9.1239965370018356E-8</v>
      </c>
      <c r="AY95">
        <f t="shared" si="25"/>
        <v>9.0957477106936502E-8</v>
      </c>
      <c r="AZ95">
        <f t="shared" si="25"/>
        <v>9.0674988843854647E-8</v>
      </c>
    </row>
    <row r="96" spans="1:52" x14ac:dyDescent="0.25">
      <c r="A96" t="s">
        <v>54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 x14ac:dyDescent="0.25">
      <c r="A97" t="s">
        <v>55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t="s">
        <v>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 x14ac:dyDescent="0.25">
      <c r="A99" t="s">
        <v>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 x14ac:dyDescent="0.25">
      <c r="A100" t="s">
        <v>58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 x14ac:dyDescent="0.25">
      <c r="A101" t="s">
        <v>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 s="3" customFormat="1" x14ac:dyDescent="0.25">
      <c r="A102" s="5" t="s">
        <v>46</v>
      </c>
    </row>
    <row r="103" spans="1:52" x14ac:dyDescent="0.25">
      <c r="A103" t="s">
        <v>30</v>
      </c>
      <c r="B103">
        <v>2020</v>
      </c>
      <c r="C103">
        <v>2021</v>
      </c>
      <c r="D103">
        <v>2022</v>
      </c>
      <c r="E103">
        <v>2023</v>
      </c>
      <c r="F103">
        <v>2024</v>
      </c>
      <c r="G103">
        <v>2025</v>
      </c>
      <c r="H103">
        <v>2026</v>
      </c>
      <c r="I103">
        <v>2027</v>
      </c>
      <c r="J103">
        <v>2028</v>
      </c>
      <c r="K103">
        <v>2029</v>
      </c>
      <c r="L103">
        <v>2030</v>
      </c>
      <c r="M103">
        <v>2031</v>
      </c>
      <c r="N103">
        <v>2032</v>
      </c>
      <c r="O103">
        <v>2033</v>
      </c>
      <c r="P103">
        <v>2034</v>
      </c>
      <c r="Q103">
        <v>2035</v>
      </c>
      <c r="R103">
        <v>2036</v>
      </c>
      <c r="S103">
        <v>2037</v>
      </c>
      <c r="T103">
        <v>2038</v>
      </c>
      <c r="U103">
        <v>2039</v>
      </c>
      <c r="V103">
        <v>2040</v>
      </c>
      <c r="W103">
        <v>2041</v>
      </c>
      <c r="X103">
        <v>2042</v>
      </c>
      <c r="Y103">
        <v>2043</v>
      </c>
      <c r="Z103">
        <v>2044</v>
      </c>
      <c r="AA103">
        <v>2045</v>
      </c>
      <c r="AB103">
        <v>2046</v>
      </c>
      <c r="AC103">
        <v>2047</v>
      </c>
      <c r="AD103">
        <v>2048</v>
      </c>
      <c r="AE103">
        <v>2049</v>
      </c>
      <c r="AF103">
        <v>2050</v>
      </c>
      <c r="AG103">
        <v>2051</v>
      </c>
      <c r="AH103">
        <v>2052</v>
      </c>
      <c r="AI103">
        <v>2053</v>
      </c>
      <c r="AJ103">
        <v>2054</v>
      </c>
      <c r="AK103">
        <v>2055</v>
      </c>
      <c r="AL103">
        <v>2056</v>
      </c>
      <c r="AM103">
        <v>2057</v>
      </c>
      <c r="AN103">
        <v>2058</v>
      </c>
      <c r="AO103">
        <v>2059</v>
      </c>
      <c r="AP103">
        <v>2060</v>
      </c>
      <c r="AQ103">
        <v>2061</v>
      </c>
      <c r="AR103">
        <v>2062</v>
      </c>
      <c r="AS103">
        <v>2063</v>
      </c>
      <c r="AT103">
        <v>2064</v>
      </c>
      <c r="AU103">
        <v>2065</v>
      </c>
      <c r="AV103">
        <v>2066</v>
      </c>
      <c r="AW103">
        <v>2067</v>
      </c>
      <c r="AX103">
        <v>2068</v>
      </c>
      <c r="AY103">
        <v>2069</v>
      </c>
      <c r="AZ103">
        <v>2070</v>
      </c>
    </row>
    <row r="104" spans="1:52" x14ac:dyDescent="0.25">
      <c r="A104" t="s">
        <v>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 x14ac:dyDescent="0.25">
      <c r="A105" t="s">
        <v>53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t="s">
        <v>54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 x14ac:dyDescent="0.25">
      <c r="A107" t="s">
        <v>55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 x14ac:dyDescent="0.25">
      <c r="A108" t="s">
        <v>56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 x14ac:dyDescent="0.25">
      <c r="A109" t="s">
        <v>57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 t="s">
        <v>58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 x14ac:dyDescent="0.25">
      <c r="A111" t="s">
        <v>59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s="3" customFormat="1" x14ac:dyDescent="0.25">
      <c r="A112" s="5" t="s">
        <v>47</v>
      </c>
    </row>
    <row r="113" spans="1:52" x14ac:dyDescent="0.25">
      <c r="A113" t="s">
        <v>30</v>
      </c>
      <c r="B113">
        <v>2020</v>
      </c>
      <c r="C113">
        <v>2021</v>
      </c>
      <c r="D113">
        <v>2022</v>
      </c>
      <c r="E113">
        <v>2023</v>
      </c>
      <c r="F113">
        <v>2024</v>
      </c>
      <c r="G113">
        <v>2025</v>
      </c>
      <c r="H113">
        <v>2026</v>
      </c>
      <c r="I113">
        <v>2027</v>
      </c>
      <c r="J113">
        <v>2028</v>
      </c>
      <c r="K113">
        <v>2029</v>
      </c>
      <c r="L113">
        <v>2030</v>
      </c>
      <c r="M113">
        <v>2031</v>
      </c>
      <c r="N113">
        <v>2032</v>
      </c>
      <c r="O113">
        <v>2033</v>
      </c>
      <c r="P113">
        <v>2034</v>
      </c>
      <c r="Q113">
        <v>2035</v>
      </c>
      <c r="R113">
        <v>2036</v>
      </c>
      <c r="S113">
        <v>2037</v>
      </c>
      <c r="T113">
        <v>2038</v>
      </c>
      <c r="U113">
        <v>2039</v>
      </c>
      <c r="V113">
        <v>2040</v>
      </c>
      <c r="W113">
        <v>2041</v>
      </c>
      <c r="X113">
        <v>2042</v>
      </c>
      <c r="Y113">
        <v>2043</v>
      </c>
      <c r="Z113">
        <v>2044</v>
      </c>
      <c r="AA113">
        <v>2045</v>
      </c>
      <c r="AB113">
        <v>2046</v>
      </c>
      <c r="AC113">
        <v>2047</v>
      </c>
      <c r="AD113">
        <v>2048</v>
      </c>
      <c r="AE113">
        <v>2049</v>
      </c>
      <c r="AF113">
        <v>2050</v>
      </c>
      <c r="AG113">
        <v>2051</v>
      </c>
      <c r="AH113">
        <v>2052</v>
      </c>
      <c r="AI113">
        <v>2053</v>
      </c>
      <c r="AJ113">
        <v>2054</v>
      </c>
      <c r="AK113">
        <v>2055</v>
      </c>
      <c r="AL113">
        <v>2056</v>
      </c>
      <c r="AM113">
        <v>2057</v>
      </c>
      <c r="AN113">
        <v>2058</v>
      </c>
      <c r="AO113">
        <v>2059</v>
      </c>
      <c r="AP113">
        <v>2060</v>
      </c>
      <c r="AQ113">
        <v>2061</v>
      </c>
      <c r="AR113">
        <v>2062</v>
      </c>
      <c r="AS113">
        <v>2063</v>
      </c>
      <c r="AT113">
        <v>2064</v>
      </c>
      <c r="AU113">
        <v>2065</v>
      </c>
      <c r="AV113">
        <v>2066</v>
      </c>
      <c r="AW113">
        <v>2067</v>
      </c>
      <c r="AX113">
        <v>2068</v>
      </c>
      <c r="AY113">
        <v>2069</v>
      </c>
      <c r="AZ113">
        <v>2070</v>
      </c>
    </row>
    <row r="114" spans="1:52" x14ac:dyDescent="0.25">
      <c r="A114" t="s">
        <v>52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25">
      <c r="A115" t="s">
        <v>53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 x14ac:dyDescent="0.25">
      <c r="A116" t="s">
        <v>54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 t="s">
        <v>55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 x14ac:dyDescent="0.25">
      <c r="A119" t="s">
        <v>57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 x14ac:dyDescent="0.25">
      <c r="A120" t="s">
        <v>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25">
      <c r="A121" t="s">
        <v>59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 s="3" customFormat="1" x14ac:dyDescent="0.25">
      <c r="A122" s="5" t="s">
        <v>48</v>
      </c>
    </row>
    <row r="123" spans="1:52" x14ac:dyDescent="0.25">
      <c r="A123" t="s">
        <v>30</v>
      </c>
      <c r="B123">
        <v>2020</v>
      </c>
      <c r="C123">
        <v>2021</v>
      </c>
      <c r="D123">
        <v>2022</v>
      </c>
      <c r="E123">
        <v>2023</v>
      </c>
      <c r="F123">
        <v>2024</v>
      </c>
      <c r="G123">
        <v>2025</v>
      </c>
      <c r="H123">
        <v>2026</v>
      </c>
      <c r="I123">
        <v>2027</v>
      </c>
      <c r="J123">
        <v>2028</v>
      </c>
      <c r="K123">
        <v>2029</v>
      </c>
      <c r="L123">
        <v>2030</v>
      </c>
      <c r="M123">
        <v>2031</v>
      </c>
      <c r="N123">
        <v>2032</v>
      </c>
      <c r="O123">
        <v>2033</v>
      </c>
      <c r="P123">
        <v>2034</v>
      </c>
      <c r="Q123">
        <v>2035</v>
      </c>
      <c r="R123">
        <v>2036</v>
      </c>
      <c r="S123">
        <v>2037</v>
      </c>
      <c r="T123">
        <v>2038</v>
      </c>
      <c r="U123">
        <v>2039</v>
      </c>
      <c r="V123">
        <v>2040</v>
      </c>
      <c r="W123">
        <v>2041</v>
      </c>
      <c r="X123">
        <v>2042</v>
      </c>
      <c r="Y123">
        <v>2043</v>
      </c>
      <c r="Z123">
        <v>2044</v>
      </c>
      <c r="AA123">
        <v>2045</v>
      </c>
      <c r="AB123">
        <v>2046</v>
      </c>
      <c r="AC123">
        <v>2047</v>
      </c>
      <c r="AD123">
        <v>2048</v>
      </c>
      <c r="AE123">
        <v>2049</v>
      </c>
      <c r="AF123">
        <v>2050</v>
      </c>
      <c r="AG123">
        <v>2051</v>
      </c>
      <c r="AH123">
        <v>2052</v>
      </c>
      <c r="AI123">
        <v>2053</v>
      </c>
      <c r="AJ123">
        <v>2054</v>
      </c>
      <c r="AK123">
        <v>2055</v>
      </c>
      <c r="AL123">
        <v>2056</v>
      </c>
      <c r="AM123">
        <v>2057</v>
      </c>
      <c r="AN123">
        <v>2058</v>
      </c>
      <c r="AO123">
        <v>2059</v>
      </c>
      <c r="AP123">
        <v>2060</v>
      </c>
      <c r="AQ123">
        <v>2061</v>
      </c>
      <c r="AR123">
        <v>2062</v>
      </c>
      <c r="AS123">
        <v>2063</v>
      </c>
      <c r="AT123">
        <v>2064</v>
      </c>
      <c r="AU123">
        <v>2065</v>
      </c>
      <c r="AV123">
        <v>2066</v>
      </c>
      <c r="AW123">
        <v>2067</v>
      </c>
      <c r="AX123">
        <v>2068</v>
      </c>
      <c r="AY123">
        <v>2069</v>
      </c>
      <c r="AZ123">
        <v>2070</v>
      </c>
    </row>
    <row r="124" spans="1:52" x14ac:dyDescent="0.25">
      <c r="A124" t="s">
        <v>52</v>
      </c>
      <c r="B124">
        <v>7.2309936889943628E-7</v>
      </c>
      <c r="C124">
        <v>1.0222965127559506E-6</v>
      </c>
      <c r="D124">
        <v>1.0574511577041885E-6</v>
      </c>
      <c r="E124">
        <v>9.705147308252277E-7</v>
      </c>
      <c r="F124">
        <v>9.7065502744300829E-7</v>
      </c>
      <c r="G124">
        <v>9.6491398613340217E-7</v>
      </c>
      <c r="H124">
        <v>9.7240282945548222E-7</v>
      </c>
      <c r="I124">
        <v>9.9231757424517816E-7</v>
      </c>
      <c r="J124">
        <v>1.0194507672738974E-6</v>
      </c>
      <c r="K124">
        <v>1.0369102348274125E-6</v>
      </c>
      <c r="L124">
        <v>1.0553384692521236E-6</v>
      </c>
      <c r="M124">
        <v>1.0911364620583237E-6</v>
      </c>
      <c r="N124">
        <v>1.1043481398188729E-6</v>
      </c>
      <c r="O124">
        <v>1.1198236922019412E-6</v>
      </c>
      <c r="P124">
        <v>1.1273287258113298E-6</v>
      </c>
      <c r="Q124">
        <v>1.1323574520960402E-6</v>
      </c>
      <c r="R124">
        <v>1.1394304758326899E-6</v>
      </c>
      <c r="S124">
        <v>1.1485478546379599E-6</v>
      </c>
      <c r="T124">
        <v>1.1568386645402812E-6</v>
      </c>
      <c r="U124">
        <v>1.1607817773251059E-6</v>
      </c>
      <c r="V124">
        <v>1.1744340498438349E-6</v>
      </c>
      <c r="W124">
        <v>1.1823086944606412E-6</v>
      </c>
      <c r="X124">
        <v>1.1827817274101192E-6</v>
      </c>
      <c r="Y124">
        <v>1.1912267195502969E-6</v>
      </c>
      <c r="Z124">
        <v>1.2013211044121194E-6</v>
      </c>
      <c r="AA124">
        <v>1.2025713863857696E-6</v>
      </c>
      <c r="AB124">
        <v>1.2074992834790568E-6</v>
      </c>
      <c r="AC124">
        <v>1.2107145247351662E-6</v>
      </c>
      <c r="AD124">
        <v>1.2122759944018896E-6</v>
      </c>
      <c r="AE124">
        <v>1.2110939881950032E-6</v>
      </c>
      <c r="AF124">
        <v>1.2098011851109126E-6</v>
      </c>
      <c r="AG124">
        <f>_xlfn.FORECAST.ETS(AG123,$B$124:$AF$124,$B$123:$AF$123)</f>
        <v>1.2220512269687004E-6</v>
      </c>
      <c r="AH124">
        <f>_xlfn.FORECAST.ETS(AH123,$B$124:$AF$124,$B$123:$AF$123)</f>
        <v>1.2329495212906592E-6</v>
      </c>
      <c r="AI124">
        <f t="shared" ref="AI124:AZ124" si="26">_xlfn.FORECAST.ETS(AI123,$B$124:$AF$124,$B$123:$AF$123)</f>
        <v>1.243847815612618E-6</v>
      </c>
      <c r="AJ124">
        <f t="shared" si="26"/>
        <v>1.2547461099345769E-6</v>
      </c>
      <c r="AK124">
        <f t="shared" si="26"/>
        <v>1.2656444042565357E-6</v>
      </c>
      <c r="AL124">
        <f t="shared" si="26"/>
        <v>1.2765426985784946E-6</v>
      </c>
      <c r="AM124">
        <f t="shared" si="26"/>
        <v>1.2874409929004534E-6</v>
      </c>
      <c r="AN124">
        <f t="shared" si="26"/>
        <v>1.2983392872224122E-6</v>
      </c>
      <c r="AO124">
        <f t="shared" si="26"/>
        <v>1.3092375815443711E-6</v>
      </c>
      <c r="AP124">
        <f t="shared" si="26"/>
        <v>1.3201358758663301E-6</v>
      </c>
      <c r="AQ124">
        <f t="shared" si="26"/>
        <v>1.331034170188289E-6</v>
      </c>
      <c r="AR124">
        <f t="shared" si="26"/>
        <v>1.3419324645102478E-6</v>
      </c>
      <c r="AS124">
        <f t="shared" si="26"/>
        <v>1.3528307588322067E-6</v>
      </c>
      <c r="AT124">
        <f t="shared" si="26"/>
        <v>1.3637290531541655E-6</v>
      </c>
      <c r="AU124">
        <f t="shared" si="26"/>
        <v>1.3746273474761243E-6</v>
      </c>
      <c r="AV124">
        <f t="shared" si="26"/>
        <v>1.3855256417980832E-6</v>
      </c>
      <c r="AW124">
        <f t="shared" si="26"/>
        <v>1.396423936120042E-6</v>
      </c>
      <c r="AX124">
        <f t="shared" si="26"/>
        <v>1.4073222304420009E-6</v>
      </c>
      <c r="AY124">
        <f t="shared" si="26"/>
        <v>1.4182205247639597E-6</v>
      </c>
      <c r="AZ124">
        <f t="shared" si="26"/>
        <v>1.4291188190859186E-6</v>
      </c>
    </row>
    <row r="125" spans="1:52" x14ac:dyDescent="0.25">
      <c r="A125" t="s">
        <v>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 x14ac:dyDescent="0.25">
      <c r="A126" t="s">
        <v>54</v>
      </c>
      <c r="B126">
        <v>1.0433838709292265E-6</v>
      </c>
      <c r="C126">
        <v>1.237901762210488E-6</v>
      </c>
      <c r="D126">
        <v>1.3378963183956304E-6</v>
      </c>
      <c r="E126">
        <v>1.3251658551532343E-6</v>
      </c>
      <c r="F126">
        <v>1.3277215582640734E-6</v>
      </c>
      <c r="G126">
        <v>1.3244927194712918E-6</v>
      </c>
      <c r="H126">
        <v>1.3294243040321513E-6</v>
      </c>
      <c r="I126">
        <v>1.3475299426609883E-6</v>
      </c>
      <c r="J126">
        <v>1.3775746218045688E-6</v>
      </c>
      <c r="K126">
        <v>1.4059825838962837E-6</v>
      </c>
      <c r="L126">
        <v>1.4353723918457395E-6</v>
      </c>
      <c r="M126">
        <v>1.473839419773938E-6</v>
      </c>
      <c r="N126">
        <v>1.4990728756028782E-6</v>
      </c>
      <c r="O126">
        <v>1.5240813382932426E-6</v>
      </c>
      <c r="P126">
        <v>1.542461347556113E-6</v>
      </c>
      <c r="Q126">
        <v>1.5564028558125252E-6</v>
      </c>
      <c r="R126">
        <v>1.5697653164267631E-6</v>
      </c>
      <c r="S126">
        <v>1.5842642084533636E-6</v>
      </c>
      <c r="T126">
        <v>1.5984923020801417E-6</v>
      </c>
      <c r="U126">
        <v>1.6090513654727238E-6</v>
      </c>
      <c r="V126">
        <v>1.6261080924273534E-6</v>
      </c>
      <c r="W126">
        <v>1.6409570057898953E-6</v>
      </c>
      <c r="X126">
        <v>1.6490393585410341E-6</v>
      </c>
      <c r="Y126">
        <v>1.660789531576071E-6</v>
      </c>
      <c r="Z126">
        <v>1.6750689040487727E-6</v>
      </c>
      <c r="AA126">
        <v>1.6831969468277964E-6</v>
      </c>
      <c r="AB126">
        <v>1.6919440232254787E-6</v>
      </c>
      <c r="AC126">
        <v>1.6991625866978632E-6</v>
      </c>
      <c r="AD126">
        <v>1.7043067768109239E-6</v>
      </c>
      <c r="AE126">
        <v>1.7061547742313318E-6</v>
      </c>
      <c r="AF126">
        <v>1.7063593134482191E-6</v>
      </c>
      <c r="AG126">
        <f>_xlfn.FORECAST.ETS(AG123,$B$126:$AF$126,$B$123:$AF$123)</f>
        <v>1.7086288833082636E-6</v>
      </c>
      <c r="AH126">
        <f>_xlfn.FORECAST.ETS(AH123,$B$126:$AF$126,$B$123:$AF$123)</f>
        <v>1.7108902029728051E-6</v>
      </c>
      <c r="AI126">
        <f t="shared" ref="AI126:AZ126" si="27">_xlfn.FORECAST.ETS(AI123,$B$126:$AF$126,$B$123:$AF$123)</f>
        <v>1.7131515226373466E-6</v>
      </c>
      <c r="AJ126">
        <f t="shared" si="27"/>
        <v>1.7154128423018882E-6</v>
      </c>
      <c r="AK126">
        <f t="shared" si="27"/>
        <v>1.7176741619664299E-6</v>
      </c>
      <c r="AL126">
        <f t="shared" si="27"/>
        <v>1.7199354816309715E-6</v>
      </c>
      <c r="AM126">
        <f t="shared" si="27"/>
        <v>1.722196801295513E-6</v>
      </c>
      <c r="AN126">
        <f t="shared" si="27"/>
        <v>1.7244581209600545E-6</v>
      </c>
      <c r="AO126">
        <f t="shared" si="27"/>
        <v>1.7267194406245961E-6</v>
      </c>
      <c r="AP126">
        <f t="shared" si="27"/>
        <v>1.7289807602891376E-6</v>
      </c>
      <c r="AQ126">
        <f t="shared" si="27"/>
        <v>1.7312420799536792E-6</v>
      </c>
      <c r="AR126">
        <f t="shared" si="27"/>
        <v>1.7335033996182207E-6</v>
      </c>
      <c r="AS126">
        <f t="shared" si="27"/>
        <v>1.7357647192827622E-6</v>
      </c>
      <c r="AT126">
        <f t="shared" si="27"/>
        <v>1.7380260389473038E-6</v>
      </c>
      <c r="AU126">
        <f t="shared" si="27"/>
        <v>1.7402873586118455E-6</v>
      </c>
      <c r="AV126">
        <f t="shared" si="27"/>
        <v>1.7425486782763871E-6</v>
      </c>
      <c r="AW126">
        <f t="shared" si="27"/>
        <v>1.7448099979409286E-6</v>
      </c>
      <c r="AX126">
        <f t="shared" si="27"/>
        <v>1.7470713176054702E-6</v>
      </c>
      <c r="AY126">
        <f t="shared" si="27"/>
        <v>1.7493326372700117E-6</v>
      </c>
      <c r="AZ126">
        <f t="shared" si="27"/>
        <v>1.7515939569345532E-6</v>
      </c>
    </row>
    <row r="127" spans="1:52" x14ac:dyDescent="0.25">
      <c r="A127" t="s">
        <v>55</v>
      </c>
      <c r="B127">
        <v>7.7034234125656186E-7</v>
      </c>
      <c r="C127">
        <v>1.0827436706309627E-6</v>
      </c>
      <c r="D127">
        <v>1.1413593670729599E-6</v>
      </c>
      <c r="E127">
        <v>1.0519458838524706E-6</v>
      </c>
      <c r="F127">
        <v>1.0476534987485552E-6</v>
      </c>
      <c r="G127">
        <v>1.0404103905701443E-6</v>
      </c>
      <c r="H127">
        <v>1.0480219574223568E-6</v>
      </c>
      <c r="I127">
        <v>1.0702961629080413E-6</v>
      </c>
      <c r="J127">
        <v>1.1016251754836329E-6</v>
      </c>
      <c r="K127">
        <v>1.1230909613208252E-6</v>
      </c>
      <c r="L127">
        <v>1.1451304364488759E-6</v>
      </c>
      <c r="M127">
        <v>1.1789828291773701E-6</v>
      </c>
      <c r="N127">
        <v>1.1951111785540537E-6</v>
      </c>
      <c r="O127">
        <v>1.2124611744140238E-6</v>
      </c>
      <c r="P127">
        <v>1.2219648154474664E-6</v>
      </c>
      <c r="Q127">
        <v>1.2283493774650772E-6</v>
      </c>
      <c r="R127">
        <v>1.2367646970146362E-6</v>
      </c>
      <c r="S127">
        <v>1.2475644252829756E-6</v>
      </c>
      <c r="T127">
        <v>1.2576047656981951E-6</v>
      </c>
      <c r="U127">
        <v>1.2627790893353211E-6</v>
      </c>
      <c r="V127">
        <v>1.2784879316590027E-6</v>
      </c>
      <c r="W127">
        <v>1.2883847489223159E-6</v>
      </c>
      <c r="X127">
        <v>1.2897336130368381E-6</v>
      </c>
      <c r="Y127">
        <v>1.2994250268330513E-6</v>
      </c>
      <c r="Z127">
        <v>1.3114123501263165E-6</v>
      </c>
      <c r="AA127">
        <v>1.3136991561877994E-6</v>
      </c>
      <c r="AB127">
        <v>1.3195247211681589E-6</v>
      </c>
      <c r="AC127">
        <v>1.3235695273946191E-6</v>
      </c>
      <c r="AD127">
        <v>1.325667408359715E-6</v>
      </c>
      <c r="AE127">
        <v>1.324561513788183E-6</v>
      </c>
      <c r="AF127">
        <v>1.3231248994687826E-6</v>
      </c>
      <c r="AG127">
        <f>_xlfn.FORECAST.ETS(AG123,$B$127:$AF$127,$B$123:$AF$123)</f>
        <v>1.3373114066189884E-6</v>
      </c>
      <c r="AH127">
        <f>_xlfn.FORECAST.ETS(AH123,$B$127:$AF$127,$B$123:$AF$123)</f>
        <v>1.3499406034654317E-6</v>
      </c>
      <c r="AI127">
        <f t="shared" ref="AI127:AZ127" si="28">_xlfn.FORECAST.ETS(AI123,$B$127:$AF$127,$B$123:$AF$123)</f>
        <v>1.3625698003118748E-6</v>
      </c>
      <c r="AJ127">
        <f t="shared" si="28"/>
        <v>1.3751989971583181E-6</v>
      </c>
      <c r="AK127">
        <f t="shared" si="28"/>
        <v>1.3878281940047612E-6</v>
      </c>
      <c r="AL127">
        <f t="shared" si="28"/>
        <v>1.4004573908512046E-6</v>
      </c>
      <c r="AM127">
        <f t="shared" si="28"/>
        <v>1.4130865876976477E-6</v>
      </c>
      <c r="AN127">
        <f t="shared" si="28"/>
        <v>1.425715784544091E-6</v>
      </c>
      <c r="AO127">
        <f t="shared" si="28"/>
        <v>1.4383449813905341E-6</v>
      </c>
      <c r="AP127">
        <f t="shared" si="28"/>
        <v>1.4509741782369775E-6</v>
      </c>
      <c r="AQ127">
        <f t="shared" si="28"/>
        <v>1.4636033750834206E-6</v>
      </c>
      <c r="AR127">
        <f t="shared" si="28"/>
        <v>1.4762325719298639E-6</v>
      </c>
      <c r="AS127">
        <f t="shared" si="28"/>
        <v>1.488861768776307E-6</v>
      </c>
      <c r="AT127">
        <f t="shared" si="28"/>
        <v>1.5014909656227504E-6</v>
      </c>
      <c r="AU127">
        <f t="shared" si="28"/>
        <v>1.5141201624691935E-6</v>
      </c>
      <c r="AV127">
        <f t="shared" si="28"/>
        <v>1.5267493593156368E-6</v>
      </c>
      <c r="AW127">
        <f t="shared" si="28"/>
        <v>1.5393785561620799E-6</v>
      </c>
      <c r="AX127">
        <f t="shared" si="28"/>
        <v>1.5520077530085233E-6</v>
      </c>
      <c r="AY127">
        <f t="shared" si="28"/>
        <v>1.5646369498549664E-6</v>
      </c>
      <c r="AZ127">
        <f t="shared" si="28"/>
        <v>1.5772661467014097E-6</v>
      </c>
    </row>
    <row r="128" spans="1:52" x14ac:dyDescent="0.25">
      <c r="A128" t="s">
        <v>56</v>
      </c>
      <c r="B128" s="42">
        <v>4.5981167073804443E-7</v>
      </c>
      <c r="C128" s="42">
        <v>7.8600566493911493E-7</v>
      </c>
      <c r="D128" s="42">
        <v>8.339356565241022E-7</v>
      </c>
      <c r="E128" s="42">
        <v>7.3119589596492587E-7</v>
      </c>
      <c r="F128" s="42">
        <v>7.3022154027569102E-7</v>
      </c>
      <c r="G128" s="42">
        <v>7.2335478425635306E-7</v>
      </c>
      <c r="H128" s="42">
        <v>7.319912942435546E-7</v>
      </c>
      <c r="I128" s="42">
        <v>7.5554343770968002E-7</v>
      </c>
      <c r="J128" s="42">
        <v>7.882780092137136E-7</v>
      </c>
      <c r="K128" s="42">
        <v>8.0992932076312504E-7</v>
      </c>
      <c r="L128" s="42">
        <v>8.3282013996687444E-7</v>
      </c>
      <c r="M128" s="42">
        <v>8.533232086843561E-7</v>
      </c>
      <c r="N128" s="42">
        <v>8.7018415415758186E-7</v>
      </c>
      <c r="O128" s="42">
        <v>8.8650114054724862E-7</v>
      </c>
      <c r="P128" s="42">
        <v>8.9634466238080962E-7</v>
      </c>
      <c r="Q128" s="42">
        <v>9.0300382549917693E-7</v>
      </c>
      <c r="R128" s="42">
        <v>9.122112591765583E-7</v>
      </c>
      <c r="S128" s="42">
        <v>9.2409193399363755E-7</v>
      </c>
      <c r="T128" s="42">
        <v>9.3500528235654141E-7</v>
      </c>
      <c r="U128" s="42">
        <v>9.4037993919285521E-7</v>
      </c>
      <c r="V128" s="42">
        <v>9.5818303263074145E-7</v>
      </c>
      <c r="W128" s="42">
        <v>9.6879245300235453E-7</v>
      </c>
      <c r="X128" s="42">
        <v>9.6975511250538435E-7</v>
      </c>
      <c r="Y128" s="42">
        <v>9.8091696161263586E-7</v>
      </c>
      <c r="Z128" s="42">
        <v>9.9439920730628472E-7</v>
      </c>
      <c r="AA128" s="42">
        <v>9.963987365972321E-7</v>
      </c>
      <c r="AB128" s="42">
        <v>1.0030601467661509E-6</v>
      </c>
      <c r="AC128" s="42">
        <v>1.0075222129950619E-6</v>
      </c>
      <c r="AD128" s="42">
        <v>1.0097832067835405E-6</v>
      </c>
      <c r="AE128" s="42">
        <v>1.0084109502966084E-6</v>
      </c>
      <c r="AF128" s="42">
        <v>1.0068501720300548E-6</v>
      </c>
      <c r="AG128" s="42">
        <f>_xlfn.FORECAST.ETS(AG123,$D$128:$AF$128,$D$123:$AF$123)</f>
        <v>1.0190319331899082E-6</v>
      </c>
      <c r="AH128" s="42">
        <f t="shared" ref="AH128:AZ128" si="29">_xlfn.FORECAST.ETS(AH123,$D$128:$AF$128,$D$123:$AF$123)</f>
        <v>1.0298436860107414E-6</v>
      </c>
      <c r="AI128" s="42">
        <f t="shared" si="29"/>
        <v>1.0406554388315748E-6</v>
      </c>
      <c r="AJ128" s="42">
        <f t="shared" si="29"/>
        <v>1.0514671916524082E-6</v>
      </c>
      <c r="AK128" s="42">
        <f t="shared" si="29"/>
        <v>1.0622789444732414E-6</v>
      </c>
      <c r="AL128" s="42">
        <f t="shared" si="29"/>
        <v>1.0730906972940748E-6</v>
      </c>
      <c r="AM128" s="42">
        <f t="shared" si="29"/>
        <v>1.0839024501149082E-6</v>
      </c>
      <c r="AN128" s="42">
        <f t="shared" si="29"/>
        <v>1.0947142029357414E-6</v>
      </c>
      <c r="AO128" s="42">
        <f t="shared" si="29"/>
        <v>1.1055259557565748E-6</v>
      </c>
      <c r="AP128" s="42">
        <f t="shared" si="29"/>
        <v>1.1163377085774082E-6</v>
      </c>
      <c r="AQ128" s="42">
        <f t="shared" si="29"/>
        <v>1.1271494613982414E-6</v>
      </c>
      <c r="AR128" s="42">
        <f t="shared" si="29"/>
        <v>1.1379612142190748E-6</v>
      </c>
      <c r="AS128" s="42">
        <f t="shared" si="29"/>
        <v>1.1487729670399082E-6</v>
      </c>
      <c r="AT128" s="42">
        <f t="shared" si="29"/>
        <v>1.1595847198607414E-6</v>
      </c>
      <c r="AU128" s="42">
        <f t="shared" si="29"/>
        <v>1.1703964726815748E-6</v>
      </c>
      <c r="AV128" s="42">
        <f t="shared" si="29"/>
        <v>1.1812082255024082E-6</v>
      </c>
      <c r="AW128" s="42">
        <f t="shared" si="29"/>
        <v>1.1920199783232414E-6</v>
      </c>
      <c r="AX128" s="42">
        <f t="shared" si="29"/>
        <v>1.2028317311440748E-6</v>
      </c>
      <c r="AY128" s="42">
        <f t="shared" si="29"/>
        <v>1.2136434839649082E-6</v>
      </c>
      <c r="AZ128" s="42">
        <f t="shared" si="29"/>
        <v>1.2244552367857413E-6</v>
      </c>
    </row>
    <row r="129" spans="1:52" x14ac:dyDescent="0.25">
      <c r="A129" t="s">
        <v>57</v>
      </c>
      <c r="B129" s="42">
        <v>0</v>
      </c>
      <c r="C129" s="42">
        <v>0</v>
      </c>
      <c r="D129" s="42">
        <v>0</v>
      </c>
      <c r="E129" s="42">
        <v>0</v>
      </c>
      <c r="F129" s="42">
        <v>0</v>
      </c>
      <c r="G129" s="42">
        <v>0</v>
      </c>
      <c r="H129" s="42">
        <v>0</v>
      </c>
      <c r="I129" s="42">
        <v>0</v>
      </c>
      <c r="J129" s="42">
        <v>0</v>
      </c>
      <c r="K129" s="42">
        <v>0</v>
      </c>
      <c r="L129" s="42">
        <v>0</v>
      </c>
      <c r="M129" s="42">
        <v>0</v>
      </c>
      <c r="N129" s="42">
        <v>0</v>
      </c>
      <c r="O129" s="42">
        <v>0</v>
      </c>
      <c r="P129" s="42">
        <v>0</v>
      </c>
      <c r="Q129" s="42">
        <v>0</v>
      </c>
      <c r="R129" s="42">
        <v>0</v>
      </c>
      <c r="S129" s="42">
        <v>0</v>
      </c>
      <c r="T129" s="42">
        <v>0</v>
      </c>
      <c r="U129" s="42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  <c r="AE129" s="42">
        <v>0</v>
      </c>
      <c r="AF129" s="42">
        <v>0</v>
      </c>
      <c r="AG129" s="42">
        <v>0</v>
      </c>
      <c r="AH129" s="42">
        <v>0</v>
      </c>
      <c r="AI129" s="42">
        <v>0</v>
      </c>
      <c r="AJ129" s="42">
        <v>0</v>
      </c>
      <c r="AK129" s="42">
        <v>0</v>
      </c>
      <c r="AL129" s="42">
        <v>0</v>
      </c>
      <c r="AM129" s="42">
        <v>0</v>
      </c>
      <c r="AN129" s="42">
        <v>0</v>
      </c>
      <c r="AO129" s="42">
        <v>0</v>
      </c>
      <c r="AP129" s="42">
        <v>0</v>
      </c>
      <c r="AQ129" s="42">
        <v>0</v>
      </c>
      <c r="AR129" s="42">
        <v>0</v>
      </c>
      <c r="AS129" s="42">
        <v>0</v>
      </c>
      <c r="AT129" s="42">
        <v>0</v>
      </c>
      <c r="AU129" s="42">
        <v>0</v>
      </c>
      <c r="AV129" s="42">
        <v>0</v>
      </c>
      <c r="AW129" s="42">
        <v>0</v>
      </c>
      <c r="AX129" s="42">
        <v>0</v>
      </c>
      <c r="AY129" s="42">
        <v>0</v>
      </c>
      <c r="AZ129" s="42">
        <v>0</v>
      </c>
    </row>
    <row r="130" spans="1:52" x14ac:dyDescent="0.25">
      <c r="A130" t="s">
        <v>58</v>
      </c>
      <c r="B130" s="42">
        <v>0</v>
      </c>
      <c r="C130" s="42">
        <v>0</v>
      </c>
      <c r="D130" s="42">
        <v>0</v>
      </c>
      <c r="E130" s="42">
        <v>0</v>
      </c>
      <c r="F130" s="42">
        <v>0</v>
      </c>
      <c r="G130" s="42">
        <v>0</v>
      </c>
      <c r="H130" s="42">
        <v>0</v>
      </c>
      <c r="I130" s="42">
        <v>0</v>
      </c>
      <c r="J130" s="42">
        <v>0</v>
      </c>
      <c r="K130" s="42">
        <v>0</v>
      </c>
      <c r="L130" s="42">
        <v>0</v>
      </c>
      <c r="M130" s="42">
        <v>0</v>
      </c>
      <c r="N130" s="42">
        <v>0</v>
      </c>
      <c r="O130" s="42">
        <v>0</v>
      </c>
      <c r="P130" s="42">
        <v>0</v>
      </c>
      <c r="Q130" s="42">
        <v>0</v>
      </c>
      <c r="R130" s="42">
        <v>0</v>
      </c>
      <c r="S130" s="42">
        <v>0</v>
      </c>
      <c r="T130" s="42">
        <v>0</v>
      </c>
      <c r="U130" s="42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  <c r="AE130" s="42">
        <v>0</v>
      </c>
      <c r="AF130" s="42">
        <v>0</v>
      </c>
      <c r="AG130" s="42">
        <v>0</v>
      </c>
      <c r="AH130" s="42">
        <v>0</v>
      </c>
      <c r="AI130" s="42">
        <v>0</v>
      </c>
      <c r="AJ130" s="42">
        <v>0</v>
      </c>
      <c r="AK130" s="42">
        <v>0</v>
      </c>
      <c r="AL130" s="42">
        <v>0</v>
      </c>
      <c r="AM130" s="42">
        <v>0</v>
      </c>
      <c r="AN130" s="42">
        <v>0</v>
      </c>
      <c r="AO130" s="42">
        <v>0</v>
      </c>
      <c r="AP130" s="42">
        <v>0</v>
      </c>
      <c r="AQ130" s="42">
        <v>0</v>
      </c>
      <c r="AR130" s="42">
        <v>0</v>
      </c>
      <c r="AS130" s="42">
        <v>0</v>
      </c>
      <c r="AT130" s="42">
        <v>0</v>
      </c>
      <c r="AU130" s="42">
        <v>0</v>
      </c>
      <c r="AV130" s="42">
        <v>0</v>
      </c>
      <c r="AW130" s="42">
        <v>0</v>
      </c>
      <c r="AX130" s="42">
        <v>0</v>
      </c>
      <c r="AY130" s="42">
        <v>0</v>
      </c>
      <c r="AZ130" s="42">
        <v>0</v>
      </c>
    </row>
    <row r="131" spans="1:52" x14ac:dyDescent="0.25">
      <c r="A131" t="s">
        <v>59</v>
      </c>
      <c r="B131" s="42">
        <v>4.5981167073804443E-7</v>
      </c>
      <c r="C131" s="42">
        <v>7.8600566493911493E-7</v>
      </c>
      <c r="D131" s="42">
        <v>8.339356565241022E-7</v>
      </c>
      <c r="E131" s="42">
        <v>7.3119589596492587E-7</v>
      </c>
      <c r="F131" s="42">
        <v>7.3022154027569102E-7</v>
      </c>
      <c r="G131" s="42">
        <v>7.2335478425635306E-7</v>
      </c>
      <c r="H131" s="42">
        <v>7.319912942435546E-7</v>
      </c>
      <c r="I131" s="42">
        <v>7.5554343770968002E-7</v>
      </c>
      <c r="J131" s="42">
        <v>7.882780092137136E-7</v>
      </c>
      <c r="K131" s="42">
        <v>8.0992932076312504E-7</v>
      </c>
      <c r="L131" s="42">
        <v>8.3282013996687444E-7</v>
      </c>
      <c r="M131" s="42">
        <v>8.533232086843561E-7</v>
      </c>
      <c r="N131" s="42">
        <v>8.7018415415758186E-7</v>
      </c>
      <c r="O131" s="42">
        <v>8.8650114054724862E-7</v>
      </c>
      <c r="P131" s="42">
        <v>8.9634466238080962E-7</v>
      </c>
      <c r="Q131" s="42">
        <v>9.0300382549917693E-7</v>
      </c>
      <c r="R131" s="42">
        <v>9.122112591765583E-7</v>
      </c>
      <c r="S131" s="42">
        <v>9.2409193399363755E-7</v>
      </c>
      <c r="T131" s="42">
        <v>9.3500528235654141E-7</v>
      </c>
      <c r="U131" s="42">
        <v>9.4037993919285521E-7</v>
      </c>
      <c r="V131" s="42">
        <v>9.5818303263074145E-7</v>
      </c>
      <c r="W131" s="42">
        <v>9.6879245300235453E-7</v>
      </c>
      <c r="X131" s="42">
        <v>9.6975511250538435E-7</v>
      </c>
      <c r="Y131" s="42">
        <v>9.8091696161263586E-7</v>
      </c>
      <c r="Z131" s="42">
        <v>9.9439920730628472E-7</v>
      </c>
      <c r="AA131" s="42">
        <v>9.963987365972321E-7</v>
      </c>
      <c r="AB131" s="42">
        <v>1.0030601467661509E-6</v>
      </c>
      <c r="AC131" s="42">
        <v>1.0075222129950619E-6</v>
      </c>
      <c r="AD131" s="42">
        <v>1.0097832067835405E-6</v>
      </c>
      <c r="AE131" s="42">
        <v>1.0084109502966084E-6</v>
      </c>
      <c r="AF131" s="42">
        <v>1.0068501720300548E-6</v>
      </c>
      <c r="AG131" s="42">
        <f>_xlfn.FORECAST.ETS(AG123,$D$131:$AF$131,$D$123:$AF$123)</f>
        <v>1.0190319331899082E-6</v>
      </c>
      <c r="AH131" s="42">
        <f t="shared" ref="AH131:AZ131" si="30">_xlfn.FORECAST.ETS(AH123,$D$131:$AF$131,$D$123:$AF$123)</f>
        <v>1.0298436860107414E-6</v>
      </c>
      <c r="AI131" s="42">
        <f t="shared" si="30"/>
        <v>1.0406554388315748E-6</v>
      </c>
      <c r="AJ131" s="42">
        <f t="shared" si="30"/>
        <v>1.0514671916524082E-6</v>
      </c>
      <c r="AK131" s="42">
        <f t="shared" si="30"/>
        <v>1.0622789444732414E-6</v>
      </c>
      <c r="AL131" s="42">
        <f t="shared" si="30"/>
        <v>1.0730906972940748E-6</v>
      </c>
      <c r="AM131" s="42">
        <f t="shared" si="30"/>
        <v>1.0839024501149082E-6</v>
      </c>
      <c r="AN131" s="42">
        <f t="shared" si="30"/>
        <v>1.0947142029357414E-6</v>
      </c>
      <c r="AO131" s="42">
        <f t="shared" si="30"/>
        <v>1.1055259557565748E-6</v>
      </c>
      <c r="AP131" s="42">
        <f t="shared" si="30"/>
        <v>1.1163377085774082E-6</v>
      </c>
      <c r="AQ131" s="42">
        <f t="shared" si="30"/>
        <v>1.1271494613982414E-6</v>
      </c>
      <c r="AR131" s="42">
        <f t="shared" si="30"/>
        <v>1.1379612142190748E-6</v>
      </c>
      <c r="AS131" s="42">
        <f t="shared" si="30"/>
        <v>1.1487729670399082E-6</v>
      </c>
      <c r="AT131" s="42">
        <f t="shared" si="30"/>
        <v>1.1595847198607414E-6</v>
      </c>
      <c r="AU131" s="42">
        <f t="shared" si="30"/>
        <v>1.1703964726815748E-6</v>
      </c>
      <c r="AV131" s="42">
        <f t="shared" si="30"/>
        <v>1.1812082255024082E-6</v>
      </c>
      <c r="AW131" s="42">
        <f t="shared" si="30"/>
        <v>1.1920199783232414E-6</v>
      </c>
      <c r="AX131" s="42">
        <f t="shared" si="30"/>
        <v>1.2028317311440748E-6</v>
      </c>
      <c r="AY131" s="42">
        <f t="shared" si="30"/>
        <v>1.2136434839649082E-6</v>
      </c>
      <c r="AZ131" s="42">
        <f t="shared" si="30"/>
        <v>1.2244552367857413E-6</v>
      </c>
    </row>
    <row r="132" spans="1:52" s="3" customFormat="1" x14ac:dyDescent="0.25">
      <c r="A132" s="5" t="s">
        <v>49</v>
      </c>
    </row>
    <row r="133" spans="1:52" x14ac:dyDescent="0.25">
      <c r="A133" t="s">
        <v>30</v>
      </c>
      <c r="B133">
        <v>2020</v>
      </c>
      <c r="C133">
        <v>2021</v>
      </c>
      <c r="D133">
        <v>2022</v>
      </c>
      <c r="E133">
        <v>2023</v>
      </c>
      <c r="F133">
        <v>2024</v>
      </c>
      <c r="G133">
        <v>2025</v>
      </c>
      <c r="H133">
        <v>2026</v>
      </c>
      <c r="I133">
        <v>2027</v>
      </c>
      <c r="J133">
        <v>2028</v>
      </c>
      <c r="K133">
        <v>2029</v>
      </c>
      <c r="L133">
        <v>2030</v>
      </c>
      <c r="M133">
        <v>2031</v>
      </c>
      <c r="N133">
        <v>2032</v>
      </c>
      <c r="O133">
        <v>2033</v>
      </c>
      <c r="P133">
        <v>2034</v>
      </c>
      <c r="Q133">
        <v>2035</v>
      </c>
      <c r="R133">
        <v>2036</v>
      </c>
      <c r="S133">
        <v>2037</v>
      </c>
      <c r="T133">
        <v>2038</v>
      </c>
      <c r="U133">
        <v>2039</v>
      </c>
      <c r="V133">
        <v>2040</v>
      </c>
      <c r="W133">
        <v>2041</v>
      </c>
      <c r="X133">
        <v>2042</v>
      </c>
      <c r="Y133">
        <v>2043</v>
      </c>
      <c r="Z133">
        <v>2044</v>
      </c>
      <c r="AA133">
        <v>2045</v>
      </c>
      <c r="AB133">
        <v>2046</v>
      </c>
      <c r="AC133">
        <v>2047</v>
      </c>
      <c r="AD133">
        <v>2048</v>
      </c>
      <c r="AE133">
        <v>2049</v>
      </c>
      <c r="AF133">
        <v>2050</v>
      </c>
      <c r="AG133">
        <v>2051</v>
      </c>
      <c r="AH133">
        <v>2052</v>
      </c>
      <c r="AI133">
        <v>2053</v>
      </c>
      <c r="AJ133">
        <v>2054</v>
      </c>
      <c r="AK133">
        <v>2055</v>
      </c>
      <c r="AL133">
        <v>2056</v>
      </c>
      <c r="AM133">
        <v>2057</v>
      </c>
      <c r="AN133">
        <v>2058</v>
      </c>
      <c r="AO133">
        <v>2059</v>
      </c>
      <c r="AP133">
        <v>2060</v>
      </c>
      <c r="AQ133">
        <v>2061</v>
      </c>
      <c r="AR133">
        <v>2062</v>
      </c>
      <c r="AS133">
        <v>2063</v>
      </c>
      <c r="AT133">
        <v>2064</v>
      </c>
      <c r="AU133">
        <v>2065</v>
      </c>
      <c r="AV133">
        <v>2066</v>
      </c>
      <c r="AW133">
        <v>2067</v>
      </c>
      <c r="AX133">
        <v>2068</v>
      </c>
      <c r="AY133">
        <v>2069</v>
      </c>
      <c r="AZ133">
        <v>2070</v>
      </c>
    </row>
    <row r="134" spans="1:52" x14ac:dyDescent="0.25">
      <c r="A134" t="s">
        <v>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25">
      <c r="A135" t="s">
        <v>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25">
      <c r="A136" t="s">
        <v>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25">
      <c r="A137" t="s">
        <v>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5">
      <c r="A138" t="s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25">
      <c r="A139" t="s">
        <v>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t="s">
        <v>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25">
      <c r="A141" t="s">
        <v>59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 s="3" customFormat="1" x14ac:dyDescent="0.25">
      <c r="A142" s="5" t="s">
        <v>50</v>
      </c>
    </row>
    <row r="143" spans="1:52" x14ac:dyDescent="0.25">
      <c r="A143" t="s">
        <v>30</v>
      </c>
      <c r="B143">
        <v>2020</v>
      </c>
      <c r="C143">
        <v>2021</v>
      </c>
      <c r="D143">
        <v>2022</v>
      </c>
      <c r="E143">
        <v>2023</v>
      </c>
      <c r="F143">
        <v>2024</v>
      </c>
      <c r="G143">
        <v>2025</v>
      </c>
      <c r="H143">
        <v>2026</v>
      </c>
      <c r="I143">
        <v>2027</v>
      </c>
      <c r="J143">
        <v>2028</v>
      </c>
      <c r="K143">
        <v>2029</v>
      </c>
      <c r="L143">
        <v>2030</v>
      </c>
      <c r="M143">
        <v>2031</v>
      </c>
      <c r="N143">
        <v>2032</v>
      </c>
      <c r="O143">
        <v>2033</v>
      </c>
      <c r="P143">
        <v>2034</v>
      </c>
      <c r="Q143">
        <v>2035</v>
      </c>
      <c r="R143">
        <v>2036</v>
      </c>
      <c r="S143">
        <v>2037</v>
      </c>
      <c r="T143">
        <v>2038</v>
      </c>
      <c r="U143">
        <v>2039</v>
      </c>
      <c r="V143">
        <v>2040</v>
      </c>
      <c r="W143">
        <v>2041</v>
      </c>
      <c r="X143">
        <v>2042</v>
      </c>
      <c r="Y143">
        <v>2043</v>
      </c>
      <c r="Z143">
        <v>2044</v>
      </c>
      <c r="AA143">
        <v>2045</v>
      </c>
      <c r="AB143">
        <v>2046</v>
      </c>
      <c r="AC143">
        <v>2047</v>
      </c>
      <c r="AD143">
        <v>2048</v>
      </c>
      <c r="AE143">
        <v>2049</v>
      </c>
      <c r="AF143">
        <v>2050</v>
      </c>
      <c r="AG143">
        <v>2051</v>
      </c>
      <c r="AH143">
        <v>2052</v>
      </c>
      <c r="AI143">
        <v>2053</v>
      </c>
      <c r="AJ143">
        <v>2054</v>
      </c>
      <c r="AK143">
        <v>2055</v>
      </c>
      <c r="AL143">
        <v>2056</v>
      </c>
      <c r="AM143">
        <v>2057</v>
      </c>
      <c r="AN143">
        <v>2058</v>
      </c>
      <c r="AO143">
        <v>2059</v>
      </c>
      <c r="AP143">
        <v>2060</v>
      </c>
      <c r="AQ143">
        <v>2061</v>
      </c>
      <c r="AR143">
        <v>2062</v>
      </c>
      <c r="AS143">
        <v>2063</v>
      </c>
      <c r="AT143">
        <v>2064</v>
      </c>
      <c r="AU143">
        <v>2065</v>
      </c>
      <c r="AV143">
        <v>2066</v>
      </c>
      <c r="AW143">
        <v>2067</v>
      </c>
      <c r="AX143">
        <v>2068</v>
      </c>
      <c r="AY143">
        <v>2069</v>
      </c>
      <c r="AZ143">
        <v>2070</v>
      </c>
    </row>
    <row r="144" spans="1:52" x14ac:dyDescent="0.25">
      <c r="A144" t="s">
        <v>52</v>
      </c>
      <c r="B144">
        <v>5.2768520933097091E-6</v>
      </c>
      <c r="C144">
        <v>4.8451926756206613E-6</v>
      </c>
      <c r="D144">
        <v>4.4135332579317278E-6</v>
      </c>
      <c r="E144">
        <v>3.9818738402426808E-6</v>
      </c>
      <c r="F144">
        <v>3.5502144225536329E-6</v>
      </c>
      <c r="G144">
        <v>3.1185550048645855E-6</v>
      </c>
      <c r="H144">
        <v>2.686895587175652E-6</v>
      </c>
      <c r="I144">
        <v>2.255236169486605E-6</v>
      </c>
      <c r="J144">
        <v>1.8235767517975574E-6</v>
      </c>
      <c r="K144">
        <v>1.3919173341086239E-6</v>
      </c>
      <c r="L144">
        <v>9.6025791641957667E-7</v>
      </c>
      <c r="M144">
        <v>9.3686076921739722E-7</v>
      </c>
      <c r="N144">
        <v>9.1346362201529645E-7</v>
      </c>
      <c r="O144">
        <v>8.9006647481319567E-7</v>
      </c>
      <c r="P144">
        <v>8.6666932761109511E-7</v>
      </c>
      <c r="Q144">
        <v>8.4327218040900143E-7</v>
      </c>
      <c r="R144">
        <v>8.1987503320690065E-7</v>
      </c>
      <c r="S144">
        <v>7.9647788600479987E-7</v>
      </c>
      <c r="T144">
        <v>7.730807388026992E-7</v>
      </c>
      <c r="U144">
        <v>7.4968359160059843E-7</v>
      </c>
      <c r="V144">
        <v>7.2628644439850485E-7</v>
      </c>
      <c r="W144">
        <v>7.0288929719640408E-7</v>
      </c>
      <c r="X144">
        <v>6.7949214999430341E-7</v>
      </c>
      <c r="Y144">
        <v>6.5609500279220263E-7</v>
      </c>
      <c r="Z144">
        <v>6.3269785559010186E-7</v>
      </c>
      <c r="AA144">
        <v>6.0930070838800108E-7</v>
      </c>
      <c r="AB144">
        <v>5.8590356118590761E-7</v>
      </c>
      <c r="AC144">
        <v>5.6250641398380684E-7</v>
      </c>
      <c r="AD144">
        <v>5.3910926678170606E-7</v>
      </c>
      <c r="AE144">
        <v>5.1571211957960539E-7</v>
      </c>
      <c r="AF144">
        <v>4.9231497237750461E-7</v>
      </c>
      <c r="AG144">
        <f>_xlfn.FORECAST.ETS(AG143,$B$144:$AF$144,$B$143:$AF$143)</f>
        <v>4.6891782517540389E-7</v>
      </c>
      <c r="AH144">
        <f>_xlfn.FORECAST.ETS(AH143,$B$144:$AF$144,$B$143:$AF$143)</f>
        <v>4.4552067797330312E-7</v>
      </c>
      <c r="AI144">
        <f t="shared" ref="AI144:AZ144" si="31">_xlfn.FORECAST.ETS(AI143,$B$144:$AF$144,$B$143:$AF$143)</f>
        <v>4.2212353077120239E-7</v>
      </c>
      <c r="AJ144">
        <f t="shared" si="31"/>
        <v>3.9872638356910162E-7</v>
      </c>
      <c r="AK144">
        <f t="shared" si="31"/>
        <v>3.7532923636700089E-7</v>
      </c>
      <c r="AL144">
        <f t="shared" si="31"/>
        <v>3.5193208916490017E-7</v>
      </c>
      <c r="AM144">
        <f t="shared" si="31"/>
        <v>3.285349419627994E-7</v>
      </c>
      <c r="AN144">
        <f t="shared" si="31"/>
        <v>3.0513779476069867E-7</v>
      </c>
      <c r="AO144">
        <f t="shared" si="31"/>
        <v>2.8174064755859795E-7</v>
      </c>
      <c r="AP144">
        <f t="shared" si="31"/>
        <v>2.5834350035649718E-7</v>
      </c>
      <c r="AQ144">
        <f t="shared" si="31"/>
        <v>2.3494635315439645E-7</v>
      </c>
      <c r="AR144">
        <f t="shared" si="31"/>
        <v>2.1154920595229573E-7</v>
      </c>
      <c r="AS144">
        <f t="shared" si="31"/>
        <v>1.8815205875019495E-7</v>
      </c>
      <c r="AT144">
        <f t="shared" si="31"/>
        <v>1.6475491154809423E-7</v>
      </c>
      <c r="AU144">
        <f t="shared" si="31"/>
        <v>1.4135776434599346E-7</v>
      </c>
      <c r="AV144">
        <f t="shared" si="31"/>
        <v>1.1796061714389272E-7</v>
      </c>
      <c r="AW144">
        <f t="shared" si="31"/>
        <v>9.4563469941792024E-8</v>
      </c>
      <c r="AX144">
        <f t="shared" si="31"/>
        <v>7.1166322739691222E-8</v>
      </c>
      <c r="AY144">
        <f t="shared" si="31"/>
        <v>4.7769175537590525E-8</v>
      </c>
      <c r="AZ144">
        <f t="shared" si="31"/>
        <v>2.4372028335489726E-8</v>
      </c>
    </row>
    <row r="145" spans="1:52" x14ac:dyDescent="0.25">
      <c r="A145" t="s">
        <v>53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 x14ac:dyDescent="0.25">
      <c r="A146" t="s">
        <v>54</v>
      </c>
      <c r="B146">
        <v>5.2768520933097091E-6</v>
      </c>
      <c r="C146">
        <v>4.8451926756206613E-6</v>
      </c>
      <c r="D146">
        <v>4.4135332579317278E-6</v>
      </c>
      <c r="E146">
        <v>3.9818738402426808E-6</v>
      </c>
      <c r="F146">
        <v>3.5502144225536329E-6</v>
      </c>
      <c r="G146">
        <v>3.1185550048645855E-6</v>
      </c>
      <c r="H146">
        <v>2.686895587175652E-6</v>
      </c>
      <c r="I146">
        <v>2.255236169486605E-6</v>
      </c>
      <c r="J146">
        <v>1.8235767517975574E-6</v>
      </c>
      <c r="K146">
        <v>1.3919173341086239E-6</v>
      </c>
      <c r="L146">
        <v>9.6025791641957667E-7</v>
      </c>
      <c r="M146">
        <v>9.3686076921739722E-7</v>
      </c>
      <c r="N146">
        <v>9.1346362201529645E-7</v>
      </c>
      <c r="O146">
        <v>8.9006647481319567E-7</v>
      </c>
      <c r="P146">
        <v>8.6666932761109511E-7</v>
      </c>
      <c r="Q146">
        <v>8.4327218040900143E-7</v>
      </c>
      <c r="R146">
        <v>8.1987503320690065E-7</v>
      </c>
      <c r="S146">
        <v>7.9647788600479987E-7</v>
      </c>
      <c r="T146">
        <v>7.730807388026992E-7</v>
      </c>
      <c r="U146">
        <v>7.4968359160059843E-7</v>
      </c>
      <c r="V146">
        <v>7.2628644439850485E-7</v>
      </c>
      <c r="W146">
        <v>7.0288929719640408E-7</v>
      </c>
      <c r="X146">
        <v>6.7949214999430341E-7</v>
      </c>
      <c r="Y146">
        <v>6.5609500279220263E-7</v>
      </c>
      <c r="Z146">
        <v>6.3269785559010186E-7</v>
      </c>
      <c r="AA146">
        <v>6.0930070838800108E-7</v>
      </c>
      <c r="AB146">
        <v>5.8590356118590761E-7</v>
      </c>
      <c r="AC146">
        <v>5.6250641398380684E-7</v>
      </c>
      <c r="AD146">
        <v>5.3910926678170606E-7</v>
      </c>
      <c r="AE146">
        <v>5.1571211957960539E-7</v>
      </c>
      <c r="AF146">
        <v>4.9231497237750461E-7</v>
      </c>
      <c r="AG146">
        <f>_xlfn.FORECAST.ETS(AG143,$B$146:$AF$146,$B$143:$AF$143)</f>
        <v>4.6891782517540389E-7</v>
      </c>
      <c r="AH146">
        <f>_xlfn.FORECAST.ETS(AH143,$B$146:$AF$146,$B$143:$AF$143)</f>
        <v>4.4552067797330312E-7</v>
      </c>
      <c r="AI146">
        <f t="shared" ref="AI146:AZ146" si="32">_xlfn.FORECAST.ETS(AI143,$B$146:$AF$146,$B$143:$AF$143)</f>
        <v>4.2212353077120239E-7</v>
      </c>
      <c r="AJ146">
        <f t="shared" si="32"/>
        <v>3.9872638356910162E-7</v>
      </c>
      <c r="AK146">
        <f t="shared" si="32"/>
        <v>3.7532923636700089E-7</v>
      </c>
      <c r="AL146">
        <f t="shared" si="32"/>
        <v>3.5193208916490017E-7</v>
      </c>
      <c r="AM146">
        <f t="shared" si="32"/>
        <v>3.285349419627994E-7</v>
      </c>
      <c r="AN146">
        <f t="shared" si="32"/>
        <v>3.0513779476069867E-7</v>
      </c>
      <c r="AO146">
        <f t="shared" si="32"/>
        <v>2.8174064755859795E-7</v>
      </c>
      <c r="AP146">
        <f t="shared" si="32"/>
        <v>2.5834350035649718E-7</v>
      </c>
      <c r="AQ146">
        <f t="shared" si="32"/>
        <v>2.3494635315439645E-7</v>
      </c>
      <c r="AR146">
        <f t="shared" si="32"/>
        <v>2.1154920595229573E-7</v>
      </c>
      <c r="AS146">
        <f t="shared" si="32"/>
        <v>1.8815205875019495E-7</v>
      </c>
      <c r="AT146">
        <f t="shared" si="32"/>
        <v>1.6475491154809423E-7</v>
      </c>
      <c r="AU146">
        <f t="shared" si="32"/>
        <v>1.4135776434599346E-7</v>
      </c>
      <c r="AV146">
        <f t="shared" si="32"/>
        <v>1.1796061714389272E-7</v>
      </c>
      <c r="AW146">
        <f t="shared" si="32"/>
        <v>9.4563469941792024E-8</v>
      </c>
      <c r="AX146">
        <f t="shared" si="32"/>
        <v>7.1166322739691222E-8</v>
      </c>
      <c r="AY146">
        <f t="shared" si="32"/>
        <v>4.7769175537590525E-8</v>
      </c>
      <c r="AZ146">
        <f t="shared" si="32"/>
        <v>2.4372028335489726E-8</v>
      </c>
    </row>
    <row r="147" spans="1:52" x14ac:dyDescent="0.25">
      <c r="A147" t="s">
        <v>55</v>
      </c>
      <c r="B147">
        <v>5.2768520933097091E-6</v>
      </c>
      <c r="C147">
        <v>4.8451926756206613E-6</v>
      </c>
      <c r="D147">
        <v>4.4135332579317278E-6</v>
      </c>
      <c r="E147">
        <v>3.9818738402426808E-6</v>
      </c>
      <c r="F147">
        <v>3.5502144225536329E-6</v>
      </c>
      <c r="G147">
        <v>3.1185550048645855E-6</v>
      </c>
      <c r="H147">
        <v>2.686895587175652E-6</v>
      </c>
      <c r="I147">
        <v>2.255236169486605E-6</v>
      </c>
      <c r="J147">
        <v>1.8235767517975574E-6</v>
      </c>
      <c r="K147">
        <v>1.3919173341086239E-6</v>
      </c>
      <c r="L147">
        <v>9.6025791641957667E-7</v>
      </c>
      <c r="M147">
        <v>9.3686076921739722E-7</v>
      </c>
      <c r="N147">
        <v>9.1346362201529645E-7</v>
      </c>
      <c r="O147">
        <v>8.9006647481319567E-7</v>
      </c>
      <c r="P147">
        <v>8.6666932761109511E-7</v>
      </c>
      <c r="Q147">
        <v>8.4327218040900143E-7</v>
      </c>
      <c r="R147">
        <v>8.1987503320690065E-7</v>
      </c>
      <c r="S147">
        <v>7.9647788600479987E-7</v>
      </c>
      <c r="T147">
        <v>7.730807388026992E-7</v>
      </c>
      <c r="U147">
        <v>7.4968359160059843E-7</v>
      </c>
      <c r="V147">
        <v>7.2628644439850485E-7</v>
      </c>
      <c r="W147">
        <v>7.0288929719640408E-7</v>
      </c>
      <c r="X147">
        <v>6.7949214999430341E-7</v>
      </c>
      <c r="Y147">
        <v>6.5609500279220263E-7</v>
      </c>
      <c r="Z147">
        <v>6.3269785559010186E-7</v>
      </c>
      <c r="AA147">
        <v>6.0930070838800108E-7</v>
      </c>
      <c r="AB147">
        <v>5.8590356118590761E-7</v>
      </c>
      <c r="AC147">
        <v>5.6250641398380684E-7</v>
      </c>
      <c r="AD147">
        <v>5.3910926678170606E-7</v>
      </c>
      <c r="AE147">
        <v>5.1571211957960539E-7</v>
      </c>
      <c r="AF147">
        <v>4.9231497237750461E-7</v>
      </c>
      <c r="AG147">
        <f>_xlfn.FORECAST.ETS(AG143,$B$147:$AF$147,$B$143:$AF$143)</f>
        <v>4.6891782517540389E-7</v>
      </c>
      <c r="AH147">
        <f>_xlfn.FORECAST.ETS(AH143,$B$147:$AF$147,$B$143:$AF$143)</f>
        <v>4.4552067797330312E-7</v>
      </c>
      <c r="AI147">
        <f t="shared" ref="AI147:AZ147" si="33">_xlfn.FORECAST.ETS(AI143,$B$147:$AF$147,$B$143:$AF$143)</f>
        <v>4.2212353077120239E-7</v>
      </c>
      <c r="AJ147">
        <f t="shared" si="33"/>
        <v>3.9872638356910162E-7</v>
      </c>
      <c r="AK147">
        <f t="shared" si="33"/>
        <v>3.7532923636700089E-7</v>
      </c>
      <c r="AL147">
        <f t="shared" si="33"/>
        <v>3.5193208916490017E-7</v>
      </c>
      <c r="AM147">
        <f t="shared" si="33"/>
        <v>3.285349419627994E-7</v>
      </c>
      <c r="AN147">
        <f t="shared" si="33"/>
        <v>3.0513779476069867E-7</v>
      </c>
      <c r="AO147">
        <f t="shared" si="33"/>
        <v>2.8174064755859795E-7</v>
      </c>
      <c r="AP147">
        <f t="shared" si="33"/>
        <v>2.5834350035649718E-7</v>
      </c>
      <c r="AQ147">
        <f t="shared" si="33"/>
        <v>2.3494635315439645E-7</v>
      </c>
      <c r="AR147">
        <f t="shared" si="33"/>
        <v>2.1154920595229573E-7</v>
      </c>
      <c r="AS147">
        <f t="shared" si="33"/>
        <v>1.8815205875019495E-7</v>
      </c>
      <c r="AT147">
        <f t="shared" si="33"/>
        <v>1.6475491154809423E-7</v>
      </c>
      <c r="AU147">
        <f t="shared" si="33"/>
        <v>1.4135776434599346E-7</v>
      </c>
      <c r="AV147">
        <f t="shared" si="33"/>
        <v>1.1796061714389272E-7</v>
      </c>
      <c r="AW147">
        <f t="shared" si="33"/>
        <v>9.4563469941792024E-8</v>
      </c>
      <c r="AX147">
        <f t="shared" si="33"/>
        <v>7.1166322739691222E-8</v>
      </c>
      <c r="AY147">
        <f t="shared" si="33"/>
        <v>4.7769175537590525E-8</v>
      </c>
      <c r="AZ147">
        <f t="shared" si="33"/>
        <v>2.4372028335489726E-8</v>
      </c>
    </row>
    <row r="148" spans="1:52" x14ac:dyDescent="0.25">
      <c r="A148" t="s">
        <v>56</v>
      </c>
      <c r="B148">
        <v>5.2768520933097091E-6</v>
      </c>
      <c r="C148">
        <v>4.8451926756206613E-6</v>
      </c>
      <c r="D148">
        <v>4.4135332579317278E-6</v>
      </c>
      <c r="E148">
        <v>3.9818738402426808E-6</v>
      </c>
      <c r="F148">
        <v>3.5502144225536329E-6</v>
      </c>
      <c r="G148">
        <v>3.1185550048645855E-6</v>
      </c>
      <c r="H148">
        <v>2.686895587175652E-6</v>
      </c>
      <c r="I148">
        <v>2.255236169486605E-6</v>
      </c>
      <c r="J148">
        <v>1.8235767517975574E-6</v>
      </c>
      <c r="K148">
        <v>1.3919173341086239E-6</v>
      </c>
      <c r="L148">
        <v>9.6025791641957667E-7</v>
      </c>
      <c r="M148">
        <v>9.3686076921739722E-7</v>
      </c>
      <c r="N148">
        <v>9.1346362201529645E-7</v>
      </c>
      <c r="O148">
        <v>8.9006647481319567E-7</v>
      </c>
      <c r="P148">
        <v>8.6666932761109511E-7</v>
      </c>
      <c r="Q148">
        <v>8.4327218040900143E-7</v>
      </c>
      <c r="R148">
        <v>8.1987503320690065E-7</v>
      </c>
      <c r="S148">
        <v>7.9647788600479987E-7</v>
      </c>
      <c r="T148">
        <v>7.730807388026992E-7</v>
      </c>
      <c r="U148">
        <v>7.4968359160059843E-7</v>
      </c>
      <c r="V148">
        <v>7.2628644439850485E-7</v>
      </c>
      <c r="W148">
        <v>7.0288929719640408E-7</v>
      </c>
      <c r="X148">
        <v>6.7949214999430341E-7</v>
      </c>
      <c r="Y148">
        <v>6.5609500279220263E-7</v>
      </c>
      <c r="Z148">
        <v>6.3269785559010186E-7</v>
      </c>
      <c r="AA148">
        <v>6.0930070838800108E-7</v>
      </c>
      <c r="AB148">
        <v>5.8590356118590761E-7</v>
      </c>
      <c r="AC148">
        <v>5.6250641398380684E-7</v>
      </c>
      <c r="AD148">
        <v>5.3910926678170606E-7</v>
      </c>
      <c r="AE148">
        <v>5.1571211957960539E-7</v>
      </c>
      <c r="AF148">
        <v>4.9231497237750461E-7</v>
      </c>
      <c r="AG148">
        <f>_xlfn.FORECAST.ETS(AG143,$B$148:$AF$148,$B$143:$AF$143)</f>
        <v>4.6891782517540389E-7</v>
      </c>
      <c r="AH148">
        <f>_xlfn.FORECAST.ETS(AH143,$B$148:$AF$148,$B$143:$AF$143)</f>
        <v>4.4552067797330312E-7</v>
      </c>
      <c r="AI148">
        <f t="shared" ref="AI148:AZ148" si="34">_xlfn.FORECAST.ETS(AI143,$B$148:$AF$148,$B$143:$AF$143)</f>
        <v>4.2212353077120239E-7</v>
      </c>
      <c r="AJ148">
        <f t="shared" si="34"/>
        <v>3.9872638356910162E-7</v>
      </c>
      <c r="AK148">
        <f t="shared" si="34"/>
        <v>3.7532923636700089E-7</v>
      </c>
      <c r="AL148">
        <f t="shared" si="34"/>
        <v>3.5193208916490017E-7</v>
      </c>
      <c r="AM148">
        <f t="shared" si="34"/>
        <v>3.285349419627994E-7</v>
      </c>
      <c r="AN148">
        <f t="shared" si="34"/>
        <v>3.0513779476069867E-7</v>
      </c>
      <c r="AO148">
        <f t="shared" si="34"/>
        <v>2.8174064755859795E-7</v>
      </c>
      <c r="AP148">
        <f t="shared" si="34"/>
        <v>2.5834350035649718E-7</v>
      </c>
      <c r="AQ148">
        <f t="shared" si="34"/>
        <v>2.3494635315439645E-7</v>
      </c>
      <c r="AR148">
        <f t="shared" si="34"/>
        <v>2.1154920595229573E-7</v>
      </c>
      <c r="AS148">
        <f t="shared" si="34"/>
        <v>1.8815205875019495E-7</v>
      </c>
      <c r="AT148">
        <f t="shared" si="34"/>
        <v>1.6475491154809423E-7</v>
      </c>
      <c r="AU148">
        <f t="shared" si="34"/>
        <v>1.4135776434599346E-7</v>
      </c>
      <c r="AV148">
        <f t="shared" si="34"/>
        <v>1.1796061714389272E-7</v>
      </c>
      <c r="AW148">
        <f t="shared" si="34"/>
        <v>9.4563469941792024E-8</v>
      </c>
      <c r="AX148">
        <f t="shared" si="34"/>
        <v>7.1166322739691222E-8</v>
      </c>
      <c r="AY148">
        <f t="shared" si="34"/>
        <v>4.7769175537590525E-8</v>
      </c>
      <c r="AZ148">
        <f t="shared" si="34"/>
        <v>2.4372028335489726E-8</v>
      </c>
    </row>
    <row r="149" spans="1:52" x14ac:dyDescent="0.25">
      <c r="A149" t="s">
        <v>57</v>
      </c>
      <c r="B149">
        <v>5.2768520933097091E-6</v>
      </c>
      <c r="C149">
        <v>4.8451926756206613E-6</v>
      </c>
      <c r="D149">
        <v>4.4135332579317278E-6</v>
      </c>
      <c r="E149">
        <v>3.9818738402426808E-6</v>
      </c>
      <c r="F149">
        <v>3.5502144225536329E-6</v>
      </c>
      <c r="G149">
        <v>3.1185550048645855E-6</v>
      </c>
      <c r="H149">
        <v>2.686895587175652E-6</v>
      </c>
      <c r="I149">
        <v>2.255236169486605E-6</v>
      </c>
      <c r="J149">
        <v>1.8235767517975574E-6</v>
      </c>
      <c r="K149">
        <v>1.3919173341086239E-6</v>
      </c>
      <c r="L149">
        <v>9.6025791641957667E-7</v>
      </c>
      <c r="M149">
        <v>9.3686076921739722E-7</v>
      </c>
      <c r="N149">
        <v>9.1346362201529645E-7</v>
      </c>
      <c r="O149">
        <v>8.9006647481319567E-7</v>
      </c>
      <c r="P149">
        <v>8.6666932761109511E-7</v>
      </c>
      <c r="Q149">
        <v>8.4327218040900143E-7</v>
      </c>
      <c r="R149">
        <v>8.1987503320690065E-7</v>
      </c>
      <c r="S149">
        <v>7.9647788600479987E-7</v>
      </c>
      <c r="T149">
        <v>7.730807388026992E-7</v>
      </c>
      <c r="U149">
        <v>7.4968359160059843E-7</v>
      </c>
      <c r="V149">
        <v>7.2628644439850485E-7</v>
      </c>
      <c r="W149">
        <v>7.0288929719640408E-7</v>
      </c>
      <c r="X149">
        <v>6.7949214999430341E-7</v>
      </c>
      <c r="Y149">
        <v>6.5609500279220263E-7</v>
      </c>
      <c r="Z149">
        <v>6.3269785559010186E-7</v>
      </c>
      <c r="AA149">
        <v>6.0930070838800108E-7</v>
      </c>
      <c r="AB149">
        <v>5.8590356118590761E-7</v>
      </c>
      <c r="AC149">
        <v>5.6250641398380684E-7</v>
      </c>
      <c r="AD149">
        <v>5.3910926678170606E-7</v>
      </c>
      <c r="AE149">
        <v>5.1571211957960539E-7</v>
      </c>
      <c r="AF149">
        <v>4.9231497237750461E-7</v>
      </c>
      <c r="AG149">
        <f>_xlfn.FORECAST.ETS(AG143,$B$149:$AF$149,$B$143:$AF$143)</f>
        <v>4.6891782517540389E-7</v>
      </c>
      <c r="AH149">
        <f>_xlfn.FORECAST.ETS(AH143,$B$149:$AF$149,$B$143:$AF$143)</f>
        <v>4.4552067797330312E-7</v>
      </c>
      <c r="AI149">
        <f t="shared" ref="AI149:AZ149" si="35">_xlfn.FORECAST.ETS(AI143,$B$149:$AF$149,$B$143:$AF$143)</f>
        <v>4.2212353077120239E-7</v>
      </c>
      <c r="AJ149">
        <f t="shared" si="35"/>
        <v>3.9872638356910162E-7</v>
      </c>
      <c r="AK149">
        <f t="shared" si="35"/>
        <v>3.7532923636700089E-7</v>
      </c>
      <c r="AL149">
        <f t="shared" si="35"/>
        <v>3.5193208916490017E-7</v>
      </c>
      <c r="AM149">
        <f t="shared" si="35"/>
        <v>3.285349419627994E-7</v>
      </c>
      <c r="AN149">
        <f t="shared" si="35"/>
        <v>3.0513779476069867E-7</v>
      </c>
      <c r="AO149">
        <f t="shared" si="35"/>
        <v>2.8174064755859795E-7</v>
      </c>
      <c r="AP149">
        <f t="shared" si="35"/>
        <v>2.5834350035649718E-7</v>
      </c>
      <c r="AQ149">
        <f t="shared" si="35"/>
        <v>2.3494635315439645E-7</v>
      </c>
      <c r="AR149">
        <f t="shared" si="35"/>
        <v>2.1154920595229573E-7</v>
      </c>
      <c r="AS149">
        <f t="shared" si="35"/>
        <v>1.8815205875019495E-7</v>
      </c>
      <c r="AT149">
        <f t="shared" si="35"/>
        <v>1.6475491154809423E-7</v>
      </c>
      <c r="AU149">
        <f t="shared" si="35"/>
        <v>1.4135776434599346E-7</v>
      </c>
      <c r="AV149">
        <f t="shared" si="35"/>
        <v>1.1796061714389272E-7</v>
      </c>
      <c r="AW149">
        <f t="shared" si="35"/>
        <v>9.4563469941792024E-8</v>
      </c>
      <c r="AX149">
        <f t="shared" si="35"/>
        <v>7.1166322739691222E-8</v>
      </c>
      <c r="AY149">
        <f t="shared" si="35"/>
        <v>4.7769175537590525E-8</v>
      </c>
      <c r="AZ149">
        <f t="shared" si="35"/>
        <v>2.4372028335489726E-8</v>
      </c>
    </row>
    <row r="150" spans="1:52" x14ac:dyDescent="0.25">
      <c r="A150" t="s">
        <v>58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25">
      <c r="A151" t="s">
        <v>59</v>
      </c>
      <c r="B151">
        <v>5.2768520933097091E-6</v>
      </c>
      <c r="C151">
        <v>4.8451926756206613E-6</v>
      </c>
      <c r="D151">
        <v>4.4135332579317278E-6</v>
      </c>
      <c r="E151">
        <v>3.9818738402426808E-6</v>
      </c>
      <c r="F151">
        <v>3.5502144225536329E-6</v>
      </c>
      <c r="G151">
        <v>3.1185550048645855E-6</v>
      </c>
      <c r="H151">
        <v>2.686895587175652E-6</v>
      </c>
      <c r="I151">
        <v>2.255236169486605E-6</v>
      </c>
      <c r="J151">
        <v>1.8235767517975574E-6</v>
      </c>
      <c r="K151">
        <v>1.3919173341086239E-6</v>
      </c>
      <c r="L151">
        <v>9.6025791641957667E-7</v>
      </c>
      <c r="M151">
        <v>9.3686076921739722E-7</v>
      </c>
      <c r="N151">
        <v>9.1346362201529645E-7</v>
      </c>
      <c r="O151">
        <v>8.9006647481319567E-7</v>
      </c>
      <c r="P151">
        <v>8.6666932761109511E-7</v>
      </c>
      <c r="Q151">
        <v>8.4327218040900143E-7</v>
      </c>
      <c r="R151">
        <v>8.1987503320690065E-7</v>
      </c>
      <c r="S151">
        <v>7.9647788600479987E-7</v>
      </c>
      <c r="T151">
        <v>7.730807388026992E-7</v>
      </c>
      <c r="U151">
        <v>7.4968359160059843E-7</v>
      </c>
      <c r="V151">
        <v>7.2628644439850485E-7</v>
      </c>
      <c r="W151">
        <v>7.0288929719640408E-7</v>
      </c>
      <c r="X151">
        <v>6.7949214999430341E-7</v>
      </c>
      <c r="Y151">
        <v>6.5609500279220263E-7</v>
      </c>
      <c r="Z151">
        <v>6.3269785559010186E-7</v>
      </c>
      <c r="AA151">
        <v>6.0930070838800108E-7</v>
      </c>
      <c r="AB151">
        <v>5.8590356118590761E-7</v>
      </c>
      <c r="AC151">
        <v>5.6250641398380684E-7</v>
      </c>
      <c r="AD151">
        <v>5.3910926678170606E-7</v>
      </c>
      <c r="AE151">
        <v>5.1571211957960539E-7</v>
      </c>
      <c r="AF151">
        <v>4.9231497237750461E-7</v>
      </c>
      <c r="AG151">
        <f>_xlfn.FORECAST.ETS(AG143,$B$151:$AF$151,$B$143:$AF$143)</f>
        <v>4.6891782517540389E-7</v>
      </c>
      <c r="AH151">
        <f>_xlfn.FORECAST.ETS(AH143,$B$151:$AF$151,$B$143:$AF$143)</f>
        <v>4.4552067797330312E-7</v>
      </c>
      <c r="AI151">
        <f t="shared" ref="AI151:AZ151" si="36">_xlfn.FORECAST.ETS(AI143,$B$151:$AF$151,$B$143:$AF$143)</f>
        <v>4.2212353077120239E-7</v>
      </c>
      <c r="AJ151">
        <f t="shared" si="36"/>
        <v>3.9872638356910162E-7</v>
      </c>
      <c r="AK151">
        <f t="shared" si="36"/>
        <v>3.7532923636700089E-7</v>
      </c>
      <c r="AL151">
        <f t="shared" si="36"/>
        <v>3.5193208916490017E-7</v>
      </c>
      <c r="AM151">
        <f t="shared" si="36"/>
        <v>3.285349419627994E-7</v>
      </c>
      <c r="AN151">
        <f t="shared" si="36"/>
        <v>3.0513779476069867E-7</v>
      </c>
      <c r="AO151">
        <f t="shared" si="36"/>
        <v>2.8174064755859795E-7</v>
      </c>
      <c r="AP151">
        <f t="shared" si="36"/>
        <v>2.5834350035649718E-7</v>
      </c>
      <c r="AQ151">
        <f t="shared" si="36"/>
        <v>2.3494635315439645E-7</v>
      </c>
      <c r="AR151">
        <f t="shared" si="36"/>
        <v>2.1154920595229573E-7</v>
      </c>
      <c r="AS151">
        <f t="shared" si="36"/>
        <v>1.8815205875019495E-7</v>
      </c>
      <c r="AT151">
        <f t="shared" si="36"/>
        <v>1.6475491154809423E-7</v>
      </c>
      <c r="AU151">
        <f t="shared" si="36"/>
        <v>1.4135776434599346E-7</v>
      </c>
      <c r="AV151">
        <f t="shared" si="36"/>
        <v>1.1796061714389272E-7</v>
      </c>
      <c r="AW151">
        <f t="shared" si="36"/>
        <v>9.4563469941792024E-8</v>
      </c>
      <c r="AX151">
        <f t="shared" si="36"/>
        <v>7.1166322739691222E-8</v>
      </c>
      <c r="AY151">
        <f t="shared" si="36"/>
        <v>4.7769175537590525E-8</v>
      </c>
      <c r="AZ151">
        <f t="shared" si="36"/>
        <v>2.4372028335489726E-8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19"/>
  <sheetViews>
    <sheetView topLeftCell="A288" workbookViewId="0">
      <selection activeCell="AH303" sqref="AH303"/>
    </sheetView>
  </sheetViews>
  <sheetFormatPr baseColWidth="10" defaultColWidth="9.140625" defaultRowHeight="15" x14ac:dyDescent="0.25"/>
  <cols>
    <col min="1" max="1" width="17.28515625" customWidth="1"/>
    <col min="3" max="32" width="8.7109375" hidden="1" customWidth="1"/>
    <col min="35" max="36" width="24.140625" customWidth="1"/>
    <col min="37" max="37" width="10.5703125" bestFit="1" customWidth="1"/>
  </cols>
  <sheetData>
    <row r="1" spans="1:57" x14ac:dyDescent="0.25">
      <c r="A1" t="s">
        <v>70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I1" s="1" t="s">
        <v>67</v>
      </c>
    </row>
    <row r="2" spans="1:57" x14ac:dyDescent="0.25">
      <c r="A2" t="s">
        <v>71</v>
      </c>
      <c r="B2" s="4">
        <v>7308160000000000</v>
      </c>
      <c r="C2" s="4">
        <v>1.55331E+16</v>
      </c>
      <c r="D2" s="4">
        <v>2.04741E+16</v>
      </c>
      <c r="E2" s="4">
        <v>2.00034E+16</v>
      </c>
      <c r="F2" s="4">
        <v>1.75349E+16</v>
      </c>
      <c r="G2" s="4">
        <v>1.25259E+16</v>
      </c>
      <c r="H2" s="4">
        <v>1.17533E+16</v>
      </c>
      <c r="I2" s="4">
        <v>1.03512E+16</v>
      </c>
      <c r="J2" s="4">
        <v>9307230000000000</v>
      </c>
      <c r="K2" s="4">
        <v>8179110000000000</v>
      </c>
      <c r="L2" s="4">
        <v>7126210000000000</v>
      </c>
      <c r="M2" s="4">
        <v>7037130000000000</v>
      </c>
      <c r="N2" s="4">
        <v>7096680000000000</v>
      </c>
      <c r="O2" s="4">
        <v>7221090000000000</v>
      </c>
      <c r="P2" s="4">
        <v>7238890000000000</v>
      </c>
      <c r="Q2" s="4">
        <v>7196360000000000</v>
      </c>
      <c r="R2" s="4">
        <v>7314080000000000</v>
      </c>
      <c r="S2" s="4">
        <v>7246510000000000</v>
      </c>
      <c r="T2" s="4">
        <v>7189640000000000</v>
      </c>
      <c r="U2" s="4">
        <v>7159550000000000</v>
      </c>
      <c r="V2" s="4">
        <v>7134590000000000</v>
      </c>
      <c r="W2" s="4">
        <v>7103490000000000</v>
      </c>
      <c r="X2" s="4">
        <v>7129400000000000</v>
      </c>
      <c r="Y2" s="4">
        <v>7151900000000000</v>
      </c>
      <c r="Z2" s="4">
        <v>7196920000000000</v>
      </c>
      <c r="AA2" s="4">
        <v>7014440000000000</v>
      </c>
      <c r="AB2" s="4">
        <v>6981500000000000</v>
      </c>
      <c r="AC2" s="4">
        <v>7073550000000000</v>
      </c>
      <c r="AD2" s="4">
        <v>7197710000000000</v>
      </c>
      <c r="AE2" s="4">
        <v>7336890000000000</v>
      </c>
      <c r="AF2" s="4">
        <v>7471080000000000</v>
      </c>
      <c r="AK2" t="s">
        <v>21</v>
      </c>
      <c r="AL2" t="s">
        <v>2</v>
      </c>
      <c r="AM2" t="s">
        <v>3</v>
      </c>
      <c r="AN2" t="s">
        <v>4</v>
      </c>
      <c r="AO2" t="s">
        <v>12</v>
      </c>
      <c r="AP2" t="s">
        <v>13</v>
      </c>
      <c r="AQ2" t="s">
        <v>14</v>
      </c>
      <c r="AR2" t="s">
        <v>5</v>
      </c>
      <c r="AS2" t="s">
        <v>6</v>
      </c>
      <c r="AT2" t="s">
        <v>7</v>
      </c>
      <c r="AU2" t="s">
        <v>8</v>
      </c>
      <c r="AV2" t="s">
        <v>9</v>
      </c>
      <c r="AW2" t="s">
        <v>10</v>
      </c>
      <c r="AX2" t="s">
        <v>20</v>
      </c>
      <c r="AY2" t="s">
        <v>15</v>
      </c>
      <c r="AZ2" t="s">
        <v>11</v>
      </c>
      <c r="BA2" t="s">
        <v>41</v>
      </c>
      <c r="BB2" t="s">
        <v>42</v>
      </c>
      <c r="BC2" t="s">
        <v>43</v>
      </c>
      <c r="BD2" t="s">
        <v>44</v>
      </c>
      <c r="BE2" t="s">
        <v>45</v>
      </c>
    </row>
    <row r="3" spans="1:57" x14ac:dyDescent="0.25">
      <c r="A3" t="s">
        <v>72</v>
      </c>
      <c r="B3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I3" t="s">
        <v>65</v>
      </c>
      <c r="AK3">
        <f t="shared" ref="AK3:AT7" si="0">SUMIFS($B:$B,$A:$A,"*"&amp;$AI3&amp;"*",$A:$A,"*"&amp;AK$2&amp;"*")</f>
        <v>0</v>
      </c>
      <c r="AL3">
        <f t="shared" si="0"/>
        <v>0</v>
      </c>
      <c r="AM3">
        <f t="shared" si="0"/>
        <v>65645260000000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1.316963425E+16</v>
      </c>
      <c r="AT3">
        <f t="shared" si="0"/>
        <v>5820111075200000</v>
      </c>
      <c r="AU3">
        <f t="shared" ref="AU3:BE7" si="1">SUMIFS($B:$B,$A:$A,"*"&amp;$AI3&amp;"*",$A:$A,"*"&amp;AU$2&amp;"*")</f>
        <v>1478169627300000</v>
      </c>
      <c r="AV3">
        <f t="shared" si="1"/>
        <v>217499806470000</v>
      </c>
      <c r="AW3">
        <f t="shared" si="1"/>
        <v>1863350000000000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1"/>
        <v>0</v>
      </c>
      <c r="BC3">
        <f t="shared" si="1"/>
        <v>8107617000000</v>
      </c>
      <c r="BD3">
        <f t="shared" si="1"/>
        <v>0</v>
      </c>
      <c r="BE3">
        <f t="shared" si="1"/>
        <v>198700040000</v>
      </c>
    </row>
    <row r="4" spans="1:57" x14ac:dyDescent="0.25">
      <c r="A4" t="s">
        <v>73</v>
      </c>
      <c r="B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I4" t="s">
        <v>60</v>
      </c>
      <c r="AK4">
        <f t="shared" si="0"/>
        <v>0</v>
      </c>
      <c r="AL4">
        <f t="shared" si="0"/>
        <v>7308160000000000</v>
      </c>
      <c r="AM4">
        <f t="shared" si="0"/>
        <v>1.22612559E+16</v>
      </c>
      <c r="AN4">
        <f t="shared" si="0"/>
        <v>8254620000000000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344811000000000</v>
      </c>
      <c r="AS4">
        <f t="shared" si="0"/>
        <v>0</v>
      </c>
      <c r="AT4">
        <f t="shared" si="0"/>
        <v>0</v>
      </c>
      <c r="AU4">
        <f t="shared" si="1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186857000000000</v>
      </c>
      <c r="BA4">
        <f t="shared" si="1"/>
        <v>0</v>
      </c>
      <c r="BB4">
        <f t="shared" si="1"/>
        <v>0</v>
      </c>
      <c r="BC4">
        <f t="shared" si="1"/>
        <v>0</v>
      </c>
      <c r="BD4">
        <f t="shared" si="1"/>
        <v>262173000000000</v>
      </c>
      <c r="BE4">
        <f t="shared" si="1"/>
        <v>0</v>
      </c>
    </row>
    <row r="5" spans="1:57" x14ac:dyDescent="0.25">
      <c r="A5" t="s">
        <v>74</v>
      </c>
      <c r="B5" s="4">
        <v>1558180000000000</v>
      </c>
      <c r="C5" s="4">
        <v>616608000000000</v>
      </c>
      <c r="D5" s="4">
        <v>124754000000000</v>
      </c>
      <c r="E5" s="4">
        <v>184348000000000</v>
      </c>
      <c r="F5" s="4">
        <v>337998000000000</v>
      </c>
      <c r="G5" s="4">
        <v>417935000000000</v>
      </c>
      <c r="H5" s="4">
        <v>418598000000000</v>
      </c>
      <c r="I5" s="4">
        <v>460248000000000</v>
      </c>
      <c r="J5" s="4">
        <v>487927000000000</v>
      </c>
      <c r="K5" s="4">
        <v>444046000000000</v>
      </c>
      <c r="L5" s="4">
        <v>471781000000000</v>
      </c>
      <c r="M5" s="4">
        <v>444729000000000</v>
      </c>
      <c r="N5" s="4">
        <v>436205000000000</v>
      </c>
      <c r="O5" s="4">
        <v>414000000000000</v>
      </c>
      <c r="P5" s="4">
        <v>400875000000000</v>
      </c>
      <c r="Q5" s="4">
        <v>383633000000000</v>
      </c>
      <c r="R5" s="4">
        <v>365946000000000</v>
      </c>
      <c r="S5" s="4">
        <v>367382000000000</v>
      </c>
      <c r="T5" s="4">
        <v>366828000000000</v>
      </c>
      <c r="U5" s="4">
        <v>355090000000000</v>
      </c>
      <c r="V5" s="4">
        <v>356036000000000</v>
      </c>
      <c r="W5" s="4">
        <v>356424000000000</v>
      </c>
      <c r="X5" s="4">
        <v>348639000000000</v>
      </c>
      <c r="Y5" s="4">
        <v>348066000000000</v>
      </c>
      <c r="Z5" s="4">
        <v>347536000000000</v>
      </c>
      <c r="AA5" s="4">
        <v>347189000000000</v>
      </c>
      <c r="AB5" s="4">
        <v>346878000000000</v>
      </c>
      <c r="AC5" s="4">
        <v>334101000000000</v>
      </c>
      <c r="AD5" s="4">
        <v>329165000000000</v>
      </c>
      <c r="AE5" s="4">
        <v>314946000000000</v>
      </c>
      <c r="AF5" s="4">
        <v>310114000000000</v>
      </c>
      <c r="AI5" t="s">
        <v>61</v>
      </c>
      <c r="AJ5" t="s">
        <v>62</v>
      </c>
      <c r="AK5">
        <f t="shared" si="0"/>
        <v>0</v>
      </c>
      <c r="AL5">
        <f t="shared" si="0"/>
        <v>20540000000000</v>
      </c>
      <c r="AM5">
        <f t="shared" si="0"/>
        <v>8131760000000000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457520000000000</v>
      </c>
      <c r="AS5">
        <f t="shared" si="0"/>
        <v>0</v>
      </c>
      <c r="AT5">
        <f t="shared" si="0"/>
        <v>730599000000000</v>
      </c>
      <c r="AU5">
        <f t="shared" si="1"/>
        <v>0</v>
      </c>
      <c r="AV5">
        <f t="shared" si="1"/>
        <v>0</v>
      </c>
      <c r="AW5">
        <f t="shared" si="1"/>
        <v>0</v>
      </c>
      <c r="AX5">
        <f t="shared" si="1"/>
        <v>0</v>
      </c>
      <c r="AY5">
        <f t="shared" si="1"/>
        <v>0</v>
      </c>
      <c r="AZ5">
        <f t="shared" si="1"/>
        <v>0</v>
      </c>
      <c r="BA5">
        <f t="shared" si="1"/>
        <v>0</v>
      </c>
      <c r="BB5">
        <f t="shared" si="1"/>
        <v>0</v>
      </c>
      <c r="BC5">
        <f t="shared" si="1"/>
        <v>948280000000000</v>
      </c>
      <c r="BD5">
        <f t="shared" si="1"/>
        <v>0</v>
      </c>
      <c r="BE5">
        <f t="shared" si="1"/>
        <v>0</v>
      </c>
    </row>
    <row r="6" spans="1:57" x14ac:dyDescent="0.25">
      <c r="A6" t="s">
        <v>75</v>
      </c>
      <c r="B6">
        <v>9060870000000000</v>
      </c>
      <c r="C6" s="4">
        <v>4220730000000000</v>
      </c>
      <c r="D6" s="4">
        <v>1021550000000000</v>
      </c>
      <c r="E6" s="4">
        <v>1648520000000000</v>
      </c>
      <c r="F6" s="4">
        <v>3279200000000000</v>
      </c>
      <c r="G6" s="4">
        <v>4307340000000000</v>
      </c>
      <c r="H6" s="4">
        <v>4710190000000000</v>
      </c>
      <c r="I6" s="4">
        <v>5246940000000000</v>
      </c>
      <c r="J6" s="4">
        <v>5705060000000000</v>
      </c>
      <c r="K6" s="4">
        <v>6197630000000000</v>
      </c>
      <c r="L6" s="4">
        <v>6689530000000000</v>
      </c>
      <c r="M6" s="4">
        <v>6722230000000000</v>
      </c>
      <c r="N6" s="4">
        <v>6627740000000000</v>
      </c>
      <c r="O6" s="4">
        <v>6515420000000000</v>
      </c>
      <c r="P6" s="4">
        <v>6448260000000000</v>
      </c>
      <c r="Q6" s="4">
        <v>6410930000000000</v>
      </c>
      <c r="R6" s="4">
        <v>6362690000000000</v>
      </c>
      <c r="S6" s="4">
        <v>6372650000000000</v>
      </c>
      <c r="T6" s="4">
        <v>6355880000000000</v>
      </c>
      <c r="U6" s="4">
        <v>6347180000000000</v>
      </c>
      <c r="V6" s="4">
        <v>6373000000000000</v>
      </c>
      <c r="W6" s="4">
        <v>6367720000000000</v>
      </c>
      <c r="X6" s="4">
        <v>6350690000000000</v>
      </c>
      <c r="Y6" s="4">
        <v>6342140000000000</v>
      </c>
      <c r="Z6" s="4">
        <v>6359690000000000</v>
      </c>
      <c r="AA6" s="4">
        <v>6352790000000000</v>
      </c>
      <c r="AB6" s="4">
        <v>6332760000000000</v>
      </c>
      <c r="AC6" s="4">
        <v>6271410000000000</v>
      </c>
      <c r="AD6" s="4">
        <v>6190910000000000</v>
      </c>
      <c r="AE6" s="4">
        <v>6104060000000000</v>
      </c>
      <c r="AF6" s="4">
        <v>6016910000000000</v>
      </c>
      <c r="AI6" t="s">
        <v>61</v>
      </c>
      <c r="AJ6" t="s">
        <v>63</v>
      </c>
      <c r="AK6">
        <f t="shared" si="0"/>
        <v>0</v>
      </c>
      <c r="AL6">
        <f t="shared" si="0"/>
        <v>20540000000000</v>
      </c>
      <c r="AM6">
        <f t="shared" si="0"/>
        <v>8131760000000000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457520000000000</v>
      </c>
      <c r="AS6">
        <f t="shared" si="0"/>
        <v>0</v>
      </c>
      <c r="AT6">
        <f t="shared" si="0"/>
        <v>730599000000000</v>
      </c>
      <c r="AU6">
        <f t="shared" si="1"/>
        <v>0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</v>
      </c>
      <c r="BA6">
        <f t="shared" si="1"/>
        <v>0</v>
      </c>
      <c r="BB6">
        <f t="shared" si="1"/>
        <v>0</v>
      </c>
      <c r="BC6">
        <f t="shared" si="1"/>
        <v>948280000000000</v>
      </c>
      <c r="BD6">
        <f t="shared" si="1"/>
        <v>0</v>
      </c>
      <c r="BE6">
        <f t="shared" si="1"/>
        <v>0</v>
      </c>
    </row>
    <row r="7" spans="1:57" x14ac:dyDescent="0.25">
      <c r="A7" t="s">
        <v>76</v>
      </c>
      <c r="B7" s="4">
        <v>270803000000000</v>
      </c>
      <c r="C7" s="4">
        <v>203766000000000</v>
      </c>
      <c r="D7" s="4">
        <v>115894000000000</v>
      </c>
      <c r="E7" s="4">
        <v>252844000000000</v>
      </c>
      <c r="F7" s="4">
        <v>566992000000000</v>
      </c>
      <c r="G7" s="4">
        <v>895018000000000</v>
      </c>
      <c r="H7" s="4">
        <v>1015860000000000</v>
      </c>
      <c r="I7" s="4">
        <v>1192120000000000</v>
      </c>
      <c r="J7" s="4">
        <v>1340050000000000</v>
      </c>
      <c r="K7" s="4">
        <v>1522740000000000</v>
      </c>
      <c r="L7" s="4">
        <v>1686870000000000</v>
      </c>
      <c r="M7" s="4">
        <v>1715720000000000</v>
      </c>
      <c r="N7" s="4">
        <v>1711490000000000</v>
      </c>
      <c r="O7" s="4">
        <v>1700100000000000</v>
      </c>
      <c r="P7" s="4">
        <v>1703920000000000</v>
      </c>
      <c r="Q7" s="4">
        <v>1713710000000000</v>
      </c>
      <c r="R7" s="4">
        <v>1710060000000000</v>
      </c>
      <c r="S7" s="4">
        <v>1728570000000000</v>
      </c>
      <c r="T7" s="4">
        <v>1738250000000000</v>
      </c>
      <c r="U7" s="4">
        <v>1750780000000000</v>
      </c>
      <c r="V7" s="4">
        <v>1761440000000000</v>
      </c>
      <c r="W7" s="4">
        <v>1769270000000000</v>
      </c>
      <c r="X7" s="4">
        <v>1771870000000000</v>
      </c>
      <c r="Y7" s="4">
        <v>1780780000000000</v>
      </c>
      <c r="Z7" s="4">
        <v>1790030000000000</v>
      </c>
      <c r="AA7" s="4">
        <v>1812630000000000</v>
      </c>
      <c r="AB7" s="4">
        <v>1817080000000000</v>
      </c>
      <c r="AC7" s="4">
        <v>1805700000000000</v>
      </c>
      <c r="AD7" s="4">
        <v>1785410000000000</v>
      </c>
      <c r="AE7" s="4">
        <v>1764170000000000</v>
      </c>
      <c r="AF7" s="4">
        <v>1743210000000000</v>
      </c>
      <c r="AI7" t="s">
        <v>64</v>
      </c>
      <c r="AK7">
        <f t="shared" si="0"/>
        <v>0</v>
      </c>
      <c r="AL7">
        <f t="shared" si="0"/>
        <v>989907462900000</v>
      </c>
      <c r="AM7">
        <f t="shared" si="0"/>
        <v>1.14111133E+16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904565000000000</v>
      </c>
      <c r="AS7">
        <f t="shared" si="0"/>
        <v>0</v>
      </c>
      <c r="AT7">
        <f t="shared" si="0"/>
        <v>2256261697000000</v>
      </c>
      <c r="AU7">
        <f t="shared" si="1"/>
        <v>0</v>
      </c>
      <c r="AV7">
        <f t="shared" si="1"/>
        <v>0</v>
      </c>
      <c r="AW7">
        <f t="shared" si="1"/>
        <v>0</v>
      </c>
      <c r="AX7">
        <f t="shared" si="1"/>
        <v>0</v>
      </c>
      <c r="AY7">
        <f t="shared" si="1"/>
        <v>0</v>
      </c>
      <c r="AZ7">
        <f t="shared" si="1"/>
        <v>0</v>
      </c>
      <c r="BA7">
        <f t="shared" si="1"/>
        <v>3.20722E+16</v>
      </c>
      <c r="BB7">
        <f t="shared" si="1"/>
        <v>0</v>
      </c>
      <c r="BC7">
        <f t="shared" si="1"/>
        <v>3703848115000000</v>
      </c>
      <c r="BD7">
        <f t="shared" si="1"/>
        <v>0</v>
      </c>
      <c r="BE7">
        <f t="shared" si="1"/>
        <v>0</v>
      </c>
    </row>
    <row r="8" spans="1:57" x14ac:dyDescent="0.25">
      <c r="A8" t="s">
        <v>77</v>
      </c>
      <c r="B8" s="4">
        <v>8254620000000000</v>
      </c>
      <c r="C8" s="4">
        <v>7784730000000000</v>
      </c>
      <c r="D8" s="4">
        <v>7699300000000000</v>
      </c>
      <c r="E8" s="4">
        <v>7699300000000000</v>
      </c>
      <c r="F8" s="4">
        <v>7699300000000000</v>
      </c>
      <c r="G8" s="4">
        <v>7613860000000000</v>
      </c>
      <c r="H8" s="4">
        <v>6460490000000000</v>
      </c>
      <c r="I8" s="4">
        <v>5777010000000000</v>
      </c>
      <c r="J8" s="4">
        <v>5563430000000000</v>
      </c>
      <c r="K8" s="4">
        <v>5008100000000000</v>
      </c>
      <c r="L8" s="4">
        <v>5008100000000000</v>
      </c>
      <c r="M8" s="4">
        <v>4837230000000000</v>
      </c>
      <c r="N8" s="4">
        <v>4709080000000000</v>
      </c>
      <c r="O8" s="4">
        <v>4623640000000000</v>
      </c>
      <c r="P8" s="4">
        <v>4452770000000000</v>
      </c>
      <c r="Q8" s="4">
        <v>4452770000000000</v>
      </c>
      <c r="R8" s="4">
        <v>4367340000000000</v>
      </c>
      <c r="S8" s="4">
        <v>4196470000000000</v>
      </c>
      <c r="T8" s="4">
        <v>4111040000000000</v>
      </c>
      <c r="U8" s="4">
        <v>4111040000000000</v>
      </c>
      <c r="V8" s="4">
        <v>4111040000000000</v>
      </c>
      <c r="W8" s="4">
        <v>4111040000000000</v>
      </c>
      <c r="X8" s="4">
        <v>4111040000000000</v>
      </c>
      <c r="Y8" s="4">
        <v>3897450000000000</v>
      </c>
      <c r="Z8" s="4">
        <v>3427560000000000</v>
      </c>
      <c r="AA8" s="4">
        <v>3427560000000000</v>
      </c>
      <c r="AB8" s="4">
        <v>3427560000000000</v>
      </c>
      <c r="AC8" s="4">
        <v>3342120000000000</v>
      </c>
      <c r="AD8" s="4">
        <v>3171250000000000</v>
      </c>
      <c r="AE8" s="4">
        <v>3171250000000000</v>
      </c>
      <c r="AF8" s="4">
        <v>3171250000000000</v>
      </c>
    </row>
    <row r="9" spans="1:57" x14ac:dyDescent="0.25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I9" s="1"/>
    </row>
    <row r="10" spans="1:57" x14ac:dyDescent="0.25">
      <c r="A10" t="s">
        <v>79</v>
      </c>
      <c r="B10">
        <v>0</v>
      </c>
      <c r="C10">
        <v>85434800000000</v>
      </c>
      <c r="D10" s="4">
        <v>170870000000000</v>
      </c>
      <c r="E10" s="4">
        <v>170870000000000</v>
      </c>
      <c r="F10" s="4">
        <v>170870000000000</v>
      </c>
      <c r="G10" s="4">
        <v>170870000000000</v>
      </c>
      <c r="H10" s="4">
        <v>213587000000000</v>
      </c>
      <c r="I10" s="4">
        <v>213587000000000</v>
      </c>
      <c r="J10" s="4">
        <v>213587000000000</v>
      </c>
      <c r="K10" s="4">
        <v>213587000000000</v>
      </c>
      <c r="L10" s="4">
        <v>213587000000000</v>
      </c>
      <c r="M10" s="4">
        <v>213587000000000</v>
      </c>
      <c r="N10" s="4">
        <v>213587000000000</v>
      </c>
      <c r="O10" s="4">
        <v>213587000000000</v>
      </c>
      <c r="P10" s="4">
        <v>213587000000000</v>
      </c>
      <c r="Q10" s="4">
        <v>213587000000000</v>
      </c>
      <c r="R10" s="4">
        <v>213587000000000</v>
      </c>
      <c r="S10" s="4">
        <v>213587000000000</v>
      </c>
      <c r="T10" s="4">
        <v>213587000000000</v>
      </c>
      <c r="U10" s="4">
        <v>213587000000000</v>
      </c>
      <c r="V10" s="4">
        <v>213587000000000</v>
      </c>
      <c r="W10" s="4">
        <v>213587000000000</v>
      </c>
      <c r="X10" s="4">
        <v>213587000000000</v>
      </c>
      <c r="Y10" s="4">
        <v>213587000000000</v>
      </c>
      <c r="Z10" s="4">
        <v>213587000000000</v>
      </c>
      <c r="AA10" s="4">
        <v>213587000000000</v>
      </c>
      <c r="AB10" s="4">
        <v>213587000000000</v>
      </c>
      <c r="AC10" s="4">
        <v>213587000000000</v>
      </c>
      <c r="AD10" s="4">
        <v>213587000000000</v>
      </c>
      <c r="AE10" s="4">
        <v>213587000000000</v>
      </c>
      <c r="AF10" s="4">
        <v>213587000000000</v>
      </c>
    </row>
    <row r="11" spans="1:57" x14ac:dyDescent="0.25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57" x14ac:dyDescent="0.25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57" x14ac:dyDescent="0.25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57" x14ac:dyDescent="0.25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57" x14ac:dyDescent="0.25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57" x14ac:dyDescent="0.25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92</v>
      </c>
      <c r="B23" s="4">
        <v>344811000000000</v>
      </c>
      <c r="C23" s="4">
        <v>344811000000000</v>
      </c>
      <c r="D23" s="4">
        <v>344811000000000</v>
      </c>
      <c r="E23" s="4">
        <v>344811000000000</v>
      </c>
      <c r="F23" s="4">
        <v>344811000000000</v>
      </c>
      <c r="G23" s="4">
        <v>344811000000000</v>
      </c>
      <c r="H23" s="4">
        <v>344811000000000</v>
      </c>
      <c r="I23" s="4">
        <v>344811000000000</v>
      </c>
      <c r="J23" s="4">
        <v>344811000000000</v>
      </c>
      <c r="K23" s="4">
        <v>344811000000000</v>
      </c>
      <c r="L23" s="4">
        <v>344811000000000</v>
      </c>
      <c r="M23" s="4">
        <v>344811000000000</v>
      </c>
      <c r="N23" s="4">
        <v>344811000000000</v>
      </c>
      <c r="O23" s="4">
        <v>344811000000000</v>
      </c>
      <c r="P23" s="4">
        <v>344811000000000</v>
      </c>
      <c r="Q23" s="4">
        <v>344811000000000</v>
      </c>
      <c r="R23" s="4">
        <v>344811000000000</v>
      </c>
      <c r="S23" s="4">
        <v>344811000000000</v>
      </c>
      <c r="T23" s="4">
        <v>344811000000000</v>
      </c>
      <c r="U23" s="4">
        <v>344811000000000</v>
      </c>
      <c r="V23" s="4">
        <v>344811000000000</v>
      </c>
      <c r="W23" s="4">
        <v>344811000000000</v>
      </c>
      <c r="X23" s="4">
        <v>344811000000000</v>
      </c>
      <c r="Y23" s="4">
        <v>344811000000000</v>
      </c>
      <c r="Z23" s="4">
        <v>344811000000000</v>
      </c>
      <c r="AA23" s="4">
        <v>344811000000000</v>
      </c>
      <c r="AB23" s="4">
        <v>344811000000000</v>
      </c>
      <c r="AC23" s="4">
        <v>344811000000000</v>
      </c>
      <c r="AD23" s="4">
        <v>344811000000000</v>
      </c>
      <c r="AE23" s="4">
        <v>344811000000000</v>
      </c>
      <c r="AF23" s="4">
        <v>344811000000000</v>
      </c>
    </row>
    <row r="24" spans="1:32" x14ac:dyDescent="0.25">
      <c r="A24" t="s">
        <v>93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94</v>
      </c>
      <c r="B25" s="4">
        <v>0</v>
      </c>
      <c r="C25" s="4">
        <v>2586620000000</v>
      </c>
      <c r="D25" s="4">
        <v>6466560000000</v>
      </c>
      <c r="E25" s="4">
        <v>7759870000000</v>
      </c>
      <c r="F25" s="4">
        <v>7759870000000</v>
      </c>
      <c r="G25" s="4">
        <v>23279600000000</v>
      </c>
      <c r="H25" s="4">
        <v>29746200000000</v>
      </c>
      <c r="I25" s="4">
        <v>34919400000000</v>
      </c>
      <c r="J25" s="4">
        <v>37506000000000</v>
      </c>
      <c r="K25" s="4">
        <v>40092700000000</v>
      </c>
      <c r="L25" s="4">
        <v>40092700000000</v>
      </c>
      <c r="M25" s="4">
        <v>41386000000000</v>
      </c>
      <c r="N25" s="4">
        <v>42679300000000</v>
      </c>
      <c r="O25" s="4">
        <v>43972600000000</v>
      </c>
      <c r="P25" s="4">
        <v>45265900000000</v>
      </c>
      <c r="Q25" s="4">
        <v>45265900000000</v>
      </c>
      <c r="R25" s="4">
        <v>45265900000000</v>
      </c>
      <c r="S25" s="4">
        <v>46559200000000</v>
      </c>
      <c r="T25" s="4">
        <v>46559200000000</v>
      </c>
      <c r="U25" s="4">
        <v>46559200000000</v>
      </c>
      <c r="V25" s="4">
        <v>46559200000000</v>
      </c>
      <c r="W25" s="4">
        <v>46559200000000</v>
      </c>
      <c r="X25" s="4">
        <v>46559200000000</v>
      </c>
      <c r="Y25" s="4">
        <v>46559200000000</v>
      </c>
      <c r="Z25" s="4">
        <v>47852500000000</v>
      </c>
      <c r="AA25" s="4">
        <v>47852500000000</v>
      </c>
      <c r="AB25" s="4">
        <v>47852500000000</v>
      </c>
      <c r="AC25" s="4">
        <v>47852500000000</v>
      </c>
      <c r="AD25" s="4">
        <v>47852500000000</v>
      </c>
      <c r="AE25" s="4">
        <v>47852500000000</v>
      </c>
      <c r="AF25" s="4">
        <v>47852500000000</v>
      </c>
    </row>
    <row r="26" spans="1:32" x14ac:dyDescent="0.25">
      <c r="A26" t="s">
        <v>95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97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98</v>
      </c>
      <c r="B29" s="4">
        <v>121125000000000</v>
      </c>
      <c r="C29" s="4">
        <v>120823000000000</v>
      </c>
      <c r="D29" s="4">
        <v>120720000000000</v>
      </c>
      <c r="E29" s="4">
        <v>120645000000000</v>
      </c>
      <c r="F29" s="4">
        <v>120567000000000</v>
      </c>
      <c r="G29" s="4">
        <v>121700000000000</v>
      </c>
      <c r="H29" s="4">
        <v>122089000000000</v>
      </c>
      <c r="I29" s="4">
        <v>122306000000000</v>
      </c>
      <c r="J29" s="4">
        <v>122480000000000</v>
      </c>
      <c r="K29" s="4">
        <v>122639000000000</v>
      </c>
      <c r="L29" s="4">
        <v>122796000000000</v>
      </c>
      <c r="M29" s="4">
        <v>122917000000000</v>
      </c>
      <c r="N29" s="4">
        <v>123018000000000</v>
      </c>
      <c r="O29" s="4">
        <v>123106000000000</v>
      </c>
      <c r="P29" s="4">
        <v>123190000000000</v>
      </c>
      <c r="Q29" s="4">
        <v>123278000000000</v>
      </c>
      <c r="R29" s="4">
        <v>123359000000000</v>
      </c>
      <c r="S29" s="4">
        <v>123414000000000</v>
      </c>
      <c r="T29" s="4">
        <v>123488000000000</v>
      </c>
      <c r="U29" s="4">
        <v>123565000000000</v>
      </c>
      <c r="V29" s="4">
        <v>123623000000000</v>
      </c>
      <c r="W29" s="4">
        <v>123681000000000</v>
      </c>
      <c r="X29" s="4">
        <v>123744000000000</v>
      </c>
      <c r="Y29" s="4">
        <v>123789000000000</v>
      </c>
      <c r="Z29" s="4">
        <v>123814000000000</v>
      </c>
      <c r="AA29" s="4">
        <v>123859000000000</v>
      </c>
      <c r="AB29" s="4">
        <v>123902000000000</v>
      </c>
      <c r="AC29" s="4">
        <v>123955000000000</v>
      </c>
      <c r="AD29" s="4">
        <v>123998000000000</v>
      </c>
      <c r="AE29" s="4">
        <v>124047000000000</v>
      </c>
      <c r="AF29" s="4">
        <v>124094000000000</v>
      </c>
    </row>
    <row r="30" spans="1:32" x14ac:dyDescent="0.25">
      <c r="A30" t="s">
        <v>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100</v>
      </c>
      <c r="B31">
        <v>0</v>
      </c>
      <c r="C31">
        <v>9643350000</v>
      </c>
      <c r="D31">
        <v>9635030000</v>
      </c>
      <c r="E31" s="4">
        <v>9629070000</v>
      </c>
      <c r="F31" s="4">
        <v>9622850000</v>
      </c>
      <c r="G31" s="4">
        <v>252547000000</v>
      </c>
      <c r="H31" s="4">
        <v>384901000000</v>
      </c>
      <c r="I31" s="4">
        <v>478325000000</v>
      </c>
      <c r="J31" s="4">
        <v>566988000000</v>
      </c>
      <c r="K31" s="4">
        <v>650920000000</v>
      </c>
      <c r="L31" s="4">
        <v>720358000000</v>
      </c>
      <c r="M31" s="4">
        <v>775024000000</v>
      </c>
      <c r="N31" s="4">
        <v>829664000000</v>
      </c>
      <c r="O31" s="4">
        <v>879387000000</v>
      </c>
      <c r="P31" s="4">
        <v>929141000000</v>
      </c>
      <c r="Q31" s="4">
        <v>983924000000</v>
      </c>
      <c r="R31" s="4">
        <v>1033800000000</v>
      </c>
      <c r="S31" s="4">
        <v>1073660000000</v>
      </c>
      <c r="T31" s="4">
        <v>1123580000000</v>
      </c>
      <c r="U31" s="4">
        <v>1173590000000</v>
      </c>
      <c r="V31" s="4">
        <v>1218540000000</v>
      </c>
      <c r="W31" s="4">
        <v>1263540000000</v>
      </c>
      <c r="X31" s="4">
        <v>1308620000000</v>
      </c>
      <c r="Y31" s="4">
        <v>1348610000000</v>
      </c>
      <c r="Z31" s="4">
        <v>1373590000000</v>
      </c>
      <c r="AA31" s="4">
        <v>1413630000000</v>
      </c>
      <c r="AB31" s="4">
        <v>1453680000000</v>
      </c>
      <c r="AC31" s="4">
        <v>1498820000000</v>
      </c>
      <c r="AD31" s="4">
        <v>1538930000000</v>
      </c>
      <c r="AE31" s="4">
        <v>1589030000000</v>
      </c>
      <c r="AF31" s="4">
        <v>1644120000000</v>
      </c>
    </row>
    <row r="32" spans="1:32" x14ac:dyDescent="0.25">
      <c r="A32" t="s">
        <v>101</v>
      </c>
      <c r="B32" s="4">
        <v>1338380000000000</v>
      </c>
      <c r="C32" s="4">
        <v>1328880000000000</v>
      </c>
      <c r="D32" s="4">
        <v>1321760000000000</v>
      </c>
      <c r="E32" s="4">
        <v>1315370000000000</v>
      </c>
      <c r="F32" s="4">
        <v>1311280000000000</v>
      </c>
      <c r="G32" s="4">
        <v>1323680000000000</v>
      </c>
      <c r="H32" s="4">
        <v>1314780000000000</v>
      </c>
      <c r="I32" s="4">
        <v>1310740000000000</v>
      </c>
      <c r="J32" s="4">
        <v>1312920000000000</v>
      </c>
      <c r="K32" s="4">
        <v>1314990000000000</v>
      </c>
      <c r="L32" s="4">
        <v>1313230000000000</v>
      </c>
      <c r="M32" s="4">
        <v>1314350000000000</v>
      </c>
      <c r="N32" s="4">
        <v>1313580000000000</v>
      </c>
      <c r="O32" s="4">
        <v>1312680000000000</v>
      </c>
      <c r="P32" s="4">
        <v>1313380000000000</v>
      </c>
      <c r="Q32" s="4">
        <v>1314150000000000</v>
      </c>
      <c r="R32" s="4">
        <v>1314810000000000</v>
      </c>
      <c r="S32" s="4">
        <v>1315310000000000</v>
      </c>
      <c r="T32" s="4">
        <v>1315440000000000</v>
      </c>
      <c r="U32" s="4">
        <v>1316120000000000</v>
      </c>
      <c r="V32" s="4">
        <v>1316650000000000</v>
      </c>
      <c r="W32" s="4">
        <v>1315030000000000</v>
      </c>
      <c r="X32" s="4">
        <v>1315030000000000</v>
      </c>
      <c r="Y32" s="4">
        <v>1315410000000000</v>
      </c>
      <c r="Z32" s="4">
        <v>1315620000000000</v>
      </c>
      <c r="AA32" s="4">
        <v>1315520000000000</v>
      </c>
      <c r="AB32" s="4">
        <v>1315900000000000</v>
      </c>
      <c r="AC32" s="4">
        <v>1316330000000000</v>
      </c>
      <c r="AD32" s="4">
        <v>1315580000000000</v>
      </c>
      <c r="AE32" s="4">
        <v>1315950000000000</v>
      </c>
      <c r="AF32" s="4">
        <v>1316310000000000</v>
      </c>
    </row>
    <row r="33" spans="1:32" x14ac:dyDescent="0.25">
      <c r="A33" t="s">
        <v>102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103</v>
      </c>
      <c r="B34" s="4">
        <v>33022900000000</v>
      </c>
      <c r="C34" s="4">
        <v>57172500000000</v>
      </c>
      <c r="D34" s="4">
        <v>68682600000000</v>
      </c>
      <c r="E34" s="4">
        <v>80087100000000</v>
      </c>
      <c r="F34" s="4">
        <v>85719400000000</v>
      </c>
      <c r="G34" s="4">
        <v>392373000000000</v>
      </c>
      <c r="H34" s="4">
        <v>546513000000000</v>
      </c>
      <c r="I34" s="4">
        <v>643699000000000</v>
      </c>
      <c r="J34" s="4">
        <v>728813000000000</v>
      </c>
      <c r="K34" s="4">
        <v>822492000000000</v>
      </c>
      <c r="L34" s="4">
        <v>915304000000000</v>
      </c>
      <c r="M34" s="4">
        <v>991435000000000</v>
      </c>
      <c r="N34" s="4">
        <v>1064070000000000</v>
      </c>
      <c r="O34" s="4">
        <v>1129450000000000</v>
      </c>
      <c r="P34" s="4">
        <v>1193270000000000</v>
      </c>
      <c r="Q34" s="4">
        <v>1266120000000000</v>
      </c>
      <c r="R34" s="4">
        <v>1336690000000000</v>
      </c>
      <c r="S34" s="4">
        <v>1395550000000000</v>
      </c>
      <c r="T34" s="4">
        <v>1468500000000000</v>
      </c>
      <c r="U34" s="4">
        <v>1544870000000000</v>
      </c>
      <c r="V34" s="4">
        <v>1612250000000000</v>
      </c>
      <c r="W34" s="4">
        <v>1683010000000000</v>
      </c>
      <c r="X34" s="4">
        <v>1759390000000000</v>
      </c>
      <c r="Y34" s="4">
        <v>1824480000000000</v>
      </c>
      <c r="Z34" s="4">
        <v>1872670000000000</v>
      </c>
      <c r="AA34" s="4">
        <v>1944630000000000</v>
      </c>
      <c r="AB34" s="4">
        <v>2016510000000000</v>
      </c>
      <c r="AC34" s="4">
        <v>2097940000000000</v>
      </c>
      <c r="AD34" s="4">
        <v>2175320000000000</v>
      </c>
      <c r="AE34" s="4">
        <v>2262850000000000</v>
      </c>
      <c r="AF34" s="4">
        <v>2355430000000000</v>
      </c>
    </row>
    <row r="35" spans="1:32" x14ac:dyDescent="0.25">
      <c r="A35" t="s">
        <v>104</v>
      </c>
      <c r="B35" s="4">
        <v>186857000000000</v>
      </c>
      <c r="C35" s="4">
        <v>405815000000000</v>
      </c>
      <c r="D35" s="4">
        <v>546587000000000</v>
      </c>
      <c r="E35" s="4">
        <v>592402000000000</v>
      </c>
      <c r="F35" s="4">
        <v>550004000000000</v>
      </c>
      <c r="G35" s="4">
        <v>643507000000000</v>
      </c>
      <c r="H35" s="4">
        <v>625878000000000</v>
      </c>
      <c r="I35" s="4">
        <v>601693000000000</v>
      </c>
      <c r="J35" s="4">
        <v>561708000000000</v>
      </c>
      <c r="K35" s="4">
        <v>509409000000000</v>
      </c>
      <c r="L35" s="4">
        <v>456144000000000</v>
      </c>
      <c r="M35" s="4">
        <v>459127000000000</v>
      </c>
      <c r="N35" s="4">
        <v>479126000000000</v>
      </c>
      <c r="O35" s="4">
        <v>496901000000000</v>
      </c>
      <c r="P35" s="4">
        <v>511368000000000</v>
      </c>
      <c r="Q35" s="4">
        <v>520048000000000</v>
      </c>
      <c r="R35" s="4">
        <v>527094000000000</v>
      </c>
      <c r="S35" s="4">
        <v>524325000000000</v>
      </c>
      <c r="T35" s="4">
        <v>535216000000000</v>
      </c>
      <c r="U35" s="4">
        <v>536806000000000</v>
      </c>
      <c r="V35" s="4">
        <v>534922000000000</v>
      </c>
      <c r="W35" s="4">
        <v>534187000000000</v>
      </c>
      <c r="X35" s="4">
        <v>535385000000000</v>
      </c>
      <c r="Y35" s="4">
        <v>535878000000000</v>
      </c>
      <c r="Z35" s="4">
        <v>538852000000000</v>
      </c>
      <c r="AA35" s="4">
        <v>547334000000000</v>
      </c>
      <c r="AB35" s="4">
        <v>551790000000000</v>
      </c>
      <c r="AC35" s="4">
        <v>558540000000000</v>
      </c>
      <c r="AD35" s="4">
        <v>576483000000000</v>
      </c>
      <c r="AE35" s="4">
        <v>587719000000000</v>
      </c>
      <c r="AF35" s="4">
        <v>598243000000000</v>
      </c>
    </row>
    <row r="36" spans="1:32" x14ac:dyDescent="0.25">
      <c r="A36" t="s">
        <v>105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106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107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109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111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112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113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114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115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116</v>
      </c>
      <c r="B47" s="4">
        <v>262173000000000</v>
      </c>
      <c r="C47" s="4">
        <v>262173000000000</v>
      </c>
      <c r="D47" s="4">
        <v>262173000000000</v>
      </c>
      <c r="E47" s="4">
        <v>262173000000000</v>
      </c>
      <c r="F47" s="4">
        <v>262173000000000</v>
      </c>
      <c r="G47" s="4">
        <v>262173000000000</v>
      </c>
      <c r="H47" s="4">
        <v>262173000000000</v>
      </c>
      <c r="I47" s="4">
        <v>262173000000000</v>
      </c>
      <c r="J47" s="4">
        <v>262173000000000</v>
      </c>
      <c r="K47" s="4">
        <v>262173000000000</v>
      </c>
      <c r="L47" s="4">
        <v>262173000000000</v>
      </c>
      <c r="M47" s="4">
        <v>262173000000000</v>
      </c>
      <c r="N47" s="4">
        <v>262173000000000</v>
      </c>
      <c r="O47" s="4">
        <v>262173000000000</v>
      </c>
      <c r="P47" s="4">
        <v>262173000000000</v>
      </c>
      <c r="Q47" s="4">
        <v>262173000000000</v>
      </c>
      <c r="R47" s="4">
        <v>262173000000000</v>
      </c>
      <c r="S47" s="4">
        <v>262173000000000</v>
      </c>
      <c r="T47" s="4">
        <v>262173000000000</v>
      </c>
      <c r="U47" s="4">
        <v>262173000000000</v>
      </c>
      <c r="V47" s="4">
        <v>262173000000000</v>
      </c>
      <c r="W47" s="4">
        <v>262173000000000</v>
      </c>
      <c r="X47" s="4">
        <v>262173000000000</v>
      </c>
      <c r="Y47" s="4">
        <v>262173000000000</v>
      </c>
      <c r="Z47" s="4">
        <v>262173000000000</v>
      </c>
      <c r="AA47" s="4">
        <v>262173000000000</v>
      </c>
      <c r="AB47" s="4">
        <v>262173000000000</v>
      </c>
      <c r="AC47" s="4">
        <v>262173000000000</v>
      </c>
      <c r="AD47" s="4">
        <v>262173000000000</v>
      </c>
      <c r="AE47" s="4">
        <v>262173000000000</v>
      </c>
      <c r="AF47" s="4">
        <v>262173000000000</v>
      </c>
    </row>
    <row r="48" spans="1:32" x14ac:dyDescent="0.25">
      <c r="A48" t="s">
        <v>117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118</v>
      </c>
      <c r="B49">
        <v>0</v>
      </c>
      <c r="C49">
        <v>0</v>
      </c>
      <c r="D49" s="4">
        <v>0</v>
      </c>
      <c r="E49" s="4">
        <v>0</v>
      </c>
      <c r="F49" s="4">
        <v>0</v>
      </c>
      <c r="G49" s="4">
        <v>12559300000000</v>
      </c>
      <c r="H49" s="4">
        <v>23025400000000</v>
      </c>
      <c r="I49" s="4">
        <v>31398300000000</v>
      </c>
      <c r="J49" s="4">
        <v>38724600000000</v>
      </c>
      <c r="K49" s="4">
        <v>43957700000000</v>
      </c>
      <c r="L49" s="4">
        <v>48144100000000</v>
      </c>
      <c r="M49" s="4">
        <v>52330500000000</v>
      </c>
      <c r="N49" s="4">
        <v>56517000000000</v>
      </c>
      <c r="O49" s="4">
        <v>59656800000000</v>
      </c>
      <c r="P49" s="4">
        <v>62796700000000</v>
      </c>
      <c r="Q49" s="4">
        <v>65936500000000</v>
      </c>
      <c r="R49" s="4">
        <v>69076300000000</v>
      </c>
      <c r="S49" s="4">
        <v>72216100000000</v>
      </c>
      <c r="T49" s="4">
        <v>74309400000000</v>
      </c>
      <c r="U49" s="4">
        <v>76402600000000</v>
      </c>
      <c r="V49" s="4">
        <v>78495800000000</v>
      </c>
      <c r="W49" s="4">
        <v>80589000000000</v>
      </c>
      <c r="X49" s="4">
        <v>82682300000000</v>
      </c>
      <c r="Y49" s="4">
        <v>84775500000000</v>
      </c>
      <c r="Z49" s="4">
        <v>86868700000000</v>
      </c>
      <c r="AA49" s="4">
        <v>88961900000000</v>
      </c>
      <c r="AB49" s="4">
        <v>90008500000000</v>
      </c>
      <c r="AC49" s="4">
        <v>91055100000000</v>
      </c>
      <c r="AD49" s="4">
        <v>92101800000000</v>
      </c>
      <c r="AE49" s="4">
        <v>93148400000000</v>
      </c>
      <c r="AF49" s="4">
        <v>94195000000000</v>
      </c>
    </row>
    <row r="50" spans="1:32" x14ac:dyDescent="0.25">
      <c r="A50" t="s">
        <v>119</v>
      </c>
      <c r="B50" s="4">
        <v>251000000000000</v>
      </c>
      <c r="C50" s="4">
        <v>265700000000000</v>
      </c>
      <c r="D50" s="4">
        <v>268200000000000</v>
      </c>
      <c r="E50" s="4">
        <v>276100000000000</v>
      </c>
      <c r="F50" s="4">
        <v>284200000000000</v>
      </c>
      <c r="G50" s="4">
        <v>290600000000000</v>
      </c>
      <c r="H50" s="4">
        <v>296500000000000</v>
      </c>
      <c r="I50" s="4">
        <v>302100000000000</v>
      </c>
      <c r="J50" s="4">
        <v>307600000000000</v>
      </c>
      <c r="K50" s="4">
        <v>312000000000000</v>
      </c>
      <c r="L50" s="4">
        <v>316400000000000</v>
      </c>
      <c r="M50" s="4">
        <v>321000000000000</v>
      </c>
      <c r="N50" s="4">
        <v>326200000000000</v>
      </c>
      <c r="O50" s="4">
        <v>330300000000000</v>
      </c>
      <c r="P50" s="4">
        <v>335000000000000</v>
      </c>
      <c r="Q50" s="4">
        <v>339900000000000</v>
      </c>
      <c r="R50" s="4">
        <v>344800000000000</v>
      </c>
      <c r="S50" s="4">
        <v>349600000000000</v>
      </c>
      <c r="T50" s="4">
        <v>354500000000000</v>
      </c>
      <c r="U50" s="4">
        <v>359500000000000</v>
      </c>
      <c r="V50" s="4">
        <v>364600000000000</v>
      </c>
      <c r="W50" s="4">
        <v>369700000000000</v>
      </c>
      <c r="X50" s="4">
        <v>374800000000000</v>
      </c>
      <c r="Y50" s="4">
        <v>380000000000000</v>
      </c>
      <c r="Z50" s="4">
        <v>385200000000000</v>
      </c>
      <c r="AA50" s="4">
        <v>390600000000000</v>
      </c>
      <c r="AB50" s="4">
        <v>395900000000000</v>
      </c>
      <c r="AC50" s="4">
        <v>401200000000000</v>
      </c>
      <c r="AD50" s="4">
        <v>406900000000000</v>
      </c>
      <c r="AE50" s="4">
        <v>412600000000000</v>
      </c>
      <c r="AF50" s="4">
        <v>418400000000000</v>
      </c>
    </row>
    <row r="51" spans="1:32" x14ac:dyDescent="0.25">
      <c r="A51" t="s">
        <v>120</v>
      </c>
      <c r="B51" s="4">
        <v>76800000000000</v>
      </c>
      <c r="C51" s="4">
        <v>74387800000000</v>
      </c>
      <c r="D51" s="4">
        <v>76431200000000</v>
      </c>
      <c r="E51" s="4">
        <v>81667300000000</v>
      </c>
      <c r="F51" s="4">
        <v>86032900000000</v>
      </c>
      <c r="G51" s="4">
        <v>89126300000000</v>
      </c>
      <c r="H51" s="4">
        <v>91470400000000</v>
      </c>
      <c r="I51" s="4">
        <v>93013100000000</v>
      </c>
      <c r="J51" s="4">
        <v>94606900000000</v>
      </c>
      <c r="K51" s="4">
        <v>95897500000000</v>
      </c>
      <c r="L51" s="4">
        <v>97201500000000</v>
      </c>
      <c r="M51" s="4">
        <v>98449000000000</v>
      </c>
      <c r="N51" s="4">
        <v>99837700000000</v>
      </c>
      <c r="O51" s="4">
        <v>100478000000000</v>
      </c>
      <c r="P51" s="4">
        <v>101408000000000</v>
      </c>
      <c r="Q51" s="4">
        <v>102424000000000</v>
      </c>
      <c r="R51" s="4">
        <v>103336000000000</v>
      </c>
      <c r="S51" s="4">
        <v>104245000000000</v>
      </c>
      <c r="T51" s="4">
        <v>104854000000000</v>
      </c>
      <c r="U51" s="4">
        <v>105733000000000</v>
      </c>
      <c r="V51" s="4">
        <v>106522000000000</v>
      </c>
      <c r="W51" s="4">
        <v>107383000000000</v>
      </c>
      <c r="X51" s="4">
        <v>108313000000000</v>
      </c>
      <c r="Y51" s="4">
        <v>109438000000000</v>
      </c>
      <c r="Z51" s="4">
        <v>110026000000000</v>
      </c>
      <c r="AA51" s="4">
        <v>110879000000000</v>
      </c>
      <c r="AB51" s="4">
        <v>111128000000000</v>
      </c>
      <c r="AC51" s="4">
        <v>111549000000000</v>
      </c>
      <c r="AD51" s="4">
        <v>111869000000000</v>
      </c>
      <c r="AE51" s="4">
        <v>112027000000000</v>
      </c>
      <c r="AF51" s="4">
        <v>112341000000000</v>
      </c>
    </row>
    <row r="52" spans="1:32" x14ac:dyDescent="0.25">
      <c r="A52" t="s">
        <v>121</v>
      </c>
      <c r="B52" s="4">
        <v>95800000000000</v>
      </c>
      <c r="C52" s="4">
        <v>92844000000000</v>
      </c>
      <c r="D52" s="4">
        <v>95394500000000</v>
      </c>
      <c r="E52" s="4">
        <v>101930000000000</v>
      </c>
      <c r="F52" s="4">
        <v>107378000000000</v>
      </c>
      <c r="G52" s="4">
        <v>111239000000000</v>
      </c>
      <c r="H52" s="4">
        <v>114165000000000</v>
      </c>
      <c r="I52" s="4">
        <v>116090000000000</v>
      </c>
      <c r="J52" s="4">
        <v>118080000000000</v>
      </c>
      <c r="K52" s="4">
        <v>119690000000000</v>
      </c>
      <c r="L52" s="4">
        <v>121318000000000</v>
      </c>
      <c r="M52" s="4">
        <v>122875000000000</v>
      </c>
      <c r="N52" s="4">
        <v>124608000000000</v>
      </c>
      <c r="O52" s="4">
        <v>125407000000000</v>
      </c>
      <c r="P52" s="4">
        <v>126568000000000</v>
      </c>
      <c r="Q52" s="4">
        <v>127836000000000</v>
      </c>
      <c r="R52" s="4">
        <v>128975000000000</v>
      </c>
      <c r="S52" s="4">
        <v>130109000000000</v>
      </c>
      <c r="T52" s="4">
        <v>130869000000000</v>
      </c>
      <c r="U52" s="4">
        <v>131966000000000</v>
      </c>
      <c r="V52" s="4">
        <v>132951000000000</v>
      </c>
      <c r="W52" s="4">
        <v>134026000000000</v>
      </c>
      <c r="X52" s="4">
        <v>135187000000000</v>
      </c>
      <c r="Y52" s="4">
        <v>136590000000000</v>
      </c>
      <c r="Z52" s="4">
        <v>137324000000000</v>
      </c>
      <c r="AA52" s="4">
        <v>138389000000000</v>
      </c>
      <c r="AB52" s="4">
        <v>138700000000000</v>
      </c>
      <c r="AC52" s="4">
        <v>139225000000000</v>
      </c>
      <c r="AD52" s="4">
        <v>139624000000000</v>
      </c>
      <c r="AE52" s="4">
        <v>139822000000000</v>
      </c>
      <c r="AF52" s="4">
        <v>140213000000000</v>
      </c>
    </row>
    <row r="53" spans="1:32" x14ac:dyDescent="0.25">
      <c r="A53" t="s">
        <v>122</v>
      </c>
      <c r="B53" s="4">
        <v>135000000000000</v>
      </c>
      <c r="C53" s="4">
        <v>131282000000000</v>
      </c>
      <c r="D53" s="4">
        <v>134889000000000</v>
      </c>
      <c r="E53" s="4">
        <v>144129000000000</v>
      </c>
      <c r="F53" s="4">
        <v>151834000000000</v>
      </c>
      <c r="G53" s="4">
        <v>157294000000000</v>
      </c>
      <c r="H53" s="4">
        <v>161430000000000</v>
      </c>
      <c r="I53" s="4">
        <v>164153000000000</v>
      </c>
      <c r="J53" s="4">
        <v>166966000000000</v>
      </c>
      <c r="K53" s="4">
        <v>169243000000000</v>
      </c>
      <c r="L53" s="4">
        <v>171545000000000</v>
      </c>
      <c r="M53" s="4">
        <v>173746000000000</v>
      </c>
      <c r="N53" s="4">
        <v>176197000000000</v>
      </c>
      <c r="O53" s="4">
        <v>177327000000000</v>
      </c>
      <c r="P53" s="4">
        <v>178969000000000</v>
      </c>
      <c r="Q53" s="4">
        <v>180761000000000</v>
      </c>
      <c r="R53" s="4">
        <v>182371000000000</v>
      </c>
      <c r="S53" s="4">
        <v>183975000000000</v>
      </c>
      <c r="T53" s="4">
        <v>185050000000000</v>
      </c>
      <c r="U53" s="4">
        <v>186602000000000</v>
      </c>
      <c r="V53" s="4">
        <v>187993000000000</v>
      </c>
      <c r="W53" s="4">
        <v>189514000000000</v>
      </c>
      <c r="X53" s="4">
        <v>191155000000000</v>
      </c>
      <c r="Y53" s="4">
        <v>193140000000000</v>
      </c>
      <c r="Z53" s="4">
        <v>194178000000000</v>
      </c>
      <c r="AA53" s="4">
        <v>195683000000000</v>
      </c>
      <c r="AB53" s="4">
        <v>196123000000000</v>
      </c>
      <c r="AC53" s="4">
        <v>196865000000000</v>
      </c>
      <c r="AD53" s="4">
        <v>197430000000000</v>
      </c>
      <c r="AE53" s="4">
        <v>197709000000000</v>
      </c>
      <c r="AF53" s="4">
        <v>198263000000000</v>
      </c>
    </row>
    <row r="54" spans="1:32" x14ac:dyDescent="0.25">
      <c r="A54" t="s">
        <v>123</v>
      </c>
      <c r="B54" s="4">
        <v>328000000000000</v>
      </c>
      <c r="C54" s="4">
        <v>342121000000000</v>
      </c>
      <c r="D54" s="4">
        <v>344845000000000</v>
      </c>
      <c r="E54" s="4">
        <v>356021000000000</v>
      </c>
      <c r="F54" s="4">
        <v>366352000000000</v>
      </c>
      <c r="G54" s="4">
        <v>374402000000000</v>
      </c>
      <c r="H54" s="4">
        <v>381326000000000</v>
      </c>
      <c r="I54" s="4">
        <v>387987000000000</v>
      </c>
      <c r="J54" s="4">
        <v>393972000000000</v>
      </c>
      <c r="K54" s="4">
        <v>398233000000000</v>
      </c>
      <c r="L54" s="4">
        <v>402720000000000</v>
      </c>
      <c r="M54" s="4">
        <v>406751000000000</v>
      </c>
      <c r="N54" s="4">
        <v>411401000000000</v>
      </c>
      <c r="O54" s="4">
        <v>415275000000000</v>
      </c>
      <c r="P54" s="4">
        <v>419940000000000</v>
      </c>
      <c r="Q54" s="4">
        <v>424722000000000</v>
      </c>
      <c r="R54" s="4">
        <v>429961000000000</v>
      </c>
      <c r="S54" s="4">
        <v>434825000000000</v>
      </c>
      <c r="T54" s="4">
        <v>439852000000000</v>
      </c>
      <c r="U54" s="4">
        <v>445111000000000</v>
      </c>
      <c r="V54" s="4">
        <v>450393000000000</v>
      </c>
      <c r="W54" s="4">
        <v>455592000000000</v>
      </c>
      <c r="X54" s="4">
        <v>461031000000000</v>
      </c>
      <c r="Y54" s="4">
        <v>466720000000000</v>
      </c>
      <c r="Z54" s="4">
        <v>472173000000000</v>
      </c>
      <c r="AA54" s="4">
        <v>477347000000000</v>
      </c>
      <c r="AB54" s="4">
        <v>482485000000000</v>
      </c>
      <c r="AC54" s="4">
        <v>487538000000000</v>
      </c>
      <c r="AD54" s="4">
        <v>493147000000000</v>
      </c>
      <c r="AE54" s="4">
        <v>499075000000000</v>
      </c>
      <c r="AF54" s="4">
        <v>504755000000000</v>
      </c>
    </row>
    <row r="55" spans="1:32" x14ac:dyDescent="0.25">
      <c r="A55" t="s">
        <v>124</v>
      </c>
      <c r="B55" s="4">
        <v>45600000000000</v>
      </c>
      <c r="C55" s="4">
        <v>45886700000000</v>
      </c>
      <c r="D55" s="4">
        <v>46637900000000</v>
      </c>
      <c r="E55" s="4">
        <v>47830000000000</v>
      </c>
      <c r="F55" s="4">
        <v>48994900000000</v>
      </c>
      <c r="G55" s="4">
        <v>50041400000000</v>
      </c>
      <c r="H55" s="4">
        <v>50891600000000</v>
      </c>
      <c r="I55" s="4">
        <v>51558200000000</v>
      </c>
      <c r="J55" s="4">
        <v>52057200000000</v>
      </c>
      <c r="K55" s="4">
        <v>52364700000000</v>
      </c>
      <c r="L55" s="4">
        <v>52736200000000</v>
      </c>
      <c r="M55" s="4">
        <v>53075100000000</v>
      </c>
      <c r="N55" s="4">
        <v>53379300000000</v>
      </c>
      <c r="O55" s="4">
        <v>53548000000000</v>
      </c>
      <c r="P55" s="4">
        <v>53798800000000</v>
      </c>
      <c r="Q55" s="4">
        <v>54198000000000</v>
      </c>
      <c r="R55" s="4">
        <v>54651700000000</v>
      </c>
      <c r="S55" s="4">
        <v>55049500000000</v>
      </c>
      <c r="T55" s="4">
        <v>55511100000000</v>
      </c>
      <c r="U55" s="4">
        <v>56034600000000</v>
      </c>
      <c r="V55" s="4">
        <v>56565600000000</v>
      </c>
      <c r="W55" s="4">
        <v>57186800000000</v>
      </c>
      <c r="X55" s="4">
        <v>57913400000000</v>
      </c>
      <c r="Y55" s="4">
        <v>58746800000000</v>
      </c>
      <c r="Z55" s="4">
        <v>59530400000000</v>
      </c>
      <c r="AA55" s="4">
        <v>60098700000000</v>
      </c>
      <c r="AB55" s="4">
        <v>60637400000000</v>
      </c>
      <c r="AC55" s="4">
        <v>61126500000000</v>
      </c>
      <c r="AD55" s="4">
        <v>61696900000000</v>
      </c>
      <c r="AE55" s="4">
        <v>62392600000000</v>
      </c>
      <c r="AF55" s="4">
        <v>63008900000000</v>
      </c>
    </row>
    <row r="56" spans="1:32" x14ac:dyDescent="0.25">
      <c r="A56" t="s">
        <v>125</v>
      </c>
      <c r="B56" s="4">
        <v>62100000000000</v>
      </c>
      <c r="C56" s="4">
        <v>62707300000000</v>
      </c>
      <c r="D56" s="4">
        <v>65138900000000</v>
      </c>
      <c r="E56" s="4">
        <v>66795800000000</v>
      </c>
      <c r="F56" s="4">
        <v>68940400000000</v>
      </c>
      <c r="G56" s="4">
        <v>71029600000000</v>
      </c>
      <c r="H56" s="4">
        <v>71711800000000</v>
      </c>
      <c r="I56" s="4">
        <v>71884200000000</v>
      </c>
      <c r="J56" s="4">
        <v>71718800000000</v>
      </c>
      <c r="K56" s="4">
        <v>71419800000000</v>
      </c>
      <c r="L56" s="4">
        <v>71205800000000</v>
      </c>
      <c r="M56" s="4">
        <v>71321100000000</v>
      </c>
      <c r="N56" s="4">
        <v>71964900000000</v>
      </c>
      <c r="O56" s="4">
        <v>71909700000000</v>
      </c>
      <c r="P56" s="4">
        <v>71578200000000</v>
      </c>
      <c r="Q56" s="4">
        <v>72228000000000</v>
      </c>
      <c r="R56" s="4">
        <v>73114600000000</v>
      </c>
      <c r="S56" s="4">
        <v>73589600000000</v>
      </c>
      <c r="T56" s="4">
        <v>74593900000000</v>
      </c>
      <c r="U56" s="4">
        <v>75608700000000</v>
      </c>
      <c r="V56" s="4">
        <v>77044900000000</v>
      </c>
      <c r="W56" s="4">
        <v>79241700000000</v>
      </c>
      <c r="X56" s="4">
        <v>80708800000000</v>
      </c>
      <c r="Y56" s="4">
        <v>82228500000000</v>
      </c>
      <c r="Z56" s="4">
        <v>83824100000000</v>
      </c>
      <c r="AA56" s="4">
        <v>86234900000000</v>
      </c>
      <c r="AB56" s="4">
        <v>88445000000000</v>
      </c>
      <c r="AC56" s="4">
        <v>89899800000000</v>
      </c>
      <c r="AD56" s="4">
        <v>91541800000000</v>
      </c>
      <c r="AE56" s="4">
        <v>93172000000000</v>
      </c>
      <c r="AF56" s="4">
        <v>95138600000000</v>
      </c>
    </row>
    <row r="57" spans="1:32" x14ac:dyDescent="0.25">
      <c r="A57" t="s">
        <v>126</v>
      </c>
      <c r="B57" s="4">
        <v>208000000000000</v>
      </c>
      <c r="C57" s="4">
        <v>209200000000000</v>
      </c>
      <c r="D57" s="4">
        <v>208200000000000</v>
      </c>
      <c r="E57" s="4">
        <v>210400000000000</v>
      </c>
      <c r="F57" s="4">
        <v>213000000000000</v>
      </c>
      <c r="G57" s="4">
        <v>213800000000000</v>
      </c>
      <c r="H57" s="4">
        <v>214000000000000</v>
      </c>
      <c r="I57" s="4">
        <v>213500000000000</v>
      </c>
      <c r="J57" s="4">
        <v>212600000000000</v>
      </c>
      <c r="K57" s="4">
        <v>210600000000000</v>
      </c>
      <c r="L57" s="4">
        <v>208800000000000</v>
      </c>
      <c r="M57" s="4">
        <v>206900000000000</v>
      </c>
      <c r="N57" s="4">
        <v>205100000000000</v>
      </c>
      <c r="O57" s="4">
        <v>202700000000000</v>
      </c>
      <c r="P57" s="4">
        <v>200800000000000</v>
      </c>
      <c r="Q57" s="4">
        <v>199500000000000</v>
      </c>
      <c r="R57" s="4">
        <v>198500000000000</v>
      </c>
      <c r="S57" s="4">
        <v>197800000000000</v>
      </c>
      <c r="T57" s="4">
        <v>197600000000000</v>
      </c>
      <c r="U57" s="4">
        <v>197600000000000</v>
      </c>
      <c r="V57" s="4">
        <v>197600000000000</v>
      </c>
      <c r="W57" s="4">
        <v>197800000000000</v>
      </c>
      <c r="X57" s="4">
        <v>198300000000000</v>
      </c>
      <c r="Y57" s="4">
        <v>199300000000000</v>
      </c>
      <c r="Z57" s="4">
        <v>200000000000000</v>
      </c>
      <c r="AA57" s="4">
        <v>200900000000000</v>
      </c>
      <c r="AB57" s="4">
        <v>201700000000000</v>
      </c>
      <c r="AC57" s="4">
        <v>202700000000000</v>
      </c>
      <c r="AD57" s="4">
        <v>203500000000000</v>
      </c>
      <c r="AE57" s="4">
        <v>204600000000000</v>
      </c>
      <c r="AF57" s="4">
        <v>205700000000000</v>
      </c>
    </row>
    <row r="58" spans="1:32" x14ac:dyDescent="0.25">
      <c r="A58" t="s">
        <v>127</v>
      </c>
      <c r="B58" s="4">
        <v>184000000000000</v>
      </c>
      <c r="C58" s="4">
        <v>195800000000000</v>
      </c>
      <c r="D58" s="4">
        <v>186851000000000</v>
      </c>
      <c r="E58" s="4">
        <v>182505000000000</v>
      </c>
      <c r="F58" s="4">
        <v>179446000000000</v>
      </c>
      <c r="G58" s="4">
        <v>178183000000000</v>
      </c>
      <c r="H58" s="4">
        <v>178526000000000</v>
      </c>
      <c r="I58" s="4">
        <v>177450000000000</v>
      </c>
      <c r="J58" s="4">
        <v>177568000000000</v>
      </c>
      <c r="K58" s="4">
        <v>179608000000000</v>
      </c>
      <c r="L58" s="4">
        <v>185126000000000</v>
      </c>
      <c r="M58" s="4">
        <v>184373000000000</v>
      </c>
      <c r="N58" s="4">
        <v>185750000000000</v>
      </c>
      <c r="O58" s="4">
        <v>186251000000000</v>
      </c>
      <c r="P58" s="4">
        <v>189116000000000</v>
      </c>
      <c r="Q58" s="4">
        <v>189951000000000</v>
      </c>
      <c r="R58" s="4">
        <v>192268000000000</v>
      </c>
      <c r="S58" s="4">
        <v>193582000000000</v>
      </c>
      <c r="T58" s="4">
        <v>194333000000000</v>
      </c>
      <c r="U58" s="4">
        <v>195247000000000</v>
      </c>
      <c r="V58" s="4">
        <v>195520000000000</v>
      </c>
      <c r="W58" s="4">
        <v>196318000000000</v>
      </c>
      <c r="X58" s="4">
        <v>198415000000000</v>
      </c>
      <c r="Y58" s="4">
        <v>200098000000000</v>
      </c>
      <c r="Z58" s="4">
        <v>201362000000000</v>
      </c>
      <c r="AA58" s="4">
        <v>202743000000000</v>
      </c>
      <c r="AB58" s="4">
        <v>203284000000000</v>
      </c>
      <c r="AC58" s="4">
        <v>204237000000000</v>
      </c>
      <c r="AD58" s="4">
        <v>205190000000000</v>
      </c>
      <c r="AE58" s="4">
        <v>206204000000000</v>
      </c>
      <c r="AF58" s="4">
        <v>208005000000000</v>
      </c>
    </row>
    <row r="59" spans="1:32" x14ac:dyDescent="0.25">
      <c r="A59" t="s">
        <v>128</v>
      </c>
      <c r="B59" s="4">
        <v>413000000000000</v>
      </c>
      <c r="C59" s="4">
        <v>411605000000000</v>
      </c>
      <c r="D59" s="4">
        <v>417440000000000</v>
      </c>
      <c r="E59" s="4">
        <v>429725000000000</v>
      </c>
      <c r="F59" s="4">
        <v>450816000000000</v>
      </c>
      <c r="G59" s="4">
        <v>463983000000000</v>
      </c>
      <c r="H59" s="4">
        <v>473114000000000</v>
      </c>
      <c r="I59" s="4">
        <v>478041000000000</v>
      </c>
      <c r="J59" s="4">
        <v>485232000000000</v>
      </c>
      <c r="K59" s="4">
        <v>488813000000000</v>
      </c>
      <c r="L59" s="4">
        <v>494159000000000</v>
      </c>
      <c r="M59" s="4">
        <v>499398000000000</v>
      </c>
      <c r="N59" s="4">
        <v>503275000000000</v>
      </c>
      <c r="O59" s="4">
        <v>504382000000000</v>
      </c>
      <c r="P59" s="4">
        <v>509486000000000</v>
      </c>
      <c r="Q59" s="4">
        <v>514563000000000</v>
      </c>
      <c r="R59" s="4">
        <v>517050000000000</v>
      </c>
      <c r="S59" s="4">
        <v>519709000000000</v>
      </c>
      <c r="T59" s="4">
        <v>520842000000000</v>
      </c>
      <c r="U59" s="4">
        <v>521664000000000</v>
      </c>
      <c r="V59" s="4">
        <v>516951000000000</v>
      </c>
      <c r="W59" s="4">
        <v>513612000000000</v>
      </c>
      <c r="X59" s="4">
        <v>510676000000000</v>
      </c>
      <c r="Y59" s="4">
        <v>512575000000000</v>
      </c>
      <c r="Z59" s="4">
        <v>511050000000000</v>
      </c>
      <c r="AA59" s="4">
        <v>511153000000000</v>
      </c>
      <c r="AB59" s="4">
        <v>504135000000000</v>
      </c>
      <c r="AC59" s="4">
        <v>494959000000000</v>
      </c>
      <c r="AD59" s="4">
        <v>484007000000000</v>
      </c>
      <c r="AE59" s="4">
        <v>475870000000000</v>
      </c>
      <c r="AF59" s="4">
        <v>466245000000000</v>
      </c>
    </row>
    <row r="60" spans="1:32" x14ac:dyDescent="0.25">
      <c r="A60" t="s">
        <v>129</v>
      </c>
      <c r="B60" s="4">
        <v>140000000000000</v>
      </c>
      <c r="C60" s="4">
        <v>143131000000000</v>
      </c>
      <c r="D60" s="4">
        <v>148101000000000</v>
      </c>
      <c r="E60" s="4">
        <v>153327000000000</v>
      </c>
      <c r="F60" s="4">
        <v>158249000000000</v>
      </c>
      <c r="G60" s="4">
        <v>162307000000000</v>
      </c>
      <c r="H60" s="4">
        <v>165024000000000</v>
      </c>
      <c r="I60" s="4">
        <v>166966000000000</v>
      </c>
      <c r="J60" s="4">
        <v>168609000000000</v>
      </c>
      <c r="K60" s="4">
        <v>169418000000000</v>
      </c>
      <c r="L60" s="4">
        <v>170070000000000</v>
      </c>
      <c r="M60" s="4">
        <v>170957000000000</v>
      </c>
      <c r="N60" s="4">
        <v>172859000000000</v>
      </c>
      <c r="O60" s="4">
        <v>174279000000000</v>
      </c>
      <c r="P60" s="4">
        <v>175998000000000</v>
      </c>
      <c r="Q60" s="4">
        <v>178190000000000</v>
      </c>
      <c r="R60" s="4">
        <v>180350000000000</v>
      </c>
      <c r="S60" s="4">
        <v>182396000000000</v>
      </c>
      <c r="T60" s="4">
        <v>184682000000000</v>
      </c>
      <c r="U60" s="4">
        <v>187318000000000</v>
      </c>
      <c r="V60" s="4">
        <v>190242000000000</v>
      </c>
      <c r="W60" s="4">
        <v>193113000000000</v>
      </c>
      <c r="X60" s="4">
        <v>196180000000000</v>
      </c>
      <c r="Y60" s="4">
        <v>199046000000000</v>
      </c>
      <c r="Z60" s="4">
        <v>201438000000000</v>
      </c>
      <c r="AA60" s="4">
        <v>204199000000000</v>
      </c>
      <c r="AB60" s="4">
        <v>206656000000000</v>
      </c>
      <c r="AC60" s="4">
        <v>208781000000000</v>
      </c>
      <c r="AD60" s="4">
        <v>211276000000000</v>
      </c>
      <c r="AE60" s="4">
        <v>213953000000000</v>
      </c>
      <c r="AF60" s="4">
        <v>216588000000000</v>
      </c>
    </row>
    <row r="61" spans="1:32" x14ac:dyDescent="0.25">
      <c r="A61" t="s">
        <v>130</v>
      </c>
      <c r="B61" s="4">
        <v>40000000000000</v>
      </c>
      <c r="C61" s="4">
        <v>39169700000000</v>
      </c>
      <c r="D61" s="4">
        <v>39796700000000</v>
      </c>
      <c r="E61" s="4">
        <v>41009900000000</v>
      </c>
      <c r="F61" s="4">
        <v>42334400000000</v>
      </c>
      <c r="G61" s="4">
        <v>43218400000000</v>
      </c>
      <c r="H61" s="4">
        <v>43862800000000</v>
      </c>
      <c r="I61" s="4">
        <v>44224800000000</v>
      </c>
      <c r="J61" s="4">
        <v>44480900000000</v>
      </c>
      <c r="K61" s="4">
        <v>44620300000000</v>
      </c>
      <c r="L61" s="4">
        <v>44729700000000</v>
      </c>
      <c r="M61" s="4">
        <v>44975800000000</v>
      </c>
      <c r="N61" s="4">
        <v>45261100000000</v>
      </c>
      <c r="O61" s="4">
        <v>45324300000000</v>
      </c>
      <c r="P61" s="4">
        <v>45539900000000</v>
      </c>
      <c r="Q61" s="4">
        <v>46231400000000</v>
      </c>
      <c r="R61" s="4">
        <v>46763500000000</v>
      </c>
      <c r="S61" s="4">
        <v>47099600000000</v>
      </c>
      <c r="T61" s="4">
        <v>47498900000000</v>
      </c>
      <c r="U61" s="4">
        <v>47921600000000</v>
      </c>
      <c r="V61" s="4">
        <v>48483000000000</v>
      </c>
      <c r="W61" s="4">
        <v>49327000000000</v>
      </c>
      <c r="X61" s="4">
        <v>49924600000000</v>
      </c>
      <c r="Y61" s="4">
        <v>50508800000000</v>
      </c>
      <c r="Z61" s="4">
        <v>51121500000000</v>
      </c>
      <c r="AA61" s="4">
        <v>51983100000000</v>
      </c>
      <c r="AB61" s="4">
        <v>52782700000000</v>
      </c>
      <c r="AC61" s="4">
        <v>53345700000000</v>
      </c>
      <c r="AD61" s="4">
        <v>54062900000000</v>
      </c>
      <c r="AE61" s="4">
        <v>54833100000000</v>
      </c>
      <c r="AF61" s="4">
        <v>55682600000000</v>
      </c>
    </row>
    <row r="62" spans="1:32" x14ac:dyDescent="0.25">
      <c r="A62" t="s">
        <v>131</v>
      </c>
      <c r="B62" s="4">
        <v>43700000000000</v>
      </c>
      <c r="C62" s="4">
        <v>42480200000000</v>
      </c>
      <c r="D62" s="4">
        <v>42536000000000</v>
      </c>
      <c r="E62" s="4">
        <v>43566700000000</v>
      </c>
      <c r="F62" s="4">
        <v>44453800000000</v>
      </c>
      <c r="G62" s="4">
        <v>44988200000000</v>
      </c>
      <c r="H62" s="4">
        <v>44991300000000</v>
      </c>
      <c r="I62" s="4">
        <v>44728000000000</v>
      </c>
      <c r="J62" s="4">
        <v>44416700000000</v>
      </c>
      <c r="K62" s="4">
        <v>44435700000000</v>
      </c>
      <c r="L62" s="4">
        <v>44579000000000</v>
      </c>
      <c r="M62" s="4">
        <v>44821200000000</v>
      </c>
      <c r="N62" s="4">
        <v>44947200000000</v>
      </c>
      <c r="O62" s="4">
        <v>45097600000000</v>
      </c>
      <c r="P62" s="4">
        <v>45140800000000</v>
      </c>
      <c r="Q62" s="4">
        <v>45629800000000</v>
      </c>
      <c r="R62" s="4">
        <v>46040100000000</v>
      </c>
      <c r="S62" s="4">
        <v>45747800000000</v>
      </c>
      <c r="T62" s="4">
        <v>45534300000000</v>
      </c>
      <c r="U62" s="4">
        <v>45300900000000</v>
      </c>
      <c r="V62" s="4">
        <v>45284300000000</v>
      </c>
      <c r="W62" s="4">
        <v>45354900000000</v>
      </c>
      <c r="X62" s="4">
        <v>45349300000000</v>
      </c>
      <c r="Y62" s="4">
        <v>45403100000000</v>
      </c>
      <c r="Z62" s="4">
        <v>45491200000000</v>
      </c>
      <c r="AA62" s="4">
        <v>45600200000000</v>
      </c>
      <c r="AB62" s="4">
        <v>45760400000000</v>
      </c>
      <c r="AC62" s="4">
        <v>45879100000000</v>
      </c>
      <c r="AD62" s="4">
        <v>46048300000000</v>
      </c>
      <c r="AE62" s="4">
        <v>46291500000000</v>
      </c>
      <c r="AF62" s="4">
        <v>46585200000000</v>
      </c>
    </row>
    <row r="63" spans="1:32" x14ac:dyDescent="0.25">
      <c r="A63" t="s">
        <v>132</v>
      </c>
      <c r="B63" s="4">
        <v>184000000000000</v>
      </c>
      <c r="C63" s="4">
        <v>161600000000000</v>
      </c>
      <c r="D63" s="4">
        <v>172400000000000</v>
      </c>
      <c r="E63" s="4">
        <v>173000000000000</v>
      </c>
      <c r="F63" s="4">
        <v>183100000000000</v>
      </c>
      <c r="G63" s="4">
        <v>195500000000000</v>
      </c>
      <c r="H63" s="4">
        <v>196000000000000</v>
      </c>
      <c r="I63" s="4">
        <v>196500000000000</v>
      </c>
      <c r="J63" s="4">
        <v>197200000000000</v>
      </c>
      <c r="K63" s="4">
        <v>197700000000000</v>
      </c>
      <c r="L63" s="4">
        <v>199200000000000</v>
      </c>
      <c r="M63" s="4">
        <v>200000000000000</v>
      </c>
      <c r="N63" s="4">
        <v>200900000000000</v>
      </c>
      <c r="O63" s="4">
        <v>198700000000000</v>
      </c>
      <c r="P63" s="4">
        <v>197700000000000</v>
      </c>
      <c r="Q63" s="4">
        <v>199700000000000</v>
      </c>
      <c r="R63" s="4">
        <v>200100000000000</v>
      </c>
      <c r="S63" s="4">
        <v>200900000000000</v>
      </c>
      <c r="T63" s="4">
        <v>203300000000000</v>
      </c>
      <c r="U63" s="4">
        <v>206000000000000</v>
      </c>
      <c r="V63" s="4">
        <v>204700000000000</v>
      </c>
      <c r="W63" s="4">
        <v>205500000000000</v>
      </c>
      <c r="X63" s="4">
        <v>208900000000000</v>
      </c>
      <c r="Y63" s="4">
        <v>215200000000000</v>
      </c>
      <c r="Z63" s="4">
        <v>216200000000000</v>
      </c>
      <c r="AA63" s="4">
        <v>218900000000000</v>
      </c>
      <c r="AB63" s="4">
        <v>219100000000000</v>
      </c>
      <c r="AC63" s="4">
        <v>217900000000000</v>
      </c>
      <c r="AD63" s="4">
        <v>219500000000000</v>
      </c>
      <c r="AE63" s="4">
        <v>220800000000000</v>
      </c>
      <c r="AF63" s="4">
        <v>225700000000000</v>
      </c>
    </row>
    <row r="64" spans="1:32" x14ac:dyDescent="0.25">
      <c r="A64" t="s">
        <v>133</v>
      </c>
      <c r="B64" s="4">
        <v>110000000000000</v>
      </c>
      <c r="C64" s="4">
        <v>112554000000000</v>
      </c>
      <c r="D64" s="4">
        <v>114375000000000</v>
      </c>
      <c r="E64" s="4">
        <v>116319000000000</v>
      </c>
      <c r="F64" s="4">
        <v>119041000000000</v>
      </c>
      <c r="G64" s="4">
        <v>121431000000000</v>
      </c>
      <c r="H64" s="4">
        <v>123172000000000</v>
      </c>
      <c r="I64" s="4">
        <v>124161000000000</v>
      </c>
      <c r="J64" s="4">
        <v>124793000000000</v>
      </c>
      <c r="K64" s="4">
        <v>124883000000000</v>
      </c>
      <c r="L64" s="4">
        <v>125286000000000</v>
      </c>
      <c r="M64" s="4">
        <v>125846000000000</v>
      </c>
      <c r="N64" s="4">
        <v>126680000000000</v>
      </c>
      <c r="O64" s="4">
        <v>126773000000000</v>
      </c>
      <c r="P64" s="4">
        <v>127067000000000</v>
      </c>
      <c r="Q64" s="4">
        <v>127730000000000</v>
      </c>
      <c r="R64" s="4">
        <v>128456000000000</v>
      </c>
      <c r="S64" s="4">
        <v>129182000000000</v>
      </c>
      <c r="T64" s="4">
        <v>130072000000000</v>
      </c>
      <c r="U64" s="4">
        <v>131048000000000</v>
      </c>
      <c r="V64" s="4">
        <v>131786000000000</v>
      </c>
      <c r="W64" s="4">
        <v>132631000000000</v>
      </c>
      <c r="X64" s="4">
        <v>133667000000000</v>
      </c>
      <c r="Y64" s="4">
        <v>135043000000000</v>
      </c>
      <c r="Z64" s="4">
        <v>136055000000000</v>
      </c>
      <c r="AA64" s="4">
        <v>136910000000000</v>
      </c>
      <c r="AB64" s="4">
        <v>137438000000000</v>
      </c>
      <c r="AC64" s="4">
        <v>137827000000000</v>
      </c>
      <c r="AD64" s="4">
        <v>138176000000000</v>
      </c>
      <c r="AE64" s="4">
        <v>138814000000000</v>
      </c>
      <c r="AF64" s="4">
        <v>139686000000000</v>
      </c>
    </row>
    <row r="65" spans="1:32" x14ac:dyDescent="0.25">
      <c r="A65" t="s">
        <v>134</v>
      </c>
      <c r="B65" s="4">
        <v>130000000000000</v>
      </c>
      <c r="C65" s="4">
        <v>130067000000000</v>
      </c>
      <c r="D65" s="4">
        <v>133446000000000</v>
      </c>
      <c r="E65" s="4">
        <v>139036000000000</v>
      </c>
      <c r="F65" s="4">
        <v>145422000000000</v>
      </c>
      <c r="G65" s="4">
        <v>150698000000000</v>
      </c>
      <c r="H65" s="4">
        <v>154337000000000</v>
      </c>
      <c r="I65" s="4">
        <v>156364000000000</v>
      </c>
      <c r="J65" s="4">
        <v>157536000000000</v>
      </c>
      <c r="K65" s="4">
        <v>158416000000000</v>
      </c>
      <c r="L65" s="4">
        <v>159226000000000</v>
      </c>
      <c r="M65" s="4">
        <v>160503000000000</v>
      </c>
      <c r="N65" s="4">
        <v>162216000000000</v>
      </c>
      <c r="O65" s="4">
        <v>163140000000000</v>
      </c>
      <c r="P65" s="4">
        <v>164554000000000</v>
      </c>
      <c r="Q65" s="4">
        <v>166691000000000</v>
      </c>
      <c r="R65" s="4">
        <v>168791000000000</v>
      </c>
      <c r="S65" s="4">
        <v>170443000000000</v>
      </c>
      <c r="T65" s="4">
        <v>172123000000000</v>
      </c>
      <c r="U65" s="4">
        <v>173759000000000</v>
      </c>
      <c r="V65" s="4">
        <v>175880000000000</v>
      </c>
      <c r="W65" s="4">
        <v>178530000000000</v>
      </c>
      <c r="X65" s="4">
        <v>181140000000000</v>
      </c>
      <c r="Y65" s="4">
        <v>183980000000000</v>
      </c>
      <c r="Z65" s="4">
        <v>185791000000000</v>
      </c>
      <c r="AA65" s="4">
        <v>188448000000000</v>
      </c>
      <c r="AB65" s="4">
        <v>191148000000000</v>
      </c>
      <c r="AC65" s="4">
        <v>192630000000000</v>
      </c>
      <c r="AD65" s="4">
        <v>195532000000000</v>
      </c>
      <c r="AE65" s="4">
        <v>198842000000000</v>
      </c>
      <c r="AF65" s="4">
        <v>202294000000000</v>
      </c>
    </row>
    <row r="66" spans="1:32" x14ac:dyDescent="0.25">
      <c r="A66" t="s">
        <v>135</v>
      </c>
      <c r="B66" s="4">
        <v>90900000000000</v>
      </c>
      <c r="C66" s="4">
        <v>93300000000000</v>
      </c>
      <c r="D66" s="4">
        <v>96300000000000</v>
      </c>
      <c r="E66" s="4">
        <v>100000000000000</v>
      </c>
      <c r="F66" s="4">
        <v>104000000000000</v>
      </c>
      <c r="G66" s="4">
        <v>106000000000000</v>
      </c>
      <c r="H66" s="4">
        <v>108000000000000</v>
      </c>
      <c r="I66" s="4">
        <v>110000000000000</v>
      </c>
      <c r="J66" s="4">
        <v>112000000000000</v>
      </c>
      <c r="K66" s="4">
        <v>113000000000000</v>
      </c>
      <c r="L66" s="4">
        <v>114000000000000</v>
      </c>
      <c r="M66" s="4">
        <v>116000000000000</v>
      </c>
      <c r="N66" s="4">
        <v>117000000000000</v>
      </c>
      <c r="O66" s="4">
        <v>119000000000000</v>
      </c>
      <c r="P66" s="4">
        <v>120000000000000</v>
      </c>
      <c r="Q66" s="4">
        <v>122000000000000</v>
      </c>
      <c r="R66" s="4">
        <v>124000000000000</v>
      </c>
      <c r="S66" s="4">
        <v>125000000000000</v>
      </c>
      <c r="T66" s="4">
        <v>127000000000000</v>
      </c>
      <c r="U66" s="4">
        <v>128000000000000</v>
      </c>
      <c r="V66" s="4">
        <v>130000000000000</v>
      </c>
      <c r="W66" s="4">
        <v>132000000000000</v>
      </c>
      <c r="X66" s="4">
        <v>134000000000000</v>
      </c>
      <c r="Y66" s="4">
        <v>136000000000000</v>
      </c>
      <c r="Z66" s="4">
        <v>137000000000000</v>
      </c>
      <c r="AA66" s="4">
        <v>139000000000000</v>
      </c>
      <c r="AB66" s="4">
        <v>141000000000000</v>
      </c>
      <c r="AC66" s="4">
        <v>143000000000000</v>
      </c>
      <c r="AD66" s="4">
        <v>145000000000000</v>
      </c>
      <c r="AE66" s="4">
        <v>148000000000000</v>
      </c>
      <c r="AF66" s="4">
        <v>150000000000000</v>
      </c>
    </row>
    <row r="67" spans="1:32" x14ac:dyDescent="0.25">
      <c r="A67" t="s">
        <v>136</v>
      </c>
      <c r="B67" s="4">
        <v>38700000000000</v>
      </c>
      <c r="C67" s="4">
        <v>38573500000000</v>
      </c>
      <c r="D67" s="4">
        <v>39418200000000</v>
      </c>
      <c r="E67" s="4">
        <v>40706400000000</v>
      </c>
      <c r="F67" s="4">
        <v>42120000000000</v>
      </c>
      <c r="G67" s="4">
        <v>43521900000000</v>
      </c>
      <c r="H67" s="4">
        <v>44488000000000</v>
      </c>
      <c r="I67" s="4">
        <v>45008200000000</v>
      </c>
      <c r="J67" s="4">
        <v>45259500000000</v>
      </c>
      <c r="K67" s="4">
        <v>45462200000000</v>
      </c>
      <c r="L67" s="4">
        <v>45756400000000</v>
      </c>
      <c r="M67" s="4">
        <v>46102400000000</v>
      </c>
      <c r="N67" s="4">
        <v>46486700000000</v>
      </c>
      <c r="O67" s="4">
        <v>46689600000000</v>
      </c>
      <c r="P67" s="4">
        <v>46967300000000</v>
      </c>
      <c r="Q67" s="4">
        <v>47531200000000</v>
      </c>
      <c r="R67" s="4">
        <v>48203400000000</v>
      </c>
      <c r="S67" s="4">
        <v>48793400000000</v>
      </c>
      <c r="T67" s="4">
        <v>49415900000000</v>
      </c>
      <c r="U67" s="4">
        <v>50095900000000</v>
      </c>
      <c r="V67" s="4">
        <v>50861900000000</v>
      </c>
      <c r="W67" s="4">
        <v>51675600000000</v>
      </c>
      <c r="X67" s="4">
        <v>52467400000000</v>
      </c>
      <c r="Y67" s="4">
        <v>53257200000000</v>
      </c>
      <c r="Z67" s="4">
        <v>53872300000000</v>
      </c>
      <c r="AA67" s="4">
        <v>54483300000000</v>
      </c>
      <c r="AB67" s="4">
        <v>55288100000000</v>
      </c>
      <c r="AC67" s="4">
        <v>55718000000000</v>
      </c>
      <c r="AD67" s="4">
        <v>56401100000000</v>
      </c>
      <c r="AE67" s="4">
        <v>57288800000000</v>
      </c>
      <c r="AF67" s="4">
        <v>58248300000000</v>
      </c>
    </row>
    <row r="68" spans="1:32" x14ac:dyDescent="0.25">
      <c r="A68" t="s">
        <v>137</v>
      </c>
      <c r="B68" s="4">
        <v>65000000000000</v>
      </c>
      <c r="C68" s="4">
        <v>64680000000000</v>
      </c>
      <c r="D68" s="4">
        <v>66520000000000</v>
      </c>
      <c r="E68" s="4">
        <v>68720000000000</v>
      </c>
      <c r="F68" s="4">
        <v>71110000000000</v>
      </c>
      <c r="G68" s="4">
        <v>73480000000000</v>
      </c>
      <c r="H68" s="4">
        <v>74640000000000</v>
      </c>
      <c r="I68" s="4">
        <v>75410000000000</v>
      </c>
      <c r="J68" s="4">
        <v>76040000000000</v>
      </c>
      <c r="K68" s="4">
        <v>76700000000000</v>
      </c>
      <c r="L68" s="4">
        <v>77270000000000</v>
      </c>
      <c r="M68" s="4">
        <v>77830000000000</v>
      </c>
      <c r="N68" s="4">
        <v>78640000000000</v>
      </c>
      <c r="O68" s="4">
        <v>79160000000000</v>
      </c>
      <c r="P68" s="4">
        <v>79960000000000</v>
      </c>
      <c r="Q68" s="4">
        <v>81140000000000</v>
      </c>
      <c r="R68" s="4">
        <v>82250000000000</v>
      </c>
      <c r="S68" s="4">
        <v>83010000000000</v>
      </c>
      <c r="T68" s="4">
        <v>83790000000000</v>
      </c>
      <c r="U68" s="4">
        <v>84630000000000</v>
      </c>
      <c r="V68" s="4">
        <v>85610000000000</v>
      </c>
      <c r="W68" s="4">
        <v>86800000000000</v>
      </c>
      <c r="X68" s="4">
        <v>87930000000000</v>
      </c>
      <c r="Y68" s="4">
        <v>89120000000000</v>
      </c>
      <c r="Z68" s="4">
        <v>89980000000000</v>
      </c>
      <c r="AA68" s="4">
        <v>91060000000000</v>
      </c>
      <c r="AB68" s="4">
        <v>92340000000000</v>
      </c>
      <c r="AC68" s="4">
        <v>92940000000000</v>
      </c>
      <c r="AD68" s="4">
        <v>94220000000000</v>
      </c>
      <c r="AE68" s="4">
        <v>95690000000000</v>
      </c>
      <c r="AF68" s="4">
        <v>97000000000000</v>
      </c>
    </row>
    <row r="69" spans="1:32" x14ac:dyDescent="0.25">
      <c r="A69" t="s">
        <v>138</v>
      </c>
      <c r="B69" s="4">
        <v>77500000000000</v>
      </c>
      <c r="C69" s="4">
        <v>79475000000000</v>
      </c>
      <c r="D69" s="4">
        <v>80075400000000</v>
      </c>
      <c r="E69" s="4">
        <v>83122700000000</v>
      </c>
      <c r="F69" s="4">
        <v>85804600000000</v>
      </c>
      <c r="G69" s="4">
        <v>88331300000000</v>
      </c>
      <c r="H69" s="4">
        <v>90602400000000</v>
      </c>
      <c r="I69" s="4">
        <v>92261200000000</v>
      </c>
      <c r="J69" s="4">
        <v>93375700000000</v>
      </c>
      <c r="K69" s="4">
        <v>93046200000000</v>
      </c>
      <c r="L69" s="4">
        <v>92717100000000</v>
      </c>
      <c r="M69" s="4">
        <v>92889900000000</v>
      </c>
      <c r="N69" s="4">
        <v>93951800000000</v>
      </c>
      <c r="O69" s="4">
        <v>94867100000000</v>
      </c>
      <c r="P69" s="4">
        <v>96097200000000</v>
      </c>
      <c r="Q69" s="4">
        <v>97296400000000</v>
      </c>
      <c r="R69" s="4">
        <v>98580000000000</v>
      </c>
      <c r="S69" s="4">
        <v>99641300000000</v>
      </c>
      <c r="T69" s="4">
        <v>100635000000000</v>
      </c>
      <c r="U69" s="4">
        <v>101920000000000</v>
      </c>
      <c r="V69" s="4">
        <v>103153000000000</v>
      </c>
      <c r="W69" s="4">
        <v>104506000000000</v>
      </c>
      <c r="X69" s="4">
        <v>105816000000000</v>
      </c>
      <c r="Y69" s="4">
        <v>106949000000000</v>
      </c>
      <c r="Z69" s="4">
        <v>108012000000000</v>
      </c>
      <c r="AA69" s="4">
        <v>108943000000000</v>
      </c>
      <c r="AB69" s="4">
        <v>109821000000000</v>
      </c>
      <c r="AC69" s="4">
        <v>110510000000000</v>
      </c>
      <c r="AD69" s="4">
        <v>111063000000000</v>
      </c>
      <c r="AE69" s="4">
        <v>111813000000000</v>
      </c>
      <c r="AF69" s="4">
        <v>112318000000000</v>
      </c>
    </row>
    <row r="70" spans="1:32" x14ac:dyDescent="0.25">
      <c r="A70" t="s">
        <v>139</v>
      </c>
      <c r="B70" s="4">
        <v>43900000000000</v>
      </c>
      <c r="C70" s="4">
        <v>44991500000000</v>
      </c>
      <c r="D70" s="4">
        <v>45331400000000</v>
      </c>
      <c r="E70" s="4">
        <v>47056500000000</v>
      </c>
      <c r="F70" s="4">
        <v>48574800000000</v>
      </c>
      <c r="G70" s="4">
        <v>50005200000000</v>
      </c>
      <c r="H70" s="4">
        <v>51290900000000</v>
      </c>
      <c r="I70" s="4">
        <v>52229900000000</v>
      </c>
      <c r="J70" s="4">
        <v>52860900000000</v>
      </c>
      <c r="K70" s="4">
        <v>52674300000000</v>
      </c>
      <c r="L70" s="4">
        <v>52488000000000</v>
      </c>
      <c r="M70" s="4">
        <v>52585800000000</v>
      </c>
      <c r="N70" s="4">
        <v>53187000000000</v>
      </c>
      <c r="O70" s="4">
        <v>53705100000000</v>
      </c>
      <c r="P70" s="4">
        <v>54401500000000</v>
      </c>
      <c r="Q70" s="4">
        <v>55080400000000</v>
      </c>
      <c r="R70" s="4">
        <v>55807000000000</v>
      </c>
      <c r="S70" s="4">
        <v>56407800000000</v>
      </c>
      <c r="T70" s="4">
        <v>56970200000000</v>
      </c>
      <c r="U70" s="4">
        <v>57697900000000</v>
      </c>
      <c r="V70" s="4">
        <v>58395700000000</v>
      </c>
      <c r="W70" s="4">
        <v>59161600000000</v>
      </c>
      <c r="X70" s="4">
        <v>59903400000000</v>
      </c>
      <c r="Y70" s="4">
        <v>60544800000000</v>
      </c>
      <c r="Z70" s="4">
        <v>61146600000000</v>
      </c>
      <c r="AA70" s="4">
        <v>61673700000000</v>
      </c>
      <c r="AB70" s="4">
        <v>62170700000000</v>
      </c>
      <c r="AC70" s="4">
        <v>62561000000000</v>
      </c>
      <c r="AD70" s="4">
        <v>62873800000000</v>
      </c>
      <c r="AE70" s="4">
        <v>63298400000000</v>
      </c>
      <c r="AF70" s="4">
        <v>63584200000000</v>
      </c>
    </row>
    <row r="71" spans="1:32" x14ac:dyDescent="0.25">
      <c r="A71" t="s">
        <v>140</v>
      </c>
      <c r="B71" s="4">
        <v>142000000000000</v>
      </c>
      <c r="C71" s="4">
        <v>143310000000000</v>
      </c>
      <c r="D71" s="4">
        <v>145656000000000</v>
      </c>
      <c r="E71" s="4">
        <v>149379000000000</v>
      </c>
      <c r="F71" s="4">
        <v>153017000000000</v>
      </c>
      <c r="G71" s="4">
        <v>156285000000000</v>
      </c>
      <c r="H71" s="4">
        <v>158941000000000</v>
      </c>
      <c r="I71" s="4">
        <v>161023000000000</v>
      </c>
      <c r="J71" s="4">
        <v>162581000000000</v>
      </c>
      <c r="K71" s="4">
        <v>163541000000000</v>
      </c>
      <c r="L71" s="4">
        <v>164701000000000</v>
      </c>
      <c r="M71" s="4">
        <v>165760000000000</v>
      </c>
      <c r="N71" s="4">
        <v>166710000000000</v>
      </c>
      <c r="O71" s="4">
        <v>167237000000000</v>
      </c>
      <c r="P71" s="4">
        <v>168020000000000</v>
      </c>
      <c r="Q71" s="4">
        <v>169267000000000</v>
      </c>
      <c r="R71" s="4">
        <v>170684000000000</v>
      </c>
      <c r="S71" s="4">
        <v>171926000000000</v>
      </c>
      <c r="T71" s="4">
        <v>173368000000000</v>
      </c>
      <c r="U71" s="4">
        <v>175003000000000</v>
      </c>
      <c r="V71" s="4">
        <v>176661000000000</v>
      </c>
      <c r="W71" s="4">
        <v>178601000000000</v>
      </c>
      <c r="X71" s="4">
        <v>180870000000000</v>
      </c>
      <c r="Y71" s="4">
        <v>183473000000000</v>
      </c>
      <c r="Z71" s="4">
        <v>185921000000000</v>
      </c>
      <c r="AA71" s="4">
        <v>187695000000000</v>
      </c>
      <c r="AB71" s="4">
        <v>189378000000000</v>
      </c>
      <c r="AC71" s="4">
        <v>190905000000000</v>
      </c>
      <c r="AD71" s="4">
        <v>192687000000000</v>
      </c>
      <c r="AE71" s="4">
        <v>194859000000000</v>
      </c>
      <c r="AF71" s="4">
        <v>196784000000000</v>
      </c>
    </row>
    <row r="72" spans="1:32" x14ac:dyDescent="0.25">
      <c r="A72" t="s">
        <v>141</v>
      </c>
      <c r="B72">
        <v>0</v>
      </c>
      <c r="C72" s="4">
        <v>3368760000000</v>
      </c>
      <c r="D72" s="4">
        <v>2944720000000</v>
      </c>
      <c r="E72" s="4">
        <v>3149690000000</v>
      </c>
      <c r="F72" s="4">
        <v>3478370000000</v>
      </c>
      <c r="G72" s="4">
        <v>3683050000000</v>
      </c>
      <c r="H72" s="4">
        <v>3785550000000</v>
      </c>
      <c r="I72" s="4">
        <v>3886710000000</v>
      </c>
      <c r="J72" s="4">
        <v>3987550000000</v>
      </c>
      <c r="K72" s="4">
        <v>4057860000000</v>
      </c>
      <c r="L72" s="4">
        <v>4160960000000</v>
      </c>
      <c r="M72" s="4">
        <v>4261570000000</v>
      </c>
      <c r="N72" s="4">
        <v>4351060000000</v>
      </c>
      <c r="O72" s="4">
        <v>4428020000000</v>
      </c>
      <c r="P72" s="4">
        <v>4488770000000</v>
      </c>
      <c r="Q72" s="4">
        <v>4568530000000</v>
      </c>
      <c r="R72" s="4">
        <v>4625550000000</v>
      </c>
      <c r="S72" s="4">
        <v>4533780000000</v>
      </c>
      <c r="T72" s="4">
        <v>4513810000000</v>
      </c>
      <c r="U72" s="4">
        <v>4455770000000</v>
      </c>
      <c r="V72" s="4">
        <v>4420060000000</v>
      </c>
      <c r="W72" s="4">
        <v>4383610000000</v>
      </c>
      <c r="X72" s="4">
        <v>4361070000000</v>
      </c>
      <c r="Y72" s="4">
        <v>4347570000000</v>
      </c>
      <c r="Z72" s="4">
        <v>4341040000000</v>
      </c>
      <c r="AA72" s="4">
        <v>4335940000000</v>
      </c>
      <c r="AB72" s="4">
        <v>4327660000000</v>
      </c>
      <c r="AC72" s="4">
        <v>4270850000000</v>
      </c>
      <c r="AD72" s="4">
        <v>4233990000000</v>
      </c>
      <c r="AE72" s="4">
        <v>4215380000000</v>
      </c>
      <c r="AF72" s="4">
        <v>4176050000000</v>
      </c>
    </row>
    <row r="73" spans="1:32" x14ac:dyDescent="0.25">
      <c r="A73" t="s">
        <v>142</v>
      </c>
      <c r="B73" s="4">
        <v>205000000000000</v>
      </c>
      <c r="C73" s="4">
        <v>205000000000000</v>
      </c>
      <c r="D73" s="4">
        <v>206000000000000</v>
      </c>
      <c r="E73" s="4">
        <v>207000000000000</v>
      </c>
      <c r="F73" s="4">
        <v>207000000000000</v>
      </c>
      <c r="G73" s="4">
        <v>208000000000000</v>
      </c>
      <c r="H73" s="4">
        <v>209000000000000</v>
      </c>
      <c r="I73" s="4">
        <v>209000000000000</v>
      </c>
      <c r="J73" s="4">
        <v>210000000000000</v>
      </c>
      <c r="K73" s="4">
        <v>211000000000000</v>
      </c>
      <c r="L73" s="4">
        <v>212000000000000</v>
      </c>
      <c r="M73" s="4">
        <v>212000000000000</v>
      </c>
      <c r="N73" s="4">
        <v>213000000000000</v>
      </c>
      <c r="O73" s="4">
        <v>214000000000000</v>
      </c>
      <c r="P73" s="4">
        <v>214000000000000</v>
      </c>
      <c r="Q73" s="4">
        <v>215000000000000</v>
      </c>
      <c r="R73" s="4">
        <v>216000000000000</v>
      </c>
      <c r="S73" s="4">
        <v>216000000000000</v>
      </c>
      <c r="T73" s="4">
        <v>217000000000000</v>
      </c>
      <c r="U73" s="4">
        <v>218000000000000</v>
      </c>
      <c r="V73" s="4">
        <v>218000000000000</v>
      </c>
      <c r="W73" s="4">
        <v>219000000000000</v>
      </c>
      <c r="X73" s="4">
        <v>220000000000000</v>
      </c>
      <c r="Y73" s="4">
        <v>220000000000000</v>
      </c>
      <c r="Z73" s="4">
        <v>221000000000000</v>
      </c>
      <c r="AA73" s="4">
        <v>222000000000000</v>
      </c>
      <c r="AB73" s="4">
        <v>222000000000000</v>
      </c>
      <c r="AC73" s="4">
        <v>223000000000000</v>
      </c>
      <c r="AD73" s="4">
        <v>224000000000000</v>
      </c>
      <c r="AE73" s="4">
        <v>225000000000000</v>
      </c>
      <c r="AF73" s="4">
        <v>225000000000000</v>
      </c>
    </row>
    <row r="74" spans="1:32" x14ac:dyDescent="0.25">
      <c r="A74" t="s">
        <v>143</v>
      </c>
      <c r="B74" s="4">
        <v>162000000000000</v>
      </c>
      <c r="C74" s="4">
        <v>158772000000000</v>
      </c>
      <c r="D74" s="4">
        <v>157941000000000</v>
      </c>
      <c r="E74" s="4">
        <v>164520000000000</v>
      </c>
      <c r="F74" s="4">
        <v>172598000000000</v>
      </c>
      <c r="G74" s="4">
        <v>179648000000000</v>
      </c>
      <c r="H74" s="4">
        <v>185017000000000</v>
      </c>
      <c r="I74" s="4">
        <v>188397000000000</v>
      </c>
      <c r="J74" s="4">
        <v>190738000000000</v>
      </c>
      <c r="K74" s="4">
        <v>192747000000000</v>
      </c>
      <c r="L74" s="4">
        <v>194861000000000</v>
      </c>
      <c r="M74" s="4">
        <v>197316000000000</v>
      </c>
      <c r="N74" s="4">
        <v>200116000000000</v>
      </c>
      <c r="O74" s="4">
        <v>202413000000000</v>
      </c>
      <c r="P74" s="4">
        <v>204778000000000</v>
      </c>
      <c r="Q74" s="4">
        <v>207872000000000</v>
      </c>
      <c r="R74" s="4">
        <v>210605000000000</v>
      </c>
      <c r="S74" s="4">
        <v>212956000000000</v>
      </c>
      <c r="T74" s="4">
        <v>215619000000000</v>
      </c>
      <c r="U74" s="4">
        <v>218333000000000</v>
      </c>
      <c r="V74" s="4">
        <v>221939000000000</v>
      </c>
      <c r="W74" s="4">
        <v>225989000000000</v>
      </c>
      <c r="X74" s="4">
        <v>229514000000000</v>
      </c>
      <c r="Y74" s="4">
        <v>233277000000000</v>
      </c>
      <c r="Z74" s="4">
        <v>237223000000000</v>
      </c>
      <c r="AA74" s="4">
        <v>241397000000000</v>
      </c>
      <c r="AB74" s="4">
        <v>246138000000000</v>
      </c>
      <c r="AC74" s="4">
        <v>250082000000000</v>
      </c>
      <c r="AD74" s="4">
        <v>254370000000000</v>
      </c>
      <c r="AE74" s="4">
        <v>259216000000000</v>
      </c>
      <c r="AF74" s="4">
        <v>264290000000000</v>
      </c>
    </row>
    <row r="75" spans="1:32" x14ac:dyDescent="0.25">
      <c r="A75" t="s">
        <v>144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145</v>
      </c>
      <c r="B76" s="4">
        <v>84973300000000</v>
      </c>
      <c r="C76" s="4">
        <v>80906900000000</v>
      </c>
      <c r="D76" s="4">
        <v>85808000000000</v>
      </c>
      <c r="E76" s="4">
        <v>89067500000000</v>
      </c>
      <c r="F76" s="4">
        <v>92133400000000</v>
      </c>
      <c r="G76" s="4">
        <v>93229200000000</v>
      </c>
      <c r="H76" s="4">
        <v>93603400000000</v>
      </c>
      <c r="I76" s="4">
        <v>93781400000000</v>
      </c>
      <c r="J76" s="4">
        <v>94763400000000</v>
      </c>
      <c r="K76" s="4">
        <v>95362100000000</v>
      </c>
      <c r="L76" s="4">
        <v>96381800000000</v>
      </c>
      <c r="M76" s="4">
        <v>97347600000000</v>
      </c>
      <c r="N76" s="4">
        <v>98371800000000</v>
      </c>
      <c r="O76" s="4">
        <v>98891400000000</v>
      </c>
      <c r="P76" s="4">
        <v>99704000000000</v>
      </c>
      <c r="Q76" s="4">
        <v>100894000000000</v>
      </c>
      <c r="R76" s="4">
        <v>102002000000000</v>
      </c>
      <c r="S76" s="4">
        <v>103078000000000</v>
      </c>
      <c r="T76" s="4">
        <v>103901000000000</v>
      </c>
      <c r="U76" s="4">
        <v>104791000000000</v>
      </c>
      <c r="V76" s="4">
        <v>105610000000000</v>
      </c>
      <c r="W76" s="4">
        <v>106652000000000</v>
      </c>
      <c r="X76" s="4">
        <v>107776000000000</v>
      </c>
      <c r="Y76" s="4">
        <v>108844000000000</v>
      </c>
      <c r="Z76" s="4">
        <v>109360000000000</v>
      </c>
      <c r="AA76" s="4">
        <v>110322000000000</v>
      </c>
      <c r="AB76" s="4">
        <v>110763000000000</v>
      </c>
      <c r="AC76" s="4">
        <v>111350000000000</v>
      </c>
      <c r="AD76" s="4">
        <v>111850000000000</v>
      </c>
      <c r="AE76" s="4">
        <v>112422000000000</v>
      </c>
      <c r="AF76" s="4">
        <v>113316000000000</v>
      </c>
    </row>
    <row r="77" spans="1:32" x14ac:dyDescent="0.25">
      <c r="A77" t="s">
        <v>146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147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148</v>
      </c>
      <c r="B79" s="4">
        <v>125959000000000</v>
      </c>
      <c r="C79" s="4">
        <v>126469000000000</v>
      </c>
      <c r="D79" s="4">
        <v>128459000000000</v>
      </c>
      <c r="E79" s="4">
        <v>130336000000000</v>
      </c>
      <c r="F79" s="4">
        <v>132271000000000</v>
      </c>
      <c r="G79" s="4">
        <v>133398000000000</v>
      </c>
      <c r="H79" s="4">
        <v>134459000000000</v>
      </c>
      <c r="I79" s="4">
        <v>135470000000000</v>
      </c>
      <c r="J79" s="4">
        <v>136459000000000</v>
      </c>
      <c r="K79" s="4">
        <v>136995000000000</v>
      </c>
      <c r="L79" s="4">
        <v>137517000000000</v>
      </c>
      <c r="M79" s="4">
        <v>138058000000000</v>
      </c>
      <c r="N79" s="4">
        <v>138628000000000</v>
      </c>
      <c r="O79" s="4">
        <v>138777000000000</v>
      </c>
      <c r="P79" s="4">
        <v>138977000000000</v>
      </c>
      <c r="Q79" s="4">
        <v>139241000000000</v>
      </c>
      <c r="R79" s="4">
        <v>139519000000000</v>
      </c>
      <c r="S79" s="4">
        <v>139780000000000</v>
      </c>
      <c r="T79" s="4">
        <v>140067000000000</v>
      </c>
      <c r="U79" s="4">
        <v>140376000000000</v>
      </c>
      <c r="V79" s="4">
        <v>140700000000000</v>
      </c>
      <c r="W79" s="4">
        <v>141059000000000</v>
      </c>
      <c r="X79" s="4">
        <v>141452000000000</v>
      </c>
      <c r="Y79" s="4">
        <v>141874000000000</v>
      </c>
      <c r="Z79" s="4">
        <v>142287000000000</v>
      </c>
      <c r="AA79" s="4">
        <v>142654000000000</v>
      </c>
      <c r="AB79" s="4">
        <v>143003000000000</v>
      </c>
      <c r="AC79" s="4">
        <v>143340000000000</v>
      </c>
      <c r="AD79" s="4">
        <v>143717000000000</v>
      </c>
      <c r="AE79" s="4">
        <v>144127000000000</v>
      </c>
      <c r="AF79" s="4">
        <v>144535000000000</v>
      </c>
    </row>
    <row r="80" spans="1:32" x14ac:dyDescent="0.25">
      <c r="A80" t="s">
        <v>149</v>
      </c>
      <c r="B80" s="4">
        <v>7392450000000</v>
      </c>
      <c r="C80" s="4">
        <v>7457660000000</v>
      </c>
      <c r="D80" s="4">
        <v>7785810000000</v>
      </c>
      <c r="E80" s="4">
        <v>7950110000000</v>
      </c>
      <c r="F80" s="4">
        <v>8133990000000</v>
      </c>
      <c r="G80" s="4">
        <v>8303750000000</v>
      </c>
      <c r="H80" s="4">
        <v>8442280000000</v>
      </c>
      <c r="I80" s="4">
        <v>8553160000000</v>
      </c>
      <c r="J80" s="4">
        <v>8646260000000</v>
      </c>
      <c r="K80" s="4">
        <v>8711370000000</v>
      </c>
      <c r="L80" s="4">
        <v>8779410000000</v>
      </c>
      <c r="M80" s="4">
        <v>8855360000000</v>
      </c>
      <c r="N80" s="4">
        <v>8932580000000</v>
      </c>
      <c r="O80" s="4">
        <v>8983520000000</v>
      </c>
      <c r="P80" s="4">
        <v>9046350000000</v>
      </c>
      <c r="Q80" s="4">
        <v>9138110000000</v>
      </c>
      <c r="R80" s="4">
        <v>9231620000000</v>
      </c>
      <c r="S80" s="4">
        <v>9314440000000</v>
      </c>
      <c r="T80" s="4">
        <v>9410680000000</v>
      </c>
      <c r="U80" s="4">
        <v>9515250000000</v>
      </c>
      <c r="V80" s="4">
        <v>9622910000000</v>
      </c>
      <c r="W80" s="4">
        <v>9746110000000</v>
      </c>
      <c r="X80" s="4">
        <v>9884810000000</v>
      </c>
      <c r="Y80" s="4">
        <v>10036500000000</v>
      </c>
      <c r="Z80" s="4">
        <v>10183700000000</v>
      </c>
      <c r="AA80" s="4">
        <v>10304400000000</v>
      </c>
      <c r="AB80" s="4">
        <v>10417100000000</v>
      </c>
      <c r="AC80" s="4">
        <v>10522000000000</v>
      </c>
      <c r="AD80" s="4">
        <v>10641500000000</v>
      </c>
      <c r="AE80" s="4">
        <v>10776900000000</v>
      </c>
      <c r="AF80" s="4">
        <v>10909000000000</v>
      </c>
    </row>
    <row r="81" spans="1:32" x14ac:dyDescent="0.25">
      <c r="A81" t="s">
        <v>150</v>
      </c>
      <c r="B81" s="4">
        <v>559995000000</v>
      </c>
      <c r="C81" s="4">
        <v>571232000000</v>
      </c>
      <c r="D81" s="4">
        <v>599059000000</v>
      </c>
      <c r="E81" s="4">
        <v>605967000000</v>
      </c>
      <c r="F81" s="4">
        <v>617733000000</v>
      </c>
      <c r="G81" s="4">
        <v>628691000000</v>
      </c>
      <c r="H81" s="4">
        <v>629961000000</v>
      </c>
      <c r="I81" s="4">
        <v>627271000000</v>
      </c>
      <c r="J81" s="4">
        <v>622942000000</v>
      </c>
      <c r="K81" s="4">
        <v>618262000000</v>
      </c>
      <c r="L81" s="4">
        <v>615416000000</v>
      </c>
      <c r="M81" s="4">
        <v>612497000000</v>
      </c>
      <c r="N81" s="4">
        <v>611864000000</v>
      </c>
      <c r="O81" s="4">
        <v>603487000000</v>
      </c>
      <c r="P81" s="4">
        <v>592220000000</v>
      </c>
      <c r="Q81" s="4">
        <v>593097000000</v>
      </c>
      <c r="R81" s="4">
        <v>594789000000</v>
      </c>
      <c r="S81" s="4">
        <v>595469000000</v>
      </c>
      <c r="T81" s="4">
        <v>599511000000</v>
      </c>
      <c r="U81" s="4">
        <v>603547000000</v>
      </c>
      <c r="V81" s="4">
        <v>610282000000</v>
      </c>
      <c r="W81" s="4">
        <v>621421000000</v>
      </c>
      <c r="X81" s="4">
        <v>627587000000</v>
      </c>
      <c r="Y81" s="4">
        <v>633867000000</v>
      </c>
      <c r="Z81" s="4">
        <v>640127000000</v>
      </c>
      <c r="AA81" s="4">
        <v>651694000000</v>
      </c>
      <c r="AB81" s="4">
        <v>661323000000</v>
      </c>
      <c r="AC81" s="4">
        <v>666892000000</v>
      </c>
      <c r="AD81" s="4">
        <v>674568000000</v>
      </c>
      <c r="AE81" s="4">
        <v>681819000000</v>
      </c>
      <c r="AF81" s="4">
        <v>691431000000</v>
      </c>
    </row>
    <row r="82" spans="1:32" x14ac:dyDescent="0.25">
      <c r="A82" t="s">
        <v>151</v>
      </c>
      <c r="B82" s="4">
        <v>33737300000000</v>
      </c>
      <c r="C82" s="4">
        <v>33706400000000</v>
      </c>
      <c r="D82" s="4">
        <v>34088800000000</v>
      </c>
      <c r="E82" s="4">
        <v>34558300000000</v>
      </c>
      <c r="F82" s="4">
        <v>35061000000000</v>
      </c>
      <c r="G82" s="4">
        <v>35342500000000</v>
      </c>
      <c r="H82" s="4">
        <v>35680400000000</v>
      </c>
      <c r="I82" s="4">
        <v>36091000000000</v>
      </c>
      <c r="J82" s="4">
        <v>36606300000000</v>
      </c>
      <c r="K82" s="4">
        <v>37120700000000</v>
      </c>
      <c r="L82" s="4">
        <v>37789800000000</v>
      </c>
      <c r="M82" s="4">
        <v>38609600000000</v>
      </c>
      <c r="N82" s="4">
        <v>39562600000000</v>
      </c>
      <c r="O82" s="4">
        <v>40462700000000</v>
      </c>
      <c r="P82" s="4">
        <v>41422900000000</v>
      </c>
      <c r="Q82" s="4">
        <v>42398700000000</v>
      </c>
      <c r="R82" s="4">
        <v>43327600000000</v>
      </c>
      <c r="S82" s="4">
        <v>44221100000000</v>
      </c>
      <c r="T82" s="4">
        <v>45072500000000</v>
      </c>
      <c r="U82" s="4">
        <v>45860900000000</v>
      </c>
      <c r="V82" s="4">
        <v>46563300000000</v>
      </c>
      <c r="W82" s="4">
        <v>47258300000000</v>
      </c>
      <c r="X82" s="4">
        <v>47969500000000</v>
      </c>
      <c r="Y82" s="4">
        <v>48745700000000</v>
      </c>
      <c r="Z82" s="4">
        <v>49500500000000</v>
      </c>
      <c r="AA82" s="4">
        <v>50337000000000</v>
      </c>
      <c r="AB82" s="4">
        <v>51170100000000</v>
      </c>
      <c r="AC82" s="4">
        <v>52079800000000</v>
      </c>
      <c r="AD82" s="4">
        <v>52937000000000</v>
      </c>
      <c r="AE82" s="4">
        <v>53815900000000</v>
      </c>
      <c r="AF82" s="4">
        <v>54712900000000</v>
      </c>
    </row>
    <row r="83" spans="1:32" x14ac:dyDescent="0.25">
      <c r="A83" t="s">
        <v>152</v>
      </c>
      <c r="B83" s="4">
        <v>24000000000000</v>
      </c>
      <c r="C83" s="4">
        <v>24050000000000</v>
      </c>
      <c r="D83" s="4">
        <v>64167600000</v>
      </c>
      <c r="E83" s="4">
        <v>88239300000</v>
      </c>
      <c r="F83" s="4">
        <v>113437000000</v>
      </c>
      <c r="G83" s="4">
        <v>138308000000</v>
      </c>
      <c r="H83" s="4">
        <v>161806000000</v>
      </c>
      <c r="I83" s="4">
        <v>178616000000</v>
      </c>
      <c r="J83" s="4">
        <v>178886000000</v>
      </c>
      <c r="K83" s="4">
        <v>272967000000</v>
      </c>
      <c r="L83" s="4">
        <v>365936000000</v>
      </c>
      <c r="M83" s="4">
        <v>462711000000</v>
      </c>
      <c r="N83" s="4">
        <v>553372000000</v>
      </c>
      <c r="O83" s="4">
        <v>634878000000</v>
      </c>
      <c r="P83" s="4">
        <v>709123000000</v>
      </c>
      <c r="Q83" s="4">
        <v>907059000000</v>
      </c>
      <c r="R83" s="4">
        <v>982659000000</v>
      </c>
      <c r="S83" s="4">
        <v>962726000000</v>
      </c>
      <c r="T83" s="4">
        <v>956040000000</v>
      </c>
      <c r="U83" s="4">
        <v>949381000000</v>
      </c>
      <c r="V83" s="4">
        <v>940778000000</v>
      </c>
      <c r="W83" s="4">
        <v>3911800000000</v>
      </c>
      <c r="X83" s="4">
        <v>10858800000000</v>
      </c>
      <c r="Y83" s="4">
        <v>18133800000000</v>
      </c>
      <c r="Z83" s="4">
        <v>30862300000000</v>
      </c>
      <c r="AA83" s="4">
        <v>30855300000000</v>
      </c>
      <c r="AB83" s="4">
        <v>30931500000000</v>
      </c>
      <c r="AC83" s="4">
        <v>30926800000000</v>
      </c>
      <c r="AD83" s="4">
        <v>30958500000000</v>
      </c>
      <c r="AE83" s="4">
        <v>30956200000000</v>
      </c>
      <c r="AF83" s="4">
        <v>30896700000000</v>
      </c>
    </row>
    <row r="84" spans="1:32" x14ac:dyDescent="0.25">
      <c r="A84" t="s">
        <v>153</v>
      </c>
      <c r="B84" s="4">
        <v>48054400000000</v>
      </c>
      <c r="C84" s="4">
        <v>47970100000000</v>
      </c>
      <c r="D84" s="4">
        <v>48861900000000</v>
      </c>
      <c r="E84" s="4">
        <v>49693000000000</v>
      </c>
      <c r="F84" s="4">
        <v>50694100000000</v>
      </c>
      <c r="G84" s="4">
        <v>51311700000000</v>
      </c>
      <c r="H84" s="4">
        <v>51825700000000</v>
      </c>
      <c r="I84" s="4">
        <v>52293300000000</v>
      </c>
      <c r="J84" s="4">
        <v>52895800000000</v>
      </c>
      <c r="K84" s="4">
        <v>53177500000000</v>
      </c>
      <c r="L84" s="4">
        <v>53501800000000</v>
      </c>
      <c r="M84" s="4">
        <v>53819700000000</v>
      </c>
      <c r="N84" s="4">
        <v>54107700000000</v>
      </c>
      <c r="O84" s="4">
        <v>54200500000000</v>
      </c>
      <c r="P84" s="4">
        <v>54469900000000</v>
      </c>
      <c r="Q84" s="4">
        <v>54685200000000</v>
      </c>
      <c r="R84" s="4">
        <v>54838300000000</v>
      </c>
      <c r="S84" s="4">
        <v>54983500000000</v>
      </c>
      <c r="T84" s="4">
        <v>55079500000000</v>
      </c>
      <c r="U84" s="4">
        <v>55189100000000</v>
      </c>
      <c r="V84" s="4">
        <v>55202200000000</v>
      </c>
      <c r="W84" s="4">
        <v>55255500000000</v>
      </c>
      <c r="X84" s="4">
        <v>55316600000000</v>
      </c>
      <c r="Y84" s="4">
        <v>55497900000000</v>
      </c>
      <c r="Z84" s="4">
        <v>55635800000000</v>
      </c>
      <c r="AA84" s="4">
        <v>55833800000000</v>
      </c>
      <c r="AB84" s="4">
        <v>55873500000000</v>
      </c>
      <c r="AC84" s="4">
        <v>55863100000000</v>
      </c>
      <c r="AD84" s="4">
        <v>55871300000000</v>
      </c>
      <c r="AE84" s="4">
        <v>55994700000000</v>
      </c>
      <c r="AF84" s="4">
        <v>56105000000000</v>
      </c>
    </row>
    <row r="85" spans="1:32" x14ac:dyDescent="0.25">
      <c r="A85" t="s">
        <v>154</v>
      </c>
      <c r="B85" s="4">
        <v>72997000000</v>
      </c>
      <c r="C85" s="4">
        <v>71869000000</v>
      </c>
      <c r="D85" s="4">
        <v>72224000000</v>
      </c>
      <c r="E85" s="4">
        <v>72648000000</v>
      </c>
      <c r="F85" s="4">
        <v>73038000000</v>
      </c>
      <c r="G85" s="4">
        <v>72917000000</v>
      </c>
      <c r="H85" s="4">
        <v>72753000000</v>
      </c>
      <c r="I85" s="4">
        <v>72548000000</v>
      </c>
      <c r="J85" s="4">
        <v>72332000000</v>
      </c>
      <c r="K85" s="4">
        <v>71863000000</v>
      </c>
      <c r="L85" s="4">
        <v>71386000000</v>
      </c>
      <c r="M85" s="4">
        <v>70926000000</v>
      </c>
      <c r="N85" s="4">
        <v>70521000000</v>
      </c>
      <c r="O85" s="4">
        <v>69876000000</v>
      </c>
      <c r="P85" s="4">
        <v>69250000000</v>
      </c>
      <c r="Q85" s="4">
        <v>68665000000</v>
      </c>
      <c r="R85" s="4">
        <v>68068000000</v>
      </c>
      <c r="S85" s="4">
        <v>67470000000</v>
      </c>
      <c r="T85" s="4">
        <v>66879000000</v>
      </c>
      <c r="U85" s="4">
        <v>66309000000</v>
      </c>
      <c r="V85" s="4">
        <v>65752000000</v>
      </c>
      <c r="W85" s="4">
        <v>65179000000</v>
      </c>
      <c r="X85" s="4">
        <v>64618000000</v>
      </c>
      <c r="Y85" s="4">
        <v>64021000000</v>
      </c>
      <c r="Z85" s="4">
        <v>63372000000</v>
      </c>
      <c r="AA85" s="4">
        <v>62745000000</v>
      </c>
      <c r="AB85" s="4">
        <v>62076000000</v>
      </c>
      <c r="AC85" s="4">
        <v>61372000000</v>
      </c>
      <c r="AD85" s="4">
        <v>60696000000</v>
      </c>
      <c r="AE85" s="4">
        <v>60024000000</v>
      </c>
      <c r="AF85" s="4">
        <v>59342000000</v>
      </c>
    </row>
    <row r="86" spans="1:32" x14ac:dyDescent="0.25">
      <c r="A86" t="s">
        <v>155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156</v>
      </c>
      <c r="B87" s="4">
        <v>154520000000000</v>
      </c>
      <c r="C87" s="4">
        <v>148349000000000</v>
      </c>
      <c r="D87" s="4">
        <v>147194000000000</v>
      </c>
      <c r="E87" s="4">
        <v>144175000000000</v>
      </c>
      <c r="F87" s="4">
        <v>140128000000000</v>
      </c>
      <c r="G87" s="4">
        <v>134976000000000</v>
      </c>
      <c r="H87" s="4">
        <v>129138000000000</v>
      </c>
      <c r="I87" s="4">
        <v>122771000000000</v>
      </c>
      <c r="J87" s="4">
        <v>116083000000000</v>
      </c>
      <c r="K87" s="4">
        <v>109091000000000</v>
      </c>
      <c r="L87" s="4">
        <v>102239000000000</v>
      </c>
      <c r="M87" s="4">
        <v>95706300000000</v>
      </c>
      <c r="N87" s="4">
        <v>89308100000000</v>
      </c>
      <c r="O87" s="4">
        <v>82945900000000</v>
      </c>
      <c r="P87" s="4">
        <v>75982600000000</v>
      </c>
      <c r="Q87" s="4">
        <v>74038400000000</v>
      </c>
      <c r="R87" s="4">
        <v>72272800000000</v>
      </c>
      <c r="S87" s="4">
        <v>70533100000000</v>
      </c>
      <c r="T87" s="4">
        <v>69048900000000</v>
      </c>
      <c r="U87" s="4">
        <v>67678400000000</v>
      </c>
      <c r="V87" s="4">
        <v>66696400000000</v>
      </c>
      <c r="W87" s="4">
        <v>65914900000000</v>
      </c>
      <c r="X87" s="4">
        <v>65082400000000</v>
      </c>
      <c r="Y87" s="4">
        <v>64358500000000</v>
      </c>
      <c r="Z87" s="4">
        <v>63740100000000</v>
      </c>
      <c r="AA87" s="4">
        <v>63170300000000</v>
      </c>
      <c r="AB87" s="4">
        <v>62681700000000</v>
      </c>
      <c r="AC87" s="4">
        <v>62193700000000</v>
      </c>
      <c r="AD87" s="4">
        <v>61787200000000</v>
      </c>
      <c r="AE87" s="4">
        <v>61472300000000</v>
      </c>
      <c r="AF87" s="4">
        <v>61247500000000</v>
      </c>
    </row>
    <row r="88" spans="1:32" x14ac:dyDescent="0.25">
      <c r="A88" t="s">
        <v>157</v>
      </c>
      <c r="B88" s="4">
        <v>480814000000000</v>
      </c>
      <c r="C88" s="4">
        <v>398555000000000</v>
      </c>
      <c r="D88" s="4">
        <v>417522000000000</v>
      </c>
      <c r="E88" s="4">
        <v>515675000000000</v>
      </c>
      <c r="F88" s="4">
        <v>524608000000000</v>
      </c>
      <c r="G88" s="4">
        <v>500376000000000</v>
      </c>
      <c r="H88" s="4">
        <v>488558000000000</v>
      </c>
      <c r="I88" s="4">
        <v>475546000000000</v>
      </c>
      <c r="J88" s="4">
        <v>459928000000000</v>
      </c>
      <c r="K88" s="4">
        <v>435073000000000</v>
      </c>
      <c r="L88" s="4">
        <v>431100000000000</v>
      </c>
      <c r="M88" s="4">
        <v>429726000000000</v>
      </c>
      <c r="N88" s="4">
        <v>428120000000000</v>
      </c>
      <c r="O88" s="4">
        <v>418253000000000</v>
      </c>
      <c r="P88" s="4">
        <v>420941000000000</v>
      </c>
      <c r="Q88" s="4">
        <v>429076000000000</v>
      </c>
      <c r="R88" s="4">
        <v>430382000000000</v>
      </c>
      <c r="S88" s="4">
        <v>433107000000000</v>
      </c>
      <c r="T88" s="4">
        <v>441091000000000</v>
      </c>
      <c r="U88" s="4">
        <v>448247000000000</v>
      </c>
      <c r="V88" s="4">
        <v>445334000000000</v>
      </c>
      <c r="W88" s="4">
        <v>447312000000000</v>
      </c>
      <c r="X88" s="4">
        <v>455244000000000</v>
      </c>
      <c r="Y88" s="4">
        <v>469482000000000</v>
      </c>
      <c r="Z88" s="4">
        <v>470292000000000</v>
      </c>
      <c r="AA88" s="4">
        <v>476348000000000</v>
      </c>
      <c r="AB88" s="4">
        <v>476989000000000</v>
      </c>
      <c r="AC88" s="4">
        <v>474669000000000</v>
      </c>
      <c r="AD88" s="4">
        <v>479577000000000</v>
      </c>
      <c r="AE88" s="4">
        <v>483678000000000</v>
      </c>
      <c r="AF88" s="4">
        <v>495514000000000</v>
      </c>
    </row>
    <row r="89" spans="1:32" x14ac:dyDescent="0.25">
      <c r="A89" t="s">
        <v>158</v>
      </c>
      <c r="B89" s="4">
        <v>6360190000000</v>
      </c>
      <c r="C89" s="4">
        <v>6416300000000</v>
      </c>
      <c r="D89" s="4">
        <v>6698630000000</v>
      </c>
      <c r="E89" s="4">
        <v>6839990000000</v>
      </c>
      <c r="F89" s="4">
        <v>6998190000000</v>
      </c>
      <c r="G89" s="4">
        <v>7144240000000</v>
      </c>
      <c r="H89" s="4">
        <v>7263430000000</v>
      </c>
      <c r="I89" s="4">
        <v>7358820000000</v>
      </c>
      <c r="J89" s="4">
        <v>7438920000000</v>
      </c>
      <c r="K89" s="4">
        <v>7494950000000</v>
      </c>
      <c r="L89" s="4">
        <v>7553490000000</v>
      </c>
      <c r="M89" s="4">
        <v>7618830000000</v>
      </c>
      <c r="N89" s="4">
        <v>7685270000000</v>
      </c>
      <c r="O89" s="4">
        <v>7729090000000</v>
      </c>
      <c r="P89" s="4">
        <v>7783150000000</v>
      </c>
      <c r="Q89" s="4">
        <v>7862100000000</v>
      </c>
      <c r="R89" s="4">
        <v>7942550000000</v>
      </c>
      <c r="S89" s="4">
        <v>8013810000000</v>
      </c>
      <c r="T89" s="4">
        <v>8096610000000</v>
      </c>
      <c r="U89" s="4">
        <v>8186580000000</v>
      </c>
      <c r="V89" s="4">
        <v>8279200000000</v>
      </c>
      <c r="W89" s="4">
        <v>8385200000000</v>
      </c>
      <c r="X89" s="4">
        <v>8504530000000</v>
      </c>
      <c r="Y89" s="4">
        <v>8635050000000</v>
      </c>
      <c r="Z89" s="4">
        <v>8761710000000</v>
      </c>
      <c r="AA89" s="4">
        <v>8865550000000</v>
      </c>
      <c r="AB89" s="4">
        <v>8962500000000</v>
      </c>
      <c r="AC89" s="4">
        <v>9052760000000</v>
      </c>
      <c r="AD89" s="4">
        <v>9155530000000</v>
      </c>
      <c r="AE89" s="4">
        <v>9272020000000</v>
      </c>
      <c r="AF89" s="4">
        <v>9385750000000</v>
      </c>
    </row>
    <row r="90" spans="1:32" x14ac:dyDescent="0.25">
      <c r="A90" t="s">
        <v>159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160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161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162</v>
      </c>
      <c r="B93" s="4">
        <v>178561000000</v>
      </c>
      <c r="C93" s="4">
        <v>178604000000</v>
      </c>
      <c r="D93" s="4">
        <v>180702000000</v>
      </c>
      <c r="E93" s="4">
        <v>183268000000</v>
      </c>
      <c r="F93" s="4">
        <v>185834000000</v>
      </c>
      <c r="G93" s="4">
        <v>187117000000</v>
      </c>
      <c r="H93" s="4">
        <v>188400000000</v>
      </c>
      <c r="I93" s="4">
        <v>189684000000</v>
      </c>
      <c r="J93" s="4">
        <v>190967000000</v>
      </c>
      <c r="K93" s="4">
        <v>191608000000</v>
      </c>
      <c r="L93" s="4">
        <v>192250000000</v>
      </c>
      <c r="M93" s="4">
        <v>192891000000</v>
      </c>
      <c r="N93" s="4">
        <v>193533000000</v>
      </c>
      <c r="O93" s="4">
        <v>193533000000</v>
      </c>
      <c r="P93" s="4">
        <v>193533000000</v>
      </c>
      <c r="Q93" s="4">
        <v>193533000000</v>
      </c>
      <c r="R93" s="4">
        <v>193533000000</v>
      </c>
      <c r="S93" s="4">
        <v>193533000000</v>
      </c>
      <c r="T93" s="4">
        <v>193533000000</v>
      </c>
      <c r="U93" s="4">
        <v>193533000000</v>
      </c>
      <c r="V93" s="4">
        <v>193533000000</v>
      </c>
      <c r="W93" s="4">
        <v>193533000000</v>
      </c>
      <c r="X93" s="4">
        <v>193533000000</v>
      </c>
      <c r="Y93" s="4">
        <v>193533000000</v>
      </c>
      <c r="Z93" s="4">
        <v>193533000000</v>
      </c>
      <c r="AA93" s="4">
        <v>193533000000</v>
      </c>
      <c r="AB93" s="4">
        <v>193533000000</v>
      </c>
      <c r="AC93" s="4">
        <v>193533000000</v>
      </c>
      <c r="AD93" s="4">
        <v>193533000000</v>
      </c>
      <c r="AE93" s="4">
        <v>193533000000</v>
      </c>
      <c r="AF93" s="4">
        <v>193533000000</v>
      </c>
    </row>
    <row r="94" spans="1:32" x14ac:dyDescent="0.25">
      <c r="A94" t="s">
        <v>163</v>
      </c>
      <c r="B94" s="4">
        <v>126281000000</v>
      </c>
      <c r="C94" s="4">
        <v>126199000000</v>
      </c>
      <c r="D94" s="4">
        <v>127572000000</v>
      </c>
      <c r="E94" s="4">
        <v>129269000000</v>
      </c>
      <c r="F94" s="4">
        <v>130955000000</v>
      </c>
      <c r="G94" s="4">
        <v>131735000000</v>
      </c>
      <c r="H94" s="4">
        <v>132509000000</v>
      </c>
      <c r="I94" s="4">
        <v>133275000000</v>
      </c>
      <c r="J94" s="4">
        <v>134036000000</v>
      </c>
      <c r="K94" s="4">
        <v>134330000000</v>
      </c>
      <c r="L94" s="4">
        <v>134618000000</v>
      </c>
      <c r="M94" s="4">
        <v>134906000000</v>
      </c>
      <c r="N94" s="4">
        <v>135206000000</v>
      </c>
      <c r="O94" s="4">
        <v>135055000000</v>
      </c>
      <c r="P94" s="4">
        <v>134902000000</v>
      </c>
      <c r="Q94" s="4">
        <v>134744000000</v>
      </c>
      <c r="R94" s="4">
        <v>134579000000</v>
      </c>
      <c r="S94" s="4">
        <v>134402000000</v>
      </c>
      <c r="T94" s="4">
        <v>134219000000</v>
      </c>
      <c r="U94" s="4">
        <v>134035000000</v>
      </c>
      <c r="V94" s="4">
        <v>133834000000</v>
      </c>
      <c r="W94" s="4">
        <v>133618000000</v>
      </c>
      <c r="X94" s="4">
        <v>133385000000</v>
      </c>
      <c r="Y94" s="4">
        <v>133123000000</v>
      </c>
      <c r="Z94" s="4">
        <v>132832000000</v>
      </c>
      <c r="AA94" s="4">
        <v>132514000000</v>
      </c>
      <c r="AB94" s="4">
        <v>132166000000</v>
      </c>
      <c r="AC94" s="4">
        <v>131784000000</v>
      </c>
      <c r="AD94" s="4">
        <v>131372000000</v>
      </c>
      <c r="AE94" s="4">
        <v>130933000000</v>
      </c>
      <c r="AF94" s="4">
        <v>130443000000</v>
      </c>
    </row>
    <row r="95" spans="1:32" x14ac:dyDescent="0.25">
      <c r="A95" t="s">
        <v>164</v>
      </c>
      <c r="B95" s="4">
        <v>71488900000</v>
      </c>
      <c r="C95" s="4">
        <v>71442600000</v>
      </c>
      <c r="D95" s="4">
        <v>72219800000</v>
      </c>
      <c r="E95" s="4">
        <v>73180200000</v>
      </c>
      <c r="F95" s="4">
        <v>74134900000</v>
      </c>
      <c r="G95" s="4">
        <v>74576300000</v>
      </c>
      <c r="H95" s="4">
        <v>75014400000</v>
      </c>
      <c r="I95" s="4">
        <v>75448100000</v>
      </c>
      <c r="J95" s="4">
        <v>75879000000</v>
      </c>
      <c r="K95" s="4">
        <v>76045600000</v>
      </c>
      <c r="L95" s="4">
        <v>76208300000</v>
      </c>
      <c r="M95" s="4">
        <v>76371700000</v>
      </c>
      <c r="N95" s="4">
        <v>76541600000</v>
      </c>
      <c r="O95" s="4">
        <v>76455900000</v>
      </c>
      <c r="P95" s="4">
        <v>76369500000</v>
      </c>
      <c r="Q95" s="4">
        <v>76279900000</v>
      </c>
      <c r="R95" s="4">
        <v>76186300000</v>
      </c>
      <c r="S95" s="4">
        <v>76086100000</v>
      </c>
      <c r="T95" s="4">
        <v>75982800000</v>
      </c>
      <c r="U95" s="4">
        <v>75878600000</v>
      </c>
      <c r="V95" s="4">
        <v>75764400000</v>
      </c>
      <c r="W95" s="4">
        <v>75642600000</v>
      </c>
      <c r="X95" s="4">
        <v>75510700000</v>
      </c>
      <c r="Y95" s="4">
        <v>75362100000</v>
      </c>
      <c r="Z95" s="4">
        <v>75197600000</v>
      </c>
      <c r="AA95" s="4">
        <v>75017600000</v>
      </c>
      <c r="AB95" s="4">
        <v>74820200000</v>
      </c>
      <c r="AC95" s="4">
        <v>74604100000</v>
      </c>
      <c r="AD95" s="4">
        <v>74370900000</v>
      </c>
      <c r="AE95" s="4">
        <v>74122200000</v>
      </c>
      <c r="AF95" s="4">
        <v>73845000000</v>
      </c>
    </row>
    <row r="96" spans="1:32" x14ac:dyDescent="0.25">
      <c r="A96" t="s">
        <v>165</v>
      </c>
      <c r="B96" s="4">
        <v>23087500000000</v>
      </c>
      <c r="C96" s="4">
        <v>23291100000000</v>
      </c>
      <c r="D96" s="4">
        <v>24316000000000</v>
      </c>
      <c r="E96" s="4">
        <v>24829100000000</v>
      </c>
      <c r="F96" s="4">
        <v>25403400000000</v>
      </c>
      <c r="G96" s="4">
        <v>25933600000000</v>
      </c>
      <c r="H96" s="4">
        <v>26366200000000</v>
      </c>
      <c r="I96" s="4">
        <v>26712500000000</v>
      </c>
      <c r="J96" s="4">
        <v>27003300000000</v>
      </c>
      <c r="K96" s="4">
        <v>27206700000000</v>
      </c>
      <c r="L96" s="4">
        <v>27419200000000</v>
      </c>
      <c r="M96" s="4">
        <v>27656300000000</v>
      </c>
      <c r="N96" s="4">
        <v>27897500000000</v>
      </c>
      <c r="O96" s="4">
        <v>28056600000000</v>
      </c>
      <c r="P96" s="4">
        <v>28252800000000</v>
      </c>
      <c r="Q96" s="4">
        <v>28539400000000</v>
      </c>
      <c r="R96" s="4">
        <v>28831400000000</v>
      </c>
      <c r="S96" s="4">
        <v>29090100000000</v>
      </c>
      <c r="T96" s="4">
        <v>29390700000000</v>
      </c>
      <c r="U96" s="4">
        <v>29717300000000</v>
      </c>
      <c r="V96" s="4">
        <v>30053500000000</v>
      </c>
      <c r="W96" s="4">
        <v>30438300000000</v>
      </c>
      <c r="X96" s="4">
        <v>30871400000000</v>
      </c>
      <c r="Y96" s="4">
        <v>31345200000000</v>
      </c>
      <c r="Z96" s="4">
        <v>31805000000000</v>
      </c>
      <c r="AA96" s="4">
        <v>32181900000000</v>
      </c>
      <c r="AB96" s="4">
        <v>32533800000000</v>
      </c>
      <c r="AC96" s="4">
        <v>32861500000000</v>
      </c>
      <c r="AD96" s="4">
        <v>33234600000000</v>
      </c>
      <c r="AE96" s="4">
        <v>33657400000000</v>
      </c>
      <c r="AF96" s="4">
        <v>34070200000000</v>
      </c>
    </row>
    <row r="97" spans="1:32" x14ac:dyDescent="0.25">
      <c r="A97" t="s">
        <v>166</v>
      </c>
      <c r="B97">
        <v>0</v>
      </c>
      <c r="C97" s="4">
        <v>539473000000</v>
      </c>
      <c r="D97" s="4">
        <v>454042000000</v>
      </c>
      <c r="E97" s="4">
        <v>476633000000</v>
      </c>
      <c r="F97" s="4">
        <v>514847000000</v>
      </c>
      <c r="G97" s="4">
        <v>531183000000</v>
      </c>
      <c r="H97" s="4">
        <v>534315000000</v>
      </c>
      <c r="I97" s="4">
        <v>538685000000</v>
      </c>
      <c r="J97" s="4">
        <v>543383000000</v>
      </c>
      <c r="K97" s="4">
        <v>543427000000</v>
      </c>
      <c r="L97" s="4">
        <v>548127000000</v>
      </c>
      <c r="M97" s="4">
        <v>553420000000</v>
      </c>
      <c r="N97" s="4">
        <v>556434000000</v>
      </c>
      <c r="O97" s="4">
        <v>557809000000</v>
      </c>
      <c r="P97" s="4">
        <v>555785000000</v>
      </c>
      <c r="Q97" s="4">
        <v>561704000000</v>
      </c>
      <c r="R97" s="4">
        <v>564575000000</v>
      </c>
      <c r="S97" s="4">
        <v>550047000000</v>
      </c>
      <c r="T97" s="4">
        <v>544317000000</v>
      </c>
      <c r="U97" s="4">
        <v>534009000000</v>
      </c>
      <c r="V97" s="4">
        <v>527051000000</v>
      </c>
      <c r="W97" s="4">
        <v>523096000000</v>
      </c>
      <c r="X97" s="4">
        <v>524950000000</v>
      </c>
      <c r="Y97" s="4">
        <v>527725000000</v>
      </c>
      <c r="Z97" s="4">
        <v>537205000000</v>
      </c>
      <c r="AA97" s="4">
        <v>533745000000</v>
      </c>
      <c r="AB97" s="4">
        <v>530793000000</v>
      </c>
      <c r="AC97" s="4">
        <v>522553000000</v>
      </c>
      <c r="AD97" s="4">
        <v>516708000000</v>
      </c>
      <c r="AE97" s="4">
        <v>512729000000</v>
      </c>
      <c r="AF97" s="4">
        <v>506756000000</v>
      </c>
    </row>
    <row r="98" spans="1:32" x14ac:dyDescent="0.25">
      <c r="A98" t="s">
        <v>167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168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169</v>
      </c>
      <c r="B100" s="4">
        <v>196288000000000</v>
      </c>
      <c r="C100" s="4">
        <v>207769000000000</v>
      </c>
      <c r="D100" s="4">
        <v>217283000000000</v>
      </c>
      <c r="E100" s="4">
        <v>217122000000000</v>
      </c>
      <c r="F100" s="4">
        <v>217043000000000</v>
      </c>
      <c r="G100" s="4">
        <v>218647000000000</v>
      </c>
      <c r="H100" s="4">
        <v>219833000000000</v>
      </c>
      <c r="I100" s="4">
        <v>220694000000000</v>
      </c>
      <c r="J100" s="4">
        <v>221309000000000</v>
      </c>
      <c r="K100" s="4">
        <v>222838000000000</v>
      </c>
      <c r="L100" s="4">
        <v>224198000000000</v>
      </c>
      <c r="M100" s="4">
        <v>225449000000000</v>
      </c>
      <c r="N100" s="4">
        <v>227313000000000</v>
      </c>
      <c r="O100" s="4">
        <v>229732000000000</v>
      </c>
      <c r="P100" s="4">
        <v>232533000000000</v>
      </c>
      <c r="Q100" s="4">
        <v>235471000000000</v>
      </c>
      <c r="R100" s="4">
        <v>238418000000000</v>
      </c>
      <c r="S100" s="4">
        <v>241416000000000</v>
      </c>
      <c r="T100" s="4">
        <v>244457000000000</v>
      </c>
      <c r="U100" s="4">
        <v>247545000000000</v>
      </c>
      <c r="V100" s="4">
        <v>250624000000000</v>
      </c>
      <c r="W100" s="4">
        <v>253674000000000</v>
      </c>
      <c r="X100" s="4">
        <v>256731000000000</v>
      </c>
      <c r="Y100" s="4">
        <v>259822000000000</v>
      </c>
      <c r="Z100" s="4">
        <v>262925000000000</v>
      </c>
      <c r="AA100" s="4">
        <v>266171000000000</v>
      </c>
      <c r="AB100" s="4">
        <v>269376000000000</v>
      </c>
      <c r="AC100" s="4">
        <v>272558000000000</v>
      </c>
      <c r="AD100" s="4">
        <v>275945000000000</v>
      </c>
      <c r="AE100" s="4">
        <v>279336000000000</v>
      </c>
      <c r="AF100" s="4">
        <v>282830000000000</v>
      </c>
    </row>
    <row r="101" spans="1:32" x14ac:dyDescent="0.25">
      <c r="A101" t="s">
        <v>170</v>
      </c>
      <c r="B101" s="4">
        <v>108685000000000</v>
      </c>
      <c r="C101" s="4">
        <v>104817000000000</v>
      </c>
      <c r="D101" s="4">
        <v>110523000000000</v>
      </c>
      <c r="E101" s="4">
        <v>113133000000000</v>
      </c>
      <c r="F101" s="4">
        <v>114745000000000</v>
      </c>
      <c r="G101" s="4">
        <v>116179000000000</v>
      </c>
      <c r="H101" s="4">
        <v>116332000000000</v>
      </c>
      <c r="I101" s="4">
        <v>116108000000000</v>
      </c>
      <c r="J101" s="4">
        <v>116079000000000</v>
      </c>
      <c r="K101" s="4">
        <v>116419000000000</v>
      </c>
      <c r="L101" s="4">
        <v>116803000000000</v>
      </c>
      <c r="M101" s="4">
        <v>117201000000000</v>
      </c>
      <c r="N101" s="4">
        <v>117712000000000</v>
      </c>
      <c r="O101" s="4">
        <v>118283000000000</v>
      </c>
      <c r="P101" s="4">
        <v>119101000000000</v>
      </c>
      <c r="Q101" s="4">
        <v>120049000000000</v>
      </c>
      <c r="R101" s="4">
        <v>120905000000000</v>
      </c>
      <c r="S101" s="4">
        <v>121787000000000</v>
      </c>
      <c r="T101" s="4">
        <v>122471000000000</v>
      </c>
      <c r="U101" s="4">
        <v>123244000000000</v>
      </c>
      <c r="V101" s="4">
        <v>123991000000000</v>
      </c>
      <c r="W101" s="4">
        <v>124832000000000</v>
      </c>
      <c r="X101" s="4">
        <v>125716000000000</v>
      </c>
      <c r="Y101" s="4">
        <v>126668000000000</v>
      </c>
      <c r="Z101" s="4">
        <v>127219000000000</v>
      </c>
      <c r="AA101" s="4">
        <v>128083000000000</v>
      </c>
      <c r="AB101" s="4">
        <v>128485000000000</v>
      </c>
      <c r="AC101" s="4">
        <v>129005000000000</v>
      </c>
      <c r="AD101" s="4">
        <v>129471000000000</v>
      </c>
      <c r="AE101" s="4">
        <v>129880000000000</v>
      </c>
      <c r="AF101" s="4">
        <v>130430000000000</v>
      </c>
    </row>
    <row r="102" spans="1:32" x14ac:dyDescent="0.25">
      <c r="A102" t="s">
        <v>171</v>
      </c>
      <c r="B102" s="4">
        <v>2000350000000000</v>
      </c>
      <c r="C102" s="4">
        <v>1954630000000000</v>
      </c>
      <c r="D102" s="4">
        <v>2060020000000000</v>
      </c>
      <c r="E102" s="4">
        <v>2201990000000000</v>
      </c>
      <c r="F102" s="4">
        <v>2293430000000000</v>
      </c>
      <c r="G102" s="4">
        <v>2391460000000000</v>
      </c>
      <c r="H102" s="4">
        <v>2463820000000000</v>
      </c>
      <c r="I102" s="4">
        <v>2511920000000000</v>
      </c>
      <c r="J102" s="4">
        <v>2568610000000000</v>
      </c>
      <c r="K102" s="4">
        <v>2618380000000000</v>
      </c>
      <c r="L102" s="4">
        <v>2659040000000000</v>
      </c>
      <c r="M102" s="4">
        <v>2704120000000000</v>
      </c>
      <c r="N102" s="4">
        <v>2760740000000000</v>
      </c>
      <c r="O102" s="4">
        <v>2798140000000000</v>
      </c>
      <c r="P102" s="4">
        <v>2841750000000000</v>
      </c>
      <c r="Q102" s="4">
        <v>2883380000000000</v>
      </c>
      <c r="R102" s="4">
        <v>2923190000000000</v>
      </c>
      <c r="S102" s="4">
        <v>2955960000000000</v>
      </c>
      <c r="T102" s="4">
        <v>2976660000000000</v>
      </c>
      <c r="U102" s="4">
        <v>3028480000000000</v>
      </c>
      <c r="V102" s="4">
        <v>3062430000000000</v>
      </c>
      <c r="W102" s="4">
        <v>3084220000000000</v>
      </c>
      <c r="X102" s="4">
        <v>3105570000000000</v>
      </c>
      <c r="Y102" s="4">
        <v>3143940000000000</v>
      </c>
      <c r="Z102" s="4">
        <v>3182920000000000</v>
      </c>
      <c r="AA102" s="4">
        <v>3205430000000000</v>
      </c>
      <c r="AB102" s="4">
        <v>3208990000000000</v>
      </c>
      <c r="AC102" s="4">
        <v>3241870000000000</v>
      </c>
      <c r="AD102" s="4">
        <v>3246170000000000</v>
      </c>
      <c r="AE102" s="4">
        <v>3243520000000000</v>
      </c>
      <c r="AF102" s="4">
        <v>3230190000000000</v>
      </c>
    </row>
    <row r="103" spans="1:32" x14ac:dyDescent="0.25">
      <c r="A103" t="s">
        <v>172</v>
      </c>
      <c r="B103" s="4">
        <v>191811000000000</v>
      </c>
      <c r="C103" s="4">
        <v>184986000000000</v>
      </c>
      <c r="D103" s="4">
        <v>195055000000000</v>
      </c>
      <c r="E103" s="4">
        <v>199662000000000</v>
      </c>
      <c r="F103" s="4">
        <v>202507000000000</v>
      </c>
      <c r="G103" s="4">
        <v>205037000000000</v>
      </c>
      <c r="H103" s="4">
        <v>205306000000000</v>
      </c>
      <c r="I103" s="4">
        <v>204912000000000</v>
      </c>
      <c r="J103" s="4">
        <v>204861000000000</v>
      </c>
      <c r="K103" s="4">
        <v>205460000000000</v>
      </c>
      <c r="L103" s="4">
        <v>206138000000000</v>
      </c>
      <c r="M103" s="4">
        <v>206841000000000</v>
      </c>
      <c r="N103" s="4">
        <v>207742000000000</v>
      </c>
      <c r="O103" s="4">
        <v>208750000000000</v>
      </c>
      <c r="P103" s="4">
        <v>210194000000000</v>
      </c>
      <c r="Q103" s="4">
        <v>211867000000000</v>
      </c>
      <c r="R103" s="4">
        <v>213377000000000</v>
      </c>
      <c r="S103" s="4">
        <v>214935000000000</v>
      </c>
      <c r="T103" s="4">
        <v>216141000000000</v>
      </c>
      <c r="U103" s="4">
        <v>217505000000000</v>
      </c>
      <c r="V103" s="4">
        <v>218824000000000</v>
      </c>
      <c r="W103" s="4">
        <v>220309000000000</v>
      </c>
      <c r="X103" s="4">
        <v>221869000000000</v>
      </c>
      <c r="Y103" s="4">
        <v>223549000000000</v>
      </c>
      <c r="Z103" s="4">
        <v>224521000000000</v>
      </c>
      <c r="AA103" s="4">
        <v>226047000000000</v>
      </c>
      <c r="AB103" s="4">
        <v>226755000000000</v>
      </c>
      <c r="AC103" s="4">
        <v>227673000000000</v>
      </c>
      <c r="AD103" s="4">
        <v>228495000000000</v>
      </c>
      <c r="AE103" s="4">
        <v>229218000000000</v>
      </c>
      <c r="AF103" s="4">
        <v>230188000000000</v>
      </c>
    </row>
    <row r="104" spans="1:32" x14ac:dyDescent="0.25">
      <c r="A104" t="s">
        <v>173</v>
      </c>
      <c r="B104" s="4">
        <v>916598000000000</v>
      </c>
      <c r="C104" s="4">
        <v>890151000000000</v>
      </c>
      <c r="D104" s="4">
        <v>958150000000000</v>
      </c>
      <c r="E104" s="4">
        <v>1005190000000000</v>
      </c>
      <c r="F104" s="4">
        <v>1042320000000000</v>
      </c>
      <c r="G104" s="4">
        <v>1064120000000000</v>
      </c>
      <c r="H104" s="4">
        <v>1081400000000000</v>
      </c>
      <c r="I104" s="4">
        <v>1087230000000000</v>
      </c>
      <c r="J104" s="4">
        <v>1091300000000000</v>
      </c>
      <c r="K104" s="4">
        <v>1095410000000000</v>
      </c>
      <c r="L104" s="4">
        <v>1094000000000000</v>
      </c>
      <c r="M104" s="4">
        <v>1098540000000000</v>
      </c>
      <c r="N104" s="4">
        <v>1104060000000000</v>
      </c>
      <c r="O104" s="4">
        <v>1112060000000000</v>
      </c>
      <c r="P104" s="4">
        <v>1123800000000000</v>
      </c>
      <c r="Q104" s="4">
        <v>1136220000000000</v>
      </c>
      <c r="R104" s="4">
        <v>1148850000000000</v>
      </c>
      <c r="S104" s="4">
        <v>1162440000000000</v>
      </c>
      <c r="T104" s="4">
        <v>1177440000000000</v>
      </c>
      <c r="U104" s="4">
        <v>1192060000000000</v>
      </c>
      <c r="V104" s="4">
        <v>1209020000000000</v>
      </c>
      <c r="W104" s="4">
        <v>1224080000000000</v>
      </c>
      <c r="X104" s="4">
        <v>1239730000000000</v>
      </c>
      <c r="Y104" s="4">
        <v>1256860000000000</v>
      </c>
      <c r="Z104" s="4">
        <v>1273600000000000</v>
      </c>
      <c r="AA104" s="4">
        <v>1291030000000000</v>
      </c>
      <c r="AB104" s="4">
        <v>1307640000000000</v>
      </c>
      <c r="AC104" s="4">
        <v>1323080000000000</v>
      </c>
      <c r="AD104" s="4">
        <v>1341590000000000</v>
      </c>
      <c r="AE104" s="4">
        <v>1361750000000000</v>
      </c>
      <c r="AF104" s="4">
        <v>1380030000000000</v>
      </c>
    </row>
    <row r="105" spans="1:32" x14ac:dyDescent="0.25">
      <c r="A105" t="s">
        <v>174</v>
      </c>
      <c r="B105" s="4">
        <v>111680000000000</v>
      </c>
      <c r="C105" s="4">
        <v>100744000000000</v>
      </c>
      <c r="D105" s="4">
        <v>111497000000000</v>
      </c>
      <c r="E105" s="4">
        <v>120945000000000</v>
      </c>
      <c r="F105" s="4">
        <v>130274000000000</v>
      </c>
      <c r="G105" s="4">
        <v>135817000000000</v>
      </c>
      <c r="H105" s="4">
        <v>140605000000000</v>
      </c>
      <c r="I105" s="4">
        <v>141156000000000</v>
      </c>
      <c r="J105" s="4">
        <v>141201000000000</v>
      </c>
      <c r="K105" s="4">
        <v>141214000000000</v>
      </c>
      <c r="L105" s="4">
        <v>141349000000000</v>
      </c>
      <c r="M105" s="4">
        <v>142066000000000</v>
      </c>
      <c r="N105" s="4">
        <v>143089000000000</v>
      </c>
      <c r="O105" s="4">
        <v>144148000000000</v>
      </c>
      <c r="P105" s="4">
        <v>145902000000000</v>
      </c>
      <c r="Q105" s="4">
        <v>147936000000000</v>
      </c>
      <c r="R105" s="4">
        <v>149895000000000</v>
      </c>
      <c r="S105" s="4">
        <v>152350000000000</v>
      </c>
      <c r="T105" s="4">
        <v>155223000000000</v>
      </c>
      <c r="U105" s="4">
        <v>157741000000000</v>
      </c>
      <c r="V105" s="4">
        <v>161257000000000</v>
      </c>
      <c r="W105" s="4">
        <v>164277000000000</v>
      </c>
      <c r="X105" s="4">
        <v>167545000000000</v>
      </c>
      <c r="Y105" s="4">
        <v>171320000000000</v>
      </c>
      <c r="Z105" s="4">
        <v>174946000000000</v>
      </c>
      <c r="AA105" s="4">
        <v>178491000000000</v>
      </c>
      <c r="AB105" s="4">
        <v>181591000000000</v>
      </c>
      <c r="AC105" s="4">
        <v>184161000000000</v>
      </c>
      <c r="AD105" s="4">
        <v>187456000000000</v>
      </c>
      <c r="AE105" s="4">
        <v>191435000000000</v>
      </c>
      <c r="AF105" s="4">
        <v>194648000000000</v>
      </c>
    </row>
    <row r="106" spans="1:32" x14ac:dyDescent="0.25">
      <c r="A106" t="s">
        <v>175</v>
      </c>
      <c r="B106" s="4">
        <v>64258200000000</v>
      </c>
      <c r="C106" s="4">
        <v>63337100000000</v>
      </c>
      <c r="D106" s="4">
        <v>68904800000000</v>
      </c>
      <c r="E106" s="4">
        <v>70070700000000</v>
      </c>
      <c r="F106" s="4">
        <v>71607600000000</v>
      </c>
      <c r="G106" s="4">
        <v>73435300000000</v>
      </c>
      <c r="H106" s="4">
        <v>73833700000000</v>
      </c>
      <c r="I106" s="4">
        <v>73232500000000</v>
      </c>
      <c r="J106" s="4">
        <v>72230300000000</v>
      </c>
      <c r="K106" s="4">
        <v>71685300000000</v>
      </c>
      <c r="L106" s="4">
        <v>70746100000000</v>
      </c>
      <c r="M106" s="4">
        <v>70662100000000</v>
      </c>
      <c r="N106" s="4">
        <v>70996300000000</v>
      </c>
      <c r="O106" s="4">
        <v>70812600000000</v>
      </c>
      <c r="P106" s="4">
        <v>70215900000000</v>
      </c>
      <c r="Q106" s="4">
        <v>71076400000000</v>
      </c>
      <c r="R106" s="4">
        <v>72117100000000</v>
      </c>
      <c r="S106" s="4">
        <v>72858700000000</v>
      </c>
      <c r="T106" s="4">
        <v>74064700000000</v>
      </c>
      <c r="U106" s="4">
        <v>75296600000000</v>
      </c>
      <c r="V106" s="4">
        <v>76881100000000</v>
      </c>
      <c r="W106" s="4">
        <v>79094700000000</v>
      </c>
      <c r="X106" s="4">
        <v>80809600000000</v>
      </c>
      <c r="Y106" s="4">
        <v>82655400000000</v>
      </c>
      <c r="Z106" s="4">
        <v>84618800000000</v>
      </c>
      <c r="AA106" s="4">
        <v>87345800000000</v>
      </c>
      <c r="AB106" s="4">
        <v>89995700000000</v>
      </c>
      <c r="AC106" s="4">
        <v>92102000000000</v>
      </c>
      <c r="AD106" s="4">
        <v>94536500000000</v>
      </c>
      <c r="AE106" s="4">
        <v>97059200000000</v>
      </c>
      <c r="AF106" s="4">
        <v>99958300000000</v>
      </c>
    </row>
    <row r="107" spans="1:32" x14ac:dyDescent="0.25">
      <c r="A107" t="s">
        <v>176</v>
      </c>
      <c r="B107" s="4">
        <v>500701000000000</v>
      </c>
      <c r="C107" s="4">
        <v>500552000000000</v>
      </c>
      <c r="D107" s="4">
        <v>512692000000000</v>
      </c>
      <c r="E107" s="4">
        <v>508362000000000</v>
      </c>
      <c r="F107" s="4">
        <v>509116000000000</v>
      </c>
      <c r="G107" s="4">
        <v>508442000000000</v>
      </c>
      <c r="H107" s="4">
        <v>506999000000000</v>
      </c>
      <c r="I107" s="4">
        <v>503478000000000</v>
      </c>
      <c r="J107" s="4">
        <v>500091000000000</v>
      </c>
      <c r="K107" s="4">
        <v>496402000000000</v>
      </c>
      <c r="L107" s="4">
        <v>492793000000000</v>
      </c>
      <c r="M107" s="4">
        <v>490503000000000</v>
      </c>
      <c r="N107" s="4">
        <v>488225000000000</v>
      </c>
      <c r="O107" s="4">
        <v>485508000000000</v>
      </c>
      <c r="P107" s="4">
        <v>484105000000000</v>
      </c>
      <c r="Q107" s="4">
        <v>483760000000000</v>
      </c>
      <c r="R107" s="4">
        <v>483341000000000</v>
      </c>
      <c r="S107" s="4">
        <v>483940000000000</v>
      </c>
      <c r="T107" s="4">
        <v>485315000000000</v>
      </c>
      <c r="U107" s="4">
        <v>487067000000000</v>
      </c>
      <c r="V107" s="4">
        <v>487660000000000</v>
      </c>
      <c r="W107" s="4">
        <v>488726000000000</v>
      </c>
      <c r="X107" s="4">
        <v>490328000000000</v>
      </c>
      <c r="Y107" s="4">
        <v>493827000000000</v>
      </c>
      <c r="Z107" s="4">
        <v>496062000000000</v>
      </c>
      <c r="AA107" s="4">
        <v>500123000000000</v>
      </c>
      <c r="AB107" s="4">
        <v>503162000000000</v>
      </c>
      <c r="AC107" s="4">
        <v>506996000000000</v>
      </c>
      <c r="AD107" s="4">
        <v>509655000000000</v>
      </c>
      <c r="AE107" s="4">
        <v>512875000000000</v>
      </c>
      <c r="AF107" s="4">
        <v>516208000000000</v>
      </c>
    </row>
    <row r="108" spans="1:32" x14ac:dyDescent="0.25">
      <c r="A108" t="s">
        <v>177</v>
      </c>
      <c r="B108" s="4">
        <v>1468800000000000</v>
      </c>
      <c r="C108" s="4">
        <v>1560730000000000</v>
      </c>
      <c r="D108" s="4">
        <v>1355110000000000</v>
      </c>
      <c r="E108" s="4">
        <v>1313230000000000</v>
      </c>
      <c r="F108" s="4">
        <v>1293160000000000</v>
      </c>
      <c r="G108" s="4">
        <v>1247840000000000</v>
      </c>
      <c r="H108" s="4">
        <v>1285200000000000</v>
      </c>
      <c r="I108" s="4">
        <v>1278680000000000</v>
      </c>
      <c r="J108" s="4">
        <v>1282060000000000</v>
      </c>
      <c r="K108" s="4">
        <v>1299510000000000</v>
      </c>
      <c r="L108" s="4">
        <v>1255980000000000</v>
      </c>
      <c r="M108" s="4">
        <v>1232730000000000</v>
      </c>
      <c r="N108" s="4">
        <v>1234700000000000</v>
      </c>
      <c r="O108" s="4">
        <v>1243190000000000</v>
      </c>
      <c r="P108" s="4">
        <v>1261390000000000</v>
      </c>
      <c r="Q108" s="4">
        <v>1264180000000000</v>
      </c>
      <c r="R108" s="4">
        <v>1285240000000000</v>
      </c>
      <c r="S108" s="4">
        <v>1296830000000000</v>
      </c>
      <c r="T108" s="4">
        <v>1304970000000000</v>
      </c>
      <c r="U108" s="4">
        <v>1330920000000000</v>
      </c>
      <c r="V108" s="4">
        <v>1322510000000000</v>
      </c>
      <c r="W108" s="4">
        <v>1330480000000000</v>
      </c>
      <c r="X108" s="4">
        <v>1345800000000000</v>
      </c>
      <c r="Y108" s="4">
        <v>1362980000000000</v>
      </c>
      <c r="Z108" s="4">
        <v>1366420000000000</v>
      </c>
      <c r="AA108" s="4">
        <v>1380830000000000</v>
      </c>
      <c r="AB108" s="4">
        <v>1383040000000000</v>
      </c>
      <c r="AC108" s="4">
        <v>1393680000000000</v>
      </c>
      <c r="AD108" s="4">
        <v>1420040000000000</v>
      </c>
      <c r="AE108" s="4">
        <v>1428860000000000</v>
      </c>
      <c r="AF108" s="4">
        <v>1457910000000000</v>
      </c>
    </row>
    <row r="109" spans="1:32" x14ac:dyDescent="0.25">
      <c r="A109" t="s">
        <v>178</v>
      </c>
      <c r="B109" s="4">
        <v>2992010000000000</v>
      </c>
      <c r="C109" s="4">
        <v>2891780000000000</v>
      </c>
      <c r="D109" s="4">
        <v>3112570000000000</v>
      </c>
      <c r="E109" s="4">
        <v>3272400000000000</v>
      </c>
      <c r="F109" s="4">
        <v>3475200000000000</v>
      </c>
      <c r="G109" s="4">
        <v>3610120000000000</v>
      </c>
      <c r="H109" s="4">
        <v>3731660000000000</v>
      </c>
      <c r="I109" s="4">
        <v>3772890000000000</v>
      </c>
      <c r="J109" s="4">
        <v>3822330000000000</v>
      </c>
      <c r="K109" s="4">
        <v>3864260000000000</v>
      </c>
      <c r="L109" s="4">
        <v>3922220000000000</v>
      </c>
      <c r="M109" s="4">
        <v>3980360000000000</v>
      </c>
      <c r="N109" s="4">
        <v>4041420000000000</v>
      </c>
      <c r="O109" s="4">
        <v>4095510000000000</v>
      </c>
      <c r="P109" s="4">
        <v>4174940000000000</v>
      </c>
      <c r="Q109" s="4">
        <v>4251880000000000</v>
      </c>
      <c r="R109" s="4">
        <v>4315440000000000</v>
      </c>
      <c r="S109" s="4">
        <v>4393500000000000</v>
      </c>
      <c r="T109" s="4">
        <v>4469710000000000</v>
      </c>
      <c r="U109" s="4">
        <v>4536920000000000</v>
      </c>
      <c r="V109" s="4">
        <v>4597240000000000</v>
      </c>
      <c r="W109" s="4">
        <v>4655120000000000</v>
      </c>
      <c r="X109" s="4">
        <v>4719360000000000</v>
      </c>
      <c r="Y109" s="4">
        <v>4821310000000000</v>
      </c>
      <c r="Z109" s="4">
        <v>4913000000000000</v>
      </c>
      <c r="AA109" s="4">
        <v>5030890000000000</v>
      </c>
      <c r="AB109" s="4">
        <v>5112370000000000</v>
      </c>
      <c r="AC109" s="4">
        <v>5183570000000000</v>
      </c>
      <c r="AD109" s="4">
        <v>5264960000000000</v>
      </c>
      <c r="AE109" s="4">
        <v>5383440000000000</v>
      </c>
      <c r="AF109" s="4">
        <v>5499920000000000</v>
      </c>
    </row>
    <row r="110" spans="1:32" x14ac:dyDescent="0.25">
      <c r="A110" t="s">
        <v>179</v>
      </c>
      <c r="B110" s="4">
        <v>108929000000000</v>
      </c>
      <c r="C110" s="4">
        <v>100804000000000</v>
      </c>
      <c r="D110" s="4">
        <v>112013000000000</v>
      </c>
      <c r="E110" s="4">
        <v>118520000000000</v>
      </c>
      <c r="F110" s="4">
        <v>123142000000000</v>
      </c>
      <c r="G110" s="4">
        <v>125748000000000</v>
      </c>
      <c r="H110" s="4">
        <v>126854000000000</v>
      </c>
      <c r="I110" s="4">
        <v>126606000000000</v>
      </c>
      <c r="J110" s="4">
        <v>126336000000000</v>
      </c>
      <c r="K110" s="4">
        <v>125890000000000</v>
      </c>
      <c r="L110" s="4">
        <v>125196000000000</v>
      </c>
      <c r="M110" s="4">
        <v>125385000000000</v>
      </c>
      <c r="N110" s="4">
        <v>126286000000000</v>
      </c>
      <c r="O110" s="4">
        <v>127392000000000</v>
      </c>
      <c r="P110" s="4">
        <v>128965000000000</v>
      </c>
      <c r="Q110" s="4">
        <v>130964000000000</v>
      </c>
      <c r="R110" s="4">
        <v>132886000000000</v>
      </c>
      <c r="S110" s="4">
        <v>134830000000000</v>
      </c>
      <c r="T110" s="4">
        <v>137043000000000</v>
      </c>
      <c r="U110" s="4">
        <v>139473000000000</v>
      </c>
      <c r="V110" s="4">
        <v>142188000000000</v>
      </c>
      <c r="W110" s="4">
        <v>144722000000000</v>
      </c>
      <c r="X110" s="4">
        <v>147416000000000</v>
      </c>
      <c r="Y110" s="4">
        <v>150027000000000</v>
      </c>
      <c r="Z110" s="4">
        <v>152231000000000</v>
      </c>
      <c r="AA110" s="4">
        <v>154894000000000</v>
      </c>
      <c r="AB110" s="4">
        <v>157265000000000</v>
      </c>
      <c r="AC110" s="4">
        <v>159260000000000</v>
      </c>
      <c r="AD110" s="4">
        <v>161796000000000</v>
      </c>
      <c r="AE110" s="4">
        <v>164439000000000</v>
      </c>
      <c r="AF110" s="4">
        <v>166870000000000</v>
      </c>
    </row>
    <row r="111" spans="1:32" x14ac:dyDescent="0.25">
      <c r="A111" t="s">
        <v>180</v>
      </c>
      <c r="B111" s="4">
        <v>140501000000000</v>
      </c>
      <c r="C111" s="4">
        <v>135471000000000</v>
      </c>
      <c r="D111" s="4">
        <v>140500000000000</v>
      </c>
      <c r="E111" s="4">
        <v>139733000000000</v>
      </c>
      <c r="F111" s="4">
        <v>139809000000000</v>
      </c>
      <c r="G111" s="4">
        <v>139602000000000</v>
      </c>
      <c r="H111" s="4">
        <v>138149000000000</v>
      </c>
      <c r="I111" s="4">
        <v>135743000000000</v>
      </c>
      <c r="J111" s="4">
        <v>133094000000000</v>
      </c>
      <c r="K111" s="4">
        <v>131019000000000</v>
      </c>
      <c r="L111" s="4">
        <v>128717000000000</v>
      </c>
      <c r="M111" s="4">
        <v>126994000000000</v>
      </c>
      <c r="N111" s="4">
        <v>125271000000000</v>
      </c>
      <c r="O111" s="4">
        <v>123873000000000</v>
      </c>
      <c r="P111" s="4">
        <v>123017000000000</v>
      </c>
      <c r="Q111" s="4">
        <v>123544000000000</v>
      </c>
      <c r="R111" s="4">
        <v>123694000000000</v>
      </c>
      <c r="S111" s="4">
        <v>123409000000000</v>
      </c>
      <c r="T111" s="4">
        <v>123410000000000</v>
      </c>
      <c r="U111" s="4">
        <v>123586000000000</v>
      </c>
      <c r="V111" s="4">
        <v>124214000000000</v>
      </c>
      <c r="W111" s="4">
        <v>125671000000000</v>
      </c>
      <c r="X111" s="4">
        <v>126505000000000</v>
      </c>
      <c r="Y111" s="4">
        <v>127337000000000</v>
      </c>
      <c r="Z111" s="4">
        <v>128247000000000</v>
      </c>
      <c r="AA111" s="4">
        <v>129799000000000</v>
      </c>
      <c r="AB111" s="4">
        <v>131234000000000</v>
      </c>
      <c r="AC111" s="4">
        <v>132012000000000</v>
      </c>
      <c r="AD111" s="4">
        <v>133241000000000</v>
      </c>
      <c r="AE111" s="4">
        <v>134569000000000</v>
      </c>
      <c r="AF111" s="4">
        <v>136053000000000</v>
      </c>
    </row>
    <row r="112" spans="1:32" x14ac:dyDescent="0.25">
      <c r="A112" t="s">
        <v>181</v>
      </c>
      <c r="B112" s="4">
        <v>30894200000000</v>
      </c>
      <c r="C112" s="4">
        <v>29948100000000</v>
      </c>
      <c r="D112" s="4">
        <v>31000200000000</v>
      </c>
      <c r="E112" s="4">
        <v>30801300000000</v>
      </c>
      <c r="F112" s="4">
        <v>30380800000000</v>
      </c>
      <c r="G112" s="4">
        <v>30274700000000</v>
      </c>
      <c r="H112" s="4">
        <v>30034900000000</v>
      </c>
      <c r="I112" s="4">
        <v>29716500000000</v>
      </c>
      <c r="J112" s="4">
        <v>29785600000000</v>
      </c>
      <c r="K112" s="4">
        <v>31633700000000</v>
      </c>
      <c r="L112" s="4">
        <v>33607900000000</v>
      </c>
      <c r="M112" s="4">
        <v>35753200000000</v>
      </c>
      <c r="N112" s="4">
        <v>37933400000000</v>
      </c>
      <c r="O112" s="4">
        <v>40159900000000</v>
      </c>
      <c r="P112" s="4">
        <v>42384800000000</v>
      </c>
      <c r="Q112" s="4">
        <v>44788100000000</v>
      </c>
      <c r="R112" s="4">
        <v>46940300000000</v>
      </c>
      <c r="S112" s="4">
        <v>46671200000000</v>
      </c>
      <c r="T112" s="4">
        <v>46503100000000</v>
      </c>
      <c r="U112" s="4">
        <v>46264500000000</v>
      </c>
      <c r="V112" s="4">
        <v>46111600000000</v>
      </c>
      <c r="W112" s="4">
        <v>45948400000000</v>
      </c>
      <c r="X112" s="4">
        <v>45674100000000</v>
      </c>
      <c r="Y112" s="4">
        <v>45465300000000</v>
      </c>
      <c r="Z112" s="4">
        <v>45262700000000</v>
      </c>
      <c r="AA112" s="4">
        <v>45112300000000</v>
      </c>
      <c r="AB112" s="4">
        <v>44946400000000</v>
      </c>
      <c r="AC112" s="4">
        <v>44734600000000</v>
      </c>
      <c r="AD112" s="4">
        <v>44551600000000</v>
      </c>
      <c r="AE112" s="4">
        <v>44394300000000</v>
      </c>
      <c r="AF112" s="4">
        <v>44243000000000</v>
      </c>
    </row>
    <row r="113" spans="1:32" x14ac:dyDescent="0.25">
      <c r="A113" t="s">
        <v>182</v>
      </c>
      <c r="B113" s="4">
        <v>410282000000000</v>
      </c>
      <c r="C113" s="4">
        <v>357299000000000</v>
      </c>
      <c r="D113" s="4">
        <v>397842000000000</v>
      </c>
      <c r="E113" s="4">
        <v>386545000000000</v>
      </c>
      <c r="F113" s="4">
        <v>396780000000000</v>
      </c>
      <c r="G113" s="4">
        <v>415678000000000</v>
      </c>
      <c r="H113" s="4">
        <v>408129000000000</v>
      </c>
      <c r="I113" s="4">
        <v>400970000000000</v>
      </c>
      <c r="J113" s="4">
        <v>394342000000000</v>
      </c>
      <c r="K113" s="4">
        <v>390602000000000</v>
      </c>
      <c r="L113" s="4">
        <v>388586000000000</v>
      </c>
      <c r="M113" s="4">
        <v>364858000000000</v>
      </c>
      <c r="N113" s="4">
        <v>341586000000000</v>
      </c>
      <c r="O113" s="4">
        <v>319568000000000</v>
      </c>
      <c r="P113" s="4">
        <v>305606000000000</v>
      </c>
      <c r="Q113" s="4">
        <v>301671000000000</v>
      </c>
      <c r="R113" s="4">
        <v>298561000000000</v>
      </c>
      <c r="S113" s="4">
        <v>297701000000000</v>
      </c>
      <c r="T113" s="4">
        <v>299652000000000</v>
      </c>
      <c r="U113" s="4">
        <v>302394000000000</v>
      </c>
      <c r="V113" s="4">
        <v>299525000000000</v>
      </c>
      <c r="W113" s="4">
        <v>299842000000000</v>
      </c>
      <c r="X113" s="4">
        <v>304106000000000</v>
      </c>
      <c r="Y113" s="4">
        <v>312631000000000</v>
      </c>
      <c r="Z113" s="4">
        <v>313373000000000</v>
      </c>
      <c r="AA113" s="4">
        <v>316731000000000</v>
      </c>
      <c r="AB113" s="4">
        <v>316575000000000</v>
      </c>
      <c r="AC113" s="4">
        <v>314560000000000</v>
      </c>
      <c r="AD113" s="4">
        <v>316819000000000</v>
      </c>
      <c r="AE113" s="4">
        <v>319120000000000</v>
      </c>
      <c r="AF113" s="4">
        <v>326800000000000</v>
      </c>
    </row>
    <row r="114" spans="1:32" x14ac:dyDescent="0.25">
      <c r="A114" t="s">
        <v>183</v>
      </c>
      <c r="B114" s="4">
        <v>204514000000000</v>
      </c>
      <c r="C114" s="4">
        <v>198241000000000</v>
      </c>
      <c r="D114" s="4">
        <v>213317000000000</v>
      </c>
      <c r="E114" s="4">
        <v>220128000000000</v>
      </c>
      <c r="F114" s="4">
        <v>228167000000000</v>
      </c>
      <c r="G114" s="4">
        <v>233436000000000</v>
      </c>
      <c r="H114" s="4">
        <v>237330000000000</v>
      </c>
      <c r="I114" s="4">
        <v>236744000000000</v>
      </c>
      <c r="J114" s="4">
        <v>235584000000000</v>
      </c>
      <c r="K114" s="4">
        <v>234433000000000</v>
      </c>
      <c r="L114" s="4">
        <v>233731000000000</v>
      </c>
      <c r="M114" s="4">
        <v>233950000000000</v>
      </c>
      <c r="N114" s="4">
        <v>234632000000000</v>
      </c>
      <c r="O114" s="4">
        <v>235574000000000</v>
      </c>
      <c r="P114" s="4">
        <v>237433000000000</v>
      </c>
      <c r="Q114" s="4">
        <v>239981000000000</v>
      </c>
      <c r="R114" s="4">
        <v>242429000000000</v>
      </c>
      <c r="S114" s="4">
        <v>245367000000000</v>
      </c>
      <c r="T114" s="4">
        <v>248826000000000</v>
      </c>
      <c r="U114" s="4">
        <v>251961000000000</v>
      </c>
      <c r="V114" s="4">
        <v>255606000000000</v>
      </c>
      <c r="W114" s="4">
        <v>258819000000000</v>
      </c>
      <c r="X114" s="4">
        <v>262346000000000</v>
      </c>
      <c r="Y114" s="4">
        <v>266620000000000</v>
      </c>
      <c r="Z114" s="4">
        <v>270247000000000</v>
      </c>
      <c r="AA114" s="4">
        <v>273949000000000</v>
      </c>
      <c r="AB114" s="4">
        <v>276781000000000</v>
      </c>
      <c r="AC114" s="4">
        <v>278964000000000</v>
      </c>
      <c r="AD114" s="4">
        <v>281709000000000</v>
      </c>
      <c r="AE114" s="4">
        <v>285188000000000</v>
      </c>
      <c r="AF114" s="4">
        <v>288316000000000</v>
      </c>
    </row>
    <row r="115" spans="1:32" x14ac:dyDescent="0.25">
      <c r="A115" t="s">
        <v>184</v>
      </c>
      <c r="B115" s="4">
        <v>210966000000000</v>
      </c>
      <c r="C115" s="4">
        <v>201090000000000</v>
      </c>
      <c r="D115" s="4">
        <v>215012000000000</v>
      </c>
      <c r="E115" s="4">
        <v>221480000000000</v>
      </c>
      <c r="F115" s="4">
        <v>228830000000000</v>
      </c>
      <c r="G115" s="4">
        <v>234292000000000</v>
      </c>
      <c r="H115" s="4">
        <v>236487000000000</v>
      </c>
      <c r="I115" s="4">
        <v>235169000000000</v>
      </c>
      <c r="J115" s="4">
        <v>232888000000000</v>
      </c>
      <c r="K115" s="4">
        <v>231428000000000</v>
      </c>
      <c r="L115" s="4">
        <v>228915000000000</v>
      </c>
      <c r="M115" s="4">
        <v>229134000000000</v>
      </c>
      <c r="N115" s="4">
        <v>229813000000000</v>
      </c>
      <c r="O115" s="4">
        <v>230752000000000</v>
      </c>
      <c r="P115" s="4">
        <v>232792000000000</v>
      </c>
      <c r="Q115" s="4">
        <v>236052000000000</v>
      </c>
      <c r="R115" s="4">
        <v>239151000000000</v>
      </c>
      <c r="S115" s="4">
        <v>241663000000000</v>
      </c>
      <c r="T115" s="4">
        <v>244296000000000</v>
      </c>
      <c r="U115" s="4">
        <v>246893000000000</v>
      </c>
      <c r="V115" s="4">
        <v>250174000000000</v>
      </c>
      <c r="W115" s="4">
        <v>254067000000000</v>
      </c>
      <c r="X115" s="4">
        <v>257887000000000</v>
      </c>
      <c r="Y115" s="4">
        <v>262096000000000</v>
      </c>
      <c r="Z115" s="4">
        <v>264750000000000</v>
      </c>
      <c r="AA115" s="4">
        <v>268838000000000</v>
      </c>
      <c r="AB115" s="4">
        <v>272914000000000</v>
      </c>
      <c r="AC115" s="4">
        <v>275029000000000</v>
      </c>
      <c r="AD115" s="4">
        <v>279499000000000</v>
      </c>
      <c r="AE115" s="4">
        <v>284415000000000</v>
      </c>
      <c r="AF115" s="4">
        <v>289245000000000</v>
      </c>
    </row>
    <row r="116" spans="1:32" x14ac:dyDescent="0.25">
      <c r="A116" t="s">
        <v>185</v>
      </c>
      <c r="B116" s="4">
        <v>60157300000000</v>
      </c>
      <c r="C116" s="4">
        <v>56821500000000</v>
      </c>
      <c r="D116" s="4">
        <v>61496000000000</v>
      </c>
      <c r="E116" s="4">
        <v>64037600000000</v>
      </c>
      <c r="F116" s="4">
        <v>66217400000000</v>
      </c>
      <c r="G116" s="4">
        <v>67168300000000</v>
      </c>
      <c r="H116" s="4">
        <v>67464600000000</v>
      </c>
      <c r="I116" s="4">
        <v>67332800000000</v>
      </c>
      <c r="J116" s="4">
        <v>67161000000000</v>
      </c>
      <c r="K116" s="4">
        <v>66952000000000</v>
      </c>
      <c r="L116" s="4">
        <v>64863300000000</v>
      </c>
      <c r="M116" s="4">
        <v>65142900000000</v>
      </c>
      <c r="N116" s="4">
        <v>65399400000000</v>
      </c>
      <c r="O116" s="4">
        <v>66010000000000</v>
      </c>
      <c r="P116" s="4">
        <v>66802800000000</v>
      </c>
      <c r="Q116" s="4">
        <v>67680100000000</v>
      </c>
      <c r="R116" s="4">
        <v>68522300000000</v>
      </c>
      <c r="S116" s="4">
        <v>69405200000000</v>
      </c>
      <c r="T116" s="4">
        <v>70341300000000</v>
      </c>
      <c r="U116" s="4">
        <v>71348800000000</v>
      </c>
      <c r="V116" s="4">
        <v>72381700000000</v>
      </c>
      <c r="W116" s="4">
        <v>73365800000000</v>
      </c>
      <c r="X116" s="4">
        <v>74339400000000</v>
      </c>
      <c r="Y116" s="4">
        <v>75381200000000</v>
      </c>
      <c r="Z116" s="4">
        <v>76331100000000</v>
      </c>
      <c r="AA116" s="4">
        <v>77420000000000</v>
      </c>
      <c r="AB116" s="4">
        <v>78530000000000</v>
      </c>
      <c r="AC116" s="4">
        <v>79538300000000</v>
      </c>
      <c r="AD116" s="4">
        <v>80765300000000</v>
      </c>
      <c r="AE116" s="4">
        <v>81955100000000</v>
      </c>
      <c r="AF116" s="4">
        <v>83007000000000</v>
      </c>
    </row>
    <row r="117" spans="1:32" x14ac:dyDescent="0.25">
      <c r="A117" t="s">
        <v>186</v>
      </c>
      <c r="B117" s="4">
        <v>35289000000000</v>
      </c>
      <c r="C117" s="4">
        <v>32786500000000</v>
      </c>
      <c r="D117" s="4">
        <v>35268900000000</v>
      </c>
      <c r="E117" s="4">
        <v>36400100000000</v>
      </c>
      <c r="F117" s="4">
        <v>37429800000000</v>
      </c>
      <c r="G117" s="4">
        <v>38219500000000</v>
      </c>
      <c r="H117" s="4">
        <v>38522100000000</v>
      </c>
      <c r="I117" s="4">
        <v>38234000000000</v>
      </c>
      <c r="J117" s="4">
        <v>37758500000000</v>
      </c>
      <c r="K117" s="4">
        <v>37416800000000</v>
      </c>
      <c r="L117" s="4">
        <v>37004500000000</v>
      </c>
      <c r="M117" s="4">
        <v>36949200000000</v>
      </c>
      <c r="N117" s="4">
        <v>36914600000000</v>
      </c>
      <c r="O117" s="4">
        <v>36966600000000</v>
      </c>
      <c r="P117" s="4">
        <v>37146200000000</v>
      </c>
      <c r="Q117" s="4">
        <v>37552800000000</v>
      </c>
      <c r="R117" s="4">
        <v>38038000000000</v>
      </c>
      <c r="S117" s="4">
        <v>38496900000000</v>
      </c>
      <c r="T117" s="4">
        <v>39005400000000</v>
      </c>
      <c r="U117" s="4">
        <v>39551900000000</v>
      </c>
      <c r="V117" s="4">
        <v>40180500000000</v>
      </c>
      <c r="W117" s="4">
        <v>40805900000000</v>
      </c>
      <c r="X117" s="4">
        <v>41406700000000</v>
      </c>
      <c r="Y117" s="4">
        <v>42022100000000</v>
      </c>
      <c r="Z117" s="4">
        <v>42489300000000</v>
      </c>
      <c r="AA117" s="4">
        <v>42986000000000</v>
      </c>
      <c r="AB117" s="4">
        <v>43619700000000</v>
      </c>
      <c r="AC117" s="4">
        <v>43930700000000</v>
      </c>
      <c r="AD117" s="4">
        <v>44489400000000</v>
      </c>
      <c r="AE117" s="4">
        <v>45191900000000</v>
      </c>
      <c r="AF117" s="4">
        <v>45898800000000</v>
      </c>
    </row>
    <row r="118" spans="1:32" x14ac:dyDescent="0.25">
      <c r="A118" t="s">
        <v>187</v>
      </c>
      <c r="B118" s="4">
        <v>74341000000000</v>
      </c>
      <c r="C118" s="4">
        <v>65909600000000</v>
      </c>
      <c r="D118" s="4">
        <v>71286900000000</v>
      </c>
      <c r="E118" s="4">
        <v>74379600000000</v>
      </c>
      <c r="F118" s="4">
        <v>77119500000000</v>
      </c>
      <c r="G118" s="4">
        <v>78714700000000</v>
      </c>
      <c r="H118" s="4">
        <v>78754900000000</v>
      </c>
      <c r="I118" s="4">
        <v>77579000000000</v>
      </c>
      <c r="J118" s="4">
        <v>76348400000000</v>
      </c>
      <c r="K118" s="4">
        <v>75439600000000</v>
      </c>
      <c r="L118" s="4">
        <v>74472000000000</v>
      </c>
      <c r="M118" s="4">
        <v>74116700000000</v>
      </c>
      <c r="N118" s="4">
        <v>74060900000000</v>
      </c>
      <c r="O118" s="4">
        <v>74066500000000</v>
      </c>
      <c r="P118" s="4">
        <v>74574600000000</v>
      </c>
      <c r="Q118" s="4">
        <v>75434100000000</v>
      </c>
      <c r="R118" s="4">
        <v>76229700000000</v>
      </c>
      <c r="S118" s="4">
        <v>76752900000000</v>
      </c>
      <c r="T118" s="4">
        <v>77343700000000</v>
      </c>
      <c r="U118" s="4">
        <v>77963900000000</v>
      </c>
      <c r="V118" s="4">
        <v>78750500000000</v>
      </c>
      <c r="W118" s="4">
        <v>79610300000000</v>
      </c>
      <c r="X118" s="4">
        <v>80406500000000</v>
      </c>
      <c r="Y118" s="4">
        <v>81323000000000</v>
      </c>
      <c r="Z118" s="4">
        <v>81904200000000</v>
      </c>
      <c r="AA118" s="4">
        <v>82776200000000</v>
      </c>
      <c r="AB118" s="4">
        <v>83786400000000</v>
      </c>
      <c r="AC118" s="4">
        <v>84089400000000</v>
      </c>
      <c r="AD118" s="4">
        <v>85117500000000</v>
      </c>
      <c r="AE118" s="4">
        <v>86294000000000</v>
      </c>
      <c r="AF118" s="4">
        <v>87155100000000</v>
      </c>
    </row>
    <row r="119" spans="1:32" x14ac:dyDescent="0.25">
      <c r="A119" t="s">
        <v>188</v>
      </c>
      <c r="B119" s="4">
        <v>99952400000000</v>
      </c>
      <c r="C119" s="4">
        <v>92718300000000</v>
      </c>
      <c r="D119" s="4">
        <v>98526400000000</v>
      </c>
      <c r="E119" s="4">
        <v>103861000000000</v>
      </c>
      <c r="F119" s="4">
        <v>107883000000000</v>
      </c>
      <c r="G119" s="4">
        <v>110332000000000</v>
      </c>
      <c r="H119" s="4">
        <v>111930000000000</v>
      </c>
      <c r="I119" s="4">
        <v>111820000000000</v>
      </c>
      <c r="J119" s="4">
        <v>111286000000000</v>
      </c>
      <c r="K119" s="4">
        <v>109543000000000</v>
      </c>
      <c r="L119" s="4">
        <v>107249000000000</v>
      </c>
      <c r="M119" s="4">
        <v>106869000000000</v>
      </c>
      <c r="N119" s="4">
        <v>107381000000000</v>
      </c>
      <c r="O119" s="4">
        <v>108307000000000</v>
      </c>
      <c r="P119" s="4">
        <v>109872000000000</v>
      </c>
      <c r="Q119" s="4">
        <v>111531000000000</v>
      </c>
      <c r="R119" s="4">
        <v>113213000000000</v>
      </c>
      <c r="S119" s="4">
        <v>114737000000000</v>
      </c>
      <c r="T119" s="4">
        <v>116252000000000</v>
      </c>
      <c r="U119" s="4">
        <v>118089000000000</v>
      </c>
      <c r="V119" s="4">
        <v>119975000000000</v>
      </c>
      <c r="W119" s="4">
        <v>121863000000000</v>
      </c>
      <c r="X119" s="4">
        <v>123691000000000</v>
      </c>
      <c r="Y119" s="4">
        <v>125397000000000</v>
      </c>
      <c r="Z119" s="4">
        <v>126986000000000</v>
      </c>
      <c r="AA119" s="4">
        <v>128633000000000</v>
      </c>
      <c r="AB119" s="4">
        <v>130168000000000</v>
      </c>
      <c r="AC119" s="4">
        <v>131368000000000</v>
      </c>
      <c r="AD119" s="4">
        <v>132688000000000</v>
      </c>
      <c r="AE119" s="4">
        <v>134225000000000</v>
      </c>
      <c r="AF119" s="4">
        <v>135313000000000</v>
      </c>
    </row>
    <row r="120" spans="1:32" x14ac:dyDescent="0.25">
      <c r="A120" t="s">
        <v>189</v>
      </c>
      <c r="B120" s="4">
        <v>56584000000000</v>
      </c>
      <c r="C120" s="4">
        <v>52488700000000</v>
      </c>
      <c r="D120" s="4">
        <v>55776700000000</v>
      </c>
      <c r="E120" s="4">
        <v>58796400000000</v>
      </c>
      <c r="F120" s="4">
        <v>61073600000000</v>
      </c>
      <c r="G120" s="4">
        <v>62459800000000</v>
      </c>
      <c r="H120" s="4">
        <v>63364800000000</v>
      </c>
      <c r="I120" s="4">
        <v>63302300000000</v>
      </c>
      <c r="J120" s="4">
        <v>63000000000000</v>
      </c>
      <c r="K120" s="4">
        <v>62013100000000</v>
      </c>
      <c r="L120" s="4">
        <v>60714800000000</v>
      </c>
      <c r="M120" s="4">
        <v>60499400000000</v>
      </c>
      <c r="N120" s="4">
        <v>60789600000000</v>
      </c>
      <c r="O120" s="4">
        <v>61313400000000</v>
      </c>
      <c r="P120" s="4">
        <v>62199800000000</v>
      </c>
      <c r="Q120" s="4">
        <v>63139000000000</v>
      </c>
      <c r="R120" s="4">
        <v>64090800000000</v>
      </c>
      <c r="S120" s="4">
        <v>64953400000000</v>
      </c>
      <c r="T120" s="4">
        <v>65811400000000</v>
      </c>
      <c r="U120" s="4">
        <v>66851400000000</v>
      </c>
      <c r="V120" s="4">
        <v>67918900000000</v>
      </c>
      <c r="W120" s="4">
        <v>68987600000000</v>
      </c>
      <c r="X120" s="4">
        <v>70022600000000</v>
      </c>
      <c r="Y120" s="4">
        <v>70988200000000</v>
      </c>
      <c r="Z120" s="4">
        <v>71888100000000</v>
      </c>
      <c r="AA120" s="4">
        <v>72820100000000</v>
      </c>
      <c r="AB120" s="4">
        <v>73689500000000</v>
      </c>
      <c r="AC120" s="4">
        <v>74368400000000</v>
      </c>
      <c r="AD120" s="4">
        <v>75115700000000</v>
      </c>
      <c r="AE120" s="4">
        <v>75985800000000</v>
      </c>
      <c r="AF120" s="4">
        <v>76601800000000</v>
      </c>
    </row>
    <row r="121" spans="1:32" x14ac:dyDescent="0.25">
      <c r="A121" t="s">
        <v>190</v>
      </c>
      <c r="B121" s="4">
        <v>348791000000000</v>
      </c>
      <c r="C121" s="4">
        <v>314635000000000</v>
      </c>
      <c r="D121" s="4">
        <v>348219000000000</v>
      </c>
      <c r="E121" s="4">
        <v>377724000000000</v>
      </c>
      <c r="F121" s="4">
        <v>406861000000000</v>
      </c>
      <c r="G121" s="4">
        <v>424173000000000</v>
      </c>
      <c r="H121" s="4">
        <v>439126000000000</v>
      </c>
      <c r="I121" s="4">
        <v>440848000000000</v>
      </c>
      <c r="J121" s="4">
        <v>440988000000000</v>
      </c>
      <c r="K121" s="4">
        <v>441027000000000</v>
      </c>
      <c r="L121" s="4">
        <v>441450000000000</v>
      </c>
      <c r="M121" s="4">
        <v>443690000000000</v>
      </c>
      <c r="N121" s="4">
        <v>446883000000000</v>
      </c>
      <c r="O121" s="4">
        <v>450191000000000</v>
      </c>
      <c r="P121" s="4">
        <v>455669000000000</v>
      </c>
      <c r="Q121" s="4">
        <v>462021000000000</v>
      </c>
      <c r="R121" s="4">
        <v>468139000000000</v>
      </c>
      <c r="S121" s="4">
        <v>475806000000000</v>
      </c>
      <c r="T121" s="4">
        <v>484779000000000</v>
      </c>
      <c r="U121" s="4">
        <v>492643000000000</v>
      </c>
      <c r="V121" s="4">
        <v>503624000000000</v>
      </c>
      <c r="W121" s="4">
        <v>513056000000000</v>
      </c>
      <c r="X121" s="4">
        <v>523262000000000</v>
      </c>
      <c r="Y121" s="4">
        <v>535054000000000</v>
      </c>
      <c r="Z121" s="4">
        <v>546379000000000</v>
      </c>
      <c r="AA121" s="4">
        <v>557449000000000</v>
      </c>
      <c r="AB121" s="4">
        <v>567130000000000</v>
      </c>
      <c r="AC121" s="4">
        <v>575157000000000</v>
      </c>
      <c r="AD121" s="4">
        <v>585449000000000</v>
      </c>
      <c r="AE121" s="4">
        <v>597874000000000</v>
      </c>
      <c r="AF121" s="4">
        <v>607910000000000</v>
      </c>
    </row>
    <row r="122" spans="1:32" x14ac:dyDescent="0.25">
      <c r="A122" t="s">
        <v>191</v>
      </c>
      <c r="B122" s="4">
        <v>1066220000000000</v>
      </c>
      <c r="C122" s="4">
        <v>1268670000000000</v>
      </c>
      <c r="D122" s="4">
        <v>1251440000000000</v>
      </c>
      <c r="E122" s="4">
        <v>1234480000000000</v>
      </c>
      <c r="F122" s="4">
        <v>1285370000000000</v>
      </c>
      <c r="G122" s="4">
        <v>1374050000000000</v>
      </c>
      <c r="H122" s="4">
        <v>1407590000000000</v>
      </c>
      <c r="I122" s="4">
        <v>1449100000000000</v>
      </c>
      <c r="J122" s="4">
        <v>1482350000000000</v>
      </c>
      <c r="K122" s="4">
        <v>1542950000000000</v>
      </c>
      <c r="L122" s="4">
        <v>1597940000000000</v>
      </c>
      <c r="M122" s="4">
        <v>1630390000000000</v>
      </c>
      <c r="N122" s="4">
        <v>1666360000000000</v>
      </c>
      <c r="O122" s="4">
        <v>1696750000000000</v>
      </c>
      <c r="P122" s="4">
        <v>1727080000000000</v>
      </c>
      <c r="Q122" s="4">
        <v>1762180000000000</v>
      </c>
      <c r="R122" s="4">
        <v>1803740000000000</v>
      </c>
      <c r="S122" s="4">
        <v>1842090000000000</v>
      </c>
      <c r="T122" s="4">
        <v>1880980000000000</v>
      </c>
      <c r="U122" s="4">
        <v>1916670000000000</v>
      </c>
      <c r="V122" s="4">
        <v>1953520000000000</v>
      </c>
      <c r="W122" s="4">
        <v>1969640000000000</v>
      </c>
      <c r="X122" s="4">
        <v>1973740000000000</v>
      </c>
      <c r="Y122" s="4">
        <v>1980820000000000</v>
      </c>
      <c r="Z122" s="4">
        <v>1993790000000000</v>
      </c>
      <c r="AA122" s="4">
        <v>1998430000000000</v>
      </c>
      <c r="AB122" s="4">
        <v>2006490000000000</v>
      </c>
      <c r="AC122" s="4">
        <v>2015540000000000</v>
      </c>
      <c r="AD122" s="4">
        <v>2012600000000000</v>
      </c>
      <c r="AE122" s="4">
        <v>2009820000000000</v>
      </c>
      <c r="AF122" s="4">
        <v>2017160000000000</v>
      </c>
    </row>
    <row r="123" spans="1:32" x14ac:dyDescent="0.25">
      <c r="A123" t="s">
        <v>192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193</v>
      </c>
      <c r="B124" s="4">
        <v>12511200000000</v>
      </c>
      <c r="C124" s="4">
        <v>12291900000000</v>
      </c>
      <c r="D124" s="4">
        <v>12666600000000</v>
      </c>
      <c r="E124" s="4">
        <v>12747300000000</v>
      </c>
      <c r="F124" s="4">
        <v>12887500000000</v>
      </c>
      <c r="G124" s="4">
        <v>13113800000000</v>
      </c>
      <c r="H124" s="4">
        <v>13238100000000</v>
      </c>
      <c r="I124" s="4">
        <v>13244500000000</v>
      </c>
      <c r="J124" s="4">
        <v>13189500000000</v>
      </c>
      <c r="K124" s="4">
        <v>13202200000000</v>
      </c>
      <c r="L124" s="4">
        <v>13216500000000</v>
      </c>
      <c r="M124" s="4">
        <v>13253300000000</v>
      </c>
      <c r="N124" s="4">
        <v>13302900000000</v>
      </c>
      <c r="O124" s="4">
        <v>13409300000000</v>
      </c>
      <c r="P124" s="4">
        <v>13516800000000</v>
      </c>
      <c r="Q124" s="4">
        <v>13663500000000</v>
      </c>
      <c r="R124" s="4">
        <v>13792800000000</v>
      </c>
      <c r="S124" s="4">
        <v>13904200000000</v>
      </c>
      <c r="T124" s="4">
        <v>14031200000000</v>
      </c>
      <c r="U124" s="4">
        <v>14161700000000</v>
      </c>
      <c r="V124" s="4">
        <v>14340900000000</v>
      </c>
      <c r="W124" s="4">
        <v>14544500000000</v>
      </c>
      <c r="X124" s="4">
        <v>14720700000000</v>
      </c>
      <c r="Y124" s="4">
        <v>14910900000000</v>
      </c>
      <c r="Z124" s="4">
        <v>15111600000000</v>
      </c>
      <c r="AA124" s="4">
        <v>15325000000000</v>
      </c>
      <c r="AB124" s="4">
        <v>15570000000000</v>
      </c>
      <c r="AC124" s="4">
        <v>15771700000000</v>
      </c>
      <c r="AD124" s="4">
        <v>15993100000000</v>
      </c>
      <c r="AE124" s="4">
        <v>16245400000000</v>
      </c>
      <c r="AF124" s="4">
        <v>16509600000000</v>
      </c>
    </row>
    <row r="125" spans="1:32" x14ac:dyDescent="0.25">
      <c r="A125" t="s">
        <v>194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195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196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197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198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199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200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201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202</v>
      </c>
      <c r="B133" s="4">
        <v>904565000000000</v>
      </c>
      <c r="C133" s="4">
        <v>881153000000000</v>
      </c>
      <c r="D133" s="4">
        <v>871508000000000</v>
      </c>
      <c r="E133" s="4">
        <v>878198000000000</v>
      </c>
      <c r="F133" s="4">
        <v>886884000000000</v>
      </c>
      <c r="G133" s="4">
        <v>893562000000000</v>
      </c>
      <c r="H133" s="4">
        <v>898992000000000</v>
      </c>
      <c r="I133" s="4">
        <v>902946000000000</v>
      </c>
      <c r="J133" s="4">
        <v>906679000000000</v>
      </c>
      <c r="K133" s="4">
        <v>910017000000000</v>
      </c>
      <c r="L133" s="4">
        <v>920372000000000</v>
      </c>
      <c r="M133" s="4">
        <v>923769000000000</v>
      </c>
      <c r="N133" s="4">
        <v>928209000000000</v>
      </c>
      <c r="O133" s="4">
        <v>933588000000000</v>
      </c>
      <c r="P133" s="4">
        <v>938572000000000</v>
      </c>
      <c r="Q133" s="4">
        <v>943271000000000</v>
      </c>
      <c r="R133" s="4">
        <v>951571000000000</v>
      </c>
      <c r="S133" s="4">
        <v>957731000000000</v>
      </c>
      <c r="T133" s="4">
        <v>964316000000000</v>
      </c>
      <c r="U133" s="4">
        <v>971732000000000</v>
      </c>
      <c r="V133" s="4">
        <v>980276000000000</v>
      </c>
      <c r="W133" s="4">
        <v>988502000000000</v>
      </c>
      <c r="X133" s="4">
        <v>998032000000000</v>
      </c>
      <c r="Y133" s="4">
        <v>1007870000000000</v>
      </c>
      <c r="Z133" s="4">
        <v>1025590000000000</v>
      </c>
      <c r="AA133" s="4">
        <v>1034790000000000</v>
      </c>
      <c r="AB133" s="4">
        <v>1044300000000000</v>
      </c>
      <c r="AC133" s="4">
        <v>1054050000000000</v>
      </c>
      <c r="AD133" s="4">
        <v>1064280000000000</v>
      </c>
      <c r="AE133" s="4">
        <v>1074900000000000</v>
      </c>
      <c r="AF133" s="4">
        <v>1085780000000000</v>
      </c>
    </row>
    <row r="134" spans="1:32" x14ac:dyDescent="0.25">
      <c r="A134" t="s">
        <v>203</v>
      </c>
      <c r="B134">
        <v>0</v>
      </c>
      <c r="C134" s="4">
        <v>42889200000</v>
      </c>
      <c r="D134" s="4">
        <v>79165100000</v>
      </c>
      <c r="E134" s="4">
        <v>110614000000</v>
      </c>
      <c r="F134" s="4">
        <v>137690000000</v>
      </c>
      <c r="G134" s="4">
        <v>163286000000</v>
      </c>
      <c r="H134" s="4">
        <v>190214000000</v>
      </c>
      <c r="I134" s="4">
        <v>216787000000</v>
      </c>
      <c r="J134" s="4">
        <v>384041000000</v>
      </c>
      <c r="K134" s="4">
        <v>409582000000</v>
      </c>
      <c r="L134" s="4">
        <v>439474000000</v>
      </c>
      <c r="M134" s="4">
        <v>464675000000</v>
      </c>
      <c r="N134" s="4">
        <v>488227000000</v>
      </c>
      <c r="O134" s="4">
        <v>512327000000</v>
      </c>
      <c r="P134" s="4">
        <v>533890000000</v>
      </c>
      <c r="Q134" s="4">
        <v>550639000000</v>
      </c>
      <c r="R134" s="4">
        <v>567936000000</v>
      </c>
      <c r="S134" s="4">
        <v>557065000000</v>
      </c>
      <c r="T134" s="4">
        <v>554898000000</v>
      </c>
      <c r="U134" s="4">
        <v>552823000000</v>
      </c>
      <c r="V134" s="4">
        <v>553603000000</v>
      </c>
      <c r="W134" s="4">
        <v>554132000000</v>
      </c>
      <c r="X134" s="4">
        <v>555581000000</v>
      </c>
      <c r="Y134" s="4">
        <v>555090000000</v>
      </c>
      <c r="Z134" s="4">
        <v>556257000000</v>
      </c>
      <c r="AA134" s="4">
        <v>553077000000</v>
      </c>
      <c r="AB134" s="4">
        <v>550040000000</v>
      </c>
      <c r="AC134" s="4">
        <v>549071000000</v>
      </c>
      <c r="AD134" s="4">
        <v>549280000000</v>
      </c>
      <c r="AE134" s="4">
        <v>548152000000</v>
      </c>
      <c r="AF134" s="4">
        <v>543679000000</v>
      </c>
    </row>
    <row r="135" spans="1:32" x14ac:dyDescent="0.25">
      <c r="A135" t="s">
        <v>204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205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206</v>
      </c>
      <c r="B137">
        <v>0</v>
      </c>
      <c r="C137">
        <v>0</v>
      </c>
      <c r="D137">
        <v>14787000000</v>
      </c>
      <c r="E137">
        <v>30806300000</v>
      </c>
      <c r="F137">
        <v>46418400000</v>
      </c>
      <c r="G137">
        <v>61867800000</v>
      </c>
      <c r="H137">
        <v>77566200000</v>
      </c>
      <c r="I137">
        <v>93858100000</v>
      </c>
      <c r="J137">
        <v>136924000000</v>
      </c>
      <c r="K137">
        <v>291904000000</v>
      </c>
      <c r="L137">
        <v>451420000000</v>
      </c>
      <c r="M137">
        <v>610186000000</v>
      </c>
      <c r="N137">
        <v>768326000000</v>
      </c>
      <c r="O137">
        <v>929687000000</v>
      </c>
      <c r="P137">
        <v>1087870000000</v>
      </c>
      <c r="Q137">
        <v>1245780000000</v>
      </c>
      <c r="R137">
        <v>1399780000000</v>
      </c>
      <c r="S137">
        <v>1393080000000</v>
      </c>
      <c r="T137">
        <v>1392860000000</v>
      </c>
      <c r="U137">
        <v>1390730000000</v>
      </c>
      <c r="V137">
        <v>1394250000000</v>
      </c>
      <c r="W137">
        <v>1395780000000</v>
      </c>
      <c r="X137">
        <v>1398750000000</v>
      </c>
      <c r="Y137">
        <v>1398680000000</v>
      </c>
      <c r="Z137">
        <v>1410230000000</v>
      </c>
      <c r="AA137">
        <v>1409240000000</v>
      </c>
      <c r="AB137">
        <v>1413310000000</v>
      </c>
      <c r="AC137">
        <v>1415810000000</v>
      </c>
      <c r="AD137">
        <v>1419150000000</v>
      </c>
      <c r="AE137">
        <v>1421200000000</v>
      </c>
      <c r="AF137">
        <v>1421390000000</v>
      </c>
    </row>
    <row r="138" spans="1:32" x14ac:dyDescent="0.25">
      <c r="A138" t="s">
        <v>207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208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209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210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211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212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213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214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215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216</v>
      </c>
      <c r="B147">
        <v>0</v>
      </c>
      <c r="C147" s="4">
        <v>902663000000</v>
      </c>
      <c r="D147" s="4">
        <v>770313000000</v>
      </c>
      <c r="E147" s="4">
        <v>808003000000</v>
      </c>
      <c r="F147" s="4">
        <v>873149000000</v>
      </c>
      <c r="G147" s="4">
        <v>908573000000</v>
      </c>
      <c r="H147" s="4">
        <v>924424000000</v>
      </c>
      <c r="I147" s="4">
        <v>943215000000</v>
      </c>
      <c r="J147" s="4">
        <v>962028000000</v>
      </c>
      <c r="K147" s="4">
        <v>976240000000</v>
      </c>
      <c r="L147" s="4">
        <v>1003990000000</v>
      </c>
      <c r="M147" s="4">
        <v>1024910000000</v>
      </c>
      <c r="N147" s="4">
        <v>1042400000000</v>
      </c>
      <c r="O147" s="4">
        <v>1062180000000</v>
      </c>
      <c r="P147" s="4">
        <v>1074720000000</v>
      </c>
      <c r="Q147" s="4">
        <v>1088800000000</v>
      </c>
      <c r="R147" s="4">
        <v>1102200000000</v>
      </c>
      <c r="S147" s="4">
        <v>1079120000000</v>
      </c>
      <c r="T147" s="4">
        <v>1072940000000</v>
      </c>
      <c r="U147" s="4">
        <v>1058140000000</v>
      </c>
      <c r="V147" s="4">
        <v>1051940000000</v>
      </c>
      <c r="W147" s="4">
        <v>1043050000000</v>
      </c>
      <c r="X147" s="4">
        <v>1037800000000</v>
      </c>
      <c r="Y147" s="4">
        <v>1032860000000</v>
      </c>
      <c r="Z147" s="4">
        <v>1041010000000</v>
      </c>
      <c r="AA147" s="4">
        <v>1039060000000</v>
      </c>
      <c r="AB147" s="4">
        <v>1040040000000</v>
      </c>
      <c r="AC147" s="4">
        <v>1031020000000</v>
      </c>
      <c r="AD147" s="4">
        <v>1025990000000</v>
      </c>
      <c r="AE147" s="4">
        <v>1024190000000</v>
      </c>
      <c r="AF147" s="4">
        <v>1017170000000</v>
      </c>
    </row>
    <row r="148" spans="1:32" x14ac:dyDescent="0.25">
      <c r="A148" t="s">
        <v>217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218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219</v>
      </c>
      <c r="B150" s="4">
        <v>468208000000000</v>
      </c>
      <c r="C150" s="4">
        <v>494855000000000</v>
      </c>
      <c r="D150" s="4">
        <v>527828000000000</v>
      </c>
      <c r="E150" s="4">
        <v>538948000000000</v>
      </c>
      <c r="F150" s="4">
        <v>550614000000000</v>
      </c>
      <c r="G150" s="4">
        <v>560538000000000</v>
      </c>
      <c r="H150" s="4">
        <v>569677000000000</v>
      </c>
      <c r="I150" s="4">
        <v>578179000000000</v>
      </c>
      <c r="J150" s="4">
        <v>586438000000000</v>
      </c>
      <c r="K150" s="4">
        <v>593557000000000</v>
      </c>
      <c r="L150" s="4">
        <v>600671000000000</v>
      </c>
      <c r="M150" s="4">
        <v>607934000000000</v>
      </c>
      <c r="N150" s="4">
        <v>617359000000000</v>
      </c>
      <c r="O150" s="4">
        <v>624337000000000</v>
      </c>
      <c r="P150" s="4">
        <v>632603000000000</v>
      </c>
      <c r="Q150" s="4">
        <v>641192000000000</v>
      </c>
      <c r="R150" s="4">
        <v>649683000000000</v>
      </c>
      <c r="S150" s="4">
        <v>658543000000000</v>
      </c>
      <c r="T150" s="4">
        <v>667466000000000</v>
      </c>
      <c r="U150" s="4">
        <v>676568000000000</v>
      </c>
      <c r="V150" s="4">
        <v>685621000000000</v>
      </c>
      <c r="W150" s="4">
        <v>694501000000000</v>
      </c>
      <c r="X150" s="4">
        <v>703472000000000</v>
      </c>
      <c r="Y150" s="4">
        <v>712504000000000</v>
      </c>
      <c r="Z150" s="4">
        <v>721563000000000</v>
      </c>
      <c r="AA150" s="4">
        <v>730978000000000</v>
      </c>
      <c r="AB150" s="4">
        <v>740299000000000</v>
      </c>
      <c r="AC150" s="4">
        <v>749647000000000</v>
      </c>
      <c r="AD150" s="4">
        <v>759580000000000</v>
      </c>
      <c r="AE150" s="4">
        <v>769523000000000</v>
      </c>
      <c r="AF150" s="4">
        <v>779809000000000</v>
      </c>
    </row>
    <row r="151" spans="1:32" x14ac:dyDescent="0.25">
      <c r="A151" t="s">
        <v>220</v>
      </c>
      <c r="B151" s="4">
        <v>43390700000000</v>
      </c>
      <c r="C151" s="4">
        <v>42585500000000</v>
      </c>
      <c r="D151" s="4">
        <v>46280700000000</v>
      </c>
      <c r="E151" s="4">
        <v>48511100000000</v>
      </c>
      <c r="F151" s="4">
        <v>50280200000000</v>
      </c>
      <c r="G151" s="4">
        <v>51360900000000</v>
      </c>
      <c r="H151" s="4">
        <v>52513000000000</v>
      </c>
      <c r="I151" s="4">
        <v>53155800000000</v>
      </c>
      <c r="J151" s="4">
        <v>53885200000000</v>
      </c>
      <c r="K151" s="4">
        <v>54494400000000</v>
      </c>
      <c r="L151" s="4">
        <v>55116600000000</v>
      </c>
      <c r="M151" s="4">
        <v>55662100000000</v>
      </c>
      <c r="N151" s="4">
        <v>56273500000000</v>
      </c>
      <c r="O151" s="4">
        <v>56583700000000</v>
      </c>
      <c r="P151" s="4">
        <v>57026000000000</v>
      </c>
      <c r="Q151" s="4">
        <v>57514800000000</v>
      </c>
      <c r="R151" s="4">
        <v>57957600000000</v>
      </c>
      <c r="S151" s="4">
        <v>58400700000000</v>
      </c>
      <c r="T151" s="4">
        <v>58679000000000</v>
      </c>
      <c r="U151" s="4">
        <v>59129300000000</v>
      </c>
      <c r="V151" s="4">
        <v>59516800000000</v>
      </c>
      <c r="W151" s="4">
        <v>59948900000000</v>
      </c>
      <c r="X151" s="4">
        <v>60426600000000</v>
      </c>
      <c r="Y151" s="4">
        <v>61018300000000</v>
      </c>
      <c r="Z151" s="4">
        <v>61325000000000</v>
      </c>
      <c r="AA151" s="4">
        <v>61726500000000</v>
      </c>
      <c r="AB151" s="4">
        <v>61829100000000</v>
      </c>
      <c r="AC151" s="4">
        <v>62030600000000</v>
      </c>
      <c r="AD151" s="4">
        <v>62166200000000</v>
      </c>
      <c r="AE151" s="4">
        <v>62217800000000</v>
      </c>
      <c r="AF151" s="4">
        <v>62375200000000</v>
      </c>
    </row>
    <row r="152" spans="1:32" x14ac:dyDescent="0.25">
      <c r="A152" t="s">
        <v>221</v>
      </c>
      <c r="B152" s="4">
        <v>54156300000000</v>
      </c>
      <c r="C152" s="4">
        <v>53151300000000</v>
      </c>
      <c r="D152" s="4">
        <v>57763300000000</v>
      </c>
      <c r="E152" s="4">
        <v>60547100000000</v>
      </c>
      <c r="F152" s="4">
        <v>62755100000000</v>
      </c>
      <c r="G152" s="4">
        <v>64103900000000</v>
      </c>
      <c r="H152" s="4">
        <v>65541900000000</v>
      </c>
      <c r="I152" s="4">
        <v>66344200000000</v>
      </c>
      <c r="J152" s="4">
        <v>67254500000000</v>
      </c>
      <c r="K152" s="4">
        <v>68014900000000</v>
      </c>
      <c r="L152" s="4">
        <v>68791500000000</v>
      </c>
      <c r="M152" s="4">
        <v>69472300000000</v>
      </c>
      <c r="N152" s="4">
        <v>70235500000000</v>
      </c>
      <c r="O152" s="4">
        <v>70622600000000</v>
      </c>
      <c r="P152" s="4">
        <v>71174600000000</v>
      </c>
      <c r="Q152" s="4">
        <v>71784700000000</v>
      </c>
      <c r="R152" s="4">
        <v>72337400000000</v>
      </c>
      <c r="S152" s="4">
        <v>72890300000000</v>
      </c>
      <c r="T152" s="4">
        <v>73237800000000</v>
      </c>
      <c r="U152" s="4">
        <v>73799700000000</v>
      </c>
      <c r="V152" s="4">
        <v>74283500000000</v>
      </c>
      <c r="W152" s="4">
        <v>74822800000000</v>
      </c>
      <c r="X152" s="4">
        <v>75418900000000</v>
      </c>
      <c r="Y152" s="4">
        <v>76157400000000</v>
      </c>
      <c r="Z152" s="4">
        <v>76540200000000</v>
      </c>
      <c r="AA152" s="4">
        <v>77041300000000</v>
      </c>
      <c r="AB152" s="4">
        <v>77169400000000</v>
      </c>
      <c r="AC152" s="4">
        <v>77420900000000</v>
      </c>
      <c r="AD152" s="4">
        <v>77590100000000</v>
      </c>
      <c r="AE152" s="4">
        <v>77654600000000</v>
      </c>
      <c r="AF152" s="4">
        <v>77851000000000</v>
      </c>
    </row>
    <row r="153" spans="1:32" x14ac:dyDescent="0.25">
      <c r="A153" t="s">
        <v>222</v>
      </c>
      <c r="B153" s="4">
        <v>76577600000000</v>
      </c>
      <c r="C153" s="4">
        <v>75156500000000</v>
      </c>
      <c r="D153" s="4">
        <v>81677800000000</v>
      </c>
      <c r="E153" s="4">
        <v>85614200000000</v>
      </c>
      <c r="F153" s="4">
        <v>88736400000000</v>
      </c>
      <c r="G153" s="4">
        <v>90643600000000</v>
      </c>
      <c r="H153" s="4">
        <v>92676900000000</v>
      </c>
      <c r="I153" s="4">
        <v>93811400000000</v>
      </c>
      <c r="J153" s="4">
        <v>95098600000000</v>
      </c>
      <c r="K153" s="4">
        <v>96173800000000</v>
      </c>
      <c r="L153" s="4">
        <v>97271900000000</v>
      </c>
      <c r="M153" s="4">
        <v>98234500000000</v>
      </c>
      <c r="N153" s="4">
        <v>99313600000000</v>
      </c>
      <c r="O153" s="4">
        <v>99861000000000</v>
      </c>
      <c r="P153" s="4">
        <v>100642000000000</v>
      </c>
      <c r="Q153" s="4">
        <v>101504000000000</v>
      </c>
      <c r="R153" s="4">
        <v>102286000000000</v>
      </c>
      <c r="S153" s="4">
        <v>103068000000000</v>
      </c>
      <c r="T153" s="4">
        <v>103559000000000</v>
      </c>
      <c r="U153" s="4">
        <v>104354000000000</v>
      </c>
      <c r="V153" s="4">
        <v>105038000000000</v>
      </c>
      <c r="W153" s="4">
        <v>105800000000000</v>
      </c>
      <c r="X153" s="4">
        <v>106643000000000</v>
      </c>
      <c r="Y153" s="4">
        <v>107687000000000</v>
      </c>
      <c r="Z153" s="4">
        <v>108229000000000</v>
      </c>
      <c r="AA153" s="4">
        <v>108937000000000</v>
      </c>
      <c r="AB153" s="4">
        <v>109118000000000</v>
      </c>
      <c r="AC153" s="4">
        <v>109474000000000</v>
      </c>
      <c r="AD153" s="4">
        <v>109713000000000</v>
      </c>
      <c r="AE153" s="4">
        <v>109804000000000</v>
      </c>
      <c r="AF153" s="4">
        <v>110082000000000</v>
      </c>
    </row>
    <row r="154" spans="1:32" x14ac:dyDescent="0.25">
      <c r="A154" t="s">
        <v>223</v>
      </c>
      <c r="B154" s="4">
        <v>23148200000000</v>
      </c>
      <c r="C154" s="4">
        <v>34440800000000</v>
      </c>
      <c r="D154" s="4">
        <v>28974000000000</v>
      </c>
      <c r="E154" s="4">
        <v>24925700000000</v>
      </c>
      <c r="F154" s="4">
        <v>22820600000000</v>
      </c>
      <c r="G154" s="4">
        <v>22567600000000</v>
      </c>
      <c r="H154" s="4">
        <v>22151900000000</v>
      </c>
      <c r="I154" s="4">
        <v>22644700000000</v>
      </c>
      <c r="J154" s="4">
        <v>23278800000000</v>
      </c>
      <c r="K154" s="4">
        <v>23677500000000</v>
      </c>
      <c r="L154" s="4">
        <v>24267600000000</v>
      </c>
      <c r="M154" s="4">
        <v>24626200000000</v>
      </c>
      <c r="N154" s="4">
        <v>24822700000000</v>
      </c>
      <c r="O154" s="4">
        <v>24918100000000</v>
      </c>
      <c r="P154" s="4">
        <v>24950600000000</v>
      </c>
      <c r="Q154" s="4">
        <v>25141000000000</v>
      </c>
      <c r="R154" s="4">
        <v>25484300000000</v>
      </c>
      <c r="S154" s="4">
        <v>25426700000000</v>
      </c>
      <c r="T154" s="4">
        <v>25304500000000</v>
      </c>
      <c r="U154" s="4">
        <v>25440600000000</v>
      </c>
      <c r="V154" s="4">
        <v>25161700000000</v>
      </c>
      <c r="W154" s="4">
        <v>25223600000000</v>
      </c>
      <c r="X154" s="4">
        <v>25350500000000</v>
      </c>
      <c r="Y154" s="4">
        <v>25383100000000</v>
      </c>
      <c r="Z154" s="4">
        <v>25367100000000</v>
      </c>
      <c r="AA154" s="4">
        <v>25281200000000</v>
      </c>
      <c r="AB154" s="4">
        <v>25276200000000</v>
      </c>
      <c r="AC154" s="4">
        <v>25352800000000</v>
      </c>
      <c r="AD154" s="4">
        <v>25472100000000</v>
      </c>
      <c r="AE154" s="4">
        <v>25455500000000</v>
      </c>
      <c r="AF154" s="4">
        <v>25650300000000</v>
      </c>
    </row>
    <row r="155" spans="1:32" x14ac:dyDescent="0.25">
      <c r="A155" t="s">
        <v>224</v>
      </c>
      <c r="B155" s="4">
        <v>3736410000000</v>
      </c>
      <c r="C155" s="4">
        <v>4468250000000</v>
      </c>
      <c r="D155" s="4">
        <v>4090180000000</v>
      </c>
      <c r="E155" s="4">
        <v>4298190000000</v>
      </c>
      <c r="F155" s="4">
        <v>4341800000000</v>
      </c>
      <c r="G155" s="4">
        <v>4417630000000</v>
      </c>
      <c r="H155" s="4">
        <v>4414430000000</v>
      </c>
      <c r="I155" s="4">
        <v>4632880000000</v>
      </c>
      <c r="J155" s="4">
        <v>4882840000000</v>
      </c>
      <c r="K155" s="4">
        <v>5040030000000</v>
      </c>
      <c r="L155" s="4">
        <v>5220190000000</v>
      </c>
      <c r="M155" s="4">
        <v>5377530000000</v>
      </c>
      <c r="N155" s="4">
        <v>5472120000000</v>
      </c>
      <c r="O155" s="4">
        <v>5495040000000</v>
      </c>
      <c r="P155" s="4">
        <v>5490910000000</v>
      </c>
      <c r="Q155" s="4">
        <v>5538190000000</v>
      </c>
      <c r="R155" s="4">
        <v>5614190000000</v>
      </c>
      <c r="S155" s="4">
        <v>5593290000000</v>
      </c>
      <c r="T155" s="4">
        <v>5552010000000</v>
      </c>
      <c r="U155" s="4">
        <v>5581370000000</v>
      </c>
      <c r="V155" s="4">
        <v>5501510000000</v>
      </c>
      <c r="W155" s="4">
        <v>5525470000000</v>
      </c>
      <c r="X155" s="4">
        <v>5572040000000</v>
      </c>
      <c r="Y155" s="4">
        <v>5596940000000</v>
      </c>
      <c r="Z155" s="4">
        <v>5607160000000</v>
      </c>
      <c r="AA155" s="4">
        <v>5581220000000</v>
      </c>
      <c r="AB155" s="4">
        <v>5573440000000</v>
      </c>
      <c r="AC155" s="4">
        <v>5589130000000</v>
      </c>
      <c r="AD155" s="4">
        <v>5606710000000</v>
      </c>
      <c r="AE155" s="4">
        <v>5592230000000</v>
      </c>
      <c r="AF155" s="4">
        <v>5644020000000</v>
      </c>
    </row>
    <row r="156" spans="1:32" x14ac:dyDescent="0.25">
      <c r="A156" t="s">
        <v>225</v>
      </c>
      <c r="B156" s="4">
        <v>9477800000000</v>
      </c>
      <c r="C156" s="4">
        <v>9241670000000</v>
      </c>
      <c r="D156" s="4">
        <v>10113600000000</v>
      </c>
      <c r="E156" s="4">
        <v>10256300000000</v>
      </c>
      <c r="F156" s="4">
        <v>10562000000000</v>
      </c>
      <c r="G156" s="4">
        <v>11154600000000</v>
      </c>
      <c r="H156" s="4">
        <v>11393400000000</v>
      </c>
      <c r="I156" s="4">
        <v>11247300000000</v>
      </c>
      <c r="J156" s="4">
        <v>10942300000000</v>
      </c>
      <c r="K156" s="4">
        <v>10648600000000</v>
      </c>
      <c r="L156" s="4">
        <v>10399800000000</v>
      </c>
      <c r="M156" s="4">
        <v>10400400000000</v>
      </c>
      <c r="N156" s="4">
        <v>10573400000000</v>
      </c>
      <c r="O156" s="4">
        <v>10565300000000</v>
      </c>
      <c r="P156" s="4">
        <v>10409900000000</v>
      </c>
      <c r="Q156" s="4">
        <v>10579500000000</v>
      </c>
      <c r="R156" s="4">
        <v>10880600000000</v>
      </c>
      <c r="S156" s="4">
        <v>10956800000000</v>
      </c>
      <c r="T156" s="4">
        <v>11056700000000</v>
      </c>
      <c r="U156" s="4">
        <v>11255500000000</v>
      </c>
      <c r="V156" s="4">
        <v>11387400000000</v>
      </c>
      <c r="W156" s="4">
        <v>11738700000000</v>
      </c>
      <c r="X156" s="4">
        <v>11997800000000</v>
      </c>
      <c r="Y156" s="4">
        <v>12265000000000</v>
      </c>
      <c r="Z156" s="4">
        <v>12583800000000</v>
      </c>
      <c r="AA156" s="4">
        <v>12972300000000</v>
      </c>
      <c r="AB156" s="4">
        <v>13406800000000</v>
      </c>
      <c r="AC156" s="4">
        <v>13679000000000</v>
      </c>
      <c r="AD156" s="4">
        <v>13933900000000</v>
      </c>
      <c r="AE156" s="4">
        <v>14147500000000</v>
      </c>
      <c r="AF156" s="4">
        <v>14441300000000</v>
      </c>
    </row>
    <row r="157" spans="1:32" x14ac:dyDescent="0.25">
      <c r="A157" t="s">
        <v>226</v>
      </c>
      <c r="B157" s="4">
        <v>3056480000000</v>
      </c>
      <c r="C157" s="4">
        <v>3116190000000</v>
      </c>
      <c r="D157" s="4">
        <v>3256970000000</v>
      </c>
      <c r="E157" s="4">
        <v>3271150000000</v>
      </c>
      <c r="F157" s="4">
        <v>3335330000000</v>
      </c>
      <c r="G157" s="4">
        <v>3414350000000</v>
      </c>
      <c r="H157" s="4">
        <v>3451870000000</v>
      </c>
      <c r="I157" s="4">
        <v>3445580000000</v>
      </c>
      <c r="J157" s="4">
        <v>3441860000000</v>
      </c>
      <c r="K157" s="4">
        <v>3409750000000</v>
      </c>
      <c r="L157" s="4">
        <v>3380580000000</v>
      </c>
      <c r="M157" s="4">
        <v>3364960000000</v>
      </c>
      <c r="N157" s="4">
        <v>3342630000000</v>
      </c>
      <c r="O157" s="4">
        <v>3318230000000</v>
      </c>
      <c r="P157" s="4">
        <v>3300990000000</v>
      </c>
      <c r="Q157" s="4">
        <v>3299280000000</v>
      </c>
      <c r="R157" s="4">
        <v>3309790000000</v>
      </c>
      <c r="S157" s="4">
        <v>3295100000000</v>
      </c>
      <c r="T157" s="4">
        <v>3280820000000</v>
      </c>
      <c r="U157" s="4">
        <v>3291370000000</v>
      </c>
      <c r="V157" s="4">
        <v>3255490000000</v>
      </c>
      <c r="W157" s="4">
        <v>3234010000000</v>
      </c>
      <c r="X157" s="4">
        <v>3214400000000</v>
      </c>
      <c r="Y157" s="4">
        <v>3200310000000</v>
      </c>
      <c r="Z157" s="4">
        <v>3182690000000</v>
      </c>
      <c r="AA157" s="4">
        <v>3165170000000</v>
      </c>
      <c r="AB157" s="4">
        <v>3156680000000</v>
      </c>
      <c r="AC157" s="4">
        <v>3152590000000</v>
      </c>
      <c r="AD157" s="4">
        <v>3150580000000</v>
      </c>
      <c r="AE157" s="4">
        <v>3138110000000</v>
      </c>
      <c r="AF157" s="4">
        <v>3128170000000</v>
      </c>
    </row>
    <row r="158" spans="1:32" x14ac:dyDescent="0.25">
      <c r="A158" t="s">
        <v>227</v>
      </c>
      <c r="B158">
        <v>0</v>
      </c>
      <c r="C158" s="4">
        <v>216383000000</v>
      </c>
      <c r="D158" s="4">
        <v>299482000000</v>
      </c>
      <c r="E158" s="4">
        <v>415778000000</v>
      </c>
      <c r="F158" s="4">
        <v>543611000000</v>
      </c>
      <c r="G158" s="4">
        <v>679299000000</v>
      </c>
      <c r="H158" s="4">
        <v>811625000000</v>
      </c>
      <c r="I158" s="4">
        <v>911683000000</v>
      </c>
      <c r="J158" s="4">
        <v>927410000000</v>
      </c>
      <c r="K158" s="4">
        <v>1443590000000</v>
      </c>
      <c r="L158" s="4">
        <v>1970590000000</v>
      </c>
      <c r="M158" s="4">
        <v>2539170000000</v>
      </c>
      <c r="N158" s="4">
        <v>3095420000000</v>
      </c>
      <c r="O158" s="4">
        <v>3625550000000</v>
      </c>
      <c r="P158" s="4">
        <v>4135910000000</v>
      </c>
      <c r="Q158" s="4">
        <v>4630990000000</v>
      </c>
      <c r="R158" s="4">
        <v>5133500000000</v>
      </c>
      <c r="S158" s="4">
        <v>5065270000000</v>
      </c>
      <c r="T158" s="4">
        <v>5078480000000</v>
      </c>
      <c r="U158" s="4">
        <v>5091480000000</v>
      </c>
      <c r="V158" s="4">
        <v>5092940000000</v>
      </c>
      <c r="W158" s="4">
        <v>5152090000000</v>
      </c>
      <c r="X158" s="4">
        <v>5149010000000</v>
      </c>
      <c r="Y158" s="4">
        <v>5142910000000</v>
      </c>
      <c r="Z158" s="4">
        <v>5170060000000</v>
      </c>
      <c r="AA158" s="4">
        <v>5179030000000</v>
      </c>
      <c r="AB158" s="4">
        <v>5203060000000</v>
      </c>
      <c r="AC158" s="4">
        <v>5220570000000</v>
      </c>
      <c r="AD158" s="4">
        <v>5215480000000</v>
      </c>
      <c r="AE158" s="4">
        <v>5215380000000</v>
      </c>
      <c r="AF158" s="4">
        <v>5210870000000</v>
      </c>
    </row>
    <row r="159" spans="1:32" x14ac:dyDescent="0.25">
      <c r="A159" t="s">
        <v>228</v>
      </c>
      <c r="B159" s="4">
        <v>62344200000000</v>
      </c>
      <c r="C159" s="4">
        <v>69537900000000</v>
      </c>
      <c r="D159" s="4">
        <v>69281000000000</v>
      </c>
      <c r="E159" s="4">
        <v>73222100000000</v>
      </c>
      <c r="F159" s="4">
        <v>77597000000000</v>
      </c>
      <c r="G159" s="4">
        <v>81063400000000</v>
      </c>
      <c r="H159" s="4">
        <v>83543600000000</v>
      </c>
      <c r="I159" s="4">
        <v>87667700000000</v>
      </c>
      <c r="J159" s="4">
        <v>93088100000000</v>
      </c>
      <c r="K159" s="4">
        <v>96728800000000</v>
      </c>
      <c r="L159" s="4">
        <v>100795000000000</v>
      </c>
      <c r="M159" s="4">
        <v>104770000000000</v>
      </c>
      <c r="N159" s="4">
        <v>108175000000000</v>
      </c>
      <c r="O159" s="4">
        <v>110546000000000</v>
      </c>
      <c r="P159" s="4">
        <v>113731000000000</v>
      </c>
      <c r="Q159" s="4">
        <v>117257000000000</v>
      </c>
      <c r="R159" s="4">
        <v>120515000000000</v>
      </c>
      <c r="S159" s="4">
        <v>122870000000000</v>
      </c>
      <c r="T159" s="4">
        <v>124944000000000</v>
      </c>
      <c r="U159" s="4">
        <v>127682000000000</v>
      </c>
      <c r="V159" s="4">
        <v>128280000000000</v>
      </c>
      <c r="W159" s="4">
        <v>130246000000000</v>
      </c>
      <c r="X159" s="4">
        <v>132559000000000</v>
      </c>
      <c r="Y159" s="4">
        <v>135941000000000</v>
      </c>
      <c r="Z159" s="4">
        <v>138771000000000</v>
      </c>
      <c r="AA159" s="4">
        <v>141951000000000</v>
      </c>
      <c r="AB159" s="4">
        <v>144106000000000</v>
      </c>
      <c r="AC159" s="4">
        <v>146416000000000</v>
      </c>
      <c r="AD159" s="4">
        <v>148544000000000</v>
      </c>
      <c r="AE159" s="4">
        <v>151445000000000</v>
      </c>
      <c r="AF159" s="4">
        <v>155186000000000</v>
      </c>
    </row>
    <row r="160" spans="1:32" x14ac:dyDescent="0.25">
      <c r="A160" t="s">
        <v>229</v>
      </c>
      <c r="B160" s="4">
        <v>2824030000000</v>
      </c>
      <c r="C160" s="4">
        <v>5410500000000</v>
      </c>
      <c r="D160" s="4">
        <v>4195000000000</v>
      </c>
      <c r="E160" s="4">
        <v>2844330000000</v>
      </c>
      <c r="F160" s="4">
        <v>2215570000000</v>
      </c>
      <c r="G160" s="4">
        <v>2058710000000</v>
      </c>
      <c r="H160" s="4">
        <v>1918510000000</v>
      </c>
      <c r="I160" s="4">
        <v>1932630000000</v>
      </c>
      <c r="J160" s="4">
        <v>1957040000000</v>
      </c>
      <c r="K160" s="4">
        <v>1987210000000</v>
      </c>
      <c r="L160" s="4">
        <v>2001370000000</v>
      </c>
      <c r="M160" s="4">
        <v>2024060000000</v>
      </c>
      <c r="N160" s="4">
        <v>2033850000000</v>
      </c>
      <c r="O160" s="4">
        <v>2058300000000</v>
      </c>
      <c r="P160" s="4">
        <v>2069340000000</v>
      </c>
      <c r="Q160" s="4">
        <v>2099170000000</v>
      </c>
      <c r="R160" s="4">
        <v>2136380000000</v>
      </c>
      <c r="S160" s="4">
        <v>2138990000000</v>
      </c>
      <c r="T160" s="4">
        <v>2137970000000</v>
      </c>
      <c r="U160" s="4">
        <v>2168740000000</v>
      </c>
      <c r="V160" s="4">
        <v>2156570000000</v>
      </c>
      <c r="W160" s="4">
        <v>2179920000000</v>
      </c>
      <c r="X160" s="4">
        <v>2207710000000</v>
      </c>
      <c r="Y160" s="4">
        <v>2224450000000</v>
      </c>
      <c r="Z160" s="4">
        <v>2238380000000</v>
      </c>
      <c r="AA160" s="4">
        <v>2240750000000</v>
      </c>
      <c r="AB160" s="4">
        <v>2253900000000</v>
      </c>
      <c r="AC160" s="4">
        <v>2277950000000</v>
      </c>
      <c r="AD160" s="4">
        <v>2293430000000</v>
      </c>
      <c r="AE160" s="4">
        <v>2296560000000</v>
      </c>
      <c r="AF160" s="4">
        <v>2324580000000</v>
      </c>
    </row>
    <row r="161" spans="1:32" x14ac:dyDescent="0.25">
      <c r="A161" t="s">
        <v>230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231</v>
      </c>
      <c r="B162" s="4">
        <v>7710600000000</v>
      </c>
      <c r="C162" s="4">
        <v>7389490000000</v>
      </c>
      <c r="D162" s="4">
        <v>7200800000000</v>
      </c>
      <c r="E162" s="4">
        <v>8309780000000</v>
      </c>
      <c r="F162" s="4">
        <v>9334100000000</v>
      </c>
      <c r="G162" s="4">
        <v>9835280000000</v>
      </c>
      <c r="H162" s="4">
        <v>10254300000000</v>
      </c>
      <c r="I162" s="4">
        <v>10622900000000</v>
      </c>
      <c r="J162" s="4">
        <v>11042000000000</v>
      </c>
      <c r="K162" s="4">
        <v>11567200000000</v>
      </c>
      <c r="L162" s="4">
        <v>12125800000000</v>
      </c>
      <c r="M162" s="4">
        <v>12724300000000</v>
      </c>
      <c r="N162" s="4">
        <v>13271200000000</v>
      </c>
      <c r="O162" s="4">
        <v>13597500000000</v>
      </c>
      <c r="P162" s="4">
        <v>13635100000000</v>
      </c>
      <c r="Q162" s="4">
        <v>14342100000000</v>
      </c>
      <c r="R162" s="4">
        <v>14976600000000</v>
      </c>
      <c r="S162" s="4">
        <v>15066000000000</v>
      </c>
      <c r="T162" s="4">
        <v>15162100000000</v>
      </c>
      <c r="U162" s="4">
        <v>15224700000000</v>
      </c>
      <c r="V162" s="4">
        <v>15347000000000</v>
      </c>
      <c r="W162" s="4">
        <v>15494400000000</v>
      </c>
      <c r="X162" s="4">
        <v>15596000000000</v>
      </c>
      <c r="Y162" s="4">
        <v>15699300000000</v>
      </c>
      <c r="Z162" s="4">
        <v>15807200000000</v>
      </c>
      <c r="AA162" s="4">
        <v>15911500000000</v>
      </c>
      <c r="AB162" s="4">
        <v>16045400000000</v>
      </c>
      <c r="AC162" s="4">
        <v>16156300000000</v>
      </c>
      <c r="AD162" s="4">
        <v>16283300000000</v>
      </c>
      <c r="AE162" s="4">
        <v>16419800000000</v>
      </c>
      <c r="AF162" s="4">
        <v>16566900000000</v>
      </c>
    </row>
    <row r="163" spans="1:32" x14ac:dyDescent="0.25">
      <c r="A163" t="s">
        <v>232</v>
      </c>
      <c r="B163" s="4">
        <v>3910580000000</v>
      </c>
      <c r="C163" s="4">
        <v>3184090000000</v>
      </c>
      <c r="D163" s="4">
        <v>3376130000000</v>
      </c>
      <c r="E163" s="4">
        <v>3376280000000</v>
      </c>
      <c r="F163" s="4">
        <v>3461490000000</v>
      </c>
      <c r="G163" s="4">
        <v>3621920000000</v>
      </c>
      <c r="H163" s="4">
        <v>3661300000000</v>
      </c>
      <c r="I163" s="4">
        <v>3590230000000</v>
      </c>
      <c r="J163" s="4">
        <v>3500160000000</v>
      </c>
      <c r="K163" s="4">
        <v>3392380000000</v>
      </c>
      <c r="L163" s="4">
        <v>3295920000000</v>
      </c>
      <c r="M163" s="4">
        <v>3281800000000</v>
      </c>
      <c r="N163" s="4">
        <v>3282270000000</v>
      </c>
      <c r="O163" s="4">
        <v>3261130000000</v>
      </c>
      <c r="P163" s="4">
        <v>3236220000000</v>
      </c>
      <c r="Q163" s="4">
        <v>3235850000000</v>
      </c>
      <c r="R163" s="4">
        <v>3237790000000</v>
      </c>
      <c r="S163" s="4">
        <v>3215210000000</v>
      </c>
      <c r="T163" s="4">
        <v>3204140000000</v>
      </c>
      <c r="U163" s="4">
        <v>3221530000000</v>
      </c>
      <c r="V163" s="4">
        <v>3167220000000</v>
      </c>
      <c r="W163" s="4">
        <v>3145650000000</v>
      </c>
      <c r="X163" s="4">
        <v>3151300000000</v>
      </c>
      <c r="Y163" s="4">
        <v>3183740000000</v>
      </c>
      <c r="Z163" s="4">
        <v>3185720000000</v>
      </c>
      <c r="AA163" s="4">
        <v>3174990000000</v>
      </c>
      <c r="AB163" s="4">
        <v>3155290000000</v>
      </c>
      <c r="AC163" s="4">
        <v>3120080000000</v>
      </c>
      <c r="AD163" s="4">
        <v>3098920000000</v>
      </c>
      <c r="AE163" s="4">
        <v>3078190000000</v>
      </c>
      <c r="AF163" s="4">
        <v>3093250000000</v>
      </c>
    </row>
    <row r="164" spans="1:32" x14ac:dyDescent="0.25">
      <c r="A164" t="s">
        <v>233</v>
      </c>
      <c r="B164" s="4">
        <v>7122640000000</v>
      </c>
      <c r="C164" s="4">
        <v>7947750000000</v>
      </c>
      <c r="D164" s="4">
        <v>7386070000000</v>
      </c>
      <c r="E164" s="4">
        <v>8668930000000</v>
      </c>
      <c r="F164" s="4">
        <v>9947950000000</v>
      </c>
      <c r="G164" s="4">
        <v>10739900000000</v>
      </c>
      <c r="H164" s="4">
        <v>11468400000000</v>
      </c>
      <c r="I164" s="4">
        <v>12322800000000</v>
      </c>
      <c r="J164" s="4">
        <v>13206200000000</v>
      </c>
      <c r="K164" s="4">
        <v>13713600000000</v>
      </c>
      <c r="L164" s="4">
        <v>14271500000000</v>
      </c>
      <c r="M164" s="4">
        <v>14856900000000</v>
      </c>
      <c r="N164" s="4">
        <v>15361000000000</v>
      </c>
      <c r="O164" s="4">
        <v>15471800000000</v>
      </c>
      <c r="P164" s="4">
        <v>15586200000000</v>
      </c>
      <c r="Q164" s="4">
        <v>15775300000000</v>
      </c>
      <c r="R164" s="4">
        <v>15956800000000</v>
      </c>
      <c r="S164" s="4">
        <v>16058500000000</v>
      </c>
      <c r="T164" s="4">
        <v>16159400000000</v>
      </c>
      <c r="U164" s="4">
        <v>16329300000000</v>
      </c>
      <c r="V164" s="4">
        <v>16346400000000</v>
      </c>
      <c r="W164" s="4">
        <v>16465900000000</v>
      </c>
      <c r="X164" s="4">
        <v>16610800000000</v>
      </c>
      <c r="Y164" s="4">
        <v>16758900000000</v>
      </c>
      <c r="Z164" s="4">
        <v>16851800000000</v>
      </c>
      <c r="AA164" s="4">
        <v>16913700000000</v>
      </c>
      <c r="AB164" s="4">
        <v>16946600000000</v>
      </c>
      <c r="AC164" s="4">
        <v>16991700000000</v>
      </c>
      <c r="AD164" s="4">
        <v>17021100000000</v>
      </c>
      <c r="AE164" s="4">
        <v>17035600000000</v>
      </c>
      <c r="AF164" s="4">
        <v>17157700000000</v>
      </c>
    </row>
    <row r="165" spans="1:32" x14ac:dyDescent="0.25">
      <c r="A165" t="s">
        <v>234</v>
      </c>
      <c r="B165" s="4">
        <v>1962280000000</v>
      </c>
      <c r="C165" s="4">
        <v>2197180000000</v>
      </c>
      <c r="D165" s="4">
        <v>2222670000000</v>
      </c>
      <c r="E165" s="4">
        <v>2118800000000</v>
      </c>
      <c r="F165" s="4">
        <v>2093850000000</v>
      </c>
      <c r="G165" s="4">
        <v>2145100000000</v>
      </c>
      <c r="H165" s="4">
        <v>2153100000000</v>
      </c>
      <c r="I165" s="4">
        <v>2137850000000</v>
      </c>
      <c r="J165" s="4">
        <v>2118980000000</v>
      </c>
      <c r="K165" s="4">
        <v>2099220000000</v>
      </c>
      <c r="L165" s="4">
        <v>2072770000000</v>
      </c>
      <c r="M165" s="4">
        <v>2073700000000</v>
      </c>
      <c r="N165" s="4">
        <v>2072920000000</v>
      </c>
      <c r="O165" s="4">
        <v>2071540000000</v>
      </c>
      <c r="P165" s="4">
        <v>2076110000000</v>
      </c>
      <c r="Q165" s="4">
        <v>2094770000000</v>
      </c>
      <c r="R165" s="4">
        <v>2119910000000</v>
      </c>
      <c r="S165" s="4">
        <v>2122470000000</v>
      </c>
      <c r="T165" s="4">
        <v>2119410000000</v>
      </c>
      <c r="U165" s="4">
        <v>2137040000000</v>
      </c>
      <c r="V165" s="4">
        <v>2134760000000</v>
      </c>
      <c r="W165" s="4">
        <v>2154030000000</v>
      </c>
      <c r="X165" s="4">
        <v>2174360000000</v>
      </c>
      <c r="Y165" s="4">
        <v>2194640000000</v>
      </c>
      <c r="Z165" s="4">
        <v>2203200000000</v>
      </c>
      <c r="AA165" s="4">
        <v>2216040000000</v>
      </c>
      <c r="AB165" s="4">
        <v>2235180000000</v>
      </c>
      <c r="AC165" s="4">
        <v>2240770000000</v>
      </c>
      <c r="AD165" s="4">
        <v>2262510000000</v>
      </c>
      <c r="AE165" s="4">
        <v>2280580000000</v>
      </c>
      <c r="AF165" s="4">
        <v>2305800000000</v>
      </c>
    </row>
    <row r="166" spans="1:32" x14ac:dyDescent="0.25">
      <c r="A166" t="s">
        <v>235</v>
      </c>
      <c r="B166" s="4">
        <v>585351000000</v>
      </c>
      <c r="C166" s="4">
        <v>1108610000000</v>
      </c>
      <c r="D166" s="4">
        <v>849515000000</v>
      </c>
      <c r="E166" s="4">
        <v>575524000000</v>
      </c>
      <c r="F166" s="4">
        <v>439726000000</v>
      </c>
      <c r="G166" s="4">
        <v>405973000000</v>
      </c>
      <c r="H166" s="4">
        <v>373128000000</v>
      </c>
      <c r="I166" s="4">
        <v>371224000000</v>
      </c>
      <c r="J166" s="4">
        <v>373526000000</v>
      </c>
      <c r="K166" s="4">
        <v>376950000000</v>
      </c>
      <c r="L166" s="4">
        <v>380193000000</v>
      </c>
      <c r="M166" s="4">
        <v>384563000000</v>
      </c>
      <c r="N166" s="4">
        <v>384242000000</v>
      </c>
      <c r="O166" s="4">
        <v>387497000000</v>
      </c>
      <c r="P166" s="4">
        <v>388016000000</v>
      </c>
      <c r="Q166" s="4">
        <v>391603000000</v>
      </c>
      <c r="R166" s="4">
        <v>397033000000</v>
      </c>
      <c r="S166" s="4">
        <v>395720000000</v>
      </c>
      <c r="T166" s="4">
        <v>392327000000</v>
      </c>
      <c r="U166" s="4">
        <v>394402000000</v>
      </c>
      <c r="V166" s="4">
        <v>388522000000</v>
      </c>
      <c r="W166" s="4">
        <v>389748000000</v>
      </c>
      <c r="X166" s="4">
        <v>392071000000</v>
      </c>
      <c r="Y166" s="4">
        <v>392588000000</v>
      </c>
      <c r="Z166" s="4">
        <v>392219000000</v>
      </c>
      <c r="AA166" s="4">
        <v>391281000000</v>
      </c>
      <c r="AB166" s="4">
        <v>391999000000</v>
      </c>
      <c r="AC166" s="4">
        <v>394079000000</v>
      </c>
      <c r="AD166" s="4">
        <v>396616000000</v>
      </c>
      <c r="AE166" s="4">
        <v>396797000000</v>
      </c>
      <c r="AF166" s="4">
        <v>401218000000</v>
      </c>
    </row>
    <row r="167" spans="1:32" x14ac:dyDescent="0.25">
      <c r="A167" t="s">
        <v>236</v>
      </c>
      <c r="B167" s="4">
        <v>4635450000000</v>
      </c>
      <c r="C167" s="4">
        <v>4751940000000</v>
      </c>
      <c r="D167" s="4">
        <v>4490620000000</v>
      </c>
      <c r="E167" s="4">
        <v>5847640000000</v>
      </c>
      <c r="F167" s="4">
        <v>7322590000000</v>
      </c>
      <c r="G167" s="4">
        <v>8261730000000</v>
      </c>
      <c r="H167" s="4">
        <v>9159610000000</v>
      </c>
      <c r="I167" s="4">
        <v>9997160000000</v>
      </c>
      <c r="J167" s="4">
        <v>10795300000000</v>
      </c>
      <c r="K167" s="4">
        <v>11262200000000</v>
      </c>
      <c r="L167" s="4">
        <v>11761800000000</v>
      </c>
      <c r="M167" s="4">
        <v>12291900000000</v>
      </c>
      <c r="N167" s="4">
        <v>12829500000000</v>
      </c>
      <c r="O167" s="4">
        <v>12967000000000</v>
      </c>
      <c r="P167" s="4">
        <v>13126600000000</v>
      </c>
      <c r="Q167" s="4">
        <v>13376200000000</v>
      </c>
      <c r="R167" s="4">
        <v>13655000000000</v>
      </c>
      <c r="S167" s="4">
        <v>13889500000000</v>
      </c>
      <c r="T167" s="4">
        <v>14133700000000</v>
      </c>
      <c r="U167" s="4">
        <v>14397600000000</v>
      </c>
      <c r="V167" s="4">
        <v>14686700000000</v>
      </c>
      <c r="W167" s="4">
        <v>14997000000000</v>
      </c>
      <c r="X167" s="4">
        <v>15298700000000</v>
      </c>
      <c r="Y167" s="4">
        <v>15596700000000</v>
      </c>
      <c r="Z167" s="4">
        <v>15837500000000</v>
      </c>
      <c r="AA167" s="4">
        <v>16080500000000</v>
      </c>
      <c r="AB167" s="4">
        <v>16384100000000</v>
      </c>
      <c r="AC167" s="4">
        <v>16566700000000</v>
      </c>
      <c r="AD167" s="4">
        <v>16838200000000</v>
      </c>
      <c r="AE167" s="4">
        <v>17169400000000</v>
      </c>
      <c r="AF167" s="4">
        <v>17533200000000</v>
      </c>
    </row>
    <row r="168" spans="1:32" x14ac:dyDescent="0.25">
      <c r="A168" t="s">
        <v>237</v>
      </c>
      <c r="B168" s="4">
        <v>2804580000000</v>
      </c>
      <c r="C168" s="4">
        <v>3359650000000</v>
      </c>
      <c r="D168" s="4">
        <v>3269930000000</v>
      </c>
      <c r="E168" s="4">
        <v>3016640000000</v>
      </c>
      <c r="F168" s="4">
        <v>2927830000000</v>
      </c>
      <c r="G168" s="4">
        <v>2964180000000</v>
      </c>
      <c r="H168" s="4">
        <v>2949070000000</v>
      </c>
      <c r="I168" s="4">
        <v>2964160000000</v>
      </c>
      <c r="J168" s="4">
        <v>2983950000000</v>
      </c>
      <c r="K168" s="4">
        <v>3014070000000</v>
      </c>
      <c r="L168" s="4">
        <v>3033280000000</v>
      </c>
      <c r="M168" s="4">
        <v>3056890000000</v>
      </c>
      <c r="N168" s="4">
        <v>3075600000000</v>
      </c>
      <c r="O168" s="4">
        <v>3090660000000</v>
      </c>
      <c r="P168" s="4">
        <v>3112960000000</v>
      </c>
      <c r="Q168" s="4">
        <v>3160280000000</v>
      </c>
      <c r="R168" s="4">
        <v>3201980000000</v>
      </c>
      <c r="S168" s="4">
        <v>3221630000000</v>
      </c>
      <c r="T168" s="4">
        <v>3241620000000</v>
      </c>
      <c r="U168" s="4">
        <v>3270720000000</v>
      </c>
      <c r="V168" s="4">
        <v>3291120000000</v>
      </c>
      <c r="W168" s="4">
        <v>3328610000000</v>
      </c>
      <c r="X168" s="4">
        <v>3364810000000</v>
      </c>
      <c r="Y168" s="4">
        <v>3400880000000</v>
      </c>
      <c r="Z168" s="4">
        <v>3420930000000</v>
      </c>
      <c r="AA168" s="4">
        <v>3449020000000</v>
      </c>
      <c r="AB168" s="4">
        <v>3486830000000</v>
      </c>
      <c r="AC168" s="4">
        <v>3496770000000</v>
      </c>
      <c r="AD168" s="4">
        <v>3538510000000</v>
      </c>
      <c r="AE168" s="4">
        <v>3581460000000</v>
      </c>
      <c r="AF168" s="4">
        <v>3621450000000</v>
      </c>
    </row>
    <row r="169" spans="1:32" x14ac:dyDescent="0.25">
      <c r="A169" t="s">
        <v>238</v>
      </c>
      <c r="B169" s="4">
        <v>1469370000000</v>
      </c>
      <c r="C169" s="4">
        <v>1977990000000</v>
      </c>
      <c r="D169" s="4">
        <v>1767920000000</v>
      </c>
      <c r="E169" s="4">
        <v>1503060000000</v>
      </c>
      <c r="F169" s="4">
        <v>1375830000000</v>
      </c>
      <c r="G169" s="4">
        <v>1376410000000</v>
      </c>
      <c r="H169" s="4">
        <v>1371580000000</v>
      </c>
      <c r="I169" s="4">
        <v>1374700000000</v>
      </c>
      <c r="J169" s="4">
        <v>1371380000000</v>
      </c>
      <c r="K169" s="4">
        <v>1347770000000</v>
      </c>
      <c r="L169" s="4">
        <v>1318430000000</v>
      </c>
      <c r="M169" s="4">
        <v>1309190000000</v>
      </c>
      <c r="N169" s="4">
        <v>1301450000000</v>
      </c>
      <c r="O169" s="4">
        <v>1300610000000</v>
      </c>
      <c r="P169" s="4">
        <v>1301040000000</v>
      </c>
      <c r="Q169" s="4">
        <v>1308510000000</v>
      </c>
      <c r="R169" s="4">
        <v>1319680000000</v>
      </c>
      <c r="S169" s="4">
        <v>1312830000000</v>
      </c>
      <c r="T169" s="4">
        <v>1300860000000</v>
      </c>
      <c r="U169" s="4">
        <v>1309740000000</v>
      </c>
      <c r="V169" s="4">
        <v>1291130000000</v>
      </c>
      <c r="W169" s="4">
        <v>1289540000000</v>
      </c>
      <c r="X169" s="4">
        <v>1290610000000</v>
      </c>
      <c r="Y169" s="4">
        <v>1286080000000</v>
      </c>
      <c r="Z169" s="4">
        <v>1281840000000</v>
      </c>
      <c r="AA169" s="4">
        <v>1267880000000</v>
      </c>
      <c r="AB169" s="4">
        <v>1261350000000</v>
      </c>
      <c r="AC169" s="4">
        <v>1256330000000</v>
      </c>
      <c r="AD169" s="4">
        <v>1247540000000</v>
      </c>
      <c r="AE169" s="4">
        <v>1233540000000</v>
      </c>
      <c r="AF169" s="4">
        <v>1225180000000</v>
      </c>
    </row>
    <row r="170" spans="1:32" x14ac:dyDescent="0.25">
      <c r="A170" t="s">
        <v>239</v>
      </c>
      <c r="B170" s="4">
        <v>831826000000</v>
      </c>
      <c r="C170" s="4">
        <v>1119760000000</v>
      </c>
      <c r="D170" s="4">
        <v>1000830000000</v>
      </c>
      <c r="E170" s="4">
        <v>850894000000</v>
      </c>
      <c r="F170" s="4">
        <v>778869000000</v>
      </c>
      <c r="G170" s="4">
        <v>779196000000</v>
      </c>
      <c r="H170" s="4">
        <v>776461000000</v>
      </c>
      <c r="I170" s="4">
        <v>778228000000</v>
      </c>
      <c r="J170" s="4">
        <v>776353000000</v>
      </c>
      <c r="K170" s="4">
        <v>762984000000</v>
      </c>
      <c r="L170" s="4">
        <v>746377000000</v>
      </c>
      <c r="M170" s="4">
        <v>741146000000</v>
      </c>
      <c r="N170" s="4">
        <v>736761000000</v>
      </c>
      <c r="O170" s="4">
        <v>736290000000</v>
      </c>
      <c r="P170" s="4">
        <v>736530000000</v>
      </c>
      <c r="Q170" s="4">
        <v>740759000000</v>
      </c>
      <c r="R170" s="4">
        <v>747083000000</v>
      </c>
      <c r="S170" s="4">
        <v>743205000000</v>
      </c>
      <c r="T170" s="4">
        <v>736430000000</v>
      </c>
      <c r="U170" s="4">
        <v>741458000000</v>
      </c>
      <c r="V170" s="4">
        <v>730921000000</v>
      </c>
      <c r="W170" s="4">
        <v>730020000000</v>
      </c>
      <c r="X170" s="4">
        <v>730624000000</v>
      </c>
      <c r="Y170" s="4">
        <v>728064000000</v>
      </c>
      <c r="Z170" s="4">
        <v>725661000000</v>
      </c>
      <c r="AA170" s="4">
        <v>717759000000</v>
      </c>
      <c r="AB170" s="4">
        <v>714062000000</v>
      </c>
      <c r="AC170" s="4">
        <v>711218000000</v>
      </c>
      <c r="AD170" s="4">
        <v>706243000000</v>
      </c>
      <c r="AE170" s="4">
        <v>698316000000</v>
      </c>
      <c r="AF170" s="4">
        <v>693586000000</v>
      </c>
    </row>
    <row r="171" spans="1:32" x14ac:dyDescent="0.25">
      <c r="A171" t="s">
        <v>240</v>
      </c>
      <c r="B171" s="4">
        <v>11669300000000</v>
      </c>
      <c r="C171" s="4">
        <v>13954900000000</v>
      </c>
      <c r="D171" s="4">
        <v>12774100000000</v>
      </c>
      <c r="E171" s="4">
        <v>13423800000000</v>
      </c>
      <c r="F171" s="4">
        <v>13559900000000</v>
      </c>
      <c r="G171" s="4">
        <v>13796800000000</v>
      </c>
      <c r="H171" s="4">
        <v>13786800000000</v>
      </c>
      <c r="I171" s="4">
        <v>14469000000000</v>
      </c>
      <c r="J171" s="4">
        <v>15249700000000</v>
      </c>
      <c r="K171" s="4">
        <v>15740600000000</v>
      </c>
      <c r="L171" s="4">
        <v>16303300000000</v>
      </c>
      <c r="M171" s="4">
        <v>16794700000000</v>
      </c>
      <c r="N171" s="4">
        <v>17090100000000</v>
      </c>
      <c r="O171" s="4">
        <v>17161700000000</v>
      </c>
      <c r="P171" s="4">
        <v>17148800000000</v>
      </c>
      <c r="Q171" s="4">
        <v>17296400000000</v>
      </c>
      <c r="R171" s="4">
        <v>17533800000000</v>
      </c>
      <c r="S171" s="4">
        <v>17468500000000</v>
      </c>
      <c r="T171" s="4">
        <v>17339600000000</v>
      </c>
      <c r="U171" s="4">
        <v>17431300000000</v>
      </c>
      <c r="V171" s="4">
        <v>17181900000000</v>
      </c>
      <c r="W171" s="4">
        <v>17256700000000</v>
      </c>
      <c r="X171" s="4">
        <v>17402100000000</v>
      </c>
      <c r="Y171" s="4">
        <v>17479900000000</v>
      </c>
      <c r="Z171" s="4">
        <v>17511800000000</v>
      </c>
      <c r="AA171" s="4">
        <v>17430800000000</v>
      </c>
      <c r="AB171" s="4">
        <v>17406500000000</v>
      </c>
      <c r="AC171" s="4">
        <v>17455500000000</v>
      </c>
      <c r="AD171" s="4">
        <v>17510400000000</v>
      </c>
      <c r="AE171" s="4">
        <v>17465200000000</v>
      </c>
      <c r="AF171" s="4">
        <v>17626900000000</v>
      </c>
    </row>
    <row r="172" spans="1:32" x14ac:dyDescent="0.25">
      <c r="A172" t="s">
        <v>241</v>
      </c>
      <c r="B172">
        <v>0</v>
      </c>
      <c r="C172" s="4">
        <v>2332940000000</v>
      </c>
      <c r="D172" s="4">
        <v>2119100000000</v>
      </c>
      <c r="E172" s="4">
        <v>2245870000000</v>
      </c>
      <c r="F172" s="4">
        <v>2467250000000</v>
      </c>
      <c r="G172" s="4">
        <v>2608900000000</v>
      </c>
      <c r="H172" s="4">
        <v>2680150000000</v>
      </c>
      <c r="I172" s="4">
        <v>2749530000000</v>
      </c>
      <c r="J172" s="4">
        <v>2817090000000</v>
      </c>
      <c r="K172" s="4">
        <v>2873930000000</v>
      </c>
      <c r="L172" s="4">
        <v>2951700000000</v>
      </c>
      <c r="M172" s="4">
        <v>3036940000000</v>
      </c>
      <c r="N172" s="4">
        <v>3112550000000</v>
      </c>
      <c r="O172" s="4">
        <v>3185440000000</v>
      </c>
      <c r="P172" s="4">
        <v>3241570000000</v>
      </c>
      <c r="Q172" s="4">
        <v>3315930000000</v>
      </c>
      <c r="R172" s="4">
        <v>3369790000000</v>
      </c>
      <c r="S172" s="4">
        <v>3316290000000</v>
      </c>
      <c r="T172" s="4">
        <v>3316700000000</v>
      </c>
      <c r="U172" s="4">
        <v>3288500000000</v>
      </c>
      <c r="V172" s="4">
        <v>3280720000000</v>
      </c>
      <c r="W172" s="4">
        <v>3274230000000</v>
      </c>
      <c r="X172" s="4">
        <v>3269820000000</v>
      </c>
      <c r="Y172" s="4">
        <v>3269750000000</v>
      </c>
      <c r="Z172" s="4">
        <v>3284170000000</v>
      </c>
      <c r="AA172" s="4">
        <v>3295960000000</v>
      </c>
      <c r="AB172" s="4">
        <v>3320030000000</v>
      </c>
      <c r="AC172" s="4">
        <v>3307190000000</v>
      </c>
      <c r="AD172" s="4">
        <v>3309420000000</v>
      </c>
      <c r="AE172" s="4">
        <v>3324080000000</v>
      </c>
      <c r="AF172" s="4">
        <v>3323920000000</v>
      </c>
    </row>
    <row r="173" spans="1:32" x14ac:dyDescent="0.25">
      <c r="A173" t="s">
        <v>242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243</v>
      </c>
      <c r="B174" s="4">
        <v>1466640000000000</v>
      </c>
      <c r="C174" s="4">
        <v>1438290000000000</v>
      </c>
      <c r="D174" s="4">
        <v>1519640000000000</v>
      </c>
      <c r="E174" s="4">
        <v>1540820000000000</v>
      </c>
      <c r="F174" s="4">
        <v>1581540000000000</v>
      </c>
      <c r="G174" s="4">
        <v>1620510000000000</v>
      </c>
      <c r="H174" s="4">
        <v>1643140000000000</v>
      </c>
      <c r="I174" s="4">
        <v>1650450000000000</v>
      </c>
      <c r="J174" s="4">
        <v>1653930000000000</v>
      </c>
      <c r="K174" s="4">
        <v>1662590000000000</v>
      </c>
      <c r="L174" s="4">
        <v>1673280000000000</v>
      </c>
      <c r="M174" s="4">
        <v>1688500000000000</v>
      </c>
      <c r="N174" s="4">
        <v>1705230000000000</v>
      </c>
      <c r="O174" s="4">
        <v>1722150000000000</v>
      </c>
      <c r="P174" s="4">
        <v>1739930000000000</v>
      </c>
      <c r="Q174" s="4">
        <v>1765940000000000</v>
      </c>
      <c r="R174" s="4">
        <v>1786790000000000</v>
      </c>
      <c r="S174" s="4">
        <v>1807510000000000</v>
      </c>
      <c r="T174" s="4">
        <v>1832840000000000</v>
      </c>
      <c r="U174" s="4">
        <v>1857180000000000</v>
      </c>
      <c r="V174" s="4">
        <v>1883440000000000</v>
      </c>
      <c r="W174" s="4">
        <v>1915500000000000</v>
      </c>
      <c r="X174" s="4">
        <v>1942650000000000</v>
      </c>
      <c r="Y174" s="4">
        <v>1973010000000000</v>
      </c>
      <c r="Z174" s="4">
        <v>2003920000000000</v>
      </c>
      <c r="AA174" s="4">
        <v>2036040000000000</v>
      </c>
      <c r="AB174" s="4">
        <v>2074480000000000</v>
      </c>
      <c r="AC174" s="4">
        <v>2108710000000000</v>
      </c>
      <c r="AD174" s="4">
        <v>2147100000000000</v>
      </c>
      <c r="AE174" s="4">
        <v>2189180000000000</v>
      </c>
      <c r="AF174" s="4">
        <v>2232640000000000</v>
      </c>
    </row>
    <row r="175" spans="1:32" x14ac:dyDescent="0.25">
      <c r="A175" t="s">
        <v>244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245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246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t="s">
        <v>247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248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t="s">
        <v>249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250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251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t="s">
        <v>252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253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t="s">
        <v>254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t="s">
        <v>255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 t="s">
        <v>256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 t="s">
        <v>257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 t="s">
        <v>258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25">
      <c r="A190" t="s">
        <v>259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25">
      <c r="A191" t="s">
        <v>260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 t="s">
        <v>261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25">
      <c r="A193" t="s">
        <v>262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25">
      <c r="A194" t="s">
        <v>263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25">
      <c r="A195" t="s">
        <v>264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25">
      <c r="A196" t="s">
        <v>265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5">
      <c r="A197" t="s">
        <v>266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25">
      <c r="A198" t="s">
        <v>267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25">
      <c r="A199" t="s">
        <v>268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25">
      <c r="A200" t="s">
        <v>269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25">
      <c r="A201" t="s">
        <v>270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25">
      <c r="A202" t="s">
        <v>271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25">
      <c r="A203" t="s">
        <v>272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5">
      <c r="A204" t="s">
        <v>273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25">
      <c r="A205" t="s">
        <v>274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25">
      <c r="A206" t="s">
        <v>275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5">
      <c r="A207" t="s">
        <v>276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25">
      <c r="A208" t="s">
        <v>277</v>
      </c>
      <c r="B208" s="4">
        <v>3.20722E+16</v>
      </c>
      <c r="C208" s="4">
        <v>3.63039E+16</v>
      </c>
      <c r="D208" s="4">
        <v>3.75977E+16</v>
      </c>
      <c r="E208" s="4">
        <v>3.80689E+16</v>
      </c>
      <c r="F208" s="4">
        <v>3.82856E+16</v>
      </c>
      <c r="G208" s="4">
        <v>3.82639E+16</v>
      </c>
      <c r="H208" s="4">
        <v>3.82014E+16</v>
      </c>
      <c r="I208" s="4">
        <v>3.80918E+16</v>
      </c>
      <c r="J208" s="4">
        <v>3.78831E+16</v>
      </c>
      <c r="K208" s="4">
        <v>3.79433E+16</v>
      </c>
      <c r="L208" s="4">
        <v>3.79112E+16</v>
      </c>
      <c r="M208" s="4">
        <v>3.75468E+16</v>
      </c>
      <c r="N208" s="4">
        <v>3.74773E+16</v>
      </c>
      <c r="O208" s="4">
        <v>3.73634E+16</v>
      </c>
      <c r="P208" s="4">
        <v>3.73458E+16</v>
      </c>
      <c r="Q208" s="4">
        <v>3.72402E+16</v>
      </c>
      <c r="R208" s="4">
        <v>3.72525E+16</v>
      </c>
      <c r="S208" s="4">
        <v>3.72966E+16</v>
      </c>
      <c r="T208" s="4">
        <v>3.72627E+16</v>
      </c>
      <c r="U208" s="4">
        <v>3.73536E+16</v>
      </c>
      <c r="V208" s="4">
        <v>3.71561E+16</v>
      </c>
      <c r="W208" s="4">
        <v>3.71883E+16</v>
      </c>
      <c r="X208" s="4">
        <v>3.71691E+16</v>
      </c>
      <c r="Y208" s="4">
        <v>3.70163E+16</v>
      </c>
      <c r="Z208" s="4">
        <v>3.70072E+16</v>
      </c>
      <c r="AA208" s="4">
        <v>3.68673E+16</v>
      </c>
      <c r="AB208" s="4">
        <v>3.67317E+16</v>
      </c>
      <c r="AC208" s="4">
        <v>3.68764E+16</v>
      </c>
      <c r="AD208" s="4">
        <v>3.6681E+16</v>
      </c>
      <c r="AE208" s="4">
        <v>3.66564E+16</v>
      </c>
      <c r="AF208" s="4">
        <v>3.67651E+16</v>
      </c>
    </row>
    <row r="209" spans="1:32" x14ac:dyDescent="0.25">
      <c r="A209" t="s">
        <v>278</v>
      </c>
      <c r="B209">
        <v>0</v>
      </c>
      <c r="C209" s="4">
        <v>96551800000</v>
      </c>
      <c r="D209" s="4">
        <v>177357000000</v>
      </c>
      <c r="E209" s="4">
        <v>243830000000</v>
      </c>
      <c r="F209" s="4">
        <v>300155000000</v>
      </c>
      <c r="G209" s="4">
        <v>355189000000</v>
      </c>
      <c r="H209" s="4">
        <v>414774000000</v>
      </c>
      <c r="I209" s="4">
        <v>469473000000</v>
      </c>
      <c r="J209" s="4">
        <v>831153000000</v>
      </c>
      <c r="K209" s="4">
        <v>889335000000</v>
      </c>
      <c r="L209" s="4">
        <v>941761000000</v>
      </c>
      <c r="M209" s="4">
        <v>987208000000</v>
      </c>
      <c r="N209" s="4">
        <v>1036080000000</v>
      </c>
      <c r="O209" s="4">
        <v>1079530000000</v>
      </c>
      <c r="P209" s="4">
        <v>1129800000000</v>
      </c>
      <c r="Q209" s="4">
        <v>1158500000000</v>
      </c>
      <c r="R209" s="4">
        <v>1193640000000</v>
      </c>
      <c r="S209" s="4">
        <v>1176570000000</v>
      </c>
      <c r="T209" s="4">
        <v>1162830000000</v>
      </c>
      <c r="U209" s="4">
        <v>1158300000000</v>
      </c>
      <c r="V209" s="4">
        <v>1144890000000</v>
      </c>
      <c r="W209" s="4">
        <v>1139080000000</v>
      </c>
      <c r="X209" s="4">
        <v>1125430000000</v>
      </c>
      <c r="Y209" s="4">
        <v>1101000000000</v>
      </c>
      <c r="Z209" s="4">
        <v>1081860000000</v>
      </c>
      <c r="AA209" s="4">
        <v>1067010000000</v>
      </c>
      <c r="AB209" s="4">
        <v>1043450000000</v>
      </c>
      <c r="AC209" s="4">
        <v>1036150000000</v>
      </c>
      <c r="AD209" s="4">
        <v>1025190000000</v>
      </c>
      <c r="AE209" s="4">
        <v>1012020000000</v>
      </c>
      <c r="AF209" s="4">
        <v>1004050000000</v>
      </c>
    </row>
    <row r="210" spans="1:32" x14ac:dyDescent="0.25">
      <c r="A210" t="s">
        <v>279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25">
      <c r="A211" t="s">
        <v>280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25">
      <c r="A212" t="s">
        <v>281</v>
      </c>
      <c r="B212">
        <v>0</v>
      </c>
      <c r="C212">
        <v>0</v>
      </c>
      <c r="D212">
        <v>33128000000</v>
      </c>
      <c r="E212">
        <v>67907100000</v>
      </c>
      <c r="F212">
        <v>101189000000</v>
      </c>
      <c r="G212">
        <v>134579000000</v>
      </c>
      <c r="H212">
        <v>169138000000</v>
      </c>
      <c r="I212">
        <v>203259000000</v>
      </c>
      <c r="J212">
        <v>296335000000</v>
      </c>
      <c r="K212">
        <v>633817000000</v>
      </c>
      <c r="L212">
        <v>967359000000</v>
      </c>
      <c r="M212">
        <v>1296350000000</v>
      </c>
      <c r="N212">
        <v>1630490000000</v>
      </c>
      <c r="O212">
        <v>1958950000000</v>
      </c>
      <c r="P212">
        <v>2302100000000</v>
      </c>
      <c r="Q212">
        <v>2621020000000</v>
      </c>
      <c r="R212">
        <v>2941950000000</v>
      </c>
      <c r="S212">
        <v>2942320000000</v>
      </c>
      <c r="T212">
        <v>2918830000000</v>
      </c>
      <c r="U212">
        <v>2913920000000</v>
      </c>
      <c r="V212">
        <v>2883410000000</v>
      </c>
      <c r="W212">
        <v>2869180000000</v>
      </c>
      <c r="X212">
        <v>2833420000000</v>
      </c>
      <c r="Y212">
        <v>2774240000000</v>
      </c>
      <c r="Z212">
        <v>2742750000000</v>
      </c>
      <c r="AA212">
        <v>2718730000000</v>
      </c>
      <c r="AB212">
        <v>2681110000000</v>
      </c>
      <c r="AC212">
        <v>2671770000000</v>
      </c>
      <c r="AD212">
        <v>2648730000000</v>
      </c>
      <c r="AE212">
        <v>2623880000000</v>
      </c>
      <c r="AF212">
        <v>2624980000000</v>
      </c>
    </row>
    <row r="213" spans="1:32" x14ac:dyDescent="0.25">
      <c r="A213" t="s">
        <v>282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25">
      <c r="A214" t="s">
        <v>283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25">
      <c r="A215" t="s">
        <v>284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5">
      <c r="A216" t="s">
        <v>285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5">
      <c r="A217" t="s">
        <v>286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25">
      <c r="A218" t="s">
        <v>287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25">
      <c r="A219" t="s">
        <v>288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25">
      <c r="A220" t="s">
        <v>289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25">
      <c r="A221" t="s">
        <v>290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5">
      <c r="A222" t="s">
        <v>291</v>
      </c>
      <c r="B222">
        <v>0</v>
      </c>
      <c r="C222" s="4">
        <v>2032070000000</v>
      </c>
      <c r="D222" s="4">
        <v>1725770000000</v>
      </c>
      <c r="E222" s="4">
        <v>1781100000000</v>
      </c>
      <c r="F222" s="4">
        <v>1903400000000</v>
      </c>
      <c r="G222" s="4">
        <v>1976380000000</v>
      </c>
      <c r="H222" s="4">
        <v>2015770000000</v>
      </c>
      <c r="I222" s="4">
        <v>2042630000000</v>
      </c>
      <c r="J222" s="4">
        <v>2082050000000</v>
      </c>
      <c r="K222" s="4">
        <v>2119730000000</v>
      </c>
      <c r="L222" s="4">
        <v>2151480000000</v>
      </c>
      <c r="M222" s="4">
        <v>2177440000000</v>
      </c>
      <c r="N222" s="4">
        <v>2212110000000</v>
      </c>
      <c r="O222" s="4">
        <v>2238120000000</v>
      </c>
      <c r="P222" s="4">
        <v>2274290000000</v>
      </c>
      <c r="Q222" s="4">
        <v>2290750000000</v>
      </c>
      <c r="R222" s="4">
        <v>2316520000000</v>
      </c>
      <c r="S222" s="4">
        <v>2279190000000</v>
      </c>
      <c r="T222" s="4">
        <v>2248430000000</v>
      </c>
      <c r="U222" s="4">
        <v>2217070000000</v>
      </c>
      <c r="V222" s="4">
        <v>2175480000000</v>
      </c>
      <c r="W222" s="4">
        <v>2144100000000</v>
      </c>
      <c r="X222" s="4">
        <v>2102260000000</v>
      </c>
      <c r="Y222" s="4">
        <v>2048630000000</v>
      </c>
      <c r="Z222" s="4">
        <v>2024650000000</v>
      </c>
      <c r="AA222" s="4">
        <v>2004570000000</v>
      </c>
      <c r="AB222" s="4">
        <v>1972990000000</v>
      </c>
      <c r="AC222" s="4">
        <v>1945640000000</v>
      </c>
      <c r="AD222" s="4">
        <v>1914920000000</v>
      </c>
      <c r="AE222" s="4">
        <v>1890910000000</v>
      </c>
      <c r="AF222" s="4">
        <v>1878480000000</v>
      </c>
    </row>
    <row r="223" spans="1:32" x14ac:dyDescent="0.25">
      <c r="A223" t="s">
        <v>292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25">
      <c r="A224" t="s">
        <v>293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25">
      <c r="A225" t="s">
        <v>294</v>
      </c>
      <c r="B225" s="4">
        <v>58337400000000</v>
      </c>
      <c r="C225" s="4">
        <v>61717000000000</v>
      </c>
      <c r="D225" s="4">
        <v>43634100000000</v>
      </c>
      <c r="E225" s="4">
        <v>46940900000000</v>
      </c>
      <c r="F225" s="4">
        <v>50364700000000</v>
      </c>
      <c r="G225" s="4">
        <v>52509500000000</v>
      </c>
      <c r="H225" s="4">
        <v>54607200000000</v>
      </c>
      <c r="I225" s="4">
        <v>56666000000000</v>
      </c>
      <c r="J225" s="4">
        <v>58725000000000</v>
      </c>
      <c r="K225" s="4">
        <v>60086900000000</v>
      </c>
      <c r="L225" s="4">
        <v>61462900000000</v>
      </c>
      <c r="M225" s="4">
        <v>62853600000000</v>
      </c>
      <c r="N225" s="4">
        <v>64348900000000</v>
      </c>
      <c r="O225" s="4">
        <v>65157600000000</v>
      </c>
      <c r="P225" s="4">
        <v>66071700000000</v>
      </c>
      <c r="Q225" s="4">
        <v>67014400000000</v>
      </c>
      <c r="R225" s="4">
        <v>67947200000000</v>
      </c>
      <c r="S225" s="4">
        <v>68859200000000</v>
      </c>
      <c r="T225" s="4">
        <v>69777000000000</v>
      </c>
      <c r="U225" s="4">
        <v>70724600000000</v>
      </c>
      <c r="V225" s="4">
        <v>71681000000000</v>
      </c>
      <c r="W225" s="4">
        <v>72653000000000</v>
      </c>
      <c r="X225" s="4">
        <v>73631900000000</v>
      </c>
      <c r="Y225" s="4">
        <v>74616500000000</v>
      </c>
      <c r="Z225" s="4">
        <v>75603400000000</v>
      </c>
      <c r="AA225" s="4">
        <v>76629000000000</v>
      </c>
      <c r="AB225" s="4">
        <v>77645400000000</v>
      </c>
      <c r="AC225" s="4">
        <v>78663500000000</v>
      </c>
      <c r="AD225" s="4">
        <v>79744900000000</v>
      </c>
      <c r="AE225" s="4">
        <v>80825800000000</v>
      </c>
      <c r="AF225" s="4">
        <v>81943500000000</v>
      </c>
    </row>
    <row r="226" spans="1:32" x14ac:dyDescent="0.25">
      <c r="A226" t="s">
        <v>295</v>
      </c>
      <c r="B226" s="4">
        <v>10780400000000</v>
      </c>
      <c r="C226" s="4">
        <v>10555400000000</v>
      </c>
      <c r="D226" s="4">
        <v>9162780000000</v>
      </c>
      <c r="E226" s="4">
        <v>10106900000000</v>
      </c>
      <c r="F226" s="4">
        <v>10983700000000</v>
      </c>
      <c r="G226" s="4">
        <v>11497200000000</v>
      </c>
      <c r="H226" s="4">
        <v>12005600000000</v>
      </c>
      <c r="I226" s="4">
        <v>12406200000000</v>
      </c>
      <c r="J226" s="4">
        <v>12836000000000</v>
      </c>
      <c r="K226" s="4">
        <v>13118700000000</v>
      </c>
      <c r="L226" s="4">
        <v>13402600000000</v>
      </c>
      <c r="M226" s="4">
        <v>13671500000000</v>
      </c>
      <c r="N226" s="4">
        <v>13958000000000</v>
      </c>
      <c r="O226" s="4">
        <v>14043100000000</v>
      </c>
      <c r="P226" s="4">
        <v>14165200000000</v>
      </c>
      <c r="Q226" s="4">
        <v>14299500000000</v>
      </c>
      <c r="R226" s="4">
        <v>14420300000000</v>
      </c>
      <c r="S226" s="4">
        <v>14540900000000</v>
      </c>
      <c r="T226" s="4">
        <v>14621700000000</v>
      </c>
      <c r="U226" s="4">
        <v>14744600000000</v>
      </c>
      <c r="V226" s="4">
        <v>14851700000000</v>
      </c>
      <c r="W226" s="4">
        <v>14970000000000</v>
      </c>
      <c r="X226" s="4">
        <v>15099200000000</v>
      </c>
      <c r="Y226" s="4">
        <v>15257800000000</v>
      </c>
      <c r="Z226" s="4">
        <v>15343000000000</v>
      </c>
      <c r="AA226" s="4">
        <v>15455400000000</v>
      </c>
      <c r="AB226" s="4">
        <v>15489300000000</v>
      </c>
      <c r="AC226" s="4">
        <v>15548100000000</v>
      </c>
      <c r="AD226" s="4">
        <v>15591000000000</v>
      </c>
      <c r="AE226" s="4">
        <v>15611900000000</v>
      </c>
      <c r="AF226" s="4">
        <v>15658400000000</v>
      </c>
    </row>
    <row r="227" spans="1:32" x14ac:dyDescent="0.25">
      <c r="A227" t="s">
        <v>296</v>
      </c>
      <c r="B227" s="4">
        <v>13455200000000</v>
      </c>
      <c r="C227" s="4">
        <v>13174300000000</v>
      </c>
      <c r="D227" s="4">
        <v>11436100000000</v>
      </c>
      <c r="E227" s="4">
        <v>12614500000000</v>
      </c>
      <c r="F227" s="4">
        <v>13708800000000</v>
      </c>
      <c r="G227" s="4">
        <v>14349800000000</v>
      </c>
      <c r="H227" s="4">
        <v>14984300000000</v>
      </c>
      <c r="I227" s="4">
        <v>15484300000000</v>
      </c>
      <c r="J227" s="4">
        <v>16020700000000</v>
      </c>
      <c r="K227" s="4">
        <v>16373500000000</v>
      </c>
      <c r="L227" s="4">
        <v>16727800000000</v>
      </c>
      <c r="M227" s="4">
        <v>17063600000000</v>
      </c>
      <c r="N227" s="4">
        <v>17421100000000</v>
      </c>
      <c r="O227" s="4">
        <v>17527300000000</v>
      </c>
      <c r="P227" s="4">
        <v>17679700000000</v>
      </c>
      <c r="Q227" s="4">
        <v>17847400000000</v>
      </c>
      <c r="R227" s="4">
        <v>17998100000000</v>
      </c>
      <c r="S227" s="4">
        <v>18148600000000</v>
      </c>
      <c r="T227" s="4">
        <v>18249400000000</v>
      </c>
      <c r="U227" s="4">
        <v>18402800000000</v>
      </c>
      <c r="V227" s="4">
        <v>18536500000000</v>
      </c>
      <c r="W227" s="4">
        <v>18684200000000</v>
      </c>
      <c r="X227" s="4">
        <v>18845500000000</v>
      </c>
      <c r="Y227" s="4">
        <v>19043400000000</v>
      </c>
      <c r="Z227" s="4">
        <v>19149700000000</v>
      </c>
      <c r="AA227" s="4">
        <v>19290000000000</v>
      </c>
      <c r="AB227" s="4">
        <v>19332300000000</v>
      </c>
      <c r="AC227" s="4">
        <v>19405800000000</v>
      </c>
      <c r="AD227" s="4">
        <v>19459200000000</v>
      </c>
      <c r="AE227" s="4">
        <v>19485300000000</v>
      </c>
      <c r="AF227" s="4">
        <v>19543300000000</v>
      </c>
    </row>
    <row r="228" spans="1:32" x14ac:dyDescent="0.25">
      <c r="A228" t="s">
        <v>297</v>
      </c>
      <c r="B228" s="4">
        <v>19025700000000</v>
      </c>
      <c r="C228" s="4">
        <v>18628500000000</v>
      </c>
      <c r="D228" s="4">
        <v>16170800000000</v>
      </c>
      <c r="E228" s="4">
        <v>17837000000000</v>
      </c>
      <c r="F228" s="4">
        <v>19384400000000</v>
      </c>
      <c r="G228" s="4">
        <v>20290800000000</v>
      </c>
      <c r="H228" s="4">
        <v>21188000000000</v>
      </c>
      <c r="I228" s="4">
        <v>21895000000000</v>
      </c>
      <c r="J228" s="4">
        <v>22653500000000</v>
      </c>
      <c r="K228" s="4">
        <v>23152300000000</v>
      </c>
      <c r="L228" s="4">
        <v>23653300000000</v>
      </c>
      <c r="M228" s="4">
        <v>24128100000000</v>
      </c>
      <c r="N228" s="4">
        <v>24633600000000</v>
      </c>
      <c r="O228" s="4">
        <v>24783800000000</v>
      </c>
      <c r="P228" s="4">
        <v>24999300000000</v>
      </c>
      <c r="Q228" s="4">
        <v>25236400000000</v>
      </c>
      <c r="R228" s="4">
        <v>25449400000000</v>
      </c>
      <c r="S228" s="4">
        <v>25662300000000</v>
      </c>
      <c r="T228" s="4">
        <v>25804900000000</v>
      </c>
      <c r="U228" s="4">
        <v>26021800000000</v>
      </c>
      <c r="V228" s="4">
        <v>26210800000000</v>
      </c>
      <c r="W228" s="4">
        <v>26419700000000</v>
      </c>
      <c r="X228" s="4">
        <v>26647700000000</v>
      </c>
      <c r="Y228" s="4">
        <v>26927600000000</v>
      </c>
      <c r="Z228" s="4">
        <v>27077900000000</v>
      </c>
      <c r="AA228" s="4">
        <v>27276200000000</v>
      </c>
      <c r="AB228" s="4">
        <v>27336100000000</v>
      </c>
      <c r="AC228" s="4">
        <v>27439900000000</v>
      </c>
      <c r="AD228" s="4">
        <v>27515600000000</v>
      </c>
      <c r="AE228" s="4">
        <v>27552500000000</v>
      </c>
      <c r="AF228" s="4">
        <v>27634500000000</v>
      </c>
    </row>
    <row r="229" spans="1:32" x14ac:dyDescent="0.25">
      <c r="A229" t="s">
        <v>298</v>
      </c>
      <c r="B229" s="4">
        <v>31216100000000</v>
      </c>
      <c r="C229" s="4">
        <v>40337900000000</v>
      </c>
      <c r="D229" s="4">
        <v>26813800000000</v>
      </c>
      <c r="E229" s="4">
        <v>23355200000000</v>
      </c>
      <c r="F229" s="4">
        <v>20174700000000</v>
      </c>
      <c r="G229" s="4">
        <v>18992900000000</v>
      </c>
      <c r="H229" s="4">
        <v>17601700000000</v>
      </c>
      <c r="I229" s="4">
        <v>18022200000000</v>
      </c>
      <c r="J229" s="4">
        <v>18590300000000</v>
      </c>
      <c r="K229" s="4">
        <v>19115300000000</v>
      </c>
      <c r="L229" s="4">
        <v>19372300000000</v>
      </c>
      <c r="M229" s="4">
        <v>19836000000000</v>
      </c>
      <c r="N229" s="4">
        <v>19904600000000</v>
      </c>
      <c r="O229" s="4">
        <v>20020600000000</v>
      </c>
      <c r="P229" s="4">
        <v>19930100000000</v>
      </c>
      <c r="Q229" s="4">
        <v>20072300000000</v>
      </c>
      <c r="R229" s="4">
        <v>20307100000000</v>
      </c>
      <c r="S229" s="4">
        <v>20110400000000</v>
      </c>
      <c r="T229" s="4">
        <v>19815900000000</v>
      </c>
      <c r="U229" s="4">
        <v>19899300000000</v>
      </c>
      <c r="V229" s="4">
        <v>19401700000000</v>
      </c>
      <c r="W229" s="4">
        <v>19410000000000</v>
      </c>
      <c r="X229" s="4">
        <v>19470800000000</v>
      </c>
      <c r="Y229" s="4">
        <v>19446500000000</v>
      </c>
      <c r="Z229" s="4">
        <v>19421200000000</v>
      </c>
      <c r="AA229" s="4">
        <v>19136100000000</v>
      </c>
      <c r="AB229" s="4">
        <v>18999300000000</v>
      </c>
      <c r="AC229" s="4">
        <v>19019300000000</v>
      </c>
      <c r="AD229" s="4">
        <v>18909300000000</v>
      </c>
      <c r="AE229" s="4">
        <v>18651400000000</v>
      </c>
      <c r="AF229" s="4">
        <v>18737000000000</v>
      </c>
    </row>
    <row r="230" spans="1:32" x14ac:dyDescent="0.25">
      <c r="A230" t="s">
        <v>299</v>
      </c>
      <c r="B230" s="4">
        <v>14459400000000</v>
      </c>
      <c r="C230" s="4">
        <v>17864200000000</v>
      </c>
      <c r="D230" s="4">
        <v>11725300000000</v>
      </c>
      <c r="E230" s="4">
        <v>10578900000000</v>
      </c>
      <c r="F230" s="4">
        <v>9310430000000</v>
      </c>
      <c r="G230" s="4">
        <v>8816050000000</v>
      </c>
      <c r="H230" s="4">
        <v>8215690000000</v>
      </c>
      <c r="I230" s="4">
        <v>8436310000000</v>
      </c>
      <c r="J230" s="4">
        <v>8714250000000</v>
      </c>
      <c r="K230" s="4">
        <v>8966990000000</v>
      </c>
      <c r="L230" s="4">
        <v>9106800000000</v>
      </c>
      <c r="M230" s="4">
        <v>9327680000000</v>
      </c>
      <c r="N230" s="4">
        <v>9373430000000</v>
      </c>
      <c r="O230" s="4">
        <v>9433120000000</v>
      </c>
      <c r="P230" s="4">
        <v>9400180000000</v>
      </c>
      <c r="Q230" s="4">
        <v>9477360000000</v>
      </c>
      <c r="R230" s="4">
        <v>9594400000000</v>
      </c>
      <c r="S230" s="4">
        <v>9513690000000</v>
      </c>
      <c r="T230" s="4">
        <v>9388750000000</v>
      </c>
      <c r="U230" s="4">
        <v>9439930000000</v>
      </c>
      <c r="V230" s="4">
        <v>9219090000000</v>
      </c>
      <c r="W230" s="4">
        <v>9232570000000</v>
      </c>
      <c r="X230" s="4">
        <v>9272760000000</v>
      </c>
      <c r="Y230" s="4">
        <v>9272860000000</v>
      </c>
      <c r="Z230" s="4">
        <v>9272360000000</v>
      </c>
      <c r="AA230" s="4">
        <v>9143780000000</v>
      </c>
      <c r="AB230" s="4">
        <v>9088230000000</v>
      </c>
      <c r="AC230" s="4">
        <v>9107970000000</v>
      </c>
      <c r="AD230" s="4">
        <v>9064980000000</v>
      </c>
      <c r="AE230" s="4">
        <v>8949760000000</v>
      </c>
      <c r="AF230" s="4">
        <v>8997850000000</v>
      </c>
    </row>
    <row r="231" spans="1:32" x14ac:dyDescent="0.25">
      <c r="A231" t="s">
        <v>300</v>
      </c>
      <c r="B231" s="4">
        <v>391908000000</v>
      </c>
      <c r="C231" s="4">
        <v>403073000000</v>
      </c>
      <c r="D231" s="4">
        <v>422932000000</v>
      </c>
      <c r="E231" s="4">
        <v>444252000000</v>
      </c>
      <c r="F231" s="4">
        <v>470238000000</v>
      </c>
      <c r="G231" s="4">
        <v>488303000000</v>
      </c>
      <c r="H231" s="4">
        <v>497728000000</v>
      </c>
      <c r="I231" s="4">
        <v>502910000000</v>
      </c>
      <c r="J231" s="4">
        <v>506379000000</v>
      </c>
      <c r="K231" s="4">
        <v>506451000000</v>
      </c>
      <c r="L231" s="4">
        <v>508118000000</v>
      </c>
      <c r="M231" s="4">
        <v>509916000000</v>
      </c>
      <c r="N231" s="4">
        <v>514236000000</v>
      </c>
      <c r="O231" s="4">
        <v>507645000000</v>
      </c>
      <c r="P231" s="4">
        <v>497988000000</v>
      </c>
      <c r="Q231" s="4">
        <v>500507000000</v>
      </c>
      <c r="R231" s="4">
        <v>503468000000</v>
      </c>
      <c r="S231" s="4">
        <v>505388000000</v>
      </c>
      <c r="T231" s="4">
        <v>511038000000</v>
      </c>
      <c r="U231" s="4">
        <v>516611000000</v>
      </c>
      <c r="V231" s="4">
        <v>524975000000</v>
      </c>
      <c r="W231" s="4">
        <v>537787000000</v>
      </c>
      <c r="X231" s="4">
        <v>545609000000</v>
      </c>
      <c r="Y231" s="4">
        <v>553569000000</v>
      </c>
      <c r="Z231" s="4">
        <v>561545000000</v>
      </c>
      <c r="AA231" s="4">
        <v>574980000000</v>
      </c>
      <c r="AB231" s="4">
        <v>586503000000</v>
      </c>
      <c r="AC231" s="4">
        <v>594022000000</v>
      </c>
      <c r="AD231" s="4">
        <v>603757000000</v>
      </c>
      <c r="AE231" s="4">
        <v>613116000000</v>
      </c>
      <c r="AF231" s="4">
        <v>624945000000</v>
      </c>
    </row>
    <row r="232" spans="1:32" x14ac:dyDescent="0.25">
      <c r="A232" t="s">
        <v>301</v>
      </c>
      <c r="B232" s="4">
        <v>3554280000000</v>
      </c>
      <c r="C232" s="4">
        <v>3555070000000</v>
      </c>
      <c r="D232" s="4">
        <v>3558580000000</v>
      </c>
      <c r="E232" s="4">
        <v>3746610000000</v>
      </c>
      <c r="F232" s="4">
        <v>3989680000000</v>
      </c>
      <c r="G232" s="4">
        <v>4107610000000</v>
      </c>
      <c r="H232" s="4">
        <v>4229150000000</v>
      </c>
      <c r="I232" s="4">
        <v>4364670000000</v>
      </c>
      <c r="J232" s="4">
        <v>4524140000000</v>
      </c>
      <c r="K232" s="4">
        <v>4664270000000</v>
      </c>
      <c r="L232" s="4">
        <v>4837110000000</v>
      </c>
      <c r="M232" s="4">
        <v>5049200000000</v>
      </c>
      <c r="N232" s="4">
        <v>5288930000000</v>
      </c>
      <c r="O232" s="4">
        <v>5492650000000</v>
      </c>
      <c r="P232" s="4">
        <v>5709140000000</v>
      </c>
      <c r="Q232" s="4">
        <v>5933030000000</v>
      </c>
      <c r="R232" s="4">
        <v>6150370000000</v>
      </c>
      <c r="S232" s="4">
        <v>6359100000000</v>
      </c>
      <c r="T232" s="4">
        <v>6550670000000</v>
      </c>
      <c r="U232" s="4">
        <v>6731450000000</v>
      </c>
      <c r="V232" s="4">
        <v>6881150000000</v>
      </c>
      <c r="W232" s="4">
        <v>7027390000000</v>
      </c>
      <c r="X232" s="4">
        <v>7173680000000</v>
      </c>
      <c r="Y232" s="4">
        <v>7333180000000</v>
      </c>
      <c r="Z232" s="4">
        <v>7480870000000</v>
      </c>
      <c r="AA232" s="4">
        <v>7640350000000</v>
      </c>
      <c r="AB232" s="4">
        <v>7792080000000</v>
      </c>
      <c r="AC232" s="4">
        <v>7958290000000</v>
      </c>
      <c r="AD232" s="4">
        <v>8110660000000</v>
      </c>
      <c r="AE232" s="4">
        <v>8261230000000</v>
      </c>
      <c r="AF232" s="4">
        <v>8414860000000</v>
      </c>
    </row>
    <row r="233" spans="1:32" x14ac:dyDescent="0.25">
      <c r="A233" t="s">
        <v>302</v>
      </c>
      <c r="B233">
        <v>0</v>
      </c>
      <c r="C233" s="4">
        <v>60043600000</v>
      </c>
      <c r="D233" s="4">
        <v>54438100000</v>
      </c>
      <c r="E233" s="4">
        <v>72503300000</v>
      </c>
      <c r="F233" s="4">
        <v>90649200000</v>
      </c>
      <c r="G233" s="4">
        <v>110724000000</v>
      </c>
      <c r="H233" s="4">
        <v>129165000000</v>
      </c>
      <c r="I233" s="4">
        <v>148832000000</v>
      </c>
      <c r="J233" s="4">
        <v>155863000000</v>
      </c>
      <c r="K233" s="4">
        <v>247468000000</v>
      </c>
      <c r="L233" s="4">
        <v>342608000000</v>
      </c>
      <c r="M233" s="4">
        <v>448083000000</v>
      </c>
      <c r="N233" s="4">
        <v>549240000000</v>
      </c>
      <c r="O233" s="4">
        <v>643763000000</v>
      </c>
      <c r="P233" s="4">
        <v>732957000000</v>
      </c>
      <c r="Q233" s="4">
        <v>820407000000</v>
      </c>
      <c r="R233" s="4">
        <v>910121000000</v>
      </c>
      <c r="S233" s="4">
        <v>891308000000</v>
      </c>
      <c r="T233" s="4">
        <v>882939000000</v>
      </c>
      <c r="U233" s="4">
        <v>881759000000</v>
      </c>
      <c r="V233" s="4">
        <v>864223000000</v>
      </c>
      <c r="W233" s="4">
        <v>865282000000</v>
      </c>
      <c r="X233" s="4">
        <v>858359000000</v>
      </c>
      <c r="Y233" s="4">
        <v>851747000000</v>
      </c>
      <c r="Z233" s="4">
        <v>849525000000</v>
      </c>
      <c r="AA233" s="4">
        <v>840800000000</v>
      </c>
      <c r="AB233" s="4">
        <v>833741000000</v>
      </c>
      <c r="AC233" s="4">
        <v>829694000000</v>
      </c>
      <c r="AD233" s="4">
        <v>817464000000</v>
      </c>
      <c r="AE233" s="4">
        <v>804639000000</v>
      </c>
      <c r="AF233" s="4">
        <v>797584000000</v>
      </c>
    </row>
    <row r="234" spans="1:32" x14ac:dyDescent="0.25">
      <c r="A234" t="s">
        <v>303</v>
      </c>
      <c r="B234" s="4">
        <v>253593000000000</v>
      </c>
      <c r="C234" s="4">
        <v>304599000000000</v>
      </c>
      <c r="D234" s="4">
        <v>203167000000000</v>
      </c>
      <c r="E234" s="4">
        <v>190286000000000</v>
      </c>
      <c r="F234" s="4">
        <v>179121000000000</v>
      </c>
      <c r="G234" s="4">
        <v>174472000000000</v>
      </c>
      <c r="H234" s="4">
        <v>167486000000000</v>
      </c>
      <c r="I234" s="4">
        <v>174048000000000</v>
      </c>
      <c r="J234" s="4">
        <v>182161000000000</v>
      </c>
      <c r="K234" s="4">
        <v>189032000000000</v>
      </c>
      <c r="L234" s="4">
        <v>194810000000000</v>
      </c>
      <c r="M234" s="4">
        <v>201186000000000</v>
      </c>
      <c r="N234" s="4">
        <v>204619000000000</v>
      </c>
      <c r="O234" s="4">
        <v>207096000000000</v>
      </c>
      <c r="P234" s="4">
        <v>209149000000000</v>
      </c>
      <c r="Q234" s="4">
        <v>212660000000000</v>
      </c>
      <c r="R234" s="4">
        <v>215739000000000</v>
      </c>
      <c r="S234" s="4">
        <v>215820000000000</v>
      </c>
      <c r="T234" s="4">
        <v>214473000000000</v>
      </c>
      <c r="U234" s="4">
        <v>216024000000000</v>
      </c>
      <c r="V234" s="4">
        <v>210277000000000</v>
      </c>
      <c r="W234" s="4">
        <v>209127000000000</v>
      </c>
      <c r="X234" s="4">
        <v>208687000000000</v>
      </c>
      <c r="Y234" s="4">
        <v>209456000000000</v>
      </c>
      <c r="Z234" s="4">
        <v>209440000000000</v>
      </c>
      <c r="AA234" s="4">
        <v>208104000000000</v>
      </c>
      <c r="AB234" s="4">
        <v>206356000000000</v>
      </c>
      <c r="AC234" s="4">
        <v>206189000000000</v>
      </c>
      <c r="AD234" s="4">
        <v>203903000000000</v>
      </c>
      <c r="AE234" s="4">
        <v>201410000000000</v>
      </c>
      <c r="AF234" s="4">
        <v>202172000000000</v>
      </c>
    </row>
    <row r="235" spans="1:32" x14ac:dyDescent="0.25">
      <c r="A235" t="s">
        <v>304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25">
      <c r="A236" t="s">
        <v>305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25">
      <c r="A237" t="s">
        <v>306</v>
      </c>
      <c r="B237" s="4">
        <v>368960000000</v>
      </c>
      <c r="C237" s="4">
        <v>368909000000</v>
      </c>
      <c r="D237" s="4">
        <v>377286000000</v>
      </c>
      <c r="E237" s="4">
        <v>403686000000</v>
      </c>
      <c r="F237" s="4">
        <v>429488000000</v>
      </c>
      <c r="G237" s="4">
        <v>446002000000</v>
      </c>
      <c r="H237" s="4">
        <v>462267000000</v>
      </c>
      <c r="I237" s="4">
        <v>480575000000</v>
      </c>
      <c r="J237" s="4">
        <v>512725000000</v>
      </c>
      <c r="K237" s="4">
        <v>597365000000</v>
      </c>
      <c r="L237" s="4">
        <v>685510000000</v>
      </c>
      <c r="M237" s="4">
        <v>778551000000</v>
      </c>
      <c r="N237" s="4">
        <v>871272000000</v>
      </c>
      <c r="O237" s="4">
        <v>959265000000</v>
      </c>
      <c r="P237" s="4">
        <v>1045690000000</v>
      </c>
      <c r="Q237" s="4">
        <v>1136330000000</v>
      </c>
      <c r="R237" s="4">
        <v>1222930000000</v>
      </c>
      <c r="S237" s="4">
        <v>1217530000000</v>
      </c>
      <c r="T237" s="4">
        <v>1212770000000</v>
      </c>
      <c r="U237" s="4">
        <v>1212720000000</v>
      </c>
      <c r="V237" s="4">
        <v>1202070000000</v>
      </c>
      <c r="W237" s="4">
        <v>1200060000000</v>
      </c>
      <c r="X237" s="4">
        <v>1198870000000</v>
      </c>
      <c r="Y237" s="4">
        <v>1197520000000</v>
      </c>
      <c r="Z237" s="4">
        <v>1195240000000</v>
      </c>
      <c r="AA237" s="4">
        <v>1189920000000</v>
      </c>
      <c r="AB237" s="4">
        <v>1187140000000</v>
      </c>
      <c r="AC237" s="4">
        <v>1185960000000</v>
      </c>
      <c r="AD237" s="4">
        <v>1181680000000</v>
      </c>
      <c r="AE237" s="4">
        <v>1175840000000</v>
      </c>
      <c r="AF237" s="4">
        <v>1175140000000</v>
      </c>
    </row>
    <row r="238" spans="1:32" x14ac:dyDescent="0.25">
      <c r="A238" t="s">
        <v>307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25">
      <c r="A239" t="s">
        <v>308</v>
      </c>
      <c r="B239" s="4">
        <v>12440400000000</v>
      </c>
      <c r="C239" s="4">
        <v>15369700000000</v>
      </c>
      <c r="D239" s="4">
        <v>10088000000000</v>
      </c>
      <c r="E239" s="4">
        <v>9101740000000</v>
      </c>
      <c r="F239" s="4">
        <v>8010360000000</v>
      </c>
      <c r="G239" s="4">
        <v>7585010000000</v>
      </c>
      <c r="H239" s="4">
        <v>7068480000000</v>
      </c>
      <c r="I239" s="4">
        <v>7258300000000</v>
      </c>
      <c r="J239" s="4">
        <v>7497420000000</v>
      </c>
      <c r="K239" s="4">
        <v>7714870000000</v>
      </c>
      <c r="L239" s="4">
        <v>7835160000000</v>
      </c>
      <c r="M239" s="4">
        <v>8025200000000</v>
      </c>
      <c r="N239" s="4">
        <v>8064560000000</v>
      </c>
      <c r="O239" s="4">
        <v>8115920000000</v>
      </c>
      <c r="P239" s="4">
        <v>8087570000000</v>
      </c>
      <c r="Q239" s="4">
        <v>8153980000000</v>
      </c>
      <c r="R239" s="4">
        <v>8254670000000</v>
      </c>
      <c r="S239" s="4">
        <v>8185230000000</v>
      </c>
      <c r="T239" s="4">
        <v>8077740000000</v>
      </c>
      <c r="U239" s="4">
        <v>8121770000000</v>
      </c>
      <c r="V239" s="4">
        <v>7931770000000</v>
      </c>
      <c r="W239" s="4">
        <v>7943360000000</v>
      </c>
      <c r="X239" s="4">
        <v>7977950000000</v>
      </c>
      <c r="Y239" s="4">
        <v>7978030000000</v>
      </c>
      <c r="Z239" s="4">
        <v>7977600000000</v>
      </c>
      <c r="AA239" s="4">
        <v>7866970000000</v>
      </c>
      <c r="AB239" s="4">
        <v>7819180000000</v>
      </c>
      <c r="AC239" s="4">
        <v>7836170000000</v>
      </c>
      <c r="AD239" s="4">
        <v>7799180000000</v>
      </c>
      <c r="AE239" s="4">
        <v>7700050000000</v>
      </c>
      <c r="AF239" s="4">
        <v>7741420000000</v>
      </c>
    </row>
    <row r="240" spans="1:32" x14ac:dyDescent="0.25">
      <c r="A240" t="s">
        <v>309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25">
      <c r="A241" t="s">
        <v>310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25">
      <c r="A242" t="s">
        <v>311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25">
      <c r="A243" t="s">
        <v>312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25">
      <c r="A244" t="s">
        <v>313</v>
      </c>
      <c r="B244" s="4">
        <v>995187000000</v>
      </c>
      <c r="C244" s="4">
        <v>1948010000000</v>
      </c>
      <c r="D244" s="4">
        <v>1498330000000</v>
      </c>
      <c r="E244" s="4">
        <v>1000540000000</v>
      </c>
      <c r="F244" s="4">
        <v>705636000000</v>
      </c>
      <c r="G244" s="4">
        <v>612102000000</v>
      </c>
      <c r="H244" s="4">
        <v>532455000000</v>
      </c>
      <c r="I244" s="4">
        <v>554344000000</v>
      </c>
      <c r="J244" s="4">
        <v>578570000000</v>
      </c>
      <c r="K244" s="4">
        <v>597667000000</v>
      </c>
      <c r="L244" s="4">
        <v>602263000000</v>
      </c>
      <c r="M244" s="4">
        <v>616869000000</v>
      </c>
      <c r="N244" s="4">
        <v>620275000000</v>
      </c>
      <c r="O244" s="4">
        <v>630112000000</v>
      </c>
      <c r="P244" s="4">
        <v>630992000000</v>
      </c>
      <c r="Q244" s="4">
        <v>640989000000</v>
      </c>
      <c r="R244" s="4">
        <v>652981000000</v>
      </c>
      <c r="S244" s="4">
        <v>645175000000</v>
      </c>
      <c r="T244" s="4">
        <v>632128000000</v>
      </c>
      <c r="U244" s="4">
        <v>640112000000</v>
      </c>
      <c r="V244" s="4">
        <v>616246000000</v>
      </c>
      <c r="W244" s="4">
        <v>615513000000</v>
      </c>
      <c r="X244" s="4">
        <v>616163000000</v>
      </c>
      <c r="Y244" s="4">
        <v>610477000000</v>
      </c>
      <c r="Z244" s="4">
        <v>606090000000</v>
      </c>
      <c r="AA244" s="4">
        <v>588493000000</v>
      </c>
      <c r="AB244" s="4">
        <v>581622000000</v>
      </c>
      <c r="AC244" s="4">
        <v>583465000000</v>
      </c>
      <c r="AD244" s="4">
        <v>575724000000</v>
      </c>
      <c r="AE244" s="4">
        <v>560036000000</v>
      </c>
      <c r="AF244" s="4">
        <v>559051000000</v>
      </c>
    </row>
    <row r="245" spans="1:32" x14ac:dyDescent="0.25">
      <c r="A245" t="s">
        <v>314</v>
      </c>
      <c r="B245" s="4">
        <v>563385000000</v>
      </c>
      <c r="C245" s="4">
        <v>1102790000000</v>
      </c>
      <c r="D245" s="4">
        <v>848221000000</v>
      </c>
      <c r="E245" s="4">
        <v>566413000000</v>
      </c>
      <c r="F245" s="4">
        <v>399467000000</v>
      </c>
      <c r="G245" s="4">
        <v>346516000000</v>
      </c>
      <c r="H245" s="4">
        <v>301427000000</v>
      </c>
      <c r="I245" s="4">
        <v>313819000000</v>
      </c>
      <c r="J245" s="4">
        <v>327534000000</v>
      </c>
      <c r="K245" s="4">
        <v>338344000000</v>
      </c>
      <c r="L245" s="4">
        <v>340946000000</v>
      </c>
      <c r="M245" s="4">
        <v>349215000000</v>
      </c>
      <c r="N245" s="4">
        <v>351143000000</v>
      </c>
      <c r="O245" s="4">
        <v>356712000000</v>
      </c>
      <c r="P245" s="4">
        <v>357211000000</v>
      </c>
      <c r="Q245" s="4">
        <v>362869000000</v>
      </c>
      <c r="R245" s="4">
        <v>369659000000</v>
      </c>
      <c r="S245" s="4">
        <v>365240000000</v>
      </c>
      <c r="T245" s="4">
        <v>357853000000</v>
      </c>
      <c r="U245" s="4">
        <v>362373000000</v>
      </c>
      <c r="V245" s="4">
        <v>348862000000</v>
      </c>
      <c r="W245" s="4">
        <v>348447000000</v>
      </c>
      <c r="X245" s="4">
        <v>348816000000</v>
      </c>
      <c r="Y245" s="4">
        <v>345597000000</v>
      </c>
      <c r="Z245" s="4">
        <v>343113000000</v>
      </c>
      <c r="AA245" s="4">
        <v>333152000000</v>
      </c>
      <c r="AB245" s="4">
        <v>329262000000</v>
      </c>
      <c r="AC245" s="4">
        <v>330305000000</v>
      </c>
      <c r="AD245" s="4">
        <v>325922000000</v>
      </c>
      <c r="AE245" s="4">
        <v>317042000000</v>
      </c>
      <c r="AF245" s="4">
        <v>316484000000</v>
      </c>
    </row>
    <row r="246" spans="1:32" x14ac:dyDescent="0.25">
      <c r="A246" t="s">
        <v>315</v>
      </c>
      <c r="B246" s="4">
        <v>45158500000000</v>
      </c>
      <c r="C246" s="4">
        <v>55792200000000</v>
      </c>
      <c r="D246" s="4">
        <v>36619400000000</v>
      </c>
      <c r="E246" s="4">
        <v>33039300000000</v>
      </c>
      <c r="F246" s="4">
        <v>29077600000000</v>
      </c>
      <c r="G246" s="4">
        <v>27533600000000</v>
      </c>
      <c r="H246" s="4">
        <v>25658600000000</v>
      </c>
      <c r="I246" s="4">
        <v>26347600000000</v>
      </c>
      <c r="J246" s="4">
        <v>27215600000000</v>
      </c>
      <c r="K246" s="4">
        <v>28005000000000</v>
      </c>
      <c r="L246" s="4">
        <v>28441600000000</v>
      </c>
      <c r="M246" s="4">
        <v>29131500000000</v>
      </c>
      <c r="N246" s="4">
        <v>29274300000000</v>
      </c>
      <c r="O246" s="4">
        <v>29460800000000</v>
      </c>
      <c r="P246" s="4">
        <v>29357900000000</v>
      </c>
      <c r="Q246" s="4">
        <v>29598900000000</v>
      </c>
      <c r="R246" s="4">
        <v>29964400000000</v>
      </c>
      <c r="S246" s="4">
        <v>29712400000000</v>
      </c>
      <c r="T246" s="4">
        <v>29322200000000</v>
      </c>
      <c r="U246" s="4">
        <v>29482000000000</v>
      </c>
      <c r="V246" s="4">
        <v>28792300000000</v>
      </c>
      <c r="W246" s="4">
        <v>28834400000000</v>
      </c>
      <c r="X246" s="4">
        <v>28959900000000</v>
      </c>
      <c r="Y246" s="4">
        <v>28960300000000</v>
      </c>
      <c r="Z246" s="4">
        <v>28958700000000</v>
      </c>
      <c r="AA246" s="4">
        <v>28557100000000</v>
      </c>
      <c r="AB246" s="4">
        <v>28383600000000</v>
      </c>
      <c r="AC246" s="4">
        <v>28445300000000</v>
      </c>
      <c r="AD246" s="4">
        <v>28311000000000</v>
      </c>
      <c r="AE246" s="4">
        <v>27951200000000</v>
      </c>
      <c r="AF246" s="4">
        <v>28101300000000</v>
      </c>
    </row>
    <row r="247" spans="1:32" x14ac:dyDescent="0.25">
      <c r="A247" t="s">
        <v>316</v>
      </c>
      <c r="B247">
        <v>0</v>
      </c>
      <c r="C247" s="4">
        <v>647363000000</v>
      </c>
      <c r="D247" s="4">
        <v>385197000000</v>
      </c>
      <c r="E247" s="4">
        <v>391633000000</v>
      </c>
      <c r="F247" s="4">
        <v>411424000000</v>
      </c>
      <c r="G247" s="4">
        <v>425244000000</v>
      </c>
      <c r="H247" s="4">
        <v>426527000000</v>
      </c>
      <c r="I247" s="4">
        <v>448862000000</v>
      </c>
      <c r="J247" s="4">
        <v>473450000000</v>
      </c>
      <c r="K247" s="4">
        <v>492664000000</v>
      </c>
      <c r="L247" s="4">
        <v>513184000000</v>
      </c>
      <c r="M247" s="4">
        <v>535925000000</v>
      </c>
      <c r="N247" s="4">
        <v>552279000000</v>
      </c>
      <c r="O247" s="4">
        <v>565616000000</v>
      </c>
      <c r="P247" s="4">
        <v>574465000000</v>
      </c>
      <c r="Q247" s="4">
        <v>587437000000</v>
      </c>
      <c r="R247" s="4">
        <v>597432000000</v>
      </c>
      <c r="S247" s="4">
        <v>583550000000</v>
      </c>
      <c r="T247" s="4">
        <v>576638000000</v>
      </c>
      <c r="U247" s="4">
        <v>569513000000</v>
      </c>
      <c r="V247" s="4">
        <v>556706000000</v>
      </c>
      <c r="W247" s="4">
        <v>549899000000</v>
      </c>
      <c r="X247" s="4">
        <v>545091000000</v>
      </c>
      <c r="Y247" s="4">
        <v>541522000000</v>
      </c>
      <c r="Z247" s="4">
        <v>539643000000</v>
      </c>
      <c r="AA247" s="4">
        <v>535089000000</v>
      </c>
      <c r="AB247" s="4">
        <v>532004000000</v>
      </c>
      <c r="AC247" s="4">
        <v>525605000000</v>
      </c>
      <c r="AD247" s="4">
        <v>518711000000</v>
      </c>
      <c r="AE247" s="4">
        <v>512844000000</v>
      </c>
      <c r="AF247" s="4">
        <v>508765000000</v>
      </c>
    </row>
    <row r="248" spans="1:32" x14ac:dyDescent="0.25">
      <c r="A248" t="s">
        <v>317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25">
      <c r="A249" t="s">
        <v>318</v>
      </c>
      <c r="B249" s="4">
        <v>88182300000000</v>
      </c>
      <c r="C249" s="4">
        <v>86491200000000</v>
      </c>
      <c r="D249" s="4">
        <v>60269700000000</v>
      </c>
      <c r="E249" s="4">
        <v>65630700000000</v>
      </c>
      <c r="F249" s="4">
        <v>71761600000000</v>
      </c>
      <c r="G249" s="4">
        <v>76164500000000</v>
      </c>
      <c r="H249" s="4">
        <v>79948600000000</v>
      </c>
      <c r="I249" s="4">
        <v>82916900000000</v>
      </c>
      <c r="J249" s="4">
        <v>85447800000000</v>
      </c>
      <c r="K249" s="4">
        <v>87081300000000</v>
      </c>
      <c r="L249" s="4">
        <v>88769000000000</v>
      </c>
      <c r="M249" s="4">
        <v>90623500000000</v>
      </c>
      <c r="N249" s="4">
        <v>92652700000000</v>
      </c>
      <c r="O249" s="4">
        <v>93680800000000</v>
      </c>
      <c r="P249" s="4">
        <v>94741800000000</v>
      </c>
      <c r="Q249" s="4">
        <v>96136200000000</v>
      </c>
      <c r="R249" s="4">
        <v>97366700000000</v>
      </c>
      <c r="S249" s="4">
        <v>98426900000000</v>
      </c>
      <c r="T249" s="4">
        <v>99626200000000</v>
      </c>
      <c r="U249" s="4">
        <v>100847000000000</v>
      </c>
      <c r="V249" s="4">
        <v>102473000000000</v>
      </c>
      <c r="W249" s="4">
        <v>104301000000000</v>
      </c>
      <c r="X249" s="4">
        <v>105895000000000</v>
      </c>
      <c r="Y249" s="4">
        <v>107598000000000</v>
      </c>
      <c r="Z249" s="4">
        <v>109386000000000</v>
      </c>
      <c r="AA249" s="4">
        <v>111276000000000</v>
      </c>
      <c r="AB249" s="4">
        <v>113427000000000</v>
      </c>
      <c r="AC249" s="4">
        <v>115209000000000</v>
      </c>
      <c r="AD249" s="4">
        <v>117151000000000</v>
      </c>
      <c r="AE249" s="4">
        <v>119349000000000</v>
      </c>
      <c r="AF249" s="4">
        <v>121651000000000</v>
      </c>
    </row>
    <row r="250" spans="1:32" x14ac:dyDescent="0.25">
      <c r="A250" t="s">
        <v>319</v>
      </c>
      <c r="B250" s="4">
        <v>64134000000000</v>
      </c>
      <c r="C250" s="4">
        <v>67727500000000</v>
      </c>
      <c r="D250" s="4">
        <v>55057300000000</v>
      </c>
      <c r="E250" s="4">
        <v>97130800000000</v>
      </c>
      <c r="F250" s="4">
        <v>98488900000000</v>
      </c>
      <c r="G250" s="4">
        <v>99946200000000</v>
      </c>
      <c r="H250" s="4">
        <v>101258000000000</v>
      </c>
      <c r="I250" s="4">
        <v>102453000000000</v>
      </c>
      <c r="J250" s="4">
        <v>103601000000000</v>
      </c>
      <c r="K250" s="4">
        <v>104736000000000</v>
      </c>
      <c r="L250" s="4">
        <v>105864000000000</v>
      </c>
      <c r="M250" s="4">
        <v>107078000000000</v>
      </c>
      <c r="N250" s="4">
        <v>108991000000000</v>
      </c>
      <c r="O250" s="4">
        <v>110206000000000</v>
      </c>
      <c r="P250" s="4">
        <v>111743000000000</v>
      </c>
      <c r="Q250" s="4">
        <v>113368000000000</v>
      </c>
      <c r="R250" s="4">
        <v>114960000000000</v>
      </c>
      <c r="S250" s="4">
        <v>116770000000000</v>
      </c>
      <c r="T250" s="4">
        <v>118598000000000</v>
      </c>
      <c r="U250" s="4">
        <v>120444000000000</v>
      </c>
      <c r="V250" s="4">
        <v>122244000000000</v>
      </c>
      <c r="W250" s="4">
        <v>123941000000000</v>
      </c>
      <c r="X250" s="4">
        <v>125656000000000</v>
      </c>
      <c r="Y250" s="4">
        <v>127387000000000</v>
      </c>
      <c r="Z250" s="4">
        <v>129133000000000</v>
      </c>
      <c r="AA250" s="4">
        <v>130945000000000</v>
      </c>
      <c r="AB250" s="4">
        <v>132747000000000</v>
      </c>
      <c r="AC250" s="4">
        <v>134555000000000</v>
      </c>
      <c r="AD250" s="4">
        <v>136468000000000</v>
      </c>
      <c r="AE250" s="4">
        <v>138389000000000</v>
      </c>
      <c r="AF250" s="4">
        <v>140376000000000</v>
      </c>
    </row>
    <row r="251" spans="1:32" x14ac:dyDescent="0.25">
      <c r="A251" t="s">
        <v>320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25">
      <c r="A252" t="s">
        <v>321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25">
      <c r="A253" t="s">
        <v>322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5">
      <c r="A254" t="s">
        <v>323</v>
      </c>
      <c r="B254" s="4">
        <v>7170720000000</v>
      </c>
      <c r="C254" s="4">
        <v>11153500000000</v>
      </c>
      <c r="D254" s="4">
        <v>7262260000000</v>
      </c>
      <c r="E254" s="4">
        <v>7722640000000</v>
      </c>
      <c r="F254" s="4">
        <v>6403740000000</v>
      </c>
      <c r="G254" s="4">
        <v>6046370000000</v>
      </c>
      <c r="H254" s="4">
        <v>5757580000000</v>
      </c>
      <c r="I254" s="4">
        <v>5759300000000</v>
      </c>
      <c r="J254" s="4">
        <v>5771210000000</v>
      </c>
      <c r="K254" s="4">
        <v>5793250000000</v>
      </c>
      <c r="L254" s="4">
        <v>5844610000000</v>
      </c>
      <c r="M254" s="4">
        <v>5838670000000</v>
      </c>
      <c r="N254" s="4">
        <v>5815940000000</v>
      </c>
      <c r="O254" s="4">
        <v>5823410000000</v>
      </c>
      <c r="P254" s="4">
        <v>5816230000000</v>
      </c>
      <c r="Q254" s="4">
        <v>5835500000000</v>
      </c>
      <c r="R254" s="4">
        <v>5880630000000</v>
      </c>
      <c r="S254" s="4">
        <v>5831030000000</v>
      </c>
      <c r="T254" s="4">
        <v>5783900000000</v>
      </c>
      <c r="U254" s="4">
        <v>5775980000000</v>
      </c>
      <c r="V254" s="4">
        <v>5715690000000</v>
      </c>
      <c r="W254" s="4">
        <v>5708670000000</v>
      </c>
      <c r="X254" s="4">
        <v>5710790000000</v>
      </c>
      <c r="Y254" s="4">
        <v>5706160000000</v>
      </c>
      <c r="Z254" s="4">
        <v>5676840000000</v>
      </c>
      <c r="AA254" s="4">
        <v>5663780000000</v>
      </c>
      <c r="AB254" s="4">
        <v>5645880000000</v>
      </c>
      <c r="AC254" s="4">
        <v>5643740000000</v>
      </c>
      <c r="AD254" s="4">
        <v>5654390000000</v>
      </c>
      <c r="AE254" s="4">
        <v>5641450000000</v>
      </c>
      <c r="AF254" s="4">
        <v>5667080000000</v>
      </c>
    </row>
    <row r="255" spans="1:32" x14ac:dyDescent="0.25">
      <c r="A255" t="s">
        <v>324</v>
      </c>
      <c r="B255">
        <v>0</v>
      </c>
      <c r="C255">
        <v>0</v>
      </c>
      <c r="D255">
        <v>0</v>
      </c>
      <c r="E255" s="4">
        <v>232489000000</v>
      </c>
      <c r="F255" s="4">
        <v>232223000000</v>
      </c>
      <c r="G255" s="4">
        <v>232766000000</v>
      </c>
      <c r="H255" s="4">
        <v>235643000000</v>
      </c>
      <c r="I255" s="4">
        <v>236474000000</v>
      </c>
      <c r="J255" s="4">
        <v>234278000000</v>
      </c>
      <c r="K255" s="4">
        <v>232321000000</v>
      </c>
      <c r="L255" s="4">
        <v>228433000000</v>
      </c>
      <c r="M255" s="4">
        <v>226742000000</v>
      </c>
      <c r="N255" s="4">
        <v>224838000000</v>
      </c>
      <c r="O255" s="4">
        <v>223118000000</v>
      </c>
      <c r="P255" s="4">
        <v>221741000000</v>
      </c>
      <c r="Q255" s="4">
        <v>221656000000</v>
      </c>
      <c r="R255" s="4">
        <v>221368000000</v>
      </c>
      <c r="S255" s="4">
        <v>219754000000</v>
      </c>
      <c r="T255" s="4">
        <v>219415000000</v>
      </c>
      <c r="U255" s="4">
        <v>219974000000</v>
      </c>
      <c r="V255" s="4">
        <v>220294000000</v>
      </c>
      <c r="W255" s="4">
        <v>221017000000</v>
      </c>
      <c r="X255" s="4">
        <v>222167000000</v>
      </c>
      <c r="Y255" s="4">
        <v>224618000000</v>
      </c>
      <c r="Z255" s="4">
        <v>226029000000</v>
      </c>
      <c r="AA255" s="4">
        <v>226856000000</v>
      </c>
      <c r="AB255" s="4">
        <v>227233000000</v>
      </c>
      <c r="AC255" s="4">
        <v>227450000000</v>
      </c>
      <c r="AD255" s="4">
        <v>228026000000</v>
      </c>
      <c r="AE255" s="4">
        <v>228815000000</v>
      </c>
      <c r="AF255" s="4">
        <v>229504000000</v>
      </c>
    </row>
    <row r="256" spans="1:32" x14ac:dyDescent="0.25">
      <c r="A256" t="s">
        <v>325</v>
      </c>
      <c r="B256" s="4">
        <v>7078500000000</v>
      </c>
      <c r="C256" s="4">
        <v>7073440000000</v>
      </c>
      <c r="D256" s="4">
        <v>5633470000000</v>
      </c>
      <c r="E256" s="4">
        <v>7169350000000</v>
      </c>
      <c r="F256" s="4">
        <v>7154380000000</v>
      </c>
      <c r="G256" s="4">
        <v>7316570000000</v>
      </c>
      <c r="H256" s="4">
        <v>7405510000000</v>
      </c>
      <c r="I256" s="4">
        <v>7340670000000</v>
      </c>
      <c r="J256" s="4">
        <v>7097010000000</v>
      </c>
      <c r="K256" s="4">
        <v>6901380000000</v>
      </c>
      <c r="L256" s="4">
        <v>6678730000000</v>
      </c>
      <c r="M256" s="4">
        <v>6631890000000</v>
      </c>
      <c r="N256" s="4">
        <v>6702110000000</v>
      </c>
      <c r="O256" s="4">
        <v>6663510000000</v>
      </c>
      <c r="P256" s="4">
        <v>6540260000000</v>
      </c>
      <c r="Q256" s="4">
        <v>6613750000000</v>
      </c>
      <c r="R256" s="4">
        <v>6726810000000</v>
      </c>
      <c r="S256" s="4">
        <v>6711140000000</v>
      </c>
      <c r="T256" s="4">
        <v>6748670000000</v>
      </c>
      <c r="U256" s="4">
        <v>6816380000000</v>
      </c>
      <c r="V256" s="4">
        <v>6908580000000</v>
      </c>
      <c r="W256" s="4">
        <v>7092460000000</v>
      </c>
      <c r="X256" s="4">
        <v>7220460000000</v>
      </c>
      <c r="Y256" s="4">
        <v>7386140000000</v>
      </c>
      <c r="Z256" s="4">
        <v>7546170000000</v>
      </c>
      <c r="AA256" s="4">
        <v>7780760000000</v>
      </c>
      <c r="AB256" s="4">
        <v>7994220000000</v>
      </c>
      <c r="AC256" s="4">
        <v>8116980000000</v>
      </c>
      <c r="AD256" s="4">
        <v>8227610000000</v>
      </c>
      <c r="AE256" s="4">
        <v>8327090000000</v>
      </c>
      <c r="AF256" s="4">
        <v>8470780000000</v>
      </c>
    </row>
    <row r="257" spans="1:32" x14ac:dyDescent="0.25">
      <c r="A257" t="s">
        <v>326</v>
      </c>
      <c r="B257" s="4">
        <v>2925640000000</v>
      </c>
      <c r="C257" s="4">
        <v>2836710000000</v>
      </c>
      <c r="D257" s="4">
        <v>2222870000000</v>
      </c>
      <c r="E257" s="4">
        <v>2596610000000</v>
      </c>
      <c r="F257" s="4">
        <v>2610060000000</v>
      </c>
      <c r="G257" s="4">
        <v>2604180000000</v>
      </c>
      <c r="H257" s="4">
        <v>2631740000000</v>
      </c>
      <c r="I257" s="4">
        <v>2644470000000</v>
      </c>
      <c r="J257" s="4">
        <v>2615710000000</v>
      </c>
      <c r="K257" s="4">
        <v>2580140000000</v>
      </c>
      <c r="L257" s="4">
        <v>2513490000000</v>
      </c>
      <c r="M257" s="4">
        <v>2480230000000</v>
      </c>
      <c r="N257" s="4">
        <v>2454830000000</v>
      </c>
      <c r="O257" s="4">
        <v>2427530000000</v>
      </c>
      <c r="P257" s="4">
        <v>2405090000000</v>
      </c>
      <c r="Q257" s="4">
        <v>2395950000000</v>
      </c>
      <c r="R257" s="4">
        <v>2382240000000</v>
      </c>
      <c r="S257" s="4">
        <v>2347810000000</v>
      </c>
      <c r="T257" s="4">
        <v>2330870000000</v>
      </c>
      <c r="U257" s="4">
        <v>2322350000000</v>
      </c>
      <c r="V257" s="4">
        <v>2303950000000</v>
      </c>
      <c r="W257" s="4">
        <v>2281460000000</v>
      </c>
      <c r="X257" s="4">
        <v>2260980000000</v>
      </c>
      <c r="Y257" s="4">
        <v>2258570000000</v>
      </c>
      <c r="Z257" s="4">
        <v>2240340000000</v>
      </c>
      <c r="AA257" s="4">
        <v>2233140000000</v>
      </c>
      <c r="AB257" s="4">
        <v>2217560000000</v>
      </c>
      <c r="AC257" s="4">
        <v>2205750000000</v>
      </c>
      <c r="AD257" s="4">
        <v>2193860000000</v>
      </c>
      <c r="AE257" s="4">
        <v>2178430000000</v>
      </c>
      <c r="AF257" s="4">
        <v>2163600000000</v>
      </c>
    </row>
    <row r="258" spans="1:32" x14ac:dyDescent="0.25">
      <c r="A258" t="s">
        <v>327</v>
      </c>
      <c r="B258">
        <v>0</v>
      </c>
      <c r="C258" s="4">
        <v>15374300000</v>
      </c>
      <c r="D258" s="4">
        <v>15788300000</v>
      </c>
      <c r="E258" s="4">
        <v>36767700000</v>
      </c>
      <c r="F258" s="4">
        <v>46823600000</v>
      </c>
      <c r="G258" s="4">
        <v>57929800000</v>
      </c>
      <c r="H258" s="4">
        <v>68886200000</v>
      </c>
      <c r="I258" s="4">
        <v>77286300000</v>
      </c>
      <c r="J258" s="4">
        <v>78241700000</v>
      </c>
      <c r="K258" s="4">
        <v>121276000000</v>
      </c>
      <c r="L258" s="4">
        <v>164429000000</v>
      </c>
      <c r="M258" s="4">
        <v>210945000000</v>
      </c>
      <c r="N258" s="4">
        <v>256827000000</v>
      </c>
      <c r="O258" s="4">
        <v>300240000000</v>
      </c>
      <c r="P258" s="4">
        <v>341946000000</v>
      </c>
      <c r="Q258" s="4">
        <v>382173000000</v>
      </c>
      <c r="R258" s="4">
        <v>423310000000</v>
      </c>
      <c r="S258" s="4">
        <v>416738000000</v>
      </c>
      <c r="T258" s="4">
        <v>416890000000</v>
      </c>
      <c r="U258" s="4">
        <v>417364000000</v>
      </c>
      <c r="V258" s="4">
        <v>416984000000</v>
      </c>
      <c r="W258" s="4">
        <v>420895000000</v>
      </c>
      <c r="X258" s="4">
        <v>420153000000</v>
      </c>
      <c r="Y258" s="4">
        <v>419086000000</v>
      </c>
      <c r="Z258" s="4">
        <v>420548000000</v>
      </c>
      <c r="AA258" s="4">
        <v>420783000000</v>
      </c>
      <c r="AB258" s="4">
        <v>421739000000</v>
      </c>
      <c r="AC258" s="4">
        <v>422025000000</v>
      </c>
      <c r="AD258" s="4">
        <v>420404000000</v>
      </c>
      <c r="AE258" s="4">
        <v>418987000000</v>
      </c>
      <c r="AF258" s="4">
        <v>417371000000</v>
      </c>
    </row>
    <row r="259" spans="1:32" x14ac:dyDescent="0.25">
      <c r="A259" t="s">
        <v>328</v>
      </c>
      <c r="B259" s="4">
        <v>3562480000000000</v>
      </c>
      <c r="C259" s="4">
        <v>3609630000000000</v>
      </c>
      <c r="D259" s="4">
        <v>3966280000000000</v>
      </c>
      <c r="E259" s="4">
        <v>4210840000000000</v>
      </c>
      <c r="F259" s="4">
        <v>4320710000000000</v>
      </c>
      <c r="G259" s="4">
        <v>4398550000000000</v>
      </c>
      <c r="H259" s="4">
        <v>4456750000000000</v>
      </c>
      <c r="I259" s="4">
        <v>4488070000000000</v>
      </c>
      <c r="J259" s="4">
        <v>4533440000000000</v>
      </c>
      <c r="K259" s="4">
        <v>4578830000000000</v>
      </c>
      <c r="L259" s="4">
        <v>4630920000000000</v>
      </c>
      <c r="M259" s="4">
        <v>4685960000000000</v>
      </c>
      <c r="N259" s="4">
        <v>4731030000000000</v>
      </c>
      <c r="O259" s="4">
        <v>4767750000000000</v>
      </c>
      <c r="P259" s="4">
        <v>4821790000000000</v>
      </c>
      <c r="Q259" s="4">
        <v>4880870000000000</v>
      </c>
      <c r="R259" s="4">
        <v>4927830000000000</v>
      </c>
      <c r="S259" s="4">
        <v>4978480000000000</v>
      </c>
      <c r="T259" s="4">
        <v>5021560000000000</v>
      </c>
      <c r="U259" s="4">
        <v>5062490000000000</v>
      </c>
      <c r="V259" s="4">
        <v>5070610000000000</v>
      </c>
      <c r="W259" s="4">
        <v>5089450000000000</v>
      </c>
      <c r="X259" s="4">
        <v>5114040000000000</v>
      </c>
      <c r="Y259" s="4">
        <v>5169930000000000</v>
      </c>
      <c r="Z259" s="4">
        <v>5207380000000000</v>
      </c>
      <c r="AA259" s="4">
        <v>5261600000000000</v>
      </c>
      <c r="AB259" s="4">
        <v>5284900000000000</v>
      </c>
      <c r="AC259" s="4">
        <v>5309430000000000</v>
      </c>
      <c r="AD259" s="4">
        <v>5325600000000000</v>
      </c>
      <c r="AE259" s="4">
        <v>5366930000000000</v>
      </c>
      <c r="AF259" s="4">
        <v>5417130000000000</v>
      </c>
    </row>
    <row r="260" spans="1:32" x14ac:dyDescent="0.25">
      <c r="A260" t="s">
        <v>329</v>
      </c>
      <c r="B260" s="4">
        <v>3653960000000</v>
      </c>
      <c r="C260" s="4">
        <v>4344560000000</v>
      </c>
      <c r="D260" s="4">
        <v>3133790000000</v>
      </c>
      <c r="E260" s="4">
        <v>5571180000000</v>
      </c>
      <c r="F260" s="4">
        <v>5270330000000</v>
      </c>
      <c r="G260" s="4">
        <v>5179750000000</v>
      </c>
      <c r="H260" s="4">
        <v>5130820000000</v>
      </c>
      <c r="I260" s="4">
        <v>5114480000000</v>
      </c>
      <c r="J260" s="4">
        <v>5039400000000</v>
      </c>
      <c r="K260" s="4">
        <v>4966440000000</v>
      </c>
      <c r="L260" s="4">
        <v>4824050000000</v>
      </c>
      <c r="M260" s="4">
        <v>4762520000000</v>
      </c>
      <c r="N260" s="4">
        <v>4718090000000</v>
      </c>
      <c r="O260" s="4">
        <v>4686720000000</v>
      </c>
      <c r="P260" s="4">
        <v>4653900000000</v>
      </c>
      <c r="Q260" s="4">
        <v>4655600000000</v>
      </c>
      <c r="R260" s="4">
        <v>4645880000000</v>
      </c>
      <c r="S260" s="4">
        <v>4588500000000</v>
      </c>
      <c r="T260" s="4">
        <v>4556950000000</v>
      </c>
      <c r="U260" s="4">
        <v>4558410000000</v>
      </c>
      <c r="V260" s="4">
        <v>4538120000000</v>
      </c>
      <c r="W260" s="4">
        <v>4531570000000</v>
      </c>
      <c r="X260" s="4">
        <v>4534790000000</v>
      </c>
      <c r="Y260" s="4">
        <v>4552760000000</v>
      </c>
      <c r="Z260" s="4">
        <v>4538260000000</v>
      </c>
      <c r="AA260" s="4">
        <v>4534640000000</v>
      </c>
      <c r="AB260" s="4">
        <v>4518410000000</v>
      </c>
      <c r="AC260" s="4">
        <v>4502220000000</v>
      </c>
      <c r="AD260" s="4">
        <v>4492540000000</v>
      </c>
      <c r="AE260" s="4">
        <v>4473760000000</v>
      </c>
      <c r="AF260" s="4">
        <v>4468370000000</v>
      </c>
    </row>
    <row r="261" spans="1:32" x14ac:dyDescent="0.25">
      <c r="A261" t="s">
        <v>330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25">
      <c r="A262" t="s">
        <v>331</v>
      </c>
      <c r="B262" s="4">
        <v>1888190000000</v>
      </c>
      <c r="C262" s="4">
        <v>1755720000000</v>
      </c>
      <c r="D262" s="4">
        <v>1403910000000</v>
      </c>
      <c r="E262" s="4">
        <v>1562150000000</v>
      </c>
      <c r="F262" s="4">
        <v>1557670000000</v>
      </c>
      <c r="G262" s="4">
        <v>1552710000000</v>
      </c>
      <c r="H262" s="4">
        <v>1567380000000</v>
      </c>
      <c r="I262" s="4">
        <v>1566130000000</v>
      </c>
      <c r="J262" s="4">
        <v>1546940000000</v>
      </c>
      <c r="K262" s="4">
        <v>1557190000000</v>
      </c>
      <c r="L262" s="4">
        <v>1550960000000</v>
      </c>
      <c r="M262" s="4">
        <v>1578040000000</v>
      </c>
      <c r="N262" s="4">
        <v>1609870000000</v>
      </c>
      <c r="O262" s="4">
        <v>1640030000000</v>
      </c>
      <c r="P262" s="4">
        <v>1669890000000</v>
      </c>
      <c r="Q262" s="4">
        <v>1711920000000</v>
      </c>
      <c r="R262" s="4">
        <v>1744550000000</v>
      </c>
      <c r="S262" s="4">
        <v>1720770000000</v>
      </c>
      <c r="T262" s="4">
        <v>1710630000000</v>
      </c>
      <c r="U262" s="4">
        <v>1700420000000</v>
      </c>
      <c r="V262" s="4">
        <v>1691870000000</v>
      </c>
      <c r="W262" s="4">
        <v>1683450000000</v>
      </c>
      <c r="X262" s="4">
        <v>1671670000000</v>
      </c>
      <c r="Y262" s="4">
        <v>1668250000000</v>
      </c>
      <c r="Z262" s="4">
        <v>1661530000000</v>
      </c>
      <c r="AA262" s="4">
        <v>1656500000000</v>
      </c>
      <c r="AB262" s="4">
        <v>1649710000000</v>
      </c>
      <c r="AC262" s="4">
        <v>1641090000000</v>
      </c>
      <c r="AD262" s="4">
        <v>1630420000000</v>
      </c>
      <c r="AE262" s="4">
        <v>1621890000000</v>
      </c>
      <c r="AF262" s="4">
        <v>1618290000000</v>
      </c>
    </row>
    <row r="263" spans="1:32" x14ac:dyDescent="0.25">
      <c r="A263" t="s">
        <v>332</v>
      </c>
      <c r="B263" s="4">
        <v>749962000000</v>
      </c>
      <c r="C263" s="4">
        <v>580094000000</v>
      </c>
      <c r="D263" s="4">
        <v>460517000000</v>
      </c>
      <c r="E263" s="4">
        <v>503353000000</v>
      </c>
      <c r="F263" s="4">
        <v>509061000000</v>
      </c>
      <c r="G263" s="4">
        <v>519386000000</v>
      </c>
      <c r="H263" s="4">
        <v>525856000000</v>
      </c>
      <c r="I263" s="4">
        <v>518247000000</v>
      </c>
      <c r="J263" s="4">
        <v>498749000000</v>
      </c>
      <c r="K263" s="4">
        <v>480073000000</v>
      </c>
      <c r="L263" s="4">
        <v>457171000000</v>
      </c>
      <c r="M263" s="4">
        <v>450652000000</v>
      </c>
      <c r="N263" s="4">
        <v>448552000000</v>
      </c>
      <c r="O263" s="4">
        <v>443132000000</v>
      </c>
      <c r="P263" s="4">
        <v>436554000000</v>
      </c>
      <c r="Q263" s="4">
        <v>433253000000</v>
      </c>
      <c r="R263" s="4">
        <v>427732000000</v>
      </c>
      <c r="S263" s="4">
        <v>418997000000</v>
      </c>
      <c r="T263" s="4">
        <v>414358000000</v>
      </c>
      <c r="U263" s="4">
        <v>411995000000</v>
      </c>
      <c r="V263" s="4">
        <v>405131000000</v>
      </c>
      <c r="W263" s="4">
        <v>399825000000</v>
      </c>
      <c r="X263" s="4">
        <v>397992000000</v>
      </c>
      <c r="Y263" s="4">
        <v>402191000000</v>
      </c>
      <c r="Z263" s="4">
        <v>400525000000</v>
      </c>
      <c r="AA263" s="4">
        <v>398959000000</v>
      </c>
      <c r="AB263" s="4">
        <v>393679000000</v>
      </c>
      <c r="AC263" s="4">
        <v>386519000000</v>
      </c>
      <c r="AD263" s="4">
        <v>380803000000</v>
      </c>
      <c r="AE263" s="4">
        <v>375896000000</v>
      </c>
      <c r="AF263" s="4">
        <v>375112000000</v>
      </c>
    </row>
    <row r="264" spans="1:32" x14ac:dyDescent="0.25">
      <c r="A264" t="s">
        <v>333</v>
      </c>
      <c r="B264" s="4">
        <v>792461000000</v>
      </c>
      <c r="C264" s="4">
        <v>668533000000</v>
      </c>
      <c r="D264" s="4">
        <v>528687000000</v>
      </c>
      <c r="E264" s="4">
        <v>779942000000</v>
      </c>
      <c r="F264" s="4">
        <v>782476000000</v>
      </c>
      <c r="G264" s="4">
        <v>788448000000</v>
      </c>
      <c r="H264" s="4">
        <v>802020000000</v>
      </c>
      <c r="I264" s="4">
        <v>798105000000</v>
      </c>
      <c r="J264" s="4">
        <v>778664000000</v>
      </c>
      <c r="K264" s="4">
        <v>759631000000</v>
      </c>
      <c r="L264" s="4">
        <v>732987000000</v>
      </c>
      <c r="M264" s="4">
        <v>725829000000</v>
      </c>
      <c r="N264" s="4">
        <v>723573000000</v>
      </c>
      <c r="O264" s="4">
        <v>719423000000</v>
      </c>
      <c r="P264" s="4">
        <v>713689000000</v>
      </c>
      <c r="Q264" s="4">
        <v>710966000000</v>
      </c>
      <c r="R264" s="4">
        <v>706739000000</v>
      </c>
      <c r="S264" s="4">
        <v>697053000000</v>
      </c>
      <c r="T264" s="4">
        <v>691943000000</v>
      </c>
      <c r="U264" s="4">
        <v>689993000000</v>
      </c>
      <c r="V264" s="4">
        <v>685734000000</v>
      </c>
      <c r="W264" s="4">
        <v>681680000000</v>
      </c>
      <c r="X264" s="4">
        <v>679492000000</v>
      </c>
      <c r="Y264" s="4">
        <v>683055000000</v>
      </c>
      <c r="Z264" s="4">
        <v>682508000000</v>
      </c>
      <c r="AA264" s="4">
        <v>680597000000</v>
      </c>
      <c r="AB264" s="4">
        <v>675242000000</v>
      </c>
      <c r="AC264" s="4">
        <v>668796000000</v>
      </c>
      <c r="AD264" s="4">
        <v>661501000000</v>
      </c>
      <c r="AE264" s="4">
        <v>655336000000</v>
      </c>
      <c r="AF264" s="4">
        <v>651273000000</v>
      </c>
    </row>
    <row r="265" spans="1:32" x14ac:dyDescent="0.25">
      <c r="A265" t="s">
        <v>334</v>
      </c>
      <c r="B265" s="4">
        <v>7233850000000</v>
      </c>
      <c r="C265" s="4">
        <v>7577790000000</v>
      </c>
      <c r="D265" s="4">
        <v>5821220000000</v>
      </c>
      <c r="E265" s="4">
        <v>10098300000000</v>
      </c>
      <c r="F265" s="4">
        <v>10102900000000</v>
      </c>
      <c r="G265" s="4">
        <v>10222500000000</v>
      </c>
      <c r="H265" s="4">
        <v>10399400000000</v>
      </c>
      <c r="I265" s="4">
        <v>10430600000000</v>
      </c>
      <c r="J265" s="4">
        <v>10261200000000</v>
      </c>
      <c r="K265" s="4">
        <v>10116500000000</v>
      </c>
      <c r="L265" s="4">
        <v>9843640000000</v>
      </c>
      <c r="M265" s="4">
        <v>9779450000000</v>
      </c>
      <c r="N265" s="4">
        <v>9762700000000</v>
      </c>
      <c r="O265" s="4">
        <v>9732400000000</v>
      </c>
      <c r="P265" s="4">
        <v>9729040000000</v>
      </c>
      <c r="Q265" s="4">
        <v>9795600000000</v>
      </c>
      <c r="R265" s="4">
        <v>9832530000000</v>
      </c>
      <c r="S265" s="4">
        <v>9774450000000</v>
      </c>
      <c r="T265" s="4">
        <v>9761190000000</v>
      </c>
      <c r="U265" s="4">
        <v>9785490000000</v>
      </c>
      <c r="V265" s="4">
        <v>9811360000000</v>
      </c>
      <c r="W265" s="4">
        <v>9879160000000</v>
      </c>
      <c r="X265" s="4">
        <v>9955740000000</v>
      </c>
      <c r="Y265" s="4">
        <v>10088500000000</v>
      </c>
      <c r="Z265" s="4">
        <v>10123500000000</v>
      </c>
      <c r="AA265" s="4">
        <v>10209100000000</v>
      </c>
      <c r="AB265" s="4">
        <v>10270900000000</v>
      </c>
      <c r="AC265" s="4">
        <v>10277400000000</v>
      </c>
      <c r="AD265" s="4">
        <v>10340700000000</v>
      </c>
      <c r="AE265" s="4">
        <v>10396600000000</v>
      </c>
      <c r="AF265" s="4">
        <v>10477500000000</v>
      </c>
    </row>
    <row r="266" spans="1:32" x14ac:dyDescent="0.25">
      <c r="A266" t="s">
        <v>335</v>
      </c>
      <c r="B266" s="4">
        <v>1436000000000</v>
      </c>
      <c r="C266" s="4">
        <v>2468720000000</v>
      </c>
      <c r="D266" s="4">
        <v>1524330000000</v>
      </c>
      <c r="E266" s="4">
        <v>1325780000000</v>
      </c>
      <c r="F266" s="4">
        <v>1026360000000</v>
      </c>
      <c r="G266" s="4">
        <v>947693000000</v>
      </c>
      <c r="H266" s="4">
        <v>875537000000</v>
      </c>
      <c r="I266" s="4">
        <v>868393000000</v>
      </c>
      <c r="J266" s="4">
        <v>866849000000</v>
      </c>
      <c r="K266" s="4">
        <v>870049000000</v>
      </c>
      <c r="L266" s="4">
        <v>871068000000</v>
      </c>
      <c r="M266" s="4">
        <v>876602000000</v>
      </c>
      <c r="N266" s="4">
        <v>873922000000</v>
      </c>
      <c r="O266" s="4">
        <v>879742000000</v>
      </c>
      <c r="P266" s="4">
        <v>879746000000</v>
      </c>
      <c r="Q266" s="4">
        <v>886449000000</v>
      </c>
      <c r="R266" s="4">
        <v>896001000000</v>
      </c>
      <c r="S266" s="4">
        <v>890446000000</v>
      </c>
      <c r="T266" s="4">
        <v>882234000000</v>
      </c>
      <c r="U266" s="4">
        <v>884687000000</v>
      </c>
      <c r="V266" s="4">
        <v>872894000000</v>
      </c>
      <c r="W266" s="4">
        <v>874857000000</v>
      </c>
      <c r="X266" s="4">
        <v>879073000000</v>
      </c>
      <c r="Y266" s="4">
        <v>881030000000</v>
      </c>
      <c r="Z266" s="4">
        <v>879410000000</v>
      </c>
      <c r="AA266" s="4">
        <v>878331000000</v>
      </c>
      <c r="AB266" s="4">
        <v>878736000000</v>
      </c>
      <c r="AC266" s="4">
        <v>881914000000</v>
      </c>
      <c r="AD266" s="4">
        <v>886236000000</v>
      </c>
      <c r="AE266" s="4">
        <v>885716000000</v>
      </c>
      <c r="AF266" s="4">
        <v>893955000000</v>
      </c>
    </row>
    <row r="267" spans="1:32" x14ac:dyDescent="0.25">
      <c r="A267" t="s">
        <v>336</v>
      </c>
      <c r="B267" s="4">
        <v>2195560000000</v>
      </c>
      <c r="C267" s="4">
        <v>2551300000000</v>
      </c>
      <c r="D267" s="4">
        <v>1882750000000</v>
      </c>
      <c r="E267" s="4">
        <v>2232260000000</v>
      </c>
      <c r="F267" s="4">
        <v>1954550000000</v>
      </c>
      <c r="G267" s="4">
        <v>1873200000000</v>
      </c>
      <c r="H267" s="4">
        <v>1794580000000</v>
      </c>
      <c r="I267" s="4">
        <v>1774980000000</v>
      </c>
      <c r="J267" s="4">
        <v>1742850000000</v>
      </c>
      <c r="K267" s="4">
        <v>1719950000000</v>
      </c>
      <c r="L267" s="4">
        <v>1683510000000</v>
      </c>
      <c r="M267" s="4">
        <v>1669530000000</v>
      </c>
      <c r="N267" s="4">
        <v>1645090000000</v>
      </c>
      <c r="O267" s="4">
        <v>1630460000000</v>
      </c>
      <c r="P267" s="4">
        <v>1611040000000</v>
      </c>
      <c r="Q267" s="4">
        <v>1608690000000</v>
      </c>
      <c r="R267" s="4">
        <v>1610920000000</v>
      </c>
      <c r="S267" s="4">
        <v>1594460000000</v>
      </c>
      <c r="T267" s="4">
        <v>1579130000000</v>
      </c>
      <c r="U267" s="4">
        <v>1580260000000</v>
      </c>
      <c r="V267" s="4">
        <v>1563710000000</v>
      </c>
      <c r="W267" s="4">
        <v>1563600000000</v>
      </c>
      <c r="X267" s="4">
        <v>1567010000000</v>
      </c>
      <c r="Y267" s="4">
        <v>1570710000000</v>
      </c>
      <c r="Z267" s="4">
        <v>1565540000000</v>
      </c>
      <c r="AA267" s="4">
        <v>1557470000000</v>
      </c>
      <c r="AB267" s="4">
        <v>1555730000000</v>
      </c>
      <c r="AC267" s="4">
        <v>1549650000000</v>
      </c>
      <c r="AD267" s="4">
        <v>1547440000000</v>
      </c>
      <c r="AE267" s="4">
        <v>1543550000000</v>
      </c>
      <c r="AF267" s="4">
        <v>1552660000000</v>
      </c>
    </row>
    <row r="268" spans="1:32" x14ac:dyDescent="0.25">
      <c r="A268" t="s">
        <v>337</v>
      </c>
      <c r="B268" s="4">
        <v>3541730000000</v>
      </c>
      <c r="C268" s="4">
        <v>4292540000000</v>
      </c>
      <c r="D268" s="4">
        <v>3032160000000</v>
      </c>
      <c r="E268" s="4">
        <v>3914600000000</v>
      </c>
      <c r="F268" s="4">
        <v>3490240000000</v>
      </c>
      <c r="G268" s="4">
        <v>3397270000000</v>
      </c>
      <c r="H268" s="4">
        <v>3302840000000</v>
      </c>
      <c r="I268" s="4">
        <v>3276430000000</v>
      </c>
      <c r="J268" s="4">
        <v>3226470000000</v>
      </c>
      <c r="K268" s="4">
        <v>3201110000000</v>
      </c>
      <c r="L268" s="4">
        <v>3129700000000</v>
      </c>
      <c r="M268" s="4">
        <v>3113630000000</v>
      </c>
      <c r="N268" s="4">
        <v>3089950000000</v>
      </c>
      <c r="O268" s="4">
        <v>3077960000000</v>
      </c>
      <c r="P268" s="4">
        <v>3066840000000</v>
      </c>
      <c r="Q268" s="4">
        <v>3082860000000</v>
      </c>
      <c r="R268" s="4">
        <v>3094900000000</v>
      </c>
      <c r="S268" s="4">
        <v>3061850000000</v>
      </c>
      <c r="T268" s="4">
        <v>3035050000000</v>
      </c>
      <c r="U268" s="4">
        <v>3033520000000</v>
      </c>
      <c r="V268" s="4">
        <v>3010540000000</v>
      </c>
      <c r="W268" s="4">
        <v>3015200000000</v>
      </c>
      <c r="X268" s="4">
        <v>3021250000000</v>
      </c>
      <c r="Y268" s="4">
        <v>3036330000000</v>
      </c>
      <c r="Z268" s="4">
        <v>3031230000000</v>
      </c>
      <c r="AA268" s="4">
        <v>3029910000000</v>
      </c>
      <c r="AB268" s="4">
        <v>3033200000000</v>
      </c>
      <c r="AC268" s="4">
        <v>3021580000000</v>
      </c>
      <c r="AD268" s="4">
        <v>3025250000000</v>
      </c>
      <c r="AE268" s="4">
        <v>3026870000000</v>
      </c>
      <c r="AF268" s="4">
        <v>3038840000000</v>
      </c>
    </row>
    <row r="269" spans="1:32" x14ac:dyDescent="0.25">
      <c r="A269" t="s">
        <v>338</v>
      </c>
      <c r="B269" s="4">
        <v>1190110000000</v>
      </c>
      <c r="C269" s="4">
        <v>1378330000000</v>
      </c>
      <c r="D269" s="4">
        <v>969263000000</v>
      </c>
      <c r="E269" s="4">
        <v>2769260000000</v>
      </c>
      <c r="F269" s="4">
        <v>2636650000000</v>
      </c>
      <c r="G269" s="4">
        <v>2614730000000</v>
      </c>
      <c r="H269" s="4">
        <v>2629430000000</v>
      </c>
      <c r="I269" s="4">
        <v>2649300000000</v>
      </c>
      <c r="J269" s="4">
        <v>2622510000000</v>
      </c>
      <c r="K269" s="4">
        <v>2569430000000</v>
      </c>
      <c r="L269" s="4">
        <v>2486840000000</v>
      </c>
      <c r="M269" s="4">
        <v>2455380000000</v>
      </c>
      <c r="N269" s="4">
        <v>2443270000000</v>
      </c>
      <c r="O269" s="4">
        <v>2439030000000</v>
      </c>
      <c r="P269" s="4">
        <v>2438340000000</v>
      </c>
      <c r="Q269" s="4">
        <v>2447070000000</v>
      </c>
      <c r="R269" s="4">
        <v>2451970000000</v>
      </c>
      <c r="S269" s="4">
        <v>2429620000000</v>
      </c>
      <c r="T269" s="4">
        <v>2412910000000</v>
      </c>
      <c r="U269" s="4">
        <v>2418700000000</v>
      </c>
      <c r="V269" s="4">
        <v>2408960000000</v>
      </c>
      <c r="W269" s="4">
        <v>2411080000000</v>
      </c>
      <c r="X269" s="4">
        <v>2415220000000</v>
      </c>
      <c r="Y269" s="4">
        <v>2422170000000</v>
      </c>
      <c r="Z269" s="4">
        <v>2419720000000</v>
      </c>
      <c r="AA269" s="4">
        <v>2412170000000</v>
      </c>
      <c r="AB269" s="4">
        <v>2401870000000</v>
      </c>
      <c r="AC269" s="4">
        <v>2392630000000</v>
      </c>
      <c r="AD269" s="4">
        <v>2375330000000</v>
      </c>
      <c r="AE269" s="4">
        <v>2355610000000</v>
      </c>
      <c r="AF269" s="4">
        <v>2340740000000</v>
      </c>
    </row>
    <row r="270" spans="1:32" x14ac:dyDescent="0.25">
      <c r="A270" t="s">
        <v>339</v>
      </c>
      <c r="B270" s="4">
        <v>673732000000</v>
      </c>
      <c r="C270" s="4">
        <v>780288000000</v>
      </c>
      <c r="D270" s="4">
        <v>548709000000</v>
      </c>
      <c r="E270" s="4">
        <v>1567700000000</v>
      </c>
      <c r="F270" s="4">
        <v>1492630000000</v>
      </c>
      <c r="G270" s="4">
        <v>1480220000000</v>
      </c>
      <c r="H270" s="4">
        <v>1488550000000</v>
      </c>
      <c r="I270" s="4">
        <v>1499790000000</v>
      </c>
      <c r="J270" s="4">
        <v>1484630000000</v>
      </c>
      <c r="K270" s="4">
        <v>1454580000000</v>
      </c>
      <c r="L270" s="4">
        <v>1407820000000</v>
      </c>
      <c r="M270" s="4">
        <v>1390010000000</v>
      </c>
      <c r="N270" s="4">
        <v>1383160000000</v>
      </c>
      <c r="O270" s="4">
        <v>1380760000000</v>
      </c>
      <c r="P270" s="4">
        <v>1380370000000</v>
      </c>
      <c r="Q270" s="4">
        <v>1385310000000</v>
      </c>
      <c r="R270" s="4">
        <v>1388080000000</v>
      </c>
      <c r="S270" s="4">
        <v>1375430000000</v>
      </c>
      <c r="T270" s="4">
        <v>1365970000000</v>
      </c>
      <c r="U270" s="4">
        <v>1369250000000</v>
      </c>
      <c r="V270" s="4">
        <v>1363730000000</v>
      </c>
      <c r="W270" s="4">
        <v>1364940000000</v>
      </c>
      <c r="X270" s="4">
        <v>1367280000000</v>
      </c>
      <c r="Y270" s="4">
        <v>1371210000000</v>
      </c>
      <c r="Z270" s="4">
        <v>1369830000000</v>
      </c>
      <c r="AA270" s="4">
        <v>1365550000000</v>
      </c>
      <c r="AB270" s="4">
        <v>1359720000000</v>
      </c>
      <c r="AC270" s="4">
        <v>1354490000000</v>
      </c>
      <c r="AD270" s="4">
        <v>1344700000000</v>
      </c>
      <c r="AE270" s="4">
        <v>1333530000000</v>
      </c>
      <c r="AF270" s="4">
        <v>1325110000000</v>
      </c>
    </row>
    <row r="271" spans="1:32" x14ac:dyDescent="0.25">
      <c r="A271" t="s">
        <v>340</v>
      </c>
      <c r="B271">
        <v>0</v>
      </c>
      <c r="C271">
        <v>0</v>
      </c>
      <c r="D271">
        <v>0</v>
      </c>
      <c r="E271" s="4">
        <v>726092000000</v>
      </c>
      <c r="F271" s="4">
        <v>725259000000</v>
      </c>
      <c r="G271" s="4">
        <v>726955000000</v>
      </c>
      <c r="H271" s="4">
        <v>735940000000</v>
      </c>
      <c r="I271" s="4">
        <v>738536000000</v>
      </c>
      <c r="J271" s="4">
        <v>731677000000</v>
      </c>
      <c r="K271" s="4">
        <v>725566000000</v>
      </c>
      <c r="L271" s="4">
        <v>713424000000</v>
      </c>
      <c r="M271" s="4">
        <v>708142000000</v>
      </c>
      <c r="N271" s="4">
        <v>702197000000</v>
      </c>
      <c r="O271" s="4">
        <v>696824000000</v>
      </c>
      <c r="P271" s="4">
        <v>692523000000</v>
      </c>
      <c r="Q271" s="4">
        <v>692258000000</v>
      </c>
      <c r="R271" s="4">
        <v>691359000000</v>
      </c>
      <c r="S271" s="4">
        <v>686317000000</v>
      </c>
      <c r="T271" s="4">
        <v>685258000000</v>
      </c>
      <c r="U271" s="4">
        <v>687006000000</v>
      </c>
      <c r="V271" s="4">
        <v>688004000000</v>
      </c>
      <c r="W271" s="4">
        <v>690264000000</v>
      </c>
      <c r="X271" s="4">
        <v>693853000000</v>
      </c>
      <c r="Y271" s="4">
        <v>701509000000</v>
      </c>
      <c r="Z271" s="4">
        <v>705917000000</v>
      </c>
      <c r="AA271" s="4">
        <v>708498000000</v>
      </c>
      <c r="AB271" s="4">
        <v>709676000000</v>
      </c>
      <c r="AC271" s="4">
        <v>710352000000</v>
      </c>
      <c r="AD271" s="4">
        <v>712151000000</v>
      </c>
      <c r="AE271" s="4">
        <v>714617000000</v>
      </c>
      <c r="AF271" s="4">
        <v>716769000000</v>
      </c>
    </row>
    <row r="272" spans="1:32" x14ac:dyDescent="0.25">
      <c r="A272" t="s">
        <v>341</v>
      </c>
      <c r="B272">
        <v>0</v>
      </c>
      <c r="C272" s="4">
        <v>165759000000</v>
      </c>
      <c r="D272" s="4">
        <v>111716000000</v>
      </c>
      <c r="E272" s="4">
        <v>198605000000</v>
      </c>
      <c r="F272" s="4">
        <v>212515000000</v>
      </c>
      <c r="G272" s="4">
        <v>222484000000</v>
      </c>
      <c r="H272" s="4">
        <v>227476000000</v>
      </c>
      <c r="I272" s="4">
        <v>233087000000</v>
      </c>
      <c r="J272" s="4">
        <v>237666000000</v>
      </c>
      <c r="K272" s="4">
        <v>241439000000</v>
      </c>
      <c r="L272" s="4">
        <v>246294000000</v>
      </c>
      <c r="M272" s="4">
        <v>252298000000</v>
      </c>
      <c r="N272" s="4">
        <v>258248000000</v>
      </c>
      <c r="O272" s="4">
        <v>263793000000</v>
      </c>
      <c r="P272" s="4">
        <v>268005000000</v>
      </c>
      <c r="Q272" s="4">
        <v>273648000000</v>
      </c>
      <c r="R272" s="4">
        <v>277874000000</v>
      </c>
      <c r="S272" s="4">
        <v>272844000000</v>
      </c>
      <c r="T272" s="4">
        <v>272267000000</v>
      </c>
      <c r="U272" s="4">
        <v>269568000000</v>
      </c>
      <c r="V272" s="4">
        <v>268608000000</v>
      </c>
      <c r="W272" s="4">
        <v>267485000000</v>
      </c>
      <c r="X272" s="4">
        <v>266813000000</v>
      </c>
      <c r="Y272" s="4">
        <v>266446000000</v>
      </c>
      <c r="Z272" s="4">
        <v>267144000000</v>
      </c>
      <c r="AA272" s="4">
        <v>267789000000</v>
      </c>
      <c r="AB272" s="4">
        <v>269108000000</v>
      </c>
      <c r="AC272" s="4">
        <v>267350000000</v>
      </c>
      <c r="AD272" s="4">
        <v>266762000000</v>
      </c>
      <c r="AE272" s="4">
        <v>267045000000</v>
      </c>
      <c r="AF272" s="4">
        <v>266233000000</v>
      </c>
    </row>
    <row r="273" spans="1:32" x14ac:dyDescent="0.25">
      <c r="A273" t="s">
        <v>342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25">
      <c r="A274" t="s">
        <v>343</v>
      </c>
      <c r="B274" s="4">
        <v>36703700000000</v>
      </c>
      <c r="C274" s="4">
        <v>35796300000000</v>
      </c>
      <c r="D274" s="4">
        <v>28565600000000</v>
      </c>
      <c r="E274" s="4">
        <v>59474200000000</v>
      </c>
      <c r="F274" s="4">
        <v>61440100000000</v>
      </c>
      <c r="G274" s="4">
        <v>63471800000000</v>
      </c>
      <c r="H274" s="4">
        <v>64926200000000</v>
      </c>
      <c r="I274" s="4">
        <v>65650400000000</v>
      </c>
      <c r="J274" s="4">
        <v>65984800000000</v>
      </c>
      <c r="K274" s="4">
        <v>66424400000000</v>
      </c>
      <c r="L274" s="4">
        <v>66906600000000</v>
      </c>
      <c r="M274" s="4">
        <v>67489000000000</v>
      </c>
      <c r="N274" s="4">
        <v>68185900000000</v>
      </c>
      <c r="O274" s="4">
        <v>68943500000000</v>
      </c>
      <c r="P274" s="4">
        <v>69716900000000</v>
      </c>
      <c r="Q274" s="4">
        <v>70750900000000</v>
      </c>
      <c r="R274" s="4">
        <v>71649300000000</v>
      </c>
      <c r="S274" s="4">
        <v>72425100000000</v>
      </c>
      <c r="T274" s="4">
        <v>73316200000000</v>
      </c>
      <c r="U274" s="4">
        <v>74193700000000</v>
      </c>
      <c r="V274" s="4">
        <v>75321100000000</v>
      </c>
      <c r="W274" s="4">
        <v>76594100000000</v>
      </c>
      <c r="X274" s="4">
        <v>77742200000000</v>
      </c>
      <c r="Y274" s="4">
        <v>78965200000000</v>
      </c>
      <c r="Z274" s="4">
        <v>80246000000000</v>
      </c>
      <c r="AA274" s="4">
        <v>81597500000000</v>
      </c>
      <c r="AB274" s="4">
        <v>83130800000000</v>
      </c>
      <c r="AC274" s="4">
        <v>84390000000000</v>
      </c>
      <c r="AD274" s="4">
        <v>85769600000000</v>
      </c>
      <c r="AE274" s="4">
        <v>87332200000000</v>
      </c>
      <c r="AF274" s="4">
        <v>88966500000000</v>
      </c>
    </row>
    <row r="275" spans="1:32" x14ac:dyDescent="0.25">
      <c r="A275" t="s">
        <v>344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25">
      <c r="A276" t="s">
        <v>345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25">
      <c r="A277" t="s">
        <v>346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5">
      <c r="A278" t="s">
        <v>347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25">
      <c r="A279" t="s">
        <v>348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25">
      <c r="A280" t="s">
        <v>349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5">
      <c r="A281" t="s">
        <v>350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25">
      <c r="A282" t="s">
        <v>351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25">
      <c r="A283" t="s">
        <v>352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5">
      <c r="A284" t="s">
        <v>353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25">
      <c r="A285" t="s">
        <v>354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25">
      <c r="A286" t="s">
        <v>355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25">
      <c r="A287" t="s">
        <v>356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25">
      <c r="A288" t="s">
        <v>357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25">
      <c r="A289" t="s">
        <v>358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25">
      <c r="A290" t="s">
        <v>359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25">
      <c r="A291" t="s">
        <v>360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25">
      <c r="A292" t="s">
        <v>361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25">
      <c r="A293" t="s">
        <v>362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25">
      <c r="A294" t="s">
        <v>363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25">
      <c r="A295" t="s">
        <v>364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25">
      <c r="A296" t="s">
        <v>365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25">
      <c r="A297" t="s">
        <v>366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25">
      <c r="A298" t="s">
        <v>367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25">
      <c r="A299" t="s">
        <v>368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5">
      <c r="A300" t="s">
        <v>369</v>
      </c>
      <c r="B300" s="4">
        <v>18574400000000</v>
      </c>
      <c r="C300" s="4">
        <v>31974100000000</v>
      </c>
      <c r="D300" s="4">
        <v>54316700000000</v>
      </c>
      <c r="E300" s="4">
        <v>85243100000000</v>
      </c>
      <c r="F300" s="4">
        <v>124785000000000</v>
      </c>
      <c r="G300" s="4">
        <v>174483000000000</v>
      </c>
      <c r="H300" s="4">
        <v>233197000000000</v>
      </c>
      <c r="I300" s="4">
        <v>299617000000000</v>
      </c>
      <c r="J300" s="4">
        <v>371608000000000</v>
      </c>
      <c r="K300" s="4">
        <v>449838000000000</v>
      </c>
      <c r="L300" s="4">
        <v>534451000000000</v>
      </c>
      <c r="M300" s="4">
        <v>623748000000000</v>
      </c>
      <c r="N300" s="4">
        <v>715297000000000</v>
      </c>
      <c r="O300" s="4">
        <v>802572000000000</v>
      </c>
      <c r="P300" s="4">
        <v>889428000000000</v>
      </c>
      <c r="Q300" s="4">
        <v>973222000000000</v>
      </c>
      <c r="R300" s="4">
        <v>1055680000000000</v>
      </c>
      <c r="S300" s="4">
        <v>1134250000000000</v>
      </c>
      <c r="T300" s="4">
        <v>1207920000000000</v>
      </c>
      <c r="U300" s="4">
        <v>1277420000000000</v>
      </c>
      <c r="V300" s="4">
        <v>1343410000000000</v>
      </c>
      <c r="W300" s="4">
        <v>1406450000000000</v>
      </c>
      <c r="X300" s="4">
        <v>1466900000000000</v>
      </c>
      <c r="Y300" s="4">
        <v>1524260000000000</v>
      </c>
      <c r="Z300" s="4">
        <v>1579820000000000</v>
      </c>
      <c r="AA300" s="4">
        <v>1634810000000000</v>
      </c>
      <c r="AB300" s="4">
        <v>1690230000000000</v>
      </c>
      <c r="AC300" s="4">
        <v>1745810000000000</v>
      </c>
      <c r="AD300" s="4">
        <v>1801110000000000</v>
      </c>
      <c r="AE300" s="4">
        <v>1856610000000000</v>
      </c>
      <c r="AF300" s="4">
        <v>1913370000000000</v>
      </c>
    </row>
    <row r="301" spans="1:32" x14ac:dyDescent="0.25">
      <c r="A301" t="s">
        <v>370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25">
      <c r="A302" t="s">
        <v>371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25">
      <c r="A303" t="s">
        <v>372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25">
      <c r="A304" t="s">
        <v>373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25">
      <c r="A305" t="s">
        <v>374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25">
      <c r="A306" t="s">
        <v>375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25">
      <c r="A307" t="s">
        <v>376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25">
      <c r="A308" t="s">
        <v>377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5">
      <c r="A309" t="s">
        <v>378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25">
      <c r="A310" t="s">
        <v>379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5">
      <c r="A311" t="s">
        <v>380</v>
      </c>
      <c r="B311" s="4">
        <v>5762790000000</v>
      </c>
      <c r="C311" s="4">
        <v>5592970000000</v>
      </c>
      <c r="D311" s="4">
        <v>5347250000000</v>
      </c>
      <c r="E311" s="4">
        <v>5021240000000</v>
      </c>
      <c r="F311" s="4">
        <v>4608450000000</v>
      </c>
      <c r="G311" s="4">
        <v>4188510000000</v>
      </c>
      <c r="H311" s="4">
        <v>3763850000000</v>
      </c>
      <c r="I311" s="4">
        <v>3338480000000</v>
      </c>
      <c r="J311" s="4">
        <v>2920640000000</v>
      </c>
      <c r="K311" s="4">
        <v>2521240000000</v>
      </c>
      <c r="L311" s="4">
        <v>2143440000000</v>
      </c>
      <c r="M311" s="4">
        <v>1786240000000</v>
      </c>
      <c r="N311" s="4">
        <v>1445720000000</v>
      </c>
      <c r="O311" s="4">
        <v>1469950000000</v>
      </c>
      <c r="P311" s="4">
        <v>1495740000000</v>
      </c>
      <c r="Q311" s="4">
        <v>1550820000000</v>
      </c>
      <c r="R311" s="4">
        <v>1614290000000</v>
      </c>
      <c r="S311" s="4">
        <v>1678930000000</v>
      </c>
      <c r="T311" s="4">
        <v>1754450000000</v>
      </c>
      <c r="U311" s="4">
        <v>1840810000000</v>
      </c>
      <c r="V311" s="4">
        <v>1935250000000</v>
      </c>
      <c r="W311" s="4">
        <v>2033770000000</v>
      </c>
      <c r="X311" s="4">
        <v>2131390000000</v>
      </c>
      <c r="Y311" s="4">
        <v>2225140000000</v>
      </c>
      <c r="Z311" s="4">
        <v>2312530000000</v>
      </c>
      <c r="AA311" s="4">
        <v>2393410000000</v>
      </c>
      <c r="AB311" s="4">
        <v>2467020000000</v>
      </c>
      <c r="AC311" s="4">
        <v>2530030000000</v>
      </c>
      <c r="AD311" s="4">
        <v>2581020000000</v>
      </c>
      <c r="AE311" s="4">
        <v>2621460000000</v>
      </c>
      <c r="AF311" s="4">
        <v>2652040000000</v>
      </c>
    </row>
    <row r="312" spans="1:32" x14ac:dyDescent="0.25">
      <c r="A312" t="s">
        <v>381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25">
      <c r="A313" t="s">
        <v>382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5">
      <c r="A314" t="s">
        <v>383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25">
      <c r="A315" t="s">
        <v>384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x14ac:dyDescent="0.25">
      <c r="A316" t="s">
        <v>385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25">
      <c r="A317" t="s">
        <v>386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25">
      <c r="A318" t="s">
        <v>387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5">
      <c r="A319" t="s">
        <v>388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25">
      <c r="A320" t="s">
        <v>389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25">
      <c r="A321" t="s">
        <v>390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25">
      <c r="A322" t="s">
        <v>391</v>
      </c>
      <c r="B322" s="4">
        <v>1.20346E+16</v>
      </c>
      <c r="C322" s="4">
        <v>1.23173E+16</v>
      </c>
      <c r="D322" s="4">
        <v>1.25222E+16</v>
      </c>
      <c r="E322" s="4">
        <v>1.25735E+16</v>
      </c>
      <c r="F322" s="4">
        <v>1.23905E+16</v>
      </c>
      <c r="G322" s="4">
        <v>1.21722E+16</v>
      </c>
      <c r="H322" s="4">
        <v>1.19181E+16</v>
      </c>
      <c r="I322" s="4">
        <v>1.16366E+16</v>
      </c>
      <c r="J322" s="4">
        <v>1.13412E+16</v>
      </c>
      <c r="K322" s="4">
        <v>1.1048E+16</v>
      </c>
      <c r="L322" s="4">
        <v>1.07618E+16</v>
      </c>
      <c r="M322" s="4">
        <v>1.04793E+16</v>
      </c>
      <c r="N322" s="4">
        <v>1.01835E+16</v>
      </c>
      <c r="O322" s="4">
        <v>9915030000000000</v>
      </c>
      <c r="P322" s="4">
        <v>9651050000000000</v>
      </c>
      <c r="Q322" s="4">
        <v>9399040000000000</v>
      </c>
      <c r="R322" s="4">
        <v>9159520000000000</v>
      </c>
      <c r="S322" s="4">
        <v>8941440000000000</v>
      </c>
      <c r="T322" s="4">
        <v>8744090000000000</v>
      </c>
      <c r="U322" s="4">
        <v>8570990000000000</v>
      </c>
      <c r="V322" s="4">
        <v>8414070000000000</v>
      </c>
      <c r="W322" s="4">
        <v>8267450000000000</v>
      </c>
      <c r="X322" s="4">
        <v>8134610000000000</v>
      </c>
      <c r="Y322" s="4">
        <v>8013300000000000</v>
      </c>
      <c r="Z322" s="4">
        <v>7899900000000000</v>
      </c>
      <c r="AA322" s="4">
        <v>7796620000000000</v>
      </c>
      <c r="AB322" s="4">
        <v>7704070000000000</v>
      </c>
      <c r="AC322" s="4">
        <v>7616430000000000</v>
      </c>
      <c r="AD322" s="4">
        <v>7533710000000000</v>
      </c>
      <c r="AE322" s="4">
        <v>7457930000000000</v>
      </c>
      <c r="AF322" s="4">
        <v>7389950000000000</v>
      </c>
    </row>
    <row r="323" spans="1:32" x14ac:dyDescent="0.25">
      <c r="A323" t="s">
        <v>392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25">
      <c r="A324" t="s">
        <v>393</v>
      </c>
      <c r="B324" s="4">
        <v>1366960000000000</v>
      </c>
      <c r="C324" s="4">
        <v>1399070000000000</v>
      </c>
      <c r="D324" s="4">
        <v>1422340000000000</v>
      </c>
      <c r="E324" s="4">
        <v>1428170000000000</v>
      </c>
      <c r="F324" s="4">
        <v>1407390000000000</v>
      </c>
      <c r="G324" s="4">
        <v>1382590000000000</v>
      </c>
      <c r="H324" s="4">
        <v>1353730000000000</v>
      </c>
      <c r="I324" s="4">
        <v>1321760000000000</v>
      </c>
      <c r="J324" s="4">
        <v>1288190000000000</v>
      </c>
      <c r="K324" s="4">
        <v>1254900000000000</v>
      </c>
      <c r="L324" s="4">
        <v>1222390000000000</v>
      </c>
      <c r="M324" s="4">
        <v>1190300000000000</v>
      </c>
      <c r="N324" s="4">
        <v>1156700000000000</v>
      </c>
      <c r="O324" s="4">
        <v>1126210000000000</v>
      </c>
      <c r="P324" s="4">
        <v>1096220000000000</v>
      </c>
      <c r="Q324" s="4">
        <v>1067600000000000</v>
      </c>
      <c r="R324" s="4">
        <v>1040390000000000</v>
      </c>
      <c r="S324" s="4">
        <v>1015620000000000</v>
      </c>
      <c r="T324" s="4">
        <v>993204000000000</v>
      </c>
      <c r="U324" s="4">
        <v>973542000000000</v>
      </c>
      <c r="V324" s="4">
        <v>955718000000000</v>
      </c>
      <c r="W324" s="4">
        <v>939064000000000</v>
      </c>
      <c r="X324" s="4">
        <v>923975000000000</v>
      </c>
      <c r="Y324" s="4">
        <v>910197000000000</v>
      </c>
      <c r="Z324" s="4">
        <v>897316000000000</v>
      </c>
      <c r="AA324" s="4">
        <v>885585000000000</v>
      </c>
      <c r="AB324" s="4">
        <v>875072000000000</v>
      </c>
      <c r="AC324" s="4">
        <v>865118000000000</v>
      </c>
      <c r="AD324" s="4">
        <v>855722000000000</v>
      </c>
      <c r="AE324" s="4">
        <v>847115000000000</v>
      </c>
      <c r="AF324" s="4">
        <v>839393000000000</v>
      </c>
    </row>
    <row r="325" spans="1:32" x14ac:dyDescent="0.25">
      <c r="A325" t="s">
        <v>394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25">
      <c r="A326" t="s">
        <v>395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25">
      <c r="A327" t="s">
        <v>396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25">
      <c r="A328" t="s">
        <v>397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25">
      <c r="A329" t="s">
        <v>398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25">
      <c r="A330" t="s">
        <v>399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25">
      <c r="A331" t="s">
        <v>400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25">
      <c r="A332" t="s">
        <v>401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25">
      <c r="A333" t="s">
        <v>402</v>
      </c>
      <c r="B333" s="4">
        <v>49773800000000</v>
      </c>
      <c r="C333" s="4">
        <v>48456600000000</v>
      </c>
      <c r="D333" s="4">
        <v>46405900000000</v>
      </c>
      <c r="E333" s="4">
        <v>44296500000000</v>
      </c>
      <c r="F333" s="4">
        <v>41069500000000</v>
      </c>
      <c r="G333" s="4">
        <v>37978700000000</v>
      </c>
      <c r="H333" s="4">
        <v>34955800000000</v>
      </c>
      <c r="I333" s="4">
        <v>32040800000000</v>
      </c>
      <c r="J333" s="4">
        <v>29317900000000</v>
      </c>
      <c r="K333" s="4">
        <v>26833400000000</v>
      </c>
      <c r="L333" s="4">
        <v>24642200000000</v>
      </c>
      <c r="M333" s="4">
        <v>22718700000000</v>
      </c>
      <c r="N333" s="4">
        <v>20979100000000</v>
      </c>
      <c r="O333" s="4">
        <v>22705700000000</v>
      </c>
      <c r="P333" s="4">
        <v>24363200000000</v>
      </c>
      <c r="Q333" s="4">
        <v>26078400000000</v>
      </c>
      <c r="R333" s="4">
        <v>27726000000000</v>
      </c>
      <c r="S333" s="4">
        <v>29368000000000</v>
      </c>
      <c r="T333" s="4">
        <v>30963700000000</v>
      </c>
      <c r="U333" s="4">
        <v>32668700000000</v>
      </c>
      <c r="V333" s="4">
        <v>34375700000000</v>
      </c>
      <c r="W333" s="4">
        <v>36069000000000</v>
      </c>
      <c r="X333" s="4">
        <v>37782300000000</v>
      </c>
      <c r="Y333" s="4">
        <v>39380400000000</v>
      </c>
      <c r="Z333" s="4">
        <v>40952200000000</v>
      </c>
      <c r="AA333" s="4">
        <v>42588700000000</v>
      </c>
      <c r="AB333" s="4">
        <v>44204000000000</v>
      </c>
      <c r="AC333" s="4">
        <v>45827300000000</v>
      </c>
      <c r="AD333" s="4">
        <v>47407400000000</v>
      </c>
      <c r="AE333" s="4">
        <v>49008000000000</v>
      </c>
      <c r="AF333" s="4">
        <v>50671200000000</v>
      </c>
    </row>
    <row r="334" spans="1:32" x14ac:dyDescent="0.25">
      <c r="A334" t="s">
        <v>403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5">
      <c r="A335" t="s">
        <v>404</v>
      </c>
      <c r="B335" s="4">
        <v>2239920000000</v>
      </c>
      <c r="C335" s="4">
        <v>1911250000000</v>
      </c>
      <c r="D335" s="4">
        <v>1830360000000</v>
      </c>
      <c r="E335" s="4">
        <v>1317370000000</v>
      </c>
      <c r="F335" s="4">
        <v>1219970000000</v>
      </c>
      <c r="G335" s="4">
        <v>1090660000000</v>
      </c>
      <c r="H335" s="4">
        <v>1000380000000</v>
      </c>
      <c r="I335" s="4">
        <v>934912000000</v>
      </c>
      <c r="J335" s="4">
        <v>868181000000</v>
      </c>
      <c r="K335" s="4">
        <v>814403000000</v>
      </c>
      <c r="L335" s="4">
        <v>752287000000</v>
      </c>
      <c r="M335" s="4">
        <v>668490000000</v>
      </c>
      <c r="N335" s="4">
        <v>606480000000</v>
      </c>
      <c r="O335" s="4">
        <v>653276000000</v>
      </c>
      <c r="P335" s="4">
        <v>707117000000</v>
      </c>
      <c r="Q335" s="4">
        <v>786393000000</v>
      </c>
      <c r="R335" s="4">
        <v>843592000000</v>
      </c>
      <c r="S335" s="4">
        <v>913684000000</v>
      </c>
      <c r="T335" s="4">
        <v>1059060000000</v>
      </c>
      <c r="U335" s="4">
        <v>1127040000000</v>
      </c>
      <c r="V335" s="4">
        <v>1201650000000</v>
      </c>
      <c r="W335" s="4">
        <v>1289450000000</v>
      </c>
      <c r="X335" s="4">
        <v>1364190000000</v>
      </c>
      <c r="Y335" s="4">
        <v>1524490000000</v>
      </c>
      <c r="Z335" s="4">
        <v>1686540000000</v>
      </c>
      <c r="AA335" s="4">
        <v>1779850000000</v>
      </c>
      <c r="AB335" s="4">
        <v>1910810000000</v>
      </c>
      <c r="AC335" s="4">
        <v>2015610000000</v>
      </c>
      <c r="AD335" s="4">
        <v>2154310000000</v>
      </c>
      <c r="AE335" s="4">
        <v>2289180000000</v>
      </c>
      <c r="AF335" s="4">
        <v>2397130000000</v>
      </c>
    </row>
    <row r="336" spans="1:32" x14ac:dyDescent="0.25">
      <c r="A336" t="s">
        <v>405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25">
      <c r="A337" t="s">
        <v>406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25">
      <c r="A338" t="s">
        <v>407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25">
      <c r="A339" t="s">
        <v>408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5">
      <c r="A340" t="s">
        <v>409</v>
      </c>
      <c r="B340" s="4">
        <v>9754140000000</v>
      </c>
      <c r="C340" s="4">
        <v>11159100000000</v>
      </c>
      <c r="D340" s="4">
        <v>12843000000000</v>
      </c>
      <c r="E340" s="4">
        <v>14431800000000</v>
      </c>
      <c r="F340" s="4">
        <v>15800600000000</v>
      </c>
      <c r="G340" s="4">
        <v>17110700000000</v>
      </c>
      <c r="H340" s="4">
        <v>18365000000000</v>
      </c>
      <c r="I340" s="4">
        <v>19611300000000</v>
      </c>
      <c r="J340" s="4">
        <v>20892400000000</v>
      </c>
      <c r="K340" s="4">
        <v>22322500000000</v>
      </c>
      <c r="L340" s="4">
        <v>23950700000000</v>
      </c>
      <c r="M340" s="4">
        <v>25828300000000</v>
      </c>
      <c r="N340" s="4">
        <v>27930400000000</v>
      </c>
      <c r="O340" s="4">
        <v>29322800000000</v>
      </c>
      <c r="P340" s="4">
        <v>31024200000000</v>
      </c>
      <c r="Q340" s="4">
        <v>32902100000000</v>
      </c>
      <c r="R340" s="4">
        <v>35199300000000</v>
      </c>
      <c r="S340" s="4">
        <v>37857500000000</v>
      </c>
      <c r="T340" s="4">
        <v>40883500000000</v>
      </c>
      <c r="U340" s="4">
        <v>44234900000000</v>
      </c>
      <c r="V340" s="4">
        <v>47780100000000</v>
      </c>
      <c r="W340" s="4">
        <v>51415000000000</v>
      </c>
      <c r="X340" s="4">
        <v>55034600000000</v>
      </c>
      <c r="Y340" s="4">
        <v>58564900000000</v>
      </c>
      <c r="Z340" s="4">
        <v>61910800000000</v>
      </c>
      <c r="AA340" s="4">
        <v>65036100000000</v>
      </c>
      <c r="AB340" s="4">
        <v>67921800000000</v>
      </c>
      <c r="AC340" s="4">
        <v>70474000000000</v>
      </c>
      <c r="AD340" s="4">
        <v>72652900000000</v>
      </c>
      <c r="AE340" s="4">
        <v>74482500000000</v>
      </c>
      <c r="AF340" s="4">
        <v>76002200000000</v>
      </c>
    </row>
    <row r="341" spans="1:32" x14ac:dyDescent="0.25">
      <c r="A341" t="s">
        <v>410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25">
      <c r="A342" t="s">
        <v>411</v>
      </c>
      <c r="B342" s="4">
        <v>7964700000000</v>
      </c>
      <c r="C342" s="4">
        <v>9109910000000</v>
      </c>
      <c r="D342" s="4">
        <v>10486900000000</v>
      </c>
      <c r="E342" s="4">
        <v>11781600000000</v>
      </c>
      <c r="F342" s="4">
        <v>12899000000000</v>
      </c>
      <c r="G342" s="4">
        <v>13968600000000</v>
      </c>
      <c r="H342" s="4">
        <v>14992500000000</v>
      </c>
      <c r="I342" s="4">
        <v>16013500000000</v>
      </c>
      <c r="J342" s="4">
        <v>17059600000000</v>
      </c>
      <c r="K342" s="4">
        <v>18227400000000</v>
      </c>
      <c r="L342" s="4">
        <v>19556900000000</v>
      </c>
      <c r="M342" s="4">
        <v>21090000000000</v>
      </c>
      <c r="N342" s="4">
        <v>22806400000000</v>
      </c>
      <c r="O342" s="4">
        <v>23943400000000</v>
      </c>
      <c r="P342" s="4">
        <v>25332700000000</v>
      </c>
      <c r="Q342" s="4">
        <v>26866000000000</v>
      </c>
      <c r="R342" s="4">
        <v>28741800000000</v>
      </c>
      <c r="S342" s="4">
        <v>30912400000000</v>
      </c>
      <c r="T342" s="4">
        <v>33383200000000</v>
      </c>
      <c r="U342" s="4">
        <v>36119800000000</v>
      </c>
      <c r="V342" s="4">
        <v>39005900000000</v>
      </c>
      <c r="W342" s="4">
        <v>41973400000000</v>
      </c>
      <c r="X342" s="4">
        <v>44928300000000</v>
      </c>
      <c r="Y342" s="4">
        <v>47810300000000</v>
      </c>
      <c r="Z342" s="4">
        <v>50541700000000</v>
      </c>
      <c r="AA342" s="4">
        <v>53093100000000</v>
      </c>
      <c r="AB342" s="4">
        <v>55448900000000</v>
      </c>
      <c r="AC342" s="4">
        <v>57532400000000</v>
      </c>
      <c r="AD342" s="4">
        <v>59298000000000</v>
      </c>
      <c r="AE342" s="4">
        <v>60791300000000</v>
      </c>
      <c r="AF342" s="4">
        <v>62031600000000</v>
      </c>
    </row>
    <row r="343" spans="1:32" x14ac:dyDescent="0.25">
      <c r="A343" t="s">
        <v>412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25">
      <c r="A344" t="s">
        <v>413</v>
      </c>
      <c r="B344" s="4">
        <v>15961300000</v>
      </c>
      <c r="C344" s="4">
        <v>20289300000</v>
      </c>
      <c r="D344" s="4">
        <v>21015900000</v>
      </c>
      <c r="E344" s="4">
        <v>26239700000</v>
      </c>
      <c r="F344" s="4">
        <v>28728400000</v>
      </c>
      <c r="G344" s="4">
        <v>31110400000</v>
      </c>
      <c r="H344" s="4">
        <v>33390800000</v>
      </c>
      <c r="I344" s="4">
        <v>32091200000</v>
      </c>
      <c r="J344" s="4">
        <v>34187600000</v>
      </c>
      <c r="K344" s="4">
        <v>36527800000</v>
      </c>
      <c r="L344" s="4">
        <v>39192100000</v>
      </c>
      <c r="M344" s="4">
        <v>42264500000</v>
      </c>
      <c r="N344" s="4">
        <v>45704300000</v>
      </c>
      <c r="O344" s="4">
        <v>47982700000</v>
      </c>
      <c r="P344" s="4">
        <v>50766900000</v>
      </c>
      <c r="Q344" s="4">
        <v>53839700000</v>
      </c>
      <c r="R344" s="4">
        <v>57598800000</v>
      </c>
      <c r="S344" s="4">
        <v>61948700000</v>
      </c>
      <c r="T344" s="4">
        <v>66900300000</v>
      </c>
      <c r="U344" s="4">
        <v>72384400000</v>
      </c>
      <c r="V344" s="4">
        <v>86872800000</v>
      </c>
      <c r="W344" s="4">
        <v>93481900000</v>
      </c>
      <c r="X344" s="4">
        <v>100063000000</v>
      </c>
      <c r="Y344" s="4">
        <v>106482000000</v>
      </c>
      <c r="Z344" s="4">
        <v>112565000000</v>
      </c>
      <c r="AA344" s="4">
        <v>118248000000</v>
      </c>
      <c r="AB344" s="4">
        <v>123494000000</v>
      </c>
      <c r="AC344" s="4">
        <v>128135000000</v>
      </c>
      <c r="AD344" s="4">
        <v>145306000000</v>
      </c>
      <c r="AE344" s="4">
        <v>148965000000</v>
      </c>
      <c r="AF344" s="4">
        <v>152004000000</v>
      </c>
    </row>
    <row r="345" spans="1:32" x14ac:dyDescent="0.25">
      <c r="A345" t="s">
        <v>414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25">
      <c r="A346" t="s">
        <v>415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5">
      <c r="A347" t="s">
        <v>416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25">
      <c r="A348" t="s">
        <v>417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25">
      <c r="A349" t="s">
        <v>418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25">
      <c r="A350" t="s">
        <v>419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25">
      <c r="A351" t="s">
        <v>420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5">
      <c r="A352" t="s">
        <v>421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25">
      <c r="A353" t="s">
        <v>422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25">
      <c r="A354" t="s">
        <v>423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25">
      <c r="A355" t="s">
        <v>424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5">
      <c r="A356" t="s">
        <v>425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25">
      <c r="A357" t="s">
        <v>426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25">
      <c r="A358" t="s">
        <v>427</v>
      </c>
      <c r="B358" s="4">
        <v>5381250000000</v>
      </c>
      <c r="C358" s="4">
        <v>5240860000000</v>
      </c>
      <c r="D358" s="4">
        <v>5052890000000</v>
      </c>
      <c r="E358" s="4">
        <v>4786110000000</v>
      </c>
      <c r="F358" s="4">
        <v>4424430000000</v>
      </c>
      <c r="G358" s="4">
        <v>4053090000000</v>
      </c>
      <c r="H358" s="4">
        <v>3674870000000</v>
      </c>
      <c r="I358" s="4">
        <v>3292560000000</v>
      </c>
      <c r="J358" s="4">
        <v>2912840000000</v>
      </c>
      <c r="K358" s="4">
        <v>2545860000000</v>
      </c>
      <c r="L358" s="4">
        <v>2194470000000</v>
      </c>
      <c r="M358" s="4">
        <v>1857620000000</v>
      </c>
      <c r="N358" s="4">
        <v>1533710000000</v>
      </c>
      <c r="O358" s="4">
        <v>1521940000000</v>
      </c>
      <c r="P358" s="4">
        <v>1519670000000</v>
      </c>
      <c r="Q358" s="4">
        <v>1504100000000</v>
      </c>
      <c r="R358" s="4">
        <v>1489530000000</v>
      </c>
      <c r="S358" s="4">
        <v>1479550000000</v>
      </c>
      <c r="T358" s="4">
        <v>1474580000000</v>
      </c>
      <c r="U358" s="4">
        <v>1476200000000</v>
      </c>
      <c r="V358" s="4">
        <v>1483170000000</v>
      </c>
      <c r="W358" s="4">
        <v>1494940000000</v>
      </c>
      <c r="X358" s="4">
        <v>1508050000000</v>
      </c>
      <c r="Y358" s="4">
        <v>1521860000000</v>
      </c>
      <c r="Z358" s="4">
        <v>1535770000000</v>
      </c>
      <c r="AA358" s="4">
        <v>1550620000000</v>
      </c>
      <c r="AB358" s="4">
        <v>1566990000000</v>
      </c>
      <c r="AC358" s="4">
        <v>1583270000000</v>
      </c>
      <c r="AD358" s="4">
        <v>1599470000000</v>
      </c>
      <c r="AE358" s="4">
        <v>1616390000000</v>
      </c>
      <c r="AF358" s="4">
        <v>1634550000000</v>
      </c>
    </row>
    <row r="359" spans="1:32" x14ac:dyDescent="0.25">
      <c r="A359" t="s">
        <v>428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25">
      <c r="A360" t="s">
        <v>429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5">
      <c r="A361" t="s">
        <v>430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5">
      <c r="A362" t="s">
        <v>431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25">
      <c r="A363" t="s">
        <v>432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5">
      <c r="A364" t="s">
        <v>433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25">
      <c r="A365" t="s">
        <v>434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25">
      <c r="A366" t="s">
        <v>435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25">
      <c r="A367" t="s">
        <v>436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5">
      <c r="A368" t="s">
        <v>437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25">
      <c r="A369" t="s">
        <v>438</v>
      </c>
      <c r="B369" s="4">
        <v>173331000000</v>
      </c>
      <c r="C369" s="4">
        <v>166616000000</v>
      </c>
      <c r="D369" s="4">
        <v>157932000000</v>
      </c>
      <c r="E369" s="4">
        <v>146431000000</v>
      </c>
      <c r="F369" s="4">
        <v>131964000000</v>
      </c>
      <c r="G369" s="4">
        <v>117349000000</v>
      </c>
      <c r="H369" s="4">
        <v>102696000000</v>
      </c>
      <c r="I369" s="4">
        <v>88198200000</v>
      </c>
      <c r="J369" s="4">
        <v>74264900000</v>
      </c>
      <c r="K369" s="4">
        <v>61466100000</v>
      </c>
      <c r="L369" s="4">
        <v>50126100000</v>
      </c>
      <c r="M369" s="4">
        <v>40218800000</v>
      </c>
      <c r="N369" s="4">
        <v>31733600000</v>
      </c>
      <c r="O369" s="4">
        <v>39814100000</v>
      </c>
      <c r="P369" s="4">
        <v>49607100000</v>
      </c>
      <c r="Q369" s="4">
        <v>61140000000</v>
      </c>
      <c r="R369" s="4">
        <v>74909000000</v>
      </c>
      <c r="S369" s="4">
        <v>90693100000</v>
      </c>
      <c r="T369" s="4">
        <v>108515000000</v>
      </c>
      <c r="U369" s="4">
        <v>128339000000</v>
      </c>
      <c r="V369" s="4">
        <v>149941000000</v>
      </c>
      <c r="W369" s="4">
        <v>173020000000</v>
      </c>
      <c r="X369" s="4">
        <v>197066000000</v>
      </c>
      <c r="Y369" s="4">
        <v>221776000000</v>
      </c>
      <c r="Z369" s="4">
        <v>246874000000</v>
      </c>
      <c r="AA369" s="4">
        <v>272358000000</v>
      </c>
      <c r="AB369" s="4">
        <v>297871000000</v>
      </c>
      <c r="AC369" s="4">
        <v>322870000000</v>
      </c>
      <c r="AD369" s="4">
        <v>347156000000</v>
      </c>
      <c r="AE369" s="4">
        <v>370384000000</v>
      </c>
      <c r="AF369" s="4">
        <v>392818000000</v>
      </c>
    </row>
    <row r="370" spans="1:32" x14ac:dyDescent="0.25">
      <c r="A370" t="s">
        <v>439</v>
      </c>
      <c r="B370" s="4">
        <v>252751000000</v>
      </c>
      <c r="C370" s="4">
        <v>1523850000000</v>
      </c>
      <c r="D370" s="4">
        <v>4385880000000</v>
      </c>
      <c r="E370" s="4">
        <v>8787080000000</v>
      </c>
      <c r="F370" s="4">
        <v>15253100000000</v>
      </c>
      <c r="G370" s="4">
        <v>23772100000000</v>
      </c>
      <c r="H370" s="4">
        <v>33791700000000</v>
      </c>
      <c r="I370" s="4">
        <v>44696400000000</v>
      </c>
      <c r="J370" s="4">
        <v>56242600000000</v>
      </c>
      <c r="K370" s="4">
        <v>68627100000000</v>
      </c>
      <c r="L370" s="4">
        <v>81655000000000</v>
      </c>
      <c r="M370" s="4">
        <v>95345000000000</v>
      </c>
      <c r="N370" s="4">
        <v>109514000000000</v>
      </c>
      <c r="O370" s="4">
        <v>124012000000000</v>
      </c>
      <c r="P370" s="4">
        <v>137903000000000</v>
      </c>
      <c r="Q370" s="4">
        <v>151798000000000</v>
      </c>
      <c r="R370" s="4">
        <v>164675000000000</v>
      </c>
      <c r="S370" s="4">
        <v>176770000000000</v>
      </c>
      <c r="T370" s="4">
        <v>187250000000000</v>
      </c>
      <c r="U370" s="4">
        <v>196020000000000</v>
      </c>
      <c r="V370" s="4">
        <v>203586000000000</v>
      </c>
      <c r="W370" s="4">
        <v>210774000000000</v>
      </c>
      <c r="X370" s="4">
        <v>217862000000000</v>
      </c>
      <c r="Y370" s="4">
        <v>224619000000000</v>
      </c>
      <c r="Z370" s="4">
        <v>231167000000000</v>
      </c>
      <c r="AA370" s="4">
        <v>237263000000000</v>
      </c>
      <c r="AB370" s="4">
        <v>243470000000000</v>
      </c>
      <c r="AC370" s="4">
        <v>249359000000000</v>
      </c>
      <c r="AD370" s="4">
        <v>254766000000000</v>
      </c>
      <c r="AE370" s="4">
        <v>260474000000000</v>
      </c>
      <c r="AF370" s="4">
        <v>266696000000000</v>
      </c>
    </row>
    <row r="371" spans="1:32" x14ac:dyDescent="0.25">
      <c r="A371" t="s">
        <v>440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25">
      <c r="A372" t="s">
        <v>441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25">
      <c r="A373" t="s">
        <v>442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5">
      <c r="A374" t="s">
        <v>443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5">
      <c r="A375" t="s">
        <v>444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5">
      <c r="A376" t="s">
        <v>445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25">
      <c r="A377" t="s">
        <v>446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25">
      <c r="A378" t="s">
        <v>447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5">
      <c r="A379" t="s">
        <v>448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25">
      <c r="A380" t="s">
        <v>449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5">
      <c r="A381" t="s">
        <v>450</v>
      </c>
      <c r="B381" s="4">
        <v>1900870000000</v>
      </c>
      <c r="C381" s="4">
        <v>1972440000000</v>
      </c>
      <c r="D381" s="4">
        <v>1896930000000</v>
      </c>
      <c r="E381" s="4">
        <v>1796880000000</v>
      </c>
      <c r="F381" s="4">
        <v>1689370000000</v>
      </c>
      <c r="G381" s="4">
        <v>1580440000000</v>
      </c>
      <c r="H381" s="4">
        <v>1465450000000</v>
      </c>
      <c r="I381" s="4">
        <v>1344520000000</v>
      </c>
      <c r="J381" s="4">
        <v>1224340000000</v>
      </c>
      <c r="K381" s="4">
        <v>1105440000000</v>
      </c>
      <c r="L381" s="4">
        <v>986412000000</v>
      </c>
      <c r="M381" s="4">
        <v>868299000000</v>
      </c>
      <c r="N381" s="4">
        <v>750378000000</v>
      </c>
      <c r="O381" s="4">
        <v>633407000000</v>
      </c>
      <c r="P381" s="4">
        <v>645541000000</v>
      </c>
      <c r="Q381" s="4">
        <v>650861000000</v>
      </c>
      <c r="R381" s="4">
        <v>669622000000</v>
      </c>
      <c r="S381" s="4">
        <v>689018000000</v>
      </c>
      <c r="T381" s="4">
        <v>701636000000</v>
      </c>
      <c r="U381" s="4">
        <v>714967000000</v>
      </c>
      <c r="V381" s="4">
        <v>730227000000</v>
      </c>
      <c r="W381" s="4">
        <v>748088000000</v>
      </c>
      <c r="X381" s="4">
        <v>767435000000</v>
      </c>
      <c r="Y381" s="4">
        <v>786978000000</v>
      </c>
      <c r="Z381" s="4">
        <v>805815000000</v>
      </c>
      <c r="AA381" s="4">
        <v>823256000000</v>
      </c>
      <c r="AB381" s="4">
        <v>842208000000</v>
      </c>
      <c r="AC381" s="4">
        <v>860534000000</v>
      </c>
      <c r="AD381" s="4">
        <v>877081000000</v>
      </c>
      <c r="AE381" s="4">
        <v>895331000000</v>
      </c>
      <c r="AF381" s="4">
        <v>915445000000</v>
      </c>
    </row>
    <row r="382" spans="1:32" x14ac:dyDescent="0.25">
      <c r="A382" t="s">
        <v>451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25">
      <c r="A383" t="s">
        <v>452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5">
      <c r="A384" t="s">
        <v>453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5">
      <c r="A385" t="s">
        <v>454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5">
      <c r="A386" t="s">
        <v>455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25">
      <c r="A387" t="s">
        <v>456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5">
      <c r="A388" t="s">
        <v>457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25">
      <c r="A389" t="s">
        <v>458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5">
      <c r="A390" t="s">
        <v>459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25">
      <c r="A391" t="s">
        <v>460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25">
      <c r="A392" t="s">
        <v>461</v>
      </c>
      <c r="B392" s="4">
        <v>950324000000000</v>
      </c>
      <c r="C392" s="4">
        <v>1042870000000000</v>
      </c>
      <c r="D392" s="4">
        <v>1078700000000000</v>
      </c>
      <c r="E392" s="4">
        <v>1100410000000000</v>
      </c>
      <c r="F392" s="4">
        <v>1113920000000000</v>
      </c>
      <c r="G392" s="4">
        <v>1127680000000000</v>
      </c>
      <c r="H392" s="4">
        <v>1138660000000000</v>
      </c>
      <c r="I392" s="4">
        <v>1146840000000000</v>
      </c>
      <c r="J392" s="4">
        <v>1157900000000000</v>
      </c>
      <c r="K392" s="4">
        <v>1170760000000000</v>
      </c>
      <c r="L392" s="4">
        <v>1182840000000000</v>
      </c>
      <c r="M392" s="4">
        <v>1195270000000000</v>
      </c>
      <c r="N392" s="4">
        <v>1208720000000000</v>
      </c>
      <c r="O392" s="4">
        <v>1222690000000000</v>
      </c>
      <c r="P392" s="4">
        <v>1236370000000000</v>
      </c>
      <c r="Q392" s="4">
        <v>1251390000000000</v>
      </c>
      <c r="R392" s="4">
        <v>1260950000000000</v>
      </c>
      <c r="S392" s="4">
        <v>1276660000000000</v>
      </c>
      <c r="T392" s="4">
        <v>1293300000000000</v>
      </c>
      <c r="U392" s="4">
        <v>1311180000000000</v>
      </c>
      <c r="V392" s="4">
        <v>1329670000000000</v>
      </c>
      <c r="W392" s="4">
        <v>1350020000000000</v>
      </c>
      <c r="X392" s="4">
        <v>1371880000000000</v>
      </c>
      <c r="Y392" s="4">
        <v>1393580000000000</v>
      </c>
      <c r="Z392" s="4">
        <v>1415690000000000</v>
      </c>
      <c r="AA392" s="4">
        <v>1438370000000000</v>
      </c>
      <c r="AB392" s="4">
        <v>1462700000000000</v>
      </c>
      <c r="AC392" s="4">
        <v>1486090000000000</v>
      </c>
      <c r="AD392" s="4">
        <v>1508360000000000</v>
      </c>
      <c r="AE392" s="4">
        <v>1534070000000000</v>
      </c>
      <c r="AF392" s="4">
        <v>1563130000000000</v>
      </c>
    </row>
    <row r="393" spans="1:32" x14ac:dyDescent="0.25">
      <c r="A393" t="s">
        <v>462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25">
      <c r="A394" t="s">
        <v>463</v>
      </c>
      <c r="B394" s="4">
        <v>107943000000000</v>
      </c>
      <c r="C394" s="4">
        <v>118455000000000</v>
      </c>
      <c r="D394" s="4">
        <v>122525000000000</v>
      </c>
      <c r="E394" s="4">
        <v>124990000000000</v>
      </c>
      <c r="F394" s="4">
        <v>126525000000000</v>
      </c>
      <c r="G394" s="4">
        <v>128089000000000</v>
      </c>
      <c r="H394" s="4">
        <v>129335000000000</v>
      </c>
      <c r="I394" s="4">
        <v>130265000000000</v>
      </c>
      <c r="J394" s="4">
        <v>131521000000000</v>
      </c>
      <c r="K394" s="4">
        <v>132982000000000</v>
      </c>
      <c r="L394" s="4">
        <v>134354000000000</v>
      </c>
      <c r="M394" s="4">
        <v>135766000000000</v>
      </c>
      <c r="N394" s="4">
        <v>137293000000000</v>
      </c>
      <c r="O394" s="4">
        <v>138880000000000</v>
      </c>
      <c r="P394" s="4">
        <v>140434000000000</v>
      </c>
      <c r="Q394" s="4">
        <v>142140000000000</v>
      </c>
      <c r="R394" s="4">
        <v>143225000000000</v>
      </c>
      <c r="S394" s="4">
        <v>145010000000000</v>
      </c>
      <c r="T394" s="4">
        <v>146901000000000</v>
      </c>
      <c r="U394" s="4">
        <v>148932000000000</v>
      </c>
      <c r="V394" s="4">
        <v>151031000000000</v>
      </c>
      <c r="W394" s="4">
        <v>153343000000000</v>
      </c>
      <c r="X394" s="4">
        <v>155826000000000</v>
      </c>
      <c r="Y394" s="4">
        <v>158291000000000</v>
      </c>
      <c r="Z394" s="4">
        <v>160802000000000</v>
      </c>
      <c r="AA394" s="4">
        <v>163379000000000</v>
      </c>
      <c r="AB394" s="4">
        <v>166142000000000</v>
      </c>
      <c r="AC394" s="4">
        <v>168798000000000</v>
      </c>
      <c r="AD394" s="4">
        <v>171328000000000</v>
      </c>
      <c r="AE394" s="4">
        <v>174248000000000</v>
      </c>
      <c r="AF394" s="4">
        <v>177549000000000</v>
      </c>
    </row>
    <row r="395" spans="1:32" x14ac:dyDescent="0.25">
      <c r="A395" t="s">
        <v>464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25">
      <c r="A396" t="s">
        <v>465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25">
      <c r="A397" t="s">
        <v>466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5">
      <c r="A398" t="s">
        <v>467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25">
      <c r="A399" t="s">
        <v>468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5">
      <c r="A400" t="s">
        <v>469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25">
      <c r="A401" t="s">
        <v>470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25">
      <c r="A402" t="s">
        <v>471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5">
      <c r="A403" t="s">
        <v>472</v>
      </c>
      <c r="B403">
        <v>1156000000000000</v>
      </c>
      <c r="C403">
        <v>1256240000000000</v>
      </c>
      <c r="D403">
        <v>1262240000000000</v>
      </c>
      <c r="E403">
        <v>1270540000000000</v>
      </c>
      <c r="F403">
        <v>1257510000000000</v>
      </c>
      <c r="G403">
        <v>1245830000000000</v>
      </c>
      <c r="H403">
        <v>1230450000000000</v>
      </c>
      <c r="I403">
        <v>1211500000000000</v>
      </c>
      <c r="J403">
        <v>1195810000000000</v>
      </c>
      <c r="K403">
        <v>1181400000000000</v>
      </c>
      <c r="L403">
        <v>1168150000000000</v>
      </c>
      <c r="M403">
        <v>1156280000000000</v>
      </c>
      <c r="N403">
        <v>1144830000000000</v>
      </c>
      <c r="O403">
        <v>1133440000000000</v>
      </c>
      <c r="P403">
        <v>1143360000000000</v>
      </c>
      <c r="Q403">
        <v>1152030000000000</v>
      </c>
      <c r="R403">
        <v>1172290000000000</v>
      </c>
      <c r="S403">
        <v>1188970000000000</v>
      </c>
      <c r="T403">
        <v>1204080000000000</v>
      </c>
      <c r="U403">
        <v>1222440000000000</v>
      </c>
      <c r="V403">
        <v>1240560000000000</v>
      </c>
      <c r="W403">
        <v>1259320000000000</v>
      </c>
      <c r="X403">
        <v>1279310000000000</v>
      </c>
      <c r="Y403">
        <v>1296310000000000</v>
      </c>
      <c r="Z403">
        <v>1312200000000000</v>
      </c>
      <c r="AA403">
        <v>1330640000000000</v>
      </c>
      <c r="AB403">
        <v>1348970000000000</v>
      </c>
      <c r="AC403">
        <v>1367140000000000</v>
      </c>
      <c r="AD403">
        <v>1382840000000000</v>
      </c>
      <c r="AE403">
        <v>1402190000000000</v>
      </c>
      <c r="AF403">
        <v>1426390000000000</v>
      </c>
    </row>
    <row r="404" spans="1:32" x14ac:dyDescent="0.25">
      <c r="A404" t="s">
        <v>473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25">
      <c r="A405" t="s">
        <v>474</v>
      </c>
      <c r="B405">
        <v>52022400000000</v>
      </c>
      <c r="C405">
        <v>49549200000000</v>
      </c>
      <c r="D405">
        <v>49785900000000</v>
      </c>
      <c r="E405">
        <v>37785800000000</v>
      </c>
      <c r="F405">
        <v>37354500000000</v>
      </c>
      <c r="G405">
        <v>35777400000000</v>
      </c>
      <c r="H405">
        <v>35213500000000</v>
      </c>
      <c r="I405">
        <v>35350000000000</v>
      </c>
      <c r="J405">
        <v>35411100000000</v>
      </c>
      <c r="K405">
        <v>35856000000000</v>
      </c>
      <c r="L405">
        <v>35661800000000</v>
      </c>
      <c r="M405">
        <v>34023200000000</v>
      </c>
      <c r="N405">
        <v>33095600000000</v>
      </c>
      <c r="O405">
        <v>32610800000000</v>
      </c>
      <c r="P405">
        <v>33184900000000</v>
      </c>
      <c r="Q405">
        <v>34739300000000</v>
      </c>
      <c r="R405">
        <v>35668000000000</v>
      </c>
      <c r="S405">
        <v>36990800000000</v>
      </c>
      <c r="T405">
        <v>41183700000000</v>
      </c>
      <c r="U405">
        <v>42173200000000</v>
      </c>
      <c r="V405">
        <v>43365300000000</v>
      </c>
      <c r="W405">
        <v>45020400000000</v>
      </c>
      <c r="X405">
        <v>46191600000000</v>
      </c>
      <c r="Y405">
        <v>50182600000000</v>
      </c>
      <c r="Z405">
        <v>54040500000000</v>
      </c>
      <c r="AA405">
        <v>55609300000000</v>
      </c>
      <c r="AB405">
        <v>58312300000000</v>
      </c>
      <c r="AC405">
        <v>60130300000000</v>
      </c>
      <c r="AD405">
        <v>62839700000000</v>
      </c>
      <c r="AE405">
        <v>65496700000000</v>
      </c>
      <c r="AF405">
        <v>67479000000000</v>
      </c>
    </row>
    <row r="406" spans="1:32" x14ac:dyDescent="0.25">
      <c r="A406" t="s">
        <v>475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5">
      <c r="A407" t="s">
        <v>476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5">
      <c r="A408" t="s">
        <v>477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5">
      <c r="A409" t="s">
        <v>478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25">
      <c r="A410" t="s">
        <v>479</v>
      </c>
      <c r="B410" s="4">
        <v>0</v>
      </c>
      <c r="C410" s="4">
        <v>17989500000</v>
      </c>
      <c r="D410" s="4">
        <v>48481600000</v>
      </c>
      <c r="E410" s="4">
        <v>87233200000</v>
      </c>
      <c r="F410" s="4">
        <v>137818000000</v>
      </c>
      <c r="G410" s="4">
        <v>203552000000</v>
      </c>
      <c r="H410" s="4">
        <v>287983000000</v>
      </c>
      <c r="I410" s="4">
        <v>396129000000</v>
      </c>
      <c r="J410" s="4">
        <v>536578000000</v>
      </c>
      <c r="K410" s="4">
        <v>721634000000</v>
      </c>
      <c r="L410" s="4">
        <v>961698000000</v>
      </c>
      <c r="M410" s="4">
        <v>1272280000000</v>
      </c>
      <c r="N410" s="4">
        <v>1664540000000</v>
      </c>
      <c r="O410" s="4">
        <v>2149300000000</v>
      </c>
      <c r="P410" s="4">
        <v>2726340000000</v>
      </c>
      <c r="Q410" s="4">
        <v>3410060000000</v>
      </c>
      <c r="R410" s="4">
        <v>4202550000000</v>
      </c>
      <c r="S410" s="4">
        <v>5115820000000</v>
      </c>
      <c r="T410" s="4">
        <v>6134920000000</v>
      </c>
      <c r="U410" s="4">
        <v>7240310000000</v>
      </c>
      <c r="V410" s="4">
        <v>8419360000000</v>
      </c>
      <c r="W410" s="4">
        <v>9664950000000</v>
      </c>
      <c r="X410" s="4">
        <v>10959400000000</v>
      </c>
      <c r="Y410" s="4">
        <v>12274500000000</v>
      </c>
      <c r="Z410" s="4">
        <v>13596800000000</v>
      </c>
      <c r="AA410" s="4">
        <v>14898100000000</v>
      </c>
      <c r="AB410" s="4">
        <v>16180900000000</v>
      </c>
      <c r="AC410" s="4">
        <v>17398100000000</v>
      </c>
      <c r="AD410" s="4">
        <v>18518100000000</v>
      </c>
      <c r="AE410" s="4">
        <v>19592200000000</v>
      </c>
      <c r="AF410" s="4">
        <v>20623400000000</v>
      </c>
    </row>
    <row r="411" spans="1:32" x14ac:dyDescent="0.25">
      <c r="A411" t="s">
        <v>480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5">
      <c r="A412" t="s">
        <v>481</v>
      </c>
      <c r="B412" s="4">
        <v>0</v>
      </c>
      <c r="C412" s="4">
        <v>14565000000</v>
      </c>
      <c r="D412" s="4">
        <v>39252500000</v>
      </c>
      <c r="E412" s="4">
        <v>70563800000</v>
      </c>
      <c r="F412" s="4">
        <v>111432000000</v>
      </c>
      <c r="G412" s="4">
        <v>164507000000</v>
      </c>
      <c r="H412" s="4">
        <v>232638000000</v>
      </c>
      <c r="I412" s="4">
        <v>319928000000</v>
      </c>
      <c r="J412" s="4">
        <v>433165000000</v>
      </c>
      <c r="K412" s="4">
        <v>582424000000</v>
      </c>
      <c r="L412" s="4">
        <v>775828000000</v>
      </c>
      <c r="M412" s="4">
        <v>1025920000000</v>
      </c>
      <c r="N412" s="4">
        <v>1341620000000</v>
      </c>
      <c r="O412" s="4">
        <v>1731160000000</v>
      </c>
      <c r="P412" s="4">
        <v>2194950000000</v>
      </c>
      <c r="Q412" s="4">
        <v>2743540000000</v>
      </c>
      <c r="R412" s="4">
        <v>3378850000000</v>
      </c>
      <c r="S412" s="4">
        <v>4110330000000</v>
      </c>
      <c r="T412" s="4">
        <v>4925790000000</v>
      </c>
      <c r="U412" s="4">
        <v>5809360000000</v>
      </c>
      <c r="V412" s="4">
        <v>6749260000000</v>
      </c>
      <c r="W412" s="4">
        <v>7742500000000</v>
      </c>
      <c r="X412" s="4">
        <v>8771490000000</v>
      </c>
      <c r="Y412" s="4">
        <v>9815110000000</v>
      </c>
      <c r="Z412" s="4">
        <v>10862600000000</v>
      </c>
      <c r="AA412" s="4">
        <v>11891400000000</v>
      </c>
      <c r="AB412" s="4">
        <v>12903500000000</v>
      </c>
      <c r="AC412" s="4">
        <v>13861500000000</v>
      </c>
      <c r="AD412" s="4">
        <v>14737100000000</v>
      </c>
      <c r="AE412" s="4">
        <v>15574100000000</v>
      </c>
      <c r="AF412" s="4">
        <v>16378700000000</v>
      </c>
    </row>
    <row r="413" spans="1:32" x14ac:dyDescent="0.25">
      <c r="A413" t="s">
        <v>482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5">
      <c r="A414" t="s">
        <v>483</v>
      </c>
      <c r="B414" s="4">
        <v>0</v>
      </c>
      <c r="C414" s="4">
        <v>153728000</v>
      </c>
      <c r="D414" s="4">
        <v>414298000</v>
      </c>
      <c r="E414" s="4">
        <v>808890000</v>
      </c>
      <c r="F414" s="4">
        <v>1328070000</v>
      </c>
      <c r="G414" s="4">
        <v>2035520000</v>
      </c>
      <c r="H414" s="4">
        <v>2984550000</v>
      </c>
      <c r="I414" s="4">
        <v>4177360000</v>
      </c>
      <c r="J414" s="4">
        <v>5853580000</v>
      </c>
      <c r="K414" s="4">
        <v>8003570000</v>
      </c>
      <c r="L414" s="4">
        <v>11015800000</v>
      </c>
      <c r="M414" s="4">
        <v>15036000000</v>
      </c>
      <c r="N414" s="4">
        <v>20277100000</v>
      </c>
      <c r="O414" s="4">
        <v>27354700000</v>
      </c>
      <c r="P414" s="4">
        <v>35690300000</v>
      </c>
      <c r="Q414" s="4">
        <v>46500800000</v>
      </c>
      <c r="R414" s="4">
        <v>59599800000</v>
      </c>
      <c r="S414" s="4">
        <v>75342000000</v>
      </c>
      <c r="T414" s="4">
        <v>93697000000</v>
      </c>
      <c r="U414" s="4">
        <v>114528000000</v>
      </c>
      <c r="V414" s="4">
        <v>139302000000</v>
      </c>
      <c r="W414" s="4">
        <v>165183000000</v>
      </c>
      <c r="X414" s="4">
        <v>195276000000</v>
      </c>
      <c r="Y414" s="4">
        <v>227636000000</v>
      </c>
      <c r="Z414" s="4">
        <v>262048000000</v>
      </c>
      <c r="AA414" s="4">
        <v>297962000000</v>
      </c>
      <c r="AB414" s="4">
        <v>335385000000</v>
      </c>
      <c r="AC414" s="4">
        <v>373267000000</v>
      </c>
      <c r="AD414" s="4">
        <v>414133000000</v>
      </c>
      <c r="AE414" s="4">
        <v>455965000000</v>
      </c>
      <c r="AF414" s="4">
        <v>494961000000</v>
      </c>
    </row>
    <row r="415" spans="1:32" x14ac:dyDescent="0.25">
      <c r="A415" t="s">
        <v>484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25">
      <c r="A416" t="s">
        <v>485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5">
      <c r="A417" t="s">
        <v>486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25">
      <c r="A418" t="s">
        <v>487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25">
      <c r="A419" t="s">
        <v>488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25">
      <c r="A420" t="s">
        <v>489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5">
      <c r="A421" t="s">
        <v>490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5">
      <c r="A422" t="s">
        <v>491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25">
      <c r="A423" t="s">
        <v>492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5">
      <c r="A424" t="s">
        <v>493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25">
      <c r="A425" t="s">
        <v>494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25">
      <c r="A426" t="s">
        <v>495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5">
      <c r="A427" t="s">
        <v>496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25">
      <c r="A428" t="s">
        <v>497</v>
      </c>
      <c r="B428" s="4">
        <v>1172980000000</v>
      </c>
      <c r="C428" s="4">
        <v>1204000000000</v>
      </c>
      <c r="D428" s="4">
        <v>1155200000000</v>
      </c>
      <c r="E428" s="4">
        <v>1091040000000</v>
      </c>
      <c r="F428" s="4">
        <v>1017000000000</v>
      </c>
      <c r="G428" s="4">
        <v>942017000000</v>
      </c>
      <c r="H428" s="4">
        <v>863276000000</v>
      </c>
      <c r="I428" s="4">
        <v>780776000000</v>
      </c>
      <c r="J428" s="4">
        <v>698114000000</v>
      </c>
      <c r="K428" s="4">
        <v>615289000000</v>
      </c>
      <c r="L428" s="4">
        <v>531238000000</v>
      </c>
      <c r="M428" s="4">
        <v>447134000000</v>
      </c>
      <c r="N428" s="4">
        <v>362832000000</v>
      </c>
      <c r="O428" s="4">
        <v>279550000000</v>
      </c>
      <c r="P428" s="4">
        <v>282234000000</v>
      </c>
      <c r="Q428" s="4">
        <v>287925000000</v>
      </c>
      <c r="R428" s="4">
        <v>289633000000</v>
      </c>
      <c r="S428" s="4">
        <v>291780000000</v>
      </c>
      <c r="T428" s="4">
        <v>295254000000</v>
      </c>
      <c r="U428" s="4">
        <v>298650000000</v>
      </c>
      <c r="V428" s="4">
        <v>303432000000</v>
      </c>
      <c r="W428" s="4">
        <v>309910000000</v>
      </c>
      <c r="X428" s="4">
        <v>317964000000</v>
      </c>
      <c r="Y428" s="4">
        <v>326698000000</v>
      </c>
      <c r="Z428" s="4">
        <v>336053000000</v>
      </c>
      <c r="AA428" s="4">
        <v>345428000000</v>
      </c>
      <c r="AB428" s="4">
        <v>355795000000</v>
      </c>
      <c r="AC428" s="4">
        <v>366541000000</v>
      </c>
      <c r="AD428" s="4">
        <v>376123000000</v>
      </c>
      <c r="AE428" s="4">
        <v>388043000000</v>
      </c>
      <c r="AF428" s="4">
        <v>400787000000</v>
      </c>
    </row>
    <row r="429" spans="1:32" x14ac:dyDescent="0.25">
      <c r="A429" t="s">
        <v>498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25">
      <c r="A430" t="s">
        <v>499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x14ac:dyDescent="0.25">
      <c r="A431" t="s">
        <v>500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5">
      <c r="A432" t="s">
        <v>501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25">
      <c r="A433" t="s">
        <v>502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25">
      <c r="A434" t="s">
        <v>503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5">
      <c r="A435" t="s">
        <v>504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5">
      <c r="A436" t="s">
        <v>505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5">
      <c r="A437" t="s">
        <v>506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25">
      <c r="A438" t="s">
        <v>507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25">
      <c r="A439" t="s">
        <v>508</v>
      </c>
      <c r="B439">
        <v>0</v>
      </c>
      <c r="C439">
        <v>0</v>
      </c>
      <c r="D439">
        <v>0</v>
      </c>
      <c r="E439">
        <v>0</v>
      </c>
      <c r="F439">
        <v>0</v>
      </c>
      <c r="G439" s="4">
        <v>0</v>
      </c>
      <c r="H439" s="4">
        <v>0</v>
      </c>
      <c r="I439" s="4">
        <v>0</v>
      </c>
      <c r="J439" s="4">
        <v>132007000</v>
      </c>
      <c r="K439" s="4">
        <v>265635000</v>
      </c>
      <c r="L439" s="4">
        <v>533319000</v>
      </c>
      <c r="M439" s="4">
        <v>938518000</v>
      </c>
      <c r="N439" s="4">
        <v>1616670000</v>
      </c>
      <c r="O439" s="4">
        <v>2571850000</v>
      </c>
      <c r="P439" s="4">
        <v>3789410000</v>
      </c>
      <c r="Q439" s="4">
        <v>5304190000</v>
      </c>
      <c r="R439" s="4">
        <v>7115390000</v>
      </c>
      <c r="S439" s="4">
        <v>9365420000</v>
      </c>
      <c r="T439" s="4">
        <v>12046600000</v>
      </c>
      <c r="U439" s="4">
        <v>15161700000</v>
      </c>
      <c r="V439" s="4">
        <v>18710600000</v>
      </c>
      <c r="W439" s="4">
        <v>22698100000</v>
      </c>
      <c r="X439" s="4">
        <v>26997500000</v>
      </c>
      <c r="Y439" s="4">
        <v>31718900000</v>
      </c>
      <c r="Z439" s="4">
        <v>36740100000</v>
      </c>
      <c r="AA439" s="4">
        <v>42047100000</v>
      </c>
      <c r="AB439" s="4">
        <v>47390200000</v>
      </c>
      <c r="AC439" s="4">
        <v>52845300000</v>
      </c>
      <c r="AD439" s="4">
        <v>58377100000</v>
      </c>
      <c r="AE439" s="4">
        <v>64048400000</v>
      </c>
      <c r="AF439" s="4">
        <v>70002800000</v>
      </c>
    </row>
    <row r="440" spans="1:32" x14ac:dyDescent="0.25">
      <c r="A440" t="s">
        <v>509</v>
      </c>
      <c r="B440" s="4">
        <v>25116400000</v>
      </c>
      <c r="C440" s="4">
        <v>67739000000</v>
      </c>
      <c r="D440" s="4">
        <v>148605000000</v>
      </c>
      <c r="E440" s="4">
        <v>257536000000</v>
      </c>
      <c r="F440" s="4">
        <v>399010000000</v>
      </c>
      <c r="G440" s="4">
        <v>569015000000</v>
      </c>
      <c r="H440" s="4">
        <v>758129000000</v>
      </c>
      <c r="I440" s="4">
        <v>955311000000</v>
      </c>
      <c r="J440" s="4">
        <v>1155400000000</v>
      </c>
      <c r="K440" s="4">
        <v>1354050000000</v>
      </c>
      <c r="L440" s="4">
        <v>1548840000000</v>
      </c>
      <c r="M440" s="4">
        <v>1739210000000</v>
      </c>
      <c r="N440" s="4">
        <v>1923700000000</v>
      </c>
      <c r="O440" s="4">
        <v>2104030000000</v>
      </c>
      <c r="P440" s="4">
        <v>2280000000000</v>
      </c>
      <c r="Q440" s="4">
        <v>2450970000000</v>
      </c>
      <c r="R440" s="4">
        <v>2617490000000</v>
      </c>
      <c r="S440" s="4">
        <v>2780800000000</v>
      </c>
      <c r="T440" s="4">
        <v>2938870000000</v>
      </c>
      <c r="U440" s="4">
        <v>3088380000000</v>
      </c>
      <c r="V440" s="4">
        <v>3233260000000</v>
      </c>
      <c r="W440" s="4">
        <v>3372580000000</v>
      </c>
      <c r="X440" s="4">
        <v>3506190000000</v>
      </c>
      <c r="Y440" s="4">
        <v>3629260000000</v>
      </c>
      <c r="Z440" s="4">
        <v>3769670000000</v>
      </c>
      <c r="AA440" s="4">
        <v>3904110000000</v>
      </c>
      <c r="AB440" s="4">
        <v>4031000000000</v>
      </c>
      <c r="AC440" s="4">
        <v>4140700000000</v>
      </c>
      <c r="AD440" s="4">
        <v>4231790000000</v>
      </c>
      <c r="AE440" s="4">
        <v>4307710000000</v>
      </c>
      <c r="AF440" s="4">
        <v>4373830000000</v>
      </c>
    </row>
    <row r="441" spans="1:32" x14ac:dyDescent="0.25">
      <c r="A441" t="s">
        <v>510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5">
      <c r="A442" t="s">
        <v>511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5">
      <c r="A443" t="s">
        <v>512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5">
      <c r="A444" t="s">
        <v>513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25">
      <c r="A445" t="s">
        <v>514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5">
      <c r="A446" t="s">
        <v>515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5">
      <c r="A447" t="s">
        <v>516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25">
      <c r="A448" t="s">
        <v>517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25">
      <c r="A449" t="s">
        <v>518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5">
      <c r="A450" t="s">
        <v>519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 t="s">
        <v>520</v>
      </c>
      <c r="B451" s="4">
        <v>12425000000000</v>
      </c>
      <c r="C451" s="4">
        <v>16671200000000</v>
      </c>
      <c r="D451" s="4">
        <v>18183800000000</v>
      </c>
      <c r="E451" s="4">
        <v>18412100000000</v>
      </c>
      <c r="F451" s="4">
        <v>18110100000000</v>
      </c>
      <c r="G451" s="4">
        <v>17538100000000</v>
      </c>
      <c r="H451" s="4">
        <v>16818400000000</v>
      </c>
      <c r="I451" s="4">
        <v>16020200000000</v>
      </c>
      <c r="J451" s="4">
        <v>15193600000000</v>
      </c>
      <c r="K451" s="4">
        <v>14359300000000</v>
      </c>
      <c r="L451" s="4">
        <v>13541000000000</v>
      </c>
      <c r="M451" s="4">
        <v>12738200000000</v>
      </c>
      <c r="N451" s="4">
        <v>11952100000000</v>
      </c>
      <c r="O451" s="4">
        <v>11193900000000</v>
      </c>
      <c r="P451" s="4">
        <v>10463800000000</v>
      </c>
      <c r="Q451" s="4">
        <v>9759420000000</v>
      </c>
      <c r="R451" s="4">
        <v>9083690000000</v>
      </c>
      <c r="S451" s="4">
        <v>8437620000000</v>
      </c>
      <c r="T451" s="4">
        <v>7814300000000</v>
      </c>
      <c r="U451" s="4">
        <v>7207120000000</v>
      </c>
      <c r="V451" s="4">
        <v>6626610000000</v>
      </c>
      <c r="W451" s="4">
        <v>6069850000000</v>
      </c>
      <c r="X451" s="4">
        <v>5537530000000</v>
      </c>
      <c r="Y451" s="4">
        <v>5345420000000</v>
      </c>
      <c r="Z451" s="4">
        <v>5105110000000</v>
      </c>
      <c r="AA451" s="4">
        <v>4877350000000</v>
      </c>
      <c r="AB451" s="4">
        <v>4663290000000</v>
      </c>
      <c r="AC451" s="4">
        <v>4440600000000</v>
      </c>
      <c r="AD451" s="4">
        <v>4235490000000</v>
      </c>
      <c r="AE451" s="4">
        <v>4051360000000</v>
      </c>
      <c r="AF451" s="4">
        <v>3886540000000</v>
      </c>
    </row>
    <row r="452" spans="1:32" x14ac:dyDescent="0.25">
      <c r="A452" t="s">
        <v>521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25">
      <c r="A453" t="s">
        <v>522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5">
      <c r="A454" t="s">
        <v>523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5">
      <c r="A455" t="s">
        <v>524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5">
      <c r="A456" t="s">
        <v>525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5">
      <c r="A457" t="s">
        <v>526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5">
      <c r="A458" t="s">
        <v>527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25">
      <c r="A459" t="s">
        <v>528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25">
      <c r="A460" t="s">
        <v>529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25">
      <c r="A461" t="s">
        <v>530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25">
      <c r="A462" t="s">
        <v>531</v>
      </c>
      <c r="B462" s="4">
        <v>10721700000000</v>
      </c>
      <c r="C462" s="4">
        <v>14718000000000</v>
      </c>
      <c r="D462" s="4">
        <v>16563200000000</v>
      </c>
      <c r="E462" s="4">
        <v>17307600000000</v>
      </c>
      <c r="F462" s="4">
        <v>17543500000000</v>
      </c>
      <c r="G462" s="4">
        <v>17521700000000</v>
      </c>
      <c r="H462" s="4">
        <v>17347900000000</v>
      </c>
      <c r="I462" s="4">
        <v>17079700000000</v>
      </c>
      <c r="J462" s="4">
        <v>16774200000000</v>
      </c>
      <c r="K462" s="4">
        <v>16436100000000</v>
      </c>
      <c r="L462" s="4">
        <v>16080100000000</v>
      </c>
      <c r="M462" s="4">
        <v>15716200000000</v>
      </c>
      <c r="N462" s="4">
        <v>15352800000000</v>
      </c>
      <c r="O462" s="4">
        <v>15006400000000</v>
      </c>
      <c r="P462" s="4">
        <v>14676800000000</v>
      </c>
      <c r="Q462" s="4">
        <v>14361500000000</v>
      </c>
      <c r="R462" s="4">
        <v>14060100000000</v>
      </c>
      <c r="S462" s="4">
        <v>13781300000000</v>
      </c>
      <c r="T462" s="4">
        <v>13512700000000</v>
      </c>
      <c r="U462" s="4">
        <v>13242700000000</v>
      </c>
      <c r="V462" s="4">
        <v>12987000000000</v>
      </c>
      <c r="W462" s="4">
        <v>12739400000000</v>
      </c>
      <c r="X462" s="4">
        <v>12501800000000</v>
      </c>
      <c r="Y462" s="4">
        <v>12354900000000</v>
      </c>
      <c r="Z462" s="4">
        <v>12204900000000</v>
      </c>
      <c r="AA462" s="4">
        <v>12017600000000</v>
      </c>
      <c r="AB462" s="4">
        <v>11859600000000</v>
      </c>
      <c r="AC462" s="4">
        <v>11715600000000</v>
      </c>
      <c r="AD462" s="4">
        <v>11586600000000</v>
      </c>
      <c r="AE462" s="4">
        <v>11473400000000</v>
      </c>
      <c r="AF462" s="4">
        <v>11375300000000</v>
      </c>
    </row>
    <row r="463" spans="1:32" x14ac:dyDescent="0.25">
      <c r="A463" t="s">
        <v>532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5">
      <c r="A464" t="s">
        <v>533</v>
      </c>
      <c r="B464" s="4">
        <v>1217840000000</v>
      </c>
      <c r="C464" s="4">
        <v>1671750000000</v>
      </c>
      <c r="D464" s="4">
        <v>1881350000000</v>
      </c>
      <c r="E464" s="4">
        <v>1965900000000</v>
      </c>
      <c r="F464" s="4">
        <v>1992690000000</v>
      </c>
      <c r="G464" s="4">
        <v>1990210000000</v>
      </c>
      <c r="H464" s="4">
        <v>1970480000000</v>
      </c>
      <c r="I464" s="4">
        <v>1940010000000</v>
      </c>
      <c r="J464">
        <v>1905310000000</v>
      </c>
      <c r="K464">
        <v>1866900000000</v>
      </c>
      <c r="L464">
        <v>1826470000000</v>
      </c>
      <c r="M464">
        <v>1785140000000</v>
      </c>
      <c r="N464">
        <v>1743860000000</v>
      </c>
      <c r="O464">
        <v>1704510000000</v>
      </c>
      <c r="P464">
        <v>1667080000000</v>
      </c>
      <c r="Q464">
        <v>1631260000000</v>
      </c>
      <c r="R464">
        <v>1597020000000</v>
      </c>
      <c r="S464">
        <v>1565360000000</v>
      </c>
      <c r="T464">
        <v>1534850000000</v>
      </c>
      <c r="U464">
        <v>1504180000000</v>
      </c>
      <c r="V464">
        <v>1475140000000</v>
      </c>
      <c r="W464">
        <v>1447010000000</v>
      </c>
      <c r="X464">
        <v>1420030000000</v>
      </c>
      <c r="Y464">
        <v>1403350000000</v>
      </c>
      <c r="Z464">
        <v>1386300000000</v>
      </c>
      <c r="AA464">
        <v>1365020000000</v>
      </c>
      <c r="AB464">
        <v>1347080000000</v>
      </c>
      <c r="AC464">
        <v>1330720000000</v>
      </c>
      <c r="AD464">
        <v>1316070000000</v>
      </c>
      <c r="AE464">
        <v>1303210000000</v>
      </c>
      <c r="AF464">
        <v>1292080000000</v>
      </c>
    </row>
    <row r="465" spans="1:32" x14ac:dyDescent="0.25">
      <c r="A465" t="s">
        <v>534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5">
      <c r="A466" t="s">
        <v>535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25">
      <c r="A467" t="s">
        <v>536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25">
      <c r="A468" t="s">
        <v>537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25">
      <c r="A469" t="s">
        <v>538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25">
      <c r="A470" t="s">
        <v>539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5">
      <c r="A471" t="s">
        <v>540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5">
      <c r="A472" t="s">
        <v>541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5">
      <c r="A473" t="s">
        <v>542</v>
      </c>
      <c r="B473" s="4">
        <v>92587500000000</v>
      </c>
      <c r="C473" s="4">
        <v>129578000000000</v>
      </c>
      <c r="D473" s="4">
        <v>147464000000000</v>
      </c>
      <c r="E473" s="4">
        <v>157644000000000</v>
      </c>
      <c r="F473" s="4">
        <v>161830000000000</v>
      </c>
      <c r="G473" s="4">
        <v>163717000000000</v>
      </c>
      <c r="H473" s="4">
        <v>163940000000000</v>
      </c>
      <c r="I473" s="4">
        <v>163050000000000</v>
      </c>
      <c r="J473" s="4">
        <v>161726000000000</v>
      </c>
      <c r="K473" s="4">
        <v>159861000000000</v>
      </c>
      <c r="L473" s="4">
        <v>157957000000000</v>
      </c>
      <c r="M473" s="4">
        <v>156078000000000</v>
      </c>
      <c r="N473" s="4">
        <v>154033000000000</v>
      </c>
      <c r="O473" s="4">
        <v>152018000000000</v>
      </c>
      <c r="P473" s="4">
        <v>150048000000000</v>
      </c>
      <c r="Q473" s="4">
        <v>148013000000000</v>
      </c>
      <c r="R473" s="4">
        <v>146166000000000</v>
      </c>
      <c r="S473" s="4">
        <v>144419000000000</v>
      </c>
      <c r="T473" s="4">
        <v>142390000000000</v>
      </c>
      <c r="U473" s="4">
        <v>140664000000000</v>
      </c>
      <c r="V473" s="4">
        <v>139001000000000</v>
      </c>
      <c r="W473" s="4">
        <v>137323000000000</v>
      </c>
      <c r="X473" s="4">
        <v>135751000000000</v>
      </c>
      <c r="Y473" s="4">
        <v>133847000000000</v>
      </c>
      <c r="Z473" s="4">
        <v>131764000000000</v>
      </c>
      <c r="AA473" s="4">
        <v>129933000000000</v>
      </c>
      <c r="AB473" s="4">
        <v>128070000000000</v>
      </c>
      <c r="AC473" s="4">
        <v>126470000000000</v>
      </c>
      <c r="AD473" s="4">
        <v>124965000000000</v>
      </c>
      <c r="AE473" s="4">
        <v>123667000000000</v>
      </c>
      <c r="AF473" s="4">
        <v>122628000000000</v>
      </c>
    </row>
    <row r="474" spans="1:32" x14ac:dyDescent="0.25">
      <c r="A474" t="s">
        <v>543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5">
      <c r="A475" t="s">
        <v>544</v>
      </c>
      <c r="B475" s="4">
        <v>4166620000000</v>
      </c>
      <c r="C475" s="4">
        <v>5110890000000</v>
      </c>
      <c r="D475" s="4">
        <v>5816340000000</v>
      </c>
      <c r="E475" s="4">
        <v>4688320000000</v>
      </c>
      <c r="F475" s="4">
        <v>4807160000000</v>
      </c>
      <c r="G475" s="4">
        <v>4701570000000</v>
      </c>
      <c r="H475" s="4">
        <v>4691720000000</v>
      </c>
      <c r="I475" s="4">
        <v>4757600000000</v>
      </c>
      <c r="J475" s="4">
        <v>4789130000000</v>
      </c>
      <c r="K475" s="4">
        <v>4851820000000</v>
      </c>
      <c r="L475" s="4">
        <v>4822170000000</v>
      </c>
      <c r="M475" s="4">
        <v>4592550000000</v>
      </c>
      <c r="N475" s="4">
        <v>4452880000000</v>
      </c>
      <c r="O475" s="4">
        <v>4373770000000</v>
      </c>
      <c r="P475" s="4">
        <v>4354990000000</v>
      </c>
      <c r="Q475" s="4">
        <v>4463330000000</v>
      </c>
      <c r="R475" s="4">
        <v>4447250000000</v>
      </c>
      <c r="S475" s="4">
        <v>4493080000000</v>
      </c>
      <c r="T475" s="4">
        <v>4870210000000</v>
      </c>
      <c r="U475" s="4">
        <v>4852770000000</v>
      </c>
      <c r="V475" s="4">
        <v>4858960000000</v>
      </c>
      <c r="W475" s="4">
        <v>4909230000000</v>
      </c>
      <c r="X475" s="4">
        <v>4901490000000</v>
      </c>
      <c r="Y475" s="4">
        <v>5181490000000</v>
      </c>
      <c r="Z475" s="4">
        <v>5426460000000</v>
      </c>
      <c r="AA475" s="4">
        <v>5430070000000</v>
      </c>
      <c r="AB475" s="4">
        <v>5536090000000</v>
      </c>
      <c r="AC475" s="4">
        <v>5562470000000</v>
      </c>
      <c r="AD475" s="4">
        <v>5678710000000</v>
      </c>
      <c r="AE475" s="4">
        <v>5776550000000</v>
      </c>
      <c r="AF475" s="4">
        <v>5801200000000</v>
      </c>
    </row>
    <row r="476" spans="1:32" x14ac:dyDescent="0.25">
      <c r="A476" t="s">
        <v>545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5">
      <c r="A477" t="s">
        <v>546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5">
      <c r="A478" t="s">
        <v>547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5">
      <c r="A479" t="s">
        <v>548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25">
      <c r="A480" t="s">
        <v>549</v>
      </c>
      <c r="B480">
        <v>0</v>
      </c>
      <c r="C480" s="4">
        <v>224307000</v>
      </c>
      <c r="D480" s="4">
        <v>616419000</v>
      </c>
      <c r="E480" s="4">
        <v>1132550000</v>
      </c>
      <c r="F480" s="4">
        <v>1861030000</v>
      </c>
      <c r="G480" s="4">
        <v>2655350000</v>
      </c>
      <c r="H480" s="4">
        <v>3720340000</v>
      </c>
      <c r="I480" s="4">
        <v>5010450000</v>
      </c>
      <c r="J480" s="4">
        <v>6610260000</v>
      </c>
      <c r="K480" s="4">
        <v>8567200000</v>
      </c>
      <c r="L480" s="4">
        <v>10936600000</v>
      </c>
      <c r="M480" s="4">
        <v>13754700000</v>
      </c>
      <c r="N480" s="4">
        <v>17074100000</v>
      </c>
      <c r="O480" s="4">
        <v>21029000000</v>
      </c>
      <c r="P480" s="4">
        <v>25580800000</v>
      </c>
      <c r="Q480" s="4">
        <v>30752200000</v>
      </c>
      <c r="R480" s="4">
        <v>36505700000</v>
      </c>
      <c r="S480" s="4">
        <v>42733200000</v>
      </c>
      <c r="T480" s="4">
        <v>49300100000</v>
      </c>
      <c r="U480" s="4">
        <v>56125400000</v>
      </c>
      <c r="V480" s="4">
        <v>63100200000</v>
      </c>
      <c r="W480" s="4">
        <v>70120400000</v>
      </c>
      <c r="X480" s="4">
        <v>77054900000</v>
      </c>
      <c r="Y480" s="4">
        <v>84043900000</v>
      </c>
      <c r="Z480" s="4">
        <v>91592900000</v>
      </c>
      <c r="AA480" s="4">
        <v>99454500000</v>
      </c>
      <c r="AB480" s="4">
        <v>107514000000</v>
      </c>
      <c r="AC480" s="4">
        <v>115552000000</v>
      </c>
      <c r="AD480" s="4">
        <v>123623000000</v>
      </c>
      <c r="AE480" s="4">
        <v>131526000000</v>
      </c>
      <c r="AF480" s="4">
        <v>139243000000</v>
      </c>
    </row>
    <row r="481" spans="1:32" x14ac:dyDescent="0.25">
      <c r="A481" t="s">
        <v>550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5">
      <c r="A482" t="s">
        <v>551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25">
      <c r="A483" t="s">
        <v>552</v>
      </c>
      <c r="B483">
        <v>0</v>
      </c>
      <c r="C483" s="4">
        <v>176560000</v>
      </c>
      <c r="D483" s="4">
        <v>485205000</v>
      </c>
      <c r="E483" s="4">
        <v>899873000</v>
      </c>
      <c r="F483" s="4">
        <v>1478730000</v>
      </c>
      <c r="G483" s="4">
        <v>2111910000</v>
      </c>
      <c r="H483" s="4">
        <v>2959230000</v>
      </c>
      <c r="I483" s="4">
        <v>3983230000</v>
      </c>
      <c r="J483" s="4">
        <v>5252840000</v>
      </c>
      <c r="K483" s="4">
        <v>6803060000</v>
      </c>
      <c r="L483" s="4">
        <v>8683040000</v>
      </c>
      <c r="M483" s="4">
        <v>10932200000</v>
      </c>
      <c r="N483" s="4">
        <v>13577200000</v>
      </c>
      <c r="O483" s="4">
        <v>16724300000</v>
      </c>
      <c r="P483" s="4">
        <v>20339400000</v>
      </c>
      <c r="Q483" s="4">
        <v>24424400000</v>
      </c>
      <c r="R483" s="4">
        <v>28986400000</v>
      </c>
      <c r="S483" s="4">
        <v>33908600000</v>
      </c>
      <c r="T483" s="4">
        <v>39002400000</v>
      </c>
      <c r="U483" s="4">
        <v>44389400000</v>
      </c>
      <c r="V483" s="4">
        <v>49883700000</v>
      </c>
      <c r="W483" s="4">
        <v>55391100000</v>
      </c>
      <c r="X483" s="4">
        <v>60847900000</v>
      </c>
      <c r="Y483" s="4">
        <v>66200400000</v>
      </c>
      <c r="Z483" s="4">
        <v>71975500000</v>
      </c>
      <c r="AA483" s="4">
        <v>78107700000</v>
      </c>
      <c r="AB483" s="4">
        <v>84320700000</v>
      </c>
      <c r="AC483" s="4">
        <v>90559600000</v>
      </c>
      <c r="AD483" s="4">
        <v>96749700000</v>
      </c>
      <c r="AE483" s="4">
        <v>102810000000</v>
      </c>
      <c r="AF483" s="4">
        <v>108780000000</v>
      </c>
    </row>
    <row r="484" spans="1:32" x14ac:dyDescent="0.25">
      <c r="A484" t="s">
        <v>553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5">
      <c r="A485" t="s">
        <v>554</v>
      </c>
      <c r="B485">
        <v>0</v>
      </c>
      <c r="C485" s="4">
        <v>6963960</v>
      </c>
      <c r="D485" s="4">
        <v>19137700</v>
      </c>
      <c r="E485" s="4">
        <v>26762100</v>
      </c>
      <c r="F485" s="4">
        <v>43925800</v>
      </c>
      <c r="G485" s="4">
        <v>60649200</v>
      </c>
      <c r="H485" s="4">
        <v>84688600</v>
      </c>
      <c r="I485" s="4">
        <v>116226000</v>
      </c>
      <c r="J485" s="4">
        <v>155551000</v>
      </c>
      <c r="K485" s="4">
        <v>206475000</v>
      </c>
      <c r="L485" s="4">
        <v>265080000</v>
      </c>
      <c r="M485" s="4">
        <v>321676000</v>
      </c>
      <c r="N485" s="4">
        <v>392500000</v>
      </c>
      <c r="O485" s="4">
        <v>481183000</v>
      </c>
      <c r="P485" s="4">
        <v>590331000</v>
      </c>
      <c r="Q485" s="4">
        <v>736515000</v>
      </c>
      <c r="R485" s="4">
        <v>881940000</v>
      </c>
      <c r="S485" s="4">
        <v>1054950000</v>
      </c>
      <c r="T485" s="4">
        <v>1334020000</v>
      </c>
      <c r="U485" s="4">
        <v>1531390000</v>
      </c>
      <c r="V485" s="4">
        <v>1743750000</v>
      </c>
      <c r="W485" s="4">
        <v>1980210000</v>
      </c>
      <c r="X485" s="4">
        <v>2197010000</v>
      </c>
      <c r="Y485" s="4">
        <v>2562750000</v>
      </c>
      <c r="Z485" s="4">
        <v>2964170000</v>
      </c>
      <c r="AA485" s="4">
        <v>3264230000</v>
      </c>
      <c r="AB485" s="4">
        <v>3644940000</v>
      </c>
      <c r="AC485" s="4">
        <v>3983050000</v>
      </c>
      <c r="AD485" s="4">
        <v>4396550000</v>
      </c>
      <c r="AE485" s="4">
        <v>4802300000</v>
      </c>
      <c r="AF485" s="4">
        <v>5146120000</v>
      </c>
    </row>
    <row r="486" spans="1:32" x14ac:dyDescent="0.25">
      <c r="A486" t="s">
        <v>555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25">
      <c r="A487" t="s">
        <v>556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25">
      <c r="A488" t="s">
        <v>557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25">
      <c r="A489" t="s">
        <v>558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25">
      <c r="A490" t="s">
        <v>559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25">
      <c r="A491" t="s">
        <v>560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5">
      <c r="A492" t="s">
        <v>561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x14ac:dyDescent="0.25">
      <c r="A493" t="s">
        <v>562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25">
      <c r="A494" t="s">
        <v>563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5">
      <c r="A495" t="s">
        <v>564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25">
      <c r="A496" t="s">
        <v>565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5">
      <c r="A497" t="s">
        <v>566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5">
      <c r="A498" t="s">
        <v>567</v>
      </c>
      <c r="B498" s="4">
        <v>865737000000</v>
      </c>
      <c r="C498" s="4">
        <v>1171560000000</v>
      </c>
      <c r="D498" s="4">
        <v>1326900000000</v>
      </c>
      <c r="E498" s="4">
        <v>1418200000000</v>
      </c>
      <c r="F498" s="4">
        <v>1488530000000</v>
      </c>
      <c r="G498" s="4">
        <v>1553450000000</v>
      </c>
      <c r="H498" s="4">
        <v>1616570000000</v>
      </c>
      <c r="I498" s="4">
        <v>1680250000000</v>
      </c>
      <c r="J498" s="4">
        <v>1749340000000</v>
      </c>
      <c r="K498" s="4">
        <v>1822180000000</v>
      </c>
      <c r="L498" s="4">
        <v>1902750000000</v>
      </c>
      <c r="M498" s="4">
        <v>1988960000000</v>
      </c>
      <c r="N498" s="4">
        <v>2080860000000</v>
      </c>
      <c r="O498" s="4">
        <v>2180260000000</v>
      </c>
      <c r="P498" s="4">
        <v>2286920000000</v>
      </c>
      <c r="Q498" s="4">
        <v>2399680000000</v>
      </c>
      <c r="R498" s="4">
        <v>2516670000000</v>
      </c>
      <c r="S498" s="4">
        <v>2640430000000</v>
      </c>
      <c r="T498" s="4">
        <v>2768430000000</v>
      </c>
      <c r="U498" s="4">
        <v>2897030000000</v>
      </c>
      <c r="V498" s="4">
        <v>3029240000000</v>
      </c>
      <c r="W498" s="4">
        <v>3163630000000</v>
      </c>
      <c r="X498" s="4">
        <v>3299870000000</v>
      </c>
      <c r="Y498" s="4">
        <v>3466920000000</v>
      </c>
      <c r="Z498" s="4">
        <v>3652730000000</v>
      </c>
      <c r="AA498" s="4">
        <v>3835280000000</v>
      </c>
      <c r="AB498" s="4">
        <v>4019480000000</v>
      </c>
      <c r="AC498" s="4">
        <v>4202550000000</v>
      </c>
      <c r="AD498" s="4">
        <v>4385040000000</v>
      </c>
      <c r="AE498" s="4">
        <v>4569030000000</v>
      </c>
      <c r="AF498" s="4">
        <v>4755320000000</v>
      </c>
    </row>
    <row r="499" spans="1:32" x14ac:dyDescent="0.25">
      <c r="A499" t="s">
        <v>568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5">
      <c r="A500" t="s">
        <v>569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25">
      <c r="A501" t="s">
        <v>570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5">
      <c r="A502" t="s">
        <v>571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25">
      <c r="A503" t="s">
        <v>572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5">
      <c r="A504" t="s">
        <v>573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25">
      <c r="A505" t="s">
        <v>574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5">
      <c r="A506" t="s">
        <v>575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25">
      <c r="A507" t="s">
        <v>576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25">
      <c r="A508" t="s">
        <v>577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5">
      <c r="A509" t="s">
        <v>578</v>
      </c>
      <c r="B509" s="4">
        <v>4956640000</v>
      </c>
      <c r="C509" s="4">
        <v>6591410000</v>
      </c>
      <c r="D509" s="4">
        <v>7274720000</v>
      </c>
      <c r="E509" s="4">
        <v>7613210000</v>
      </c>
      <c r="F509" s="4">
        <v>7880020000</v>
      </c>
      <c r="G509" s="4">
        <v>8325120000</v>
      </c>
      <c r="H509" s="4">
        <v>9110360000</v>
      </c>
      <c r="I509" s="4">
        <v>10350900000</v>
      </c>
      <c r="J509" s="4">
        <v>12300800000</v>
      </c>
      <c r="K509" s="4">
        <v>15123600000</v>
      </c>
      <c r="L509" s="4">
        <v>19240500000</v>
      </c>
      <c r="M509" s="4">
        <v>24723300000</v>
      </c>
      <c r="N509" s="4">
        <v>31974500000</v>
      </c>
      <c r="O509" s="4">
        <v>41303800000</v>
      </c>
      <c r="P509" s="4">
        <v>52865300000</v>
      </c>
      <c r="Q509" s="4">
        <v>66992900000</v>
      </c>
      <c r="R509" s="4">
        <v>83663400000</v>
      </c>
      <c r="S509" s="4">
        <v>103056000000</v>
      </c>
      <c r="T509" s="4">
        <v>124907000000</v>
      </c>
      <c r="U509" s="4">
        <v>148789000000</v>
      </c>
      <c r="V509" s="4">
        <v>174669000000</v>
      </c>
      <c r="W509" s="4">
        <v>202148000000</v>
      </c>
      <c r="X509" s="4">
        <v>231029000000</v>
      </c>
      <c r="Y509" s="4">
        <v>261638000000</v>
      </c>
      <c r="Z509" s="4">
        <v>295868000000</v>
      </c>
      <c r="AA509" s="4">
        <v>332846000000</v>
      </c>
      <c r="AB509" s="4">
        <v>372179000000</v>
      </c>
      <c r="AC509" s="4">
        <v>413440000000</v>
      </c>
      <c r="AD509" s="4">
        <v>456388000000</v>
      </c>
      <c r="AE509" s="4">
        <v>500858000000</v>
      </c>
      <c r="AF509" s="4">
        <v>546707000000</v>
      </c>
    </row>
    <row r="510" spans="1:32" x14ac:dyDescent="0.25">
      <c r="A510" t="s">
        <v>579</v>
      </c>
      <c r="B510" s="4">
        <v>178386000000</v>
      </c>
      <c r="C510" s="4">
        <v>1232780000000</v>
      </c>
      <c r="D510" s="4">
        <v>4528350000000</v>
      </c>
      <c r="E510" s="4">
        <v>8553560000000</v>
      </c>
      <c r="F510" s="4">
        <v>14039200000000</v>
      </c>
      <c r="G510" s="4">
        <v>20677300000000</v>
      </c>
      <c r="H510" s="4">
        <v>27852300000000</v>
      </c>
      <c r="I510" s="4">
        <v>34978400000000</v>
      </c>
      <c r="J510" s="4">
        <v>41986300000000</v>
      </c>
      <c r="K510" s="4">
        <v>49164200000000</v>
      </c>
      <c r="L510" s="4">
        <v>56318100000000</v>
      </c>
      <c r="M510" s="4">
        <v>63657100000000</v>
      </c>
      <c r="N510" s="4">
        <v>71022000000000</v>
      </c>
      <c r="O510" s="4">
        <v>78450200000000</v>
      </c>
      <c r="P510" s="4">
        <v>85854200000000</v>
      </c>
      <c r="Q510" s="4">
        <v>93411600000000</v>
      </c>
      <c r="R510" s="4">
        <v>101084000000000</v>
      </c>
      <c r="S510" s="4">
        <v>109023000000000</v>
      </c>
      <c r="T510" s="4">
        <v>117168000000000</v>
      </c>
      <c r="U510" s="4">
        <v>125373000000000</v>
      </c>
      <c r="V510" s="4">
        <v>133740000000000</v>
      </c>
      <c r="W510" s="4">
        <v>142332000000000</v>
      </c>
      <c r="X510" s="4">
        <v>151122000000000</v>
      </c>
      <c r="Y510" s="4">
        <v>159980000000000</v>
      </c>
      <c r="Z510" s="4">
        <v>169015000000000</v>
      </c>
      <c r="AA510" s="4">
        <v>178092000000000</v>
      </c>
      <c r="AB510" s="4">
        <v>187377000000000</v>
      </c>
      <c r="AC510" s="4">
        <v>196320000000000</v>
      </c>
      <c r="AD510" s="4">
        <v>203627000000000</v>
      </c>
      <c r="AE510" s="4">
        <v>210899000000000</v>
      </c>
      <c r="AF510" s="4">
        <v>216617000000000</v>
      </c>
    </row>
    <row r="511" spans="1:32" x14ac:dyDescent="0.25">
      <c r="A511" t="s">
        <v>580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5">
      <c r="A512" t="s">
        <v>581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25">
      <c r="A513" t="s">
        <v>582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25">
      <c r="A514" t="s">
        <v>583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5">
      <c r="A515" t="s">
        <v>584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25">
      <c r="A516" t="s">
        <v>585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25">
      <c r="A517" t="s">
        <v>586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25">
      <c r="A518" t="s">
        <v>587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25">
      <c r="A519" t="s">
        <v>588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25">
      <c r="A520" t="s">
        <v>589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x14ac:dyDescent="0.25">
      <c r="A521" t="s">
        <v>590</v>
      </c>
      <c r="B521" s="4">
        <v>45556600000000</v>
      </c>
      <c r="C521" s="4">
        <v>47657300000000</v>
      </c>
      <c r="D521" s="4">
        <v>47117700000000</v>
      </c>
      <c r="E521" s="4">
        <v>46025400000000</v>
      </c>
      <c r="F521" s="4">
        <v>44737500000000</v>
      </c>
      <c r="G521" s="4">
        <v>43430500000000</v>
      </c>
      <c r="H521" s="4">
        <v>41955900000000</v>
      </c>
      <c r="I521" s="4">
        <v>40299800000000</v>
      </c>
      <c r="J521" s="4">
        <v>38650600000000</v>
      </c>
      <c r="K521" s="4">
        <v>37010200000000</v>
      </c>
      <c r="L521" s="4">
        <v>35345400000000</v>
      </c>
      <c r="M521" s="4">
        <v>33698000000000</v>
      </c>
      <c r="N521" s="4">
        <v>32078300000000</v>
      </c>
      <c r="O521" s="4">
        <v>30500300000000</v>
      </c>
      <c r="P521" s="4">
        <v>28959000000000</v>
      </c>
      <c r="Q521" s="4">
        <v>27492500000000</v>
      </c>
      <c r="R521" s="4">
        <v>26093700000000</v>
      </c>
      <c r="S521" s="4">
        <v>24792000000000</v>
      </c>
      <c r="T521" s="4">
        <v>23566800000000</v>
      </c>
      <c r="U521" s="4">
        <v>22395600000000</v>
      </c>
      <c r="V521" s="4">
        <v>21286100000000</v>
      </c>
      <c r="W521" s="4">
        <v>20244900000000</v>
      </c>
      <c r="X521" s="4">
        <v>19263000000000</v>
      </c>
      <c r="Y521" s="4">
        <v>18315300000000</v>
      </c>
      <c r="Z521" s="4">
        <v>17408800000000</v>
      </c>
      <c r="AA521" s="4">
        <v>16534900000000</v>
      </c>
      <c r="AB521" s="4">
        <v>15705800000000</v>
      </c>
      <c r="AC521" s="4">
        <v>14869100000000</v>
      </c>
      <c r="AD521" s="4">
        <v>15710800000000</v>
      </c>
      <c r="AE521" s="4">
        <v>16563500000000</v>
      </c>
      <c r="AF521" s="4">
        <v>17515600000000</v>
      </c>
    </row>
    <row r="522" spans="1:32" x14ac:dyDescent="0.25">
      <c r="A522" t="s">
        <v>591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5">
      <c r="A523" t="s">
        <v>592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5">
      <c r="A524" t="s">
        <v>593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25">
      <c r="A525" t="s">
        <v>594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25">
      <c r="A526" t="s">
        <v>595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25">
      <c r="A527" t="s">
        <v>596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25">
      <c r="A528" t="s">
        <v>597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5">
      <c r="A529" t="s">
        <v>598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5">
      <c r="A530" t="s">
        <v>599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25">
      <c r="A531" t="s">
        <v>600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25">
      <c r="A532" t="s">
        <v>601</v>
      </c>
      <c r="B532">
        <v>3264550000000</v>
      </c>
      <c r="C532">
        <v>3403320000000</v>
      </c>
      <c r="D532">
        <v>3355820000000</v>
      </c>
      <c r="E532">
        <v>3268500000000</v>
      </c>
      <c r="F532">
        <v>3163340000000</v>
      </c>
      <c r="G532">
        <v>3056260000000</v>
      </c>
      <c r="H532">
        <v>2937180000000</v>
      </c>
      <c r="I532">
        <v>2805090000000</v>
      </c>
      <c r="J532">
        <v>2672840000000</v>
      </c>
      <c r="K532">
        <v>2539350000000</v>
      </c>
      <c r="L532">
        <v>2401840000000</v>
      </c>
      <c r="M532">
        <v>2262730000000</v>
      </c>
      <c r="N532">
        <v>2122750000000</v>
      </c>
      <c r="O532">
        <v>1982090000000</v>
      </c>
      <c r="P532">
        <v>1839970000000</v>
      </c>
      <c r="Q532">
        <v>1698430000000</v>
      </c>
      <c r="R532">
        <v>1556730000000</v>
      </c>
      <c r="S532">
        <v>1416610000000</v>
      </c>
      <c r="T532">
        <v>1276750000000</v>
      </c>
      <c r="U532">
        <v>1136050000000</v>
      </c>
      <c r="V532">
        <v>995105000000</v>
      </c>
      <c r="W532">
        <v>854316000000</v>
      </c>
      <c r="X532">
        <v>713457000000</v>
      </c>
      <c r="Y532">
        <v>571319000000</v>
      </c>
      <c r="Z532">
        <v>428499000000</v>
      </c>
      <c r="AA532">
        <v>285185000000</v>
      </c>
      <c r="AB532">
        <v>141628000000</v>
      </c>
      <c r="AC532">
        <v>0</v>
      </c>
      <c r="AD532">
        <v>0</v>
      </c>
      <c r="AE532">
        <v>0</v>
      </c>
      <c r="AF532">
        <v>0</v>
      </c>
    </row>
    <row r="533" spans="1:32" x14ac:dyDescent="0.25">
      <c r="A533" t="s">
        <v>602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25">
      <c r="A534" t="s">
        <v>603</v>
      </c>
      <c r="B534">
        <v>370806000000</v>
      </c>
      <c r="C534">
        <v>386569000000</v>
      </c>
      <c r="D534">
        <v>381173000000</v>
      </c>
      <c r="E534">
        <v>371255000000</v>
      </c>
      <c r="F534">
        <v>359310000000</v>
      </c>
      <c r="G534">
        <v>347147000000</v>
      </c>
      <c r="H534">
        <v>333622000000</v>
      </c>
      <c r="I534">
        <v>318619000000</v>
      </c>
      <c r="J534">
        <v>303597000000</v>
      </c>
      <c r="K534">
        <v>288434000000</v>
      </c>
      <c r="L534">
        <v>272815000000</v>
      </c>
      <c r="M534">
        <v>257013000000</v>
      </c>
      <c r="N534">
        <v>241115000000</v>
      </c>
      <c r="O534">
        <v>225137000000</v>
      </c>
      <c r="P534">
        <v>208995000000</v>
      </c>
      <c r="Q534">
        <v>192917000000</v>
      </c>
      <c r="R534">
        <v>176822000000</v>
      </c>
      <c r="S534">
        <v>160907000000</v>
      </c>
      <c r="T534">
        <v>145021000000</v>
      </c>
      <c r="U534">
        <v>129039000000</v>
      </c>
      <c r="V534">
        <v>113030000000</v>
      </c>
      <c r="W534">
        <v>97038100000</v>
      </c>
      <c r="X534">
        <v>81038500000</v>
      </c>
      <c r="Y534">
        <v>64893700000</v>
      </c>
      <c r="Z534">
        <v>48671300000</v>
      </c>
      <c r="AA534">
        <v>32392900000</v>
      </c>
      <c r="AB534">
        <v>16086900000</v>
      </c>
      <c r="AC534">
        <v>0</v>
      </c>
      <c r="AD534">
        <v>0</v>
      </c>
      <c r="AE534">
        <v>0</v>
      </c>
      <c r="AF534">
        <v>0</v>
      </c>
    </row>
    <row r="535" spans="1:32" x14ac:dyDescent="0.25">
      <c r="A535" t="s">
        <v>604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25">
      <c r="A536" t="s">
        <v>605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25">
      <c r="A537" t="s">
        <v>606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25">
      <c r="A538" t="s">
        <v>607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5">
      <c r="A539" t="s">
        <v>608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25">
      <c r="A540" t="s">
        <v>609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25">
      <c r="A541" t="s">
        <v>610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25">
      <c r="A542" t="s">
        <v>611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25">
      <c r="A543" t="s">
        <v>612</v>
      </c>
      <c r="B543" s="4">
        <v>3534720000000000</v>
      </c>
      <c r="C543" s="4">
        <v>3829310000000000</v>
      </c>
      <c r="D543" s="4">
        <v>3905310000000000</v>
      </c>
      <c r="E543" s="4">
        <v>3975330000000000</v>
      </c>
      <c r="F543" s="4">
        <v>3985550000000000</v>
      </c>
      <c r="G543" s="4">
        <v>3995530000000000</v>
      </c>
      <c r="H543" s="4">
        <v>3984530000000000</v>
      </c>
      <c r="I543" s="4">
        <v>3950870000000000</v>
      </c>
      <c r="J543" s="4">
        <v>3917420000000000</v>
      </c>
      <c r="K543" s="4">
        <v>3879290000000000</v>
      </c>
      <c r="L543" s="4">
        <v>3835840000000000</v>
      </c>
      <c r="M543" s="4">
        <v>3793070000000000</v>
      </c>
      <c r="N543" s="4">
        <v>3746390000000000</v>
      </c>
      <c r="O543" s="4">
        <v>3697890000000000</v>
      </c>
      <c r="P543" s="4">
        <v>3645880000000000</v>
      </c>
      <c r="Q543" s="4">
        <v>3592510000000000</v>
      </c>
      <c r="R543" s="4">
        <v>3542440000000000</v>
      </c>
      <c r="S543" s="4">
        <v>3495170000000000</v>
      </c>
      <c r="T543" s="4">
        <v>3442050000000000</v>
      </c>
      <c r="U543" s="4">
        <v>3397790000000000</v>
      </c>
      <c r="V543" s="4">
        <v>3353960000000000</v>
      </c>
      <c r="W543" s="4">
        <v>3311810000000000</v>
      </c>
      <c r="X543" s="4">
        <v>3274130000000000</v>
      </c>
      <c r="Y543" s="4">
        <v>3226980000000000</v>
      </c>
      <c r="Z543" s="4">
        <v>3179560000000000</v>
      </c>
      <c r="AA543" s="4">
        <v>3137490000000000</v>
      </c>
      <c r="AB543" s="4">
        <v>3094570000000000</v>
      </c>
      <c r="AC543" s="4">
        <v>3047460000000000</v>
      </c>
      <c r="AD543" s="4">
        <v>3000380000000000</v>
      </c>
      <c r="AE543" s="4">
        <v>2962260000000000</v>
      </c>
      <c r="AF543" s="4">
        <v>2938760000000000</v>
      </c>
    </row>
    <row r="544" spans="1:32" x14ac:dyDescent="0.25">
      <c r="A544" t="s">
        <v>613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25">
      <c r="A545" t="s">
        <v>614</v>
      </c>
      <c r="B545" s="4">
        <v>159069000000000</v>
      </c>
      <c r="C545" s="4">
        <v>151037000000000</v>
      </c>
      <c r="D545" s="4">
        <v>154035000000000</v>
      </c>
      <c r="E545" s="4">
        <v>118226000000000</v>
      </c>
      <c r="F545" s="4">
        <v>118391000000000</v>
      </c>
      <c r="G545" s="4">
        <v>114742000000000</v>
      </c>
      <c r="H545" s="4">
        <v>114031000000000</v>
      </c>
      <c r="I545" s="4">
        <v>115282000000000</v>
      </c>
      <c r="J545" s="4">
        <v>116005000000000</v>
      </c>
      <c r="K545" s="4">
        <v>117738000000000</v>
      </c>
      <c r="L545" s="4">
        <v>117102000000000</v>
      </c>
      <c r="M545" s="4">
        <v>111610000000000</v>
      </c>
      <c r="N545" s="4">
        <v>108303000000000</v>
      </c>
      <c r="O545" s="4">
        <v>106394000000000</v>
      </c>
      <c r="P545" s="4">
        <v>105818000000000</v>
      </c>
      <c r="Q545" s="4">
        <v>108332000000000</v>
      </c>
      <c r="R545" s="4">
        <v>107782000000000</v>
      </c>
      <c r="S545" s="4">
        <v>108740000000000</v>
      </c>
      <c r="T545" s="4">
        <v>117730000000000</v>
      </c>
      <c r="U545" s="4">
        <v>117221000000000</v>
      </c>
      <c r="V545" s="4">
        <v>117242000000000</v>
      </c>
      <c r="W545" s="4">
        <v>118396000000000</v>
      </c>
      <c r="X545" s="4">
        <v>118217000000000</v>
      </c>
      <c r="Y545" s="4">
        <v>124923000000000</v>
      </c>
      <c r="Z545" s="4">
        <v>130944000000000</v>
      </c>
      <c r="AA545" s="4">
        <v>131120000000000</v>
      </c>
      <c r="AB545" s="4">
        <v>133769000000000</v>
      </c>
      <c r="AC545" s="4">
        <v>134035000000000</v>
      </c>
      <c r="AD545" s="4">
        <v>136345000000000</v>
      </c>
      <c r="AE545" s="4">
        <v>138368000000000</v>
      </c>
      <c r="AF545" s="4">
        <v>139026000000000</v>
      </c>
    </row>
    <row r="546" spans="1:32" x14ac:dyDescent="0.25">
      <c r="A546" t="s">
        <v>615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5">
      <c r="A547" t="s">
        <v>616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25">
      <c r="A548" t="s">
        <v>617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25">
      <c r="A549" t="s">
        <v>618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25">
      <c r="A550" t="s">
        <v>619</v>
      </c>
      <c r="B550" s="4">
        <v>52973200000</v>
      </c>
      <c r="C550" s="4">
        <v>59056900000</v>
      </c>
      <c r="D550" s="4">
        <v>65433200000</v>
      </c>
      <c r="E550" s="4">
        <v>70403100000</v>
      </c>
      <c r="F550" s="4">
        <v>74200900000</v>
      </c>
      <c r="G550" s="4">
        <v>77931400000</v>
      </c>
      <c r="H550" s="4">
        <v>81572000000</v>
      </c>
      <c r="I550" s="4">
        <v>84784500000</v>
      </c>
      <c r="J550" s="4">
        <v>87957000000</v>
      </c>
      <c r="K550" s="4">
        <v>91713700000</v>
      </c>
      <c r="L550" s="4">
        <v>95286500000</v>
      </c>
      <c r="M550" s="4">
        <v>99430300000</v>
      </c>
      <c r="N550" s="4">
        <v>104218000000</v>
      </c>
      <c r="O550" s="4">
        <v>109643000000</v>
      </c>
      <c r="P550" s="4">
        <v>115716000000</v>
      </c>
      <c r="Q550" s="4">
        <v>121860000000</v>
      </c>
      <c r="R550" s="4">
        <v>128712000000</v>
      </c>
      <c r="S550" s="4">
        <v>135736000000</v>
      </c>
      <c r="T550" s="4">
        <v>142862000000</v>
      </c>
      <c r="U550" s="4">
        <v>149282000000</v>
      </c>
      <c r="V550" s="4">
        <v>155748000000</v>
      </c>
      <c r="W550" s="4">
        <v>161649000000</v>
      </c>
      <c r="X550" s="4">
        <v>166999000000</v>
      </c>
      <c r="Y550" s="4">
        <v>172228000000</v>
      </c>
      <c r="Z550" s="4">
        <v>176709000000</v>
      </c>
      <c r="AA550" s="4">
        <v>180441000000</v>
      </c>
      <c r="AB550" s="4">
        <v>183541000000</v>
      </c>
      <c r="AC550" s="4">
        <v>186244000000</v>
      </c>
      <c r="AD550" s="4">
        <v>186459000000</v>
      </c>
      <c r="AE550" s="4">
        <v>185198000000</v>
      </c>
      <c r="AF550" s="4">
        <v>181274000000</v>
      </c>
    </row>
    <row r="551" spans="1:32" x14ac:dyDescent="0.25">
      <c r="A551" t="s">
        <v>620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25">
      <c r="A552" t="s">
        <v>621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25">
      <c r="A553" t="s">
        <v>622</v>
      </c>
      <c r="B553" s="4">
        <v>41475200000</v>
      </c>
      <c r="C553" s="4">
        <v>46485700000</v>
      </c>
      <c r="D553" s="4">
        <v>51504700000</v>
      </c>
      <c r="E553" s="4">
        <v>55938900000</v>
      </c>
      <c r="F553" s="4">
        <v>58958500000</v>
      </c>
      <c r="G553" s="4">
        <v>61982000000</v>
      </c>
      <c r="H553" s="4">
        <v>64883800000</v>
      </c>
      <c r="I553" s="4">
        <v>67402400000</v>
      </c>
      <c r="J553" s="4">
        <v>69895000000</v>
      </c>
      <c r="K553" s="4">
        <v>72828100000</v>
      </c>
      <c r="L553" s="4">
        <v>75652100000</v>
      </c>
      <c r="M553" s="4">
        <v>79026700000</v>
      </c>
      <c r="N553" s="4">
        <v>82873200000</v>
      </c>
      <c r="O553" s="4">
        <v>87199200000</v>
      </c>
      <c r="P553" s="4">
        <v>92006100000</v>
      </c>
      <c r="Q553" s="4">
        <v>96784900000</v>
      </c>
      <c r="R553" s="4">
        <v>102200000000</v>
      </c>
      <c r="S553" s="4">
        <v>107706000000</v>
      </c>
      <c r="T553" s="4">
        <v>113021000000</v>
      </c>
      <c r="U553" s="4">
        <v>118066000000</v>
      </c>
      <c r="V553" s="4">
        <v>123126000000</v>
      </c>
      <c r="W553" s="4">
        <v>127693000000</v>
      </c>
      <c r="X553" s="4">
        <v>131874000000</v>
      </c>
      <c r="Y553" s="4">
        <v>135662000000</v>
      </c>
      <c r="Z553" s="4">
        <v>138861000000</v>
      </c>
      <c r="AA553" s="4">
        <v>141712000000</v>
      </c>
      <c r="AB553" s="4">
        <v>143948000000</v>
      </c>
      <c r="AC553" s="4">
        <v>145961000000</v>
      </c>
      <c r="AD553" s="4">
        <v>145926000000</v>
      </c>
      <c r="AE553" s="4">
        <v>144764000000</v>
      </c>
      <c r="AF553" s="4">
        <v>141616000000</v>
      </c>
    </row>
    <row r="554" spans="1:32" x14ac:dyDescent="0.25">
      <c r="A554" t="s">
        <v>623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25">
      <c r="A555" t="s">
        <v>624</v>
      </c>
      <c r="B555" s="4">
        <v>1866470000</v>
      </c>
      <c r="C555" s="4">
        <v>1833510000</v>
      </c>
      <c r="D555" s="4">
        <v>2031470000</v>
      </c>
      <c r="E555" s="4">
        <v>1663620000</v>
      </c>
      <c r="F555" s="4">
        <v>1751370000</v>
      </c>
      <c r="G555" s="4">
        <v>1779980000</v>
      </c>
      <c r="H555" s="4">
        <v>1856880000</v>
      </c>
      <c r="I555" s="4">
        <v>1966720000</v>
      </c>
      <c r="J555" s="4">
        <v>2069780000</v>
      </c>
      <c r="K555" s="4">
        <v>2210360000</v>
      </c>
      <c r="L555" s="4">
        <v>2309540000</v>
      </c>
      <c r="M555" s="4">
        <v>2325330000</v>
      </c>
      <c r="N555" s="4">
        <v>2395760000</v>
      </c>
      <c r="O555" s="4">
        <v>2508850000</v>
      </c>
      <c r="P555" s="4">
        <v>2670390000</v>
      </c>
      <c r="Q555" s="4">
        <v>2918540000</v>
      </c>
      <c r="R555" s="4">
        <v>3109540000</v>
      </c>
      <c r="S555" s="4">
        <v>3350900000</v>
      </c>
      <c r="T555" s="4">
        <v>3865720000</v>
      </c>
      <c r="U555" s="4">
        <v>4073180000</v>
      </c>
      <c r="V555" s="4">
        <v>4304050000</v>
      </c>
      <c r="W555" s="4">
        <v>4564990000</v>
      </c>
      <c r="X555" s="4">
        <v>4761510000</v>
      </c>
      <c r="Y555" s="4">
        <v>5251750000</v>
      </c>
      <c r="Z555" s="4">
        <v>5718720000</v>
      </c>
      <c r="AA555" s="4">
        <v>5922330000</v>
      </c>
      <c r="AB555" s="4">
        <v>6222440000</v>
      </c>
      <c r="AC555" s="4">
        <v>6419770000</v>
      </c>
      <c r="AD555" s="4">
        <v>6631240000</v>
      </c>
      <c r="AE555" s="4">
        <v>6761950000</v>
      </c>
      <c r="AF555" s="4">
        <v>6699480000</v>
      </c>
    </row>
    <row r="556" spans="1:32" x14ac:dyDescent="0.25">
      <c r="A556" t="s">
        <v>625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5">
      <c r="A557" t="s">
        <v>626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25">
      <c r="A558" t="s">
        <v>627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25">
      <c r="A559" t="s">
        <v>628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25">
      <c r="A560" t="s">
        <v>629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5">
      <c r="A561" t="s">
        <v>630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25">
      <c r="A562" t="s">
        <v>631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25">
      <c r="A563" t="s">
        <v>632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25">
      <c r="A564" t="s">
        <v>633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5">
      <c r="A565" t="s">
        <v>634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25">
      <c r="A566" t="s">
        <v>635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25">
      <c r="A567" t="s">
        <v>636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25">
      <c r="A568" t="s">
        <v>637</v>
      </c>
      <c r="B568" s="4">
        <v>687650000000</v>
      </c>
      <c r="C568" s="4">
        <v>727116000000</v>
      </c>
      <c r="D568" s="4">
        <v>740051000000</v>
      </c>
      <c r="E568" s="4">
        <v>741993000000</v>
      </c>
      <c r="F568" s="4">
        <v>740040000000</v>
      </c>
      <c r="G568" s="4">
        <v>736939000000</v>
      </c>
      <c r="H568" s="4">
        <v>730220000000</v>
      </c>
      <c r="I568" s="4">
        <v>719363000000</v>
      </c>
      <c r="J568" s="4">
        <v>708329000000</v>
      </c>
      <c r="K568" s="4">
        <v>697652000000</v>
      </c>
      <c r="L568" s="4">
        <v>686127000000</v>
      </c>
      <c r="M568" s="4">
        <v>675262000000</v>
      </c>
      <c r="N568" s="4">
        <v>665017000000</v>
      </c>
      <c r="O568" s="4">
        <v>656112000000</v>
      </c>
      <c r="P568" s="4">
        <v>647820000000</v>
      </c>
      <c r="Q568" s="4">
        <v>641276000000</v>
      </c>
      <c r="R568" s="4">
        <v>635700000000</v>
      </c>
      <c r="S568" s="4">
        <v>632371000000</v>
      </c>
      <c r="T568" s="4">
        <v>630900000000</v>
      </c>
      <c r="U568" s="4">
        <v>630789000000</v>
      </c>
      <c r="V568" s="4">
        <v>632345000000</v>
      </c>
      <c r="W568" s="4">
        <v>635897000000</v>
      </c>
      <c r="X568" s="4">
        <v>641499000000</v>
      </c>
      <c r="Y568" s="4">
        <v>648136000000</v>
      </c>
      <c r="Z568" s="4">
        <v>656589000000</v>
      </c>
      <c r="AA568" s="4">
        <v>666416000000</v>
      </c>
      <c r="AB568" s="4">
        <v>678050000000</v>
      </c>
      <c r="AC568" s="4">
        <v>689761000000</v>
      </c>
      <c r="AD568" s="4">
        <v>719090000000</v>
      </c>
      <c r="AE568" s="4">
        <v>749052000000</v>
      </c>
      <c r="AF568" s="4">
        <v>769573000000</v>
      </c>
    </row>
    <row r="569" spans="1:32" x14ac:dyDescent="0.25">
      <c r="A569" t="s">
        <v>638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25">
      <c r="A570" t="s">
        <v>639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5">
      <c r="A571" t="s">
        <v>640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25">
      <c r="A572" t="s">
        <v>641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25">
      <c r="A573" t="s">
        <v>642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5">
      <c r="A574" t="s">
        <v>643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25">
      <c r="A575" t="s">
        <v>644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5">
      <c r="A576" t="s">
        <v>645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5">
      <c r="A577" t="s">
        <v>646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25">
      <c r="A578" t="s">
        <v>647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25">
      <c r="A579" t="s">
        <v>648</v>
      </c>
      <c r="B579" s="4">
        <v>20412400000</v>
      </c>
      <c r="C579" s="4">
        <v>21085200000</v>
      </c>
      <c r="D579" s="4">
        <v>20791300000</v>
      </c>
      <c r="E579" s="4">
        <v>20250800000</v>
      </c>
      <c r="F579" s="4">
        <v>19599600000</v>
      </c>
      <c r="G579" s="4">
        <v>19477900000</v>
      </c>
      <c r="H579" s="4">
        <v>19269600000</v>
      </c>
      <c r="I579" s="4">
        <v>19472500000</v>
      </c>
      <c r="J579" s="4">
        <v>19666700000</v>
      </c>
      <c r="K579" s="4">
        <v>20837900000</v>
      </c>
      <c r="L579" s="4">
        <v>22952800000</v>
      </c>
      <c r="M579" s="4">
        <v>26029800000</v>
      </c>
      <c r="N579" s="4">
        <v>30092700000</v>
      </c>
      <c r="O579" s="4">
        <v>36152700000</v>
      </c>
      <c r="P579" s="4">
        <v>43713700000</v>
      </c>
      <c r="Q579" s="4">
        <v>53300900000</v>
      </c>
      <c r="R579" s="4">
        <v>65391100000</v>
      </c>
      <c r="S579" s="4">
        <v>79572300000</v>
      </c>
      <c r="T579" s="4">
        <v>96332900000</v>
      </c>
      <c r="U579" s="4">
        <v>115613000000</v>
      </c>
      <c r="V579" s="4">
        <v>137464000000</v>
      </c>
      <c r="W579" s="4">
        <v>161484000000</v>
      </c>
      <c r="X579" s="4">
        <v>187743000000</v>
      </c>
      <c r="Y579" s="4">
        <v>215967000000</v>
      </c>
      <c r="Z579" s="4">
        <v>246718000000</v>
      </c>
      <c r="AA579" s="4">
        <v>278976000000</v>
      </c>
      <c r="AB579" s="4">
        <v>313426000000</v>
      </c>
      <c r="AC579" s="4">
        <v>348724000000</v>
      </c>
      <c r="AD579" s="4">
        <v>383067000000</v>
      </c>
      <c r="AE579" s="4">
        <v>420364000000</v>
      </c>
      <c r="AF579" s="4">
        <v>459912000000</v>
      </c>
    </row>
    <row r="580" spans="1:32" x14ac:dyDescent="0.25">
      <c r="A580" t="s">
        <v>649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5">
      <c r="A581" t="s">
        <v>650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25">
      <c r="A582" t="s">
        <v>651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5">
      <c r="A583" t="s">
        <v>652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25">
      <c r="A584" t="s">
        <v>653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25">
      <c r="A585" t="s">
        <v>654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5">
      <c r="A586" t="s">
        <v>655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25">
      <c r="A587" t="s">
        <v>656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25">
      <c r="A588" t="s">
        <v>657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25">
      <c r="A589" t="s">
        <v>658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5">
      <c r="A590" t="s">
        <v>659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5">
      <c r="A591" t="s">
        <v>660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25">
      <c r="A592" t="s">
        <v>661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25">
      <c r="A593" t="s">
        <v>662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5">
      <c r="A594" t="s">
        <v>663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25">
      <c r="A595" t="s">
        <v>664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25">
      <c r="A596" t="s">
        <v>665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25">
      <c r="A597" t="s">
        <v>666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25">
      <c r="A598" t="s">
        <v>667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25">
      <c r="A599" t="s">
        <v>668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25">
      <c r="A600" t="s">
        <v>669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25">
      <c r="A601" t="s">
        <v>670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25">
      <c r="A602" t="s">
        <v>671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25">
      <c r="A603" t="s">
        <v>672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25">
      <c r="A604" t="s">
        <v>673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25">
      <c r="A605" t="s">
        <v>674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5">
      <c r="A606" t="s">
        <v>675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5">
      <c r="A607" t="s">
        <v>676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5">
      <c r="A608" t="s">
        <v>677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5">
      <c r="A609" t="s">
        <v>678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A610" t="s">
        <v>679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5">
      <c r="A611" t="s">
        <v>680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5">
      <c r="A612" t="s">
        <v>681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5">
      <c r="A613" t="s">
        <v>682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 t="s">
        <v>683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25">
      <c r="A615" t="s">
        <v>684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25">
      <c r="A616" t="s">
        <v>685</v>
      </c>
      <c r="B616" s="4">
        <v>1339990000000000</v>
      </c>
      <c r="C616" s="4">
        <v>1789390000000000</v>
      </c>
      <c r="D616" s="4">
        <v>2208840000000000</v>
      </c>
      <c r="E616" s="4">
        <v>2495300000000000</v>
      </c>
      <c r="F616" s="4">
        <v>2590100000000000</v>
      </c>
      <c r="G616" s="4">
        <v>2667850000000000</v>
      </c>
      <c r="H616" s="4">
        <v>2727100000000000</v>
      </c>
      <c r="I616" s="4">
        <v>2765110000000000</v>
      </c>
      <c r="J616" s="4">
        <v>2801540000000000</v>
      </c>
      <c r="K616" s="4">
        <v>2841390000000000</v>
      </c>
      <c r="L616" s="4">
        <v>2885730000000000</v>
      </c>
      <c r="M616" s="4">
        <v>2921300000000000</v>
      </c>
      <c r="N616" s="4">
        <v>2939070000000000</v>
      </c>
      <c r="O616" s="4">
        <v>2975550000000000</v>
      </c>
      <c r="P616" s="4">
        <v>3009180000000000</v>
      </c>
      <c r="Q616" s="4">
        <v>3044150000000000</v>
      </c>
      <c r="R616" s="4">
        <v>3079610000000000</v>
      </c>
      <c r="S616" s="4">
        <v>3120060000000000</v>
      </c>
      <c r="T616" s="4">
        <v>3157650000000000</v>
      </c>
      <c r="U616" s="4">
        <v>3200440000000000</v>
      </c>
      <c r="V616" s="4">
        <v>3247810000000000</v>
      </c>
      <c r="W616" s="4">
        <v>3287400000000000</v>
      </c>
      <c r="X616" s="4">
        <v>3332170000000000</v>
      </c>
      <c r="Y616" s="4">
        <v>3379480000000000</v>
      </c>
      <c r="Z616" s="4">
        <v>3421120000000000</v>
      </c>
      <c r="AA616" s="4">
        <v>3471080000000000</v>
      </c>
      <c r="AB616" s="4">
        <v>3522030000000000</v>
      </c>
      <c r="AC616" s="4">
        <v>3567040000000000</v>
      </c>
      <c r="AD616" s="4">
        <v>3612640000000000</v>
      </c>
      <c r="AE616" s="4">
        <v>3666010000000000</v>
      </c>
      <c r="AF616" s="4">
        <v>3725280000000000</v>
      </c>
    </row>
    <row r="617" spans="1:32" x14ac:dyDescent="0.25">
      <c r="A617" t="s">
        <v>686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25">
      <c r="A618" t="s">
        <v>687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5">
      <c r="A619" t="s">
        <v>688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25">
      <c r="A620" t="s">
        <v>689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 t="s">
        <v>690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25">
      <c r="A622" t="s">
        <v>691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25">
      <c r="A623" t="s">
        <v>692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25">
      <c r="A624" t="s">
        <v>693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25">
      <c r="A625" t="s">
        <v>694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25">
      <c r="A626" t="s">
        <v>695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5">
      <c r="A627" t="s">
        <v>696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5">
      <c r="A628" t="s">
        <v>697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25">
      <c r="A629" t="s">
        <v>698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25">
      <c r="A630" t="s">
        <v>699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25">
      <c r="A631" t="s">
        <v>700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25">
      <c r="A632" t="s">
        <v>701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25">
      <c r="A633" t="s">
        <v>702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25">
      <c r="A634" t="s">
        <v>703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25">
      <c r="A635" t="s">
        <v>704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5">
      <c r="A636" t="s">
        <v>705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25">
      <c r="A637" t="s">
        <v>706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5">
      <c r="A638" t="s">
        <v>707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25">
      <c r="A639" t="s">
        <v>708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25">
      <c r="A640" t="s">
        <v>709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25">
      <c r="A641" t="s">
        <v>710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25">
      <c r="A642" t="s">
        <v>711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5">
      <c r="A643" t="s">
        <v>712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25">
      <c r="A644" t="s">
        <v>713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 t="s">
        <v>714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5">
      <c r="A646" t="s">
        <v>715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5">
      <c r="A647" t="s">
        <v>716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5">
      <c r="A648" t="s">
        <v>717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5">
      <c r="A649" t="s">
        <v>718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25">
      <c r="A650" t="s">
        <v>719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25">
      <c r="A651" t="s">
        <v>720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5">
      <c r="A652" t="s">
        <v>721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25">
      <c r="A653" t="s">
        <v>722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25">
      <c r="A654" t="s">
        <v>723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25">
      <c r="A655" t="s">
        <v>724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5">
      <c r="A656" t="s">
        <v>725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5">
      <c r="A657" t="s">
        <v>726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5">
      <c r="A658" t="s">
        <v>727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25">
      <c r="A659" t="s">
        <v>728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25">
      <c r="A660" t="s">
        <v>729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25">
      <c r="A661" t="s">
        <v>730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25">
      <c r="A662" t="s">
        <v>731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5">
      <c r="A663" t="s">
        <v>732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25">
      <c r="A664" t="s">
        <v>733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5">
      <c r="A665" t="s">
        <v>734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25">
      <c r="A666" t="s">
        <v>735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5">
      <c r="A667" t="s">
        <v>736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5">
      <c r="A668" t="s">
        <v>737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25">
      <c r="A669" t="s">
        <v>738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25">
      <c r="A670" t="s">
        <v>739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25">
      <c r="A671" t="s">
        <v>740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25">
      <c r="A672" t="s">
        <v>741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25">
      <c r="A673" t="s">
        <v>742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5">
      <c r="A674" t="s">
        <v>743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25">
      <c r="A675" t="s">
        <v>744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5">
      <c r="A676" t="s">
        <v>745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25">
      <c r="A677" t="s">
        <v>746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25">
      <c r="A678" t="s">
        <v>747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25">
      <c r="A679" t="s">
        <v>748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25">
      <c r="A680" t="s">
        <v>749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25">
      <c r="A681" t="s">
        <v>750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25">
      <c r="A682" t="s">
        <v>751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25">
      <c r="A683" t="s">
        <v>752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25">
      <c r="A684" t="s">
        <v>753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25">
      <c r="A685" t="s">
        <v>754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5">
      <c r="A686" t="s">
        <v>755</v>
      </c>
      <c r="B686" s="4">
        <v>523360000000000</v>
      </c>
      <c r="C686" s="4">
        <v>513214000000000</v>
      </c>
      <c r="D686" s="4">
        <v>487202000000000</v>
      </c>
      <c r="E686" s="4">
        <v>475385000000000</v>
      </c>
      <c r="F686" s="4">
        <v>470311000000000</v>
      </c>
      <c r="G686" s="4">
        <v>475445000000000</v>
      </c>
      <c r="H686" s="4">
        <v>484186000000000</v>
      </c>
      <c r="I686" s="4">
        <v>491081000000000</v>
      </c>
      <c r="J686" s="4">
        <v>497721000000000</v>
      </c>
      <c r="K686" s="4">
        <v>504519000000000</v>
      </c>
      <c r="L686" s="4">
        <v>511710000000000</v>
      </c>
      <c r="M686" s="4">
        <v>517814000000000</v>
      </c>
      <c r="N686" s="4">
        <v>520679000000000</v>
      </c>
      <c r="O686" s="4">
        <v>526660000000000</v>
      </c>
      <c r="P686" s="4">
        <v>532337000000000</v>
      </c>
      <c r="Q686" s="4">
        <v>538533000000000</v>
      </c>
      <c r="R686" s="4">
        <v>545041000000000</v>
      </c>
      <c r="S686" s="4">
        <v>552224000000000</v>
      </c>
      <c r="T686" s="4">
        <v>559114000000000</v>
      </c>
      <c r="U686" s="4">
        <v>566742000000000</v>
      </c>
      <c r="V686" s="4">
        <v>574955000000000</v>
      </c>
      <c r="W686" s="4">
        <v>582447000000000</v>
      </c>
      <c r="X686" s="4">
        <v>590584000000000</v>
      </c>
      <c r="Y686" s="4">
        <v>599025000000000</v>
      </c>
      <c r="Z686" s="4">
        <v>604895000000000</v>
      </c>
      <c r="AA686" s="4">
        <v>612444000000000</v>
      </c>
      <c r="AB686" s="4">
        <v>620542000000000</v>
      </c>
      <c r="AC686" s="4">
        <v>628253000000000</v>
      </c>
      <c r="AD686" s="4">
        <v>636271000000000</v>
      </c>
      <c r="AE686" s="4">
        <v>645158000000000</v>
      </c>
      <c r="AF686" s="4">
        <v>655067000000000</v>
      </c>
    </row>
    <row r="687" spans="1:32" x14ac:dyDescent="0.25">
      <c r="A687" t="s">
        <v>756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25">
      <c r="A688" t="s">
        <v>757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5">
      <c r="A689" t="s">
        <v>758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25">
      <c r="A690" t="s">
        <v>759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25">
      <c r="A691" t="s">
        <v>760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25">
      <c r="A692" t="s">
        <v>761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25">
      <c r="A693" t="s">
        <v>762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 t="s">
        <v>763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25">
      <c r="A695" t="s">
        <v>764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25">
      <c r="A696" t="s">
        <v>765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25">
      <c r="A697" t="s">
        <v>766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25">
      <c r="A698" t="s">
        <v>767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5">
      <c r="A699" t="s">
        <v>768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25">
      <c r="A700" t="s">
        <v>769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5">
      <c r="A701" t="s">
        <v>770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25">
      <c r="A702" t="s">
        <v>771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5">
      <c r="A703" t="s">
        <v>772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25">
      <c r="A704" t="s">
        <v>773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25">
      <c r="A705" t="s">
        <v>774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25">
      <c r="A706" t="s">
        <v>775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5">
      <c r="A707" t="s">
        <v>776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5">
      <c r="A708" t="s">
        <v>777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5">
      <c r="A709" t="s">
        <v>778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25">
      <c r="A710" t="s">
        <v>779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25">
      <c r="A711" t="s">
        <v>780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5">
      <c r="A712" t="s">
        <v>781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25">
      <c r="A713" t="s">
        <v>782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25">
      <c r="A714" t="s">
        <v>783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25">
      <c r="A715" t="s">
        <v>784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25">
      <c r="A716" t="s">
        <v>785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25">
      <c r="A717" t="s">
        <v>786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25">
      <c r="A718" t="s">
        <v>787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5">
      <c r="A719" t="s">
        <v>788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25">
      <c r="A720" t="s">
        <v>789</v>
      </c>
      <c r="B720" s="4">
        <v>15196500000000</v>
      </c>
      <c r="C720" s="4">
        <v>18173600000000</v>
      </c>
      <c r="D720" s="4">
        <v>20584000000000</v>
      </c>
      <c r="E720" s="4">
        <v>22182400000000</v>
      </c>
      <c r="F720" s="4">
        <v>23611300000000</v>
      </c>
      <c r="G720" s="4">
        <v>24776200000000</v>
      </c>
      <c r="H720" s="4">
        <v>25800800000000</v>
      </c>
      <c r="I720" s="4">
        <v>26589400000000</v>
      </c>
      <c r="J720" s="4">
        <v>27264000000000</v>
      </c>
      <c r="K720" s="4">
        <v>27916200000000</v>
      </c>
      <c r="L720" s="4">
        <v>28628900000000</v>
      </c>
      <c r="M720" s="4">
        <v>29337900000000</v>
      </c>
      <c r="N720" s="4">
        <v>29956100000000</v>
      </c>
      <c r="O720" s="4">
        <v>30553600000000</v>
      </c>
      <c r="P720" s="4">
        <v>31113600000000</v>
      </c>
      <c r="Q720" s="4">
        <v>31615000000000</v>
      </c>
      <c r="R720" s="4">
        <v>32133000000000</v>
      </c>
      <c r="S720" s="4">
        <v>32687200000000</v>
      </c>
      <c r="T720" s="4">
        <v>33220300000000</v>
      </c>
      <c r="U720" s="4">
        <v>33708900000000</v>
      </c>
      <c r="V720" s="4">
        <v>34268300000000</v>
      </c>
      <c r="W720" s="4">
        <v>34757800000000</v>
      </c>
      <c r="X720" s="4">
        <v>35240500000000</v>
      </c>
      <c r="Y720" s="4">
        <v>35765200000000</v>
      </c>
      <c r="Z720" s="4">
        <v>36299600000000</v>
      </c>
      <c r="AA720" s="4">
        <v>36871200000000</v>
      </c>
      <c r="AB720" s="4">
        <v>37484700000000</v>
      </c>
      <c r="AC720" s="4">
        <v>38023300000000</v>
      </c>
      <c r="AD720" s="4">
        <v>38539200000000</v>
      </c>
      <c r="AE720" s="4">
        <v>39096900000000</v>
      </c>
      <c r="AF720" s="4">
        <v>39703700000000</v>
      </c>
    </row>
    <row r="721" spans="1:32" x14ac:dyDescent="0.25">
      <c r="A721" t="s">
        <v>790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5">
      <c r="A722" t="s">
        <v>791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5">
      <c r="A723" t="s">
        <v>792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x14ac:dyDescent="0.25">
      <c r="A724" t="s">
        <v>793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5">
      <c r="A725" t="s">
        <v>794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25">
      <c r="A726" t="s">
        <v>795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5">
      <c r="A727" t="s">
        <v>796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x14ac:dyDescent="0.25">
      <c r="A728" t="s">
        <v>797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5">
      <c r="A729" t="s">
        <v>798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 t="s">
        <v>799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25">
      <c r="A731" t="s">
        <v>800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25">
      <c r="A732" t="s">
        <v>801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5">
      <c r="A733" t="s">
        <v>802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25">
      <c r="A734" t="s">
        <v>803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25">
      <c r="A735" t="s">
        <v>804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x14ac:dyDescent="0.25">
      <c r="A736" t="s">
        <v>805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5">
      <c r="A737" t="s">
        <v>806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5">
      <c r="A738" t="s">
        <v>807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25">
      <c r="A739" t="s">
        <v>808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x14ac:dyDescent="0.25">
      <c r="A740" t="s">
        <v>809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25">
      <c r="A741" t="s">
        <v>810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25">
      <c r="A742" t="s">
        <v>811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5">
      <c r="A743" t="s">
        <v>812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5">
      <c r="A744" t="s">
        <v>813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25">
      <c r="A745" t="s">
        <v>814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25">
      <c r="A746" t="s">
        <v>815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25">
      <c r="A747" t="s">
        <v>816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5">
      <c r="A748" t="s">
        <v>817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25">
      <c r="A749" t="s">
        <v>818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25">
      <c r="A750" t="s">
        <v>819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25">
      <c r="A751" t="s">
        <v>820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25">
      <c r="A752" t="s">
        <v>821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25">
      <c r="A753" t="s">
        <v>822</v>
      </c>
      <c r="B753" s="4">
        <v>14345400000000</v>
      </c>
      <c r="C753" s="4">
        <v>16731200000000</v>
      </c>
      <c r="D753" s="4">
        <v>18357700000000</v>
      </c>
      <c r="E753" s="4">
        <v>19156100000000</v>
      </c>
      <c r="F753" s="4">
        <v>19739600000000</v>
      </c>
      <c r="G753" s="4">
        <v>20062100000000</v>
      </c>
      <c r="H753" s="4">
        <v>20204800000000</v>
      </c>
      <c r="I753" s="4">
        <v>20161000000000</v>
      </c>
      <c r="J753" s="4">
        <v>20048400000000</v>
      </c>
      <c r="K753" s="4">
        <v>19893500000000</v>
      </c>
      <c r="L753" s="4">
        <v>19802800000000</v>
      </c>
      <c r="M753" s="4">
        <v>19673700000000</v>
      </c>
      <c r="N753" s="4">
        <v>19517600000000</v>
      </c>
      <c r="O753" s="4">
        <v>19380300000000</v>
      </c>
      <c r="P753" s="4">
        <v>19205900000000</v>
      </c>
      <c r="Q753" s="4">
        <v>18975700000000</v>
      </c>
      <c r="R753" s="4">
        <v>18737100000000</v>
      </c>
      <c r="S753" s="4">
        <v>18510000000000</v>
      </c>
      <c r="T753" s="4">
        <v>18303300000000</v>
      </c>
      <c r="U753" s="4">
        <v>18055900000000</v>
      </c>
      <c r="V753" s="4">
        <v>17830700000000</v>
      </c>
      <c r="W753" s="4">
        <v>17562100000000</v>
      </c>
      <c r="X753" s="4">
        <v>17329500000000</v>
      </c>
      <c r="Y753" s="4">
        <v>17112000000000</v>
      </c>
      <c r="Z753" s="4">
        <v>16877900000000</v>
      </c>
      <c r="AA753" s="4">
        <v>16647800000000</v>
      </c>
      <c r="AB753" s="4">
        <v>16475800000000</v>
      </c>
      <c r="AC753" s="4">
        <v>16265500000000</v>
      </c>
      <c r="AD753" s="4">
        <v>16036000000000</v>
      </c>
      <c r="AE753" s="4">
        <v>15866500000000</v>
      </c>
      <c r="AF753" s="4">
        <v>15712600000000</v>
      </c>
    </row>
    <row r="754" spans="1:32" x14ac:dyDescent="0.25">
      <c r="A754" t="s">
        <v>823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25">
      <c r="A755" t="s">
        <v>824</v>
      </c>
      <c r="B755">
        <v>0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5">
      <c r="A756" t="s">
        <v>825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25">
      <c r="A757" t="s">
        <v>826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5">
      <c r="A758" t="s">
        <v>827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25">
      <c r="A759" t="s">
        <v>828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25">
      <c r="A760" t="s">
        <v>829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25">
      <c r="A761" t="s">
        <v>830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25">
      <c r="A762" t="s">
        <v>831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25">
      <c r="A763" t="s">
        <v>832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25">
      <c r="A764" t="s">
        <v>833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25">
      <c r="A765" t="s">
        <v>834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5">
      <c r="A766" t="s">
        <v>835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25">
      <c r="A767" t="s">
        <v>836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25">
      <c r="A768" t="s">
        <v>837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5">
      <c r="A769" t="s">
        <v>838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25">
      <c r="A770" t="s">
        <v>839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25">
      <c r="A771" t="s">
        <v>840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5">
      <c r="A772" t="s">
        <v>841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25">
      <c r="A773" t="s">
        <v>842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5">
      <c r="A774" t="s">
        <v>843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25">
      <c r="A775" t="s">
        <v>844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25">
      <c r="A776" t="s">
        <v>845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25">
      <c r="A777" t="s">
        <v>846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25">
      <c r="A778" t="s">
        <v>847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25">
      <c r="A779" t="s">
        <v>848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25">
      <c r="A780" t="s">
        <v>849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25">
      <c r="A781" t="s">
        <v>850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25">
      <c r="A782" t="s">
        <v>851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25">
      <c r="A783" t="s">
        <v>852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 t="s">
        <v>853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5">
      <c r="A785" t="s">
        <v>854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5">
      <c r="A786" t="s">
        <v>855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25">
      <c r="A787" t="s">
        <v>856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5">
      <c r="A788" t="s">
        <v>857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25">
      <c r="A789" t="s">
        <v>858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x14ac:dyDescent="0.25">
      <c r="A790" t="s">
        <v>859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25">
      <c r="A791" t="s">
        <v>860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5">
      <c r="A792" t="s">
        <v>861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25">
      <c r="A793" t="s">
        <v>862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25">
      <c r="A794" t="s">
        <v>863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25">
      <c r="A795" t="s">
        <v>864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x14ac:dyDescent="0.25">
      <c r="A796" t="s">
        <v>865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25">
      <c r="A797" t="s">
        <v>866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25">
      <c r="A798" t="s">
        <v>867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25">
      <c r="A799" t="s">
        <v>868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25">
      <c r="A800" t="s">
        <v>869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25">
      <c r="A801" t="s">
        <v>870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25">
      <c r="A802" t="s">
        <v>871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x14ac:dyDescent="0.25">
      <c r="A803" t="s">
        <v>872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25">
      <c r="A804" t="s">
        <v>873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x14ac:dyDescent="0.25">
      <c r="A805" t="s">
        <v>874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25">
      <c r="A806" t="s">
        <v>875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25">
      <c r="A807" t="s">
        <v>876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25">
      <c r="A808" t="s">
        <v>877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x14ac:dyDescent="0.25">
      <c r="A809" t="s">
        <v>878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25">
      <c r="A810" t="s">
        <v>879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25">
      <c r="A811" t="s">
        <v>880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5">
      <c r="A812" t="s">
        <v>881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25">
      <c r="A813" t="s">
        <v>882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25">
      <c r="A814" t="s">
        <v>883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25">
      <c r="A815" t="s">
        <v>884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25">
      <c r="A816" t="s">
        <v>885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25">
      <c r="A817" t="s">
        <v>886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x14ac:dyDescent="0.25">
      <c r="A818" t="s">
        <v>887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25">
      <c r="A819" t="s">
        <v>888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25">
      <c r="A820" t="s">
        <v>889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25">
      <c r="A821" t="s">
        <v>890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25">
      <c r="A822" t="s">
        <v>891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25">
      <c r="A823" t="s">
        <v>892</v>
      </c>
      <c r="B823" s="4">
        <v>431912000000000</v>
      </c>
      <c r="C823" s="4">
        <v>467461000000000</v>
      </c>
      <c r="D823" s="4">
        <v>469960000000000</v>
      </c>
      <c r="E823" s="4">
        <v>472804000000000</v>
      </c>
      <c r="F823" s="4">
        <v>440899000000000</v>
      </c>
      <c r="G823" s="4">
        <v>447074000000000</v>
      </c>
      <c r="H823" s="4">
        <v>455461000000000</v>
      </c>
      <c r="I823" s="4">
        <v>454305000000000</v>
      </c>
      <c r="J823" s="4">
        <v>452856000000000</v>
      </c>
      <c r="K823" s="4">
        <v>451174000000000</v>
      </c>
      <c r="L823" s="4">
        <v>450671000000000</v>
      </c>
      <c r="M823" s="4">
        <v>450620000000000</v>
      </c>
      <c r="N823" s="4">
        <v>450595000000000</v>
      </c>
      <c r="O823" s="4">
        <v>451048000000000</v>
      </c>
      <c r="P823" s="4">
        <v>446322000000000</v>
      </c>
      <c r="Q823" s="4">
        <v>444482000000000</v>
      </c>
      <c r="R823" s="4">
        <v>439794000000000</v>
      </c>
      <c r="S823" s="4">
        <v>440148000000000</v>
      </c>
      <c r="T823" s="4">
        <v>439637000000000</v>
      </c>
      <c r="U823" s="4">
        <v>439124000000000</v>
      </c>
      <c r="V823" s="4">
        <v>437973000000000</v>
      </c>
      <c r="W823" s="4">
        <v>437426000000000</v>
      </c>
      <c r="X823" s="4">
        <v>437594000000000</v>
      </c>
      <c r="Y823" s="4">
        <v>436195000000000</v>
      </c>
      <c r="Z823" s="4">
        <v>434300000000000</v>
      </c>
      <c r="AA823" s="4">
        <v>433275000000000</v>
      </c>
      <c r="AB823" s="4">
        <v>433088000000000</v>
      </c>
      <c r="AC823" s="4">
        <v>432030000000000</v>
      </c>
      <c r="AD823" s="4">
        <v>431554000000000</v>
      </c>
      <c r="AE823" s="4">
        <v>431595000000000</v>
      </c>
      <c r="AF823" s="4">
        <v>433788000000000</v>
      </c>
    </row>
    <row r="824" spans="1:32" x14ac:dyDescent="0.25">
      <c r="A824" t="s">
        <v>893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25">
      <c r="A825" t="s">
        <v>894</v>
      </c>
      <c r="B825">
        <v>0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5">
      <c r="A826" t="s">
        <v>895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25">
      <c r="A827" t="s">
        <v>896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25">
      <c r="A828" t="s">
        <v>897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25">
      <c r="A829" t="s">
        <v>898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x14ac:dyDescent="0.25">
      <c r="A830" t="s">
        <v>899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25">
      <c r="A831" t="s">
        <v>900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5">
      <c r="A832" t="s">
        <v>901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25">
      <c r="A833" t="s">
        <v>902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25">
      <c r="A834" t="s">
        <v>903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25">
      <c r="A835" t="s">
        <v>904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25">
      <c r="A836" t="s">
        <v>905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25">
      <c r="A837" t="s">
        <v>906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x14ac:dyDescent="0.25">
      <c r="A838" t="s">
        <v>907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x14ac:dyDescent="0.25">
      <c r="A839" t="s">
        <v>908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x14ac:dyDescent="0.25">
      <c r="A840" t="s">
        <v>909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5">
      <c r="A841" t="s">
        <v>910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25">
      <c r="A842" t="s">
        <v>911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25">
      <c r="A843" t="s">
        <v>912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5">
      <c r="A844" t="s">
        <v>913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25">
      <c r="A845" t="s">
        <v>914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25">
      <c r="A846" t="s">
        <v>915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25">
      <c r="A847" t="s">
        <v>916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x14ac:dyDescent="0.25">
      <c r="A848" t="s">
        <v>917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25">
      <c r="A849" t="s">
        <v>918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25">
      <c r="A850" t="s">
        <v>919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25">
      <c r="A851" t="s">
        <v>920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25">
      <c r="A852" t="s">
        <v>921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25">
      <c r="A853" t="s">
        <v>922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25">
      <c r="A854" t="s">
        <v>923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25">
      <c r="A855" t="s">
        <v>924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25">
      <c r="A856" t="s">
        <v>925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x14ac:dyDescent="0.25">
      <c r="A857" t="s">
        <v>926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25">
      <c r="A858" t="s">
        <v>927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5">
      <c r="A859" t="s">
        <v>928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25">
      <c r="A860" t="s">
        <v>929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x14ac:dyDescent="0.25">
      <c r="A861" t="s">
        <v>930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25">
      <c r="A862" t="s">
        <v>931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x14ac:dyDescent="0.25">
      <c r="A863" t="s">
        <v>932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x14ac:dyDescent="0.25">
      <c r="A864" t="s">
        <v>933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25">
      <c r="A865" t="s">
        <v>934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25">
      <c r="A866" t="s">
        <v>935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25">
      <c r="A867" t="s">
        <v>936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25">
      <c r="A868" t="s">
        <v>937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x14ac:dyDescent="0.25">
      <c r="A869" t="s">
        <v>938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x14ac:dyDescent="0.25">
      <c r="A870" t="s">
        <v>939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x14ac:dyDescent="0.25">
      <c r="A871" t="s">
        <v>940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5">
      <c r="A872" t="s">
        <v>941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25">
      <c r="A873" t="s">
        <v>942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25">
      <c r="A874" t="s">
        <v>943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25">
      <c r="A875" t="s">
        <v>944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x14ac:dyDescent="0.25">
      <c r="A876" t="s">
        <v>945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5">
      <c r="A877" t="s">
        <v>946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25">
      <c r="A878" t="s">
        <v>947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25">
      <c r="A879" t="s">
        <v>948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25">
      <c r="A880" t="s">
        <v>949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25">
      <c r="A881" t="s">
        <v>950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25">
      <c r="A882" t="s">
        <v>951</v>
      </c>
      <c r="B882" s="4">
        <v>148127000000000</v>
      </c>
      <c r="C882" s="4">
        <v>150329000000000</v>
      </c>
      <c r="D882" s="4">
        <v>148867000000000</v>
      </c>
      <c r="E882" s="4">
        <v>144749000000000</v>
      </c>
      <c r="F882" s="4">
        <v>140862000000000</v>
      </c>
      <c r="G882" s="4">
        <v>136545000000000</v>
      </c>
      <c r="H882" s="4">
        <v>131941000000000</v>
      </c>
      <c r="I882" s="4">
        <v>126731000000000</v>
      </c>
      <c r="J882" s="4">
        <v>121567000000000</v>
      </c>
      <c r="K882" s="4">
        <v>116596000000000</v>
      </c>
      <c r="L882" s="4">
        <v>111785000000000</v>
      </c>
      <c r="M882" s="4">
        <v>106851000000000</v>
      </c>
      <c r="N882" s="4">
        <v>101982000000000</v>
      </c>
      <c r="O882" s="4">
        <v>97169700000000</v>
      </c>
      <c r="P882" s="4">
        <v>92317700000000</v>
      </c>
      <c r="Q882" s="4">
        <v>87398500000000</v>
      </c>
      <c r="R882" s="4">
        <v>82453100000000</v>
      </c>
      <c r="S882" s="4">
        <v>77599400000000</v>
      </c>
      <c r="T882" s="4">
        <v>72669400000000</v>
      </c>
      <c r="U882" s="4">
        <v>67688300000000</v>
      </c>
      <c r="V882" s="4">
        <v>62715800000000</v>
      </c>
      <c r="W882" s="4">
        <v>57603800000000</v>
      </c>
      <c r="X882" s="4">
        <v>52494300000000</v>
      </c>
      <c r="Y882" s="4">
        <v>47365200000000</v>
      </c>
      <c r="Z882" s="4">
        <v>42190800000000</v>
      </c>
      <c r="AA882" s="4">
        <v>37016200000000</v>
      </c>
      <c r="AB882" s="4">
        <v>31797300000000</v>
      </c>
      <c r="AC882" s="4">
        <v>26481600000000</v>
      </c>
      <c r="AD882" s="4">
        <v>21119200000000</v>
      </c>
      <c r="AE882" s="4">
        <v>15731200000000</v>
      </c>
      <c r="AF882" s="4">
        <v>10292400000000</v>
      </c>
    </row>
    <row r="883" spans="1:32" x14ac:dyDescent="0.25">
      <c r="A883" t="s">
        <v>952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x14ac:dyDescent="0.25">
      <c r="A884" t="s">
        <v>953</v>
      </c>
      <c r="B884">
        <v>0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x14ac:dyDescent="0.25">
      <c r="A885" t="s">
        <v>954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x14ac:dyDescent="0.25">
      <c r="A886" t="s">
        <v>955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25">
      <c r="A887" t="s">
        <v>956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25">
      <c r="A888" t="s">
        <v>957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5">
      <c r="A889" t="s">
        <v>958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x14ac:dyDescent="0.25">
      <c r="A890" t="s">
        <v>959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25">
      <c r="A891" t="s">
        <v>960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5">
      <c r="A892" t="s">
        <v>961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25">
      <c r="A893" t="s">
        <v>962</v>
      </c>
      <c r="B893" s="4">
        <v>47555900000000</v>
      </c>
      <c r="C893" s="4">
        <v>53559700000000</v>
      </c>
      <c r="D893" s="4">
        <v>58732200000000</v>
      </c>
      <c r="E893" s="4">
        <v>63031900000000</v>
      </c>
      <c r="F893" s="4">
        <v>67535400000000</v>
      </c>
      <c r="G893" s="4">
        <v>71921100000000</v>
      </c>
      <c r="H893" s="4">
        <v>76208400000000</v>
      </c>
      <c r="I893" s="4">
        <v>80132100000000</v>
      </c>
      <c r="J893" s="4">
        <v>84042100000000</v>
      </c>
      <c r="K893" s="4">
        <v>88065700000000</v>
      </c>
      <c r="L893" s="4">
        <v>92221600000000</v>
      </c>
      <c r="M893" s="4">
        <v>96289200000000</v>
      </c>
      <c r="N893" s="4">
        <v>100432000000000</v>
      </c>
      <c r="O893" s="4">
        <v>104669000000000</v>
      </c>
      <c r="P893" s="4">
        <v>108910000000000</v>
      </c>
      <c r="Q893" s="4">
        <v>113116000000000</v>
      </c>
      <c r="R893" s="4">
        <v>117330000000000</v>
      </c>
      <c r="S893" s="4">
        <v>121749000000000</v>
      </c>
      <c r="T893" s="4">
        <v>126138000000000</v>
      </c>
      <c r="U893" s="4">
        <v>130528000000000</v>
      </c>
      <c r="V893" s="4">
        <v>135045000000000</v>
      </c>
      <c r="W893" s="4">
        <v>139363000000000</v>
      </c>
      <c r="X893" s="4">
        <v>143786000000000</v>
      </c>
      <c r="Y893" s="4">
        <v>148290000000000</v>
      </c>
      <c r="Z893" s="4">
        <v>152813000000000</v>
      </c>
      <c r="AA893" s="4">
        <v>157553000000000</v>
      </c>
      <c r="AB893" s="4">
        <v>162402000000000</v>
      </c>
      <c r="AC893" s="4">
        <v>167073000000000</v>
      </c>
      <c r="AD893" s="4">
        <v>171782000000000</v>
      </c>
      <c r="AE893" s="4">
        <v>176776000000000</v>
      </c>
      <c r="AF893" s="4">
        <v>181942000000000</v>
      </c>
    </row>
    <row r="894" spans="1:32" x14ac:dyDescent="0.25">
      <c r="A894" t="s">
        <v>963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5">
      <c r="A895" t="s">
        <v>964</v>
      </c>
      <c r="B895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25">
      <c r="A896" t="s">
        <v>965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5">
      <c r="A897" t="s">
        <v>966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x14ac:dyDescent="0.25">
      <c r="A898" t="s">
        <v>967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5">
      <c r="A899" t="s">
        <v>968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5">
      <c r="A900" t="s">
        <v>969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5">
      <c r="A901" t="s">
        <v>970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25">
      <c r="A902" t="s">
        <v>971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25">
      <c r="A903" t="s">
        <v>972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25">
      <c r="A904" t="s">
        <v>973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5">
      <c r="A905" t="s">
        <v>974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5">
      <c r="A906" t="s">
        <v>975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x14ac:dyDescent="0.25">
      <c r="A907" t="s">
        <v>976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25">
      <c r="A908" t="s">
        <v>977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5">
      <c r="A909" t="s">
        <v>978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25">
      <c r="A910" t="s">
        <v>979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25">
      <c r="A911" t="s">
        <v>980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5">
      <c r="A912" t="s">
        <v>981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5">
      <c r="A913" t="s">
        <v>982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x14ac:dyDescent="0.25">
      <c r="A914" t="s">
        <v>983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5">
      <c r="A915" t="s">
        <v>984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25">
      <c r="A916" t="s">
        <v>985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5">
      <c r="A917" t="s">
        <v>986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5">
      <c r="A918" t="s">
        <v>987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25">
      <c r="A919" t="s">
        <v>988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25">
      <c r="A920" t="s">
        <v>989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25">
      <c r="A921" t="s">
        <v>990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5">
      <c r="A922" t="s">
        <v>991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25">
      <c r="A923" t="s">
        <v>992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25">
      <c r="A924" t="s">
        <v>993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5">
      <c r="A925" t="s">
        <v>994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5">
      <c r="A926" t="s">
        <v>995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5">
      <c r="A927" t="s">
        <v>996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5">
      <c r="A928" t="s">
        <v>997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5">
      <c r="A929" t="s">
        <v>998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25">
      <c r="A930" t="s">
        <v>999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25">
      <c r="A931" t="s">
        <v>1000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5">
      <c r="A932" t="s">
        <v>1001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25">
      <c r="A933" t="s">
        <v>1002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5">
      <c r="A934" t="s">
        <v>1003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5">
      <c r="A935" t="s">
        <v>1004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25">
      <c r="A936" t="s">
        <v>1005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25">
      <c r="A937" t="s">
        <v>1006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5">
      <c r="A938" t="s">
        <v>1007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25">
      <c r="A939" t="s">
        <v>1008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5">
      <c r="A940" t="s">
        <v>1009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25">
      <c r="A941" t="s">
        <v>1010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25">
      <c r="A942" t="s">
        <v>1011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5">
      <c r="A943" t="s">
        <v>1012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25">
      <c r="A944" t="s">
        <v>1013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25">
      <c r="A945" t="s">
        <v>1014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25">
      <c r="A946" t="s">
        <v>1015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5">
      <c r="A947" t="s">
        <v>1016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5">
      <c r="A948" t="s">
        <v>1017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5">
      <c r="A949" t="s">
        <v>1018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25">
      <c r="A950" t="s">
        <v>1019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5">
      <c r="A951" t="s">
        <v>1020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25">
      <c r="A952" t="s">
        <v>1021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25">
      <c r="A953" t="s">
        <v>1022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25">
      <c r="A954" t="s">
        <v>1023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5">
      <c r="A955" t="s">
        <v>1024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25">
      <c r="A956" t="s">
        <v>1025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x14ac:dyDescent="0.25">
      <c r="A957" t="s">
        <v>1026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25">
      <c r="A958" t="s">
        <v>1027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5">
      <c r="A959" t="s">
        <v>1028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5">
      <c r="A960" t="s">
        <v>1029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 t="s">
        <v>1030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25">
      <c r="A962" t="s">
        <v>1031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5">
      <c r="A963" t="s">
        <v>1032</v>
      </c>
      <c r="B963" s="4">
        <v>493175000000000</v>
      </c>
      <c r="C963" s="4">
        <v>441063000000000</v>
      </c>
      <c r="D963" s="4">
        <v>291976000000000</v>
      </c>
      <c r="E963" s="4">
        <v>265993000000000</v>
      </c>
      <c r="F963" s="4">
        <v>344711000000000</v>
      </c>
      <c r="G963" s="4">
        <v>338577000000000</v>
      </c>
      <c r="H963" s="4">
        <v>315736000000000</v>
      </c>
      <c r="I963" s="4">
        <v>349174000000000</v>
      </c>
      <c r="J963" s="4">
        <v>345445000000000</v>
      </c>
      <c r="K963" s="4">
        <v>357317000000000</v>
      </c>
      <c r="L963" s="4">
        <v>353923000000000</v>
      </c>
      <c r="M963" s="4">
        <v>327177000000000</v>
      </c>
      <c r="N963" s="4">
        <v>350595000000000</v>
      </c>
      <c r="O963" s="4">
        <v>349272000000000</v>
      </c>
      <c r="P963" s="4">
        <v>352905000000000</v>
      </c>
      <c r="Q963" s="4">
        <v>329227000000000</v>
      </c>
      <c r="R963" s="4">
        <v>353415000000000</v>
      </c>
      <c r="S963" s="4">
        <v>354238000000000</v>
      </c>
      <c r="T963" s="4">
        <v>336134000000000</v>
      </c>
      <c r="U963" s="4">
        <v>358787000000000</v>
      </c>
      <c r="V963" s="4">
        <v>357683000000000</v>
      </c>
      <c r="W963" s="4">
        <v>335354000000000</v>
      </c>
      <c r="X963" s="4">
        <v>360180000000000</v>
      </c>
      <c r="Y963" s="4">
        <v>359210000000000</v>
      </c>
      <c r="Z963" s="4">
        <v>367882000000000</v>
      </c>
      <c r="AA963" s="4">
        <v>365303000000000</v>
      </c>
      <c r="AB963" s="4">
        <v>370123000000000</v>
      </c>
      <c r="AC963" s="4">
        <v>372911000000000</v>
      </c>
      <c r="AD963" s="4">
        <v>371920000000000</v>
      </c>
      <c r="AE963" s="4">
        <v>373104000000000</v>
      </c>
      <c r="AF963" s="4">
        <v>376629000000000</v>
      </c>
    </row>
    <row r="964" spans="1:32" x14ac:dyDescent="0.25">
      <c r="A964" t="s">
        <v>1033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x14ac:dyDescent="0.25">
      <c r="A965" t="s">
        <v>1034</v>
      </c>
      <c r="B965">
        <v>0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25">
      <c r="A966" t="s">
        <v>1035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25">
      <c r="A967" t="s">
        <v>1036</v>
      </c>
      <c r="B967" s="4">
        <v>409426000000000</v>
      </c>
      <c r="C967" s="4">
        <v>469679000000000</v>
      </c>
      <c r="D967" s="4">
        <v>626905000000000</v>
      </c>
      <c r="E967" s="4">
        <v>661026000000000</v>
      </c>
      <c r="F967" s="4">
        <v>580176000000000</v>
      </c>
      <c r="G967" s="4">
        <v>586020000000000</v>
      </c>
      <c r="H967" s="4">
        <v>604572000000000</v>
      </c>
      <c r="I967" s="4">
        <v>564552000000000</v>
      </c>
      <c r="J967" s="4">
        <v>564293000000000</v>
      </c>
      <c r="K967" s="4">
        <v>550029000000000</v>
      </c>
      <c r="L967" s="4">
        <v>549865000000000</v>
      </c>
      <c r="M967" s="4">
        <v>579527000000000</v>
      </c>
      <c r="N967" s="4">
        <v>554257000000000</v>
      </c>
      <c r="O967" s="4">
        <v>554492000000000</v>
      </c>
      <c r="P967" s="4">
        <v>550180000000000</v>
      </c>
      <c r="Q967" s="4">
        <v>573173000000000</v>
      </c>
      <c r="R967" s="4">
        <v>549013000000000</v>
      </c>
      <c r="S967" s="4">
        <v>548513000000000</v>
      </c>
      <c r="T967" s="4">
        <v>564695000000000</v>
      </c>
      <c r="U967" s="4">
        <v>542143000000000</v>
      </c>
      <c r="V967" s="4">
        <v>537512000000000</v>
      </c>
      <c r="W967" s="4">
        <v>557572000000000</v>
      </c>
      <c r="X967" s="4">
        <v>530564000000000</v>
      </c>
      <c r="Y967" s="4">
        <v>527090000000000</v>
      </c>
      <c r="Z967" s="4">
        <v>515392000000000</v>
      </c>
      <c r="AA967" s="4">
        <v>517231000000000</v>
      </c>
      <c r="AB967" s="4">
        <v>510554000000000</v>
      </c>
      <c r="AC967" s="4">
        <v>506577000000000</v>
      </c>
      <c r="AD967" s="4">
        <v>507596000000000</v>
      </c>
      <c r="AE967" s="4">
        <v>506183000000000</v>
      </c>
      <c r="AF967" s="4">
        <v>503192000000000</v>
      </c>
    </row>
    <row r="968" spans="1:32" x14ac:dyDescent="0.25">
      <c r="A968" t="s">
        <v>1037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25">
      <c r="A969" t="s">
        <v>1038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5">
      <c r="A970" t="s">
        <v>1039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25">
      <c r="A971" t="s">
        <v>1040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25">
      <c r="A972" t="s">
        <v>1041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25">
      <c r="A973" t="s">
        <v>1042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x14ac:dyDescent="0.25">
      <c r="A974" t="s">
        <v>1043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25">
      <c r="A975" t="s">
        <v>1044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5">
      <c r="A976" t="s">
        <v>1045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5">
      <c r="A977" t="s">
        <v>1046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5">
      <c r="A978" t="s">
        <v>1047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25">
      <c r="A979" t="s">
        <v>1048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25">
      <c r="A980" t="s">
        <v>1049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25">
      <c r="A981" t="s">
        <v>1050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5">
      <c r="A982" t="s">
        <v>1051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25">
      <c r="A983" t="s">
        <v>1052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25">
      <c r="A984" t="s">
        <v>1053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25">
      <c r="A985" t="s">
        <v>1054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25">
      <c r="A986" t="s">
        <v>1055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25">
      <c r="A987" t="s">
        <v>1056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25">
      <c r="A988" t="s">
        <v>1057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x14ac:dyDescent="0.25">
      <c r="A989" t="s">
        <v>1058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25">
      <c r="A990" t="s">
        <v>1059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25">
      <c r="A991" t="s">
        <v>1060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5">
      <c r="A992" t="s">
        <v>1061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25">
      <c r="A993" t="s">
        <v>1062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5">
      <c r="A994" t="s">
        <v>1063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5">
      <c r="A995" t="s">
        <v>1064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x14ac:dyDescent="0.25">
      <c r="A996" t="s">
        <v>1065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5">
      <c r="A997" t="s">
        <v>1066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25">
      <c r="A998" t="s">
        <v>1067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25">
      <c r="A999" t="s">
        <v>1068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5">
      <c r="A1000" t="s">
        <v>1069</v>
      </c>
      <c r="B1000">
        <v>0</v>
      </c>
      <c r="C1000" s="4">
        <v>11227500000</v>
      </c>
      <c r="D1000" s="4">
        <v>33614600000</v>
      </c>
      <c r="E1000" s="4">
        <v>70498800000</v>
      </c>
      <c r="F1000" s="4">
        <v>120245000000</v>
      </c>
      <c r="G1000" s="4">
        <v>179246000000</v>
      </c>
      <c r="H1000" s="4">
        <v>241502000000</v>
      </c>
      <c r="I1000" s="4">
        <v>302301000000</v>
      </c>
      <c r="J1000" s="4">
        <v>359395000000</v>
      </c>
      <c r="K1000" s="4">
        <v>412425000000</v>
      </c>
      <c r="L1000" s="4">
        <v>462396000000</v>
      </c>
      <c r="M1000" s="4">
        <v>510087000000</v>
      </c>
      <c r="N1000" s="4">
        <v>555711000000</v>
      </c>
      <c r="O1000" s="4">
        <v>601759000000</v>
      </c>
      <c r="P1000" s="4">
        <v>649230000000</v>
      </c>
      <c r="Q1000" s="4">
        <v>698404000000</v>
      </c>
      <c r="R1000" s="4">
        <v>751915000000</v>
      </c>
      <c r="S1000" s="4">
        <v>800791000000</v>
      </c>
      <c r="T1000" s="4">
        <v>846702000000</v>
      </c>
      <c r="U1000" s="4">
        <v>889959000000</v>
      </c>
      <c r="V1000" s="4">
        <v>927023000000</v>
      </c>
      <c r="W1000" s="4">
        <v>953806000000</v>
      </c>
      <c r="X1000" s="4">
        <v>972019000000</v>
      </c>
      <c r="Y1000" s="4">
        <v>984306000000</v>
      </c>
      <c r="Z1000" s="4">
        <v>992848000000</v>
      </c>
      <c r="AA1000" s="4">
        <v>999754000000</v>
      </c>
      <c r="AB1000" s="4">
        <v>1006280000000</v>
      </c>
      <c r="AC1000" s="4">
        <v>1011850000000</v>
      </c>
      <c r="AD1000" s="4">
        <v>1016510000000</v>
      </c>
      <c r="AE1000" s="4">
        <v>1020920000000</v>
      </c>
      <c r="AF1000" s="4">
        <v>1025340000000</v>
      </c>
    </row>
    <row r="1001" spans="1:32" x14ac:dyDescent="0.25">
      <c r="A1001" t="s">
        <v>1070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x14ac:dyDescent="0.25">
      <c r="A1002" t="s">
        <v>1071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25">
      <c r="A1003" t="s">
        <v>1072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x14ac:dyDescent="0.25">
      <c r="A1004" t="s">
        <v>1073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x14ac:dyDescent="0.25">
      <c r="A1005" t="s">
        <v>1074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25">
      <c r="A1006" t="s">
        <v>1075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 x14ac:dyDescent="0.25">
      <c r="A1007" t="s">
        <v>1076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x14ac:dyDescent="0.25">
      <c r="A1008" t="s">
        <v>1077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25">
      <c r="A1009" t="s">
        <v>1078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 x14ac:dyDescent="0.25">
      <c r="A1010" t="s">
        <v>1079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x14ac:dyDescent="0.25">
      <c r="A1011" t="s">
        <v>1080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 x14ac:dyDescent="0.25">
      <c r="A1012" t="s">
        <v>1081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x14ac:dyDescent="0.25">
      <c r="A1013" t="s">
        <v>1082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 x14ac:dyDescent="0.25">
      <c r="A1014" t="s">
        <v>1083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 x14ac:dyDescent="0.25">
      <c r="A1015" t="s">
        <v>1084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 x14ac:dyDescent="0.25">
      <c r="A1016" t="s">
        <v>1085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 x14ac:dyDescent="0.25">
      <c r="A1017" t="s">
        <v>1086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x14ac:dyDescent="0.25">
      <c r="A1018" t="s">
        <v>1087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x14ac:dyDescent="0.25">
      <c r="A1019" t="s">
        <v>1088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x14ac:dyDescent="0.25">
      <c r="A1020" t="s">
        <v>1089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 x14ac:dyDescent="0.25">
      <c r="A1021" t="s">
        <v>1090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 x14ac:dyDescent="0.25">
      <c r="A1022" t="s">
        <v>1091</v>
      </c>
      <c r="B1022" s="4">
        <v>14632300000000</v>
      </c>
      <c r="C1022" s="4">
        <v>14587400000000</v>
      </c>
      <c r="D1022" s="4">
        <v>14520000000000</v>
      </c>
      <c r="E1022" s="4">
        <v>14205300000000</v>
      </c>
      <c r="F1022" s="4">
        <v>13558200000000</v>
      </c>
      <c r="G1022" s="4">
        <v>12843000000000</v>
      </c>
      <c r="H1022" s="4">
        <v>12071800000000</v>
      </c>
      <c r="I1022" s="4">
        <v>11278100000000</v>
      </c>
      <c r="J1022" s="4">
        <v>10497500000000</v>
      </c>
      <c r="K1022" s="4">
        <v>9748920000000</v>
      </c>
      <c r="L1022" s="4">
        <v>9052410000000</v>
      </c>
      <c r="M1022" s="4">
        <v>8405050000000</v>
      </c>
      <c r="N1022" s="4">
        <v>7794450000000</v>
      </c>
      <c r="O1022" s="4">
        <v>7237060000000</v>
      </c>
      <c r="P1022" s="4">
        <v>6722380000000</v>
      </c>
      <c r="Q1022" s="4">
        <v>6235050000000</v>
      </c>
      <c r="R1022" s="4">
        <v>5781290000000</v>
      </c>
      <c r="S1022" s="4">
        <v>5390480000000</v>
      </c>
      <c r="T1022" s="4">
        <v>5057240000000</v>
      </c>
      <c r="U1022" s="4">
        <v>4769140000000</v>
      </c>
      <c r="V1022" s="4">
        <v>4536160000000</v>
      </c>
      <c r="W1022" s="4">
        <v>4357030000000</v>
      </c>
      <c r="X1022" s="4">
        <v>4228730000000</v>
      </c>
      <c r="Y1022" s="4">
        <v>4138990000000</v>
      </c>
      <c r="Z1022" s="4">
        <v>4074070000000</v>
      </c>
      <c r="AA1022" s="4">
        <v>4026610000000</v>
      </c>
      <c r="AB1022" s="4">
        <v>3993360000000</v>
      </c>
      <c r="AC1022" s="4">
        <v>3966960000000</v>
      </c>
      <c r="AD1022" s="4">
        <v>3944860000000</v>
      </c>
      <c r="AE1022" s="4">
        <v>3927250000000</v>
      </c>
      <c r="AF1022" s="4">
        <v>3913800000000</v>
      </c>
    </row>
    <row r="1023" spans="1:32" x14ac:dyDescent="0.25">
      <c r="A1023" t="s">
        <v>1092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x14ac:dyDescent="0.25">
      <c r="A1024" t="s">
        <v>1093</v>
      </c>
      <c r="B1024" s="4">
        <v>1662020000000</v>
      </c>
      <c r="C1024" s="4">
        <v>1656920000000</v>
      </c>
      <c r="D1024" s="4">
        <v>1649270000000</v>
      </c>
      <c r="E1024" s="4">
        <v>1613520000000</v>
      </c>
      <c r="F1024" s="4">
        <v>1540020000000</v>
      </c>
      <c r="G1024" s="4">
        <v>1458780000000</v>
      </c>
      <c r="H1024" s="4">
        <v>1371190000000</v>
      </c>
      <c r="I1024" s="4">
        <v>1281040000000</v>
      </c>
      <c r="J1024" s="4">
        <v>1192360000000</v>
      </c>
      <c r="K1024" s="4">
        <v>1107340000000</v>
      </c>
      <c r="L1024" s="4">
        <v>1028230000000</v>
      </c>
      <c r="M1024" s="4">
        <v>954694000000</v>
      </c>
      <c r="N1024" s="4">
        <v>885338000000</v>
      </c>
      <c r="O1024" s="4">
        <v>822027000000</v>
      </c>
      <c r="P1024" s="4">
        <v>763566000000</v>
      </c>
      <c r="Q1024" s="4">
        <v>708212000000</v>
      </c>
      <c r="R1024" s="4">
        <v>656672000000</v>
      </c>
      <c r="S1024" s="4">
        <v>612281000000</v>
      </c>
      <c r="T1024" s="4">
        <v>574430000000</v>
      </c>
      <c r="U1024" s="4">
        <v>541707000000</v>
      </c>
      <c r="V1024" s="4">
        <v>515243000000</v>
      </c>
      <c r="W1024" s="4">
        <v>494897000000</v>
      </c>
      <c r="X1024" s="4">
        <v>480323000000</v>
      </c>
      <c r="Y1024" s="4">
        <v>470131000000</v>
      </c>
      <c r="Z1024" s="4">
        <v>462756000000</v>
      </c>
      <c r="AA1024" s="4">
        <v>457366000000</v>
      </c>
      <c r="AB1024" s="4">
        <v>453589000000</v>
      </c>
      <c r="AC1024" s="4">
        <v>450590000000</v>
      </c>
      <c r="AD1024" s="4">
        <v>448080000000</v>
      </c>
      <c r="AE1024" s="4">
        <v>446080000000</v>
      </c>
      <c r="AF1024" s="4">
        <v>444552000000</v>
      </c>
    </row>
    <row r="1025" spans="1:32" x14ac:dyDescent="0.25">
      <c r="A1025" t="s">
        <v>1094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25">
      <c r="A1026" t="s">
        <v>1095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x14ac:dyDescent="0.25">
      <c r="A1027" t="s">
        <v>1096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x14ac:dyDescent="0.25">
      <c r="A1028" t="s">
        <v>1097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 x14ac:dyDescent="0.25">
      <c r="A1029" t="s">
        <v>1098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x14ac:dyDescent="0.25">
      <c r="A1030" t="s">
        <v>1099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x14ac:dyDescent="0.25">
      <c r="A1031" t="s">
        <v>1100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25">
      <c r="A1032" t="s">
        <v>1101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25">
      <c r="A1033" t="s">
        <v>1102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 x14ac:dyDescent="0.25">
      <c r="A1034" t="s">
        <v>1103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 x14ac:dyDescent="0.25">
      <c r="A1035" t="s">
        <v>1104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x14ac:dyDescent="0.25">
      <c r="A1036" t="s">
        <v>1105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 x14ac:dyDescent="0.25">
      <c r="A1037" t="s">
        <v>1106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x14ac:dyDescent="0.25">
      <c r="A1038" t="s">
        <v>1107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25">
      <c r="A1039" t="s">
        <v>1108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25">
      <c r="A1040" t="s">
        <v>1109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x14ac:dyDescent="0.25">
      <c r="A1041" t="s">
        <v>1110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x14ac:dyDescent="0.25">
      <c r="A1042" t="s">
        <v>1111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x14ac:dyDescent="0.25">
      <c r="A1043" t="s">
        <v>1112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x14ac:dyDescent="0.25">
      <c r="A1044" t="s">
        <v>1113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 x14ac:dyDescent="0.25">
      <c r="A1045" t="s">
        <v>1114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25">
      <c r="A1046" t="s">
        <v>1115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 x14ac:dyDescent="0.25">
      <c r="A1047" t="s">
        <v>1116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 x14ac:dyDescent="0.25">
      <c r="A1048" t="s">
        <v>1117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x14ac:dyDescent="0.25">
      <c r="A1049" t="s">
        <v>1118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x14ac:dyDescent="0.25">
      <c r="A1050" t="s">
        <v>1119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 x14ac:dyDescent="0.25">
      <c r="A1051" t="s">
        <v>1120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 x14ac:dyDescent="0.25">
      <c r="A1052" t="s">
        <v>1121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25">
      <c r="A1053" t="s">
        <v>1122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 x14ac:dyDescent="0.25">
      <c r="A1054" t="s">
        <v>1123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x14ac:dyDescent="0.25">
      <c r="A1055" t="s">
        <v>1124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x14ac:dyDescent="0.25">
      <c r="A1056" t="s">
        <v>1125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x14ac:dyDescent="0.25">
      <c r="A1057" t="s">
        <v>1126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25">
      <c r="A1058" t="s">
        <v>1127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25">
      <c r="A1059" t="s">
        <v>1128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25">
      <c r="A1060" t="s">
        <v>1129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25">
      <c r="A1061" t="s">
        <v>1130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x14ac:dyDescent="0.25">
      <c r="A1062" t="s">
        <v>1131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25">
      <c r="A1063" t="s">
        <v>1132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x14ac:dyDescent="0.25">
      <c r="A1064" t="s">
        <v>1133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x14ac:dyDescent="0.25">
      <c r="A1065" t="s">
        <v>1134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 x14ac:dyDescent="0.25">
      <c r="A1066" t="s">
        <v>1135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</row>
    <row r="1067" spans="1:32" x14ac:dyDescent="0.25">
      <c r="A1067" t="s">
        <v>1136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25">
      <c r="A1068" t="s">
        <v>1137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</row>
    <row r="1069" spans="1:32" x14ac:dyDescent="0.25">
      <c r="A1069" t="s">
        <v>1138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x14ac:dyDescent="0.25">
      <c r="A1070" t="s">
        <v>1139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x14ac:dyDescent="0.25">
      <c r="A1071" t="s">
        <v>1140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 x14ac:dyDescent="0.25">
      <c r="A1072" t="s">
        <v>1141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 x14ac:dyDescent="0.25">
      <c r="A1073" t="s">
        <v>1142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25">
      <c r="A1074" t="s">
        <v>1143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 x14ac:dyDescent="0.25">
      <c r="A1075" t="s">
        <v>1144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x14ac:dyDescent="0.25">
      <c r="A1076" t="s">
        <v>1145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x14ac:dyDescent="0.25">
      <c r="A1077" t="s">
        <v>1146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x14ac:dyDescent="0.25">
      <c r="A1078" t="s">
        <v>1147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x14ac:dyDescent="0.25">
      <c r="A1079" t="s">
        <v>1148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x14ac:dyDescent="0.25">
      <c r="A1080" t="s">
        <v>1149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 x14ac:dyDescent="0.25">
      <c r="A1081" t="s">
        <v>1150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 x14ac:dyDescent="0.25">
      <c r="A1082" t="s">
        <v>1151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</row>
    <row r="1083" spans="1:32" x14ac:dyDescent="0.25">
      <c r="A1083" t="s">
        <v>1152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25">
      <c r="A1084" t="s">
        <v>1153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x14ac:dyDescent="0.25">
      <c r="A1085" t="s">
        <v>1154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 x14ac:dyDescent="0.25">
      <c r="A1086" t="s">
        <v>1155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 x14ac:dyDescent="0.25">
      <c r="A1087" t="s">
        <v>1156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5">
      <c r="A1088" t="s">
        <v>1157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x14ac:dyDescent="0.25">
      <c r="A1089" t="s">
        <v>1158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x14ac:dyDescent="0.25">
      <c r="A1090" t="s">
        <v>1159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x14ac:dyDescent="0.25">
      <c r="A1091" t="s">
        <v>1160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x14ac:dyDescent="0.25">
      <c r="A1092" t="s">
        <v>1161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25">
      <c r="A1093" t="s">
        <v>1162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x14ac:dyDescent="0.25">
      <c r="A1094" t="s">
        <v>1163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25">
      <c r="A1095" t="s">
        <v>1164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25">
      <c r="A1096" t="s">
        <v>1165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25">
      <c r="A1097" t="s">
        <v>1166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x14ac:dyDescent="0.25">
      <c r="A1098" t="s">
        <v>1167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 x14ac:dyDescent="0.25">
      <c r="A1099" t="s">
        <v>1168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 x14ac:dyDescent="0.25">
      <c r="A1100" t="s">
        <v>1169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 x14ac:dyDescent="0.25">
      <c r="A1101" t="s">
        <v>1170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x14ac:dyDescent="0.25">
      <c r="A1102" t="s">
        <v>1171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x14ac:dyDescent="0.25">
      <c r="A1103" t="s">
        <v>1172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x14ac:dyDescent="0.25">
      <c r="A1104" t="s">
        <v>1173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x14ac:dyDescent="0.25">
      <c r="A1105" t="s">
        <v>1174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 x14ac:dyDescent="0.25">
      <c r="A1106" t="s">
        <v>1175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 x14ac:dyDescent="0.25">
      <c r="A1107" t="s">
        <v>1176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 x14ac:dyDescent="0.25">
      <c r="A1108" t="s">
        <v>1177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 x14ac:dyDescent="0.25">
      <c r="A1109" t="s">
        <v>1178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x14ac:dyDescent="0.25">
      <c r="A1110" t="s">
        <v>1179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25">
      <c r="A1111" t="s">
        <v>1180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x14ac:dyDescent="0.25">
      <c r="A1112" t="s">
        <v>1181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25">
      <c r="A1113" t="s">
        <v>1182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x14ac:dyDescent="0.25">
      <c r="A1114" t="s">
        <v>1183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</row>
    <row r="1115" spans="1:32" x14ac:dyDescent="0.25">
      <c r="A1115" t="s">
        <v>1184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x14ac:dyDescent="0.25">
      <c r="A1116" t="s">
        <v>1185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 x14ac:dyDescent="0.25">
      <c r="A1117" t="s">
        <v>1186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25">
      <c r="A1118" t="s">
        <v>1187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25">
      <c r="A1119" t="s">
        <v>1188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 x14ac:dyDescent="0.25">
      <c r="A1120" t="s">
        <v>1189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x14ac:dyDescent="0.25">
      <c r="A1121" t="s">
        <v>1190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x14ac:dyDescent="0.25">
      <c r="A1122" t="s">
        <v>1191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x14ac:dyDescent="0.25">
      <c r="A1123" t="s">
        <v>1192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 x14ac:dyDescent="0.25">
      <c r="A1124" t="s">
        <v>1193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25">
      <c r="A1125" t="s">
        <v>1194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25">
      <c r="A1126" t="s">
        <v>1195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25">
      <c r="A1127" t="s">
        <v>1196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25">
      <c r="A1128" t="s">
        <v>1197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25">
      <c r="A1129" t="s">
        <v>1198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x14ac:dyDescent="0.25">
      <c r="A1130" t="s">
        <v>1199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x14ac:dyDescent="0.25">
      <c r="A1131" t="s">
        <v>1200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 x14ac:dyDescent="0.25">
      <c r="A1132" t="s">
        <v>1201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 x14ac:dyDescent="0.25">
      <c r="A1133" t="s">
        <v>1202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</row>
    <row r="1134" spans="1:32" x14ac:dyDescent="0.25">
      <c r="A1134" t="s">
        <v>1203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x14ac:dyDescent="0.25">
      <c r="A1135" t="s">
        <v>1204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x14ac:dyDescent="0.25">
      <c r="A1136" t="s">
        <v>1205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25">
      <c r="A1137" t="s">
        <v>1206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x14ac:dyDescent="0.25">
      <c r="A1138" t="s">
        <v>1207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x14ac:dyDescent="0.25">
      <c r="A1139" t="s">
        <v>1208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</row>
    <row r="1140" spans="1:32" x14ac:dyDescent="0.25">
      <c r="A1140" t="s">
        <v>1209</v>
      </c>
      <c r="B1140" s="4">
        <v>527700000000000</v>
      </c>
      <c r="C1140" s="4">
        <v>572900000000000</v>
      </c>
      <c r="D1140" s="4">
        <v>586200000000000</v>
      </c>
      <c r="E1140" s="4">
        <v>550500000000000</v>
      </c>
      <c r="F1140" s="4">
        <v>548400000000000</v>
      </c>
      <c r="G1140" s="4">
        <v>545800000000000</v>
      </c>
      <c r="H1140" s="4">
        <v>542200000000000</v>
      </c>
      <c r="I1140" s="4">
        <v>537300000000000</v>
      </c>
      <c r="J1140" s="4">
        <v>532200000000000</v>
      </c>
      <c r="K1140" s="4">
        <v>526800000000000</v>
      </c>
      <c r="L1140" s="4">
        <v>521400000000000</v>
      </c>
      <c r="M1140" s="4">
        <v>516200000000000</v>
      </c>
      <c r="N1140" s="4">
        <v>510900000000000</v>
      </c>
      <c r="O1140" s="4">
        <v>505500000000000</v>
      </c>
      <c r="P1140" s="4">
        <v>500400000000000</v>
      </c>
      <c r="Q1140" s="4">
        <v>495900000000000</v>
      </c>
      <c r="R1140" s="4">
        <v>491800000000000</v>
      </c>
      <c r="S1140" s="4">
        <v>488000000000000</v>
      </c>
      <c r="T1140" s="4">
        <v>484400000000000</v>
      </c>
      <c r="U1140" s="4">
        <v>480400000000000</v>
      </c>
      <c r="V1140" s="4">
        <v>476400000000000</v>
      </c>
      <c r="W1140" s="4">
        <v>472300000000000</v>
      </c>
      <c r="X1140" s="4">
        <v>468300000000000</v>
      </c>
      <c r="Y1140" s="4">
        <v>464400000000000</v>
      </c>
      <c r="Z1140" s="4">
        <v>460700000000000</v>
      </c>
      <c r="AA1140" s="4">
        <v>456800000000000</v>
      </c>
      <c r="AB1140" s="4">
        <v>452900000000000</v>
      </c>
      <c r="AC1140" s="4">
        <v>448900000000000</v>
      </c>
      <c r="AD1140" s="4">
        <v>444800000000000</v>
      </c>
      <c r="AE1140" s="4">
        <v>440800000000000</v>
      </c>
      <c r="AF1140" s="4">
        <v>437300000000000</v>
      </c>
    </row>
    <row r="1141" spans="1:32" x14ac:dyDescent="0.25">
      <c r="A1141" t="s">
        <v>1210</v>
      </c>
      <c r="B1141" s="4">
        <v>718400000000000</v>
      </c>
      <c r="C1141" s="4">
        <v>718900000000000</v>
      </c>
      <c r="D1141" s="4">
        <v>671200000000000</v>
      </c>
      <c r="E1141" s="4">
        <v>776800000000000</v>
      </c>
      <c r="F1141" s="4">
        <v>791700000000000</v>
      </c>
      <c r="G1141" s="4">
        <v>807100000000000</v>
      </c>
      <c r="H1141" s="4">
        <v>821500000000000</v>
      </c>
      <c r="I1141" s="4">
        <v>833800000000000</v>
      </c>
      <c r="J1141" s="4">
        <v>845200000000000</v>
      </c>
      <c r="K1141" s="4">
        <v>856300000000000</v>
      </c>
      <c r="L1141" s="4">
        <v>867900000000000</v>
      </c>
      <c r="M1141" s="4">
        <v>879900000000000</v>
      </c>
      <c r="N1141" s="4">
        <v>892600000000000</v>
      </c>
      <c r="O1141" s="4">
        <v>905400000000000</v>
      </c>
      <c r="P1141" s="4">
        <v>918500000000000</v>
      </c>
      <c r="Q1141" s="4">
        <v>933300000000000</v>
      </c>
      <c r="R1141" s="4">
        <v>949100000000000</v>
      </c>
      <c r="S1141" s="4">
        <v>966500000000000</v>
      </c>
      <c r="T1141" s="4">
        <v>984000000000000</v>
      </c>
      <c r="U1141" s="4">
        <v>1001000000000000</v>
      </c>
      <c r="V1141" s="4">
        <v>1018000000000000</v>
      </c>
      <c r="W1141" s="4">
        <v>1036000000000000</v>
      </c>
      <c r="X1141" s="4">
        <v>1053000000000000</v>
      </c>
      <c r="Y1141" s="4">
        <v>1072000000000000</v>
      </c>
      <c r="Z1141" s="4">
        <v>1091000000000000</v>
      </c>
      <c r="AA1141" s="4">
        <v>1111000000000000</v>
      </c>
      <c r="AB1141" s="4">
        <v>1130000000000000</v>
      </c>
      <c r="AC1141" s="4">
        <v>1150000000000000</v>
      </c>
      <c r="AD1141" s="4">
        <v>1170000000000000</v>
      </c>
      <c r="AE1141" s="4">
        <v>1190000000000000</v>
      </c>
      <c r="AF1141" s="4">
        <v>1211000000000000</v>
      </c>
    </row>
    <row r="1142" spans="1:32" x14ac:dyDescent="0.25">
      <c r="A1142" t="s">
        <v>1211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x14ac:dyDescent="0.25">
      <c r="A1143" t="s">
        <v>1212</v>
      </c>
      <c r="B1143" s="4">
        <v>171800000000000</v>
      </c>
      <c r="C1143" s="4">
        <v>164700000000000</v>
      </c>
      <c r="D1143" s="4">
        <v>163600000000000</v>
      </c>
      <c r="E1143" s="4">
        <v>163500000000000</v>
      </c>
      <c r="F1143" s="4">
        <v>164100000000000</v>
      </c>
      <c r="G1143" s="4">
        <v>163500000000000</v>
      </c>
      <c r="H1143" s="4">
        <v>163000000000000</v>
      </c>
      <c r="I1143" s="4">
        <v>162700000000000</v>
      </c>
      <c r="J1143" s="4">
        <v>162900000000000</v>
      </c>
      <c r="K1143" s="4">
        <v>163300000000000</v>
      </c>
      <c r="L1143" s="4">
        <v>161700000000000</v>
      </c>
      <c r="M1143" s="4">
        <v>160600000000000</v>
      </c>
      <c r="N1143" s="4">
        <v>159800000000000</v>
      </c>
      <c r="O1143" s="4">
        <v>159200000000000</v>
      </c>
      <c r="P1143" s="4">
        <v>159000000000000</v>
      </c>
      <c r="Q1143" s="4">
        <v>159100000000000</v>
      </c>
      <c r="R1143" s="4">
        <v>159400000000000</v>
      </c>
      <c r="S1143" s="4">
        <v>159900000000000</v>
      </c>
      <c r="T1143" s="4">
        <v>160400000000000</v>
      </c>
      <c r="U1143" s="4">
        <v>160800000000000</v>
      </c>
      <c r="V1143" s="4">
        <v>158500000000000</v>
      </c>
      <c r="W1143" s="4">
        <v>156800000000000</v>
      </c>
      <c r="X1143" s="4">
        <v>155400000000000</v>
      </c>
      <c r="Y1143" s="4">
        <v>154400000000000</v>
      </c>
      <c r="Z1143" s="4">
        <v>153800000000000</v>
      </c>
      <c r="AA1143" s="4">
        <v>153300000000000</v>
      </c>
      <c r="AB1143" s="4">
        <v>152900000000000</v>
      </c>
      <c r="AC1143" s="4">
        <v>152600000000000</v>
      </c>
      <c r="AD1143" s="4">
        <v>152200000000000</v>
      </c>
      <c r="AE1143" s="4">
        <v>151900000000000</v>
      </c>
      <c r="AF1143" s="4">
        <v>151900000000000</v>
      </c>
    </row>
    <row r="1144" spans="1:32" x14ac:dyDescent="0.25">
      <c r="A1144" t="s">
        <v>1213</v>
      </c>
      <c r="B1144" s="4">
        <v>1064000000000000</v>
      </c>
      <c r="C1144" s="4">
        <v>1061000000000000</v>
      </c>
      <c r="D1144" s="4">
        <v>1066000000000000</v>
      </c>
      <c r="E1144" s="4">
        <v>1070000000000000</v>
      </c>
      <c r="F1144" s="4">
        <v>1075000000000000</v>
      </c>
      <c r="G1144" s="4">
        <v>1080000000000000</v>
      </c>
      <c r="H1144" s="4">
        <v>1083000000000000</v>
      </c>
      <c r="I1144" s="4">
        <v>1085000000000000</v>
      </c>
      <c r="J1144" s="4">
        <v>1087000000000000</v>
      </c>
      <c r="K1144" s="4">
        <v>1089000000000000</v>
      </c>
      <c r="L1144" s="4">
        <v>1091000000000000</v>
      </c>
      <c r="M1144" s="4">
        <v>1094000000000000</v>
      </c>
      <c r="N1144" s="4">
        <v>1098000000000000</v>
      </c>
      <c r="O1144" s="4">
        <v>1101000000000000</v>
      </c>
      <c r="P1144" s="4">
        <v>1106000000000000</v>
      </c>
      <c r="Q1144" s="4">
        <v>1112000000000000</v>
      </c>
      <c r="R1144" s="4">
        <v>1119000000000000</v>
      </c>
      <c r="S1144" s="4">
        <v>1127000000000000</v>
      </c>
      <c r="T1144" s="4">
        <v>1135000000000000</v>
      </c>
      <c r="U1144" s="4">
        <v>1143000000000000</v>
      </c>
      <c r="V1144" s="4">
        <v>1151000000000000</v>
      </c>
      <c r="W1144" s="4">
        <v>1159000000000000</v>
      </c>
      <c r="X1144" s="4">
        <v>1167000000000000</v>
      </c>
      <c r="Y1144" s="4">
        <v>1175000000000000</v>
      </c>
      <c r="Z1144" s="4">
        <v>1184000000000000</v>
      </c>
      <c r="AA1144" s="4">
        <v>1192000000000000</v>
      </c>
      <c r="AB1144" s="4">
        <v>1201000000000000</v>
      </c>
      <c r="AC1144" s="4">
        <v>1209000000000000</v>
      </c>
      <c r="AD1144" s="4">
        <v>1218000000000000</v>
      </c>
      <c r="AE1144" s="4">
        <v>1226000000000000</v>
      </c>
      <c r="AF1144" s="4">
        <v>1235000000000000</v>
      </c>
    </row>
    <row r="1145" spans="1:32" x14ac:dyDescent="0.25">
      <c r="A1145" t="s">
        <v>1214</v>
      </c>
      <c r="B1145" s="4">
        <v>1690000000000000</v>
      </c>
      <c r="C1145" s="4">
        <v>1696000000000000</v>
      </c>
      <c r="D1145" s="4">
        <v>1657000000000000</v>
      </c>
      <c r="E1145" s="4">
        <v>1708000000000000</v>
      </c>
      <c r="F1145" s="4">
        <v>1733000000000000</v>
      </c>
      <c r="G1145" s="4">
        <v>1757000000000000</v>
      </c>
      <c r="H1145" s="4">
        <v>1778000000000000</v>
      </c>
      <c r="I1145" s="4">
        <v>1795000000000000</v>
      </c>
      <c r="J1145" s="4">
        <v>1813000000000000</v>
      </c>
      <c r="K1145" s="4">
        <v>1831000000000000</v>
      </c>
      <c r="L1145" s="4">
        <v>1851000000000000</v>
      </c>
      <c r="M1145" s="4">
        <v>1871000000000000</v>
      </c>
      <c r="N1145" s="4">
        <v>1891000000000000</v>
      </c>
      <c r="O1145" s="4">
        <v>1911000000000000</v>
      </c>
      <c r="P1145" s="4">
        <v>1932000000000000</v>
      </c>
      <c r="Q1145" s="4">
        <v>1956000000000000</v>
      </c>
      <c r="R1145" s="4">
        <v>1981000000000000</v>
      </c>
      <c r="S1145" s="4">
        <v>2009000000000000</v>
      </c>
      <c r="T1145" s="4">
        <v>2037000000000000</v>
      </c>
      <c r="U1145" s="4">
        <v>2065000000000000</v>
      </c>
      <c r="V1145" s="4">
        <v>2094000000000000</v>
      </c>
      <c r="W1145" s="4">
        <v>2122000000000000</v>
      </c>
      <c r="X1145" s="4">
        <v>2152000000000000</v>
      </c>
      <c r="Y1145" s="4">
        <v>2182000000000000</v>
      </c>
      <c r="Z1145" s="4">
        <v>2214000000000000</v>
      </c>
      <c r="AA1145" s="4">
        <v>2248000000000000</v>
      </c>
      <c r="AB1145" s="4">
        <v>2283000000000000</v>
      </c>
      <c r="AC1145" s="4">
        <v>2318000000000000</v>
      </c>
      <c r="AD1145" s="4">
        <v>2354000000000000</v>
      </c>
      <c r="AE1145" s="4">
        <v>2392000000000000</v>
      </c>
      <c r="AF1145" s="4">
        <v>2432000000000000</v>
      </c>
    </row>
    <row r="1146" spans="1:32" x14ac:dyDescent="0.25">
      <c r="A1146" t="s">
        <v>1215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 x14ac:dyDescent="0.25">
      <c r="A1147" t="s">
        <v>1216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 x14ac:dyDescent="0.25">
      <c r="A1148" t="s">
        <v>1217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 x14ac:dyDescent="0.25">
      <c r="A1149" t="s">
        <v>1218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 x14ac:dyDescent="0.25">
      <c r="A1150" t="s">
        <v>1219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x14ac:dyDescent="0.25">
      <c r="A1151" t="s">
        <v>1220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x14ac:dyDescent="0.25">
      <c r="A1152" t="s">
        <v>1221</v>
      </c>
      <c r="B1152" s="4">
        <v>2868000000000000</v>
      </c>
      <c r="C1152" s="4">
        <v>2912000000000000</v>
      </c>
      <c r="D1152" s="4">
        <v>2968000000000000</v>
      </c>
      <c r="E1152" s="4">
        <v>2906000000000000</v>
      </c>
      <c r="F1152" s="4">
        <v>2910000000000000</v>
      </c>
      <c r="G1152" s="4">
        <v>2914000000000000</v>
      </c>
      <c r="H1152" s="4">
        <v>2911000000000000</v>
      </c>
      <c r="I1152" s="4">
        <v>2902000000000000</v>
      </c>
      <c r="J1152" s="4">
        <v>2888000000000000</v>
      </c>
      <c r="K1152" s="4">
        <v>2871000000000000</v>
      </c>
      <c r="L1152" s="4">
        <v>2854000000000000</v>
      </c>
      <c r="M1152" s="4">
        <v>2835000000000000</v>
      </c>
      <c r="N1152" s="4">
        <v>2819000000000000</v>
      </c>
      <c r="O1152" s="4">
        <v>2803000000000000</v>
      </c>
      <c r="P1152" s="4">
        <v>2789000000000000</v>
      </c>
      <c r="Q1152" s="4">
        <v>2777000000000000</v>
      </c>
      <c r="R1152" s="4">
        <v>2767000000000000</v>
      </c>
      <c r="S1152" s="4">
        <v>2756000000000000</v>
      </c>
      <c r="T1152" s="4">
        <v>2745000000000000</v>
      </c>
      <c r="U1152" s="4">
        <v>2734000000000000</v>
      </c>
      <c r="V1152" s="4">
        <v>2725000000000000</v>
      </c>
      <c r="W1152" s="4">
        <v>2716000000000000</v>
      </c>
      <c r="X1152" s="4">
        <v>2708000000000000</v>
      </c>
      <c r="Y1152" s="4">
        <v>2699000000000000</v>
      </c>
      <c r="Z1152" s="4">
        <v>2691000000000000</v>
      </c>
      <c r="AA1152" s="4">
        <v>2682000000000000</v>
      </c>
      <c r="AB1152" s="4">
        <v>2673000000000000</v>
      </c>
      <c r="AC1152" s="4">
        <v>2663000000000000</v>
      </c>
      <c r="AD1152" s="4">
        <v>2653000000000000</v>
      </c>
      <c r="AE1152" s="4">
        <v>2643000000000000</v>
      </c>
      <c r="AF1152" s="4">
        <v>2632000000000000</v>
      </c>
    </row>
    <row r="1153" spans="1:32" x14ac:dyDescent="0.25">
      <c r="A1153" t="s">
        <v>1222</v>
      </c>
      <c r="B1153" s="4">
        <v>47660000000000</v>
      </c>
      <c r="C1153" s="4">
        <v>45570000000000</v>
      </c>
      <c r="D1153" s="4">
        <v>42650000000000</v>
      </c>
      <c r="E1153" s="4">
        <v>48720000000000</v>
      </c>
      <c r="F1153" s="4">
        <v>48770000000000</v>
      </c>
      <c r="G1153" s="4">
        <v>48810000000000</v>
      </c>
      <c r="H1153" s="4">
        <v>48810000000000</v>
      </c>
      <c r="I1153" s="4">
        <v>48710000000000</v>
      </c>
      <c r="J1153" s="4">
        <v>48590000000000</v>
      </c>
      <c r="K1153" s="4">
        <v>48410000000000</v>
      </c>
      <c r="L1153" s="4">
        <v>48250000000000</v>
      </c>
      <c r="M1153" s="4">
        <v>48040000000000</v>
      </c>
      <c r="N1153" s="4">
        <v>47830000000000</v>
      </c>
      <c r="O1153" s="4">
        <v>47650000000000</v>
      </c>
      <c r="P1153" s="4">
        <v>47510000000000</v>
      </c>
      <c r="Q1153" s="4">
        <v>47450000000000</v>
      </c>
      <c r="R1153" s="4">
        <v>47490000000000</v>
      </c>
      <c r="S1153" s="4">
        <v>47630000000000</v>
      </c>
      <c r="T1153" s="4">
        <v>47790000000000</v>
      </c>
      <c r="U1153" s="4">
        <v>47960000000000</v>
      </c>
      <c r="V1153" s="4">
        <v>48120000000000</v>
      </c>
      <c r="W1153" s="4">
        <v>48290000000000</v>
      </c>
      <c r="X1153" s="4">
        <v>48470000000000</v>
      </c>
      <c r="Y1153" s="4">
        <v>48630000000000</v>
      </c>
      <c r="Z1153" s="4">
        <v>48820000000000</v>
      </c>
      <c r="AA1153" s="4">
        <v>49000000000000</v>
      </c>
      <c r="AB1153" s="4">
        <v>49180000000000</v>
      </c>
      <c r="AC1153" s="4">
        <v>49370000000000</v>
      </c>
      <c r="AD1153" s="4">
        <v>49560000000000</v>
      </c>
      <c r="AE1153" s="4">
        <v>49750000000000</v>
      </c>
      <c r="AF1153" s="4">
        <v>49930000000000</v>
      </c>
    </row>
    <row r="1154" spans="1:32" x14ac:dyDescent="0.25">
      <c r="A1154" t="s">
        <v>1223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x14ac:dyDescent="0.25">
      <c r="A1155" t="s">
        <v>1224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 x14ac:dyDescent="0.25">
      <c r="A1156" t="s">
        <v>1225</v>
      </c>
      <c r="B1156" s="4">
        <v>935200000000000</v>
      </c>
      <c r="C1156" s="4">
        <v>925700000000000</v>
      </c>
      <c r="D1156" s="4">
        <v>925000000000000</v>
      </c>
      <c r="E1156" s="4">
        <v>930100000000000</v>
      </c>
      <c r="F1156" s="4">
        <v>940700000000000</v>
      </c>
      <c r="G1156" s="4">
        <v>953000000000000</v>
      </c>
      <c r="H1156" s="4">
        <v>964700000000000</v>
      </c>
      <c r="I1156" s="4">
        <v>975600000000000</v>
      </c>
      <c r="J1156" s="4">
        <v>985100000000000</v>
      </c>
      <c r="K1156" s="4">
        <v>993700000000000</v>
      </c>
      <c r="L1156" s="4">
        <v>1003000000000000</v>
      </c>
      <c r="M1156" s="4">
        <v>1009000000000000</v>
      </c>
      <c r="N1156" s="4">
        <v>1016000000000000</v>
      </c>
      <c r="O1156" s="4">
        <v>1023000000000000</v>
      </c>
      <c r="P1156" s="4">
        <v>1030000000000000</v>
      </c>
      <c r="Q1156" s="4">
        <v>1038000000000000</v>
      </c>
      <c r="R1156" s="4">
        <v>1046000000000000</v>
      </c>
      <c r="S1156" s="4">
        <v>1053000000000000</v>
      </c>
      <c r="T1156" s="4">
        <v>1059000000000000</v>
      </c>
      <c r="U1156" s="4">
        <v>1066000000000000</v>
      </c>
      <c r="V1156" s="4">
        <v>1072000000000000</v>
      </c>
      <c r="W1156" s="4">
        <v>1078000000000000</v>
      </c>
      <c r="X1156" s="4">
        <v>1084000000000000</v>
      </c>
      <c r="Y1156" s="4">
        <v>1090000000000000</v>
      </c>
      <c r="Z1156" s="4">
        <v>1097000000000000</v>
      </c>
      <c r="AA1156" s="4">
        <v>1103000000000000</v>
      </c>
      <c r="AB1156" s="4">
        <v>1110000000000000</v>
      </c>
      <c r="AC1156" s="4">
        <v>1117000000000000</v>
      </c>
      <c r="AD1156" s="4">
        <v>1124000000000000</v>
      </c>
      <c r="AE1156" s="4">
        <v>1131000000000000</v>
      </c>
      <c r="AF1156" s="4">
        <v>1138000000000000</v>
      </c>
    </row>
    <row r="1157" spans="1:32" x14ac:dyDescent="0.25">
      <c r="A1157" t="s">
        <v>1226</v>
      </c>
      <c r="B1157" s="4">
        <v>189800000000000</v>
      </c>
      <c r="C1157" s="4">
        <v>187700000000000</v>
      </c>
      <c r="D1157" s="4">
        <v>186400000000000</v>
      </c>
      <c r="E1157" s="4">
        <v>185900000000000</v>
      </c>
      <c r="F1157" s="4">
        <v>186400000000000</v>
      </c>
      <c r="G1157" s="4">
        <v>187100000000000</v>
      </c>
      <c r="H1157" s="4">
        <v>187700000000000</v>
      </c>
      <c r="I1157" s="4">
        <v>188000000000000</v>
      </c>
      <c r="J1157" s="4">
        <v>187900000000000</v>
      </c>
      <c r="K1157" s="4">
        <v>187500000000000</v>
      </c>
      <c r="L1157" s="4">
        <v>186900000000000</v>
      </c>
      <c r="M1157" s="4">
        <v>185900000000000</v>
      </c>
      <c r="N1157" s="4">
        <v>185000000000000</v>
      </c>
      <c r="O1157" s="4">
        <v>184300000000000</v>
      </c>
      <c r="P1157" s="4">
        <v>183900000000000</v>
      </c>
      <c r="Q1157" s="4">
        <v>183600000000000</v>
      </c>
      <c r="R1157" s="4">
        <v>183400000000000</v>
      </c>
      <c r="S1157" s="4">
        <v>183100000000000</v>
      </c>
      <c r="T1157" s="4">
        <v>182800000000000</v>
      </c>
      <c r="U1157" s="4">
        <v>182500000000000</v>
      </c>
      <c r="V1157" s="4">
        <v>182200000000000</v>
      </c>
      <c r="W1157" s="4">
        <v>182000000000000</v>
      </c>
      <c r="X1157" s="4">
        <v>181700000000000</v>
      </c>
      <c r="Y1157" s="4">
        <v>181500000000000</v>
      </c>
      <c r="Z1157" s="4">
        <v>181300000000000</v>
      </c>
      <c r="AA1157" s="4">
        <v>181000000000000</v>
      </c>
      <c r="AB1157" s="4">
        <v>180800000000000</v>
      </c>
      <c r="AC1157" s="4">
        <v>180500000000000</v>
      </c>
      <c r="AD1157" s="4">
        <v>180300000000000</v>
      </c>
      <c r="AE1157" s="4">
        <v>180100000000000</v>
      </c>
      <c r="AF1157" s="4">
        <v>179800000000000</v>
      </c>
    </row>
    <row r="1158" spans="1:32" x14ac:dyDescent="0.25">
      <c r="A1158" t="s">
        <v>1227</v>
      </c>
      <c r="B1158" s="4">
        <v>303000000000000</v>
      </c>
      <c r="C1158" s="4">
        <v>296800000000000</v>
      </c>
      <c r="D1158" s="4">
        <v>316400000000000</v>
      </c>
      <c r="E1158" s="4">
        <v>295800000000000</v>
      </c>
      <c r="F1158" s="4">
        <v>288800000000000</v>
      </c>
      <c r="G1158" s="4">
        <v>281800000000000</v>
      </c>
      <c r="H1158" s="4">
        <v>275100000000000</v>
      </c>
      <c r="I1158" s="4">
        <v>268700000000000</v>
      </c>
      <c r="J1158" s="4">
        <v>263000000000000</v>
      </c>
      <c r="K1158" s="4">
        <v>257900000000000</v>
      </c>
      <c r="L1158" s="4">
        <v>253200000000000</v>
      </c>
      <c r="M1158" s="4">
        <v>248500000000000</v>
      </c>
      <c r="N1158" s="4">
        <v>244000000000000</v>
      </c>
      <c r="O1158" s="4">
        <v>239700000000000</v>
      </c>
      <c r="P1158" s="4">
        <v>235600000000000</v>
      </c>
      <c r="Q1158" s="4">
        <v>231600000000000</v>
      </c>
      <c r="R1158" s="4">
        <v>227600000000000</v>
      </c>
      <c r="S1158" s="4">
        <v>223700000000000</v>
      </c>
      <c r="T1158" s="4">
        <v>219900000000000</v>
      </c>
      <c r="U1158" s="4">
        <v>216200000000000</v>
      </c>
      <c r="V1158" s="4">
        <v>212700000000000</v>
      </c>
      <c r="W1158" s="4">
        <v>209200000000000</v>
      </c>
      <c r="X1158" s="4">
        <v>205900000000000</v>
      </c>
      <c r="Y1158" s="4">
        <v>202400000000000</v>
      </c>
      <c r="Z1158" s="4">
        <v>198800000000000</v>
      </c>
      <c r="AA1158" s="4">
        <v>195300000000000</v>
      </c>
      <c r="AB1158" s="4">
        <v>191800000000000</v>
      </c>
      <c r="AC1158" s="4">
        <v>188400000000000</v>
      </c>
      <c r="AD1158" s="4">
        <v>185100000000000</v>
      </c>
      <c r="AE1158" s="4">
        <v>181800000000000</v>
      </c>
      <c r="AF1158" s="4">
        <v>178600000000000</v>
      </c>
    </row>
    <row r="1159" spans="1:32" x14ac:dyDescent="0.25">
      <c r="A1159" t="s">
        <v>1228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25">
      <c r="A1160" t="s">
        <v>1229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25">
      <c r="A1161" t="s">
        <v>1230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25">
      <c r="A1162" t="s">
        <v>1231</v>
      </c>
      <c r="B1162" s="4">
        <v>39650000000000</v>
      </c>
      <c r="C1162" s="4">
        <v>37950000000000</v>
      </c>
      <c r="D1162" s="4">
        <v>36180000000000</v>
      </c>
      <c r="E1162" s="4">
        <v>34640000000000</v>
      </c>
      <c r="F1162" s="4">
        <v>33230000000000</v>
      </c>
      <c r="G1162" s="4">
        <v>31990000000000</v>
      </c>
      <c r="H1162" s="4">
        <v>30920000000000</v>
      </c>
      <c r="I1162" s="4">
        <v>30020000000000</v>
      </c>
      <c r="J1162" s="4">
        <v>29310000000000</v>
      </c>
      <c r="K1162" s="4">
        <v>28800000000000</v>
      </c>
      <c r="L1162" s="4">
        <v>28480000000000</v>
      </c>
      <c r="M1162" s="4">
        <v>28090000000000</v>
      </c>
      <c r="N1162" s="4">
        <v>27690000000000</v>
      </c>
      <c r="O1162" s="4">
        <v>27270000000000</v>
      </c>
      <c r="P1162" s="4">
        <v>26850000000000</v>
      </c>
      <c r="Q1162" s="4">
        <v>26430000000000</v>
      </c>
      <c r="R1162" s="4">
        <v>25980000000000</v>
      </c>
      <c r="S1162" s="4">
        <v>25530000000000</v>
      </c>
      <c r="T1162" s="4">
        <v>25070000000000</v>
      </c>
      <c r="U1162" s="4">
        <v>24640000000000</v>
      </c>
      <c r="V1162" s="4">
        <v>24200000000000</v>
      </c>
      <c r="W1162" s="4">
        <v>23790000000000</v>
      </c>
      <c r="X1162" s="4">
        <v>23390000000000</v>
      </c>
      <c r="Y1162" s="4">
        <v>23010000000000</v>
      </c>
      <c r="Z1162" s="4">
        <v>22630000000000</v>
      </c>
      <c r="AA1162" s="4">
        <v>22280000000000</v>
      </c>
      <c r="AB1162" s="4">
        <v>21940000000000</v>
      </c>
      <c r="AC1162" s="4">
        <v>21620000000000</v>
      </c>
      <c r="AD1162" s="4">
        <v>21330000000000</v>
      </c>
      <c r="AE1162" s="4">
        <v>21060000000000</v>
      </c>
      <c r="AF1162" s="4">
        <v>20790000000000</v>
      </c>
    </row>
    <row r="1163" spans="1:32" x14ac:dyDescent="0.25">
      <c r="A1163" t="s">
        <v>1232</v>
      </c>
      <c r="B1163" s="4">
        <v>6384000000000</v>
      </c>
      <c r="C1163" s="4">
        <v>6354000000000</v>
      </c>
      <c r="D1163" s="4">
        <v>6310000000000</v>
      </c>
      <c r="E1163" s="4">
        <v>6278000000000</v>
      </c>
      <c r="F1163" s="4">
        <v>6238000000000</v>
      </c>
      <c r="G1163" s="4">
        <v>6196000000000</v>
      </c>
      <c r="H1163" s="4">
        <v>6157000000000</v>
      </c>
      <c r="I1163" s="4">
        <v>6122000000000</v>
      </c>
      <c r="J1163" s="4">
        <v>6094000000000</v>
      </c>
      <c r="K1163" s="4">
        <v>6072000000000</v>
      </c>
      <c r="L1163" s="4">
        <v>6057000000000</v>
      </c>
      <c r="M1163" s="4">
        <v>6039000000000</v>
      </c>
      <c r="N1163" s="4">
        <v>6021000000000</v>
      </c>
      <c r="O1163" s="4">
        <v>6004000000000</v>
      </c>
      <c r="P1163" s="4">
        <v>5989000000000</v>
      </c>
      <c r="Q1163" s="4">
        <v>5975000000000</v>
      </c>
      <c r="R1163" s="4">
        <v>5958000000000</v>
      </c>
      <c r="S1163" s="4">
        <v>5940000000000</v>
      </c>
      <c r="T1163" s="4">
        <v>5922000000000</v>
      </c>
      <c r="U1163" s="4">
        <v>5907000000000</v>
      </c>
      <c r="V1163" s="4">
        <v>5890000000000</v>
      </c>
      <c r="W1163" s="4">
        <v>5875000000000</v>
      </c>
      <c r="X1163" s="4">
        <v>5861000000000</v>
      </c>
      <c r="Y1163" s="4">
        <v>5845000000000</v>
      </c>
      <c r="Z1163" s="4">
        <v>5827000000000</v>
      </c>
      <c r="AA1163" s="4">
        <v>5810000000000</v>
      </c>
      <c r="AB1163" s="4">
        <v>5794000000000</v>
      </c>
      <c r="AC1163" s="4">
        <v>5780000000000</v>
      </c>
      <c r="AD1163" s="4">
        <v>5769000000000</v>
      </c>
      <c r="AE1163" s="4">
        <v>5760000000000</v>
      </c>
      <c r="AF1163" s="4">
        <v>5751000000000</v>
      </c>
    </row>
    <row r="1164" spans="1:32" x14ac:dyDescent="0.25">
      <c r="A1164" t="s">
        <v>1233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x14ac:dyDescent="0.25">
      <c r="A1165" t="s">
        <v>1234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 x14ac:dyDescent="0.25">
      <c r="A1166" t="s">
        <v>1235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 x14ac:dyDescent="0.25">
      <c r="A1167" t="s">
        <v>1236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x14ac:dyDescent="0.25">
      <c r="A1168" t="s">
        <v>1237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 x14ac:dyDescent="0.25">
      <c r="A1169" t="s">
        <v>1238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 x14ac:dyDescent="0.25">
      <c r="A1170" t="s">
        <v>1239</v>
      </c>
      <c r="B1170" s="4">
        <v>372000000000000</v>
      </c>
      <c r="C1170" s="4">
        <v>377100000000000</v>
      </c>
      <c r="D1170" s="4">
        <v>393300000000000</v>
      </c>
      <c r="E1170" s="4">
        <v>368700000000000</v>
      </c>
      <c r="F1170" s="4">
        <v>366600000000000</v>
      </c>
      <c r="G1170" s="4">
        <v>364900000000000</v>
      </c>
      <c r="H1170" s="4">
        <v>362800000000000</v>
      </c>
      <c r="I1170" s="4">
        <v>359800000000000</v>
      </c>
      <c r="J1170" s="4">
        <v>356100000000000</v>
      </c>
      <c r="K1170" s="4">
        <v>351300000000000</v>
      </c>
      <c r="L1170" s="4">
        <v>345200000000000</v>
      </c>
      <c r="M1170" s="4">
        <v>339800000000000</v>
      </c>
      <c r="N1170" s="4">
        <v>334400000000000</v>
      </c>
      <c r="O1170" s="4">
        <v>328700000000000</v>
      </c>
      <c r="P1170" s="4">
        <v>322600000000000</v>
      </c>
      <c r="Q1170" s="4">
        <v>316600000000000</v>
      </c>
      <c r="R1170" s="4">
        <v>310800000000000</v>
      </c>
      <c r="S1170" s="4">
        <v>305700000000000</v>
      </c>
      <c r="T1170" s="4">
        <v>300800000000000</v>
      </c>
      <c r="U1170" s="4">
        <v>295700000000000</v>
      </c>
      <c r="V1170" s="4">
        <v>291000000000000</v>
      </c>
      <c r="W1170" s="4">
        <v>286500000000000</v>
      </c>
      <c r="X1170" s="4">
        <v>282000000000000</v>
      </c>
      <c r="Y1170" s="4">
        <v>278200000000000</v>
      </c>
      <c r="Z1170" s="4">
        <v>275200000000000</v>
      </c>
      <c r="AA1170" s="4">
        <v>272200000000000</v>
      </c>
      <c r="AB1170" s="4">
        <v>269500000000000</v>
      </c>
      <c r="AC1170" s="4">
        <v>266400000000000</v>
      </c>
      <c r="AD1170" s="4">
        <v>262900000000000</v>
      </c>
      <c r="AE1170" s="4">
        <v>259100000000000</v>
      </c>
      <c r="AF1170" s="4">
        <v>255200000000000</v>
      </c>
    </row>
    <row r="1171" spans="1:32" x14ac:dyDescent="0.25">
      <c r="A1171" t="s">
        <v>1240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25">
      <c r="A1172" t="s">
        <v>1241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x14ac:dyDescent="0.25">
      <c r="A1173" t="s">
        <v>1242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 x14ac:dyDescent="0.25">
      <c r="A1174" t="s">
        <v>1243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 x14ac:dyDescent="0.25">
      <c r="A1175" t="s">
        <v>1244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 x14ac:dyDescent="0.25">
      <c r="A1176" t="s">
        <v>1245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x14ac:dyDescent="0.25">
      <c r="A1177" t="s">
        <v>1246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25">
      <c r="A1178" t="s">
        <v>1247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25">
      <c r="A1179" t="s">
        <v>1248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x14ac:dyDescent="0.25">
      <c r="A1180" t="s">
        <v>1249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 x14ac:dyDescent="0.25">
      <c r="A1181" t="s">
        <v>1250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 x14ac:dyDescent="0.25">
      <c r="A1182" t="s">
        <v>1251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 x14ac:dyDescent="0.25">
      <c r="A1183" t="s">
        <v>1252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x14ac:dyDescent="0.25">
      <c r="A1184" t="s">
        <v>1253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 x14ac:dyDescent="0.25">
      <c r="A1185" t="s">
        <v>1254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 x14ac:dyDescent="0.25">
      <c r="A1186" t="s">
        <v>1255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 x14ac:dyDescent="0.25">
      <c r="A1187" t="s">
        <v>1256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25">
      <c r="A1188" t="s">
        <v>1257</v>
      </c>
      <c r="B1188" s="4">
        <v>244600000000000</v>
      </c>
      <c r="C1188" s="4">
        <v>264400000000000</v>
      </c>
      <c r="D1188" s="4">
        <v>269100000000000</v>
      </c>
      <c r="E1188" s="4">
        <v>255200000000000</v>
      </c>
      <c r="F1188" s="4">
        <v>252300000000000</v>
      </c>
      <c r="G1188" s="4">
        <v>249800000000000</v>
      </c>
      <c r="H1188" s="4">
        <v>247100000000000</v>
      </c>
      <c r="I1188" s="4">
        <v>244300000000000</v>
      </c>
      <c r="J1188" s="4">
        <v>241200000000000</v>
      </c>
      <c r="K1188" s="4">
        <v>238100000000000</v>
      </c>
      <c r="L1188" s="4">
        <v>235100000000000</v>
      </c>
      <c r="M1188" s="4">
        <v>232100000000000</v>
      </c>
      <c r="N1188" s="4">
        <v>229300000000000</v>
      </c>
      <c r="O1188" s="4">
        <v>226700000000000</v>
      </c>
      <c r="P1188" s="4">
        <v>224200000000000</v>
      </c>
      <c r="Q1188" s="4">
        <v>222000000000000</v>
      </c>
      <c r="R1188" s="4">
        <v>219900000000000</v>
      </c>
      <c r="S1188" s="4">
        <v>217800000000000</v>
      </c>
      <c r="T1188" s="4">
        <v>215800000000000</v>
      </c>
      <c r="U1188" s="4">
        <v>213900000000000</v>
      </c>
      <c r="V1188" s="4">
        <v>212100000000000</v>
      </c>
      <c r="W1188" s="4">
        <v>210300000000000</v>
      </c>
      <c r="X1188" s="4">
        <v>208500000000000</v>
      </c>
      <c r="Y1188" s="4">
        <v>206700000000000</v>
      </c>
      <c r="Z1188" s="4">
        <v>205000000000000</v>
      </c>
      <c r="AA1188" s="4">
        <v>203200000000000</v>
      </c>
      <c r="AB1188" s="4">
        <v>201500000000000</v>
      </c>
      <c r="AC1188" s="4">
        <v>199800000000000</v>
      </c>
      <c r="AD1188" s="4">
        <v>198200000000000</v>
      </c>
      <c r="AE1188" s="4">
        <v>196600000000000</v>
      </c>
      <c r="AF1188" s="4">
        <v>195100000000000</v>
      </c>
    </row>
    <row r="1189" spans="1:32" x14ac:dyDescent="0.25">
      <c r="A1189" t="s">
        <v>1258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x14ac:dyDescent="0.25">
      <c r="A1190" t="s">
        <v>1259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x14ac:dyDescent="0.25">
      <c r="A1191" t="s">
        <v>1260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 x14ac:dyDescent="0.25">
      <c r="A1192" t="s">
        <v>1261</v>
      </c>
      <c r="B1192" s="4">
        <v>67010000000000</v>
      </c>
      <c r="C1192" s="4">
        <v>65180000000000</v>
      </c>
      <c r="D1192" s="4">
        <v>62870000000000</v>
      </c>
      <c r="E1192" s="4">
        <v>60990000000000</v>
      </c>
      <c r="F1192" s="4">
        <v>59530000000000</v>
      </c>
      <c r="G1192" s="4">
        <v>58310000000000</v>
      </c>
      <c r="H1192" s="4">
        <v>57180000000000</v>
      </c>
      <c r="I1192" s="4">
        <v>56110000000000</v>
      </c>
      <c r="J1192" s="4">
        <v>55090000000000</v>
      </c>
      <c r="K1192" s="4">
        <v>54180000000000</v>
      </c>
      <c r="L1192" s="4">
        <v>53380000000000</v>
      </c>
      <c r="M1192" s="4">
        <v>52470000000000</v>
      </c>
      <c r="N1192" s="4">
        <v>51530000000000</v>
      </c>
      <c r="O1192" s="4">
        <v>50600000000000</v>
      </c>
      <c r="P1192" s="4">
        <v>49720000000000</v>
      </c>
      <c r="Q1192" s="4">
        <v>48870000000000</v>
      </c>
      <c r="R1192" s="4">
        <v>48070000000000</v>
      </c>
      <c r="S1192" s="4">
        <v>47300000000000</v>
      </c>
      <c r="T1192" s="4">
        <v>46540000000000</v>
      </c>
      <c r="U1192" s="4">
        <v>45800000000000</v>
      </c>
      <c r="V1192" s="4">
        <v>45090000000000</v>
      </c>
      <c r="W1192" s="4">
        <v>44390000000000</v>
      </c>
      <c r="X1192" s="4">
        <v>43740000000000</v>
      </c>
      <c r="Y1192" s="4">
        <v>43130000000000</v>
      </c>
      <c r="Z1192" s="4">
        <v>42540000000000</v>
      </c>
      <c r="AA1192" s="4">
        <v>42010000000000</v>
      </c>
      <c r="AB1192" s="4">
        <v>41510000000000</v>
      </c>
      <c r="AC1192" s="4">
        <v>41050000000000</v>
      </c>
      <c r="AD1192" s="4">
        <v>40620000000000</v>
      </c>
      <c r="AE1192" s="4">
        <v>40220000000000</v>
      </c>
      <c r="AF1192" s="4">
        <v>39840000000000</v>
      </c>
    </row>
    <row r="1193" spans="1:32" x14ac:dyDescent="0.25">
      <c r="A1193" t="s">
        <v>1262</v>
      </c>
      <c r="B1193" s="4">
        <v>58490000000000</v>
      </c>
      <c r="C1193" s="4">
        <v>59620000000000</v>
      </c>
      <c r="D1193" s="4">
        <v>60520000000000</v>
      </c>
      <c r="E1193" s="4">
        <v>61650000000000</v>
      </c>
      <c r="F1193" s="4">
        <v>63120000000000</v>
      </c>
      <c r="G1193" s="4">
        <v>64710000000000</v>
      </c>
      <c r="H1193" s="4">
        <v>66280000000000</v>
      </c>
      <c r="I1193" s="4">
        <v>67770000000000</v>
      </c>
      <c r="J1193" s="4">
        <v>69170000000000</v>
      </c>
      <c r="K1193" s="4">
        <v>70530000000000</v>
      </c>
      <c r="L1193" s="4">
        <v>71900000000000</v>
      </c>
      <c r="M1193" s="4">
        <v>73200000000000</v>
      </c>
      <c r="N1193" s="4">
        <v>74530000000000</v>
      </c>
      <c r="O1193" s="4">
        <v>75900000000000</v>
      </c>
      <c r="P1193" s="4">
        <v>77320000000000</v>
      </c>
      <c r="Q1193" s="4">
        <v>78790000000000</v>
      </c>
      <c r="R1193" s="4">
        <v>80290000000000</v>
      </c>
      <c r="S1193" s="4">
        <v>81790000000000</v>
      </c>
      <c r="T1193" s="4">
        <v>83290000000000</v>
      </c>
      <c r="U1193" s="4">
        <v>84810000000000</v>
      </c>
      <c r="V1193" s="4">
        <v>86340000000000</v>
      </c>
      <c r="W1193" s="4">
        <v>87860000000000</v>
      </c>
      <c r="X1193" s="4">
        <v>89410000000000</v>
      </c>
      <c r="Y1193" s="4">
        <v>90970000000000</v>
      </c>
      <c r="Z1193" s="4">
        <v>92530000000000</v>
      </c>
      <c r="AA1193" s="4">
        <v>94120000000000</v>
      </c>
      <c r="AB1193" s="4">
        <v>95730000000000</v>
      </c>
      <c r="AC1193" s="4">
        <v>97360000000000</v>
      </c>
      <c r="AD1193" s="4">
        <v>99010000000000</v>
      </c>
      <c r="AE1193" s="4">
        <v>100700000000000</v>
      </c>
      <c r="AF1193" s="4">
        <v>102400000000000</v>
      </c>
    </row>
    <row r="1194" spans="1:32" x14ac:dyDescent="0.25">
      <c r="A1194" t="s">
        <v>1263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25">
      <c r="A1195" t="s">
        <v>1264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x14ac:dyDescent="0.25">
      <c r="A1196" t="s">
        <v>1265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x14ac:dyDescent="0.25">
      <c r="A1197" t="s">
        <v>1266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x14ac:dyDescent="0.25">
      <c r="A1198" t="s">
        <v>1267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x14ac:dyDescent="0.25">
      <c r="A1199" t="s">
        <v>1268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x14ac:dyDescent="0.25">
      <c r="A1200" t="s">
        <v>1269</v>
      </c>
      <c r="B1200" s="4">
        <v>121300000000000</v>
      </c>
      <c r="C1200" s="4">
        <v>131700000000000</v>
      </c>
      <c r="D1200" s="4">
        <v>134800000000000</v>
      </c>
      <c r="E1200" s="4">
        <v>126500000000000</v>
      </c>
      <c r="F1200" s="4">
        <v>126100000000000</v>
      </c>
      <c r="G1200" s="4">
        <v>125500000000000</v>
      </c>
      <c r="H1200" s="4">
        <v>124600000000000</v>
      </c>
      <c r="I1200" s="4">
        <v>123500000000000</v>
      </c>
      <c r="J1200" s="4">
        <v>122300000000000</v>
      </c>
      <c r="K1200" s="4">
        <v>121100000000000</v>
      </c>
      <c r="L1200" s="4">
        <v>119900000000000</v>
      </c>
      <c r="M1200" s="4">
        <v>118700000000000</v>
      </c>
      <c r="N1200" s="4">
        <v>117500000000000</v>
      </c>
      <c r="O1200" s="4">
        <v>116200000000000</v>
      </c>
      <c r="P1200" s="4">
        <v>115000000000000</v>
      </c>
      <c r="Q1200" s="4">
        <v>114000000000000</v>
      </c>
      <c r="R1200" s="4">
        <v>113100000000000</v>
      </c>
      <c r="S1200" s="4">
        <v>112200000000000</v>
      </c>
      <c r="T1200" s="4">
        <v>111400000000000</v>
      </c>
      <c r="U1200" s="4">
        <v>110400000000000</v>
      </c>
      <c r="V1200" s="4">
        <v>109500000000000</v>
      </c>
      <c r="W1200" s="4">
        <v>108600000000000</v>
      </c>
      <c r="X1200" s="4">
        <v>107700000000000</v>
      </c>
      <c r="Y1200" s="4">
        <v>106800000000000</v>
      </c>
      <c r="Z1200" s="4">
        <v>105900000000000</v>
      </c>
      <c r="AA1200" s="4">
        <v>105000000000000</v>
      </c>
      <c r="AB1200" s="4">
        <v>104100000000000</v>
      </c>
      <c r="AC1200" s="4">
        <v>103200000000000</v>
      </c>
      <c r="AD1200" s="4">
        <v>102300000000000</v>
      </c>
      <c r="AE1200" s="4">
        <v>101300000000000</v>
      </c>
      <c r="AF1200" s="4">
        <v>100500000000000</v>
      </c>
    </row>
    <row r="1201" spans="1:32" x14ac:dyDescent="0.25">
      <c r="A1201" t="s">
        <v>1270</v>
      </c>
      <c r="B1201" s="4">
        <v>165200000000000</v>
      </c>
      <c r="C1201" s="4">
        <v>165300000000000</v>
      </c>
      <c r="D1201" s="4">
        <v>154300000000000</v>
      </c>
      <c r="E1201" s="4">
        <v>178600000000000</v>
      </c>
      <c r="F1201" s="4">
        <v>182000000000000</v>
      </c>
      <c r="G1201" s="4">
        <v>185500000000000</v>
      </c>
      <c r="H1201" s="4">
        <v>188900000000000</v>
      </c>
      <c r="I1201" s="4">
        <v>191700000000000</v>
      </c>
      <c r="J1201" s="4">
        <v>194300000000000</v>
      </c>
      <c r="K1201" s="4">
        <v>196800000000000</v>
      </c>
      <c r="L1201" s="4">
        <v>199500000000000</v>
      </c>
      <c r="M1201" s="4">
        <v>202300000000000</v>
      </c>
      <c r="N1201" s="4">
        <v>205200000000000</v>
      </c>
      <c r="O1201" s="4">
        <v>208100000000000</v>
      </c>
      <c r="P1201" s="4">
        <v>211100000000000</v>
      </c>
      <c r="Q1201" s="4">
        <v>214600000000000</v>
      </c>
      <c r="R1201" s="4">
        <v>218200000000000</v>
      </c>
      <c r="S1201" s="4">
        <v>222200000000000</v>
      </c>
      <c r="T1201" s="4">
        <v>226200000000000</v>
      </c>
      <c r="U1201" s="4">
        <v>230200000000000</v>
      </c>
      <c r="V1201" s="4">
        <v>234100000000000</v>
      </c>
      <c r="W1201" s="4">
        <v>238100000000000</v>
      </c>
      <c r="X1201" s="4">
        <v>242200000000000</v>
      </c>
      <c r="Y1201" s="4">
        <v>246400000000000</v>
      </c>
      <c r="Z1201" s="4">
        <v>250900000000000</v>
      </c>
      <c r="AA1201" s="4">
        <v>255400000000000</v>
      </c>
      <c r="AB1201" s="4">
        <v>259800000000000</v>
      </c>
      <c r="AC1201" s="4">
        <v>264300000000000</v>
      </c>
      <c r="AD1201" s="4">
        <v>268900000000000</v>
      </c>
      <c r="AE1201" s="4">
        <v>273500000000000</v>
      </c>
      <c r="AF1201" s="4">
        <v>278500000000000</v>
      </c>
    </row>
    <row r="1202" spans="1:32" x14ac:dyDescent="0.25">
      <c r="A1202" t="s">
        <v>1271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x14ac:dyDescent="0.25">
      <c r="A1203" t="s">
        <v>1272</v>
      </c>
      <c r="B1203" s="4">
        <v>39490000000000</v>
      </c>
      <c r="C1203" s="4">
        <v>37860000000000</v>
      </c>
      <c r="D1203" s="4">
        <v>37610000000000</v>
      </c>
      <c r="E1203" s="4">
        <v>37590000000000</v>
      </c>
      <c r="F1203" s="4">
        <v>37730000000000</v>
      </c>
      <c r="G1203" s="4">
        <v>37600000000000</v>
      </c>
      <c r="H1203" s="4">
        <v>37460000000000</v>
      </c>
      <c r="I1203" s="4">
        <v>37410000000000</v>
      </c>
      <c r="J1203" s="4">
        <v>37450000000000</v>
      </c>
      <c r="K1203" s="4">
        <v>37540000000000</v>
      </c>
      <c r="L1203" s="4">
        <v>37180000000000</v>
      </c>
      <c r="M1203" s="4">
        <v>36920000000000</v>
      </c>
      <c r="N1203" s="4">
        <v>36740000000000</v>
      </c>
      <c r="O1203" s="4">
        <v>36610000000000</v>
      </c>
      <c r="P1203" s="4">
        <v>36540000000000</v>
      </c>
      <c r="Q1203" s="4">
        <v>36580000000000</v>
      </c>
      <c r="R1203" s="4">
        <v>36650000000000</v>
      </c>
      <c r="S1203" s="4">
        <v>36750000000000</v>
      </c>
      <c r="T1203" s="4">
        <v>36860000000000</v>
      </c>
      <c r="U1203" s="4">
        <v>36960000000000</v>
      </c>
      <c r="V1203" s="4">
        <v>36440000000000</v>
      </c>
      <c r="W1203" s="4">
        <v>36040000000000</v>
      </c>
      <c r="X1203" s="4">
        <v>35730000000000</v>
      </c>
      <c r="Y1203" s="4">
        <v>35490000000000</v>
      </c>
      <c r="Z1203" s="4">
        <v>35350000000000</v>
      </c>
      <c r="AA1203" s="4">
        <v>35250000000000</v>
      </c>
      <c r="AB1203" s="4">
        <v>35160000000000</v>
      </c>
      <c r="AC1203" s="4">
        <v>35070000000000</v>
      </c>
      <c r="AD1203" s="4">
        <v>34990000000000</v>
      </c>
      <c r="AE1203" s="4">
        <v>34920000000000</v>
      </c>
      <c r="AF1203" s="4">
        <v>34920000000000</v>
      </c>
    </row>
    <row r="1204" spans="1:32" x14ac:dyDescent="0.25">
      <c r="A1204" t="s">
        <v>1273</v>
      </c>
      <c r="B1204" s="4">
        <v>244700000000000</v>
      </c>
      <c r="C1204" s="4">
        <v>243900000000000</v>
      </c>
      <c r="D1204" s="4">
        <v>245100000000000</v>
      </c>
      <c r="E1204" s="4">
        <v>246000000000000</v>
      </c>
      <c r="F1204" s="4">
        <v>247200000000000</v>
      </c>
      <c r="G1204" s="4">
        <v>248300000000000</v>
      </c>
      <c r="H1204" s="4">
        <v>249000000000000</v>
      </c>
      <c r="I1204" s="4">
        <v>249500000000000</v>
      </c>
      <c r="J1204" s="4">
        <v>249900000000000</v>
      </c>
      <c r="K1204" s="4">
        <v>250300000000000</v>
      </c>
      <c r="L1204" s="4">
        <v>250900000000000</v>
      </c>
      <c r="M1204" s="4">
        <v>251500000000000</v>
      </c>
      <c r="N1204" s="4">
        <v>252300000000000</v>
      </c>
      <c r="O1204" s="4">
        <v>253200000000000</v>
      </c>
      <c r="P1204" s="4">
        <v>254200000000000</v>
      </c>
      <c r="Q1204" s="4">
        <v>255600000000000</v>
      </c>
      <c r="R1204" s="4">
        <v>257200000000000</v>
      </c>
      <c r="S1204" s="4">
        <v>259000000000000</v>
      </c>
      <c r="T1204" s="4">
        <v>260900000000000</v>
      </c>
      <c r="U1204" s="4">
        <v>262700000000000</v>
      </c>
      <c r="V1204" s="4">
        <v>264500000000000</v>
      </c>
      <c r="W1204" s="4">
        <v>266400000000000</v>
      </c>
      <c r="X1204" s="4">
        <v>268200000000000</v>
      </c>
      <c r="Y1204" s="4">
        <v>270100000000000</v>
      </c>
      <c r="Z1204" s="4">
        <v>272100000000000</v>
      </c>
      <c r="AA1204" s="4">
        <v>274100000000000</v>
      </c>
      <c r="AB1204" s="4">
        <v>276000000000000</v>
      </c>
      <c r="AC1204" s="4">
        <v>278000000000000</v>
      </c>
      <c r="AD1204" s="4">
        <v>279900000000000</v>
      </c>
      <c r="AE1204" s="4">
        <v>281800000000000</v>
      </c>
      <c r="AF1204" s="4">
        <v>283900000000000</v>
      </c>
    </row>
    <row r="1205" spans="1:32" x14ac:dyDescent="0.25">
      <c r="A1205" t="s">
        <v>1274</v>
      </c>
      <c r="B1205" s="4">
        <v>388400000000000</v>
      </c>
      <c r="C1205" s="4">
        <v>389900000000000</v>
      </c>
      <c r="D1205" s="4">
        <v>380900000000000</v>
      </c>
      <c r="E1205" s="4">
        <v>392700000000000</v>
      </c>
      <c r="F1205" s="4">
        <v>398300000000000</v>
      </c>
      <c r="G1205" s="4">
        <v>403800000000000</v>
      </c>
      <c r="H1205" s="4">
        <v>408700000000000</v>
      </c>
      <c r="I1205" s="4">
        <v>412700000000000</v>
      </c>
      <c r="J1205" s="4">
        <v>416800000000000</v>
      </c>
      <c r="K1205" s="4">
        <v>421000000000000</v>
      </c>
      <c r="L1205" s="4">
        <v>425600000000000</v>
      </c>
      <c r="M1205" s="4">
        <v>430000000000000</v>
      </c>
      <c r="N1205" s="4">
        <v>434600000000000</v>
      </c>
      <c r="O1205" s="4">
        <v>439300000000000</v>
      </c>
      <c r="P1205" s="4">
        <v>444200000000000</v>
      </c>
      <c r="Q1205" s="4">
        <v>449600000000000</v>
      </c>
      <c r="R1205" s="4">
        <v>455400000000000</v>
      </c>
      <c r="S1205" s="4">
        <v>461800000000000</v>
      </c>
      <c r="T1205" s="4">
        <v>468400000000000</v>
      </c>
      <c r="U1205" s="4">
        <v>474800000000000</v>
      </c>
      <c r="V1205" s="4">
        <v>481300000000000</v>
      </c>
      <c r="W1205" s="4">
        <v>487800000000000</v>
      </c>
      <c r="X1205" s="4">
        <v>494600000000000</v>
      </c>
      <c r="Y1205" s="4">
        <v>501600000000000</v>
      </c>
      <c r="Z1205" s="4">
        <v>509000000000000</v>
      </c>
      <c r="AA1205" s="4">
        <v>516800000000000</v>
      </c>
      <c r="AB1205" s="4">
        <v>524700000000000</v>
      </c>
      <c r="AC1205" s="4">
        <v>532900000000000</v>
      </c>
      <c r="AD1205" s="4">
        <v>541100000000000</v>
      </c>
      <c r="AE1205" s="4">
        <v>549800000000000</v>
      </c>
      <c r="AF1205" s="4">
        <v>559200000000000</v>
      </c>
    </row>
    <row r="1206" spans="1:32" x14ac:dyDescent="0.25">
      <c r="A1206" t="s">
        <v>1275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x14ac:dyDescent="0.25">
      <c r="A1207" t="s">
        <v>1276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 x14ac:dyDescent="0.25">
      <c r="A1208" t="s">
        <v>1277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x14ac:dyDescent="0.25">
      <c r="A1209" t="s">
        <v>1278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x14ac:dyDescent="0.25">
      <c r="A1210" t="s">
        <v>1279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x14ac:dyDescent="0.25">
      <c r="A1211" t="s">
        <v>1280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25">
      <c r="A1212" t="s">
        <v>1281</v>
      </c>
      <c r="B1212" s="4">
        <v>659300000000000</v>
      </c>
      <c r="C1212" s="4">
        <v>669500000000000</v>
      </c>
      <c r="D1212" s="4">
        <v>682400000000000</v>
      </c>
      <c r="E1212" s="4">
        <v>668000000000000</v>
      </c>
      <c r="F1212" s="4">
        <v>669100000000000</v>
      </c>
      <c r="G1212" s="4">
        <v>669900000000000</v>
      </c>
      <c r="H1212" s="4">
        <v>669100000000000</v>
      </c>
      <c r="I1212" s="4">
        <v>667000000000000</v>
      </c>
      <c r="J1212" s="4">
        <v>663900000000000</v>
      </c>
      <c r="K1212" s="4">
        <v>660000000000000</v>
      </c>
      <c r="L1212" s="4">
        <v>656200000000000</v>
      </c>
      <c r="M1212" s="4">
        <v>651800000000000</v>
      </c>
      <c r="N1212" s="4">
        <v>648000000000000</v>
      </c>
      <c r="O1212" s="4">
        <v>644300000000000</v>
      </c>
      <c r="P1212" s="4">
        <v>641100000000000</v>
      </c>
      <c r="Q1212" s="4">
        <v>638500000000000</v>
      </c>
      <c r="R1212" s="4">
        <v>636100000000000</v>
      </c>
      <c r="S1212" s="4">
        <v>633500000000000</v>
      </c>
      <c r="T1212" s="4">
        <v>631000000000000</v>
      </c>
      <c r="U1212" s="4">
        <v>628600000000000</v>
      </c>
      <c r="V1212" s="4">
        <v>626500000000000</v>
      </c>
      <c r="W1212" s="4">
        <v>624400000000000</v>
      </c>
      <c r="X1212" s="4">
        <v>622400000000000</v>
      </c>
      <c r="Y1212" s="4">
        <v>620400000000000</v>
      </c>
      <c r="Z1212" s="4">
        <v>618500000000000</v>
      </c>
      <c r="AA1212" s="4">
        <v>616500000000000</v>
      </c>
      <c r="AB1212" s="4">
        <v>614400000000000</v>
      </c>
      <c r="AC1212" s="4">
        <v>612200000000000</v>
      </c>
      <c r="AD1212" s="4">
        <v>609900000000000</v>
      </c>
      <c r="AE1212" s="4">
        <v>607500000000000</v>
      </c>
      <c r="AF1212" s="4">
        <v>605000000000000</v>
      </c>
    </row>
    <row r="1213" spans="1:32" x14ac:dyDescent="0.25">
      <c r="A1213" t="s">
        <v>1282</v>
      </c>
      <c r="B1213" s="4">
        <v>10960000000000</v>
      </c>
      <c r="C1213" s="4">
        <v>10480000000000</v>
      </c>
      <c r="D1213" s="4">
        <v>9804000000000</v>
      </c>
      <c r="E1213" s="4">
        <v>11200000000000</v>
      </c>
      <c r="F1213" s="4">
        <v>11210000000000</v>
      </c>
      <c r="G1213" s="4">
        <v>11220000000000</v>
      </c>
      <c r="H1213" s="4">
        <v>11220000000000</v>
      </c>
      <c r="I1213" s="4">
        <v>11200000000000</v>
      </c>
      <c r="J1213" s="4">
        <v>11170000000000</v>
      </c>
      <c r="K1213" s="4">
        <v>11130000000000</v>
      </c>
      <c r="L1213" s="4">
        <v>11090000000000</v>
      </c>
      <c r="M1213" s="4">
        <v>11040000000000</v>
      </c>
      <c r="N1213" s="4">
        <v>11000000000000</v>
      </c>
      <c r="O1213" s="4">
        <v>10950000000000</v>
      </c>
      <c r="P1213" s="4">
        <v>10920000000000</v>
      </c>
      <c r="Q1213" s="4">
        <v>10910000000000</v>
      </c>
      <c r="R1213" s="4">
        <v>10920000000000</v>
      </c>
      <c r="S1213" s="4">
        <v>10950000000000</v>
      </c>
      <c r="T1213" s="4">
        <v>10990000000000</v>
      </c>
      <c r="U1213" s="4">
        <v>11030000000000</v>
      </c>
      <c r="V1213" s="4">
        <v>11060000000000</v>
      </c>
      <c r="W1213" s="4">
        <v>11100000000000</v>
      </c>
      <c r="X1213" s="4">
        <v>11140000000000</v>
      </c>
      <c r="Y1213" s="4">
        <v>11180000000000</v>
      </c>
      <c r="Z1213" s="4">
        <v>11220000000000</v>
      </c>
      <c r="AA1213" s="4">
        <v>11270000000000</v>
      </c>
      <c r="AB1213" s="4">
        <v>11310000000000</v>
      </c>
      <c r="AC1213" s="4">
        <v>11350000000000</v>
      </c>
      <c r="AD1213" s="4">
        <v>11390000000000</v>
      </c>
      <c r="AE1213" s="4">
        <v>11440000000000</v>
      </c>
      <c r="AF1213" s="4">
        <v>11480000000000</v>
      </c>
    </row>
    <row r="1214" spans="1:32" x14ac:dyDescent="0.25">
      <c r="A1214" t="s">
        <v>1283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 x14ac:dyDescent="0.25">
      <c r="A1215" t="s">
        <v>1284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x14ac:dyDescent="0.25">
      <c r="A1216" t="s">
        <v>1285</v>
      </c>
      <c r="B1216" s="4">
        <v>215000000000000</v>
      </c>
      <c r="C1216" s="4">
        <v>212800000000000</v>
      </c>
      <c r="D1216" s="4">
        <v>212700000000000</v>
      </c>
      <c r="E1216" s="4">
        <v>213800000000000</v>
      </c>
      <c r="F1216" s="4">
        <v>216300000000000</v>
      </c>
      <c r="G1216" s="4">
        <v>219100000000000</v>
      </c>
      <c r="H1216" s="4">
        <v>221800000000000</v>
      </c>
      <c r="I1216" s="4">
        <v>224300000000000</v>
      </c>
      <c r="J1216" s="4">
        <v>226500000000000</v>
      </c>
      <c r="K1216" s="4">
        <v>228400000000000</v>
      </c>
      <c r="L1216" s="4">
        <v>230500000000000</v>
      </c>
      <c r="M1216" s="4">
        <v>231900000000000</v>
      </c>
      <c r="N1216" s="4">
        <v>233500000000000</v>
      </c>
      <c r="O1216" s="4">
        <v>235100000000000</v>
      </c>
      <c r="P1216" s="4">
        <v>236800000000000</v>
      </c>
      <c r="Q1216" s="4">
        <v>238700000000000</v>
      </c>
      <c r="R1216" s="4">
        <v>240500000000000</v>
      </c>
      <c r="S1216" s="4">
        <v>242100000000000</v>
      </c>
      <c r="T1216" s="4">
        <v>243600000000000</v>
      </c>
      <c r="U1216" s="4">
        <v>245000000000000</v>
      </c>
      <c r="V1216" s="4">
        <v>246400000000000</v>
      </c>
      <c r="W1216" s="4">
        <v>247800000000000</v>
      </c>
      <c r="X1216" s="4">
        <v>249200000000000</v>
      </c>
      <c r="Y1216" s="4">
        <v>250600000000000</v>
      </c>
      <c r="Z1216" s="4">
        <v>252100000000000</v>
      </c>
      <c r="AA1216" s="4">
        <v>253700000000000</v>
      </c>
      <c r="AB1216" s="4">
        <v>255200000000000</v>
      </c>
      <c r="AC1216" s="4">
        <v>256800000000000</v>
      </c>
      <c r="AD1216" s="4">
        <v>258500000000000</v>
      </c>
      <c r="AE1216" s="4">
        <v>260100000000000</v>
      </c>
      <c r="AF1216" s="4">
        <v>261700000000000</v>
      </c>
    </row>
    <row r="1217" spans="1:32" x14ac:dyDescent="0.25">
      <c r="A1217" t="s">
        <v>1286</v>
      </c>
      <c r="B1217" s="4">
        <v>43620000000000</v>
      </c>
      <c r="C1217" s="4">
        <v>43160000000000</v>
      </c>
      <c r="D1217" s="4">
        <v>42850000000000</v>
      </c>
      <c r="E1217" s="4">
        <v>42740000000000</v>
      </c>
      <c r="F1217" s="4">
        <v>42850000000000</v>
      </c>
      <c r="G1217" s="4">
        <v>43010000000000</v>
      </c>
      <c r="H1217" s="4">
        <v>43140000000000</v>
      </c>
      <c r="I1217" s="4">
        <v>43230000000000</v>
      </c>
      <c r="J1217" s="4">
        <v>43210000000000</v>
      </c>
      <c r="K1217" s="4">
        <v>43100000000000</v>
      </c>
      <c r="L1217" s="4">
        <v>42980000000000</v>
      </c>
      <c r="M1217" s="4">
        <v>42730000000000</v>
      </c>
      <c r="N1217" s="4">
        <v>42540000000000</v>
      </c>
      <c r="O1217" s="4">
        <v>42380000000000</v>
      </c>
      <c r="P1217" s="4">
        <v>42270000000000</v>
      </c>
      <c r="Q1217" s="4">
        <v>42210000000000</v>
      </c>
      <c r="R1217" s="4">
        <v>42160000000000</v>
      </c>
      <c r="S1217" s="4">
        <v>42090000000000</v>
      </c>
      <c r="T1217" s="4">
        <v>42030000000000</v>
      </c>
      <c r="U1217" s="4">
        <v>41960000000000</v>
      </c>
      <c r="V1217" s="4">
        <v>41890000000000</v>
      </c>
      <c r="W1217" s="4">
        <v>41830000000000</v>
      </c>
      <c r="X1217" s="4">
        <v>41770000000000</v>
      </c>
      <c r="Y1217" s="4">
        <v>41720000000000</v>
      </c>
      <c r="Z1217" s="4">
        <v>41670000000000</v>
      </c>
      <c r="AA1217" s="4">
        <v>41620000000000</v>
      </c>
      <c r="AB1217" s="4">
        <v>41560000000000</v>
      </c>
      <c r="AC1217" s="4">
        <v>41500000000000</v>
      </c>
      <c r="AD1217" s="4">
        <v>41450000000000</v>
      </c>
      <c r="AE1217" s="4">
        <v>41390000000000</v>
      </c>
      <c r="AF1217" s="4">
        <v>41340000000000</v>
      </c>
    </row>
    <row r="1218" spans="1:32" x14ac:dyDescent="0.25">
      <c r="A1218" t="s">
        <v>1287</v>
      </c>
      <c r="B1218" s="4">
        <v>69660000000000</v>
      </c>
      <c r="C1218" s="4">
        <v>68240000000000</v>
      </c>
      <c r="D1218" s="4">
        <v>72730000000000</v>
      </c>
      <c r="E1218" s="4">
        <v>68010000000000</v>
      </c>
      <c r="F1218" s="4">
        <v>66390000000000</v>
      </c>
      <c r="G1218" s="4">
        <v>64790000000000</v>
      </c>
      <c r="H1218" s="4">
        <v>63240000000000</v>
      </c>
      <c r="I1218" s="4">
        <v>61780000000000</v>
      </c>
      <c r="J1218" s="4">
        <v>60470000000000</v>
      </c>
      <c r="K1218" s="4">
        <v>59280000000000</v>
      </c>
      <c r="L1218" s="4">
        <v>58210000000000</v>
      </c>
      <c r="M1218" s="4">
        <v>57140000000000</v>
      </c>
      <c r="N1218" s="4">
        <v>56100000000000</v>
      </c>
      <c r="O1218" s="4">
        <v>55110000000000</v>
      </c>
      <c r="P1218" s="4">
        <v>54160000000000</v>
      </c>
      <c r="Q1218" s="4">
        <v>53240000000000</v>
      </c>
      <c r="R1218" s="4">
        <v>52330000000000</v>
      </c>
      <c r="S1218" s="4">
        <v>51420000000000</v>
      </c>
      <c r="T1218" s="4">
        <v>50550000000000</v>
      </c>
      <c r="U1218" s="4">
        <v>49710000000000</v>
      </c>
      <c r="V1218" s="4">
        <v>48890000000000</v>
      </c>
      <c r="W1218" s="4">
        <v>48100000000000</v>
      </c>
      <c r="X1218" s="4">
        <v>47320000000000</v>
      </c>
      <c r="Y1218" s="4">
        <v>46520000000000</v>
      </c>
      <c r="Z1218" s="4">
        <v>45700000000000</v>
      </c>
      <c r="AA1218" s="4">
        <v>44890000000000</v>
      </c>
      <c r="AB1218" s="4">
        <v>44090000000000</v>
      </c>
      <c r="AC1218" s="4">
        <v>43310000000000</v>
      </c>
      <c r="AD1218" s="4">
        <v>42550000000000</v>
      </c>
      <c r="AE1218" s="4">
        <v>41800000000000</v>
      </c>
      <c r="AF1218" s="4">
        <v>41070000000000</v>
      </c>
    </row>
    <row r="1219" spans="1:32" x14ac:dyDescent="0.25">
      <c r="A1219" t="s">
        <v>1288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 x14ac:dyDescent="0.25">
      <c r="A1220" t="s">
        <v>1289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 x14ac:dyDescent="0.25">
      <c r="A1221" t="s">
        <v>1290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x14ac:dyDescent="0.25">
      <c r="A1222" t="s">
        <v>1291</v>
      </c>
      <c r="B1222" s="4">
        <v>9114000000000</v>
      </c>
      <c r="C1222" s="4">
        <v>8724000000000</v>
      </c>
      <c r="D1222" s="4">
        <v>8317000000000</v>
      </c>
      <c r="E1222" s="4">
        <v>7964000000000</v>
      </c>
      <c r="F1222" s="4">
        <v>7640000000000</v>
      </c>
      <c r="G1222" s="4">
        <v>7355000000000</v>
      </c>
      <c r="H1222" s="4">
        <v>7108000000000</v>
      </c>
      <c r="I1222" s="4">
        <v>6901000000000</v>
      </c>
      <c r="J1222" s="4">
        <v>6739000000000</v>
      </c>
      <c r="K1222" s="4">
        <v>6622000000000</v>
      </c>
      <c r="L1222" s="4">
        <v>6546000000000</v>
      </c>
      <c r="M1222" s="4">
        <v>6458000000000</v>
      </c>
      <c r="N1222" s="4">
        <v>6365000000000</v>
      </c>
      <c r="O1222" s="4">
        <v>6269000000000</v>
      </c>
      <c r="P1222" s="4">
        <v>6173000000000</v>
      </c>
      <c r="Q1222" s="4">
        <v>6075000000000</v>
      </c>
      <c r="R1222" s="4">
        <v>5974000000000</v>
      </c>
      <c r="S1222" s="4">
        <v>5869000000000</v>
      </c>
      <c r="T1222" s="4">
        <v>5764000000000</v>
      </c>
      <c r="U1222" s="4">
        <v>5664000000000</v>
      </c>
      <c r="V1222" s="4">
        <v>5564000000000</v>
      </c>
      <c r="W1222" s="4">
        <v>5468000000000</v>
      </c>
      <c r="X1222" s="4">
        <v>5378000000000</v>
      </c>
      <c r="Y1222" s="4">
        <v>5290000000000</v>
      </c>
      <c r="Z1222" s="4">
        <v>5203000000000</v>
      </c>
      <c r="AA1222" s="4">
        <v>5122000000000</v>
      </c>
      <c r="AB1222" s="4">
        <v>5044000000000</v>
      </c>
      <c r="AC1222" s="4">
        <v>4971000000000</v>
      </c>
      <c r="AD1222" s="4">
        <v>4904000000000</v>
      </c>
      <c r="AE1222" s="4">
        <v>4841000000000</v>
      </c>
      <c r="AF1222" s="4">
        <v>4779000000000</v>
      </c>
    </row>
    <row r="1223" spans="1:32" x14ac:dyDescent="0.25">
      <c r="A1223" t="s">
        <v>1292</v>
      </c>
      <c r="B1223" s="4">
        <v>1467000000000</v>
      </c>
      <c r="C1223" s="4">
        <v>1461000000000</v>
      </c>
      <c r="D1223" s="4">
        <v>1451000000000</v>
      </c>
      <c r="E1223" s="4">
        <v>1443000000000</v>
      </c>
      <c r="F1223" s="4">
        <v>1434000000000</v>
      </c>
      <c r="G1223" s="4">
        <v>1425000000000</v>
      </c>
      <c r="H1223" s="4">
        <v>1416000000000</v>
      </c>
      <c r="I1223" s="4">
        <v>1407000000000</v>
      </c>
      <c r="J1223" s="4">
        <v>1401000000000</v>
      </c>
      <c r="K1223" s="4">
        <v>1396000000000</v>
      </c>
      <c r="L1223" s="4">
        <v>1393000000000</v>
      </c>
      <c r="M1223" s="4">
        <v>1388000000000</v>
      </c>
      <c r="N1223" s="4">
        <v>1384000000000</v>
      </c>
      <c r="O1223" s="4">
        <v>1380000000000</v>
      </c>
      <c r="P1223" s="4">
        <v>1377000000000</v>
      </c>
      <c r="Q1223" s="4">
        <v>1373000000000</v>
      </c>
      <c r="R1223" s="4">
        <v>1370000000000</v>
      </c>
      <c r="S1223" s="4">
        <v>1365000000000</v>
      </c>
      <c r="T1223" s="4">
        <v>1361000000000</v>
      </c>
      <c r="U1223" s="4">
        <v>1358000000000</v>
      </c>
      <c r="V1223" s="4">
        <v>1354000000000</v>
      </c>
      <c r="W1223" s="4">
        <v>1350000000000</v>
      </c>
      <c r="X1223" s="4">
        <v>1347000000000</v>
      </c>
      <c r="Y1223" s="4">
        <v>1344000000000</v>
      </c>
      <c r="Z1223" s="4">
        <v>1340000000000</v>
      </c>
      <c r="AA1223" s="4">
        <v>1336000000000</v>
      </c>
      <c r="AB1223" s="4">
        <v>1332000000000</v>
      </c>
      <c r="AC1223" s="4">
        <v>1329000000000</v>
      </c>
      <c r="AD1223" s="4">
        <v>1326000000000</v>
      </c>
      <c r="AE1223" s="4">
        <v>1324000000000</v>
      </c>
      <c r="AF1223" s="4">
        <v>1322000000000</v>
      </c>
    </row>
    <row r="1224" spans="1:32" x14ac:dyDescent="0.25">
      <c r="A1224" t="s">
        <v>1293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x14ac:dyDescent="0.25">
      <c r="A1225" t="s">
        <v>1294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 x14ac:dyDescent="0.25">
      <c r="A1226" t="s">
        <v>1295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x14ac:dyDescent="0.25">
      <c r="A1227" t="s">
        <v>1296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 x14ac:dyDescent="0.25">
      <c r="A1228" t="s">
        <v>1297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25">
      <c r="A1229" t="s">
        <v>1298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25">
      <c r="A1230" t="s">
        <v>1299</v>
      </c>
      <c r="B1230" s="4">
        <v>85520000000000</v>
      </c>
      <c r="C1230" s="4">
        <v>86690000000000</v>
      </c>
      <c r="D1230" s="4">
        <v>90420000000000</v>
      </c>
      <c r="E1230" s="4">
        <v>84770000000000</v>
      </c>
      <c r="F1230" s="4">
        <v>84280000000000</v>
      </c>
      <c r="G1230" s="4">
        <v>83880000000000</v>
      </c>
      <c r="H1230" s="4">
        <v>83400000000000</v>
      </c>
      <c r="I1230" s="4">
        <v>82710000000000</v>
      </c>
      <c r="J1230" s="4">
        <v>81860000000000</v>
      </c>
      <c r="K1230" s="4">
        <v>80770000000000</v>
      </c>
      <c r="L1230" s="4">
        <v>79370000000000</v>
      </c>
      <c r="M1230" s="4">
        <v>78120000000000</v>
      </c>
      <c r="N1230" s="4">
        <v>76890000000000</v>
      </c>
      <c r="O1230" s="4">
        <v>75560000000000</v>
      </c>
      <c r="P1230" s="4">
        <v>74170000000000</v>
      </c>
      <c r="Q1230" s="4">
        <v>72790000000000</v>
      </c>
      <c r="R1230" s="4">
        <v>71450000000000</v>
      </c>
      <c r="S1230" s="4">
        <v>70280000000000</v>
      </c>
      <c r="T1230" s="4">
        <v>69160000000000</v>
      </c>
      <c r="U1230" s="4">
        <v>67990000000000</v>
      </c>
      <c r="V1230" s="4">
        <v>66900000000000</v>
      </c>
      <c r="W1230" s="4">
        <v>65860000000000</v>
      </c>
      <c r="X1230" s="4">
        <v>64830000000000</v>
      </c>
      <c r="Y1230" s="4">
        <v>63960000000000</v>
      </c>
      <c r="Z1230" s="4">
        <v>63260000000000</v>
      </c>
      <c r="AA1230" s="4">
        <v>62570000000000</v>
      </c>
      <c r="AB1230" s="4">
        <v>61960000000000</v>
      </c>
      <c r="AC1230" s="4">
        <v>61250000000000</v>
      </c>
      <c r="AD1230" s="4">
        <v>60430000000000</v>
      </c>
      <c r="AE1230" s="4">
        <v>59560000000000</v>
      </c>
      <c r="AF1230" s="4">
        <v>58680000000000</v>
      </c>
    </row>
    <row r="1231" spans="1:32" x14ac:dyDescent="0.25">
      <c r="A1231" t="s">
        <v>1300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x14ac:dyDescent="0.25">
      <c r="A1232" t="s">
        <v>1301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 x14ac:dyDescent="0.25">
      <c r="A1233" t="s">
        <v>1302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x14ac:dyDescent="0.25">
      <c r="A1234" t="s">
        <v>1303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 x14ac:dyDescent="0.25">
      <c r="A1235" t="s">
        <v>1304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</row>
    <row r="1236" spans="1:32" x14ac:dyDescent="0.25">
      <c r="A1236" t="s">
        <v>1305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x14ac:dyDescent="0.25">
      <c r="A1237" t="s">
        <v>1306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x14ac:dyDescent="0.25">
      <c r="A1238" t="s">
        <v>1307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x14ac:dyDescent="0.25">
      <c r="A1239" t="s">
        <v>1308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 x14ac:dyDescent="0.25">
      <c r="A1240" t="s">
        <v>1309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x14ac:dyDescent="0.25">
      <c r="A1241" t="s">
        <v>1310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 x14ac:dyDescent="0.25">
      <c r="A1242" t="s">
        <v>1311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 x14ac:dyDescent="0.25">
      <c r="A1243" t="s">
        <v>1312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x14ac:dyDescent="0.25">
      <c r="A1244" t="s">
        <v>1313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x14ac:dyDescent="0.25">
      <c r="A1245" t="s">
        <v>1314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 x14ac:dyDescent="0.25">
      <c r="A1246" t="s">
        <v>1315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 x14ac:dyDescent="0.25">
      <c r="A1247" t="s">
        <v>1316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x14ac:dyDescent="0.25">
      <c r="A1248" t="s">
        <v>1317</v>
      </c>
      <c r="B1248" s="4">
        <v>56230000000000</v>
      </c>
      <c r="C1248" s="4">
        <v>60780000000000</v>
      </c>
      <c r="D1248" s="4">
        <v>61860000000000</v>
      </c>
      <c r="E1248" s="4">
        <v>58660000000000</v>
      </c>
      <c r="F1248" s="4">
        <v>57990000000000</v>
      </c>
      <c r="G1248" s="4">
        <v>57420000000000</v>
      </c>
      <c r="H1248" s="4">
        <v>56810000000000</v>
      </c>
      <c r="I1248" s="4">
        <v>56160000000000</v>
      </c>
      <c r="J1248" s="4">
        <v>55460000000000</v>
      </c>
      <c r="K1248" s="4">
        <v>54750000000000</v>
      </c>
      <c r="L1248" s="4">
        <v>54050000000000</v>
      </c>
      <c r="M1248" s="4">
        <v>53360000000000</v>
      </c>
      <c r="N1248" s="4">
        <v>52720000000000</v>
      </c>
      <c r="O1248" s="4">
        <v>52110000000000</v>
      </c>
      <c r="P1248" s="4">
        <v>51540000000000</v>
      </c>
      <c r="Q1248" s="4">
        <v>51030000000000</v>
      </c>
      <c r="R1248" s="4">
        <v>50550000000000</v>
      </c>
      <c r="S1248" s="4">
        <v>50070000000000</v>
      </c>
      <c r="T1248" s="4">
        <v>49620000000000</v>
      </c>
      <c r="U1248" s="4">
        <v>49180000000000</v>
      </c>
      <c r="V1248" s="4">
        <v>48760000000000</v>
      </c>
      <c r="W1248" s="4">
        <v>48340000000000</v>
      </c>
      <c r="X1248" s="4">
        <v>47930000000000</v>
      </c>
      <c r="Y1248" s="4">
        <v>47530000000000</v>
      </c>
      <c r="Z1248" s="4">
        <v>47120000000000</v>
      </c>
      <c r="AA1248" s="4">
        <v>46720000000000</v>
      </c>
      <c r="AB1248" s="4">
        <v>46320000000000</v>
      </c>
      <c r="AC1248" s="4">
        <v>45940000000000</v>
      </c>
      <c r="AD1248" s="4">
        <v>45560000000000</v>
      </c>
      <c r="AE1248" s="4">
        <v>45190000000000</v>
      </c>
      <c r="AF1248" s="4">
        <v>44850000000000</v>
      </c>
    </row>
    <row r="1249" spans="1:32" x14ac:dyDescent="0.25">
      <c r="A1249" t="s">
        <v>1318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 x14ac:dyDescent="0.25">
      <c r="A1250" t="s">
        <v>1319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x14ac:dyDescent="0.25">
      <c r="A1251" t="s">
        <v>1320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 x14ac:dyDescent="0.25">
      <c r="A1252" t="s">
        <v>1321</v>
      </c>
      <c r="B1252" s="4">
        <v>15400000000000</v>
      </c>
      <c r="C1252" s="4">
        <v>14980000000000</v>
      </c>
      <c r="D1252" s="4">
        <v>14450000000000</v>
      </c>
      <c r="E1252" s="4">
        <v>14020000000000</v>
      </c>
      <c r="F1252" s="4">
        <v>13690000000000</v>
      </c>
      <c r="G1252" s="4">
        <v>13400000000000</v>
      </c>
      <c r="H1252" s="4">
        <v>13150000000000</v>
      </c>
      <c r="I1252" s="4">
        <v>12900000000000</v>
      </c>
      <c r="J1252" s="4">
        <v>12670000000000</v>
      </c>
      <c r="K1252" s="4">
        <v>12450000000000</v>
      </c>
      <c r="L1252" s="4">
        <v>12270000000000</v>
      </c>
      <c r="M1252" s="4">
        <v>12060000000000</v>
      </c>
      <c r="N1252" s="4">
        <v>11850000000000</v>
      </c>
      <c r="O1252" s="4">
        <v>11630000000000</v>
      </c>
      <c r="P1252" s="4">
        <v>11430000000000</v>
      </c>
      <c r="Q1252" s="4">
        <v>11230000000000</v>
      </c>
      <c r="R1252" s="4">
        <v>11050000000000</v>
      </c>
      <c r="S1252" s="4">
        <v>10870000000000</v>
      </c>
      <c r="T1252" s="4">
        <v>10700000000000</v>
      </c>
      <c r="U1252" s="4">
        <v>10530000000000</v>
      </c>
      <c r="V1252" s="4">
        <v>10360000000000</v>
      </c>
      <c r="W1252" s="4">
        <v>10210000000000</v>
      </c>
      <c r="X1252" s="4">
        <v>10060000000000</v>
      </c>
      <c r="Y1252" s="4">
        <v>9914000000000</v>
      </c>
      <c r="Z1252" s="4">
        <v>9780000000000</v>
      </c>
      <c r="AA1252" s="4">
        <v>9657000000000</v>
      </c>
      <c r="AB1252" s="4">
        <v>9542000000000</v>
      </c>
      <c r="AC1252" s="4">
        <v>9436000000000</v>
      </c>
      <c r="AD1252" s="4">
        <v>9337000000000</v>
      </c>
      <c r="AE1252" s="4">
        <v>9245000000000</v>
      </c>
      <c r="AF1252" s="4">
        <v>9159000000000</v>
      </c>
    </row>
    <row r="1253" spans="1:32" x14ac:dyDescent="0.25">
      <c r="A1253" t="s">
        <v>1322</v>
      </c>
      <c r="B1253" s="4">
        <v>13450000000000</v>
      </c>
      <c r="C1253" s="4">
        <v>13710000000000</v>
      </c>
      <c r="D1253" s="4">
        <v>13910000000000</v>
      </c>
      <c r="E1253" s="4">
        <v>14170000000000</v>
      </c>
      <c r="F1253" s="4">
        <v>14510000000000</v>
      </c>
      <c r="G1253" s="4">
        <v>14880000000000</v>
      </c>
      <c r="H1253" s="4">
        <v>15240000000000</v>
      </c>
      <c r="I1253" s="4">
        <v>15580000000000</v>
      </c>
      <c r="J1253" s="4">
        <v>15900000000000</v>
      </c>
      <c r="K1253" s="4">
        <v>16220000000000</v>
      </c>
      <c r="L1253" s="4">
        <v>16530000000000</v>
      </c>
      <c r="M1253" s="4">
        <v>16830000000000</v>
      </c>
      <c r="N1253" s="4">
        <v>17130000000000</v>
      </c>
      <c r="O1253" s="4">
        <v>17450000000000</v>
      </c>
      <c r="P1253" s="4">
        <v>17780000000000</v>
      </c>
      <c r="Q1253" s="4">
        <v>18110000000000</v>
      </c>
      <c r="R1253" s="4">
        <v>18460000000000</v>
      </c>
      <c r="S1253" s="4">
        <v>18800000000000</v>
      </c>
      <c r="T1253" s="4">
        <v>19150000000000</v>
      </c>
      <c r="U1253" s="4">
        <v>19500000000000</v>
      </c>
      <c r="V1253" s="4">
        <v>19850000000000</v>
      </c>
      <c r="W1253" s="4">
        <v>20200000000000</v>
      </c>
      <c r="X1253" s="4">
        <v>20550000000000</v>
      </c>
      <c r="Y1253" s="4">
        <v>20910000000000</v>
      </c>
      <c r="Z1253" s="4">
        <v>21270000000000</v>
      </c>
      <c r="AA1253" s="4">
        <v>21640000000000</v>
      </c>
      <c r="AB1253" s="4">
        <v>22010000000000</v>
      </c>
      <c r="AC1253" s="4">
        <v>22380000000000</v>
      </c>
      <c r="AD1253" s="4">
        <v>22760000000000</v>
      </c>
      <c r="AE1253" s="4">
        <v>23140000000000</v>
      </c>
      <c r="AF1253" s="4">
        <v>23540000000000</v>
      </c>
    </row>
    <row r="1254" spans="1:32" x14ac:dyDescent="0.25">
      <c r="A1254" t="s">
        <v>1323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25">
      <c r="A1255" t="s">
        <v>1324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25">
      <c r="A1256" t="s">
        <v>1325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25">
      <c r="A1257" t="s">
        <v>1326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x14ac:dyDescent="0.25">
      <c r="A1258" t="s">
        <v>1327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 x14ac:dyDescent="0.25">
      <c r="A1259" t="s">
        <v>1328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25">
      <c r="A1260" t="s">
        <v>1329</v>
      </c>
      <c r="B1260" s="4">
        <v>113100000000000</v>
      </c>
      <c r="C1260" s="4">
        <v>115400000000000</v>
      </c>
      <c r="D1260" s="4">
        <v>116900000000000</v>
      </c>
      <c r="E1260" s="4">
        <v>112700000000000</v>
      </c>
      <c r="F1260" s="4">
        <v>112500000000000</v>
      </c>
      <c r="G1260" s="4">
        <v>111900000000000</v>
      </c>
      <c r="H1260" s="4">
        <v>111100000000000</v>
      </c>
      <c r="I1260" s="4">
        <v>110100000000000</v>
      </c>
      <c r="J1260" s="4">
        <v>109000000000000</v>
      </c>
      <c r="K1260" s="4">
        <v>107800000000000</v>
      </c>
      <c r="L1260" s="4">
        <v>106400000000000</v>
      </c>
      <c r="M1260" s="4">
        <v>105200000000000</v>
      </c>
      <c r="N1260" s="4">
        <v>104000000000000</v>
      </c>
      <c r="O1260" s="4">
        <v>102700000000000</v>
      </c>
      <c r="P1260" s="4">
        <v>101300000000000</v>
      </c>
      <c r="Q1260" s="4">
        <v>100100000000000</v>
      </c>
      <c r="R1260" s="4">
        <v>98830000000000</v>
      </c>
      <c r="S1260" s="4">
        <v>97540000000000</v>
      </c>
      <c r="T1260" s="4">
        <v>96230000000000</v>
      </c>
      <c r="U1260" s="4">
        <v>94810000000000</v>
      </c>
      <c r="V1260" s="4">
        <v>93340000000000</v>
      </c>
      <c r="W1260" s="4">
        <v>91960000000000</v>
      </c>
      <c r="X1260" s="4">
        <v>90550000000000</v>
      </c>
      <c r="Y1260" s="4">
        <v>89120000000000</v>
      </c>
      <c r="Z1260" s="4">
        <v>87770000000000</v>
      </c>
      <c r="AA1260" s="4">
        <v>86360000000000</v>
      </c>
      <c r="AB1260" s="4">
        <v>84940000000000</v>
      </c>
      <c r="AC1260" s="4">
        <v>83540000000000</v>
      </c>
      <c r="AD1260" s="4">
        <v>82080000000000</v>
      </c>
      <c r="AE1260" s="4">
        <v>80630000000000</v>
      </c>
      <c r="AF1260" s="4">
        <v>79220000000000</v>
      </c>
    </row>
    <row r="1261" spans="1:32" x14ac:dyDescent="0.25">
      <c r="A1261" t="s">
        <v>1330</v>
      </c>
      <c r="B1261" s="4">
        <v>1036000000000000</v>
      </c>
      <c r="C1261" s="4">
        <v>1026000000000000</v>
      </c>
      <c r="D1261" s="4">
        <v>983300000000000</v>
      </c>
      <c r="E1261" s="4">
        <v>1044000000000000</v>
      </c>
      <c r="F1261" s="4">
        <v>1053000000000000</v>
      </c>
      <c r="G1261" s="4">
        <v>1060000000000000</v>
      </c>
      <c r="H1261" s="4">
        <v>1058000000000000</v>
      </c>
      <c r="I1261" s="4">
        <v>1053000000000000</v>
      </c>
      <c r="J1261" s="4">
        <v>1049000000000000</v>
      </c>
      <c r="K1261" s="4">
        <v>1045000000000000</v>
      </c>
      <c r="L1261" s="4">
        <v>1041000000000000</v>
      </c>
      <c r="M1261" s="4">
        <v>1039000000000000</v>
      </c>
      <c r="N1261" s="4">
        <v>1039000000000000</v>
      </c>
      <c r="O1261" s="4">
        <v>1038000000000000</v>
      </c>
      <c r="P1261" s="4">
        <v>1038000000000000</v>
      </c>
      <c r="Q1261" s="4">
        <v>1040000000000000</v>
      </c>
      <c r="R1261" s="4">
        <v>1043000000000000</v>
      </c>
      <c r="S1261" s="4">
        <v>1047000000000000</v>
      </c>
      <c r="T1261" s="4">
        <v>1052000000000000</v>
      </c>
      <c r="U1261" s="4">
        <v>1056000000000000</v>
      </c>
      <c r="V1261" s="4">
        <v>1059000000000000</v>
      </c>
      <c r="W1261" s="4">
        <v>1064000000000000</v>
      </c>
      <c r="X1261" s="4">
        <v>1070000000000000</v>
      </c>
      <c r="Y1261" s="4">
        <v>1076000000000000</v>
      </c>
      <c r="Z1261" s="4">
        <v>1083000000000000</v>
      </c>
      <c r="AA1261" s="4">
        <v>1091000000000000</v>
      </c>
      <c r="AB1261" s="4">
        <v>1098000000000000</v>
      </c>
      <c r="AC1261" s="4">
        <v>1107000000000000</v>
      </c>
      <c r="AD1261" s="4">
        <v>1115000000000000</v>
      </c>
      <c r="AE1261" s="4">
        <v>1124000000000000</v>
      </c>
      <c r="AF1261" s="4">
        <v>1135000000000000</v>
      </c>
    </row>
    <row r="1262" spans="1:32" x14ac:dyDescent="0.25">
      <c r="A1262" t="s">
        <v>1331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 x14ac:dyDescent="0.25">
      <c r="A1263" t="s">
        <v>1332</v>
      </c>
      <c r="B1263" s="4">
        <v>534800000000000</v>
      </c>
      <c r="C1263" s="4">
        <v>518300000000000</v>
      </c>
      <c r="D1263" s="4">
        <v>504900000000000</v>
      </c>
      <c r="E1263" s="4">
        <v>494900000000000</v>
      </c>
      <c r="F1263" s="4">
        <v>488000000000000</v>
      </c>
      <c r="G1263" s="4">
        <v>481900000000000</v>
      </c>
      <c r="H1263" s="4">
        <v>476200000000000</v>
      </c>
      <c r="I1263" s="4">
        <v>470800000000000</v>
      </c>
      <c r="J1263" s="4">
        <v>462800000000000</v>
      </c>
      <c r="K1263" s="4">
        <v>455700000000000</v>
      </c>
      <c r="L1263" s="4">
        <v>441500000000000</v>
      </c>
      <c r="M1263" s="4">
        <v>429500000000000</v>
      </c>
      <c r="N1263" s="4">
        <v>419100000000000</v>
      </c>
      <c r="O1263" s="4">
        <v>409900000000000</v>
      </c>
      <c r="P1263" s="4">
        <v>401800000000000</v>
      </c>
      <c r="Q1263" s="4">
        <v>395300000000000</v>
      </c>
      <c r="R1263" s="4">
        <v>389800000000000</v>
      </c>
      <c r="S1263" s="4">
        <v>385300000000000</v>
      </c>
      <c r="T1263" s="4">
        <v>381500000000000</v>
      </c>
      <c r="U1263" s="4">
        <v>377900000000000</v>
      </c>
      <c r="V1263" s="4">
        <v>372400000000000</v>
      </c>
      <c r="W1263" s="4">
        <v>368300000000000</v>
      </c>
      <c r="X1263" s="4">
        <v>364600000000000</v>
      </c>
      <c r="Y1263" s="4">
        <v>361200000000000</v>
      </c>
      <c r="Z1263" s="4">
        <v>358800000000000</v>
      </c>
      <c r="AA1263" s="4">
        <v>356600000000000</v>
      </c>
      <c r="AB1263" s="4">
        <v>354900000000000</v>
      </c>
      <c r="AC1263" s="4">
        <v>353600000000000</v>
      </c>
      <c r="AD1263" s="4">
        <v>352600000000000</v>
      </c>
      <c r="AE1263" s="4">
        <v>351900000000000</v>
      </c>
      <c r="AF1263" s="4">
        <v>351900000000000</v>
      </c>
    </row>
    <row r="1264" spans="1:32" x14ac:dyDescent="0.25">
      <c r="A1264" t="s">
        <v>1333</v>
      </c>
      <c r="B1264" s="4">
        <v>762700000000000</v>
      </c>
      <c r="C1264" s="4">
        <v>758600000000000</v>
      </c>
      <c r="D1264" s="4">
        <v>754500000000000</v>
      </c>
      <c r="E1264" s="4">
        <v>753400000000000</v>
      </c>
      <c r="F1264" s="4">
        <v>754600000000000</v>
      </c>
      <c r="G1264" s="4">
        <v>756000000000000</v>
      </c>
      <c r="H1264" s="4">
        <v>757200000000000</v>
      </c>
      <c r="I1264" s="4">
        <v>758300000000000</v>
      </c>
      <c r="J1264" s="4">
        <v>759400000000000</v>
      </c>
      <c r="K1264" s="4">
        <v>760600000000000</v>
      </c>
      <c r="L1264" s="4">
        <v>760300000000000</v>
      </c>
      <c r="M1264" s="4">
        <v>761200000000000</v>
      </c>
      <c r="N1264" s="4">
        <v>762700000000000</v>
      </c>
      <c r="O1264" s="4">
        <v>764200000000000</v>
      </c>
      <c r="P1264" s="4">
        <v>766000000000000</v>
      </c>
      <c r="Q1264" s="4">
        <v>768300000000000</v>
      </c>
      <c r="R1264" s="4">
        <v>770800000000000</v>
      </c>
      <c r="S1264" s="4">
        <v>773600000000000</v>
      </c>
      <c r="T1264" s="4">
        <v>776500000000000</v>
      </c>
      <c r="U1264" s="4">
        <v>779200000000000</v>
      </c>
      <c r="V1264" s="4">
        <v>781400000000000</v>
      </c>
      <c r="W1264" s="4">
        <v>784800000000000</v>
      </c>
      <c r="X1264" s="4">
        <v>788200000000000</v>
      </c>
      <c r="Y1264" s="4">
        <v>791600000000000</v>
      </c>
      <c r="Z1264" s="4">
        <v>795400000000000</v>
      </c>
      <c r="AA1264" s="4">
        <v>799200000000000</v>
      </c>
      <c r="AB1264" s="4">
        <v>803000000000000</v>
      </c>
      <c r="AC1264" s="4">
        <v>807000000000000</v>
      </c>
      <c r="AD1264" s="4">
        <v>810800000000000</v>
      </c>
      <c r="AE1264" s="4">
        <v>814600000000000</v>
      </c>
      <c r="AF1264" s="4">
        <v>818900000000000</v>
      </c>
    </row>
    <row r="1265" spans="1:32" x14ac:dyDescent="0.25">
      <c r="A1265" t="s">
        <v>1334</v>
      </c>
      <c r="B1265" s="4">
        <v>1773000000000000</v>
      </c>
      <c r="C1265" s="4">
        <v>1972000000000000</v>
      </c>
      <c r="D1265" s="4">
        <v>2081000000000000</v>
      </c>
      <c r="E1265" s="4">
        <v>2083000000000000</v>
      </c>
      <c r="F1265" s="4">
        <v>2088000000000000</v>
      </c>
      <c r="G1265" s="4">
        <v>2093000000000000</v>
      </c>
      <c r="H1265" s="4">
        <v>2100000000000000</v>
      </c>
      <c r="I1265" s="4">
        <v>2125000000000000</v>
      </c>
      <c r="J1265" s="4">
        <v>2151000000000000</v>
      </c>
      <c r="K1265" s="4">
        <v>2178000000000000</v>
      </c>
      <c r="L1265" s="4">
        <v>2206000000000000</v>
      </c>
      <c r="M1265" s="4">
        <v>2234000000000000</v>
      </c>
      <c r="N1265" s="4">
        <v>2264000000000000</v>
      </c>
      <c r="O1265" s="4">
        <v>2295000000000000</v>
      </c>
      <c r="P1265" s="4">
        <v>2326000000000000</v>
      </c>
      <c r="Q1265" s="4">
        <v>2359000000000000</v>
      </c>
      <c r="R1265" s="4">
        <v>2393000000000000</v>
      </c>
      <c r="S1265" s="4">
        <v>2427000000000000</v>
      </c>
      <c r="T1265" s="4">
        <v>2464000000000000</v>
      </c>
      <c r="U1265" s="4">
        <v>2501000000000000</v>
      </c>
      <c r="V1265" s="4">
        <v>2538000000000000</v>
      </c>
      <c r="W1265" s="4">
        <v>2576000000000000</v>
      </c>
      <c r="X1265" s="4">
        <v>2616000000000000</v>
      </c>
      <c r="Y1265" s="4">
        <v>2656000000000000</v>
      </c>
      <c r="Z1265" s="4">
        <v>2697000000000000</v>
      </c>
      <c r="AA1265" s="4">
        <v>2739000000000000</v>
      </c>
      <c r="AB1265" s="4">
        <v>2782000000000000</v>
      </c>
      <c r="AC1265" s="4">
        <v>2825000000000000</v>
      </c>
      <c r="AD1265" s="4">
        <v>2869000000000000</v>
      </c>
      <c r="AE1265" s="4">
        <v>2914000000000000</v>
      </c>
      <c r="AF1265" s="4">
        <v>2959000000000000</v>
      </c>
    </row>
    <row r="1266" spans="1:32" x14ac:dyDescent="0.25">
      <c r="A1266" t="s">
        <v>1335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 x14ac:dyDescent="0.25">
      <c r="A1267" t="s">
        <v>1336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 x14ac:dyDescent="0.25">
      <c r="A1268" t="s">
        <v>1337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25">
      <c r="A1269" t="s">
        <v>1338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25">
      <c r="A1270" t="s">
        <v>1339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x14ac:dyDescent="0.25">
      <c r="A1271" t="s">
        <v>1340</v>
      </c>
      <c r="B1271" s="4">
        <v>20540000000000</v>
      </c>
      <c r="C1271" s="4">
        <v>21950000000000</v>
      </c>
      <c r="D1271" s="4">
        <v>22300000000000</v>
      </c>
      <c r="E1271" s="4">
        <v>22440000000000</v>
      </c>
      <c r="F1271" s="4">
        <v>22380000000000</v>
      </c>
      <c r="G1271" s="4">
        <v>22330000000000</v>
      </c>
      <c r="H1271" s="4">
        <v>22280000000000</v>
      </c>
      <c r="I1271" s="4">
        <v>22370000000000</v>
      </c>
      <c r="J1271" s="4">
        <v>22450000000000</v>
      </c>
      <c r="K1271" s="4">
        <v>22530000000000</v>
      </c>
      <c r="L1271" s="4">
        <v>22610000000000</v>
      </c>
      <c r="M1271" s="4">
        <v>22690000000000</v>
      </c>
      <c r="N1271" s="4">
        <v>22780000000000</v>
      </c>
      <c r="O1271" s="4">
        <v>22880000000000</v>
      </c>
      <c r="P1271" s="4">
        <v>22990000000000</v>
      </c>
      <c r="Q1271" s="4">
        <v>23100000000000</v>
      </c>
      <c r="R1271" s="4">
        <v>23200000000000</v>
      </c>
      <c r="S1271" s="4">
        <v>23300000000000</v>
      </c>
      <c r="T1271" s="4">
        <v>23400000000000</v>
      </c>
      <c r="U1271" s="4">
        <v>23500000000000</v>
      </c>
      <c r="V1271" s="4">
        <v>23590000000000</v>
      </c>
      <c r="W1271" s="4">
        <v>23730000000000</v>
      </c>
      <c r="X1271" s="4">
        <v>23850000000000</v>
      </c>
      <c r="Y1271" s="4">
        <v>23950000000000</v>
      </c>
      <c r="Z1271" s="4">
        <v>24040000000000</v>
      </c>
      <c r="AA1271" s="4">
        <v>24150000000000</v>
      </c>
      <c r="AB1271" s="4">
        <v>24240000000000</v>
      </c>
      <c r="AC1271" s="4">
        <v>24350000000000</v>
      </c>
      <c r="AD1271" s="4">
        <v>24460000000000</v>
      </c>
      <c r="AE1271" s="4">
        <v>24580000000000</v>
      </c>
      <c r="AF1271" s="4">
        <v>24690000000000</v>
      </c>
    </row>
    <row r="1272" spans="1:32" x14ac:dyDescent="0.25">
      <c r="A1272" t="s">
        <v>1341</v>
      </c>
      <c r="B1272" s="4">
        <v>1622000000000000</v>
      </c>
      <c r="C1272" s="4">
        <v>1648000000000000</v>
      </c>
      <c r="D1272" s="4">
        <v>1676000000000000</v>
      </c>
      <c r="E1272" s="4">
        <v>1617000000000000</v>
      </c>
      <c r="F1272" s="4">
        <v>1628000000000000</v>
      </c>
      <c r="G1272" s="4">
        <v>1641000000000000</v>
      </c>
      <c r="H1272" s="4">
        <v>1649000000000000</v>
      </c>
      <c r="I1272" s="4">
        <v>1651000000000000</v>
      </c>
      <c r="J1272" s="4">
        <v>1649000000000000</v>
      </c>
      <c r="K1272" s="4">
        <v>1642000000000000</v>
      </c>
      <c r="L1272" s="4">
        <v>1635000000000000</v>
      </c>
      <c r="M1272" s="4">
        <v>1628000000000000</v>
      </c>
      <c r="N1272" s="4">
        <v>1624000000000000</v>
      </c>
      <c r="O1272" s="4">
        <v>1618000000000000</v>
      </c>
      <c r="P1272" s="4">
        <v>1614000000000000</v>
      </c>
      <c r="Q1272" s="4">
        <v>1612000000000000</v>
      </c>
      <c r="R1272" s="4">
        <v>1610000000000000</v>
      </c>
      <c r="S1272" s="4">
        <v>1607000000000000</v>
      </c>
      <c r="T1272" s="4">
        <v>1602000000000000</v>
      </c>
      <c r="U1272" s="4">
        <v>1596000000000000</v>
      </c>
      <c r="V1272" s="4">
        <v>1591000000000000</v>
      </c>
      <c r="W1272" s="4">
        <v>1586000000000000</v>
      </c>
      <c r="X1272" s="4">
        <v>1582000000000000</v>
      </c>
      <c r="Y1272" s="4">
        <v>1578000000000000</v>
      </c>
      <c r="Z1272" s="4">
        <v>1573000000000000</v>
      </c>
      <c r="AA1272" s="4">
        <v>1568000000000000</v>
      </c>
      <c r="AB1272" s="4">
        <v>1562000000000000</v>
      </c>
      <c r="AC1272" s="4">
        <v>1556000000000000</v>
      </c>
      <c r="AD1272" s="4">
        <v>1549000000000000</v>
      </c>
      <c r="AE1272" s="4">
        <v>1541000000000000</v>
      </c>
      <c r="AF1272" s="4">
        <v>1534000000000000</v>
      </c>
    </row>
    <row r="1273" spans="1:32" x14ac:dyDescent="0.25">
      <c r="A1273" t="s">
        <v>1342</v>
      </c>
      <c r="B1273" s="4">
        <v>27620000000000</v>
      </c>
      <c r="C1273" s="4">
        <v>24750000000000</v>
      </c>
      <c r="D1273" s="4">
        <v>21660000000000</v>
      </c>
      <c r="E1273" s="4">
        <v>26110000000000</v>
      </c>
      <c r="F1273" s="4">
        <v>26110000000000</v>
      </c>
      <c r="G1273" s="4">
        <v>26140000000000</v>
      </c>
      <c r="H1273" s="4">
        <v>26100000000000</v>
      </c>
      <c r="I1273" s="4">
        <v>25990000000000</v>
      </c>
      <c r="J1273" s="4">
        <v>25840000000000</v>
      </c>
      <c r="K1273" s="4">
        <v>25650000000000</v>
      </c>
      <c r="L1273" s="4">
        <v>25480000000000</v>
      </c>
      <c r="M1273" s="4">
        <v>25320000000000</v>
      </c>
      <c r="N1273" s="4">
        <v>25200000000000</v>
      </c>
      <c r="O1273" s="4">
        <v>25090000000000</v>
      </c>
      <c r="P1273" s="4">
        <v>25000000000000</v>
      </c>
      <c r="Q1273" s="4">
        <v>24950000000000</v>
      </c>
      <c r="R1273" s="4">
        <v>24910000000000</v>
      </c>
      <c r="S1273" s="4">
        <v>24870000000000</v>
      </c>
      <c r="T1273" s="4">
        <v>24810000000000</v>
      </c>
      <c r="U1273" s="4">
        <v>24760000000000</v>
      </c>
      <c r="V1273" s="4">
        <v>24720000000000</v>
      </c>
      <c r="W1273" s="4">
        <v>24710000000000</v>
      </c>
      <c r="X1273" s="4">
        <v>24720000000000</v>
      </c>
      <c r="Y1273" s="4">
        <v>24720000000000</v>
      </c>
      <c r="Z1273" s="4">
        <v>24730000000000</v>
      </c>
      <c r="AA1273" s="4">
        <v>24760000000000</v>
      </c>
      <c r="AB1273" s="4">
        <v>24770000000000</v>
      </c>
      <c r="AC1273" s="4">
        <v>24790000000000</v>
      </c>
      <c r="AD1273" s="4">
        <v>24820000000000</v>
      </c>
      <c r="AE1273" s="4">
        <v>24840000000000</v>
      </c>
      <c r="AF1273" s="4">
        <v>24860000000000</v>
      </c>
    </row>
    <row r="1274" spans="1:32" x14ac:dyDescent="0.25">
      <c r="A1274" t="s">
        <v>1343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</row>
    <row r="1275" spans="1:32" x14ac:dyDescent="0.25">
      <c r="A1275" t="s">
        <v>1344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x14ac:dyDescent="0.25">
      <c r="A1276" t="s">
        <v>1345</v>
      </c>
      <c r="B1276" s="4">
        <v>956900000000000</v>
      </c>
      <c r="C1276" s="4">
        <v>956300000000000</v>
      </c>
      <c r="D1276" s="4">
        <v>953000000000000</v>
      </c>
      <c r="E1276" s="4">
        <v>959800000000000</v>
      </c>
      <c r="F1276" s="4">
        <v>975600000000000</v>
      </c>
      <c r="G1276" s="4">
        <v>992100000000000</v>
      </c>
      <c r="H1276" s="4">
        <v>1006000000000000</v>
      </c>
      <c r="I1276" s="4">
        <v>1016000000000000</v>
      </c>
      <c r="J1276" s="4">
        <v>1025000000000000</v>
      </c>
      <c r="K1276" s="4">
        <v>1031000000000000</v>
      </c>
      <c r="L1276" s="4">
        <v>1038000000000000</v>
      </c>
      <c r="M1276" s="4">
        <v>1043000000000000</v>
      </c>
      <c r="N1276" s="4">
        <v>1050000000000000</v>
      </c>
      <c r="O1276" s="4">
        <v>1057000000000000</v>
      </c>
      <c r="P1276" s="4">
        <v>1066000000000000</v>
      </c>
      <c r="Q1276" s="4">
        <v>1076000000000000</v>
      </c>
      <c r="R1276" s="4">
        <v>1087000000000000</v>
      </c>
      <c r="S1276" s="4">
        <v>1096000000000000</v>
      </c>
      <c r="T1276" s="4">
        <v>1105000000000000</v>
      </c>
      <c r="U1276" s="4">
        <v>1114000000000000</v>
      </c>
      <c r="V1276" s="4">
        <v>1123000000000000</v>
      </c>
      <c r="W1276" s="4">
        <v>1133000000000000</v>
      </c>
      <c r="X1276" s="4">
        <v>1144000000000000</v>
      </c>
      <c r="Y1276" s="4">
        <v>1154000000000000</v>
      </c>
      <c r="Z1276" s="4">
        <v>1165000000000000</v>
      </c>
      <c r="AA1276" s="4">
        <v>1175000000000000</v>
      </c>
      <c r="AB1276" s="4">
        <v>1185000000000000</v>
      </c>
      <c r="AC1276" s="4">
        <v>1195000000000000</v>
      </c>
      <c r="AD1276" s="4">
        <v>1205000000000000</v>
      </c>
      <c r="AE1276" s="4">
        <v>1215000000000000</v>
      </c>
      <c r="AF1276" s="4">
        <v>1225000000000000</v>
      </c>
    </row>
    <row r="1277" spans="1:32" x14ac:dyDescent="0.25">
      <c r="A1277" t="s">
        <v>1346</v>
      </c>
      <c r="B1277" s="4">
        <v>555700000000000</v>
      </c>
      <c r="C1277" s="4">
        <v>695800000000000</v>
      </c>
      <c r="D1277" s="4">
        <v>811600000000000</v>
      </c>
      <c r="E1277" s="4">
        <v>807200000000000</v>
      </c>
      <c r="F1277" s="4">
        <v>787900000000000</v>
      </c>
      <c r="G1277" s="4">
        <v>769900000000000</v>
      </c>
      <c r="H1277" s="4">
        <v>749800000000000</v>
      </c>
      <c r="I1277" s="4">
        <v>751800000000000</v>
      </c>
      <c r="J1277" s="4">
        <v>752200000000000</v>
      </c>
      <c r="K1277" s="4">
        <v>751500000000000</v>
      </c>
      <c r="L1277" s="4">
        <v>751300000000000</v>
      </c>
      <c r="M1277" s="4">
        <v>751100000000000</v>
      </c>
      <c r="N1277" s="4">
        <v>751600000000000</v>
      </c>
      <c r="O1277" s="4">
        <v>752200000000000</v>
      </c>
      <c r="P1277" s="4">
        <v>753300000000000</v>
      </c>
      <c r="Q1277" s="4">
        <v>755000000000000</v>
      </c>
      <c r="R1277" s="4">
        <v>756800000000000</v>
      </c>
      <c r="S1277" s="4">
        <v>758200000000000</v>
      </c>
      <c r="T1277" s="4">
        <v>759400000000000</v>
      </c>
      <c r="U1277" s="4">
        <v>761000000000000</v>
      </c>
      <c r="V1277" s="4">
        <v>762500000000000</v>
      </c>
      <c r="W1277" s="4">
        <v>763800000000000</v>
      </c>
      <c r="X1277" s="4">
        <v>765700000000000</v>
      </c>
      <c r="Y1277" s="4">
        <v>767700000000000</v>
      </c>
      <c r="Z1277" s="4">
        <v>769500000000000</v>
      </c>
      <c r="AA1277" s="4">
        <v>771500000000000</v>
      </c>
      <c r="AB1277" s="4">
        <v>773200000000000</v>
      </c>
      <c r="AC1277" s="4">
        <v>774700000000000</v>
      </c>
      <c r="AD1277" s="4">
        <v>776600000000000</v>
      </c>
      <c r="AE1277" s="4">
        <v>778000000000000</v>
      </c>
      <c r="AF1277" s="4">
        <v>779500000000000</v>
      </c>
    </row>
    <row r="1278" spans="1:32" x14ac:dyDescent="0.25">
      <c r="A1278" t="s">
        <v>1347</v>
      </c>
      <c r="B1278" s="4">
        <v>208500000000000</v>
      </c>
      <c r="C1278" s="4">
        <v>206200000000000</v>
      </c>
      <c r="D1278" s="4">
        <v>214300000000000</v>
      </c>
      <c r="E1278" s="4">
        <v>206500000000000</v>
      </c>
      <c r="F1278" s="4">
        <v>205100000000000</v>
      </c>
      <c r="G1278" s="4">
        <v>204000000000000</v>
      </c>
      <c r="H1278" s="4">
        <v>203000000000000</v>
      </c>
      <c r="I1278" s="4">
        <v>202200000000000</v>
      </c>
      <c r="J1278" s="4">
        <v>200500000000000</v>
      </c>
      <c r="K1278" s="4">
        <v>198400000000000</v>
      </c>
      <c r="L1278" s="4">
        <v>196300000000000</v>
      </c>
      <c r="M1278" s="4">
        <v>194200000000000</v>
      </c>
      <c r="N1278" s="4">
        <v>192000000000000</v>
      </c>
      <c r="O1278" s="4">
        <v>189900000000000</v>
      </c>
      <c r="P1278" s="4">
        <v>187900000000000</v>
      </c>
      <c r="Q1278" s="4">
        <v>185900000000000</v>
      </c>
      <c r="R1278" s="4">
        <v>183700000000000</v>
      </c>
      <c r="S1278" s="4">
        <v>181300000000000</v>
      </c>
      <c r="T1278" s="4">
        <v>179000000000000</v>
      </c>
      <c r="U1278" s="4">
        <v>176800000000000</v>
      </c>
      <c r="V1278" s="4">
        <v>174500000000000</v>
      </c>
      <c r="W1278" s="4">
        <v>172200000000000</v>
      </c>
      <c r="X1278" s="4">
        <v>170200000000000</v>
      </c>
      <c r="Y1278" s="4">
        <v>167900000000000</v>
      </c>
      <c r="Z1278" s="4">
        <v>165600000000000</v>
      </c>
      <c r="AA1278" s="4">
        <v>163300000000000</v>
      </c>
      <c r="AB1278" s="4">
        <v>161000000000000</v>
      </c>
      <c r="AC1278" s="4">
        <v>158900000000000</v>
      </c>
      <c r="AD1278" s="4">
        <v>156900000000000</v>
      </c>
      <c r="AE1278" s="4">
        <v>155000000000000</v>
      </c>
      <c r="AF1278" s="4">
        <v>153100000000000</v>
      </c>
    </row>
    <row r="1279" spans="1:32" x14ac:dyDescent="0.25">
      <c r="A1279" t="s">
        <v>1348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 x14ac:dyDescent="0.25">
      <c r="A1280" t="s">
        <v>1349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 x14ac:dyDescent="0.25">
      <c r="A1281" t="s">
        <v>1350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x14ac:dyDescent="0.25">
      <c r="A1282" t="s">
        <v>1351</v>
      </c>
      <c r="B1282" s="4">
        <v>6524000000000</v>
      </c>
      <c r="C1282" s="4">
        <v>6482000000000</v>
      </c>
      <c r="D1282" s="4">
        <v>6397000000000</v>
      </c>
      <c r="E1282" s="4">
        <v>6385000000000</v>
      </c>
      <c r="F1282" s="4">
        <v>6394000000000</v>
      </c>
      <c r="G1282" s="4">
        <v>6408000000000</v>
      </c>
      <c r="H1282" s="4">
        <v>6420000000000</v>
      </c>
      <c r="I1282" s="4">
        <v>6431000000000</v>
      </c>
      <c r="J1282" s="4">
        <v>6414000000000</v>
      </c>
      <c r="K1282" s="4">
        <v>6382000000000</v>
      </c>
      <c r="L1282" s="4">
        <v>6354000000000</v>
      </c>
      <c r="M1282" s="4">
        <v>6324000000000</v>
      </c>
      <c r="N1282" s="4">
        <v>6296000000000</v>
      </c>
      <c r="O1282" s="4">
        <v>6271000000000</v>
      </c>
      <c r="P1282" s="4">
        <v>6248000000000</v>
      </c>
      <c r="Q1282" s="4">
        <v>6222000000000</v>
      </c>
      <c r="R1282" s="4">
        <v>6191000000000</v>
      </c>
      <c r="S1282" s="4">
        <v>6154000000000</v>
      </c>
      <c r="T1282" s="4">
        <v>6118000000000</v>
      </c>
      <c r="U1282" s="4">
        <v>6088000000000</v>
      </c>
      <c r="V1282" s="4">
        <v>6056000000000</v>
      </c>
      <c r="W1282" s="4">
        <v>6028000000000</v>
      </c>
      <c r="X1282" s="4">
        <v>6003000000000</v>
      </c>
      <c r="Y1282" s="4">
        <v>5974000000000</v>
      </c>
      <c r="Z1282" s="4">
        <v>5939000000000</v>
      </c>
      <c r="AA1282" s="4">
        <v>5907000000000</v>
      </c>
      <c r="AB1282" s="4">
        <v>5877000000000</v>
      </c>
      <c r="AC1282" s="4">
        <v>5852000000000</v>
      </c>
      <c r="AD1282" s="4">
        <v>5832000000000</v>
      </c>
      <c r="AE1282" s="4">
        <v>5815000000000</v>
      </c>
      <c r="AF1282" s="4">
        <v>5798000000000</v>
      </c>
    </row>
    <row r="1283" spans="1:32" x14ac:dyDescent="0.25">
      <c r="A1283" t="s">
        <v>1352</v>
      </c>
      <c r="B1283" s="4">
        <v>86300000000000</v>
      </c>
      <c r="C1283" s="4">
        <v>93370000000000</v>
      </c>
      <c r="D1283" s="4">
        <v>95400000000000</v>
      </c>
      <c r="E1283" s="4">
        <v>100900000000000</v>
      </c>
      <c r="F1283" s="4">
        <v>99530000000000</v>
      </c>
      <c r="G1283" s="4">
        <v>98310000000000</v>
      </c>
      <c r="H1283" s="4">
        <v>97180000000000</v>
      </c>
      <c r="I1283" s="4">
        <v>98380000000000</v>
      </c>
      <c r="J1283" s="4">
        <v>99070000000000</v>
      </c>
      <c r="K1283" s="4">
        <v>99450000000000</v>
      </c>
      <c r="L1283" s="4">
        <v>99830000000000</v>
      </c>
      <c r="M1283" s="4">
        <v>99540000000000</v>
      </c>
      <c r="N1283" s="4">
        <v>99420000000000</v>
      </c>
      <c r="O1283" s="4">
        <v>99480000000000</v>
      </c>
      <c r="P1283" s="4">
        <v>99800000000000</v>
      </c>
      <c r="Q1283" s="4">
        <v>100100000000000</v>
      </c>
      <c r="R1283" s="4">
        <v>100400000000000</v>
      </c>
      <c r="S1283" s="4">
        <v>100600000000000</v>
      </c>
      <c r="T1283" s="4">
        <v>100800000000000</v>
      </c>
      <c r="U1283" s="4">
        <v>101100000000000</v>
      </c>
      <c r="V1283" s="4">
        <v>101400000000000</v>
      </c>
      <c r="W1283" s="4">
        <v>101600000000000</v>
      </c>
      <c r="X1283" s="4">
        <v>102000000000000</v>
      </c>
      <c r="Y1283" s="4">
        <v>102200000000000</v>
      </c>
      <c r="Z1283" s="4">
        <v>102300000000000</v>
      </c>
      <c r="AA1283" s="4">
        <v>102500000000000</v>
      </c>
      <c r="AB1283" s="4">
        <v>102700000000000</v>
      </c>
      <c r="AC1283" s="4">
        <v>103100000000000</v>
      </c>
      <c r="AD1283" s="4">
        <v>103400000000000</v>
      </c>
      <c r="AE1283" s="4">
        <v>103900000000000</v>
      </c>
      <c r="AF1283" s="4">
        <v>104400000000000</v>
      </c>
    </row>
    <row r="1284" spans="1:32" x14ac:dyDescent="0.25">
      <c r="A1284" t="s">
        <v>1353</v>
      </c>
      <c r="B1284" s="4">
        <v>336400000000000</v>
      </c>
      <c r="C1284" s="4">
        <v>348200000000000</v>
      </c>
      <c r="D1284" s="4">
        <v>347200000000000</v>
      </c>
      <c r="E1284" s="4">
        <v>347900000000000</v>
      </c>
      <c r="F1284" s="4">
        <v>350800000000000</v>
      </c>
      <c r="G1284" s="4">
        <v>352800000000000</v>
      </c>
      <c r="H1284" s="4">
        <v>353300000000000</v>
      </c>
      <c r="I1284" s="4">
        <v>352600000000000</v>
      </c>
      <c r="J1284" s="4">
        <v>351600000000000</v>
      </c>
      <c r="K1284" s="4">
        <v>350000000000000</v>
      </c>
      <c r="L1284" s="4">
        <v>347800000000000</v>
      </c>
      <c r="M1284" s="4">
        <v>346400000000000</v>
      </c>
      <c r="N1284" s="4">
        <v>345300000000000</v>
      </c>
      <c r="O1284" s="4">
        <v>344300000000000</v>
      </c>
      <c r="P1284" s="4">
        <v>343300000000000</v>
      </c>
      <c r="Q1284" s="4">
        <v>342600000000000</v>
      </c>
      <c r="R1284" s="4">
        <v>342000000000000</v>
      </c>
      <c r="S1284" s="4">
        <v>341200000000000</v>
      </c>
      <c r="T1284" s="4">
        <v>340300000000000</v>
      </c>
      <c r="U1284" s="4">
        <v>339500000000000</v>
      </c>
      <c r="V1284" s="4">
        <v>338600000000000</v>
      </c>
      <c r="W1284" s="4">
        <v>337600000000000</v>
      </c>
      <c r="X1284" s="4">
        <v>336500000000000</v>
      </c>
      <c r="Y1284" s="4">
        <v>335200000000000</v>
      </c>
      <c r="Z1284" s="4">
        <v>333800000000000</v>
      </c>
      <c r="AA1284" s="4">
        <v>332400000000000</v>
      </c>
      <c r="AB1284" s="4">
        <v>331000000000000</v>
      </c>
      <c r="AC1284" s="4">
        <v>329600000000000</v>
      </c>
      <c r="AD1284" s="4">
        <v>328500000000000</v>
      </c>
      <c r="AE1284" s="4">
        <v>327100000000000</v>
      </c>
      <c r="AF1284" s="4">
        <v>325600000000000</v>
      </c>
    </row>
    <row r="1285" spans="1:32" x14ac:dyDescent="0.25">
      <c r="A1285" t="s">
        <v>1354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x14ac:dyDescent="0.25">
      <c r="A1286" t="s">
        <v>1355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 x14ac:dyDescent="0.25">
      <c r="A1287" t="s">
        <v>1356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1:32" x14ac:dyDescent="0.25">
      <c r="A1288" t="s">
        <v>1357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x14ac:dyDescent="0.25">
      <c r="A1289" t="s">
        <v>1358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x14ac:dyDescent="0.25">
      <c r="A1290" t="s">
        <v>1359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 x14ac:dyDescent="0.25">
      <c r="A1291" t="s">
        <v>1360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 x14ac:dyDescent="0.25">
      <c r="A1292" t="s">
        <v>1361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x14ac:dyDescent="0.25">
      <c r="A1293" t="s">
        <v>1362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x14ac:dyDescent="0.25">
      <c r="A1294" t="s">
        <v>1363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 x14ac:dyDescent="0.25">
      <c r="A1295" t="s">
        <v>1364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x14ac:dyDescent="0.25">
      <c r="A1296" t="s">
        <v>1365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 x14ac:dyDescent="0.25">
      <c r="A1297" t="s">
        <v>1366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25">
      <c r="A1298" t="s">
        <v>1367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 x14ac:dyDescent="0.25">
      <c r="A1299" t="s">
        <v>1368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 x14ac:dyDescent="0.25">
      <c r="A1300" t="s">
        <v>1369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1:32" x14ac:dyDescent="0.25">
      <c r="A1301" t="s">
        <v>1370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 x14ac:dyDescent="0.25">
      <c r="A1302" t="s">
        <v>1371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25">
      <c r="A1303" t="s">
        <v>1372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25">
      <c r="A1304" t="s">
        <v>1373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x14ac:dyDescent="0.25">
      <c r="A1305" t="s">
        <v>1374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 x14ac:dyDescent="0.25">
      <c r="A1306" t="s">
        <v>1375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 x14ac:dyDescent="0.25">
      <c r="A1307" t="s">
        <v>1376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 x14ac:dyDescent="0.25">
      <c r="A1308" t="s">
        <v>1377</v>
      </c>
      <c r="B1308" s="4">
        <v>345100000000000</v>
      </c>
      <c r="C1308" s="4">
        <v>359400000000000</v>
      </c>
      <c r="D1308" s="4">
        <v>367200000000000</v>
      </c>
      <c r="E1308" s="4">
        <v>359200000000000</v>
      </c>
      <c r="F1308" s="4">
        <v>358900000000000</v>
      </c>
      <c r="G1308" s="4">
        <v>358900000000000</v>
      </c>
      <c r="H1308" s="4">
        <v>358800000000000</v>
      </c>
      <c r="I1308" s="4">
        <v>358500000000000</v>
      </c>
      <c r="J1308" s="4">
        <v>358000000000000</v>
      </c>
      <c r="K1308" s="4">
        <v>357600000000000</v>
      </c>
      <c r="L1308" s="4">
        <v>357300000000000</v>
      </c>
      <c r="M1308" s="4">
        <v>357500000000000</v>
      </c>
      <c r="N1308" s="4">
        <v>357900000000000</v>
      </c>
      <c r="O1308" s="4">
        <v>358100000000000</v>
      </c>
      <c r="P1308" s="4">
        <v>358100000000000</v>
      </c>
      <c r="Q1308" s="4">
        <v>358200000000000</v>
      </c>
      <c r="R1308" s="4">
        <v>358000000000000</v>
      </c>
      <c r="S1308" s="4">
        <v>357800000000000</v>
      </c>
      <c r="T1308" s="4">
        <v>357400000000000</v>
      </c>
      <c r="U1308" s="4">
        <v>357100000000000</v>
      </c>
      <c r="V1308" s="4">
        <v>356500000000000</v>
      </c>
      <c r="W1308" s="4">
        <v>356600000000000</v>
      </c>
      <c r="X1308" s="4">
        <v>356500000000000</v>
      </c>
      <c r="Y1308" s="4">
        <v>355900000000000</v>
      </c>
      <c r="Z1308" s="4">
        <v>355300000000000</v>
      </c>
      <c r="AA1308" s="4">
        <v>354800000000000</v>
      </c>
      <c r="AB1308" s="4">
        <v>354100000000000</v>
      </c>
      <c r="AC1308" s="4">
        <v>353500000000000</v>
      </c>
      <c r="AD1308" s="4">
        <v>353000000000000</v>
      </c>
      <c r="AE1308" s="4">
        <v>352300000000000</v>
      </c>
      <c r="AF1308" s="4">
        <v>351600000000000</v>
      </c>
    </row>
    <row r="1309" spans="1:32" x14ac:dyDescent="0.25">
      <c r="A1309" t="s">
        <v>1378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x14ac:dyDescent="0.25">
      <c r="A1310" t="s">
        <v>1379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x14ac:dyDescent="0.25">
      <c r="A1311" t="s">
        <v>1380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x14ac:dyDescent="0.25">
      <c r="A1312" t="s">
        <v>1381</v>
      </c>
      <c r="B1312" s="4">
        <v>10400000000000</v>
      </c>
      <c r="C1312" s="4">
        <v>10860000000000</v>
      </c>
      <c r="D1312" s="4">
        <v>10550000000000</v>
      </c>
      <c r="E1312" s="4">
        <v>10680000000000</v>
      </c>
      <c r="F1312" s="4">
        <v>10750000000000</v>
      </c>
      <c r="G1312" s="4">
        <v>10830000000000</v>
      </c>
      <c r="H1312" s="4">
        <v>10900000000000</v>
      </c>
      <c r="I1312" s="4">
        <v>10950000000000</v>
      </c>
      <c r="J1312" s="4">
        <v>10990000000000</v>
      </c>
      <c r="K1312" s="4">
        <v>11040000000000</v>
      </c>
      <c r="L1312" s="4">
        <v>11100000000000</v>
      </c>
      <c r="M1312" s="4">
        <v>11170000000000</v>
      </c>
      <c r="N1312" s="4">
        <v>11250000000000</v>
      </c>
      <c r="O1312" s="4">
        <v>11330000000000</v>
      </c>
      <c r="P1312" s="4">
        <v>11410000000000</v>
      </c>
      <c r="Q1312" s="4">
        <v>11480000000000</v>
      </c>
      <c r="R1312" s="4">
        <v>11550000000000</v>
      </c>
      <c r="S1312" s="4">
        <v>11620000000000</v>
      </c>
      <c r="T1312" s="4">
        <v>11680000000000</v>
      </c>
      <c r="U1312" s="4">
        <v>11760000000000</v>
      </c>
      <c r="V1312" s="4">
        <v>11830000000000</v>
      </c>
      <c r="W1312" s="4">
        <v>11920000000000</v>
      </c>
      <c r="X1312" s="4">
        <v>12010000000000</v>
      </c>
      <c r="Y1312" s="4">
        <v>12090000000000</v>
      </c>
      <c r="Z1312" s="4">
        <v>12160000000000</v>
      </c>
      <c r="AA1312" s="4">
        <v>12240000000000</v>
      </c>
      <c r="AB1312" s="4">
        <v>12320000000000</v>
      </c>
      <c r="AC1312" s="4">
        <v>12410000000000</v>
      </c>
      <c r="AD1312" s="4">
        <v>12500000000000</v>
      </c>
      <c r="AE1312" s="4">
        <v>12590000000000</v>
      </c>
      <c r="AF1312" s="4">
        <v>12680000000000</v>
      </c>
    </row>
    <row r="1313" spans="1:32" x14ac:dyDescent="0.25">
      <c r="A1313" t="s">
        <v>1382</v>
      </c>
      <c r="B1313" s="4">
        <v>137600000000000</v>
      </c>
      <c r="C1313" s="4">
        <v>156400000000000</v>
      </c>
      <c r="D1313" s="4">
        <v>157400000000000</v>
      </c>
      <c r="E1313" s="4">
        <v>168700000000000</v>
      </c>
      <c r="F1313" s="4">
        <v>167400000000000</v>
      </c>
      <c r="G1313" s="4">
        <v>166100000000000</v>
      </c>
      <c r="H1313" s="4">
        <v>164900000000000</v>
      </c>
      <c r="I1313" s="4">
        <v>167500000000000</v>
      </c>
      <c r="J1313" s="4">
        <v>169700000000000</v>
      </c>
      <c r="K1313" s="4">
        <v>172000000000000</v>
      </c>
      <c r="L1313" s="4">
        <v>174300000000000</v>
      </c>
      <c r="M1313" s="4">
        <v>175800000000000</v>
      </c>
      <c r="N1313" s="4">
        <v>177700000000000</v>
      </c>
      <c r="O1313" s="4">
        <v>179800000000000</v>
      </c>
      <c r="P1313" s="4">
        <v>182200000000000</v>
      </c>
      <c r="Q1313" s="4">
        <v>184800000000000</v>
      </c>
      <c r="R1313" s="4">
        <v>187300000000000</v>
      </c>
      <c r="S1313" s="4">
        <v>189900000000000</v>
      </c>
      <c r="T1313" s="4">
        <v>192500000000000</v>
      </c>
      <c r="U1313" s="4">
        <v>195200000000000</v>
      </c>
      <c r="V1313" s="4">
        <v>197900000000000</v>
      </c>
      <c r="W1313" s="4">
        <v>201000000000000</v>
      </c>
      <c r="X1313" s="4">
        <v>204000000000000</v>
      </c>
      <c r="Y1313" s="4">
        <v>206800000000000</v>
      </c>
      <c r="Z1313" s="4">
        <v>209500000000000</v>
      </c>
      <c r="AA1313" s="4">
        <v>212400000000000</v>
      </c>
      <c r="AB1313" s="4">
        <v>215400000000000</v>
      </c>
      <c r="AC1313" s="4">
        <v>218500000000000</v>
      </c>
      <c r="AD1313" s="4">
        <v>221700000000000</v>
      </c>
      <c r="AE1313" s="4">
        <v>224900000000000</v>
      </c>
      <c r="AF1313" s="4">
        <v>228300000000000</v>
      </c>
    </row>
    <row r="1314" spans="1:32" x14ac:dyDescent="0.25">
      <c r="A1314" t="s">
        <v>1383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x14ac:dyDescent="0.25">
      <c r="A1315" t="s">
        <v>1384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 x14ac:dyDescent="0.25">
      <c r="A1316" t="s">
        <v>1385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x14ac:dyDescent="0.25">
      <c r="A1317" t="s">
        <v>1386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x14ac:dyDescent="0.25">
      <c r="A1318" t="s">
        <v>1387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x14ac:dyDescent="0.25">
      <c r="A1319" t="s">
        <v>1388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50"/>
  <sheetViews>
    <sheetView workbookViewId="0">
      <selection activeCell="H16" sqref="H16"/>
    </sheetView>
  </sheetViews>
  <sheetFormatPr baseColWidth="10" defaultColWidth="9.140625" defaultRowHeight="15" x14ac:dyDescent="0.25"/>
  <cols>
    <col min="1" max="1" width="39.5703125" customWidth="1"/>
    <col min="2" max="2" width="11.5703125" bestFit="1" customWidth="1"/>
  </cols>
  <sheetData>
    <row r="1" spans="1:52" s="3" customFormat="1" x14ac:dyDescent="0.25">
      <c r="A1" s="5" t="s">
        <v>22</v>
      </c>
    </row>
    <row r="2" spans="1:52" x14ac:dyDescent="0.25">
      <c r="A2" t="s">
        <v>30</v>
      </c>
      <c r="B2">
        <f>'Fuel Taxes'!B$1</f>
        <v>2020</v>
      </c>
      <c r="C2">
        <f>'Fuel Taxes'!C$1</f>
        <v>2021</v>
      </c>
      <c r="D2">
        <f>'Fuel Taxes'!D$1</f>
        <v>2022</v>
      </c>
      <c r="E2">
        <f>'Fuel Taxes'!E$1</f>
        <v>2023</v>
      </c>
      <c r="F2">
        <f>'Fuel Taxes'!F$1</f>
        <v>2024</v>
      </c>
      <c r="G2">
        <f>'Fuel Taxes'!G$1</f>
        <v>2025</v>
      </c>
      <c r="H2">
        <f>'Fuel Taxes'!H$1</f>
        <v>2026</v>
      </c>
      <c r="I2">
        <f>'Fuel Taxes'!I$1</f>
        <v>2027</v>
      </c>
      <c r="J2">
        <f>'Fuel Taxes'!J$1</f>
        <v>2028</v>
      </c>
      <c r="K2">
        <f>'Fuel Taxes'!K$1</f>
        <v>2029</v>
      </c>
      <c r="L2">
        <f>'Fuel Taxes'!L$1</f>
        <v>2030</v>
      </c>
      <c r="M2">
        <f>'Fuel Taxes'!M$1</f>
        <v>2031</v>
      </c>
      <c r="N2">
        <f>'Fuel Taxes'!N$1</f>
        <v>2032</v>
      </c>
      <c r="O2">
        <f>'Fuel Taxes'!O$1</f>
        <v>2033</v>
      </c>
      <c r="P2">
        <f>'Fuel Taxes'!P$1</f>
        <v>2034</v>
      </c>
      <c r="Q2">
        <f>'Fuel Taxes'!Q$1</f>
        <v>2035</v>
      </c>
      <c r="R2">
        <f>'Fuel Taxes'!R$1</f>
        <v>2036</v>
      </c>
      <c r="S2">
        <f>'Fuel Taxes'!S$1</f>
        <v>2037</v>
      </c>
      <c r="T2">
        <f>'Fuel Taxes'!T$1</f>
        <v>2038</v>
      </c>
      <c r="U2">
        <f>'Fuel Taxes'!U$1</f>
        <v>2039</v>
      </c>
      <c r="V2">
        <f>'Fuel Taxes'!V$1</f>
        <v>2040</v>
      </c>
      <c r="W2">
        <f>'Fuel Taxes'!W$1</f>
        <v>2041</v>
      </c>
      <c r="X2">
        <f>'Fuel Taxes'!X$1</f>
        <v>2042</v>
      </c>
      <c r="Y2">
        <f>'Fuel Taxes'!Y$1</f>
        <v>2043</v>
      </c>
      <c r="Z2">
        <f>'Fuel Taxes'!Z$1</f>
        <v>2044</v>
      </c>
      <c r="AA2">
        <f>'Fuel Taxes'!AA$1</f>
        <v>2045</v>
      </c>
      <c r="AB2">
        <f>'Fuel Taxes'!AB$1</f>
        <v>2046</v>
      </c>
      <c r="AC2">
        <f>'Fuel Taxes'!AC$1</f>
        <v>2047</v>
      </c>
      <c r="AD2">
        <f>'Fuel Taxes'!AD$1</f>
        <v>2048</v>
      </c>
      <c r="AE2">
        <f>'Fuel Taxes'!AE$1</f>
        <v>2049</v>
      </c>
      <c r="AF2">
        <f>'Fuel Taxes'!AF$1</f>
        <v>2050</v>
      </c>
      <c r="AG2">
        <f>'Fuel Taxes'!AG$1</f>
        <v>2051</v>
      </c>
      <c r="AH2">
        <f>'Fuel Taxes'!AH$1</f>
        <v>2052</v>
      </c>
      <c r="AI2">
        <f>'Fuel Taxes'!AI$1</f>
        <v>2053</v>
      </c>
      <c r="AJ2">
        <f>'Fuel Taxes'!AJ$1</f>
        <v>2054</v>
      </c>
      <c r="AK2">
        <f>'Fuel Taxes'!AK$1</f>
        <v>2055</v>
      </c>
      <c r="AL2">
        <f>'Fuel Taxes'!AL$1</f>
        <v>2056</v>
      </c>
      <c r="AM2">
        <f>'Fuel Taxes'!AM$1</f>
        <v>2057</v>
      </c>
      <c r="AN2">
        <f>'Fuel Taxes'!AN$1</f>
        <v>2058</v>
      </c>
      <c r="AO2">
        <f>'Fuel Taxes'!AO$1</f>
        <v>2059</v>
      </c>
      <c r="AP2">
        <f>'Fuel Taxes'!AP$1</f>
        <v>2060</v>
      </c>
      <c r="AQ2">
        <f>'Fuel Taxes'!AQ$1</f>
        <v>2061</v>
      </c>
      <c r="AR2">
        <f>'Fuel Taxes'!AR$1</f>
        <v>2062</v>
      </c>
      <c r="AS2">
        <f>'Fuel Taxes'!AS$1</f>
        <v>2063</v>
      </c>
      <c r="AT2">
        <f>'Fuel Taxes'!AT$1</f>
        <v>2064</v>
      </c>
      <c r="AU2">
        <f>'Fuel Taxes'!AU$1</f>
        <v>2065</v>
      </c>
      <c r="AV2">
        <f>'Fuel Taxes'!AV$1</f>
        <v>2066</v>
      </c>
      <c r="AW2">
        <f>'Fuel Taxes'!AW$1</f>
        <v>2067</v>
      </c>
      <c r="AX2">
        <f>'Fuel Taxes'!AX$1</f>
        <v>2068</v>
      </c>
      <c r="AY2">
        <f>'Fuel Taxes'!AY$1</f>
        <v>2069</v>
      </c>
      <c r="AZ2">
        <f>'Fuel Taxes'!AZ$1</f>
        <v>2070</v>
      </c>
    </row>
    <row r="3" spans="1:52" x14ac:dyDescent="0.25">
      <c r="A3" t="s">
        <v>52</v>
      </c>
      <c r="B3">
        <f>'Pretax Fuel Prices'!B4+'Fuel Taxes'!B4</f>
        <v>0</v>
      </c>
      <c r="C3">
        <f>'Pretax Fuel Prices'!C4+'Fuel Taxes'!C4</f>
        <v>0</v>
      </c>
      <c r="D3">
        <f>'Pretax Fuel Prices'!D4+'Fuel Taxes'!D4</f>
        <v>0</v>
      </c>
      <c r="E3">
        <f>'Pretax Fuel Prices'!E4+'Fuel Taxes'!E4</f>
        <v>0</v>
      </c>
      <c r="F3">
        <f>'Pretax Fuel Prices'!F4+'Fuel Taxes'!F4</f>
        <v>0</v>
      </c>
      <c r="G3">
        <f>'Pretax Fuel Prices'!G4+'Fuel Taxes'!G4</f>
        <v>0</v>
      </c>
      <c r="H3">
        <f>'Pretax Fuel Prices'!H4+'Fuel Taxes'!H4</f>
        <v>0</v>
      </c>
      <c r="I3">
        <f>'Pretax Fuel Prices'!I4+'Fuel Taxes'!I4</f>
        <v>0</v>
      </c>
      <c r="J3">
        <f>'Pretax Fuel Prices'!J4+'Fuel Taxes'!J4</f>
        <v>0</v>
      </c>
      <c r="K3">
        <f>'Pretax Fuel Prices'!K4+'Fuel Taxes'!K4</f>
        <v>0</v>
      </c>
      <c r="L3">
        <f>'Pretax Fuel Prices'!L4+'Fuel Taxes'!L4</f>
        <v>0</v>
      </c>
      <c r="M3">
        <f>'Pretax Fuel Prices'!M4+'Fuel Taxes'!M4</f>
        <v>0</v>
      </c>
      <c r="N3">
        <f>'Pretax Fuel Prices'!N4+'Fuel Taxes'!N4</f>
        <v>0</v>
      </c>
      <c r="O3">
        <f>'Pretax Fuel Prices'!O4+'Fuel Taxes'!O4</f>
        <v>0</v>
      </c>
      <c r="P3">
        <f>'Pretax Fuel Prices'!P4+'Fuel Taxes'!P4</f>
        <v>0</v>
      </c>
      <c r="Q3">
        <f>'Pretax Fuel Prices'!Q4+'Fuel Taxes'!Q4</f>
        <v>0</v>
      </c>
      <c r="R3">
        <f>'Pretax Fuel Prices'!R4+'Fuel Taxes'!R4</f>
        <v>0</v>
      </c>
      <c r="S3">
        <f>'Pretax Fuel Prices'!S4+'Fuel Taxes'!S4</f>
        <v>0</v>
      </c>
      <c r="T3">
        <f>'Pretax Fuel Prices'!T4+'Fuel Taxes'!T4</f>
        <v>0</v>
      </c>
      <c r="U3">
        <f>'Pretax Fuel Prices'!U4+'Fuel Taxes'!U4</f>
        <v>0</v>
      </c>
      <c r="V3">
        <f>'Pretax Fuel Prices'!V4+'Fuel Taxes'!V4</f>
        <v>0</v>
      </c>
      <c r="W3">
        <f>'Pretax Fuel Prices'!W4+'Fuel Taxes'!W4</f>
        <v>0</v>
      </c>
      <c r="X3">
        <f>'Pretax Fuel Prices'!X4+'Fuel Taxes'!X4</f>
        <v>0</v>
      </c>
      <c r="Y3">
        <f>'Pretax Fuel Prices'!Y4+'Fuel Taxes'!Y4</f>
        <v>0</v>
      </c>
      <c r="Z3">
        <f>'Pretax Fuel Prices'!Z4+'Fuel Taxes'!Z4</f>
        <v>0</v>
      </c>
      <c r="AA3">
        <f>'Pretax Fuel Prices'!AA4+'Fuel Taxes'!AA4</f>
        <v>0</v>
      </c>
      <c r="AB3">
        <f>'Pretax Fuel Prices'!AB4+'Fuel Taxes'!AB4</f>
        <v>0</v>
      </c>
      <c r="AC3">
        <f>'Pretax Fuel Prices'!AC4+'Fuel Taxes'!AC4</f>
        <v>0</v>
      </c>
      <c r="AD3">
        <f>'Pretax Fuel Prices'!AD4+'Fuel Taxes'!AD4</f>
        <v>0</v>
      </c>
      <c r="AE3">
        <f>'Pretax Fuel Prices'!AE4+'Fuel Taxes'!AE4</f>
        <v>0</v>
      </c>
      <c r="AF3">
        <f>'Pretax Fuel Prices'!AF4+'Fuel Taxes'!AF4</f>
        <v>0</v>
      </c>
      <c r="AG3">
        <f>'Pretax Fuel Prices'!AG4+'Fuel Taxes'!AG4</f>
        <v>0</v>
      </c>
      <c r="AH3">
        <f>'Pretax Fuel Prices'!AH4+'Fuel Taxes'!AH4</f>
        <v>0</v>
      </c>
      <c r="AI3">
        <f>'Pretax Fuel Prices'!AI4+'Fuel Taxes'!AI4</f>
        <v>0</v>
      </c>
      <c r="AJ3">
        <f>'Pretax Fuel Prices'!AJ4+'Fuel Taxes'!AJ4</f>
        <v>0</v>
      </c>
      <c r="AK3">
        <f>'Pretax Fuel Prices'!AK4+'Fuel Taxes'!AK4</f>
        <v>0</v>
      </c>
      <c r="AL3">
        <f>'Pretax Fuel Prices'!AL4+'Fuel Taxes'!AL4</f>
        <v>0</v>
      </c>
      <c r="AM3">
        <f>'Pretax Fuel Prices'!AM4+'Fuel Taxes'!AM4</f>
        <v>0</v>
      </c>
      <c r="AN3">
        <f>'Pretax Fuel Prices'!AN4+'Fuel Taxes'!AN4</f>
        <v>0</v>
      </c>
      <c r="AO3">
        <f>'Pretax Fuel Prices'!AO4+'Fuel Taxes'!AO4</f>
        <v>0</v>
      </c>
      <c r="AP3">
        <f>'Pretax Fuel Prices'!AP4+'Fuel Taxes'!AP4</f>
        <v>0</v>
      </c>
      <c r="AQ3">
        <f>'Pretax Fuel Prices'!AQ4+'Fuel Taxes'!AQ4</f>
        <v>0</v>
      </c>
      <c r="AR3">
        <f>'Pretax Fuel Prices'!AR4+'Fuel Taxes'!AR4</f>
        <v>0</v>
      </c>
      <c r="AS3">
        <f>'Pretax Fuel Prices'!AS4+'Fuel Taxes'!AS4</f>
        <v>0</v>
      </c>
      <c r="AT3">
        <f>'Pretax Fuel Prices'!AT4+'Fuel Taxes'!AT4</f>
        <v>0</v>
      </c>
      <c r="AU3">
        <f>'Pretax Fuel Prices'!AU4+'Fuel Taxes'!AU4</f>
        <v>0</v>
      </c>
      <c r="AV3">
        <f>'Pretax Fuel Prices'!AV4+'Fuel Taxes'!AV4</f>
        <v>0</v>
      </c>
      <c r="AW3">
        <f>'Pretax Fuel Prices'!AW4+'Fuel Taxes'!AW4</f>
        <v>0</v>
      </c>
      <c r="AX3">
        <f>'Pretax Fuel Prices'!AX4+'Fuel Taxes'!AX4</f>
        <v>0</v>
      </c>
      <c r="AY3">
        <f>'Pretax Fuel Prices'!AY4+'Fuel Taxes'!AY4</f>
        <v>0</v>
      </c>
      <c r="AZ3">
        <f>'Pretax Fuel Prices'!AZ4+'Fuel Taxes'!AZ4</f>
        <v>0</v>
      </c>
    </row>
    <row r="4" spans="1:52" x14ac:dyDescent="0.25">
      <c r="A4" t="s">
        <v>53</v>
      </c>
      <c r="B4">
        <f>'Pretax Fuel Prices'!B5+'Fuel Taxes'!B5</f>
        <v>1.7479684025231623E-6</v>
      </c>
      <c r="C4">
        <f>'Pretax Fuel Prices'!C5+'Fuel Taxes'!C5</f>
        <v>1.7494689535882731E-6</v>
      </c>
      <c r="D4">
        <f>'Pretax Fuel Prices'!D5+'Fuel Taxes'!D5</f>
        <v>1.7257550373891717E-6</v>
      </c>
      <c r="E4">
        <f>'Pretax Fuel Prices'!E5+'Fuel Taxes'!E5</f>
        <v>1.7111470745236424E-6</v>
      </c>
      <c r="F4">
        <f>'Pretax Fuel Prices'!F5+'Fuel Taxes'!F5</f>
        <v>1.710382575826698E-6</v>
      </c>
      <c r="G4">
        <f>'Pretax Fuel Prices'!G5+'Fuel Taxes'!G5</f>
        <v>1.6682373528894735E-6</v>
      </c>
      <c r="H4">
        <f>'Pretax Fuel Prices'!H5+'Fuel Taxes'!H5</f>
        <v>1.6406669276907694E-6</v>
      </c>
      <c r="I4">
        <f>'Pretax Fuel Prices'!I5+'Fuel Taxes'!I5</f>
        <v>1.6394610776882474E-6</v>
      </c>
      <c r="J4">
        <f>'Pretax Fuel Prices'!J5+'Fuel Taxes'!J5</f>
        <v>1.6307930741087656E-6</v>
      </c>
      <c r="K4">
        <f>'Pretax Fuel Prices'!K5+'Fuel Taxes'!K5</f>
        <v>1.6369337249326094E-6</v>
      </c>
      <c r="L4">
        <f>'Pretax Fuel Prices'!L5+'Fuel Taxes'!L5</f>
        <v>1.634483757473325E-6</v>
      </c>
      <c r="M4">
        <f>'Pretax Fuel Prices'!M5+'Fuel Taxes'!M5</f>
        <v>1.6334250245726621E-6</v>
      </c>
      <c r="N4">
        <f>'Pretax Fuel Prices'!N5+'Fuel Taxes'!N5</f>
        <v>1.6239287432058339E-6</v>
      </c>
      <c r="O4">
        <f>'Pretax Fuel Prices'!O5+'Fuel Taxes'!O5</f>
        <v>1.6209455825507944E-6</v>
      </c>
      <c r="P4">
        <f>'Pretax Fuel Prices'!P5+'Fuel Taxes'!P5</f>
        <v>1.6150668511915317E-6</v>
      </c>
      <c r="Q4">
        <f>'Pretax Fuel Prices'!Q5+'Fuel Taxes'!Q5</f>
        <v>1.6034675606172029E-6</v>
      </c>
      <c r="R4">
        <f>'Pretax Fuel Prices'!R5+'Fuel Taxes'!R5</f>
        <v>1.5905161533263651E-6</v>
      </c>
      <c r="S4">
        <f>'Pretax Fuel Prices'!S5+'Fuel Taxes'!S5</f>
        <v>1.5878085183418592E-6</v>
      </c>
      <c r="T4">
        <f>'Pretax Fuel Prices'!T5+'Fuel Taxes'!T5</f>
        <v>1.5872353569161188E-6</v>
      </c>
      <c r="U4">
        <f>'Pretax Fuel Prices'!U5+'Fuel Taxes'!U5</f>
        <v>1.5849843802188864E-6</v>
      </c>
      <c r="V4">
        <f>'Pretax Fuel Prices'!V5+'Fuel Taxes'!V5</f>
        <v>1.5892201622094092E-6</v>
      </c>
      <c r="W4">
        <f>'Pretax Fuel Prices'!W5+'Fuel Taxes'!W5</f>
        <v>1.5856808478860695E-6</v>
      </c>
      <c r="X4">
        <f>'Pretax Fuel Prices'!X5+'Fuel Taxes'!X5</f>
        <v>1.5765774457161139E-6</v>
      </c>
      <c r="Y4">
        <f>'Pretax Fuel Prices'!Y5+'Fuel Taxes'!Y5</f>
        <v>1.5669663619865635E-6</v>
      </c>
      <c r="Z4">
        <f>'Pretax Fuel Prices'!Z5+'Fuel Taxes'!Z5</f>
        <v>1.5624703613072032E-6</v>
      </c>
      <c r="AA4">
        <f>'Pretax Fuel Prices'!AA5+'Fuel Taxes'!AA5</f>
        <v>1.559857119376491E-6</v>
      </c>
      <c r="AB4">
        <f>'Pretax Fuel Prices'!AB5+'Fuel Taxes'!AB5</f>
        <v>1.5574505216986793E-6</v>
      </c>
      <c r="AC4">
        <f>'Pretax Fuel Prices'!AC5+'Fuel Taxes'!AC5</f>
        <v>1.5527725380147069E-6</v>
      </c>
      <c r="AD4">
        <f>'Pretax Fuel Prices'!AD5+'Fuel Taxes'!AD5</f>
        <v>1.5454523992123739E-6</v>
      </c>
      <c r="AE4">
        <f>'Pretax Fuel Prices'!AE5+'Fuel Taxes'!AE5</f>
        <v>1.5465757615913099E-6</v>
      </c>
      <c r="AF4">
        <f>'Pretax Fuel Prices'!AF5+'Fuel Taxes'!AF5</f>
        <v>1.5442712104581404E-6</v>
      </c>
      <c r="AG4">
        <f>'Pretax Fuel Prices'!AG5+'Fuel Taxes'!AG5</f>
        <v>1.5397374280776216E-6</v>
      </c>
      <c r="AH4">
        <f>'Pretax Fuel Prices'!AH5+'Fuel Taxes'!AH5</f>
        <v>1.5352086120626654E-6</v>
      </c>
      <c r="AI4">
        <f>'Pretax Fuel Prices'!AI5+'Fuel Taxes'!AI5</f>
        <v>1.5306797960477095E-6</v>
      </c>
      <c r="AJ4">
        <f>'Pretax Fuel Prices'!AJ5+'Fuel Taxes'!AJ5</f>
        <v>1.5261509800327534E-6</v>
      </c>
      <c r="AK4">
        <f>'Pretax Fuel Prices'!AK5+'Fuel Taxes'!AK5</f>
        <v>1.5216221640177971E-6</v>
      </c>
      <c r="AL4">
        <f>'Pretax Fuel Prices'!AL5+'Fuel Taxes'!AL5</f>
        <v>1.5170933480028412E-6</v>
      </c>
      <c r="AM4">
        <f>'Pretax Fuel Prices'!AM5+'Fuel Taxes'!AM5</f>
        <v>1.5125645319878851E-6</v>
      </c>
      <c r="AN4">
        <f>'Pretax Fuel Prices'!AN5+'Fuel Taxes'!AN5</f>
        <v>1.508035715972929E-6</v>
      </c>
      <c r="AO4">
        <f>'Pretax Fuel Prices'!AO5+'Fuel Taxes'!AO5</f>
        <v>1.5035068999579731E-6</v>
      </c>
      <c r="AP4">
        <f>'Pretax Fuel Prices'!AP5+'Fuel Taxes'!AP5</f>
        <v>1.498978083943017E-6</v>
      </c>
      <c r="AQ4">
        <f>'Pretax Fuel Prices'!AQ5+'Fuel Taxes'!AQ5</f>
        <v>1.4944492679280611E-6</v>
      </c>
      <c r="AR4">
        <f>'Pretax Fuel Prices'!AR5+'Fuel Taxes'!AR5</f>
        <v>1.489920451913105E-6</v>
      </c>
      <c r="AS4">
        <f>'Pretax Fuel Prices'!AS5+'Fuel Taxes'!AS5</f>
        <v>1.4853916358981491E-6</v>
      </c>
      <c r="AT4">
        <f>'Pretax Fuel Prices'!AT5+'Fuel Taxes'!AT5</f>
        <v>1.480862819883193E-6</v>
      </c>
      <c r="AU4">
        <f>'Pretax Fuel Prices'!AU5+'Fuel Taxes'!AU5</f>
        <v>1.4763340038682369E-6</v>
      </c>
      <c r="AV4">
        <f>'Pretax Fuel Prices'!AV5+'Fuel Taxes'!AV5</f>
        <v>1.4718051878532808E-6</v>
      </c>
      <c r="AW4">
        <f>'Pretax Fuel Prices'!AW5+'Fuel Taxes'!AW5</f>
        <v>1.4672763718383247E-6</v>
      </c>
      <c r="AX4">
        <f>'Pretax Fuel Prices'!AX5+'Fuel Taxes'!AX5</f>
        <v>1.4627475558233688E-6</v>
      </c>
      <c r="AY4">
        <f>'Pretax Fuel Prices'!AY5+'Fuel Taxes'!AY5</f>
        <v>1.4582187398084127E-6</v>
      </c>
      <c r="AZ4">
        <f>'Pretax Fuel Prices'!AZ5+'Fuel Taxes'!AZ5</f>
        <v>1.4536899237934566E-6</v>
      </c>
    </row>
    <row r="5" spans="1:52" x14ac:dyDescent="0.25">
      <c r="A5" t="s">
        <v>54</v>
      </c>
      <c r="B5">
        <f>'Pretax Fuel Prices'!B6+'Fuel Taxes'!B6</f>
        <v>0</v>
      </c>
      <c r="C5">
        <f>'Pretax Fuel Prices'!C6+'Fuel Taxes'!C6</f>
        <v>0</v>
      </c>
      <c r="D5">
        <f>'Pretax Fuel Prices'!D6+'Fuel Taxes'!D6</f>
        <v>0</v>
      </c>
      <c r="E5">
        <f>'Pretax Fuel Prices'!E6+'Fuel Taxes'!E6</f>
        <v>0</v>
      </c>
      <c r="F5">
        <f>'Pretax Fuel Prices'!F6+'Fuel Taxes'!F6</f>
        <v>0</v>
      </c>
      <c r="G5">
        <f>'Pretax Fuel Prices'!G6+'Fuel Taxes'!G6</f>
        <v>0</v>
      </c>
      <c r="H5">
        <f>'Pretax Fuel Prices'!H6+'Fuel Taxes'!H6</f>
        <v>0</v>
      </c>
      <c r="I5">
        <f>'Pretax Fuel Prices'!I6+'Fuel Taxes'!I6</f>
        <v>0</v>
      </c>
      <c r="J5">
        <f>'Pretax Fuel Prices'!J6+'Fuel Taxes'!J6</f>
        <v>0</v>
      </c>
      <c r="K5">
        <f>'Pretax Fuel Prices'!K6+'Fuel Taxes'!K6</f>
        <v>0</v>
      </c>
      <c r="L5">
        <f>'Pretax Fuel Prices'!L6+'Fuel Taxes'!L6</f>
        <v>0</v>
      </c>
      <c r="M5">
        <f>'Pretax Fuel Prices'!M6+'Fuel Taxes'!M6</f>
        <v>0</v>
      </c>
      <c r="N5">
        <f>'Pretax Fuel Prices'!N6+'Fuel Taxes'!N6</f>
        <v>0</v>
      </c>
      <c r="O5">
        <f>'Pretax Fuel Prices'!O6+'Fuel Taxes'!O6</f>
        <v>0</v>
      </c>
      <c r="P5">
        <f>'Pretax Fuel Prices'!P6+'Fuel Taxes'!P6</f>
        <v>0</v>
      </c>
      <c r="Q5">
        <f>'Pretax Fuel Prices'!Q6+'Fuel Taxes'!Q6</f>
        <v>0</v>
      </c>
      <c r="R5">
        <f>'Pretax Fuel Prices'!R6+'Fuel Taxes'!R6</f>
        <v>0</v>
      </c>
      <c r="S5">
        <f>'Pretax Fuel Prices'!S6+'Fuel Taxes'!S6</f>
        <v>0</v>
      </c>
      <c r="T5">
        <f>'Pretax Fuel Prices'!T6+'Fuel Taxes'!T6</f>
        <v>0</v>
      </c>
      <c r="U5">
        <f>'Pretax Fuel Prices'!U6+'Fuel Taxes'!U6</f>
        <v>0</v>
      </c>
      <c r="V5">
        <f>'Pretax Fuel Prices'!V6+'Fuel Taxes'!V6</f>
        <v>0</v>
      </c>
      <c r="W5">
        <f>'Pretax Fuel Prices'!W6+'Fuel Taxes'!W6</f>
        <v>0</v>
      </c>
      <c r="X5">
        <f>'Pretax Fuel Prices'!X6+'Fuel Taxes'!X6</f>
        <v>0</v>
      </c>
      <c r="Y5">
        <f>'Pretax Fuel Prices'!Y6+'Fuel Taxes'!Y6</f>
        <v>0</v>
      </c>
      <c r="Z5">
        <f>'Pretax Fuel Prices'!Z6+'Fuel Taxes'!Z6</f>
        <v>0</v>
      </c>
      <c r="AA5">
        <f>'Pretax Fuel Prices'!AA6+'Fuel Taxes'!AA6</f>
        <v>0</v>
      </c>
      <c r="AB5">
        <f>'Pretax Fuel Prices'!AB6+'Fuel Taxes'!AB6</f>
        <v>0</v>
      </c>
      <c r="AC5">
        <f>'Pretax Fuel Prices'!AC6+'Fuel Taxes'!AC6</f>
        <v>0</v>
      </c>
      <c r="AD5">
        <f>'Pretax Fuel Prices'!AD6+'Fuel Taxes'!AD6</f>
        <v>0</v>
      </c>
      <c r="AE5">
        <f>'Pretax Fuel Prices'!AE6+'Fuel Taxes'!AE6</f>
        <v>0</v>
      </c>
      <c r="AF5">
        <f>'Pretax Fuel Prices'!AF6+'Fuel Taxes'!AF6</f>
        <v>0</v>
      </c>
      <c r="AG5">
        <f>'Pretax Fuel Prices'!AG6+'Fuel Taxes'!AG6</f>
        <v>0</v>
      </c>
      <c r="AH5">
        <f>'Pretax Fuel Prices'!AH6+'Fuel Taxes'!AH6</f>
        <v>0</v>
      </c>
      <c r="AI5">
        <f>'Pretax Fuel Prices'!AI6+'Fuel Taxes'!AI6</f>
        <v>0</v>
      </c>
      <c r="AJ5">
        <f>'Pretax Fuel Prices'!AJ6+'Fuel Taxes'!AJ6</f>
        <v>0</v>
      </c>
      <c r="AK5">
        <f>'Pretax Fuel Prices'!AK6+'Fuel Taxes'!AK6</f>
        <v>0</v>
      </c>
      <c r="AL5">
        <f>'Pretax Fuel Prices'!AL6+'Fuel Taxes'!AL6</f>
        <v>0</v>
      </c>
      <c r="AM5">
        <f>'Pretax Fuel Prices'!AM6+'Fuel Taxes'!AM6</f>
        <v>0</v>
      </c>
      <c r="AN5">
        <f>'Pretax Fuel Prices'!AN6+'Fuel Taxes'!AN6</f>
        <v>0</v>
      </c>
      <c r="AO5">
        <f>'Pretax Fuel Prices'!AO6+'Fuel Taxes'!AO6</f>
        <v>0</v>
      </c>
      <c r="AP5">
        <f>'Pretax Fuel Prices'!AP6+'Fuel Taxes'!AP6</f>
        <v>0</v>
      </c>
      <c r="AQ5">
        <f>'Pretax Fuel Prices'!AQ6+'Fuel Taxes'!AQ6</f>
        <v>0</v>
      </c>
      <c r="AR5">
        <f>'Pretax Fuel Prices'!AR6+'Fuel Taxes'!AR6</f>
        <v>0</v>
      </c>
      <c r="AS5">
        <f>'Pretax Fuel Prices'!AS6+'Fuel Taxes'!AS6</f>
        <v>0</v>
      </c>
      <c r="AT5">
        <f>'Pretax Fuel Prices'!AT6+'Fuel Taxes'!AT6</f>
        <v>0</v>
      </c>
      <c r="AU5">
        <f>'Pretax Fuel Prices'!AU6+'Fuel Taxes'!AU6</f>
        <v>0</v>
      </c>
      <c r="AV5">
        <f>'Pretax Fuel Prices'!AV6+'Fuel Taxes'!AV6</f>
        <v>0</v>
      </c>
      <c r="AW5">
        <f>'Pretax Fuel Prices'!AW6+'Fuel Taxes'!AW6</f>
        <v>0</v>
      </c>
      <c r="AX5">
        <f>'Pretax Fuel Prices'!AX6+'Fuel Taxes'!AX6</f>
        <v>0</v>
      </c>
      <c r="AY5">
        <f>'Pretax Fuel Prices'!AY6+'Fuel Taxes'!AY6</f>
        <v>0</v>
      </c>
      <c r="AZ5">
        <f>'Pretax Fuel Prices'!AZ6+'Fuel Taxes'!AZ6</f>
        <v>0</v>
      </c>
    </row>
    <row r="6" spans="1:52" x14ac:dyDescent="0.25">
      <c r="A6" t="s">
        <v>55</v>
      </c>
      <c r="B6">
        <f>'Pretax Fuel Prices'!B7+'Fuel Taxes'!B7</f>
        <v>0</v>
      </c>
      <c r="C6">
        <f>'Pretax Fuel Prices'!C7+'Fuel Taxes'!C7</f>
        <v>0</v>
      </c>
      <c r="D6">
        <f>'Pretax Fuel Prices'!D7+'Fuel Taxes'!D7</f>
        <v>0</v>
      </c>
      <c r="E6">
        <f>'Pretax Fuel Prices'!E7+'Fuel Taxes'!E7</f>
        <v>0</v>
      </c>
      <c r="F6">
        <f>'Pretax Fuel Prices'!F7+'Fuel Taxes'!F7</f>
        <v>0</v>
      </c>
      <c r="G6">
        <f>'Pretax Fuel Prices'!G7+'Fuel Taxes'!G7</f>
        <v>0</v>
      </c>
      <c r="H6">
        <f>'Pretax Fuel Prices'!H7+'Fuel Taxes'!H7</f>
        <v>0</v>
      </c>
      <c r="I6">
        <f>'Pretax Fuel Prices'!I7+'Fuel Taxes'!I7</f>
        <v>0</v>
      </c>
      <c r="J6">
        <f>'Pretax Fuel Prices'!J7+'Fuel Taxes'!J7</f>
        <v>0</v>
      </c>
      <c r="K6">
        <f>'Pretax Fuel Prices'!K7+'Fuel Taxes'!K7</f>
        <v>0</v>
      </c>
      <c r="L6">
        <f>'Pretax Fuel Prices'!L7+'Fuel Taxes'!L7</f>
        <v>0</v>
      </c>
      <c r="M6">
        <f>'Pretax Fuel Prices'!M7+'Fuel Taxes'!M7</f>
        <v>0</v>
      </c>
      <c r="N6">
        <f>'Pretax Fuel Prices'!N7+'Fuel Taxes'!N7</f>
        <v>0</v>
      </c>
      <c r="O6">
        <f>'Pretax Fuel Prices'!O7+'Fuel Taxes'!O7</f>
        <v>0</v>
      </c>
      <c r="P6">
        <f>'Pretax Fuel Prices'!P7+'Fuel Taxes'!P7</f>
        <v>0</v>
      </c>
      <c r="Q6">
        <f>'Pretax Fuel Prices'!Q7+'Fuel Taxes'!Q7</f>
        <v>0</v>
      </c>
      <c r="R6">
        <f>'Pretax Fuel Prices'!R7+'Fuel Taxes'!R7</f>
        <v>0</v>
      </c>
      <c r="S6">
        <f>'Pretax Fuel Prices'!S7+'Fuel Taxes'!S7</f>
        <v>0</v>
      </c>
      <c r="T6">
        <f>'Pretax Fuel Prices'!T7+'Fuel Taxes'!T7</f>
        <v>0</v>
      </c>
      <c r="U6">
        <f>'Pretax Fuel Prices'!U7+'Fuel Taxes'!U7</f>
        <v>0</v>
      </c>
      <c r="V6">
        <f>'Pretax Fuel Prices'!V7+'Fuel Taxes'!V7</f>
        <v>0</v>
      </c>
      <c r="W6">
        <f>'Pretax Fuel Prices'!W7+'Fuel Taxes'!W7</f>
        <v>0</v>
      </c>
      <c r="X6">
        <f>'Pretax Fuel Prices'!X7+'Fuel Taxes'!X7</f>
        <v>0</v>
      </c>
      <c r="Y6">
        <f>'Pretax Fuel Prices'!Y7+'Fuel Taxes'!Y7</f>
        <v>0</v>
      </c>
      <c r="Z6">
        <f>'Pretax Fuel Prices'!Z7+'Fuel Taxes'!Z7</f>
        <v>0</v>
      </c>
      <c r="AA6">
        <f>'Pretax Fuel Prices'!AA7+'Fuel Taxes'!AA7</f>
        <v>0</v>
      </c>
      <c r="AB6">
        <f>'Pretax Fuel Prices'!AB7+'Fuel Taxes'!AB7</f>
        <v>0</v>
      </c>
      <c r="AC6">
        <f>'Pretax Fuel Prices'!AC7+'Fuel Taxes'!AC7</f>
        <v>0</v>
      </c>
      <c r="AD6">
        <f>'Pretax Fuel Prices'!AD7+'Fuel Taxes'!AD7</f>
        <v>0</v>
      </c>
      <c r="AE6">
        <f>'Pretax Fuel Prices'!AE7+'Fuel Taxes'!AE7</f>
        <v>0</v>
      </c>
      <c r="AF6">
        <f>'Pretax Fuel Prices'!AF7+'Fuel Taxes'!AF7</f>
        <v>0</v>
      </c>
      <c r="AG6">
        <f>'Pretax Fuel Prices'!AG7+'Fuel Taxes'!AG7</f>
        <v>0</v>
      </c>
      <c r="AH6">
        <f>'Pretax Fuel Prices'!AH7+'Fuel Taxes'!AH7</f>
        <v>0</v>
      </c>
      <c r="AI6">
        <f>'Pretax Fuel Prices'!AI7+'Fuel Taxes'!AI7</f>
        <v>0</v>
      </c>
      <c r="AJ6">
        <f>'Pretax Fuel Prices'!AJ7+'Fuel Taxes'!AJ7</f>
        <v>0</v>
      </c>
      <c r="AK6">
        <f>'Pretax Fuel Prices'!AK7+'Fuel Taxes'!AK7</f>
        <v>0</v>
      </c>
      <c r="AL6">
        <f>'Pretax Fuel Prices'!AL7+'Fuel Taxes'!AL7</f>
        <v>0</v>
      </c>
      <c r="AM6">
        <f>'Pretax Fuel Prices'!AM7+'Fuel Taxes'!AM7</f>
        <v>0</v>
      </c>
      <c r="AN6">
        <f>'Pretax Fuel Prices'!AN7+'Fuel Taxes'!AN7</f>
        <v>0</v>
      </c>
      <c r="AO6">
        <f>'Pretax Fuel Prices'!AO7+'Fuel Taxes'!AO7</f>
        <v>0</v>
      </c>
      <c r="AP6">
        <f>'Pretax Fuel Prices'!AP7+'Fuel Taxes'!AP7</f>
        <v>0</v>
      </c>
      <c r="AQ6">
        <f>'Pretax Fuel Prices'!AQ7+'Fuel Taxes'!AQ7</f>
        <v>0</v>
      </c>
      <c r="AR6">
        <f>'Pretax Fuel Prices'!AR7+'Fuel Taxes'!AR7</f>
        <v>0</v>
      </c>
      <c r="AS6">
        <f>'Pretax Fuel Prices'!AS7+'Fuel Taxes'!AS7</f>
        <v>0</v>
      </c>
      <c r="AT6">
        <f>'Pretax Fuel Prices'!AT7+'Fuel Taxes'!AT7</f>
        <v>0</v>
      </c>
      <c r="AU6">
        <f>'Pretax Fuel Prices'!AU7+'Fuel Taxes'!AU7</f>
        <v>0</v>
      </c>
      <c r="AV6">
        <f>'Pretax Fuel Prices'!AV7+'Fuel Taxes'!AV7</f>
        <v>0</v>
      </c>
      <c r="AW6">
        <f>'Pretax Fuel Prices'!AW7+'Fuel Taxes'!AW7</f>
        <v>0</v>
      </c>
      <c r="AX6">
        <f>'Pretax Fuel Prices'!AX7+'Fuel Taxes'!AX7</f>
        <v>0</v>
      </c>
      <c r="AY6">
        <f>'Pretax Fuel Prices'!AY7+'Fuel Taxes'!AY7</f>
        <v>0</v>
      </c>
      <c r="AZ6">
        <f>'Pretax Fuel Prices'!AZ7+'Fuel Taxes'!AZ7</f>
        <v>0</v>
      </c>
    </row>
    <row r="7" spans="1:52" x14ac:dyDescent="0.25">
      <c r="A7" t="s">
        <v>56</v>
      </c>
      <c r="B7">
        <f>'Pretax Fuel Prices'!B8+'Fuel Taxes'!B8</f>
        <v>3.0374351286607898E-6</v>
      </c>
      <c r="C7">
        <f>'Pretax Fuel Prices'!C8+'Fuel Taxes'!C8</f>
        <v>2.8070542265426127E-6</v>
      </c>
      <c r="D7">
        <f>'Pretax Fuel Prices'!D8+'Fuel Taxes'!D8</f>
        <v>2.6537410834363259E-6</v>
      </c>
      <c r="E7">
        <f>'Pretax Fuel Prices'!E8+'Fuel Taxes'!E8</f>
        <v>2.5907330436522943E-6</v>
      </c>
      <c r="F7">
        <f>'Pretax Fuel Prices'!F8+'Fuel Taxes'!F8</f>
        <v>2.5142478551473669E-6</v>
      </c>
      <c r="G7">
        <f>'Pretax Fuel Prices'!G8+'Fuel Taxes'!G8</f>
        <v>2.4706143190760187E-6</v>
      </c>
      <c r="H7">
        <f>'Pretax Fuel Prices'!H8+'Fuel Taxes'!H8</f>
        <v>2.4395323871310961E-6</v>
      </c>
      <c r="I7">
        <f>'Pretax Fuel Prices'!I8+'Fuel Taxes'!I8</f>
        <v>2.4219840667884258E-6</v>
      </c>
      <c r="J7">
        <f>'Pretax Fuel Prices'!J8+'Fuel Taxes'!J8</f>
        <v>2.4210610738782543E-6</v>
      </c>
      <c r="K7">
        <f>'Pretax Fuel Prices'!K8+'Fuel Taxes'!K8</f>
        <v>2.4249153010896578E-6</v>
      </c>
      <c r="L7">
        <f>'Pretax Fuel Prices'!L8+'Fuel Taxes'!L8</f>
        <v>2.4366116496374066E-6</v>
      </c>
      <c r="M7">
        <f>'Pretax Fuel Prices'!M8+'Fuel Taxes'!M8</f>
        <v>2.4465305049203829E-6</v>
      </c>
      <c r="N7">
        <f>'Pretax Fuel Prices'!N8+'Fuel Taxes'!N8</f>
        <v>2.4614783645504782E-6</v>
      </c>
      <c r="O7">
        <f>'Pretax Fuel Prices'!O8+'Fuel Taxes'!O8</f>
        <v>2.4734498835309775E-6</v>
      </c>
      <c r="P7">
        <f>'Pretax Fuel Prices'!P8+'Fuel Taxes'!P8</f>
        <v>2.4854787170149967E-6</v>
      </c>
      <c r="Q7">
        <f>'Pretax Fuel Prices'!Q8+'Fuel Taxes'!Q8</f>
        <v>2.4960593666103587E-6</v>
      </c>
      <c r="R7">
        <f>'Pretax Fuel Prices'!R8+'Fuel Taxes'!R8</f>
        <v>2.5070846248292514E-6</v>
      </c>
      <c r="S7">
        <f>'Pretax Fuel Prices'!S8+'Fuel Taxes'!S8</f>
        <v>2.5204400127808046E-6</v>
      </c>
      <c r="T7">
        <f>'Pretax Fuel Prices'!T8+'Fuel Taxes'!T8</f>
        <v>2.5344680485298155E-6</v>
      </c>
      <c r="U7">
        <f>'Pretax Fuel Prices'!U8+'Fuel Taxes'!U8</f>
        <v>2.5451126891190473E-6</v>
      </c>
      <c r="V7">
        <f>'Pretax Fuel Prices'!V8+'Fuel Taxes'!V8</f>
        <v>2.5569606011049888E-6</v>
      </c>
      <c r="W7">
        <f>'Pretax Fuel Prices'!W8+'Fuel Taxes'!W8</f>
        <v>2.5704533246100203E-6</v>
      </c>
      <c r="X7">
        <f>'Pretax Fuel Prices'!X8+'Fuel Taxes'!X8</f>
        <v>2.5796217658527601E-6</v>
      </c>
      <c r="Y7">
        <f>'Pretax Fuel Prices'!Y8+'Fuel Taxes'!Y8</f>
        <v>2.5916255166999928E-6</v>
      </c>
      <c r="Z7">
        <f>'Pretax Fuel Prices'!Z8+'Fuel Taxes'!Z8</f>
        <v>2.6052414017170437E-6</v>
      </c>
      <c r="AA7">
        <f>'Pretax Fuel Prices'!AA8+'Fuel Taxes'!AA8</f>
        <v>2.6192233585877431E-6</v>
      </c>
      <c r="AB7">
        <f>'Pretax Fuel Prices'!AB8+'Fuel Taxes'!AB8</f>
        <v>2.6337277088556528E-6</v>
      </c>
      <c r="AC7">
        <f>'Pretax Fuel Prices'!AC8+'Fuel Taxes'!AC8</f>
        <v>2.6450589486572472E-6</v>
      </c>
      <c r="AD7">
        <f>'Pretax Fuel Prices'!AD8+'Fuel Taxes'!AD8</f>
        <v>2.6525236778366011E-6</v>
      </c>
      <c r="AE7">
        <f>'Pretax Fuel Prices'!AE8+'Fuel Taxes'!AE8</f>
        <v>2.6632606127034857E-6</v>
      </c>
      <c r="AF7">
        <f>'Pretax Fuel Prices'!AF8+'Fuel Taxes'!AF8</f>
        <v>2.6780203262257769E-6</v>
      </c>
      <c r="AG7">
        <f>'Pretax Fuel Prices'!AG8+'Fuel Taxes'!AG8</f>
        <v>2.6916291976924385E-6</v>
      </c>
      <c r="AH7">
        <f>'Pretax Fuel Prices'!AH8+'Fuel Taxes'!AH8</f>
        <v>2.7052472000590713E-6</v>
      </c>
      <c r="AI7">
        <f>'Pretax Fuel Prices'!AI8+'Fuel Taxes'!AI8</f>
        <v>2.718865202425704E-6</v>
      </c>
      <c r="AJ7">
        <f>'Pretax Fuel Prices'!AJ8+'Fuel Taxes'!AJ8</f>
        <v>2.7324832047923368E-6</v>
      </c>
      <c r="AK7">
        <f>'Pretax Fuel Prices'!AK8+'Fuel Taxes'!AK8</f>
        <v>2.7461012071589695E-6</v>
      </c>
      <c r="AL7">
        <f>'Pretax Fuel Prices'!AL8+'Fuel Taxes'!AL8</f>
        <v>2.7597192095256023E-6</v>
      </c>
      <c r="AM7">
        <f>'Pretax Fuel Prices'!AM8+'Fuel Taxes'!AM8</f>
        <v>2.7733372118922355E-6</v>
      </c>
      <c r="AN7">
        <f>'Pretax Fuel Prices'!AN8+'Fuel Taxes'!AN8</f>
        <v>2.7869552142588678E-6</v>
      </c>
      <c r="AO7">
        <f>'Pretax Fuel Prices'!AO8+'Fuel Taxes'!AO8</f>
        <v>2.8005732166255005E-6</v>
      </c>
      <c r="AP7">
        <f>'Pretax Fuel Prices'!AP8+'Fuel Taxes'!AP8</f>
        <v>2.8141912189921333E-6</v>
      </c>
      <c r="AQ7">
        <f>'Pretax Fuel Prices'!AQ8+'Fuel Taxes'!AQ8</f>
        <v>2.827809221358766E-6</v>
      </c>
      <c r="AR7">
        <f>'Pretax Fuel Prices'!AR8+'Fuel Taxes'!AR8</f>
        <v>2.8414272237253988E-6</v>
      </c>
      <c r="AS7">
        <f>'Pretax Fuel Prices'!AS8+'Fuel Taxes'!AS8</f>
        <v>2.8550452260920315E-6</v>
      </c>
      <c r="AT7">
        <f>'Pretax Fuel Prices'!AT8+'Fuel Taxes'!AT8</f>
        <v>2.8686632284586643E-6</v>
      </c>
      <c r="AU7">
        <f>'Pretax Fuel Prices'!AU8+'Fuel Taxes'!AU8</f>
        <v>2.8822812308252975E-6</v>
      </c>
      <c r="AV7">
        <f>'Pretax Fuel Prices'!AV8+'Fuel Taxes'!AV8</f>
        <v>2.8958992331919302E-6</v>
      </c>
      <c r="AW7">
        <f>'Pretax Fuel Prices'!AW8+'Fuel Taxes'!AW8</f>
        <v>2.909517235558563E-6</v>
      </c>
      <c r="AX7">
        <f>'Pretax Fuel Prices'!AX8+'Fuel Taxes'!AX8</f>
        <v>2.9231352379251957E-6</v>
      </c>
      <c r="AY7">
        <f>'Pretax Fuel Prices'!AY8+'Fuel Taxes'!AY8</f>
        <v>2.9367532402918285E-6</v>
      </c>
      <c r="AZ7">
        <f>'Pretax Fuel Prices'!AZ8+'Fuel Taxes'!AZ8</f>
        <v>2.9503712426584612E-6</v>
      </c>
    </row>
    <row r="8" spans="1:52" x14ac:dyDescent="0.25">
      <c r="A8" t="s">
        <v>57</v>
      </c>
      <c r="B8">
        <f>'Pretax Fuel Prices'!B9+'Fuel Taxes'!B9</f>
        <v>1.7479684025231623E-6</v>
      </c>
      <c r="C8">
        <f>'Pretax Fuel Prices'!C9+'Fuel Taxes'!C9</f>
        <v>1.7494689535882731E-6</v>
      </c>
      <c r="D8">
        <f>'Pretax Fuel Prices'!D9+'Fuel Taxes'!D9</f>
        <v>1.7257550373891717E-6</v>
      </c>
      <c r="E8">
        <f>'Pretax Fuel Prices'!E9+'Fuel Taxes'!E9</f>
        <v>1.7111470745236424E-6</v>
      </c>
      <c r="F8">
        <f>'Pretax Fuel Prices'!F9+'Fuel Taxes'!F9</f>
        <v>1.710382575826698E-6</v>
      </c>
      <c r="G8">
        <f>'Pretax Fuel Prices'!G9+'Fuel Taxes'!G9</f>
        <v>1.6682373528894735E-6</v>
      </c>
      <c r="H8">
        <f>'Pretax Fuel Prices'!H9+'Fuel Taxes'!H9</f>
        <v>1.6406669276907694E-6</v>
      </c>
      <c r="I8">
        <f>'Pretax Fuel Prices'!I9+'Fuel Taxes'!I9</f>
        <v>1.6394610776882474E-6</v>
      </c>
      <c r="J8">
        <f>'Pretax Fuel Prices'!J9+'Fuel Taxes'!J9</f>
        <v>1.6307930741087656E-6</v>
      </c>
      <c r="K8">
        <f>'Pretax Fuel Prices'!K9+'Fuel Taxes'!K9</f>
        <v>1.6369337249326094E-6</v>
      </c>
      <c r="L8">
        <f>'Pretax Fuel Prices'!L9+'Fuel Taxes'!L9</f>
        <v>1.634483757473325E-6</v>
      </c>
      <c r="M8">
        <f>'Pretax Fuel Prices'!M9+'Fuel Taxes'!M9</f>
        <v>1.6334250245726621E-6</v>
      </c>
      <c r="N8">
        <f>'Pretax Fuel Prices'!N9+'Fuel Taxes'!N9</f>
        <v>1.6239287432058339E-6</v>
      </c>
      <c r="O8">
        <f>'Pretax Fuel Prices'!O9+'Fuel Taxes'!O9</f>
        <v>1.6209455825507944E-6</v>
      </c>
      <c r="P8">
        <f>'Pretax Fuel Prices'!P9+'Fuel Taxes'!P9</f>
        <v>1.6150668511915317E-6</v>
      </c>
      <c r="Q8">
        <f>'Pretax Fuel Prices'!Q9+'Fuel Taxes'!Q9</f>
        <v>1.6034675606172029E-6</v>
      </c>
      <c r="R8">
        <f>'Pretax Fuel Prices'!R9+'Fuel Taxes'!R9</f>
        <v>1.5905161533263651E-6</v>
      </c>
      <c r="S8">
        <f>'Pretax Fuel Prices'!S9+'Fuel Taxes'!S9</f>
        <v>1.5878085183418592E-6</v>
      </c>
      <c r="T8">
        <f>'Pretax Fuel Prices'!T9+'Fuel Taxes'!T9</f>
        <v>1.5872353569161188E-6</v>
      </c>
      <c r="U8">
        <f>'Pretax Fuel Prices'!U9+'Fuel Taxes'!U9</f>
        <v>1.5849843802188864E-6</v>
      </c>
      <c r="V8">
        <f>'Pretax Fuel Prices'!V9+'Fuel Taxes'!V9</f>
        <v>1.5892201622094092E-6</v>
      </c>
      <c r="W8">
        <f>'Pretax Fuel Prices'!W9+'Fuel Taxes'!W9</f>
        <v>1.5856808478860695E-6</v>
      </c>
      <c r="X8">
        <f>'Pretax Fuel Prices'!X9+'Fuel Taxes'!X9</f>
        <v>1.5765774457161139E-6</v>
      </c>
      <c r="Y8">
        <f>'Pretax Fuel Prices'!Y9+'Fuel Taxes'!Y9</f>
        <v>1.5669663619865635E-6</v>
      </c>
      <c r="Z8">
        <f>'Pretax Fuel Prices'!Z9+'Fuel Taxes'!Z9</f>
        <v>1.5624703613072032E-6</v>
      </c>
      <c r="AA8">
        <f>'Pretax Fuel Prices'!AA9+'Fuel Taxes'!AA9</f>
        <v>1.559857119376491E-6</v>
      </c>
      <c r="AB8">
        <f>'Pretax Fuel Prices'!AB9+'Fuel Taxes'!AB9</f>
        <v>1.5574505216986793E-6</v>
      </c>
      <c r="AC8">
        <f>'Pretax Fuel Prices'!AC9+'Fuel Taxes'!AC9</f>
        <v>1.5527725380147069E-6</v>
      </c>
      <c r="AD8">
        <f>'Pretax Fuel Prices'!AD9+'Fuel Taxes'!AD9</f>
        <v>1.5454523992123739E-6</v>
      </c>
      <c r="AE8">
        <f>'Pretax Fuel Prices'!AE9+'Fuel Taxes'!AE9</f>
        <v>1.5465757615913099E-6</v>
      </c>
      <c r="AF8">
        <f>'Pretax Fuel Prices'!AF9+'Fuel Taxes'!AF9</f>
        <v>1.5442712104581404E-6</v>
      </c>
      <c r="AG8">
        <f>'Pretax Fuel Prices'!AG9+'Fuel Taxes'!AG9</f>
        <v>1.5397374280776216E-6</v>
      </c>
      <c r="AH8">
        <f>'Pretax Fuel Prices'!AH9+'Fuel Taxes'!AH9</f>
        <v>1.5352086120626654E-6</v>
      </c>
      <c r="AI8">
        <f>'Pretax Fuel Prices'!AI9+'Fuel Taxes'!AI9</f>
        <v>1.5306797960477095E-6</v>
      </c>
      <c r="AJ8">
        <f>'Pretax Fuel Prices'!AJ9+'Fuel Taxes'!AJ9</f>
        <v>1.5261509800327534E-6</v>
      </c>
      <c r="AK8">
        <f>'Pretax Fuel Prices'!AK9+'Fuel Taxes'!AK9</f>
        <v>1.5216221640177971E-6</v>
      </c>
      <c r="AL8">
        <f>'Pretax Fuel Prices'!AL9+'Fuel Taxes'!AL9</f>
        <v>1.5170933480028412E-6</v>
      </c>
      <c r="AM8">
        <f>'Pretax Fuel Prices'!AM9+'Fuel Taxes'!AM9</f>
        <v>1.5125645319878851E-6</v>
      </c>
      <c r="AN8">
        <f>'Pretax Fuel Prices'!AN9+'Fuel Taxes'!AN9</f>
        <v>1.508035715972929E-6</v>
      </c>
      <c r="AO8">
        <f>'Pretax Fuel Prices'!AO9+'Fuel Taxes'!AO9</f>
        <v>1.5035068999579731E-6</v>
      </c>
      <c r="AP8">
        <f>'Pretax Fuel Prices'!AP9+'Fuel Taxes'!AP9</f>
        <v>1.498978083943017E-6</v>
      </c>
      <c r="AQ8">
        <f>'Pretax Fuel Prices'!AQ9+'Fuel Taxes'!AQ9</f>
        <v>1.4944492679280611E-6</v>
      </c>
      <c r="AR8">
        <f>'Pretax Fuel Prices'!AR9+'Fuel Taxes'!AR9</f>
        <v>1.489920451913105E-6</v>
      </c>
      <c r="AS8">
        <f>'Pretax Fuel Prices'!AS9+'Fuel Taxes'!AS9</f>
        <v>1.4853916358981491E-6</v>
      </c>
      <c r="AT8">
        <f>'Pretax Fuel Prices'!AT9+'Fuel Taxes'!AT9</f>
        <v>1.480862819883193E-6</v>
      </c>
      <c r="AU8">
        <f>'Pretax Fuel Prices'!AU9+'Fuel Taxes'!AU9</f>
        <v>1.4763340038682369E-6</v>
      </c>
      <c r="AV8">
        <f>'Pretax Fuel Prices'!AV9+'Fuel Taxes'!AV9</f>
        <v>1.4718051878532808E-6</v>
      </c>
      <c r="AW8">
        <f>'Pretax Fuel Prices'!AW9+'Fuel Taxes'!AW9</f>
        <v>1.4672763718383247E-6</v>
      </c>
      <c r="AX8">
        <f>'Pretax Fuel Prices'!AX9+'Fuel Taxes'!AX9</f>
        <v>1.4627475558233688E-6</v>
      </c>
      <c r="AY8">
        <f>'Pretax Fuel Prices'!AY9+'Fuel Taxes'!AY9</f>
        <v>1.4582187398084127E-6</v>
      </c>
      <c r="AZ8">
        <f>'Pretax Fuel Prices'!AZ9+'Fuel Taxes'!AZ9</f>
        <v>1.4536899237934566E-6</v>
      </c>
    </row>
    <row r="9" spans="1:52" x14ac:dyDescent="0.25">
      <c r="A9" t="s">
        <v>58</v>
      </c>
      <c r="B9">
        <f>'Pretax Fuel Prices'!B10+'Fuel Taxes'!B10</f>
        <v>0</v>
      </c>
      <c r="C9">
        <f>'Pretax Fuel Prices'!C10+'Fuel Taxes'!C10</f>
        <v>0</v>
      </c>
      <c r="D9">
        <f>'Pretax Fuel Prices'!D10+'Fuel Taxes'!D10</f>
        <v>0</v>
      </c>
      <c r="E9">
        <f>'Pretax Fuel Prices'!E10+'Fuel Taxes'!E10</f>
        <v>0</v>
      </c>
      <c r="F9">
        <f>'Pretax Fuel Prices'!F10+'Fuel Taxes'!F10</f>
        <v>0</v>
      </c>
      <c r="G9">
        <f>'Pretax Fuel Prices'!G10+'Fuel Taxes'!G10</f>
        <v>0</v>
      </c>
      <c r="H9">
        <f>'Pretax Fuel Prices'!H10+'Fuel Taxes'!H10</f>
        <v>0</v>
      </c>
      <c r="I9">
        <f>'Pretax Fuel Prices'!I10+'Fuel Taxes'!I10</f>
        <v>0</v>
      </c>
      <c r="J9">
        <f>'Pretax Fuel Prices'!J10+'Fuel Taxes'!J10</f>
        <v>0</v>
      </c>
      <c r="K9">
        <f>'Pretax Fuel Prices'!K10+'Fuel Taxes'!K10</f>
        <v>0</v>
      </c>
      <c r="L9">
        <f>'Pretax Fuel Prices'!L10+'Fuel Taxes'!L10</f>
        <v>0</v>
      </c>
      <c r="M9">
        <f>'Pretax Fuel Prices'!M10+'Fuel Taxes'!M10</f>
        <v>0</v>
      </c>
      <c r="N9">
        <f>'Pretax Fuel Prices'!N10+'Fuel Taxes'!N10</f>
        <v>0</v>
      </c>
      <c r="O9">
        <f>'Pretax Fuel Prices'!O10+'Fuel Taxes'!O10</f>
        <v>0</v>
      </c>
      <c r="P9">
        <f>'Pretax Fuel Prices'!P10+'Fuel Taxes'!P10</f>
        <v>0</v>
      </c>
      <c r="Q9">
        <f>'Pretax Fuel Prices'!Q10+'Fuel Taxes'!Q10</f>
        <v>0</v>
      </c>
      <c r="R9">
        <f>'Pretax Fuel Prices'!R10+'Fuel Taxes'!R10</f>
        <v>0</v>
      </c>
      <c r="S9">
        <f>'Pretax Fuel Prices'!S10+'Fuel Taxes'!S10</f>
        <v>0</v>
      </c>
      <c r="T9">
        <f>'Pretax Fuel Prices'!T10+'Fuel Taxes'!T10</f>
        <v>0</v>
      </c>
      <c r="U9">
        <f>'Pretax Fuel Prices'!U10+'Fuel Taxes'!U10</f>
        <v>0</v>
      </c>
      <c r="V9">
        <f>'Pretax Fuel Prices'!V10+'Fuel Taxes'!V10</f>
        <v>0</v>
      </c>
      <c r="W9">
        <f>'Pretax Fuel Prices'!W10+'Fuel Taxes'!W10</f>
        <v>0</v>
      </c>
      <c r="X9">
        <f>'Pretax Fuel Prices'!X10+'Fuel Taxes'!X10</f>
        <v>0</v>
      </c>
      <c r="Y9">
        <f>'Pretax Fuel Prices'!Y10+'Fuel Taxes'!Y10</f>
        <v>0</v>
      </c>
      <c r="Z9">
        <f>'Pretax Fuel Prices'!Z10+'Fuel Taxes'!Z10</f>
        <v>0</v>
      </c>
      <c r="AA9">
        <f>'Pretax Fuel Prices'!AA10+'Fuel Taxes'!AA10</f>
        <v>0</v>
      </c>
      <c r="AB9">
        <f>'Pretax Fuel Prices'!AB10+'Fuel Taxes'!AB10</f>
        <v>0</v>
      </c>
      <c r="AC9">
        <f>'Pretax Fuel Prices'!AC10+'Fuel Taxes'!AC10</f>
        <v>0</v>
      </c>
      <c r="AD9">
        <f>'Pretax Fuel Prices'!AD10+'Fuel Taxes'!AD10</f>
        <v>0</v>
      </c>
      <c r="AE9">
        <f>'Pretax Fuel Prices'!AE10+'Fuel Taxes'!AE10</f>
        <v>0</v>
      </c>
      <c r="AF9">
        <f>'Pretax Fuel Prices'!AF10+'Fuel Taxes'!AF10</f>
        <v>0</v>
      </c>
      <c r="AG9">
        <f>'Pretax Fuel Prices'!AG10+'Fuel Taxes'!AG10</f>
        <v>0</v>
      </c>
      <c r="AH9">
        <f>'Pretax Fuel Prices'!AH10+'Fuel Taxes'!AH10</f>
        <v>0</v>
      </c>
      <c r="AI9">
        <f>'Pretax Fuel Prices'!AI10+'Fuel Taxes'!AI10</f>
        <v>0</v>
      </c>
      <c r="AJ9">
        <f>'Pretax Fuel Prices'!AJ10+'Fuel Taxes'!AJ10</f>
        <v>0</v>
      </c>
      <c r="AK9">
        <f>'Pretax Fuel Prices'!AK10+'Fuel Taxes'!AK10</f>
        <v>0</v>
      </c>
      <c r="AL9">
        <f>'Pretax Fuel Prices'!AL10+'Fuel Taxes'!AL10</f>
        <v>0</v>
      </c>
      <c r="AM9">
        <f>'Pretax Fuel Prices'!AM10+'Fuel Taxes'!AM10</f>
        <v>0</v>
      </c>
      <c r="AN9">
        <f>'Pretax Fuel Prices'!AN10+'Fuel Taxes'!AN10</f>
        <v>0</v>
      </c>
      <c r="AO9">
        <f>'Pretax Fuel Prices'!AO10+'Fuel Taxes'!AO10</f>
        <v>0</v>
      </c>
      <c r="AP9">
        <f>'Pretax Fuel Prices'!AP10+'Fuel Taxes'!AP10</f>
        <v>0</v>
      </c>
      <c r="AQ9">
        <f>'Pretax Fuel Prices'!AQ10+'Fuel Taxes'!AQ10</f>
        <v>0</v>
      </c>
      <c r="AR9">
        <f>'Pretax Fuel Prices'!AR10+'Fuel Taxes'!AR10</f>
        <v>0</v>
      </c>
      <c r="AS9">
        <f>'Pretax Fuel Prices'!AS10+'Fuel Taxes'!AS10</f>
        <v>0</v>
      </c>
      <c r="AT9">
        <f>'Pretax Fuel Prices'!AT10+'Fuel Taxes'!AT10</f>
        <v>0</v>
      </c>
      <c r="AU9">
        <f>'Pretax Fuel Prices'!AU10+'Fuel Taxes'!AU10</f>
        <v>0</v>
      </c>
      <c r="AV9">
        <f>'Pretax Fuel Prices'!AV10+'Fuel Taxes'!AV10</f>
        <v>0</v>
      </c>
      <c r="AW9">
        <f>'Pretax Fuel Prices'!AW10+'Fuel Taxes'!AW10</f>
        <v>0</v>
      </c>
      <c r="AX9">
        <f>'Pretax Fuel Prices'!AX10+'Fuel Taxes'!AX10</f>
        <v>0</v>
      </c>
      <c r="AY9">
        <f>'Pretax Fuel Prices'!AY10+'Fuel Taxes'!AY10</f>
        <v>0</v>
      </c>
      <c r="AZ9">
        <f>'Pretax Fuel Prices'!AZ10+'Fuel Taxes'!AZ10</f>
        <v>0</v>
      </c>
    </row>
    <row r="10" spans="1:52" x14ac:dyDescent="0.25">
      <c r="A10" t="s">
        <v>59</v>
      </c>
      <c r="B10">
        <f>'Pretax Fuel Prices'!B11+'Fuel Taxes'!B11</f>
        <v>3.0374351286607898E-6</v>
      </c>
      <c r="C10">
        <f>'Pretax Fuel Prices'!C11+'Fuel Taxes'!C11</f>
        <v>2.8070542265426127E-6</v>
      </c>
      <c r="D10">
        <f>'Pretax Fuel Prices'!D11+'Fuel Taxes'!D11</f>
        <v>2.6537410834363259E-6</v>
      </c>
      <c r="E10">
        <f>'Pretax Fuel Prices'!E11+'Fuel Taxes'!E11</f>
        <v>2.5907330436522943E-6</v>
      </c>
      <c r="F10">
        <f>'Pretax Fuel Prices'!F11+'Fuel Taxes'!F11</f>
        <v>2.5142478551473669E-6</v>
      </c>
      <c r="G10">
        <f>'Pretax Fuel Prices'!G11+'Fuel Taxes'!G11</f>
        <v>2.4706143190760187E-6</v>
      </c>
      <c r="H10">
        <f>'Pretax Fuel Prices'!H11+'Fuel Taxes'!H11</f>
        <v>2.4395323871310961E-6</v>
      </c>
      <c r="I10">
        <f>'Pretax Fuel Prices'!I11+'Fuel Taxes'!I11</f>
        <v>2.4219840667884258E-6</v>
      </c>
      <c r="J10">
        <f>'Pretax Fuel Prices'!J11+'Fuel Taxes'!J11</f>
        <v>2.4210610738782543E-6</v>
      </c>
      <c r="K10">
        <f>'Pretax Fuel Prices'!K11+'Fuel Taxes'!K11</f>
        <v>2.4249153010896578E-6</v>
      </c>
      <c r="L10">
        <f>'Pretax Fuel Prices'!L11+'Fuel Taxes'!L11</f>
        <v>2.4366116496374066E-6</v>
      </c>
      <c r="M10">
        <f>'Pretax Fuel Prices'!M11+'Fuel Taxes'!M11</f>
        <v>2.4465305049203829E-6</v>
      </c>
      <c r="N10">
        <f>'Pretax Fuel Prices'!N11+'Fuel Taxes'!N11</f>
        <v>2.4614783645504782E-6</v>
      </c>
      <c r="O10">
        <f>'Pretax Fuel Prices'!O11+'Fuel Taxes'!O11</f>
        <v>2.4734498835309775E-6</v>
      </c>
      <c r="P10">
        <f>'Pretax Fuel Prices'!P11+'Fuel Taxes'!P11</f>
        <v>2.4854787170149967E-6</v>
      </c>
      <c r="Q10">
        <f>'Pretax Fuel Prices'!Q11+'Fuel Taxes'!Q11</f>
        <v>2.4960593666103587E-6</v>
      </c>
      <c r="R10">
        <f>'Pretax Fuel Prices'!R11+'Fuel Taxes'!R11</f>
        <v>2.5070846248292514E-6</v>
      </c>
      <c r="S10">
        <f>'Pretax Fuel Prices'!S11+'Fuel Taxes'!S11</f>
        <v>2.5204400127808046E-6</v>
      </c>
      <c r="T10">
        <f>'Pretax Fuel Prices'!T11+'Fuel Taxes'!T11</f>
        <v>2.5344680485298155E-6</v>
      </c>
      <c r="U10">
        <f>'Pretax Fuel Prices'!U11+'Fuel Taxes'!U11</f>
        <v>2.5451126891190473E-6</v>
      </c>
      <c r="V10">
        <f>'Pretax Fuel Prices'!V11+'Fuel Taxes'!V11</f>
        <v>2.5569606011049888E-6</v>
      </c>
      <c r="W10">
        <f>'Pretax Fuel Prices'!W11+'Fuel Taxes'!W11</f>
        <v>2.5704533246100203E-6</v>
      </c>
      <c r="X10">
        <f>'Pretax Fuel Prices'!X11+'Fuel Taxes'!X11</f>
        <v>2.5796217658527601E-6</v>
      </c>
      <c r="Y10">
        <f>'Pretax Fuel Prices'!Y11+'Fuel Taxes'!Y11</f>
        <v>2.5916255166999928E-6</v>
      </c>
      <c r="Z10">
        <f>'Pretax Fuel Prices'!Z11+'Fuel Taxes'!Z11</f>
        <v>2.6052414017170437E-6</v>
      </c>
      <c r="AA10">
        <f>'Pretax Fuel Prices'!AA11+'Fuel Taxes'!AA11</f>
        <v>2.6192233585877431E-6</v>
      </c>
      <c r="AB10">
        <f>'Pretax Fuel Prices'!AB11+'Fuel Taxes'!AB11</f>
        <v>2.6337277088556528E-6</v>
      </c>
      <c r="AC10">
        <f>'Pretax Fuel Prices'!AC11+'Fuel Taxes'!AC11</f>
        <v>2.6450589486572472E-6</v>
      </c>
      <c r="AD10">
        <f>'Pretax Fuel Prices'!AD11+'Fuel Taxes'!AD11</f>
        <v>2.6525236778366011E-6</v>
      </c>
      <c r="AE10">
        <f>'Pretax Fuel Prices'!AE11+'Fuel Taxes'!AE11</f>
        <v>2.6632606127034857E-6</v>
      </c>
      <c r="AF10">
        <f>'Pretax Fuel Prices'!AF11+'Fuel Taxes'!AF11</f>
        <v>2.6780203262257769E-6</v>
      </c>
      <c r="AG10">
        <f>'Pretax Fuel Prices'!AG11+'Fuel Taxes'!AG11</f>
        <v>2.6916291976924385E-6</v>
      </c>
      <c r="AH10">
        <f>'Pretax Fuel Prices'!AH11+'Fuel Taxes'!AH11</f>
        <v>2.7052472000590713E-6</v>
      </c>
      <c r="AI10">
        <f>'Pretax Fuel Prices'!AI11+'Fuel Taxes'!AI11</f>
        <v>2.718865202425704E-6</v>
      </c>
      <c r="AJ10">
        <f>'Pretax Fuel Prices'!AJ11+'Fuel Taxes'!AJ11</f>
        <v>2.7324832047923368E-6</v>
      </c>
      <c r="AK10">
        <f>'Pretax Fuel Prices'!AK11+'Fuel Taxes'!AK11</f>
        <v>2.7461012071589695E-6</v>
      </c>
      <c r="AL10">
        <f>'Pretax Fuel Prices'!AL11+'Fuel Taxes'!AL11</f>
        <v>2.7597192095256023E-6</v>
      </c>
      <c r="AM10">
        <f>'Pretax Fuel Prices'!AM11+'Fuel Taxes'!AM11</f>
        <v>2.7733372118922355E-6</v>
      </c>
      <c r="AN10">
        <f>'Pretax Fuel Prices'!AN11+'Fuel Taxes'!AN11</f>
        <v>2.7869552142588678E-6</v>
      </c>
      <c r="AO10">
        <f>'Pretax Fuel Prices'!AO11+'Fuel Taxes'!AO11</f>
        <v>2.8005732166255005E-6</v>
      </c>
      <c r="AP10">
        <f>'Pretax Fuel Prices'!AP11+'Fuel Taxes'!AP11</f>
        <v>2.8141912189921333E-6</v>
      </c>
      <c r="AQ10">
        <f>'Pretax Fuel Prices'!AQ11+'Fuel Taxes'!AQ11</f>
        <v>2.827809221358766E-6</v>
      </c>
      <c r="AR10">
        <f>'Pretax Fuel Prices'!AR11+'Fuel Taxes'!AR11</f>
        <v>2.8414272237253988E-6</v>
      </c>
      <c r="AS10">
        <f>'Pretax Fuel Prices'!AS11+'Fuel Taxes'!AS11</f>
        <v>2.8550452260920315E-6</v>
      </c>
      <c r="AT10">
        <f>'Pretax Fuel Prices'!AT11+'Fuel Taxes'!AT11</f>
        <v>2.8686632284586643E-6</v>
      </c>
      <c r="AU10">
        <f>'Pretax Fuel Prices'!AU11+'Fuel Taxes'!AU11</f>
        <v>2.8822812308252975E-6</v>
      </c>
      <c r="AV10">
        <f>'Pretax Fuel Prices'!AV11+'Fuel Taxes'!AV11</f>
        <v>2.8958992331919302E-6</v>
      </c>
      <c r="AW10">
        <f>'Pretax Fuel Prices'!AW11+'Fuel Taxes'!AW11</f>
        <v>2.909517235558563E-6</v>
      </c>
      <c r="AX10">
        <f>'Pretax Fuel Prices'!AX11+'Fuel Taxes'!AX11</f>
        <v>2.9231352379251957E-6</v>
      </c>
      <c r="AY10">
        <f>'Pretax Fuel Prices'!AY11+'Fuel Taxes'!AY11</f>
        <v>2.9367532402918285E-6</v>
      </c>
      <c r="AZ10">
        <f>'Pretax Fuel Prices'!AZ11+'Fuel Taxes'!AZ11</f>
        <v>2.9503712426584612E-6</v>
      </c>
    </row>
    <row r="11" spans="1:52" s="3" customFormat="1" x14ac:dyDescent="0.25">
      <c r="A11" s="5" t="s">
        <v>31</v>
      </c>
    </row>
    <row r="12" spans="1:52" x14ac:dyDescent="0.25">
      <c r="A12" t="s">
        <v>30</v>
      </c>
      <c r="B12">
        <f>'Fuel Taxes'!B$1</f>
        <v>2020</v>
      </c>
      <c r="C12">
        <f>'Fuel Taxes'!C$1</f>
        <v>2021</v>
      </c>
      <c r="D12">
        <f>'Fuel Taxes'!D$1</f>
        <v>2022</v>
      </c>
      <c r="E12">
        <f>'Fuel Taxes'!E$1</f>
        <v>2023</v>
      </c>
      <c r="F12">
        <f>'Fuel Taxes'!F$1</f>
        <v>2024</v>
      </c>
      <c r="G12">
        <f>'Fuel Taxes'!G$1</f>
        <v>2025</v>
      </c>
      <c r="H12">
        <f>'Fuel Taxes'!H$1</f>
        <v>2026</v>
      </c>
      <c r="I12">
        <f>'Fuel Taxes'!I$1</f>
        <v>2027</v>
      </c>
      <c r="J12">
        <f>'Fuel Taxes'!J$1</f>
        <v>2028</v>
      </c>
      <c r="K12">
        <f>'Fuel Taxes'!K$1</f>
        <v>2029</v>
      </c>
      <c r="L12">
        <f>'Fuel Taxes'!L$1</f>
        <v>2030</v>
      </c>
      <c r="M12">
        <f>'Fuel Taxes'!M$1</f>
        <v>2031</v>
      </c>
      <c r="N12">
        <f>'Fuel Taxes'!N$1</f>
        <v>2032</v>
      </c>
      <c r="O12">
        <f>'Fuel Taxes'!O$1</f>
        <v>2033</v>
      </c>
      <c r="P12">
        <f>'Fuel Taxes'!P$1</f>
        <v>2034</v>
      </c>
      <c r="Q12">
        <f>'Fuel Taxes'!Q$1</f>
        <v>2035</v>
      </c>
      <c r="R12">
        <f>'Fuel Taxes'!R$1</f>
        <v>2036</v>
      </c>
      <c r="S12">
        <f>'Fuel Taxes'!S$1</f>
        <v>2037</v>
      </c>
      <c r="T12">
        <f>'Fuel Taxes'!T$1</f>
        <v>2038</v>
      </c>
      <c r="U12">
        <f>'Fuel Taxes'!U$1</f>
        <v>2039</v>
      </c>
      <c r="V12">
        <f>'Fuel Taxes'!V$1</f>
        <v>2040</v>
      </c>
      <c r="W12">
        <f>'Fuel Taxes'!W$1</f>
        <v>2041</v>
      </c>
      <c r="X12">
        <f>'Fuel Taxes'!X$1</f>
        <v>2042</v>
      </c>
      <c r="Y12">
        <f>'Fuel Taxes'!Y$1</f>
        <v>2043</v>
      </c>
      <c r="Z12">
        <f>'Fuel Taxes'!Z$1</f>
        <v>2044</v>
      </c>
      <c r="AA12">
        <f>'Fuel Taxes'!AA$1</f>
        <v>2045</v>
      </c>
      <c r="AB12">
        <f>'Fuel Taxes'!AB$1</f>
        <v>2046</v>
      </c>
      <c r="AC12">
        <f>'Fuel Taxes'!AC$1</f>
        <v>2047</v>
      </c>
      <c r="AD12">
        <f>'Fuel Taxes'!AD$1</f>
        <v>2048</v>
      </c>
      <c r="AE12">
        <f>'Fuel Taxes'!AE$1</f>
        <v>2049</v>
      </c>
      <c r="AF12">
        <f>'Fuel Taxes'!AF$1</f>
        <v>2050</v>
      </c>
      <c r="AG12">
        <f>'Fuel Taxes'!AG$1</f>
        <v>2051</v>
      </c>
      <c r="AH12">
        <f>'Fuel Taxes'!AH$1</f>
        <v>2052</v>
      </c>
      <c r="AI12">
        <f>'Fuel Taxes'!AI$1</f>
        <v>2053</v>
      </c>
      <c r="AJ12">
        <f>'Fuel Taxes'!AJ$1</f>
        <v>2054</v>
      </c>
      <c r="AK12">
        <f>'Fuel Taxes'!AK$1</f>
        <v>2055</v>
      </c>
      <c r="AL12">
        <f>'Fuel Taxes'!AL$1</f>
        <v>2056</v>
      </c>
      <c r="AM12">
        <f>'Fuel Taxes'!AM$1</f>
        <v>2057</v>
      </c>
      <c r="AN12">
        <f>'Fuel Taxes'!AN$1</f>
        <v>2058</v>
      </c>
      <c r="AO12">
        <f>'Fuel Taxes'!AO$1</f>
        <v>2059</v>
      </c>
      <c r="AP12">
        <f>'Fuel Taxes'!AP$1</f>
        <v>2060</v>
      </c>
      <c r="AQ12">
        <f>'Fuel Taxes'!AQ$1</f>
        <v>2061</v>
      </c>
      <c r="AR12">
        <f>'Fuel Taxes'!AR$1</f>
        <v>2062</v>
      </c>
      <c r="AS12">
        <f>'Fuel Taxes'!AS$1</f>
        <v>2063</v>
      </c>
      <c r="AT12">
        <f>'Fuel Taxes'!AT$1</f>
        <v>2064</v>
      </c>
      <c r="AU12">
        <f>'Fuel Taxes'!AU$1</f>
        <v>2065</v>
      </c>
      <c r="AV12">
        <f>'Fuel Taxes'!AV$1</f>
        <v>2066</v>
      </c>
      <c r="AW12">
        <f>'Fuel Taxes'!AW$1</f>
        <v>2067</v>
      </c>
      <c r="AX12">
        <f>'Fuel Taxes'!AX$1</f>
        <v>2068</v>
      </c>
      <c r="AY12">
        <f>'Fuel Taxes'!AY$1</f>
        <v>2069</v>
      </c>
      <c r="AZ12">
        <f>'Fuel Taxes'!AZ$1</f>
        <v>2070</v>
      </c>
    </row>
    <row r="13" spans="1:52" x14ac:dyDescent="0.25">
      <c r="A13" t="s">
        <v>52</v>
      </c>
      <c r="B13">
        <f>'Pretax Fuel Prices'!B14+'Fuel Taxes'!B14</f>
        <v>1.1544358835513173E-5</v>
      </c>
      <c r="C13">
        <f>'Pretax Fuel Prices'!C14+'Fuel Taxes'!C14</f>
        <v>1.2664456974396148E-5</v>
      </c>
      <c r="D13">
        <f>'Pretax Fuel Prices'!D14+'Fuel Taxes'!D14</f>
        <v>2.3392854323977958E-5</v>
      </c>
      <c r="E13">
        <f>'Pretax Fuel Prices'!E14+'Fuel Taxes'!E14</f>
        <v>2.0144430314910114E-5</v>
      </c>
      <c r="F13">
        <f>'Pretax Fuel Prices'!F14+'Fuel Taxes'!F14</f>
        <v>1.5218808768037451E-5</v>
      </c>
      <c r="G13">
        <f>'Pretax Fuel Prices'!G14+'Fuel Taxes'!G14</f>
        <v>1.4150849855486276E-5</v>
      </c>
      <c r="H13">
        <f>'Pretax Fuel Prices'!H14+'Fuel Taxes'!H14</f>
        <v>1.3583798386342955E-5</v>
      </c>
      <c r="I13">
        <f>'Pretax Fuel Prices'!I14+'Fuel Taxes'!I14</f>
        <v>1.3016746917199636E-5</v>
      </c>
      <c r="J13">
        <f>'Pretax Fuel Prices'!J14+'Fuel Taxes'!J14</f>
        <v>1.2449695448056318E-5</v>
      </c>
      <c r="K13">
        <f>'Pretax Fuel Prices'!K14+'Fuel Taxes'!K14</f>
        <v>1.1882643978912997E-5</v>
      </c>
      <c r="L13">
        <f>'Pretax Fuel Prices'!L14+'Fuel Taxes'!L14</f>
        <v>1.1315592509769678E-5</v>
      </c>
      <c r="M13">
        <f>'Pretax Fuel Prices'!M14+'Fuel Taxes'!M14</f>
        <v>1.1076968610244541E-5</v>
      </c>
      <c r="N13">
        <f>'Pretax Fuel Prices'!N14+'Fuel Taxes'!N14</f>
        <v>1.1007823656065623E-5</v>
      </c>
      <c r="O13">
        <f>'Pretax Fuel Prices'!O14+'Fuel Taxes'!O14</f>
        <v>1.0896579090749622E-5</v>
      </c>
      <c r="P13">
        <f>'Pretax Fuel Prices'!P14+'Fuel Taxes'!P14</f>
        <v>1.0773150947471319E-5</v>
      </c>
      <c r="Q13">
        <f>'Pretax Fuel Prices'!Q14+'Fuel Taxes'!Q14</f>
        <v>1.0655434022696101E-5</v>
      </c>
      <c r="R13">
        <f>'Pretax Fuel Prices'!R14+'Fuel Taxes'!R14</f>
        <v>1.0545914000525482E-5</v>
      </c>
      <c r="S13">
        <f>'Pretax Fuel Prices'!S14+'Fuel Taxes'!S14</f>
        <v>1.0441387524324701E-5</v>
      </c>
      <c r="T13">
        <f>'Pretax Fuel Prices'!T14+'Fuel Taxes'!T14</f>
        <v>1.0394623485276902E-5</v>
      </c>
      <c r="U13">
        <f>'Pretax Fuel Prices'!U14+'Fuel Taxes'!U14</f>
        <v>1.0312139047930731E-5</v>
      </c>
      <c r="V13">
        <f>'Pretax Fuel Prices'!V14+'Fuel Taxes'!V14</f>
        <v>1.0273084887728882E-5</v>
      </c>
      <c r="W13">
        <f>'Pretax Fuel Prices'!W14+'Fuel Taxes'!W14</f>
        <v>1.0207876043599385E-5</v>
      </c>
      <c r="X13">
        <f>'Pretax Fuel Prices'!X14+'Fuel Taxes'!X14</f>
        <v>1.015325841377685E-5</v>
      </c>
      <c r="Y13">
        <f>'Pretax Fuel Prices'!Y14+'Fuel Taxes'!Y14</f>
        <v>1.0097672946211713E-5</v>
      </c>
      <c r="Z13">
        <f>'Pretax Fuel Prices'!Z14+'Fuel Taxes'!Z14</f>
        <v>1.0055358654292129E-5</v>
      </c>
      <c r="AA13">
        <f>'Pretax Fuel Prices'!AA14+'Fuel Taxes'!AA14</f>
        <v>1.0028705414167095E-5</v>
      </c>
      <c r="AB13">
        <f>'Pretax Fuel Prices'!AB14+'Fuel Taxes'!AB14</f>
        <v>1.0012018862436297E-5</v>
      </c>
      <c r="AC13">
        <f>'Pretax Fuel Prices'!AC14+'Fuel Taxes'!AC14</f>
        <v>1.001068021243301E-5</v>
      </c>
      <c r="AD13">
        <f>'Pretax Fuel Prices'!AD14+'Fuel Taxes'!AD14</f>
        <v>1.0019043891843856E-5</v>
      </c>
      <c r="AE13">
        <f>'Pretax Fuel Prices'!AE14+'Fuel Taxes'!AE14</f>
        <v>1.0048569596323185E-5</v>
      </c>
      <c r="AF13">
        <f>'Pretax Fuel Prices'!AF14+'Fuel Taxes'!AF14</f>
        <v>1.0066634718037486E-5</v>
      </c>
      <c r="AG13">
        <f>'Pretax Fuel Prices'!AG14+'Fuel Taxes'!AG14</f>
        <v>9.9915919825191043E-6</v>
      </c>
      <c r="AH13">
        <f>'Pretax Fuel Prices'!AH14+'Fuel Taxes'!AH14</f>
        <v>9.9165492470007211E-6</v>
      </c>
      <c r="AI13">
        <f>'Pretax Fuel Prices'!AI14+'Fuel Taxes'!AI14</f>
        <v>9.841506511482338E-6</v>
      </c>
      <c r="AJ13">
        <f>'Pretax Fuel Prices'!AJ14+'Fuel Taxes'!AJ14</f>
        <v>9.7664637759639565E-6</v>
      </c>
      <c r="AK13">
        <f>'Pretax Fuel Prices'!AK14+'Fuel Taxes'!AK14</f>
        <v>9.6914210404455734E-6</v>
      </c>
      <c r="AL13">
        <f>'Pretax Fuel Prices'!AL14+'Fuel Taxes'!AL14</f>
        <v>9.6163783049271919E-6</v>
      </c>
      <c r="AM13">
        <f>'Pretax Fuel Prices'!AM14+'Fuel Taxes'!AM14</f>
        <v>9.5413355694088088E-6</v>
      </c>
      <c r="AN13">
        <f>'Pretax Fuel Prices'!AN14+'Fuel Taxes'!AN14</f>
        <v>9.4662928338904273E-6</v>
      </c>
      <c r="AO13">
        <f>'Pretax Fuel Prices'!AO14+'Fuel Taxes'!AO14</f>
        <v>9.3912500983720442E-6</v>
      </c>
      <c r="AP13">
        <f>'Pretax Fuel Prices'!AP14+'Fuel Taxes'!AP14</f>
        <v>9.3162073628536611E-6</v>
      </c>
      <c r="AQ13">
        <f>'Pretax Fuel Prices'!AQ14+'Fuel Taxes'!AQ14</f>
        <v>9.2411646273352796E-6</v>
      </c>
      <c r="AR13">
        <f>'Pretax Fuel Prices'!AR14+'Fuel Taxes'!AR14</f>
        <v>9.1661218918168965E-6</v>
      </c>
      <c r="AS13">
        <f>'Pretax Fuel Prices'!AS14+'Fuel Taxes'!AS14</f>
        <v>9.091079156298515E-6</v>
      </c>
      <c r="AT13">
        <f>'Pretax Fuel Prices'!AT14+'Fuel Taxes'!AT14</f>
        <v>9.0160364207801319E-6</v>
      </c>
      <c r="AU13">
        <f>'Pretax Fuel Prices'!AU14+'Fuel Taxes'!AU14</f>
        <v>8.9409936852617504E-6</v>
      </c>
      <c r="AV13">
        <f>'Pretax Fuel Prices'!AV14+'Fuel Taxes'!AV14</f>
        <v>8.8659509497433673E-6</v>
      </c>
      <c r="AW13">
        <f>'Pretax Fuel Prices'!AW14+'Fuel Taxes'!AW14</f>
        <v>8.7909082142249841E-6</v>
      </c>
      <c r="AX13">
        <f>'Pretax Fuel Prices'!AX14+'Fuel Taxes'!AX14</f>
        <v>8.7158654787066027E-6</v>
      </c>
      <c r="AY13">
        <f>'Pretax Fuel Prices'!AY14+'Fuel Taxes'!AY14</f>
        <v>8.6408227431882196E-6</v>
      </c>
      <c r="AZ13">
        <f>'Pretax Fuel Prices'!AZ14+'Fuel Taxes'!AZ14</f>
        <v>8.5657800076698381E-6</v>
      </c>
    </row>
    <row r="14" spans="1:52" x14ac:dyDescent="0.25">
      <c r="A14" t="s">
        <v>53</v>
      </c>
      <c r="B14">
        <f>'Pretax Fuel Prices'!B15+'Fuel Taxes'!B15</f>
        <v>2.1712290946907202E-6</v>
      </c>
      <c r="C14">
        <f>'Pretax Fuel Prices'!C15+'Fuel Taxes'!C15</f>
        <v>3.9825777575192239E-6</v>
      </c>
      <c r="D14">
        <f>'Pretax Fuel Prices'!D15+'Fuel Taxes'!D15</f>
        <v>7.3563249892129044E-6</v>
      </c>
      <c r="E14">
        <f>'Pretax Fuel Prices'!E15+'Fuel Taxes'!E15</f>
        <v>6.3347966890528507E-6</v>
      </c>
      <c r="F14">
        <f>'Pretax Fuel Prices'!F15+'Fuel Taxes'!F15</f>
        <v>4.7858419368521275E-6</v>
      </c>
      <c r="G14">
        <f>'Pretax Fuel Prices'!G15+'Fuel Taxes'!G15</f>
        <v>4.4500020804990664E-6</v>
      </c>
      <c r="H14">
        <f>'Pretax Fuel Prices'!H15+'Fuel Taxes'!H15</f>
        <v>4.2004717946518315E-6</v>
      </c>
      <c r="I14">
        <f>'Pretax Fuel Prices'!I15+'Fuel Taxes'!I15</f>
        <v>3.9509415088045965E-6</v>
      </c>
      <c r="J14">
        <f>'Pretax Fuel Prices'!J15+'Fuel Taxes'!J15</f>
        <v>3.7014112229573612E-6</v>
      </c>
      <c r="K14">
        <f>'Pretax Fuel Prices'!K15+'Fuel Taxes'!K15</f>
        <v>3.4518809371101263E-6</v>
      </c>
      <c r="L14">
        <f>'Pretax Fuel Prices'!L15+'Fuel Taxes'!L15</f>
        <v>3.2023506512628905E-6</v>
      </c>
      <c r="M14">
        <f>'Pretax Fuel Prices'!M15+'Fuel Taxes'!M15</f>
        <v>3.2007911107024047E-6</v>
      </c>
      <c r="N14">
        <f>'Pretax Fuel Prices'!N15+'Fuel Taxes'!N15</f>
        <v>3.2490304147968981E-6</v>
      </c>
      <c r="O14">
        <f>'Pretax Fuel Prices'!O15+'Fuel Taxes'!O15</f>
        <v>3.3088695780318461E-6</v>
      </c>
      <c r="P14">
        <f>'Pretax Fuel Prices'!P15+'Fuel Taxes'!P15</f>
        <v>3.3385691562027886E-6</v>
      </c>
      <c r="Q14">
        <f>'Pretax Fuel Prices'!Q15+'Fuel Taxes'!Q15</f>
        <v>3.3387802885426048E-6</v>
      </c>
      <c r="R14">
        <f>'Pretax Fuel Prices'!R15+'Fuel Taxes'!R15</f>
        <v>3.3407780617748092E-6</v>
      </c>
      <c r="S14">
        <f>'Pretax Fuel Prices'!S15+'Fuel Taxes'!S15</f>
        <v>3.3229276208430089E-6</v>
      </c>
      <c r="T14">
        <f>'Pretax Fuel Prices'!T15+'Fuel Taxes'!T15</f>
        <v>3.3486218943321581E-6</v>
      </c>
      <c r="U14">
        <f>'Pretax Fuel Prices'!U15+'Fuel Taxes'!U15</f>
        <v>3.3471688070522509E-6</v>
      </c>
      <c r="V14">
        <f>'Pretax Fuel Prices'!V15+'Fuel Taxes'!V15</f>
        <v>3.346039515167439E-6</v>
      </c>
      <c r="W14">
        <f>'Pretax Fuel Prices'!W15+'Fuel Taxes'!W15</f>
        <v>3.3372376030848771E-6</v>
      </c>
      <c r="X14">
        <f>'Pretax Fuel Prices'!X15+'Fuel Taxes'!X15</f>
        <v>3.3246166795615337E-6</v>
      </c>
      <c r="Y14">
        <f>'Pretax Fuel Prices'!Y15+'Fuel Taxes'!Y15</f>
        <v>3.3106500091495341E-6</v>
      </c>
      <c r="Z14">
        <f>'Pretax Fuel Prices'!Z15+'Fuel Taxes'!Z15</f>
        <v>3.3103741177306995E-6</v>
      </c>
      <c r="AA14">
        <f>'Pretax Fuel Prices'!AA15+'Fuel Taxes'!AA15</f>
        <v>3.3168349447511898E-6</v>
      </c>
      <c r="AB14">
        <f>'Pretax Fuel Prices'!AB15+'Fuel Taxes'!AB15</f>
        <v>3.3205962939983232E-6</v>
      </c>
      <c r="AC14">
        <f>'Pretax Fuel Prices'!AC15+'Fuel Taxes'!AC15</f>
        <v>3.337941968958043E-6</v>
      </c>
      <c r="AD14">
        <f>'Pretax Fuel Prices'!AD15+'Fuel Taxes'!AD15</f>
        <v>3.3805516687312366E-6</v>
      </c>
      <c r="AE14">
        <f>'Pretax Fuel Prices'!AE15+'Fuel Taxes'!AE15</f>
        <v>3.4248601854403401E-6</v>
      </c>
      <c r="AF14">
        <f>'Pretax Fuel Prices'!AF15+'Fuel Taxes'!AF15</f>
        <v>3.4610951079281799E-6</v>
      </c>
      <c r="AG14">
        <f>'Pretax Fuel Prices'!AG15+'Fuel Taxes'!AG15</f>
        <v>3.4681891899546012E-6</v>
      </c>
      <c r="AH14">
        <f>'Pretax Fuel Prices'!AH15+'Fuel Taxes'!AH15</f>
        <v>3.4753480131326238E-6</v>
      </c>
      <c r="AI14">
        <f>'Pretax Fuel Prices'!AI15+'Fuel Taxes'!AI15</f>
        <v>3.4825068363106463E-6</v>
      </c>
      <c r="AJ14">
        <f>'Pretax Fuel Prices'!AJ15+'Fuel Taxes'!AJ15</f>
        <v>3.4896656594886693E-6</v>
      </c>
      <c r="AK14">
        <f>'Pretax Fuel Prices'!AK15+'Fuel Taxes'!AK15</f>
        <v>3.4968244826666918E-6</v>
      </c>
      <c r="AL14">
        <f>'Pretax Fuel Prices'!AL15+'Fuel Taxes'!AL15</f>
        <v>3.5039833058447143E-6</v>
      </c>
      <c r="AM14">
        <f>'Pretax Fuel Prices'!AM15+'Fuel Taxes'!AM15</f>
        <v>3.5111421290227377E-6</v>
      </c>
      <c r="AN14">
        <f>'Pretax Fuel Prices'!AN15+'Fuel Taxes'!AN15</f>
        <v>3.5183009522007603E-6</v>
      </c>
      <c r="AO14">
        <f>'Pretax Fuel Prices'!AO15+'Fuel Taxes'!AO15</f>
        <v>3.5254597753787828E-6</v>
      </c>
      <c r="AP14">
        <f>'Pretax Fuel Prices'!AP15+'Fuel Taxes'!AP15</f>
        <v>3.5326185985568053E-6</v>
      </c>
      <c r="AQ14">
        <f>'Pretax Fuel Prices'!AQ15+'Fuel Taxes'!AQ15</f>
        <v>3.5397774217348283E-6</v>
      </c>
      <c r="AR14">
        <f>'Pretax Fuel Prices'!AR15+'Fuel Taxes'!AR15</f>
        <v>3.5469362449128509E-6</v>
      </c>
      <c r="AS14">
        <f>'Pretax Fuel Prices'!AS15+'Fuel Taxes'!AS15</f>
        <v>3.5540950680908734E-6</v>
      </c>
      <c r="AT14">
        <f>'Pretax Fuel Prices'!AT15+'Fuel Taxes'!AT15</f>
        <v>3.5612538912688964E-6</v>
      </c>
      <c r="AU14">
        <f>'Pretax Fuel Prices'!AU15+'Fuel Taxes'!AU15</f>
        <v>3.5684127144469189E-6</v>
      </c>
      <c r="AV14">
        <f>'Pretax Fuel Prices'!AV15+'Fuel Taxes'!AV15</f>
        <v>3.5755715376249414E-6</v>
      </c>
      <c r="AW14">
        <f>'Pretax Fuel Prices'!AW15+'Fuel Taxes'!AW15</f>
        <v>3.582730360802964E-6</v>
      </c>
      <c r="AX14">
        <f>'Pretax Fuel Prices'!AX15+'Fuel Taxes'!AX15</f>
        <v>3.5898891839809869E-6</v>
      </c>
      <c r="AY14">
        <f>'Pretax Fuel Prices'!AY15+'Fuel Taxes'!AY15</f>
        <v>3.5970480071590099E-6</v>
      </c>
      <c r="AZ14">
        <f>'Pretax Fuel Prices'!AZ15+'Fuel Taxes'!AZ15</f>
        <v>3.6042068303370324E-6</v>
      </c>
    </row>
    <row r="15" spans="1:52" x14ac:dyDescent="0.25">
      <c r="A15" t="s">
        <v>54</v>
      </c>
      <c r="B15">
        <f>'Pretax Fuel Prices'!B16+'Fuel Taxes'!B16</f>
        <v>8.9968244908601252E-6</v>
      </c>
      <c r="C15">
        <f>'Pretax Fuel Prices'!C16+'Fuel Taxes'!C16</f>
        <v>1.2664456974396148E-5</v>
      </c>
      <c r="D15">
        <f>'Pretax Fuel Prices'!D16+'Fuel Taxes'!D16</f>
        <v>2.3392854323977958E-5</v>
      </c>
      <c r="E15">
        <f>'Pretax Fuel Prices'!E16+'Fuel Taxes'!E16</f>
        <v>2.0144430314910114E-5</v>
      </c>
      <c r="F15">
        <f>'Pretax Fuel Prices'!F16+'Fuel Taxes'!F16</f>
        <v>1.5218808768037451E-5</v>
      </c>
      <c r="G15">
        <f>'Pretax Fuel Prices'!G16+'Fuel Taxes'!G16</f>
        <v>1.4150849855486276E-5</v>
      </c>
      <c r="H15">
        <f>'Pretax Fuel Prices'!H16+'Fuel Taxes'!H16</f>
        <v>1.3270762579160109E-5</v>
      </c>
      <c r="I15">
        <f>'Pretax Fuel Prices'!I16+'Fuel Taxes'!I16</f>
        <v>1.2390675302833941E-5</v>
      </c>
      <c r="J15">
        <f>'Pretax Fuel Prices'!J16+'Fuel Taxes'!J16</f>
        <v>1.1510588026507772E-5</v>
      </c>
      <c r="K15">
        <f>'Pretax Fuel Prices'!K16+'Fuel Taxes'!K16</f>
        <v>1.0630500750181605E-5</v>
      </c>
      <c r="L15">
        <f>'Pretax Fuel Prices'!L16+'Fuel Taxes'!L16</f>
        <v>9.7504134738554397E-6</v>
      </c>
      <c r="M15">
        <f>'Pretax Fuel Prices'!M16+'Fuel Taxes'!M16</f>
        <v>9.7916756525186323E-6</v>
      </c>
      <c r="N15">
        <f>'Pretax Fuel Prices'!N16+'Fuel Taxes'!N16</f>
        <v>9.8735036279678971E-6</v>
      </c>
      <c r="O15">
        <f>'Pretax Fuel Prices'!O16+'Fuel Taxes'!O16</f>
        <v>9.9701064316508963E-6</v>
      </c>
      <c r="P15">
        <f>'Pretax Fuel Prices'!P16+'Fuel Taxes'!P16</f>
        <v>1.0028307988586265E-5</v>
      </c>
      <c r="Q15">
        <f>'Pretax Fuel Prices'!Q16+'Fuel Taxes'!Q16</f>
        <v>1.0059383475408698E-5</v>
      </c>
      <c r="R15">
        <f>'Pretax Fuel Prices'!R16+'Fuel Taxes'!R16</f>
        <v>1.0073373210698157E-5</v>
      </c>
      <c r="S15">
        <f>'Pretax Fuel Prices'!S16+'Fuel Taxes'!S16</f>
        <v>1.0097317214832447E-5</v>
      </c>
      <c r="T15">
        <f>'Pretax Fuel Prices'!T16+'Fuel Taxes'!T16</f>
        <v>1.0124695224376091E-5</v>
      </c>
      <c r="U15">
        <f>'Pretax Fuel Prices'!U16+'Fuel Taxes'!U16</f>
        <v>1.0142976801094233E-5</v>
      </c>
      <c r="V15">
        <f>'Pretax Fuel Prices'!V16+'Fuel Taxes'!V16</f>
        <v>1.0149073912739413E-5</v>
      </c>
      <c r="W15">
        <f>'Pretax Fuel Prices'!W16+'Fuel Taxes'!W16</f>
        <v>1.0171052079625673E-5</v>
      </c>
      <c r="X15">
        <f>'Pretax Fuel Prices'!X16+'Fuel Taxes'!X16</f>
        <v>1.0178444372851231E-5</v>
      </c>
      <c r="Y15">
        <f>'Pretax Fuel Prices'!Y16+'Fuel Taxes'!Y16</f>
        <v>1.0190627063702859E-5</v>
      </c>
      <c r="Z15">
        <f>'Pretax Fuel Prices'!Z16+'Fuel Taxes'!Z16</f>
        <v>1.0195048423289583E-5</v>
      </c>
      <c r="AA15">
        <f>'Pretax Fuel Prices'!AA16+'Fuel Taxes'!AA16</f>
        <v>1.0225088651958378E-5</v>
      </c>
      <c r="AB15">
        <f>'Pretax Fuel Prices'!AB16+'Fuel Taxes'!AB16</f>
        <v>1.0241546329135935E-5</v>
      </c>
      <c r="AC15">
        <f>'Pretax Fuel Prices'!AC16+'Fuel Taxes'!AC16</f>
        <v>1.027978612174135E-5</v>
      </c>
      <c r="AD15">
        <f>'Pretax Fuel Prices'!AD16+'Fuel Taxes'!AD16</f>
        <v>1.0320562163756563E-5</v>
      </c>
      <c r="AE15">
        <f>'Pretax Fuel Prices'!AE16+'Fuel Taxes'!AE16</f>
        <v>1.0377926288218045E-5</v>
      </c>
      <c r="AF15">
        <f>'Pretax Fuel Prices'!AF16+'Fuel Taxes'!AF16</f>
        <v>1.0430654372310297E-5</v>
      </c>
      <c r="AG15">
        <f>'Pretax Fuel Prices'!AG16+'Fuel Taxes'!AG16</f>
        <v>1.0422667239444553E-5</v>
      </c>
      <c r="AH15">
        <f>'Pretax Fuel Prices'!AH16+'Fuel Taxes'!AH16</f>
        <v>1.0414814935168889E-5</v>
      </c>
      <c r="AI15">
        <f>'Pretax Fuel Prices'!AI16+'Fuel Taxes'!AI16</f>
        <v>1.0406962630893226E-5</v>
      </c>
      <c r="AJ15">
        <f>'Pretax Fuel Prices'!AJ16+'Fuel Taxes'!AJ16</f>
        <v>1.0399110326617564E-5</v>
      </c>
      <c r="AK15">
        <f>'Pretax Fuel Prices'!AK16+'Fuel Taxes'!AK16</f>
        <v>1.0391258022341902E-5</v>
      </c>
      <c r="AL15">
        <f>'Pretax Fuel Prices'!AL16+'Fuel Taxes'!AL16</f>
        <v>1.0383405718066238E-5</v>
      </c>
      <c r="AM15">
        <f>'Pretax Fuel Prices'!AM16+'Fuel Taxes'!AM16</f>
        <v>1.0375553413790575E-5</v>
      </c>
      <c r="AN15">
        <f>'Pretax Fuel Prices'!AN16+'Fuel Taxes'!AN16</f>
        <v>1.0367701109514911E-5</v>
      </c>
      <c r="AO15">
        <f>'Pretax Fuel Prices'!AO16+'Fuel Taxes'!AO16</f>
        <v>1.0359848805239247E-5</v>
      </c>
      <c r="AP15">
        <f>'Pretax Fuel Prices'!AP16+'Fuel Taxes'!AP16</f>
        <v>1.0351996500963584E-5</v>
      </c>
      <c r="AQ15">
        <f>'Pretax Fuel Prices'!AQ16+'Fuel Taxes'!AQ16</f>
        <v>1.034414419668792E-5</v>
      </c>
      <c r="AR15">
        <f>'Pretax Fuel Prices'!AR16+'Fuel Taxes'!AR16</f>
        <v>1.033629189241226E-5</v>
      </c>
      <c r="AS15">
        <f>'Pretax Fuel Prices'!AS16+'Fuel Taxes'!AS16</f>
        <v>1.0328439588136596E-5</v>
      </c>
      <c r="AT15">
        <f>'Pretax Fuel Prices'!AT16+'Fuel Taxes'!AT16</f>
        <v>1.0320587283860932E-5</v>
      </c>
      <c r="AU15">
        <f>'Pretax Fuel Prices'!AU16+'Fuel Taxes'!AU16</f>
        <v>1.0312734979585269E-5</v>
      </c>
      <c r="AV15">
        <f>'Pretax Fuel Prices'!AV16+'Fuel Taxes'!AV16</f>
        <v>1.0304882675309605E-5</v>
      </c>
      <c r="AW15">
        <f>'Pretax Fuel Prices'!AW16+'Fuel Taxes'!AW16</f>
        <v>1.0297030371033941E-5</v>
      </c>
      <c r="AX15">
        <f>'Pretax Fuel Prices'!AX16+'Fuel Taxes'!AX16</f>
        <v>1.028917806675828E-5</v>
      </c>
      <c r="AY15">
        <f>'Pretax Fuel Prices'!AY16+'Fuel Taxes'!AY16</f>
        <v>1.0281325762482618E-5</v>
      </c>
      <c r="AZ15">
        <f>'Pretax Fuel Prices'!AZ16+'Fuel Taxes'!AZ16</f>
        <v>1.0273473458206954E-5</v>
      </c>
    </row>
    <row r="16" spans="1:52" x14ac:dyDescent="0.25">
      <c r="A16" t="s">
        <v>55</v>
      </c>
      <c r="B16">
        <f>'Pretax Fuel Prices'!B17+'Fuel Taxes'!B17</f>
        <v>6.4115622164591146E-6</v>
      </c>
      <c r="C16">
        <f>'Pretax Fuel Prices'!C17+'Fuel Taxes'!C17</f>
        <v>9.3060414044705541E-6</v>
      </c>
      <c r="D16">
        <f>'Pretax Fuel Prices'!D17+'Fuel Taxes'!D17</f>
        <v>1.7189435863519669E-5</v>
      </c>
      <c r="E16">
        <f>'Pretax Fuel Prices'!E17+'Fuel Taxes'!E17</f>
        <v>1.4802443007151813E-5</v>
      </c>
      <c r="F16">
        <f>'Pretax Fuel Prices'!F17+'Fuel Taxes'!F17</f>
        <v>1.1183019122604654E-5</v>
      </c>
      <c r="G16">
        <f>'Pretax Fuel Prices'!G17+'Fuel Taxes'!G17</f>
        <v>1.0398266181474429E-5</v>
      </c>
      <c r="H16">
        <f>'Pretax Fuel Prices'!H17+'Fuel Taxes'!H17</f>
        <v>9.7728002423191557E-6</v>
      </c>
      <c r="I16">
        <f>'Pretax Fuel Prices'!I17+'Fuel Taxes'!I17</f>
        <v>9.1473343031638823E-6</v>
      </c>
      <c r="J16">
        <f>'Pretax Fuel Prices'!J17+'Fuel Taxes'!J17</f>
        <v>8.5218683640086072E-6</v>
      </c>
      <c r="K16">
        <f>'Pretax Fuel Prices'!K17+'Fuel Taxes'!K17</f>
        <v>7.8964024248533338E-6</v>
      </c>
      <c r="L16">
        <f>'Pretax Fuel Prices'!L17+'Fuel Taxes'!L17</f>
        <v>7.2709364856980579E-6</v>
      </c>
      <c r="M16">
        <f>'Pretax Fuel Prices'!M17+'Fuel Taxes'!M17</f>
        <v>7.2802156633218835E-6</v>
      </c>
      <c r="N16">
        <f>'Pretax Fuel Prices'!N17+'Fuel Taxes'!N17</f>
        <v>7.3283094812662519E-6</v>
      </c>
      <c r="O16">
        <f>'Pretax Fuel Prices'!O17+'Fuel Taxes'!O17</f>
        <v>7.4033776733987356E-6</v>
      </c>
      <c r="P16">
        <f>'Pretax Fuel Prices'!P17+'Fuel Taxes'!P17</f>
        <v>7.4444233970580856E-6</v>
      </c>
      <c r="Q16">
        <f>'Pretax Fuel Prices'!Q17+'Fuel Taxes'!Q17</f>
        <v>7.4612190634014793E-6</v>
      </c>
      <c r="R16">
        <f>'Pretax Fuel Prices'!R17+'Fuel Taxes'!R17</f>
        <v>7.4626774733454137E-6</v>
      </c>
      <c r="S16">
        <f>'Pretax Fuel Prices'!S17+'Fuel Taxes'!S17</f>
        <v>7.4742258800669226E-6</v>
      </c>
      <c r="T16">
        <f>'Pretax Fuel Prices'!T17+'Fuel Taxes'!T17</f>
        <v>7.4895968466718954E-6</v>
      </c>
      <c r="U16">
        <f>'Pretax Fuel Prices'!U17+'Fuel Taxes'!U17</f>
        <v>7.4982000459640435E-6</v>
      </c>
      <c r="V16">
        <f>'Pretax Fuel Prices'!V17+'Fuel Taxes'!V17</f>
        <v>7.4964187277356843E-6</v>
      </c>
      <c r="W16">
        <f>'Pretax Fuel Prices'!W17+'Fuel Taxes'!W17</f>
        <v>7.5105761269420554E-6</v>
      </c>
      <c r="X16">
        <f>'Pretax Fuel Prices'!X17+'Fuel Taxes'!X17</f>
        <v>7.5098176473179269E-6</v>
      </c>
      <c r="Y16">
        <f>'Pretax Fuel Prices'!Y17+'Fuel Taxes'!Y17</f>
        <v>7.5159440336152647E-6</v>
      </c>
      <c r="Z16">
        <f>'Pretax Fuel Prices'!Z17+'Fuel Taxes'!Z17</f>
        <v>7.5131842323162464E-6</v>
      </c>
      <c r="AA16">
        <f>'Pretax Fuel Prices'!AA17+'Fuel Taxes'!AA17</f>
        <v>7.5360450743206428E-6</v>
      </c>
      <c r="AB16">
        <f>'Pretax Fuel Prices'!AB17+'Fuel Taxes'!AB17</f>
        <v>7.5463790265328746E-6</v>
      </c>
      <c r="AC16">
        <f>'Pretax Fuel Prices'!AC17+'Fuel Taxes'!AC17</f>
        <v>7.5774394324738908E-6</v>
      </c>
      <c r="AD16">
        <f>'Pretax Fuel Prices'!AD17+'Fuel Taxes'!AD17</f>
        <v>7.6114024645320334E-6</v>
      </c>
      <c r="AE16">
        <f>'Pretax Fuel Prices'!AE17+'Fuel Taxes'!AE17</f>
        <v>7.6603141985155189E-6</v>
      </c>
      <c r="AF16">
        <f>'Pretax Fuel Prices'!AF17+'Fuel Taxes'!AF17</f>
        <v>7.7048782030980139E-6</v>
      </c>
      <c r="AG16">
        <f>'Pretax Fuel Prices'!AG17+'Fuel Taxes'!AG17</f>
        <v>7.7005258622938114E-6</v>
      </c>
      <c r="AH16">
        <f>'Pretax Fuel Prices'!AH17+'Fuel Taxes'!AH17</f>
        <v>7.6962821516571142E-6</v>
      </c>
      <c r="AI16">
        <f>'Pretax Fuel Prices'!AI17+'Fuel Taxes'!AI17</f>
        <v>7.6920384410204188E-6</v>
      </c>
      <c r="AJ16">
        <f>'Pretax Fuel Prices'!AJ17+'Fuel Taxes'!AJ17</f>
        <v>7.6877947303837216E-6</v>
      </c>
      <c r="AK16">
        <f>'Pretax Fuel Prices'!AK17+'Fuel Taxes'!AK17</f>
        <v>7.6835510197470262E-6</v>
      </c>
      <c r="AL16">
        <f>'Pretax Fuel Prices'!AL17+'Fuel Taxes'!AL17</f>
        <v>7.6793073091103291E-6</v>
      </c>
      <c r="AM16">
        <f>'Pretax Fuel Prices'!AM17+'Fuel Taxes'!AM17</f>
        <v>7.6750635984736336E-6</v>
      </c>
      <c r="AN16">
        <f>'Pretax Fuel Prices'!AN17+'Fuel Taxes'!AN17</f>
        <v>7.6708198878369381E-6</v>
      </c>
      <c r="AO16">
        <f>'Pretax Fuel Prices'!AO17+'Fuel Taxes'!AO17</f>
        <v>7.666576177200241E-6</v>
      </c>
      <c r="AP16">
        <f>'Pretax Fuel Prices'!AP17+'Fuel Taxes'!AP17</f>
        <v>7.6623324665635456E-6</v>
      </c>
      <c r="AQ16">
        <f>'Pretax Fuel Prices'!AQ17+'Fuel Taxes'!AQ17</f>
        <v>7.6580887559268484E-6</v>
      </c>
      <c r="AR16">
        <f>'Pretax Fuel Prices'!AR17+'Fuel Taxes'!AR17</f>
        <v>7.653845045290153E-6</v>
      </c>
      <c r="AS16">
        <f>'Pretax Fuel Prices'!AS17+'Fuel Taxes'!AS17</f>
        <v>7.6496013346534558E-6</v>
      </c>
      <c r="AT16">
        <f>'Pretax Fuel Prices'!AT17+'Fuel Taxes'!AT17</f>
        <v>7.6453576240167604E-6</v>
      </c>
      <c r="AU16">
        <f>'Pretax Fuel Prices'!AU17+'Fuel Taxes'!AU17</f>
        <v>7.6411139133800649E-6</v>
      </c>
      <c r="AV16">
        <f>'Pretax Fuel Prices'!AV17+'Fuel Taxes'!AV17</f>
        <v>7.6368702027433678E-6</v>
      </c>
      <c r="AW16">
        <f>'Pretax Fuel Prices'!AW17+'Fuel Taxes'!AW17</f>
        <v>7.6326264921066723E-6</v>
      </c>
      <c r="AX16">
        <f>'Pretax Fuel Prices'!AX17+'Fuel Taxes'!AX17</f>
        <v>7.628382781469976E-6</v>
      </c>
      <c r="AY16">
        <f>'Pretax Fuel Prices'!AY17+'Fuel Taxes'!AY17</f>
        <v>7.6241390708332797E-6</v>
      </c>
      <c r="AZ16">
        <f>'Pretax Fuel Prices'!AZ17+'Fuel Taxes'!AZ17</f>
        <v>7.6198953601965834E-6</v>
      </c>
    </row>
    <row r="17" spans="1:52" x14ac:dyDescent="0.25">
      <c r="A17" t="s">
        <v>56</v>
      </c>
      <c r="B17">
        <f>'Pretax Fuel Prices'!B18+'Fuel Taxes'!B18</f>
        <v>2.7154564107707938E-6</v>
      </c>
      <c r="C17">
        <f>'Pretax Fuel Prices'!C18+'Fuel Taxes'!C18</f>
        <v>4.7304897693187761E-6</v>
      </c>
      <c r="D17">
        <f>'Pretax Fuel Prices'!D18+'Fuel Taxes'!D18</f>
        <v>8.7378130999587174E-6</v>
      </c>
      <c r="E17">
        <f>'Pretax Fuel Prices'!E18+'Fuel Taxes'!E18</f>
        <v>7.5244459123744572E-6</v>
      </c>
      <c r="F17">
        <f>'Pretax Fuel Prices'!F18+'Fuel Taxes'!F18</f>
        <v>5.6846037160509745E-6</v>
      </c>
      <c r="G17">
        <f>'Pretax Fuel Prices'!G18+'Fuel Taxes'!G18</f>
        <v>5.2856944915899691E-6</v>
      </c>
      <c r="H17">
        <f>'Pretax Fuel Prices'!H18+'Fuel Taxes'!H18</f>
        <v>4.9733430190289945E-6</v>
      </c>
      <c r="I17">
        <f>'Pretax Fuel Prices'!I18+'Fuel Taxes'!I18</f>
        <v>4.6609915464680208E-6</v>
      </c>
      <c r="J17">
        <f>'Pretax Fuel Prices'!J18+'Fuel Taxes'!J18</f>
        <v>4.3486400739070462E-6</v>
      </c>
      <c r="K17">
        <f>'Pretax Fuel Prices'!K18+'Fuel Taxes'!K18</f>
        <v>4.0362886013460717E-6</v>
      </c>
      <c r="L17">
        <f>'Pretax Fuel Prices'!L18+'Fuel Taxes'!L18</f>
        <v>3.7239371287850988E-6</v>
      </c>
      <c r="M17">
        <f>'Pretax Fuel Prices'!M18+'Fuel Taxes'!M18</f>
        <v>3.731476682382125E-6</v>
      </c>
      <c r="N17">
        <f>'Pretax Fuel Prices'!N18+'Fuel Taxes'!N18</f>
        <v>3.7775470008848158E-6</v>
      </c>
      <c r="O17">
        <f>'Pretax Fuel Prices'!O18+'Fuel Taxes'!O18</f>
        <v>3.841298322181052E-6</v>
      </c>
      <c r="P17">
        <f>'Pretax Fuel Prices'!P18+'Fuel Taxes'!P18</f>
        <v>3.8703804713246341E-6</v>
      </c>
      <c r="Q17">
        <f>'Pretax Fuel Prices'!Q18+'Fuel Taxes'!Q18</f>
        <v>3.8799594923554262E-6</v>
      </c>
      <c r="R17">
        <f>'Pretax Fuel Prices'!R18+'Fuel Taxes'!R18</f>
        <v>3.8803968379164723E-6</v>
      </c>
      <c r="S17">
        <f>'Pretax Fuel Prices'!S18+'Fuel Taxes'!S18</f>
        <v>3.8706244267592957E-6</v>
      </c>
      <c r="T17">
        <f>'Pretax Fuel Prices'!T18+'Fuel Taxes'!T18</f>
        <v>3.8865817735181276E-6</v>
      </c>
      <c r="U17">
        <f>'Pretax Fuel Prices'!U18+'Fuel Taxes'!U18</f>
        <v>3.8803338530587966E-6</v>
      </c>
      <c r="V17">
        <f>'Pretax Fuel Prices'!V18+'Fuel Taxes'!V18</f>
        <v>3.8721334020115065E-6</v>
      </c>
      <c r="W17">
        <f>'Pretax Fuel Prices'!W18+'Fuel Taxes'!W18</f>
        <v>3.8691402906058862E-6</v>
      </c>
      <c r="X17">
        <f>'Pretax Fuel Prices'!X18+'Fuel Taxes'!X18</f>
        <v>3.8525876925864822E-6</v>
      </c>
      <c r="Y17">
        <f>'Pretax Fuel Prices'!Y18+'Fuel Taxes'!Y18</f>
        <v>3.8375901995742071E-6</v>
      </c>
      <c r="Z17">
        <f>'Pretax Fuel Prices'!Z18+'Fuel Taxes'!Z18</f>
        <v>3.8296807208271678E-6</v>
      </c>
      <c r="AA17">
        <f>'Pretax Fuel Prices'!AA18+'Fuel Taxes'!AA18</f>
        <v>3.8360714661046095E-6</v>
      </c>
      <c r="AB17">
        <f>'Pretax Fuel Prices'!AB18+'Fuel Taxes'!AB18</f>
        <v>3.8387052976882755E-6</v>
      </c>
      <c r="AC17">
        <f>'Pretax Fuel Prices'!AC18+'Fuel Taxes'!AC18</f>
        <v>3.8583361697377625E-6</v>
      </c>
      <c r="AD17">
        <f>'Pretax Fuel Prices'!AD18+'Fuel Taxes'!AD18</f>
        <v>3.8936449486845613E-6</v>
      </c>
      <c r="AE17">
        <f>'Pretax Fuel Prices'!AE18+'Fuel Taxes'!AE18</f>
        <v>3.9410290780917352E-6</v>
      </c>
      <c r="AF17">
        <f>'Pretax Fuel Prices'!AF18+'Fuel Taxes'!AF18</f>
        <v>3.9748741244305693E-6</v>
      </c>
      <c r="AG17">
        <f>'Pretax Fuel Prices'!AG18+'Fuel Taxes'!AG18</f>
        <v>3.9780086223429772E-6</v>
      </c>
      <c r="AH17">
        <f>'Pretax Fuel Prices'!AH18+'Fuel Taxes'!AH18</f>
        <v>3.9812113734575636E-6</v>
      </c>
      <c r="AI17">
        <f>'Pretax Fuel Prices'!AI18+'Fuel Taxes'!AI18</f>
        <v>3.9844141245721491E-6</v>
      </c>
      <c r="AJ17">
        <f>'Pretax Fuel Prices'!AJ18+'Fuel Taxes'!AJ18</f>
        <v>3.9876168756867346E-6</v>
      </c>
      <c r="AK17">
        <f>'Pretax Fuel Prices'!AK18+'Fuel Taxes'!AK18</f>
        <v>3.9908196268013209E-6</v>
      </c>
      <c r="AL17">
        <f>'Pretax Fuel Prices'!AL18+'Fuel Taxes'!AL18</f>
        <v>3.9940223779159064E-6</v>
      </c>
      <c r="AM17">
        <f>'Pretax Fuel Prices'!AM18+'Fuel Taxes'!AM18</f>
        <v>3.9972251290304919E-6</v>
      </c>
      <c r="AN17">
        <f>'Pretax Fuel Prices'!AN18+'Fuel Taxes'!AN18</f>
        <v>4.0004278801450774E-6</v>
      </c>
      <c r="AO17">
        <f>'Pretax Fuel Prices'!AO18+'Fuel Taxes'!AO18</f>
        <v>4.0036306312596638E-6</v>
      </c>
      <c r="AP17">
        <f>'Pretax Fuel Prices'!AP18+'Fuel Taxes'!AP18</f>
        <v>4.0068333823742493E-6</v>
      </c>
      <c r="AQ17">
        <f>'Pretax Fuel Prices'!AQ18+'Fuel Taxes'!AQ18</f>
        <v>4.0100361334888348E-6</v>
      </c>
      <c r="AR17">
        <f>'Pretax Fuel Prices'!AR18+'Fuel Taxes'!AR18</f>
        <v>4.0132388846034203E-6</v>
      </c>
      <c r="AS17">
        <f>'Pretax Fuel Prices'!AS18+'Fuel Taxes'!AS18</f>
        <v>4.0164416357180067E-6</v>
      </c>
      <c r="AT17">
        <f>'Pretax Fuel Prices'!AT18+'Fuel Taxes'!AT18</f>
        <v>4.0196443868325922E-6</v>
      </c>
      <c r="AU17">
        <f>'Pretax Fuel Prices'!AU18+'Fuel Taxes'!AU18</f>
        <v>4.0228471379471777E-6</v>
      </c>
      <c r="AV17">
        <f>'Pretax Fuel Prices'!AV18+'Fuel Taxes'!AV18</f>
        <v>4.0260498890617641E-6</v>
      </c>
      <c r="AW17">
        <f>'Pretax Fuel Prices'!AW18+'Fuel Taxes'!AW18</f>
        <v>4.0292526401763496E-6</v>
      </c>
      <c r="AX17">
        <f>'Pretax Fuel Prices'!AX18+'Fuel Taxes'!AX18</f>
        <v>4.0324553912909351E-6</v>
      </c>
      <c r="AY17">
        <f>'Pretax Fuel Prices'!AY18+'Fuel Taxes'!AY18</f>
        <v>4.0356581424055214E-6</v>
      </c>
      <c r="AZ17">
        <f>'Pretax Fuel Prices'!AZ18+'Fuel Taxes'!AZ18</f>
        <v>4.0388608935201069E-6</v>
      </c>
    </row>
    <row r="18" spans="1:52" x14ac:dyDescent="0.25">
      <c r="A18" t="s">
        <v>57</v>
      </c>
      <c r="B18">
        <f>'Pretax Fuel Prices'!B19+'Fuel Taxes'!B19</f>
        <v>2.1712290946907202E-6</v>
      </c>
      <c r="C18">
        <f>'Pretax Fuel Prices'!C19+'Fuel Taxes'!C19</f>
        <v>3.9825777575192239E-6</v>
      </c>
      <c r="D18">
        <f>'Pretax Fuel Prices'!D19+'Fuel Taxes'!D19</f>
        <v>7.3563249892129044E-6</v>
      </c>
      <c r="E18">
        <f>'Pretax Fuel Prices'!E19+'Fuel Taxes'!E19</f>
        <v>6.3347966890528507E-6</v>
      </c>
      <c r="F18">
        <f>'Pretax Fuel Prices'!F19+'Fuel Taxes'!F19</f>
        <v>4.7858419368521275E-6</v>
      </c>
      <c r="G18">
        <f>'Pretax Fuel Prices'!G19+'Fuel Taxes'!G19</f>
        <v>4.4500020804990664E-6</v>
      </c>
      <c r="H18">
        <f>'Pretax Fuel Prices'!H19+'Fuel Taxes'!H19</f>
        <v>4.2004717946518315E-6</v>
      </c>
      <c r="I18">
        <f>'Pretax Fuel Prices'!I19+'Fuel Taxes'!I19</f>
        <v>3.9509415088045965E-6</v>
      </c>
      <c r="J18">
        <f>'Pretax Fuel Prices'!J19+'Fuel Taxes'!J19</f>
        <v>3.7014112229573612E-6</v>
      </c>
      <c r="K18">
        <f>'Pretax Fuel Prices'!K19+'Fuel Taxes'!K19</f>
        <v>3.4518809371101263E-6</v>
      </c>
      <c r="L18">
        <f>'Pretax Fuel Prices'!L19+'Fuel Taxes'!L19</f>
        <v>3.2023506512628905E-6</v>
      </c>
      <c r="M18">
        <f>'Pretax Fuel Prices'!M19+'Fuel Taxes'!M19</f>
        <v>3.2007911107024047E-6</v>
      </c>
      <c r="N18">
        <f>'Pretax Fuel Prices'!N19+'Fuel Taxes'!N19</f>
        <v>3.2490304147968981E-6</v>
      </c>
      <c r="O18">
        <f>'Pretax Fuel Prices'!O19+'Fuel Taxes'!O19</f>
        <v>3.3088695780318461E-6</v>
      </c>
      <c r="P18">
        <f>'Pretax Fuel Prices'!P19+'Fuel Taxes'!P19</f>
        <v>3.3385691562027886E-6</v>
      </c>
      <c r="Q18">
        <f>'Pretax Fuel Prices'!Q19+'Fuel Taxes'!Q19</f>
        <v>3.3387802885426048E-6</v>
      </c>
      <c r="R18">
        <f>'Pretax Fuel Prices'!R19+'Fuel Taxes'!R19</f>
        <v>3.3407780617748092E-6</v>
      </c>
      <c r="S18">
        <f>'Pretax Fuel Prices'!S19+'Fuel Taxes'!S19</f>
        <v>3.3229276208430089E-6</v>
      </c>
      <c r="T18">
        <f>'Pretax Fuel Prices'!T19+'Fuel Taxes'!T19</f>
        <v>3.3486218943321581E-6</v>
      </c>
      <c r="U18">
        <f>'Pretax Fuel Prices'!U19+'Fuel Taxes'!U19</f>
        <v>3.3471688070522509E-6</v>
      </c>
      <c r="V18">
        <f>'Pretax Fuel Prices'!V19+'Fuel Taxes'!V19</f>
        <v>3.346039515167439E-6</v>
      </c>
      <c r="W18">
        <f>'Pretax Fuel Prices'!W19+'Fuel Taxes'!W19</f>
        <v>3.3372376030848771E-6</v>
      </c>
      <c r="X18">
        <f>'Pretax Fuel Prices'!X19+'Fuel Taxes'!X19</f>
        <v>3.3246166795615337E-6</v>
      </c>
      <c r="Y18">
        <f>'Pretax Fuel Prices'!Y19+'Fuel Taxes'!Y19</f>
        <v>3.3106500091495341E-6</v>
      </c>
      <c r="Z18">
        <f>'Pretax Fuel Prices'!Z19+'Fuel Taxes'!Z19</f>
        <v>3.3103741177306995E-6</v>
      </c>
      <c r="AA18">
        <f>'Pretax Fuel Prices'!AA19+'Fuel Taxes'!AA19</f>
        <v>3.3168349447511898E-6</v>
      </c>
      <c r="AB18">
        <f>'Pretax Fuel Prices'!AB19+'Fuel Taxes'!AB19</f>
        <v>3.3205962939983232E-6</v>
      </c>
      <c r="AC18">
        <f>'Pretax Fuel Prices'!AC19+'Fuel Taxes'!AC19</f>
        <v>3.337941968958043E-6</v>
      </c>
      <c r="AD18">
        <f>'Pretax Fuel Prices'!AD19+'Fuel Taxes'!AD19</f>
        <v>3.3805516687312366E-6</v>
      </c>
      <c r="AE18">
        <f>'Pretax Fuel Prices'!AE19+'Fuel Taxes'!AE19</f>
        <v>3.4248601854403401E-6</v>
      </c>
      <c r="AF18">
        <f>'Pretax Fuel Prices'!AF19+'Fuel Taxes'!AF19</f>
        <v>3.4610951079281799E-6</v>
      </c>
      <c r="AG18">
        <f>'Pretax Fuel Prices'!AG19+'Fuel Taxes'!AG19</f>
        <v>3.4681891899546012E-6</v>
      </c>
      <c r="AH18">
        <f>'Pretax Fuel Prices'!AH19+'Fuel Taxes'!AH19</f>
        <v>3.4753480131326238E-6</v>
      </c>
      <c r="AI18">
        <f>'Pretax Fuel Prices'!AI19+'Fuel Taxes'!AI19</f>
        <v>3.4825068363106463E-6</v>
      </c>
      <c r="AJ18">
        <f>'Pretax Fuel Prices'!AJ19+'Fuel Taxes'!AJ19</f>
        <v>3.4896656594886693E-6</v>
      </c>
      <c r="AK18">
        <f>'Pretax Fuel Prices'!AK19+'Fuel Taxes'!AK19</f>
        <v>3.4968244826666918E-6</v>
      </c>
      <c r="AL18">
        <f>'Pretax Fuel Prices'!AL19+'Fuel Taxes'!AL19</f>
        <v>3.5039833058447143E-6</v>
      </c>
      <c r="AM18">
        <f>'Pretax Fuel Prices'!AM19+'Fuel Taxes'!AM19</f>
        <v>3.5111421290227377E-6</v>
      </c>
      <c r="AN18">
        <f>'Pretax Fuel Prices'!AN19+'Fuel Taxes'!AN19</f>
        <v>3.5183009522007603E-6</v>
      </c>
      <c r="AO18">
        <f>'Pretax Fuel Prices'!AO19+'Fuel Taxes'!AO19</f>
        <v>3.5254597753787828E-6</v>
      </c>
      <c r="AP18">
        <f>'Pretax Fuel Prices'!AP19+'Fuel Taxes'!AP19</f>
        <v>3.5326185985568053E-6</v>
      </c>
      <c r="AQ18">
        <f>'Pretax Fuel Prices'!AQ19+'Fuel Taxes'!AQ19</f>
        <v>3.5397774217348283E-6</v>
      </c>
      <c r="AR18">
        <f>'Pretax Fuel Prices'!AR19+'Fuel Taxes'!AR19</f>
        <v>3.5469362449128509E-6</v>
      </c>
      <c r="AS18">
        <f>'Pretax Fuel Prices'!AS19+'Fuel Taxes'!AS19</f>
        <v>3.5540950680908734E-6</v>
      </c>
      <c r="AT18">
        <f>'Pretax Fuel Prices'!AT19+'Fuel Taxes'!AT19</f>
        <v>3.5612538912688964E-6</v>
      </c>
      <c r="AU18">
        <f>'Pretax Fuel Prices'!AU19+'Fuel Taxes'!AU19</f>
        <v>3.5684127144469189E-6</v>
      </c>
      <c r="AV18">
        <f>'Pretax Fuel Prices'!AV19+'Fuel Taxes'!AV19</f>
        <v>3.5755715376249414E-6</v>
      </c>
      <c r="AW18">
        <f>'Pretax Fuel Prices'!AW19+'Fuel Taxes'!AW19</f>
        <v>3.582730360802964E-6</v>
      </c>
      <c r="AX18">
        <f>'Pretax Fuel Prices'!AX19+'Fuel Taxes'!AX19</f>
        <v>3.5898891839809869E-6</v>
      </c>
      <c r="AY18">
        <f>'Pretax Fuel Prices'!AY19+'Fuel Taxes'!AY19</f>
        <v>3.5970480071590099E-6</v>
      </c>
      <c r="AZ18">
        <f>'Pretax Fuel Prices'!AZ19+'Fuel Taxes'!AZ19</f>
        <v>3.6042068303370324E-6</v>
      </c>
    </row>
    <row r="19" spans="1:52" x14ac:dyDescent="0.25">
      <c r="A19" t="s">
        <v>58</v>
      </c>
      <c r="B19">
        <f>'Pretax Fuel Prices'!B20+'Fuel Taxes'!B20</f>
        <v>0</v>
      </c>
      <c r="C19">
        <f>'Pretax Fuel Prices'!C20+'Fuel Taxes'!C20</f>
        <v>0</v>
      </c>
      <c r="D19">
        <f>'Pretax Fuel Prices'!D20+'Fuel Taxes'!D20</f>
        <v>0</v>
      </c>
      <c r="E19">
        <f>'Pretax Fuel Prices'!E20+'Fuel Taxes'!E20</f>
        <v>0</v>
      </c>
      <c r="F19">
        <f>'Pretax Fuel Prices'!F20+'Fuel Taxes'!F20</f>
        <v>0</v>
      </c>
      <c r="G19">
        <f>'Pretax Fuel Prices'!G20+'Fuel Taxes'!G20</f>
        <v>0</v>
      </c>
      <c r="H19">
        <f>'Pretax Fuel Prices'!H20+'Fuel Taxes'!H20</f>
        <v>0</v>
      </c>
      <c r="I19">
        <f>'Pretax Fuel Prices'!I20+'Fuel Taxes'!I20</f>
        <v>0</v>
      </c>
      <c r="J19">
        <f>'Pretax Fuel Prices'!J20+'Fuel Taxes'!J20</f>
        <v>0</v>
      </c>
      <c r="K19">
        <f>'Pretax Fuel Prices'!K20+'Fuel Taxes'!K20</f>
        <v>0</v>
      </c>
      <c r="L19">
        <f>'Pretax Fuel Prices'!L20+'Fuel Taxes'!L20</f>
        <v>0</v>
      </c>
      <c r="M19">
        <f>'Pretax Fuel Prices'!M20+'Fuel Taxes'!M20</f>
        <v>0</v>
      </c>
      <c r="N19">
        <f>'Pretax Fuel Prices'!N20+'Fuel Taxes'!N20</f>
        <v>0</v>
      </c>
      <c r="O19">
        <f>'Pretax Fuel Prices'!O20+'Fuel Taxes'!O20</f>
        <v>0</v>
      </c>
      <c r="P19">
        <f>'Pretax Fuel Prices'!P20+'Fuel Taxes'!P20</f>
        <v>0</v>
      </c>
      <c r="Q19">
        <f>'Pretax Fuel Prices'!Q20+'Fuel Taxes'!Q20</f>
        <v>0</v>
      </c>
      <c r="R19">
        <f>'Pretax Fuel Prices'!R20+'Fuel Taxes'!R20</f>
        <v>0</v>
      </c>
      <c r="S19">
        <f>'Pretax Fuel Prices'!S20+'Fuel Taxes'!S20</f>
        <v>0</v>
      </c>
      <c r="T19">
        <f>'Pretax Fuel Prices'!T20+'Fuel Taxes'!T20</f>
        <v>0</v>
      </c>
      <c r="U19">
        <f>'Pretax Fuel Prices'!U20+'Fuel Taxes'!U20</f>
        <v>0</v>
      </c>
      <c r="V19">
        <f>'Pretax Fuel Prices'!V20+'Fuel Taxes'!V20</f>
        <v>0</v>
      </c>
      <c r="W19">
        <f>'Pretax Fuel Prices'!W20+'Fuel Taxes'!W20</f>
        <v>0</v>
      </c>
      <c r="X19">
        <f>'Pretax Fuel Prices'!X20+'Fuel Taxes'!X20</f>
        <v>0</v>
      </c>
      <c r="Y19">
        <f>'Pretax Fuel Prices'!Y20+'Fuel Taxes'!Y20</f>
        <v>0</v>
      </c>
      <c r="Z19">
        <f>'Pretax Fuel Prices'!Z20+'Fuel Taxes'!Z20</f>
        <v>0</v>
      </c>
      <c r="AA19">
        <f>'Pretax Fuel Prices'!AA20+'Fuel Taxes'!AA20</f>
        <v>0</v>
      </c>
      <c r="AB19">
        <f>'Pretax Fuel Prices'!AB20+'Fuel Taxes'!AB20</f>
        <v>0</v>
      </c>
      <c r="AC19">
        <f>'Pretax Fuel Prices'!AC20+'Fuel Taxes'!AC20</f>
        <v>0</v>
      </c>
      <c r="AD19">
        <f>'Pretax Fuel Prices'!AD20+'Fuel Taxes'!AD20</f>
        <v>0</v>
      </c>
      <c r="AE19">
        <f>'Pretax Fuel Prices'!AE20+'Fuel Taxes'!AE20</f>
        <v>0</v>
      </c>
      <c r="AF19">
        <f>'Pretax Fuel Prices'!AF20+'Fuel Taxes'!AF20</f>
        <v>0</v>
      </c>
      <c r="AG19">
        <f>'Pretax Fuel Prices'!AG20+'Fuel Taxes'!AG20</f>
        <v>0</v>
      </c>
      <c r="AH19">
        <f>'Pretax Fuel Prices'!AH20+'Fuel Taxes'!AH20</f>
        <v>0</v>
      </c>
      <c r="AI19">
        <f>'Pretax Fuel Prices'!AI20+'Fuel Taxes'!AI20</f>
        <v>0</v>
      </c>
      <c r="AJ19">
        <f>'Pretax Fuel Prices'!AJ20+'Fuel Taxes'!AJ20</f>
        <v>0</v>
      </c>
      <c r="AK19">
        <f>'Pretax Fuel Prices'!AK20+'Fuel Taxes'!AK20</f>
        <v>0</v>
      </c>
      <c r="AL19">
        <f>'Pretax Fuel Prices'!AL20+'Fuel Taxes'!AL20</f>
        <v>0</v>
      </c>
      <c r="AM19">
        <f>'Pretax Fuel Prices'!AM20+'Fuel Taxes'!AM20</f>
        <v>0</v>
      </c>
      <c r="AN19">
        <f>'Pretax Fuel Prices'!AN20+'Fuel Taxes'!AN20</f>
        <v>0</v>
      </c>
      <c r="AO19">
        <f>'Pretax Fuel Prices'!AO20+'Fuel Taxes'!AO20</f>
        <v>0</v>
      </c>
      <c r="AP19">
        <f>'Pretax Fuel Prices'!AP20+'Fuel Taxes'!AP20</f>
        <v>0</v>
      </c>
      <c r="AQ19">
        <f>'Pretax Fuel Prices'!AQ20+'Fuel Taxes'!AQ20</f>
        <v>0</v>
      </c>
      <c r="AR19">
        <f>'Pretax Fuel Prices'!AR20+'Fuel Taxes'!AR20</f>
        <v>0</v>
      </c>
      <c r="AS19">
        <f>'Pretax Fuel Prices'!AS20+'Fuel Taxes'!AS20</f>
        <v>0</v>
      </c>
      <c r="AT19">
        <f>'Pretax Fuel Prices'!AT20+'Fuel Taxes'!AT20</f>
        <v>0</v>
      </c>
      <c r="AU19">
        <f>'Pretax Fuel Prices'!AU20+'Fuel Taxes'!AU20</f>
        <v>0</v>
      </c>
      <c r="AV19">
        <f>'Pretax Fuel Prices'!AV20+'Fuel Taxes'!AV20</f>
        <v>0</v>
      </c>
      <c r="AW19">
        <f>'Pretax Fuel Prices'!AW20+'Fuel Taxes'!AW20</f>
        <v>0</v>
      </c>
      <c r="AX19">
        <f>'Pretax Fuel Prices'!AX20+'Fuel Taxes'!AX20</f>
        <v>0</v>
      </c>
      <c r="AY19">
        <f>'Pretax Fuel Prices'!AY20+'Fuel Taxes'!AY20</f>
        <v>0</v>
      </c>
      <c r="AZ19">
        <f>'Pretax Fuel Prices'!AZ20+'Fuel Taxes'!AZ20</f>
        <v>0</v>
      </c>
    </row>
    <row r="20" spans="1:52" x14ac:dyDescent="0.25">
      <c r="A20" t="s">
        <v>59</v>
      </c>
      <c r="B20">
        <f>'Pretax Fuel Prices'!B21+'Fuel Taxes'!B21</f>
        <v>2.7154564107707938E-6</v>
      </c>
      <c r="C20">
        <f>'Pretax Fuel Prices'!C21+'Fuel Taxes'!C21</f>
        <v>4.7304897693187761E-6</v>
      </c>
      <c r="D20">
        <f>'Pretax Fuel Prices'!D21+'Fuel Taxes'!D21</f>
        <v>8.7378130999587174E-6</v>
      </c>
      <c r="E20">
        <f>'Pretax Fuel Prices'!E21+'Fuel Taxes'!E21</f>
        <v>7.5244459123744572E-6</v>
      </c>
      <c r="F20">
        <f>'Pretax Fuel Prices'!F21+'Fuel Taxes'!F21</f>
        <v>5.6846037160509745E-6</v>
      </c>
      <c r="G20">
        <f>'Pretax Fuel Prices'!G21+'Fuel Taxes'!G21</f>
        <v>5.2856944915899691E-6</v>
      </c>
      <c r="H20">
        <f>'Pretax Fuel Prices'!H21+'Fuel Taxes'!H21</f>
        <v>4.9733430190289945E-6</v>
      </c>
      <c r="I20">
        <f>'Pretax Fuel Prices'!I21+'Fuel Taxes'!I21</f>
        <v>4.6609915464680208E-6</v>
      </c>
      <c r="J20">
        <f>'Pretax Fuel Prices'!J21+'Fuel Taxes'!J21</f>
        <v>4.3486400739070462E-6</v>
      </c>
      <c r="K20">
        <f>'Pretax Fuel Prices'!K21+'Fuel Taxes'!K21</f>
        <v>4.0362886013460717E-6</v>
      </c>
      <c r="L20">
        <f>'Pretax Fuel Prices'!L21+'Fuel Taxes'!L21</f>
        <v>3.7239371287850988E-6</v>
      </c>
      <c r="M20">
        <f>'Pretax Fuel Prices'!M21+'Fuel Taxes'!M21</f>
        <v>3.731476682382125E-6</v>
      </c>
      <c r="N20">
        <f>'Pretax Fuel Prices'!N21+'Fuel Taxes'!N21</f>
        <v>3.7775470008848158E-6</v>
      </c>
      <c r="O20">
        <f>'Pretax Fuel Prices'!O21+'Fuel Taxes'!O21</f>
        <v>3.841298322181052E-6</v>
      </c>
      <c r="P20">
        <f>'Pretax Fuel Prices'!P21+'Fuel Taxes'!P21</f>
        <v>3.8703804713246341E-6</v>
      </c>
      <c r="Q20">
        <f>'Pretax Fuel Prices'!Q21+'Fuel Taxes'!Q21</f>
        <v>3.8799594923554262E-6</v>
      </c>
      <c r="R20">
        <f>'Pretax Fuel Prices'!R21+'Fuel Taxes'!R21</f>
        <v>3.8803968379164723E-6</v>
      </c>
      <c r="S20">
        <f>'Pretax Fuel Prices'!S21+'Fuel Taxes'!S21</f>
        <v>3.8706244267592957E-6</v>
      </c>
      <c r="T20">
        <f>'Pretax Fuel Prices'!T21+'Fuel Taxes'!T21</f>
        <v>3.8865817735181276E-6</v>
      </c>
      <c r="U20">
        <f>'Pretax Fuel Prices'!U21+'Fuel Taxes'!U21</f>
        <v>3.8803338530587966E-6</v>
      </c>
      <c r="V20">
        <f>'Pretax Fuel Prices'!V21+'Fuel Taxes'!V21</f>
        <v>3.8721334020115065E-6</v>
      </c>
      <c r="W20">
        <f>'Pretax Fuel Prices'!W21+'Fuel Taxes'!W21</f>
        <v>3.8691402906058862E-6</v>
      </c>
      <c r="X20">
        <f>'Pretax Fuel Prices'!X21+'Fuel Taxes'!X21</f>
        <v>3.8525876925864822E-6</v>
      </c>
      <c r="Y20">
        <f>'Pretax Fuel Prices'!Y21+'Fuel Taxes'!Y21</f>
        <v>3.8375901995742071E-6</v>
      </c>
      <c r="Z20">
        <f>'Pretax Fuel Prices'!Z21+'Fuel Taxes'!Z21</f>
        <v>3.8296807208271678E-6</v>
      </c>
      <c r="AA20">
        <f>'Pretax Fuel Prices'!AA21+'Fuel Taxes'!AA21</f>
        <v>3.8360714661046095E-6</v>
      </c>
      <c r="AB20">
        <f>'Pretax Fuel Prices'!AB21+'Fuel Taxes'!AB21</f>
        <v>3.8387052976882755E-6</v>
      </c>
      <c r="AC20">
        <f>'Pretax Fuel Prices'!AC21+'Fuel Taxes'!AC21</f>
        <v>3.8583361697377625E-6</v>
      </c>
      <c r="AD20">
        <f>'Pretax Fuel Prices'!AD21+'Fuel Taxes'!AD21</f>
        <v>3.8936449486845613E-6</v>
      </c>
      <c r="AE20">
        <f>'Pretax Fuel Prices'!AE21+'Fuel Taxes'!AE21</f>
        <v>3.9410290780917352E-6</v>
      </c>
      <c r="AF20">
        <f>'Pretax Fuel Prices'!AF21+'Fuel Taxes'!AF21</f>
        <v>3.9748741244305693E-6</v>
      </c>
      <c r="AG20">
        <f>'Pretax Fuel Prices'!AG21+'Fuel Taxes'!AG21</f>
        <v>3.9780086223429772E-6</v>
      </c>
      <c r="AH20">
        <f>'Pretax Fuel Prices'!AH21+'Fuel Taxes'!AH21</f>
        <v>3.9812113734575636E-6</v>
      </c>
      <c r="AI20">
        <f>'Pretax Fuel Prices'!AI21+'Fuel Taxes'!AI21</f>
        <v>3.9844141245721491E-6</v>
      </c>
      <c r="AJ20">
        <f>'Pretax Fuel Prices'!AJ21+'Fuel Taxes'!AJ21</f>
        <v>3.9876168756867346E-6</v>
      </c>
      <c r="AK20">
        <f>'Pretax Fuel Prices'!AK21+'Fuel Taxes'!AK21</f>
        <v>3.9908196268013209E-6</v>
      </c>
      <c r="AL20">
        <f>'Pretax Fuel Prices'!AL21+'Fuel Taxes'!AL21</f>
        <v>3.9940223779159064E-6</v>
      </c>
      <c r="AM20">
        <f>'Pretax Fuel Prices'!AM21+'Fuel Taxes'!AM21</f>
        <v>3.9972251290304919E-6</v>
      </c>
      <c r="AN20">
        <f>'Pretax Fuel Prices'!AN21+'Fuel Taxes'!AN21</f>
        <v>4.0004278801450774E-6</v>
      </c>
      <c r="AO20">
        <f>'Pretax Fuel Prices'!AO21+'Fuel Taxes'!AO21</f>
        <v>4.0036306312596638E-6</v>
      </c>
      <c r="AP20">
        <f>'Pretax Fuel Prices'!AP21+'Fuel Taxes'!AP21</f>
        <v>4.0068333823742493E-6</v>
      </c>
      <c r="AQ20">
        <f>'Pretax Fuel Prices'!AQ21+'Fuel Taxes'!AQ21</f>
        <v>4.0100361334888348E-6</v>
      </c>
      <c r="AR20">
        <f>'Pretax Fuel Prices'!AR21+'Fuel Taxes'!AR21</f>
        <v>4.0132388846034203E-6</v>
      </c>
      <c r="AS20">
        <f>'Pretax Fuel Prices'!AS21+'Fuel Taxes'!AS21</f>
        <v>4.0164416357180067E-6</v>
      </c>
      <c r="AT20">
        <f>'Pretax Fuel Prices'!AT21+'Fuel Taxes'!AT21</f>
        <v>4.0196443868325922E-6</v>
      </c>
      <c r="AU20">
        <f>'Pretax Fuel Prices'!AU21+'Fuel Taxes'!AU21</f>
        <v>4.0228471379471777E-6</v>
      </c>
      <c r="AV20">
        <f>'Pretax Fuel Prices'!AV21+'Fuel Taxes'!AV21</f>
        <v>4.0260498890617641E-6</v>
      </c>
      <c r="AW20">
        <f>'Pretax Fuel Prices'!AW21+'Fuel Taxes'!AW21</f>
        <v>4.0292526401763496E-6</v>
      </c>
      <c r="AX20">
        <f>'Pretax Fuel Prices'!AX21+'Fuel Taxes'!AX21</f>
        <v>4.0324553912909351E-6</v>
      </c>
      <c r="AY20">
        <f>'Pretax Fuel Prices'!AY21+'Fuel Taxes'!AY21</f>
        <v>4.0356581424055214E-6</v>
      </c>
      <c r="AZ20">
        <f>'Pretax Fuel Prices'!AZ21+'Fuel Taxes'!AZ21</f>
        <v>4.0388608935201069E-6</v>
      </c>
    </row>
    <row r="21" spans="1:52" s="3" customFormat="1" x14ac:dyDescent="0.25">
      <c r="A21" s="5" t="s">
        <v>32</v>
      </c>
    </row>
    <row r="22" spans="1:52" x14ac:dyDescent="0.25">
      <c r="A22" t="s">
        <v>30</v>
      </c>
      <c r="B22">
        <f>'Fuel Taxes'!B$1</f>
        <v>2020</v>
      </c>
      <c r="C22">
        <f>'Fuel Taxes'!C$1</f>
        <v>2021</v>
      </c>
      <c r="D22">
        <f>'Fuel Taxes'!D$1</f>
        <v>2022</v>
      </c>
      <c r="E22">
        <f>'Fuel Taxes'!E$1</f>
        <v>2023</v>
      </c>
      <c r="F22">
        <f>'Fuel Taxes'!F$1</f>
        <v>2024</v>
      </c>
      <c r="G22">
        <f>'Fuel Taxes'!G$1</f>
        <v>2025</v>
      </c>
      <c r="H22">
        <f>'Fuel Taxes'!H$1</f>
        <v>2026</v>
      </c>
      <c r="I22">
        <f>'Fuel Taxes'!I$1</f>
        <v>2027</v>
      </c>
      <c r="J22">
        <f>'Fuel Taxes'!J$1</f>
        <v>2028</v>
      </c>
      <c r="K22">
        <f>'Fuel Taxes'!K$1</f>
        <v>2029</v>
      </c>
      <c r="L22">
        <f>'Fuel Taxes'!L$1</f>
        <v>2030</v>
      </c>
      <c r="M22">
        <f>'Fuel Taxes'!M$1</f>
        <v>2031</v>
      </c>
      <c r="N22">
        <f>'Fuel Taxes'!N$1</f>
        <v>2032</v>
      </c>
      <c r="O22">
        <f>'Fuel Taxes'!O$1</f>
        <v>2033</v>
      </c>
      <c r="P22">
        <f>'Fuel Taxes'!P$1</f>
        <v>2034</v>
      </c>
      <c r="Q22">
        <f>'Fuel Taxes'!Q$1</f>
        <v>2035</v>
      </c>
      <c r="R22">
        <f>'Fuel Taxes'!R$1</f>
        <v>2036</v>
      </c>
      <c r="S22">
        <f>'Fuel Taxes'!S$1</f>
        <v>2037</v>
      </c>
      <c r="T22">
        <f>'Fuel Taxes'!T$1</f>
        <v>2038</v>
      </c>
      <c r="U22">
        <f>'Fuel Taxes'!U$1</f>
        <v>2039</v>
      </c>
      <c r="V22">
        <f>'Fuel Taxes'!V$1</f>
        <v>2040</v>
      </c>
      <c r="W22">
        <f>'Fuel Taxes'!W$1</f>
        <v>2041</v>
      </c>
      <c r="X22">
        <f>'Fuel Taxes'!X$1</f>
        <v>2042</v>
      </c>
      <c r="Y22">
        <f>'Fuel Taxes'!Y$1</f>
        <v>2043</v>
      </c>
      <c r="Z22">
        <f>'Fuel Taxes'!Z$1</f>
        <v>2044</v>
      </c>
      <c r="AA22">
        <f>'Fuel Taxes'!AA$1</f>
        <v>2045</v>
      </c>
      <c r="AB22">
        <f>'Fuel Taxes'!AB$1</f>
        <v>2046</v>
      </c>
      <c r="AC22">
        <f>'Fuel Taxes'!AC$1</f>
        <v>2047</v>
      </c>
      <c r="AD22">
        <f>'Fuel Taxes'!AD$1</f>
        <v>2048</v>
      </c>
      <c r="AE22">
        <f>'Fuel Taxes'!AE$1</f>
        <v>2049</v>
      </c>
      <c r="AF22">
        <f>'Fuel Taxes'!AF$1</f>
        <v>2050</v>
      </c>
      <c r="AG22">
        <f>'Fuel Taxes'!AG$1</f>
        <v>2051</v>
      </c>
      <c r="AH22">
        <f>'Fuel Taxes'!AH$1</f>
        <v>2052</v>
      </c>
      <c r="AI22">
        <f>'Fuel Taxes'!AI$1</f>
        <v>2053</v>
      </c>
      <c r="AJ22">
        <f>'Fuel Taxes'!AJ$1</f>
        <v>2054</v>
      </c>
      <c r="AK22">
        <f>'Fuel Taxes'!AK$1</f>
        <v>2055</v>
      </c>
      <c r="AL22">
        <f>'Fuel Taxes'!AL$1</f>
        <v>2056</v>
      </c>
      <c r="AM22">
        <f>'Fuel Taxes'!AM$1</f>
        <v>2057</v>
      </c>
      <c r="AN22">
        <f>'Fuel Taxes'!AN$1</f>
        <v>2058</v>
      </c>
      <c r="AO22">
        <f>'Fuel Taxes'!AO$1</f>
        <v>2059</v>
      </c>
      <c r="AP22">
        <f>'Fuel Taxes'!AP$1</f>
        <v>2060</v>
      </c>
      <c r="AQ22">
        <f>'Fuel Taxes'!AQ$1</f>
        <v>2061</v>
      </c>
      <c r="AR22">
        <f>'Fuel Taxes'!AR$1</f>
        <v>2062</v>
      </c>
      <c r="AS22">
        <f>'Fuel Taxes'!AS$1</f>
        <v>2063</v>
      </c>
      <c r="AT22">
        <f>'Fuel Taxes'!AT$1</f>
        <v>2064</v>
      </c>
      <c r="AU22">
        <f>'Fuel Taxes'!AU$1</f>
        <v>2065</v>
      </c>
      <c r="AV22">
        <f>'Fuel Taxes'!AV$1</f>
        <v>2066</v>
      </c>
      <c r="AW22">
        <f>'Fuel Taxes'!AW$1</f>
        <v>2067</v>
      </c>
      <c r="AX22">
        <f>'Fuel Taxes'!AX$1</f>
        <v>2068</v>
      </c>
      <c r="AY22">
        <f>'Fuel Taxes'!AY$1</f>
        <v>2069</v>
      </c>
      <c r="AZ22">
        <f>'Fuel Taxes'!AZ$1</f>
        <v>2070</v>
      </c>
    </row>
    <row r="23" spans="1:52" x14ac:dyDescent="0.25">
      <c r="A23" t="s">
        <v>52</v>
      </c>
      <c r="B23">
        <f>'Pretax Fuel Prices'!B24+'Fuel Taxes'!B24</f>
        <v>0</v>
      </c>
      <c r="C23">
        <f>'Pretax Fuel Prices'!C24+'Fuel Taxes'!C24</f>
        <v>0</v>
      </c>
      <c r="D23">
        <f>'Pretax Fuel Prices'!D24+'Fuel Taxes'!D24</f>
        <v>0</v>
      </c>
      <c r="E23">
        <f>'Pretax Fuel Prices'!E24+'Fuel Taxes'!E24</f>
        <v>0</v>
      </c>
      <c r="F23">
        <f>'Pretax Fuel Prices'!F24+'Fuel Taxes'!F24</f>
        <v>0</v>
      </c>
      <c r="G23">
        <f>'Pretax Fuel Prices'!G24+'Fuel Taxes'!G24</f>
        <v>0</v>
      </c>
      <c r="H23">
        <f>'Pretax Fuel Prices'!H24+'Fuel Taxes'!H24</f>
        <v>0</v>
      </c>
      <c r="I23">
        <f>'Pretax Fuel Prices'!I24+'Fuel Taxes'!I24</f>
        <v>0</v>
      </c>
      <c r="J23">
        <f>'Pretax Fuel Prices'!J24+'Fuel Taxes'!J24</f>
        <v>0</v>
      </c>
      <c r="K23">
        <f>'Pretax Fuel Prices'!K24+'Fuel Taxes'!K24</f>
        <v>0</v>
      </c>
      <c r="L23">
        <f>'Pretax Fuel Prices'!L24+'Fuel Taxes'!L24</f>
        <v>0</v>
      </c>
      <c r="M23">
        <f>'Pretax Fuel Prices'!M24+'Fuel Taxes'!M24</f>
        <v>0</v>
      </c>
      <c r="N23">
        <f>'Pretax Fuel Prices'!N24+'Fuel Taxes'!N24</f>
        <v>0</v>
      </c>
      <c r="O23">
        <f>'Pretax Fuel Prices'!O24+'Fuel Taxes'!O24</f>
        <v>0</v>
      </c>
      <c r="P23">
        <f>'Pretax Fuel Prices'!P24+'Fuel Taxes'!P24</f>
        <v>0</v>
      </c>
      <c r="Q23">
        <f>'Pretax Fuel Prices'!Q24+'Fuel Taxes'!Q24</f>
        <v>0</v>
      </c>
      <c r="R23">
        <f>'Pretax Fuel Prices'!R24+'Fuel Taxes'!R24</f>
        <v>0</v>
      </c>
      <c r="S23">
        <f>'Pretax Fuel Prices'!S24+'Fuel Taxes'!S24</f>
        <v>0</v>
      </c>
      <c r="T23">
        <f>'Pretax Fuel Prices'!T24+'Fuel Taxes'!T24</f>
        <v>0</v>
      </c>
      <c r="U23">
        <f>'Pretax Fuel Prices'!U24+'Fuel Taxes'!U24</f>
        <v>0</v>
      </c>
      <c r="V23">
        <f>'Pretax Fuel Prices'!V24+'Fuel Taxes'!V24</f>
        <v>0</v>
      </c>
      <c r="W23">
        <f>'Pretax Fuel Prices'!W24+'Fuel Taxes'!W24</f>
        <v>0</v>
      </c>
      <c r="X23">
        <f>'Pretax Fuel Prices'!X24+'Fuel Taxes'!X24</f>
        <v>0</v>
      </c>
      <c r="Y23">
        <f>'Pretax Fuel Prices'!Y24+'Fuel Taxes'!Y24</f>
        <v>0</v>
      </c>
      <c r="Z23">
        <f>'Pretax Fuel Prices'!Z24+'Fuel Taxes'!Z24</f>
        <v>0</v>
      </c>
      <c r="AA23">
        <f>'Pretax Fuel Prices'!AA24+'Fuel Taxes'!AA24</f>
        <v>0</v>
      </c>
      <c r="AB23">
        <f>'Pretax Fuel Prices'!AB24+'Fuel Taxes'!AB24</f>
        <v>0</v>
      </c>
      <c r="AC23">
        <f>'Pretax Fuel Prices'!AC24+'Fuel Taxes'!AC24</f>
        <v>0</v>
      </c>
      <c r="AD23">
        <f>'Pretax Fuel Prices'!AD24+'Fuel Taxes'!AD24</f>
        <v>0</v>
      </c>
      <c r="AE23">
        <f>'Pretax Fuel Prices'!AE24+'Fuel Taxes'!AE24</f>
        <v>0</v>
      </c>
      <c r="AF23">
        <f>'Pretax Fuel Prices'!AF24+'Fuel Taxes'!AF24</f>
        <v>0</v>
      </c>
      <c r="AG23">
        <f>'Pretax Fuel Prices'!AG24+'Fuel Taxes'!AG24</f>
        <v>0</v>
      </c>
      <c r="AH23">
        <f>'Pretax Fuel Prices'!AH24+'Fuel Taxes'!AH24</f>
        <v>0</v>
      </c>
      <c r="AI23">
        <f>'Pretax Fuel Prices'!AI24+'Fuel Taxes'!AI24</f>
        <v>0</v>
      </c>
      <c r="AJ23">
        <f>'Pretax Fuel Prices'!AJ24+'Fuel Taxes'!AJ24</f>
        <v>0</v>
      </c>
      <c r="AK23">
        <f>'Pretax Fuel Prices'!AK24+'Fuel Taxes'!AK24</f>
        <v>0</v>
      </c>
      <c r="AL23">
        <f>'Pretax Fuel Prices'!AL24+'Fuel Taxes'!AL24</f>
        <v>0</v>
      </c>
      <c r="AM23">
        <f>'Pretax Fuel Prices'!AM24+'Fuel Taxes'!AM24</f>
        <v>0</v>
      </c>
      <c r="AN23">
        <f>'Pretax Fuel Prices'!AN24+'Fuel Taxes'!AN24</f>
        <v>0</v>
      </c>
      <c r="AO23">
        <f>'Pretax Fuel Prices'!AO24+'Fuel Taxes'!AO24</f>
        <v>0</v>
      </c>
      <c r="AP23">
        <f>'Pretax Fuel Prices'!AP24+'Fuel Taxes'!AP24</f>
        <v>0</v>
      </c>
      <c r="AQ23">
        <f>'Pretax Fuel Prices'!AQ24+'Fuel Taxes'!AQ24</f>
        <v>0</v>
      </c>
      <c r="AR23">
        <f>'Pretax Fuel Prices'!AR24+'Fuel Taxes'!AR24</f>
        <v>0</v>
      </c>
      <c r="AS23">
        <f>'Pretax Fuel Prices'!AS24+'Fuel Taxes'!AS24</f>
        <v>0</v>
      </c>
      <c r="AT23">
        <f>'Pretax Fuel Prices'!AT24+'Fuel Taxes'!AT24</f>
        <v>0</v>
      </c>
      <c r="AU23">
        <f>'Pretax Fuel Prices'!AU24+'Fuel Taxes'!AU24</f>
        <v>0</v>
      </c>
      <c r="AV23">
        <f>'Pretax Fuel Prices'!AV24+'Fuel Taxes'!AV24</f>
        <v>0</v>
      </c>
      <c r="AW23">
        <f>'Pretax Fuel Prices'!AW24+'Fuel Taxes'!AW24</f>
        <v>0</v>
      </c>
      <c r="AX23">
        <f>'Pretax Fuel Prices'!AX24+'Fuel Taxes'!AX24</f>
        <v>0</v>
      </c>
      <c r="AY23">
        <f>'Pretax Fuel Prices'!AY24+'Fuel Taxes'!AY24</f>
        <v>0</v>
      </c>
      <c r="AZ23">
        <f>'Pretax Fuel Prices'!AZ24+'Fuel Taxes'!AZ24</f>
        <v>0</v>
      </c>
    </row>
    <row r="24" spans="1:52" x14ac:dyDescent="0.25">
      <c r="A24" t="s">
        <v>53</v>
      </c>
      <c r="B24">
        <f>'Pretax Fuel Prices'!B25+'Fuel Taxes'!B25</f>
        <v>6.086670352573887E-7</v>
      </c>
      <c r="C24">
        <f>'Pretax Fuel Prices'!C25+'Fuel Taxes'!C25</f>
        <v>6.0723236674170564E-7</v>
      </c>
      <c r="D24">
        <f>'Pretax Fuel Prices'!D25+'Fuel Taxes'!D25</f>
        <v>6.081211887736649E-7</v>
      </c>
      <c r="E24">
        <f>'Pretax Fuel Prices'!E25+'Fuel Taxes'!E25</f>
        <v>6.0989968014171304E-7</v>
      </c>
      <c r="F24">
        <f>'Pretax Fuel Prices'!F25+'Fuel Taxes'!F25</f>
        <v>6.1078850217367219E-7</v>
      </c>
      <c r="G24">
        <f>'Pretax Fuel Prices'!G25+'Fuel Taxes'!G25</f>
        <v>6.1256614623759071E-7</v>
      </c>
      <c r="H24">
        <f>'Pretax Fuel Prices'!H25+'Fuel Taxes'!H25</f>
        <v>6.1345581557367969E-7</v>
      </c>
      <c r="I24">
        <f>'Pretax Fuel Prices'!I25+'Fuel Taxes'!I25</f>
        <v>6.1523345963759811E-7</v>
      </c>
      <c r="J24">
        <f>'Pretax Fuel Prices'!J25+'Fuel Taxes'!J25</f>
        <v>6.1612228166955747E-7</v>
      </c>
      <c r="K24">
        <f>'Pretax Fuel Prices'!K25+'Fuel Taxes'!K25</f>
        <v>6.179007730376054E-7</v>
      </c>
      <c r="L24">
        <f>'Pretax Fuel Prices'!L25+'Fuel Taxes'!L25</f>
        <v>6.1967926440565353E-7</v>
      </c>
      <c r="M24">
        <f>'Pretax Fuel Prices'!M25+'Fuel Taxes'!M25</f>
        <v>6.20568086437613E-7</v>
      </c>
      <c r="N24">
        <f>'Pretax Fuel Prices'!N25+'Fuel Taxes'!N25</f>
        <v>6.2234657780566103E-7</v>
      </c>
      <c r="O24">
        <f>'Pretax Fuel Prices'!O25+'Fuel Taxes'!O25</f>
        <v>6.2412422186957966E-7</v>
      </c>
      <c r="P24">
        <f>'Pretax Fuel Prices'!P25+'Fuel Taxes'!P25</f>
        <v>6.2501304390153881E-7</v>
      </c>
      <c r="Q24">
        <f>'Pretax Fuel Prices'!Q25+'Fuel Taxes'!Q25</f>
        <v>6.2679153526958684E-7</v>
      </c>
      <c r="R24">
        <f>'Pretax Fuel Prices'!R25+'Fuel Taxes'!R25</f>
        <v>6.2857002663763508E-7</v>
      </c>
      <c r="S24">
        <f>'Pretax Fuel Prices'!S25+'Fuel Taxes'!S25</f>
        <v>6.2945884866959424E-7</v>
      </c>
      <c r="T24">
        <f>'Pretax Fuel Prices'!T25+'Fuel Taxes'!T25</f>
        <v>6.3123649273351276E-7</v>
      </c>
      <c r="U24">
        <f>'Pretax Fuel Prices'!U25+'Fuel Taxes'!U25</f>
        <v>6.3301498410156089E-7</v>
      </c>
      <c r="V24">
        <f>'Pretax Fuel Prices'!V25+'Fuel Taxes'!V25</f>
        <v>6.3479347546960892E-7</v>
      </c>
      <c r="W24">
        <f>'Pretax Fuel Prices'!W25+'Fuel Taxes'!W25</f>
        <v>6.3657111953352755E-7</v>
      </c>
      <c r="X24">
        <f>'Pretax Fuel Prices'!X25+'Fuel Taxes'!X25</f>
        <v>6.3834961090157558E-7</v>
      </c>
      <c r="Y24">
        <f>'Pretax Fuel Prices'!Y25+'Fuel Taxes'!Y25</f>
        <v>6.401272549654942E-7</v>
      </c>
      <c r="Z24">
        <f>'Pretax Fuel Prices'!Z25+'Fuel Taxes'!Z25</f>
        <v>6.4190574633354234E-7</v>
      </c>
      <c r="AA24">
        <f>'Pretax Fuel Prices'!AA25+'Fuel Taxes'!AA25</f>
        <v>6.4368423770159037E-7</v>
      </c>
      <c r="AB24">
        <f>'Pretax Fuel Prices'!AB25+'Fuel Taxes'!AB25</f>
        <v>6.45461881765509E-7</v>
      </c>
      <c r="AC24">
        <f>'Pretax Fuel Prices'!AC25+'Fuel Taxes'!AC25</f>
        <v>6.4724037313355703E-7</v>
      </c>
      <c r="AD24">
        <f>'Pretax Fuel Prices'!AD25+'Fuel Taxes'!AD25</f>
        <v>6.4901801719747565E-7</v>
      </c>
      <c r="AE24">
        <f>'Pretax Fuel Prices'!AE25+'Fuel Taxes'!AE25</f>
        <v>6.5079650856552368E-7</v>
      </c>
      <c r="AF24">
        <f>'Pretax Fuel Prices'!AF25+'Fuel Taxes'!AF25</f>
        <v>6.525741526294422E-7</v>
      </c>
      <c r="AG24">
        <f>'Pretax Fuel Prices'!AG25+'Fuel Taxes'!AG25</f>
        <v>6.5435268998467341E-7</v>
      </c>
      <c r="AH24">
        <f>'Pretax Fuel Prices'!AH25+'Fuel Taxes'!AH25</f>
        <v>6.5613108768791258E-7</v>
      </c>
      <c r="AI24">
        <f>'Pretax Fuel Prices'!AI25+'Fuel Taxes'!AI25</f>
        <v>6.5790948539115175E-7</v>
      </c>
      <c r="AJ24">
        <f>'Pretax Fuel Prices'!AJ25+'Fuel Taxes'!AJ25</f>
        <v>6.5968788309439091E-7</v>
      </c>
      <c r="AK24">
        <f>'Pretax Fuel Prices'!AK25+'Fuel Taxes'!AK25</f>
        <v>6.6146628079763008E-7</v>
      </c>
      <c r="AL24">
        <f>'Pretax Fuel Prices'!AL25+'Fuel Taxes'!AL25</f>
        <v>6.6324467850086935E-7</v>
      </c>
      <c r="AM24">
        <f>'Pretax Fuel Prices'!AM25+'Fuel Taxes'!AM25</f>
        <v>6.6502307620410841E-7</v>
      </c>
      <c r="AN24">
        <f>'Pretax Fuel Prices'!AN25+'Fuel Taxes'!AN25</f>
        <v>6.6680147390734769E-7</v>
      </c>
      <c r="AO24">
        <f>'Pretax Fuel Prices'!AO25+'Fuel Taxes'!AO25</f>
        <v>6.6857987161058685E-7</v>
      </c>
      <c r="AP24">
        <f>'Pretax Fuel Prices'!AP25+'Fuel Taxes'!AP25</f>
        <v>6.7035826931382602E-7</v>
      </c>
      <c r="AQ24">
        <f>'Pretax Fuel Prices'!AQ25+'Fuel Taxes'!AQ25</f>
        <v>6.7213666701706519E-7</v>
      </c>
      <c r="AR24">
        <f>'Pretax Fuel Prices'!AR25+'Fuel Taxes'!AR25</f>
        <v>6.7391506472030435E-7</v>
      </c>
      <c r="AS24">
        <f>'Pretax Fuel Prices'!AS25+'Fuel Taxes'!AS25</f>
        <v>6.7569346242354352E-7</v>
      </c>
      <c r="AT24">
        <f>'Pretax Fuel Prices'!AT25+'Fuel Taxes'!AT25</f>
        <v>6.7747186012678279E-7</v>
      </c>
      <c r="AU24">
        <f>'Pretax Fuel Prices'!AU25+'Fuel Taxes'!AU25</f>
        <v>6.7925025783002186E-7</v>
      </c>
      <c r="AV24">
        <f>'Pretax Fuel Prices'!AV25+'Fuel Taxes'!AV25</f>
        <v>6.8102865553326113E-7</v>
      </c>
      <c r="AW24">
        <f>'Pretax Fuel Prices'!AW25+'Fuel Taxes'!AW25</f>
        <v>6.828070532365004E-7</v>
      </c>
      <c r="AX24">
        <f>'Pretax Fuel Prices'!AX25+'Fuel Taxes'!AX25</f>
        <v>6.8458545093973946E-7</v>
      </c>
      <c r="AY24">
        <f>'Pretax Fuel Prices'!AY25+'Fuel Taxes'!AY25</f>
        <v>6.8636384864297874E-7</v>
      </c>
      <c r="AZ24">
        <f>'Pretax Fuel Prices'!AZ25+'Fuel Taxes'!AZ25</f>
        <v>6.881422463462178E-7</v>
      </c>
    </row>
    <row r="25" spans="1:52" x14ac:dyDescent="0.25">
      <c r="A25" t="s">
        <v>54</v>
      </c>
      <c r="B25">
        <f>'Pretax Fuel Prices'!B26+'Fuel Taxes'!B26</f>
        <v>0</v>
      </c>
      <c r="C25">
        <f>'Pretax Fuel Prices'!C26+'Fuel Taxes'!C26</f>
        <v>0</v>
      </c>
      <c r="D25">
        <f>'Pretax Fuel Prices'!D26+'Fuel Taxes'!D26</f>
        <v>0</v>
      </c>
      <c r="E25">
        <f>'Pretax Fuel Prices'!E26+'Fuel Taxes'!E26</f>
        <v>0</v>
      </c>
      <c r="F25">
        <f>'Pretax Fuel Prices'!F26+'Fuel Taxes'!F26</f>
        <v>0</v>
      </c>
      <c r="G25">
        <f>'Pretax Fuel Prices'!G26+'Fuel Taxes'!G26</f>
        <v>0</v>
      </c>
      <c r="H25">
        <f>'Pretax Fuel Prices'!H26+'Fuel Taxes'!H26</f>
        <v>0</v>
      </c>
      <c r="I25">
        <f>'Pretax Fuel Prices'!I26+'Fuel Taxes'!I26</f>
        <v>0</v>
      </c>
      <c r="J25">
        <f>'Pretax Fuel Prices'!J26+'Fuel Taxes'!J26</f>
        <v>0</v>
      </c>
      <c r="K25">
        <f>'Pretax Fuel Prices'!K26+'Fuel Taxes'!K26</f>
        <v>0</v>
      </c>
      <c r="L25">
        <f>'Pretax Fuel Prices'!L26+'Fuel Taxes'!L26</f>
        <v>0</v>
      </c>
      <c r="M25">
        <f>'Pretax Fuel Prices'!M26+'Fuel Taxes'!M26</f>
        <v>0</v>
      </c>
      <c r="N25">
        <f>'Pretax Fuel Prices'!N26+'Fuel Taxes'!N26</f>
        <v>0</v>
      </c>
      <c r="O25">
        <f>'Pretax Fuel Prices'!O26+'Fuel Taxes'!O26</f>
        <v>0</v>
      </c>
      <c r="P25">
        <f>'Pretax Fuel Prices'!P26+'Fuel Taxes'!P26</f>
        <v>0</v>
      </c>
      <c r="Q25">
        <f>'Pretax Fuel Prices'!Q26+'Fuel Taxes'!Q26</f>
        <v>0</v>
      </c>
      <c r="R25">
        <f>'Pretax Fuel Prices'!R26+'Fuel Taxes'!R26</f>
        <v>0</v>
      </c>
      <c r="S25">
        <f>'Pretax Fuel Prices'!S26+'Fuel Taxes'!S26</f>
        <v>0</v>
      </c>
      <c r="T25">
        <f>'Pretax Fuel Prices'!T26+'Fuel Taxes'!T26</f>
        <v>0</v>
      </c>
      <c r="U25">
        <f>'Pretax Fuel Prices'!U26+'Fuel Taxes'!U26</f>
        <v>0</v>
      </c>
      <c r="V25">
        <f>'Pretax Fuel Prices'!V26+'Fuel Taxes'!V26</f>
        <v>0</v>
      </c>
      <c r="W25">
        <f>'Pretax Fuel Prices'!W26+'Fuel Taxes'!W26</f>
        <v>0</v>
      </c>
      <c r="X25">
        <f>'Pretax Fuel Prices'!X26+'Fuel Taxes'!X26</f>
        <v>0</v>
      </c>
      <c r="Y25">
        <f>'Pretax Fuel Prices'!Y26+'Fuel Taxes'!Y26</f>
        <v>0</v>
      </c>
      <c r="Z25">
        <f>'Pretax Fuel Prices'!Z26+'Fuel Taxes'!Z26</f>
        <v>0</v>
      </c>
      <c r="AA25">
        <f>'Pretax Fuel Prices'!AA26+'Fuel Taxes'!AA26</f>
        <v>0</v>
      </c>
      <c r="AB25">
        <f>'Pretax Fuel Prices'!AB26+'Fuel Taxes'!AB26</f>
        <v>0</v>
      </c>
      <c r="AC25">
        <f>'Pretax Fuel Prices'!AC26+'Fuel Taxes'!AC26</f>
        <v>0</v>
      </c>
      <c r="AD25">
        <f>'Pretax Fuel Prices'!AD26+'Fuel Taxes'!AD26</f>
        <v>0</v>
      </c>
      <c r="AE25">
        <f>'Pretax Fuel Prices'!AE26+'Fuel Taxes'!AE26</f>
        <v>0</v>
      </c>
      <c r="AF25">
        <f>'Pretax Fuel Prices'!AF26+'Fuel Taxes'!AF26</f>
        <v>0</v>
      </c>
      <c r="AG25">
        <f>'Pretax Fuel Prices'!AG26+'Fuel Taxes'!AG26</f>
        <v>0</v>
      </c>
      <c r="AH25">
        <f>'Pretax Fuel Prices'!AH26+'Fuel Taxes'!AH26</f>
        <v>0</v>
      </c>
      <c r="AI25">
        <f>'Pretax Fuel Prices'!AI26+'Fuel Taxes'!AI26</f>
        <v>0</v>
      </c>
      <c r="AJ25">
        <f>'Pretax Fuel Prices'!AJ26+'Fuel Taxes'!AJ26</f>
        <v>0</v>
      </c>
      <c r="AK25">
        <f>'Pretax Fuel Prices'!AK26+'Fuel Taxes'!AK26</f>
        <v>0</v>
      </c>
      <c r="AL25">
        <f>'Pretax Fuel Prices'!AL26+'Fuel Taxes'!AL26</f>
        <v>0</v>
      </c>
      <c r="AM25">
        <f>'Pretax Fuel Prices'!AM26+'Fuel Taxes'!AM26</f>
        <v>0</v>
      </c>
      <c r="AN25">
        <f>'Pretax Fuel Prices'!AN26+'Fuel Taxes'!AN26</f>
        <v>0</v>
      </c>
      <c r="AO25">
        <f>'Pretax Fuel Prices'!AO26+'Fuel Taxes'!AO26</f>
        <v>0</v>
      </c>
      <c r="AP25">
        <f>'Pretax Fuel Prices'!AP26+'Fuel Taxes'!AP26</f>
        <v>0</v>
      </c>
      <c r="AQ25">
        <f>'Pretax Fuel Prices'!AQ26+'Fuel Taxes'!AQ26</f>
        <v>0</v>
      </c>
      <c r="AR25">
        <f>'Pretax Fuel Prices'!AR26+'Fuel Taxes'!AR26</f>
        <v>0</v>
      </c>
      <c r="AS25">
        <f>'Pretax Fuel Prices'!AS26+'Fuel Taxes'!AS26</f>
        <v>0</v>
      </c>
      <c r="AT25">
        <f>'Pretax Fuel Prices'!AT26+'Fuel Taxes'!AT26</f>
        <v>0</v>
      </c>
      <c r="AU25">
        <f>'Pretax Fuel Prices'!AU26+'Fuel Taxes'!AU26</f>
        <v>0</v>
      </c>
      <c r="AV25">
        <f>'Pretax Fuel Prices'!AV26+'Fuel Taxes'!AV26</f>
        <v>0</v>
      </c>
      <c r="AW25">
        <f>'Pretax Fuel Prices'!AW26+'Fuel Taxes'!AW26</f>
        <v>0</v>
      </c>
      <c r="AX25">
        <f>'Pretax Fuel Prices'!AX26+'Fuel Taxes'!AX26</f>
        <v>0</v>
      </c>
      <c r="AY25">
        <f>'Pretax Fuel Prices'!AY26+'Fuel Taxes'!AY26</f>
        <v>0</v>
      </c>
      <c r="AZ25">
        <f>'Pretax Fuel Prices'!AZ26+'Fuel Taxes'!AZ26</f>
        <v>0</v>
      </c>
    </row>
    <row r="26" spans="1:52" x14ac:dyDescent="0.25">
      <c r="A26" t="s">
        <v>55</v>
      </c>
      <c r="B26">
        <f>'Pretax Fuel Prices'!B27+'Fuel Taxes'!B27</f>
        <v>0</v>
      </c>
      <c r="C26">
        <f>'Pretax Fuel Prices'!C27+'Fuel Taxes'!C27</f>
        <v>0</v>
      </c>
      <c r="D26">
        <f>'Pretax Fuel Prices'!D27+'Fuel Taxes'!D27</f>
        <v>0</v>
      </c>
      <c r="E26">
        <f>'Pretax Fuel Prices'!E27+'Fuel Taxes'!E27</f>
        <v>0</v>
      </c>
      <c r="F26">
        <f>'Pretax Fuel Prices'!F27+'Fuel Taxes'!F27</f>
        <v>0</v>
      </c>
      <c r="G26">
        <f>'Pretax Fuel Prices'!G27+'Fuel Taxes'!G27</f>
        <v>0</v>
      </c>
      <c r="H26">
        <f>'Pretax Fuel Prices'!H27+'Fuel Taxes'!H27</f>
        <v>0</v>
      </c>
      <c r="I26">
        <f>'Pretax Fuel Prices'!I27+'Fuel Taxes'!I27</f>
        <v>0</v>
      </c>
      <c r="J26">
        <f>'Pretax Fuel Prices'!J27+'Fuel Taxes'!J27</f>
        <v>0</v>
      </c>
      <c r="K26">
        <f>'Pretax Fuel Prices'!K27+'Fuel Taxes'!K27</f>
        <v>0</v>
      </c>
      <c r="L26">
        <f>'Pretax Fuel Prices'!L27+'Fuel Taxes'!L27</f>
        <v>0</v>
      </c>
      <c r="M26">
        <f>'Pretax Fuel Prices'!M27+'Fuel Taxes'!M27</f>
        <v>0</v>
      </c>
      <c r="N26">
        <f>'Pretax Fuel Prices'!N27+'Fuel Taxes'!N27</f>
        <v>0</v>
      </c>
      <c r="O26">
        <f>'Pretax Fuel Prices'!O27+'Fuel Taxes'!O27</f>
        <v>0</v>
      </c>
      <c r="P26">
        <f>'Pretax Fuel Prices'!P27+'Fuel Taxes'!P27</f>
        <v>0</v>
      </c>
      <c r="Q26">
        <f>'Pretax Fuel Prices'!Q27+'Fuel Taxes'!Q27</f>
        <v>0</v>
      </c>
      <c r="R26">
        <f>'Pretax Fuel Prices'!R27+'Fuel Taxes'!R27</f>
        <v>0</v>
      </c>
      <c r="S26">
        <f>'Pretax Fuel Prices'!S27+'Fuel Taxes'!S27</f>
        <v>0</v>
      </c>
      <c r="T26">
        <f>'Pretax Fuel Prices'!T27+'Fuel Taxes'!T27</f>
        <v>0</v>
      </c>
      <c r="U26">
        <f>'Pretax Fuel Prices'!U27+'Fuel Taxes'!U27</f>
        <v>0</v>
      </c>
      <c r="V26">
        <f>'Pretax Fuel Prices'!V27+'Fuel Taxes'!V27</f>
        <v>0</v>
      </c>
      <c r="W26">
        <f>'Pretax Fuel Prices'!W27+'Fuel Taxes'!W27</f>
        <v>0</v>
      </c>
      <c r="X26">
        <f>'Pretax Fuel Prices'!X27+'Fuel Taxes'!X27</f>
        <v>0</v>
      </c>
      <c r="Y26">
        <f>'Pretax Fuel Prices'!Y27+'Fuel Taxes'!Y27</f>
        <v>0</v>
      </c>
      <c r="Z26">
        <f>'Pretax Fuel Prices'!Z27+'Fuel Taxes'!Z27</f>
        <v>0</v>
      </c>
      <c r="AA26">
        <f>'Pretax Fuel Prices'!AA27+'Fuel Taxes'!AA27</f>
        <v>0</v>
      </c>
      <c r="AB26">
        <f>'Pretax Fuel Prices'!AB27+'Fuel Taxes'!AB27</f>
        <v>0</v>
      </c>
      <c r="AC26">
        <f>'Pretax Fuel Prices'!AC27+'Fuel Taxes'!AC27</f>
        <v>0</v>
      </c>
      <c r="AD26">
        <f>'Pretax Fuel Prices'!AD27+'Fuel Taxes'!AD27</f>
        <v>0</v>
      </c>
      <c r="AE26">
        <f>'Pretax Fuel Prices'!AE27+'Fuel Taxes'!AE27</f>
        <v>0</v>
      </c>
      <c r="AF26">
        <f>'Pretax Fuel Prices'!AF27+'Fuel Taxes'!AF27</f>
        <v>0</v>
      </c>
      <c r="AG26">
        <f>'Pretax Fuel Prices'!AG27+'Fuel Taxes'!AG27</f>
        <v>0</v>
      </c>
      <c r="AH26">
        <f>'Pretax Fuel Prices'!AH27+'Fuel Taxes'!AH27</f>
        <v>0</v>
      </c>
      <c r="AI26">
        <f>'Pretax Fuel Prices'!AI27+'Fuel Taxes'!AI27</f>
        <v>0</v>
      </c>
      <c r="AJ26">
        <f>'Pretax Fuel Prices'!AJ27+'Fuel Taxes'!AJ27</f>
        <v>0</v>
      </c>
      <c r="AK26">
        <f>'Pretax Fuel Prices'!AK27+'Fuel Taxes'!AK27</f>
        <v>0</v>
      </c>
      <c r="AL26">
        <f>'Pretax Fuel Prices'!AL27+'Fuel Taxes'!AL27</f>
        <v>0</v>
      </c>
      <c r="AM26">
        <f>'Pretax Fuel Prices'!AM27+'Fuel Taxes'!AM27</f>
        <v>0</v>
      </c>
      <c r="AN26">
        <f>'Pretax Fuel Prices'!AN27+'Fuel Taxes'!AN27</f>
        <v>0</v>
      </c>
      <c r="AO26">
        <f>'Pretax Fuel Prices'!AO27+'Fuel Taxes'!AO27</f>
        <v>0</v>
      </c>
      <c r="AP26">
        <f>'Pretax Fuel Prices'!AP27+'Fuel Taxes'!AP27</f>
        <v>0</v>
      </c>
      <c r="AQ26">
        <f>'Pretax Fuel Prices'!AQ27+'Fuel Taxes'!AQ27</f>
        <v>0</v>
      </c>
      <c r="AR26">
        <f>'Pretax Fuel Prices'!AR27+'Fuel Taxes'!AR27</f>
        <v>0</v>
      </c>
      <c r="AS26">
        <f>'Pretax Fuel Prices'!AS27+'Fuel Taxes'!AS27</f>
        <v>0</v>
      </c>
      <c r="AT26">
        <f>'Pretax Fuel Prices'!AT27+'Fuel Taxes'!AT27</f>
        <v>0</v>
      </c>
      <c r="AU26">
        <f>'Pretax Fuel Prices'!AU27+'Fuel Taxes'!AU27</f>
        <v>0</v>
      </c>
      <c r="AV26">
        <f>'Pretax Fuel Prices'!AV27+'Fuel Taxes'!AV27</f>
        <v>0</v>
      </c>
      <c r="AW26">
        <f>'Pretax Fuel Prices'!AW27+'Fuel Taxes'!AW27</f>
        <v>0</v>
      </c>
      <c r="AX26">
        <f>'Pretax Fuel Prices'!AX27+'Fuel Taxes'!AX27</f>
        <v>0</v>
      </c>
      <c r="AY26">
        <f>'Pretax Fuel Prices'!AY27+'Fuel Taxes'!AY27</f>
        <v>0</v>
      </c>
      <c r="AZ26">
        <f>'Pretax Fuel Prices'!AZ27+'Fuel Taxes'!AZ27</f>
        <v>0</v>
      </c>
    </row>
    <row r="27" spans="1:52" x14ac:dyDescent="0.25">
      <c r="A27" t="s">
        <v>56</v>
      </c>
      <c r="B27">
        <f>'Pretax Fuel Prices'!B28+'Fuel Taxes'!B28</f>
        <v>0</v>
      </c>
      <c r="C27">
        <f>'Pretax Fuel Prices'!C28+'Fuel Taxes'!C28</f>
        <v>0</v>
      </c>
      <c r="D27">
        <f>'Pretax Fuel Prices'!D28+'Fuel Taxes'!D28</f>
        <v>0</v>
      </c>
      <c r="E27">
        <f>'Pretax Fuel Prices'!E28+'Fuel Taxes'!E28</f>
        <v>0</v>
      </c>
      <c r="F27">
        <f>'Pretax Fuel Prices'!F28+'Fuel Taxes'!F28</f>
        <v>0</v>
      </c>
      <c r="G27">
        <f>'Pretax Fuel Prices'!G28+'Fuel Taxes'!G28</f>
        <v>0</v>
      </c>
      <c r="H27">
        <f>'Pretax Fuel Prices'!H28+'Fuel Taxes'!H28</f>
        <v>0</v>
      </c>
      <c r="I27">
        <f>'Pretax Fuel Prices'!I28+'Fuel Taxes'!I28</f>
        <v>0</v>
      </c>
      <c r="J27">
        <f>'Pretax Fuel Prices'!J28+'Fuel Taxes'!J28</f>
        <v>0</v>
      </c>
      <c r="K27">
        <f>'Pretax Fuel Prices'!K28+'Fuel Taxes'!K28</f>
        <v>0</v>
      </c>
      <c r="L27">
        <f>'Pretax Fuel Prices'!L28+'Fuel Taxes'!L28</f>
        <v>0</v>
      </c>
      <c r="M27">
        <f>'Pretax Fuel Prices'!M28+'Fuel Taxes'!M28</f>
        <v>0</v>
      </c>
      <c r="N27">
        <f>'Pretax Fuel Prices'!N28+'Fuel Taxes'!N28</f>
        <v>0</v>
      </c>
      <c r="O27">
        <f>'Pretax Fuel Prices'!O28+'Fuel Taxes'!O28</f>
        <v>0</v>
      </c>
      <c r="P27">
        <f>'Pretax Fuel Prices'!P28+'Fuel Taxes'!P28</f>
        <v>0</v>
      </c>
      <c r="Q27">
        <f>'Pretax Fuel Prices'!Q28+'Fuel Taxes'!Q28</f>
        <v>0</v>
      </c>
      <c r="R27">
        <f>'Pretax Fuel Prices'!R28+'Fuel Taxes'!R28</f>
        <v>0</v>
      </c>
      <c r="S27">
        <f>'Pretax Fuel Prices'!S28+'Fuel Taxes'!S28</f>
        <v>0</v>
      </c>
      <c r="T27">
        <f>'Pretax Fuel Prices'!T28+'Fuel Taxes'!T28</f>
        <v>0</v>
      </c>
      <c r="U27">
        <f>'Pretax Fuel Prices'!U28+'Fuel Taxes'!U28</f>
        <v>0</v>
      </c>
      <c r="V27">
        <f>'Pretax Fuel Prices'!V28+'Fuel Taxes'!V28</f>
        <v>0</v>
      </c>
      <c r="W27">
        <f>'Pretax Fuel Prices'!W28+'Fuel Taxes'!W28</f>
        <v>0</v>
      </c>
      <c r="X27">
        <f>'Pretax Fuel Prices'!X28+'Fuel Taxes'!X28</f>
        <v>0</v>
      </c>
      <c r="Y27">
        <f>'Pretax Fuel Prices'!Y28+'Fuel Taxes'!Y28</f>
        <v>0</v>
      </c>
      <c r="Z27">
        <f>'Pretax Fuel Prices'!Z28+'Fuel Taxes'!Z28</f>
        <v>0</v>
      </c>
      <c r="AA27">
        <f>'Pretax Fuel Prices'!AA28+'Fuel Taxes'!AA28</f>
        <v>0</v>
      </c>
      <c r="AB27">
        <f>'Pretax Fuel Prices'!AB28+'Fuel Taxes'!AB28</f>
        <v>0</v>
      </c>
      <c r="AC27">
        <f>'Pretax Fuel Prices'!AC28+'Fuel Taxes'!AC28</f>
        <v>0</v>
      </c>
      <c r="AD27">
        <f>'Pretax Fuel Prices'!AD28+'Fuel Taxes'!AD28</f>
        <v>0</v>
      </c>
      <c r="AE27">
        <f>'Pretax Fuel Prices'!AE28+'Fuel Taxes'!AE28</f>
        <v>0</v>
      </c>
      <c r="AF27">
        <f>'Pretax Fuel Prices'!AF28+'Fuel Taxes'!AF28</f>
        <v>0</v>
      </c>
      <c r="AG27">
        <f>'Pretax Fuel Prices'!AG28+'Fuel Taxes'!AG28</f>
        <v>0</v>
      </c>
      <c r="AH27">
        <f>'Pretax Fuel Prices'!AH28+'Fuel Taxes'!AH28</f>
        <v>0</v>
      </c>
      <c r="AI27">
        <f>'Pretax Fuel Prices'!AI28+'Fuel Taxes'!AI28</f>
        <v>0</v>
      </c>
      <c r="AJ27">
        <f>'Pretax Fuel Prices'!AJ28+'Fuel Taxes'!AJ28</f>
        <v>0</v>
      </c>
      <c r="AK27">
        <f>'Pretax Fuel Prices'!AK28+'Fuel Taxes'!AK28</f>
        <v>0</v>
      </c>
      <c r="AL27">
        <f>'Pretax Fuel Prices'!AL28+'Fuel Taxes'!AL28</f>
        <v>0</v>
      </c>
      <c r="AM27">
        <f>'Pretax Fuel Prices'!AM28+'Fuel Taxes'!AM28</f>
        <v>0</v>
      </c>
      <c r="AN27">
        <f>'Pretax Fuel Prices'!AN28+'Fuel Taxes'!AN28</f>
        <v>0</v>
      </c>
      <c r="AO27">
        <f>'Pretax Fuel Prices'!AO28+'Fuel Taxes'!AO28</f>
        <v>0</v>
      </c>
      <c r="AP27">
        <f>'Pretax Fuel Prices'!AP28+'Fuel Taxes'!AP28</f>
        <v>0</v>
      </c>
      <c r="AQ27">
        <f>'Pretax Fuel Prices'!AQ28+'Fuel Taxes'!AQ28</f>
        <v>0</v>
      </c>
      <c r="AR27">
        <f>'Pretax Fuel Prices'!AR28+'Fuel Taxes'!AR28</f>
        <v>0</v>
      </c>
      <c r="AS27">
        <f>'Pretax Fuel Prices'!AS28+'Fuel Taxes'!AS28</f>
        <v>0</v>
      </c>
      <c r="AT27">
        <f>'Pretax Fuel Prices'!AT28+'Fuel Taxes'!AT28</f>
        <v>0</v>
      </c>
      <c r="AU27">
        <f>'Pretax Fuel Prices'!AU28+'Fuel Taxes'!AU28</f>
        <v>0</v>
      </c>
      <c r="AV27">
        <f>'Pretax Fuel Prices'!AV28+'Fuel Taxes'!AV28</f>
        <v>0</v>
      </c>
      <c r="AW27">
        <f>'Pretax Fuel Prices'!AW28+'Fuel Taxes'!AW28</f>
        <v>0</v>
      </c>
      <c r="AX27">
        <f>'Pretax Fuel Prices'!AX28+'Fuel Taxes'!AX28</f>
        <v>0</v>
      </c>
      <c r="AY27">
        <f>'Pretax Fuel Prices'!AY28+'Fuel Taxes'!AY28</f>
        <v>0</v>
      </c>
      <c r="AZ27">
        <f>'Pretax Fuel Prices'!AZ28+'Fuel Taxes'!AZ28</f>
        <v>0</v>
      </c>
    </row>
    <row r="28" spans="1:52" x14ac:dyDescent="0.25">
      <c r="A28" t="s">
        <v>57</v>
      </c>
      <c r="B28">
        <f>'Pretax Fuel Prices'!B29+'Fuel Taxes'!B29</f>
        <v>0</v>
      </c>
      <c r="C28">
        <f>'Pretax Fuel Prices'!C29+'Fuel Taxes'!C29</f>
        <v>0</v>
      </c>
      <c r="D28">
        <f>'Pretax Fuel Prices'!D29+'Fuel Taxes'!D29</f>
        <v>0</v>
      </c>
      <c r="E28">
        <f>'Pretax Fuel Prices'!E29+'Fuel Taxes'!E29</f>
        <v>0</v>
      </c>
      <c r="F28">
        <f>'Pretax Fuel Prices'!F29+'Fuel Taxes'!F29</f>
        <v>0</v>
      </c>
      <c r="G28">
        <f>'Pretax Fuel Prices'!G29+'Fuel Taxes'!G29</f>
        <v>0</v>
      </c>
      <c r="H28">
        <f>'Pretax Fuel Prices'!H29+'Fuel Taxes'!H29</f>
        <v>0</v>
      </c>
      <c r="I28">
        <f>'Pretax Fuel Prices'!I29+'Fuel Taxes'!I29</f>
        <v>0</v>
      </c>
      <c r="J28">
        <f>'Pretax Fuel Prices'!J29+'Fuel Taxes'!J29</f>
        <v>0</v>
      </c>
      <c r="K28">
        <f>'Pretax Fuel Prices'!K29+'Fuel Taxes'!K29</f>
        <v>0</v>
      </c>
      <c r="L28">
        <f>'Pretax Fuel Prices'!L29+'Fuel Taxes'!L29</f>
        <v>0</v>
      </c>
      <c r="M28">
        <f>'Pretax Fuel Prices'!M29+'Fuel Taxes'!M29</f>
        <v>0</v>
      </c>
      <c r="N28">
        <f>'Pretax Fuel Prices'!N29+'Fuel Taxes'!N29</f>
        <v>0</v>
      </c>
      <c r="O28">
        <f>'Pretax Fuel Prices'!O29+'Fuel Taxes'!O29</f>
        <v>0</v>
      </c>
      <c r="P28">
        <f>'Pretax Fuel Prices'!P29+'Fuel Taxes'!P29</f>
        <v>0</v>
      </c>
      <c r="Q28">
        <f>'Pretax Fuel Prices'!Q29+'Fuel Taxes'!Q29</f>
        <v>0</v>
      </c>
      <c r="R28">
        <f>'Pretax Fuel Prices'!R29+'Fuel Taxes'!R29</f>
        <v>0</v>
      </c>
      <c r="S28">
        <f>'Pretax Fuel Prices'!S29+'Fuel Taxes'!S29</f>
        <v>0</v>
      </c>
      <c r="T28">
        <f>'Pretax Fuel Prices'!T29+'Fuel Taxes'!T29</f>
        <v>0</v>
      </c>
      <c r="U28">
        <f>'Pretax Fuel Prices'!U29+'Fuel Taxes'!U29</f>
        <v>0</v>
      </c>
      <c r="V28">
        <f>'Pretax Fuel Prices'!V29+'Fuel Taxes'!V29</f>
        <v>0</v>
      </c>
      <c r="W28">
        <f>'Pretax Fuel Prices'!W29+'Fuel Taxes'!W29</f>
        <v>0</v>
      </c>
      <c r="X28">
        <f>'Pretax Fuel Prices'!X29+'Fuel Taxes'!X29</f>
        <v>0</v>
      </c>
      <c r="Y28">
        <f>'Pretax Fuel Prices'!Y29+'Fuel Taxes'!Y29</f>
        <v>0</v>
      </c>
      <c r="Z28">
        <f>'Pretax Fuel Prices'!Z29+'Fuel Taxes'!Z29</f>
        <v>0</v>
      </c>
      <c r="AA28">
        <f>'Pretax Fuel Prices'!AA29+'Fuel Taxes'!AA29</f>
        <v>0</v>
      </c>
      <c r="AB28">
        <f>'Pretax Fuel Prices'!AB29+'Fuel Taxes'!AB29</f>
        <v>0</v>
      </c>
      <c r="AC28">
        <f>'Pretax Fuel Prices'!AC29+'Fuel Taxes'!AC29</f>
        <v>0</v>
      </c>
      <c r="AD28">
        <f>'Pretax Fuel Prices'!AD29+'Fuel Taxes'!AD29</f>
        <v>0</v>
      </c>
      <c r="AE28">
        <f>'Pretax Fuel Prices'!AE29+'Fuel Taxes'!AE29</f>
        <v>0</v>
      </c>
      <c r="AF28">
        <f>'Pretax Fuel Prices'!AF29+'Fuel Taxes'!AF29</f>
        <v>0</v>
      </c>
      <c r="AG28">
        <f>'Pretax Fuel Prices'!AG29+'Fuel Taxes'!AG29</f>
        <v>0</v>
      </c>
      <c r="AH28">
        <f>'Pretax Fuel Prices'!AH29+'Fuel Taxes'!AH29</f>
        <v>0</v>
      </c>
      <c r="AI28">
        <f>'Pretax Fuel Prices'!AI29+'Fuel Taxes'!AI29</f>
        <v>0</v>
      </c>
      <c r="AJ28">
        <f>'Pretax Fuel Prices'!AJ29+'Fuel Taxes'!AJ29</f>
        <v>0</v>
      </c>
      <c r="AK28">
        <f>'Pretax Fuel Prices'!AK29+'Fuel Taxes'!AK29</f>
        <v>0</v>
      </c>
      <c r="AL28">
        <f>'Pretax Fuel Prices'!AL29+'Fuel Taxes'!AL29</f>
        <v>0</v>
      </c>
      <c r="AM28">
        <f>'Pretax Fuel Prices'!AM29+'Fuel Taxes'!AM29</f>
        <v>0</v>
      </c>
      <c r="AN28">
        <f>'Pretax Fuel Prices'!AN29+'Fuel Taxes'!AN29</f>
        <v>0</v>
      </c>
      <c r="AO28">
        <f>'Pretax Fuel Prices'!AO29+'Fuel Taxes'!AO29</f>
        <v>0</v>
      </c>
      <c r="AP28">
        <f>'Pretax Fuel Prices'!AP29+'Fuel Taxes'!AP29</f>
        <v>0</v>
      </c>
      <c r="AQ28">
        <f>'Pretax Fuel Prices'!AQ29+'Fuel Taxes'!AQ29</f>
        <v>0</v>
      </c>
      <c r="AR28">
        <f>'Pretax Fuel Prices'!AR29+'Fuel Taxes'!AR29</f>
        <v>0</v>
      </c>
      <c r="AS28">
        <f>'Pretax Fuel Prices'!AS29+'Fuel Taxes'!AS29</f>
        <v>0</v>
      </c>
      <c r="AT28">
        <f>'Pretax Fuel Prices'!AT29+'Fuel Taxes'!AT29</f>
        <v>0</v>
      </c>
      <c r="AU28">
        <f>'Pretax Fuel Prices'!AU29+'Fuel Taxes'!AU29</f>
        <v>0</v>
      </c>
      <c r="AV28">
        <f>'Pretax Fuel Prices'!AV29+'Fuel Taxes'!AV29</f>
        <v>0</v>
      </c>
      <c r="AW28">
        <f>'Pretax Fuel Prices'!AW29+'Fuel Taxes'!AW29</f>
        <v>0</v>
      </c>
      <c r="AX28">
        <f>'Pretax Fuel Prices'!AX29+'Fuel Taxes'!AX29</f>
        <v>0</v>
      </c>
      <c r="AY28">
        <f>'Pretax Fuel Prices'!AY29+'Fuel Taxes'!AY29</f>
        <v>0</v>
      </c>
      <c r="AZ28">
        <f>'Pretax Fuel Prices'!AZ29+'Fuel Taxes'!AZ29</f>
        <v>0</v>
      </c>
    </row>
    <row r="29" spans="1:52" x14ac:dyDescent="0.25">
      <c r="A29" t="s">
        <v>58</v>
      </c>
      <c r="B29">
        <f>'Pretax Fuel Prices'!B30+'Fuel Taxes'!B30</f>
        <v>0</v>
      </c>
      <c r="C29">
        <f>'Pretax Fuel Prices'!C30+'Fuel Taxes'!C30</f>
        <v>0</v>
      </c>
      <c r="D29">
        <f>'Pretax Fuel Prices'!D30+'Fuel Taxes'!D30</f>
        <v>0</v>
      </c>
      <c r="E29">
        <f>'Pretax Fuel Prices'!E30+'Fuel Taxes'!E30</f>
        <v>0</v>
      </c>
      <c r="F29">
        <f>'Pretax Fuel Prices'!F30+'Fuel Taxes'!F30</f>
        <v>0</v>
      </c>
      <c r="G29">
        <f>'Pretax Fuel Prices'!G30+'Fuel Taxes'!G30</f>
        <v>0</v>
      </c>
      <c r="H29">
        <f>'Pretax Fuel Prices'!H30+'Fuel Taxes'!H30</f>
        <v>0</v>
      </c>
      <c r="I29">
        <f>'Pretax Fuel Prices'!I30+'Fuel Taxes'!I30</f>
        <v>0</v>
      </c>
      <c r="J29">
        <f>'Pretax Fuel Prices'!J30+'Fuel Taxes'!J30</f>
        <v>0</v>
      </c>
      <c r="K29">
        <f>'Pretax Fuel Prices'!K30+'Fuel Taxes'!K30</f>
        <v>0</v>
      </c>
      <c r="L29">
        <f>'Pretax Fuel Prices'!L30+'Fuel Taxes'!L30</f>
        <v>0</v>
      </c>
      <c r="M29">
        <f>'Pretax Fuel Prices'!M30+'Fuel Taxes'!M30</f>
        <v>0</v>
      </c>
      <c r="N29">
        <f>'Pretax Fuel Prices'!N30+'Fuel Taxes'!N30</f>
        <v>0</v>
      </c>
      <c r="O29">
        <f>'Pretax Fuel Prices'!O30+'Fuel Taxes'!O30</f>
        <v>0</v>
      </c>
      <c r="P29">
        <f>'Pretax Fuel Prices'!P30+'Fuel Taxes'!P30</f>
        <v>0</v>
      </c>
      <c r="Q29">
        <f>'Pretax Fuel Prices'!Q30+'Fuel Taxes'!Q30</f>
        <v>0</v>
      </c>
      <c r="R29">
        <f>'Pretax Fuel Prices'!R30+'Fuel Taxes'!R30</f>
        <v>0</v>
      </c>
      <c r="S29">
        <f>'Pretax Fuel Prices'!S30+'Fuel Taxes'!S30</f>
        <v>0</v>
      </c>
      <c r="T29">
        <f>'Pretax Fuel Prices'!T30+'Fuel Taxes'!T30</f>
        <v>0</v>
      </c>
      <c r="U29">
        <f>'Pretax Fuel Prices'!U30+'Fuel Taxes'!U30</f>
        <v>0</v>
      </c>
      <c r="V29">
        <f>'Pretax Fuel Prices'!V30+'Fuel Taxes'!V30</f>
        <v>0</v>
      </c>
      <c r="W29">
        <f>'Pretax Fuel Prices'!W30+'Fuel Taxes'!W30</f>
        <v>0</v>
      </c>
      <c r="X29">
        <f>'Pretax Fuel Prices'!X30+'Fuel Taxes'!X30</f>
        <v>0</v>
      </c>
      <c r="Y29">
        <f>'Pretax Fuel Prices'!Y30+'Fuel Taxes'!Y30</f>
        <v>0</v>
      </c>
      <c r="Z29">
        <f>'Pretax Fuel Prices'!Z30+'Fuel Taxes'!Z30</f>
        <v>0</v>
      </c>
      <c r="AA29">
        <f>'Pretax Fuel Prices'!AA30+'Fuel Taxes'!AA30</f>
        <v>0</v>
      </c>
      <c r="AB29">
        <f>'Pretax Fuel Prices'!AB30+'Fuel Taxes'!AB30</f>
        <v>0</v>
      </c>
      <c r="AC29">
        <f>'Pretax Fuel Prices'!AC30+'Fuel Taxes'!AC30</f>
        <v>0</v>
      </c>
      <c r="AD29">
        <f>'Pretax Fuel Prices'!AD30+'Fuel Taxes'!AD30</f>
        <v>0</v>
      </c>
      <c r="AE29">
        <f>'Pretax Fuel Prices'!AE30+'Fuel Taxes'!AE30</f>
        <v>0</v>
      </c>
      <c r="AF29">
        <f>'Pretax Fuel Prices'!AF30+'Fuel Taxes'!AF30</f>
        <v>0</v>
      </c>
      <c r="AG29">
        <f>'Pretax Fuel Prices'!AG30+'Fuel Taxes'!AG30</f>
        <v>0</v>
      </c>
      <c r="AH29">
        <f>'Pretax Fuel Prices'!AH30+'Fuel Taxes'!AH30</f>
        <v>0</v>
      </c>
      <c r="AI29">
        <f>'Pretax Fuel Prices'!AI30+'Fuel Taxes'!AI30</f>
        <v>0</v>
      </c>
      <c r="AJ29">
        <f>'Pretax Fuel Prices'!AJ30+'Fuel Taxes'!AJ30</f>
        <v>0</v>
      </c>
      <c r="AK29">
        <f>'Pretax Fuel Prices'!AK30+'Fuel Taxes'!AK30</f>
        <v>0</v>
      </c>
      <c r="AL29">
        <f>'Pretax Fuel Prices'!AL30+'Fuel Taxes'!AL30</f>
        <v>0</v>
      </c>
      <c r="AM29">
        <f>'Pretax Fuel Prices'!AM30+'Fuel Taxes'!AM30</f>
        <v>0</v>
      </c>
      <c r="AN29">
        <f>'Pretax Fuel Prices'!AN30+'Fuel Taxes'!AN30</f>
        <v>0</v>
      </c>
      <c r="AO29">
        <f>'Pretax Fuel Prices'!AO30+'Fuel Taxes'!AO30</f>
        <v>0</v>
      </c>
      <c r="AP29">
        <f>'Pretax Fuel Prices'!AP30+'Fuel Taxes'!AP30</f>
        <v>0</v>
      </c>
      <c r="AQ29">
        <f>'Pretax Fuel Prices'!AQ30+'Fuel Taxes'!AQ30</f>
        <v>0</v>
      </c>
      <c r="AR29">
        <f>'Pretax Fuel Prices'!AR30+'Fuel Taxes'!AR30</f>
        <v>0</v>
      </c>
      <c r="AS29">
        <f>'Pretax Fuel Prices'!AS30+'Fuel Taxes'!AS30</f>
        <v>0</v>
      </c>
      <c r="AT29">
        <f>'Pretax Fuel Prices'!AT30+'Fuel Taxes'!AT30</f>
        <v>0</v>
      </c>
      <c r="AU29">
        <f>'Pretax Fuel Prices'!AU30+'Fuel Taxes'!AU30</f>
        <v>0</v>
      </c>
      <c r="AV29">
        <f>'Pretax Fuel Prices'!AV30+'Fuel Taxes'!AV30</f>
        <v>0</v>
      </c>
      <c r="AW29">
        <f>'Pretax Fuel Prices'!AW30+'Fuel Taxes'!AW30</f>
        <v>0</v>
      </c>
      <c r="AX29">
        <f>'Pretax Fuel Prices'!AX30+'Fuel Taxes'!AX30</f>
        <v>0</v>
      </c>
      <c r="AY29">
        <f>'Pretax Fuel Prices'!AY30+'Fuel Taxes'!AY30</f>
        <v>0</v>
      </c>
      <c r="AZ29">
        <f>'Pretax Fuel Prices'!AZ30+'Fuel Taxes'!AZ30</f>
        <v>0</v>
      </c>
    </row>
    <row r="30" spans="1:52" x14ac:dyDescent="0.25">
      <c r="A30" t="s">
        <v>59</v>
      </c>
      <c r="B30">
        <f>'Pretax Fuel Prices'!B31+'Fuel Taxes'!B31</f>
        <v>0</v>
      </c>
      <c r="C30">
        <f>'Pretax Fuel Prices'!C31+'Fuel Taxes'!C31</f>
        <v>0</v>
      </c>
      <c r="D30">
        <f>'Pretax Fuel Prices'!D31+'Fuel Taxes'!D31</f>
        <v>0</v>
      </c>
      <c r="E30">
        <f>'Pretax Fuel Prices'!E31+'Fuel Taxes'!E31</f>
        <v>0</v>
      </c>
      <c r="F30">
        <f>'Pretax Fuel Prices'!F31+'Fuel Taxes'!F31</f>
        <v>0</v>
      </c>
      <c r="G30">
        <f>'Pretax Fuel Prices'!G31+'Fuel Taxes'!G31</f>
        <v>0</v>
      </c>
      <c r="H30">
        <f>'Pretax Fuel Prices'!H31+'Fuel Taxes'!H31</f>
        <v>0</v>
      </c>
      <c r="I30">
        <f>'Pretax Fuel Prices'!I31+'Fuel Taxes'!I31</f>
        <v>0</v>
      </c>
      <c r="J30">
        <f>'Pretax Fuel Prices'!J31+'Fuel Taxes'!J31</f>
        <v>0</v>
      </c>
      <c r="K30">
        <f>'Pretax Fuel Prices'!K31+'Fuel Taxes'!K31</f>
        <v>0</v>
      </c>
      <c r="L30">
        <f>'Pretax Fuel Prices'!L31+'Fuel Taxes'!L31</f>
        <v>0</v>
      </c>
      <c r="M30">
        <f>'Pretax Fuel Prices'!M31+'Fuel Taxes'!M31</f>
        <v>0</v>
      </c>
      <c r="N30">
        <f>'Pretax Fuel Prices'!N31+'Fuel Taxes'!N31</f>
        <v>0</v>
      </c>
      <c r="O30">
        <f>'Pretax Fuel Prices'!O31+'Fuel Taxes'!O31</f>
        <v>0</v>
      </c>
      <c r="P30">
        <f>'Pretax Fuel Prices'!P31+'Fuel Taxes'!P31</f>
        <v>0</v>
      </c>
      <c r="Q30">
        <f>'Pretax Fuel Prices'!Q31+'Fuel Taxes'!Q31</f>
        <v>0</v>
      </c>
      <c r="R30">
        <f>'Pretax Fuel Prices'!R31+'Fuel Taxes'!R31</f>
        <v>0</v>
      </c>
      <c r="S30">
        <f>'Pretax Fuel Prices'!S31+'Fuel Taxes'!S31</f>
        <v>0</v>
      </c>
      <c r="T30">
        <f>'Pretax Fuel Prices'!T31+'Fuel Taxes'!T31</f>
        <v>0</v>
      </c>
      <c r="U30">
        <f>'Pretax Fuel Prices'!U31+'Fuel Taxes'!U31</f>
        <v>0</v>
      </c>
      <c r="V30">
        <f>'Pretax Fuel Prices'!V31+'Fuel Taxes'!V31</f>
        <v>0</v>
      </c>
      <c r="W30">
        <f>'Pretax Fuel Prices'!W31+'Fuel Taxes'!W31</f>
        <v>0</v>
      </c>
      <c r="X30">
        <f>'Pretax Fuel Prices'!X31+'Fuel Taxes'!X31</f>
        <v>0</v>
      </c>
      <c r="Y30">
        <f>'Pretax Fuel Prices'!Y31+'Fuel Taxes'!Y31</f>
        <v>0</v>
      </c>
      <c r="Z30">
        <f>'Pretax Fuel Prices'!Z31+'Fuel Taxes'!Z31</f>
        <v>0</v>
      </c>
      <c r="AA30">
        <f>'Pretax Fuel Prices'!AA31+'Fuel Taxes'!AA31</f>
        <v>0</v>
      </c>
      <c r="AB30">
        <f>'Pretax Fuel Prices'!AB31+'Fuel Taxes'!AB31</f>
        <v>0</v>
      </c>
      <c r="AC30">
        <f>'Pretax Fuel Prices'!AC31+'Fuel Taxes'!AC31</f>
        <v>0</v>
      </c>
      <c r="AD30">
        <f>'Pretax Fuel Prices'!AD31+'Fuel Taxes'!AD31</f>
        <v>0</v>
      </c>
      <c r="AE30">
        <f>'Pretax Fuel Prices'!AE31+'Fuel Taxes'!AE31</f>
        <v>0</v>
      </c>
      <c r="AF30">
        <f>'Pretax Fuel Prices'!AF31+'Fuel Taxes'!AF31</f>
        <v>0</v>
      </c>
      <c r="AG30">
        <f>'Pretax Fuel Prices'!AG31+'Fuel Taxes'!AG31</f>
        <v>0</v>
      </c>
      <c r="AH30">
        <f>'Pretax Fuel Prices'!AH31+'Fuel Taxes'!AH31</f>
        <v>0</v>
      </c>
      <c r="AI30">
        <f>'Pretax Fuel Prices'!AI31+'Fuel Taxes'!AI31</f>
        <v>0</v>
      </c>
      <c r="AJ30">
        <f>'Pretax Fuel Prices'!AJ31+'Fuel Taxes'!AJ31</f>
        <v>0</v>
      </c>
      <c r="AK30">
        <f>'Pretax Fuel Prices'!AK31+'Fuel Taxes'!AK31</f>
        <v>0</v>
      </c>
      <c r="AL30">
        <f>'Pretax Fuel Prices'!AL31+'Fuel Taxes'!AL31</f>
        <v>0</v>
      </c>
      <c r="AM30">
        <f>'Pretax Fuel Prices'!AM31+'Fuel Taxes'!AM31</f>
        <v>0</v>
      </c>
      <c r="AN30">
        <f>'Pretax Fuel Prices'!AN31+'Fuel Taxes'!AN31</f>
        <v>0</v>
      </c>
      <c r="AO30">
        <f>'Pretax Fuel Prices'!AO31+'Fuel Taxes'!AO31</f>
        <v>0</v>
      </c>
      <c r="AP30">
        <f>'Pretax Fuel Prices'!AP31+'Fuel Taxes'!AP31</f>
        <v>0</v>
      </c>
      <c r="AQ30">
        <f>'Pretax Fuel Prices'!AQ31+'Fuel Taxes'!AQ31</f>
        <v>0</v>
      </c>
      <c r="AR30">
        <f>'Pretax Fuel Prices'!AR31+'Fuel Taxes'!AR31</f>
        <v>0</v>
      </c>
      <c r="AS30">
        <f>'Pretax Fuel Prices'!AS31+'Fuel Taxes'!AS31</f>
        <v>0</v>
      </c>
      <c r="AT30">
        <f>'Pretax Fuel Prices'!AT31+'Fuel Taxes'!AT31</f>
        <v>0</v>
      </c>
      <c r="AU30">
        <f>'Pretax Fuel Prices'!AU31+'Fuel Taxes'!AU31</f>
        <v>0</v>
      </c>
      <c r="AV30">
        <f>'Pretax Fuel Prices'!AV31+'Fuel Taxes'!AV31</f>
        <v>0</v>
      </c>
      <c r="AW30">
        <f>'Pretax Fuel Prices'!AW31+'Fuel Taxes'!AW31</f>
        <v>0</v>
      </c>
      <c r="AX30">
        <f>'Pretax Fuel Prices'!AX31+'Fuel Taxes'!AX31</f>
        <v>0</v>
      </c>
      <c r="AY30">
        <f>'Pretax Fuel Prices'!AY31+'Fuel Taxes'!AY31</f>
        <v>0</v>
      </c>
      <c r="AZ30">
        <f>'Pretax Fuel Prices'!AZ31+'Fuel Taxes'!AZ31</f>
        <v>0</v>
      </c>
    </row>
    <row r="31" spans="1:52" s="3" customFormat="1" x14ac:dyDescent="0.25">
      <c r="A31" s="5" t="s">
        <v>33</v>
      </c>
    </row>
    <row r="32" spans="1:52" x14ac:dyDescent="0.25">
      <c r="A32" t="s">
        <v>30</v>
      </c>
      <c r="B32">
        <f>'Fuel Taxes'!B$1</f>
        <v>2020</v>
      </c>
      <c r="C32">
        <f>'Fuel Taxes'!C$1</f>
        <v>2021</v>
      </c>
      <c r="D32">
        <f>'Fuel Taxes'!D$1</f>
        <v>2022</v>
      </c>
      <c r="E32">
        <f>'Fuel Taxes'!E$1</f>
        <v>2023</v>
      </c>
      <c r="F32">
        <f>'Fuel Taxes'!F$1</f>
        <v>2024</v>
      </c>
      <c r="G32">
        <f>'Fuel Taxes'!G$1</f>
        <v>2025</v>
      </c>
      <c r="H32">
        <f>'Fuel Taxes'!H$1</f>
        <v>2026</v>
      </c>
      <c r="I32">
        <f>'Fuel Taxes'!I$1</f>
        <v>2027</v>
      </c>
      <c r="J32">
        <f>'Fuel Taxes'!J$1</f>
        <v>2028</v>
      </c>
      <c r="K32">
        <f>'Fuel Taxes'!K$1</f>
        <v>2029</v>
      </c>
      <c r="L32">
        <f>'Fuel Taxes'!L$1</f>
        <v>2030</v>
      </c>
      <c r="M32">
        <f>'Fuel Taxes'!M$1</f>
        <v>2031</v>
      </c>
      <c r="N32">
        <f>'Fuel Taxes'!N$1</f>
        <v>2032</v>
      </c>
      <c r="O32">
        <f>'Fuel Taxes'!O$1</f>
        <v>2033</v>
      </c>
      <c r="P32">
        <f>'Fuel Taxes'!P$1</f>
        <v>2034</v>
      </c>
      <c r="Q32">
        <f>'Fuel Taxes'!Q$1</f>
        <v>2035</v>
      </c>
      <c r="R32">
        <f>'Fuel Taxes'!R$1</f>
        <v>2036</v>
      </c>
      <c r="S32">
        <f>'Fuel Taxes'!S$1</f>
        <v>2037</v>
      </c>
      <c r="T32">
        <f>'Fuel Taxes'!T$1</f>
        <v>2038</v>
      </c>
      <c r="U32">
        <f>'Fuel Taxes'!U$1</f>
        <v>2039</v>
      </c>
      <c r="V32">
        <f>'Fuel Taxes'!V$1</f>
        <v>2040</v>
      </c>
      <c r="W32">
        <f>'Fuel Taxes'!W$1</f>
        <v>2041</v>
      </c>
      <c r="X32">
        <f>'Fuel Taxes'!X$1</f>
        <v>2042</v>
      </c>
      <c r="Y32">
        <f>'Fuel Taxes'!Y$1</f>
        <v>2043</v>
      </c>
      <c r="Z32">
        <f>'Fuel Taxes'!Z$1</f>
        <v>2044</v>
      </c>
      <c r="AA32">
        <f>'Fuel Taxes'!AA$1</f>
        <v>2045</v>
      </c>
      <c r="AB32">
        <f>'Fuel Taxes'!AB$1</f>
        <v>2046</v>
      </c>
      <c r="AC32">
        <f>'Fuel Taxes'!AC$1</f>
        <v>2047</v>
      </c>
      <c r="AD32">
        <f>'Fuel Taxes'!AD$1</f>
        <v>2048</v>
      </c>
      <c r="AE32">
        <f>'Fuel Taxes'!AE$1</f>
        <v>2049</v>
      </c>
      <c r="AF32">
        <f>'Fuel Taxes'!AF$1</f>
        <v>2050</v>
      </c>
      <c r="AG32">
        <f>'Fuel Taxes'!AG$1</f>
        <v>2051</v>
      </c>
      <c r="AH32">
        <f>'Fuel Taxes'!AH$1</f>
        <v>2052</v>
      </c>
      <c r="AI32">
        <f>'Fuel Taxes'!AI$1</f>
        <v>2053</v>
      </c>
      <c r="AJ32">
        <f>'Fuel Taxes'!AJ$1</f>
        <v>2054</v>
      </c>
      <c r="AK32">
        <f>'Fuel Taxes'!AK$1</f>
        <v>2055</v>
      </c>
      <c r="AL32">
        <f>'Fuel Taxes'!AL$1</f>
        <v>2056</v>
      </c>
      <c r="AM32">
        <f>'Fuel Taxes'!AM$1</f>
        <v>2057</v>
      </c>
      <c r="AN32">
        <f>'Fuel Taxes'!AN$1</f>
        <v>2058</v>
      </c>
      <c r="AO32">
        <f>'Fuel Taxes'!AO$1</f>
        <v>2059</v>
      </c>
      <c r="AP32">
        <f>'Fuel Taxes'!AP$1</f>
        <v>2060</v>
      </c>
      <c r="AQ32">
        <f>'Fuel Taxes'!AQ$1</f>
        <v>2061</v>
      </c>
      <c r="AR32">
        <f>'Fuel Taxes'!AR$1</f>
        <v>2062</v>
      </c>
      <c r="AS32">
        <f>'Fuel Taxes'!AS$1</f>
        <v>2063</v>
      </c>
      <c r="AT32">
        <f>'Fuel Taxes'!AT$1</f>
        <v>2064</v>
      </c>
      <c r="AU32">
        <f>'Fuel Taxes'!AU$1</f>
        <v>2065</v>
      </c>
      <c r="AV32">
        <f>'Fuel Taxes'!AV$1</f>
        <v>2066</v>
      </c>
      <c r="AW32">
        <f>'Fuel Taxes'!AW$1</f>
        <v>2067</v>
      </c>
      <c r="AX32">
        <f>'Fuel Taxes'!AX$1</f>
        <v>2068</v>
      </c>
      <c r="AY32">
        <f>'Fuel Taxes'!AY$1</f>
        <v>2069</v>
      </c>
      <c r="AZ32">
        <f>'Fuel Taxes'!AZ$1</f>
        <v>2070</v>
      </c>
    </row>
    <row r="33" spans="1:52" x14ac:dyDescent="0.25">
      <c r="A33" t="s">
        <v>52</v>
      </c>
      <c r="B33">
        <f>'Pretax Fuel Prices'!B34+'Fuel Taxes'!B34</f>
        <v>0</v>
      </c>
      <c r="C33">
        <f>'Pretax Fuel Prices'!C34+'Fuel Taxes'!C34</f>
        <v>0</v>
      </c>
      <c r="D33">
        <f>'Pretax Fuel Prices'!D34+'Fuel Taxes'!D34</f>
        <v>0</v>
      </c>
      <c r="E33">
        <f>'Pretax Fuel Prices'!E34+'Fuel Taxes'!E34</f>
        <v>0</v>
      </c>
      <c r="F33">
        <f>'Pretax Fuel Prices'!F34+'Fuel Taxes'!F34</f>
        <v>0</v>
      </c>
      <c r="G33">
        <f>'Pretax Fuel Prices'!G34+'Fuel Taxes'!G34</f>
        <v>0</v>
      </c>
      <c r="H33">
        <f>'Pretax Fuel Prices'!H34+'Fuel Taxes'!H34</f>
        <v>0</v>
      </c>
      <c r="I33">
        <f>'Pretax Fuel Prices'!I34+'Fuel Taxes'!I34</f>
        <v>0</v>
      </c>
      <c r="J33">
        <f>'Pretax Fuel Prices'!J34+'Fuel Taxes'!J34</f>
        <v>0</v>
      </c>
      <c r="K33">
        <f>'Pretax Fuel Prices'!K34+'Fuel Taxes'!K34</f>
        <v>0</v>
      </c>
      <c r="L33">
        <f>'Pretax Fuel Prices'!L34+'Fuel Taxes'!L34</f>
        <v>0</v>
      </c>
      <c r="M33">
        <f>'Pretax Fuel Prices'!M34+'Fuel Taxes'!M34</f>
        <v>0</v>
      </c>
      <c r="N33">
        <f>'Pretax Fuel Prices'!N34+'Fuel Taxes'!N34</f>
        <v>0</v>
      </c>
      <c r="O33">
        <f>'Pretax Fuel Prices'!O34+'Fuel Taxes'!O34</f>
        <v>0</v>
      </c>
      <c r="P33">
        <f>'Pretax Fuel Prices'!P34+'Fuel Taxes'!P34</f>
        <v>0</v>
      </c>
      <c r="Q33">
        <f>'Pretax Fuel Prices'!Q34+'Fuel Taxes'!Q34</f>
        <v>0</v>
      </c>
      <c r="R33">
        <f>'Pretax Fuel Prices'!R34+'Fuel Taxes'!R34</f>
        <v>0</v>
      </c>
      <c r="S33">
        <f>'Pretax Fuel Prices'!S34+'Fuel Taxes'!S34</f>
        <v>0</v>
      </c>
      <c r="T33">
        <f>'Pretax Fuel Prices'!T34+'Fuel Taxes'!T34</f>
        <v>0</v>
      </c>
      <c r="U33">
        <f>'Pretax Fuel Prices'!U34+'Fuel Taxes'!U34</f>
        <v>0</v>
      </c>
      <c r="V33">
        <f>'Pretax Fuel Prices'!V34+'Fuel Taxes'!V34</f>
        <v>0</v>
      </c>
      <c r="W33">
        <f>'Pretax Fuel Prices'!W34+'Fuel Taxes'!W34</f>
        <v>0</v>
      </c>
      <c r="X33">
        <f>'Pretax Fuel Prices'!X34+'Fuel Taxes'!X34</f>
        <v>0</v>
      </c>
      <c r="Y33">
        <f>'Pretax Fuel Prices'!Y34+'Fuel Taxes'!Y34</f>
        <v>0</v>
      </c>
      <c r="Z33">
        <f>'Pretax Fuel Prices'!Z34+'Fuel Taxes'!Z34</f>
        <v>0</v>
      </c>
      <c r="AA33">
        <f>'Pretax Fuel Prices'!AA34+'Fuel Taxes'!AA34</f>
        <v>0</v>
      </c>
      <c r="AB33">
        <f>'Pretax Fuel Prices'!AB34+'Fuel Taxes'!AB34</f>
        <v>0</v>
      </c>
      <c r="AC33">
        <f>'Pretax Fuel Prices'!AC34+'Fuel Taxes'!AC34</f>
        <v>0</v>
      </c>
      <c r="AD33">
        <f>'Pretax Fuel Prices'!AD34+'Fuel Taxes'!AD34</f>
        <v>0</v>
      </c>
      <c r="AE33">
        <f>'Pretax Fuel Prices'!AE34+'Fuel Taxes'!AE34</f>
        <v>0</v>
      </c>
      <c r="AF33">
        <f>'Pretax Fuel Prices'!AF34+'Fuel Taxes'!AF34</f>
        <v>0</v>
      </c>
      <c r="AG33">
        <f>'Pretax Fuel Prices'!AG34+'Fuel Taxes'!AG34</f>
        <v>0</v>
      </c>
      <c r="AH33">
        <f>'Pretax Fuel Prices'!AH34+'Fuel Taxes'!AH34</f>
        <v>0</v>
      </c>
      <c r="AI33">
        <f>'Pretax Fuel Prices'!AI34+'Fuel Taxes'!AI34</f>
        <v>0</v>
      </c>
      <c r="AJ33">
        <f>'Pretax Fuel Prices'!AJ34+'Fuel Taxes'!AJ34</f>
        <v>0</v>
      </c>
      <c r="AK33">
        <f>'Pretax Fuel Prices'!AK34+'Fuel Taxes'!AK34</f>
        <v>0</v>
      </c>
      <c r="AL33">
        <f>'Pretax Fuel Prices'!AL34+'Fuel Taxes'!AL34</f>
        <v>0</v>
      </c>
      <c r="AM33">
        <f>'Pretax Fuel Prices'!AM34+'Fuel Taxes'!AM34</f>
        <v>0</v>
      </c>
      <c r="AN33">
        <f>'Pretax Fuel Prices'!AN34+'Fuel Taxes'!AN34</f>
        <v>0</v>
      </c>
      <c r="AO33">
        <f>'Pretax Fuel Prices'!AO34+'Fuel Taxes'!AO34</f>
        <v>0</v>
      </c>
      <c r="AP33">
        <f>'Pretax Fuel Prices'!AP34+'Fuel Taxes'!AP34</f>
        <v>0</v>
      </c>
      <c r="AQ33">
        <f>'Pretax Fuel Prices'!AQ34+'Fuel Taxes'!AQ34</f>
        <v>0</v>
      </c>
      <c r="AR33">
        <f>'Pretax Fuel Prices'!AR34+'Fuel Taxes'!AR34</f>
        <v>0</v>
      </c>
      <c r="AS33">
        <f>'Pretax Fuel Prices'!AS34+'Fuel Taxes'!AS34</f>
        <v>0</v>
      </c>
      <c r="AT33">
        <f>'Pretax Fuel Prices'!AT34+'Fuel Taxes'!AT34</f>
        <v>0</v>
      </c>
      <c r="AU33">
        <f>'Pretax Fuel Prices'!AU34+'Fuel Taxes'!AU34</f>
        <v>0</v>
      </c>
      <c r="AV33">
        <f>'Pretax Fuel Prices'!AV34+'Fuel Taxes'!AV34</f>
        <v>0</v>
      </c>
      <c r="AW33">
        <f>'Pretax Fuel Prices'!AW34+'Fuel Taxes'!AW34</f>
        <v>0</v>
      </c>
      <c r="AX33">
        <f>'Pretax Fuel Prices'!AX34+'Fuel Taxes'!AX34</f>
        <v>0</v>
      </c>
      <c r="AY33">
        <f>'Pretax Fuel Prices'!AY34+'Fuel Taxes'!AY34</f>
        <v>0</v>
      </c>
      <c r="AZ33">
        <f>'Pretax Fuel Prices'!AZ34+'Fuel Taxes'!AZ34</f>
        <v>0</v>
      </c>
    </row>
    <row r="34" spans="1:52" x14ac:dyDescent="0.25">
      <c r="A34" t="s">
        <v>53</v>
      </c>
      <c r="B34">
        <f>'Pretax Fuel Prices'!B35+'Fuel Taxes'!B35</f>
        <v>2.0290800000000005E-6</v>
      </c>
      <c r="C34">
        <f>'Pretax Fuel Prices'!C35+'Fuel Taxes'!C35</f>
        <v>2.0290800000000005E-6</v>
      </c>
      <c r="D34">
        <f>'Pretax Fuel Prices'!D35+'Fuel Taxes'!D35</f>
        <v>2.0290800000000005E-6</v>
      </c>
      <c r="E34">
        <f>'Pretax Fuel Prices'!E35+'Fuel Taxes'!E35</f>
        <v>2.0290800000000005E-6</v>
      </c>
      <c r="F34">
        <f>'Pretax Fuel Prices'!F35+'Fuel Taxes'!F35</f>
        <v>2.0290800000000005E-6</v>
      </c>
      <c r="G34">
        <f>'Pretax Fuel Prices'!G35+'Fuel Taxes'!G35</f>
        <v>2.0290800000000005E-6</v>
      </c>
      <c r="H34">
        <f>'Pretax Fuel Prices'!H35+'Fuel Taxes'!H35</f>
        <v>2.0290800000000005E-6</v>
      </c>
      <c r="I34">
        <f>'Pretax Fuel Prices'!I35+'Fuel Taxes'!I35</f>
        <v>2.0290800000000005E-6</v>
      </c>
      <c r="J34">
        <f>'Pretax Fuel Prices'!J35+'Fuel Taxes'!J35</f>
        <v>2.0290800000000005E-6</v>
      </c>
      <c r="K34">
        <f>'Pretax Fuel Prices'!K35+'Fuel Taxes'!K35</f>
        <v>2.0290800000000005E-6</v>
      </c>
      <c r="L34">
        <f>'Pretax Fuel Prices'!L35+'Fuel Taxes'!L35</f>
        <v>2.0290800000000005E-6</v>
      </c>
      <c r="M34">
        <f>'Pretax Fuel Prices'!M35+'Fuel Taxes'!M35</f>
        <v>2.0290800000000005E-6</v>
      </c>
      <c r="N34">
        <f>'Pretax Fuel Prices'!N35+'Fuel Taxes'!N35</f>
        <v>2.0290800000000005E-6</v>
      </c>
      <c r="O34">
        <f>'Pretax Fuel Prices'!O35+'Fuel Taxes'!O35</f>
        <v>2.0290800000000005E-6</v>
      </c>
      <c r="P34">
        <f>'Pretax Fuel Prices'!P35+'Fuel Taxes'!P35</f>
        <v>2.0290800000000005E-6</v>
      </c>
      <c r="Q34">
        <f>'Pretax Fuel Prices'!Q35+'Fuel Taxes'!Q35</f>
        <v>2.0290800000000005E-6</v>
      </c>
      <c r="R34">
        <f>'Pretax Fuel Prices'!R35+'Fuel Taxes'!R35</f>
        <v>2.0290800000000005E-6</v>
      </c>
      <c r="S34">
        <f>'Pretax Fuel Prices'!S35+'Fuel Taxes'!S35</f>
        <v>2.0290800000000005E-6</v>
      </c>
      <c r="T34">
        <f>'Pretax Fuel Prices'!T35+'Fuel Taxes'!T35</f>
        <v>2.0290800000000005E-6</v>
      </c>
      <c r="U34">
        <f>'Pretax Fuel Prices'!U35+'Fuel Taxes'!U35</f>
        <v>2.0290800000000005E-6</v>
      </c>
      <c r="V34">
        <f>'Pretax Fuel Prices'!V35+'Fuel Taxes'!V35</f>
        <v>2.0290800000000005E-6</v>
      </c>
      <c r="W34">
        <f>'Pretax Fuel Prices'!W35+'Fuel Taxes'!W35</f>
        <v>2.0290800000000005E-6</v>
      </c>
      <c r="X34">
        <f>'Pretax Fuel Prices'!X35+'Fuel Taxes'!X35</f>
        <v>2.0290800000000005E-6</v>
      </c>
      <c r="Y34">
        <f>'Pretax Fuel Prices'!Y35+'Fuel Taxes'!Y35</f>
        <v>2.0290800000000005E-6</v>
      </c>
      <c r="Z34">
        <f>'Pretax Fuel Prices'!Z35+'Fuel Taxes'!Z35</f>
        <v>2.0290800000000005E-6</v>
      </c>
      <c r="AA34">
        <f>'Pretax Fuel Prices'!AA35+'Fuel Taxes'!AA35</f>
        <v>2.0290800000000005E-6</v>
      </c>
      <c r="AB34">
        <f>'Pretax Fuel Prices'!AB35+'Fuel Taxes'!AB35</f>
        <v>2.0290800000000005E-6</v>
      </c>
      <c r="AC34">
        <f>'Pretax Fuel Prices'!AC35+'Fuel Taxes'!AC35</f>
        <v>2.0290800000000005E-6</v>
      </c>
      <c r="AD34">
        <f>'Pretax Fuel Prices'!AD35+'Fuel Taxes'!AD35</f>
        <v>2.0290800000000005E-6</v>
      </c>
      <c r="AE34">
        <f>'Pretax Fuel Prices'!AE35+'Fuel Taxes'!AE35</f>
        <v>2.0290800000000005E-6</v>
      </c>
      <c r="AF34">
        <f>'Pretax Fuel Prices'!AF35+'Fuel Taxes'!AF35</f>
        <v>2.0290800000000005E-6</v>
      </c>
      <c r="AG34">
        <f>'Pretax Fuel Prices'!AG35+'Fuel Taxes'!AG35</f>
        <v>2.0290800000000001E-6</v>
      </c>
      <c r="AH34">
        <f>'Pretax Fuel Prices'!AH35+'Fuel Taxes'!AH35</f>
        <v>2.0290800000000001E-6</v>
      </c>
      <c r="AI34">
        <f>'Pretax Fuel Prices'!AI35+'Fuel Taxes'!AI35</f>
        <v>2.0290800000000001E-6</v>
      </c>
      <c r="AJ34">
        <f>'Pretax Fuel Prices'!AJ35+'Fuel Taxes'!AJ35</f>
        <v>2.0290800000000001E-6</v>
      </c>
      <c r="AK34">
        <f>'Pretax Fuel Prices'!AK35+'Fuel Taxes'!AK35</f>
        <v>2.0290800000000001E-6</v>
      </c>
      <c r="AL34">
        <f>'Pretax Fuel Prices'!AL35+'Fuel Taxes'!AL35</f>
        <v>2.0290800000000001E-6</v>
      </c>
      <c r="AM34">
        <f>'Pretax Fuel Prices'!AM35+'Fuel Taxes'!AM35</f>
        <v>2.0290800000000001E-6</v>
      </c>
      <c r="AN34">
        <f>'Pretax Fuel Prices'!AN35+'Fuel Taxes'!AN35</f>
        <v>2.0290800000000001E-6</v>
      </c>
      <c r="AO34">
        <f>'Pretax Fuel Prices'!AO35+'Fuel Taxes'!AO35</f>
        <v>2.0290800000000001E-6</v>
      </c>
      <c r="AP34">
        <f>'Pretax Fuel Prices'!AP35+'Fuel Taxes'!AP35</f>
        <v>2.0290800000000001E-6</v>
      </c>
      <c r="AQ34">
        <f>'Pretax Fuel Prices'!AQ35+'Fuel Taxes'!AQ35</f>
        <v>2.0290800000000001E-6</v>
      </c>
      <c r="AR34">
        <f>'Pretax Fuel Prices'!AR35+'Fuel Taxes'!AR35</f>
        <v>2.0290800000000001E-6</v>
      </c>
      <c r="AS34">
        <f>'Pretax Fuel Prices'!AS35+'Fuel Taxes'!AS35</f>
        <v>2.0290800000000001E-6</v>
      </c>
      <c r="AT34">
        <f>'Pretax Fuel Prices'!AT35+'Fuel Taxes'!AT35</f>
        <v>2.0290800000000001E-6</v>
      </c>
      <c r="AU34">
        <f>'Pretax Fuel Prices'!AU35+'Fuel Taxes'!AU35</f>
        <v>2.0290800000000001E-6</v>
      </c>
      <c r="AV34">
        <f>'Pretax Fuel Prices'!AV35+'Fuel Taxes'!AV35</f>
        <v>2.0290800000000001E-6</v>
      </c>
      <c r="AW34">
        <f>'Pretax Fuel Prices'!AW35+'Fuel Taxes'!AW35</f>
        <v>2.0290800000000001E-6</v>
      </c>
      <c r="AX34">
        <f>'Pretax Fuel Prices'!AX35+'Fuel Taxes'!AX35</f>
        <v>2.0290800000000001E-6</v>
      </c>
      <c r="AY34">
        <f>'Pretax Fuel Prices'!AY35+'Fuel Taxes'!AY35</f>
        <v>2.0290800000000001E-6</v>
      </c>
      <c r="AZ34">
        <f>'Pretax Fuel Prices'!AZ35+'Fuel Taxes'!AZ35</f>
        <v>2.0290800000000001E-6</v>
      </c>
    </row>
    <row r="35" spans="1:52" x14ac:dyDescent="0.25">
      <c r="A35" t="s">
        <v>54</v>
      </c>
      <c r="B35">
        <f>'Pretax Fuel Prices'!B36+'Fuel Taxes'!B36</f>
        <v>8.0888999999999998E-6</v>
      </c>
      <c r="C35">
        <f>'Pretax Fuel Prices'!C36+'Fuel Taxes'!C36</f>
        <v>8.0888999999999998E-6</v>
      </c>
      <c r="D35">
        <f>'Pretax Fuel Prices'!D36+'Fuel Taxes'!D36</f>
        <v>8.0888999999999998E-6</v>
      </c>
      <c r="E35">
        <f>'Pretax Fuel Prices'!E36+'Fuel Taxes'!E36</f>
        <v>8.0888999999999998E-6</v>
      </c>
      <c r="F35">
        <f>'Pretax Fuel Prices'!F36+'Fuel Taxes'!F36</f>
        <v>8.0888999999999998E-6</v>
      </c>
      <c r="G35">
        <f>'Pretax Fuel Prices'!G36+'Fuel Taxes'!G36</f>
        <v>8.0888999999999998E-6</v>
      </c>
      <c r="H35">
        <f>'Pretax Fuel Prices'!H36+'Fuel Taxes'!H36</f>
        <v>8.0888999999999998E-6</v>
      </c>
      <c r="I35">
        <f>'Pretax Fuel Prices'!I36+'Fuel Taxes'!I36</f>
        <v>8.0888999999999998E-6</v>
      </c>
      <c r="J35">
        <f>'Pretax Fuel Prices'!J36+'Fuel Taxes'!J36</f>
        <v>8.0888999999999998E-6</v>
      </c>
      <c r="K35">
        <f>'Pretax Fuel Prices'!K36+'Fuel Taxes'!K36</f>
        <v>8.0888999999999998E-6</v>
      </c>
      <c r="L35">
        <f>'Pretax Fuel Prices'!L36+'Fuel Taxes'!L36</f>
        <v>8.0888999999999998E-6</v>
      </c>
      <c r="M35">
        <f>'Pretax Fuel Prices'!M36+'Fuel Taxes'!M36</f>
        <v>8.0888999999999998E-6</v>
      </c>
      <c r="N35">
        <f>'Pretax Fuel Prices'!N36+'Fuel Taxes'!N36</f>
        <v>8.0888999999999998E-6</v>
      </c>
      <c r="O35">
        <f>'Pretax Fuel Prices'!O36+'Fuel Taxes'!O36</f>
        <v>8.0888999999999998E-6</v>
      </c>
      <c r="P35">
        <f>'Pretax Fuel Prices'!P36+'Fuel Taxes'!P36</f>
        <v>8.0888999999999998E-6</v>
      </c>
      <c r="Q35">
        <f>'Pretax Fuel Prices'!Q36+'Fuel Taxes'!Q36</f>
        <v>8.0888999999999998E-6</v>
      </c>
      <c r="R35">
        <f>'Pretax Fuel Prices'!R36+'Fuel Taxes'!R36</f>
        <v>8.0888999999999998E-6</v>
      </c>
      <c r="S35">
        <f>'Pretax Fuel Prices'!S36+'Fuel Taxes'!S36</f>
        <v>8.0888999999999998E-6</v>
      </c>
      <c r="T35">
        <f>'Pretax Fuel Prices'!T36+'Fuel Taxes'!T36</f>
        <v>8.0888999999999998E-6</v>
      </c>
      <c r="U35">
        <f>'Pretax Fuel Prices'!U36+'Fuel Taxes'!U36</f>
        <v>8.0888999999999998E-6</v>
      </c>
      <c r="V35">
        <f>'Pretax Fuel Prices'!V36+'Fuel Taxes'!V36</f>
        <v>8.0888999999999998E-6</v>
      </c>
      <c r="W35">
        <f>'Pretax Fuel Prices'!W36+'Fuel Taxes'!W36</f>
        <v>8.0888999999999998E-6</v>
      </c>
      <c r="X35">
        <f>'Pretax Fuel Prices'!X36+'Fuel Taxes'!X36</f>
        <v>8.0888999999999998E-6</v>
      </c>
      <c r="Y35">
        <f>'Pretax Fuel Prices'!Y36+'Fuel Taxes'!Y36</f>
        <v>8.0888999999999998E-6</v>
      </c>
      <c r="Z35">
        <f>'Pretax Fuel Prices'!Z36+'Fuel Taxes'!Z36</f>
        <v>8.0888999999999998E-6</v>
      </c>
      <c r="AA35">
        <f>'Pretax Fuel Prices'!AA36+'Fuel Taxes'!AA36</f>
        <v>8.0888999999999998E-6</v>
      </c>
      <c r="AB35">
        <f>'Pretax Fuel Prices'!AB36+'Fuel Taxes'!AB36</f>
        <v>8.0888999999999998E-6</v>
      </c>
      <c r="AC35">
        <f>'Pretax Fuel Prices'!AC36+'Fuel Taxes'!AC36</f>
        <v>8.0888999999999998E-6</v>
      </c>
      <c r="AD35">
        <f>'Pretax Fuel Prices'!AD36+'Fuel Taxes'!AD36</f>
        <v>8.0888999999999998E-6</v>
      </c>
      <c r="AE35">
        <f>'Pretax Fuel Prices'!AE36+'Fuel Taxes'!AE36</f>
        <v>8.0888999999999998E-6</v>
      </c>
      <c r="AF35">
        <f>'Pretax Fuel Prices'!AF36+'Fuel Taxes'!AF36</f>
        <v>8.0888999999999998E-6</v>
      </c>
      <c r="AG35">
        <f>'Pretax Fuel Prices'!AG36+'Fuel Taxes'!AG36</f>
        <v>8.0888999999999998E-6</v>
      </c>
      <c r="AH35">
        <f>'Pretax Fuel Prices'!AH36+'Fuel Taxes'!AH36</f>
        <v>8.0888999999999998E-6</v>
      </c>
      <c r="AI35">
        <f>'Pretax Fuel Prices'!AI36+'Fuel Taxes'!AI36</f>
        <v>8.0888999999999998E-6</v>
      </c>
      <c r="AJ35">
        <f>'Pretax Fuel Prices'!AJ36+'Fuel Taxes'!AJ36</f>
        <v>8.0888999999999998E-6</v>
      </c>
      <c r="AK35">
        <f>'Pretax Fuel Prices'!AK36+'Fuel Taxes'!AK36</f>
        <v>8.0888999999999998E-6</v>
      </c>
      <c r="AL35">
        <f>'Pretax Fuel Prices'!AL36+'Fuel Taxes'!AL36</f>
        <v>8.0888999999999998E-6</v>
      </c>
      <c r="AM35">
        <f>'Pretax Fuel Prices'!AM36+'Fuel Taxes'!AM36</f>
        <v>8.0888999999999998E-6</v>
      </c>
      <c r="AN35">
        <f>'Pretax Fuel Prices'!AN36+'Fuel Taxes'!AN36</f>
        <v>8.0888999999999998E-6</v>
      </c>
      <c r="AO35">
        <f>'Pretax Fuel Prices'!AO36+'Fuel Taxes'!AO36</f>
        <v>8.0888999999999998E-6</v>
      </c>
      <c r="AP35">
        <f>'Pretax Fuel Prices'!AP36+'Fuel Taxes'!AP36</f>
        <v>8.0888999999999998E-6</v>
      </c>
      <c r="AQ35">
        <f>'Pretax Fuel Prices'!AQ36+'Fuel Taxes'!AQ36</f>
        <v>8.0888999999999998E-6</v>
      </c>
      <c r="AR35">
        <f>'Pretax Fuel Prices'!AR36+'Fuel Taxes'!AR36</f>
        <v>8.0888999999999998E-6</v>
      </c>
      <c r="AS35">
        <f>'Pretax Fuel Prices'!AS36+'Fuel Taxes'!AS36</f>
        <v>8.0888999999999998E-6</v>
      </c>
      <c r="AT35">
        <f>'Pretax Fuel Prices'!AT36+'Fuel Taxes'!AT36</f>
        <v>8.0888999999999998E-6</v>
      </c>
      <c r="AU35">
        <f>'Pretax Fuel Prices'!AU36+'Fuel Taxes'!AU36</f>
        <v>8.0888999999999998E-6</v>
      </c>
      <c r="AV35">
        <f>'Pretax Fuel Prices'!AV36+'Fuel Taxes'!AV36</f>
        <v>8.0888999999999998E-6</v>
      </c>
      <c r="AW35">
        <f>'Pretax Fuel Prices'!AW36+'Fuel Taxes'!AW36</f>
        <v>8.0888999999999998E-6</v>
      </c>
      <c r="AX35">
        <f>'Pretax Fuel Prices'!AX36+'Fuel Taxes'!AX36</f>
        <v>8.0888999999999998E-6</v>
      </c>
      <c r="AY35">
        <f>'Pretax Fuel Prices'!AY36+'Fuel Taxes'!AY36</f>
        <v>8.0888999999999998E-6</v>
      </c>
      <c r="AZ35">
        <f>'Pretax Fuel Prices'!AZ36+'Fuel Taxes'!AZ36</f>
        <v>8.0888999999999998E-6</v>
      </c>
    </row>
    <row r="36" spans="1:52" x14ac:dyDescent="0.25">
      <c r="A36" t="s">
        <v>55</v>
      </c>
      <c r="B36">
        <f>'Pretax Fuel Prices'!B37+'Fuel Taxes'!B37</f>
        <v>3.7565400000000006E-6</v>
      </c>
      <c r="C36">
        <f>'Pretax Fuel Prices'!C37+'Fuel Taxes'!C37</f>
        <v>3.7565400000000006E-6</v>
      </c>
      <c r="D36">
        <f>'Pretax Fuel Prices'!D37+'Fuel Taxes'!D37</f>
        <v>3.7565400000000006E-6</v>
      </c>
      <c r="E36">
        <f>'Pretax Fuel Prices'!E37+'Fuel Taxes'!E37</f>
        <v>3.7565400000000006E-6</v>
      </c>
      <c r="F36">
        <f>'Pretax Fuel Prices'!F37+'Fuel Taxes'!F37</f>
        <v>3.7565400000000006E-6</v>
      </c>
      <c r="G36">
        <f>'Pretax Fuel Prices'!G37+'Fuel Taxes'!G37</f>
        <v>3.7565400000000006E-6</v>
      </c>
      <c r="H36">
        <f>'Pretax Fuel Prices'!H37+'Fuel Taxes'!H37</f>
        <v>3.7565400000000006E-6</v>
      </c>
      <c r="I36">
        <f>'Pretax Fuel Prices'!I37+'Fuel Taxes'!I37</f>
        <v>3.7565400000000006E-6</v>
      </c>
      <c r="J36">
        <f>'Pretax Fuel Prices'!J37+'Fuel Taxes'!J37</f>
        <v>3.7565400000000006E-6</v>
      </c>
      <c r="K36">
        <f>'Pretax Fuel Prices'!K37+'Fuel Taxes'!K37</f>
        <v>3.7565400000000006E-6</v>
      </c>
      <c r="L36">
        <f>'Pretax Fuel Prices'!L37+'Fuel Taxes'!L37</f>
        <v>3.7565400000000006E-6</v>
      </c>
      <c r="M36">
        <f>'Pretax Fuel Prices'!M37+'Fuel Taxes'!M37</f>
        <v>3.7565400000000006E-6</v>
      </c>
      <c r="N36">
        <f>'Pretax Fuel Prices'!N37+'Fuel Taxes'!N37</f>
        <v>3.7565400000000006E-6</v>
      </c>
      <c r="O36">
        <f>'Pretax Fuel Prices'!O37+'Fuel Taxes'!O37</f>
        <v>3.7565400000000006E-6</v>
      </c>
      <c r="P36">
        <f>'Pretax Fuel Prices'!P37+'Fuel Taxes'!P37</f>
        <v>3.7565400000000006E-6</v>
      </c>
      <c r="Q36">
        <f>'Pretax Fuel Prices'!Q37+'Fuel Taxes'!Q37</f>
        <v>3.7565400000000006E-6</v>
      </c>
      <c r="R36">
        <f>'Pretax Fuel Prices'!R37+'Fuel Taxes'!R37</f>
        <v>3.7565400000000006E-6</v>
      </c>
      <c r="S36">
        <f>'Pretax Fuel Prices'!S37+'Fuel Taxes'!S37</f>
        <v>3.7565400000000006E-6</v>
      </c>
      <c r="T36">
        <f>'Pretax Fuel Prices'!T37+'Fuel Taxes'!T37</f>
        <v>3.7565400000000006E-6</v>
      </c>
      <c r="U36">
        <f>'Pretax Fuel Prices'!U37+'Fuel Taxes'!U37</f>
        <v>3.7565400000000006E-6</v>
      </c>
      <c r="V36">
        <f>'Pretax Fuel Prices'!V37+'Fuel Taxes'!V37</f>
        <v>3.7565400000000006E-6</v>
      </c>
      <c r="W36">
        <f>'Pretax Fuel Prices'!W37+'Fuel Taxes'!W37</f>
        <v>3.7565400000000006E-6</v>
      </c>
      <c r="X36">
        <f>'Pretax Fuel Prices'!X37+'Fuel Taxes'!X37</f>
        <v>3.7565400000000006E-6</v>
      </c>
      <c r="Y36">
        <f>'Pretax Fuel Prices'!Y37+'Fuel Taxes'!Y37</f>
        <v>3.7565400000000006E-6</v>
      </c>
      <c r="Z36">
        <f>'Pretax Fuel Prices'!Z37+'Fuel Taxes'!Z37</f>
        <v>3.7565400000000006E-6</v>
      </c>
      <c r="AA36">
        <f>'Pretax Fuel Prices'!AA37+'Fuel Taxes'!AA37</f>
        <v>3.7565400000000006E-6</v>
      </c>
      <c r="AB36">
        <f>'Pretax Fuel Prices'!AB37+'Fuel Taxes'!AB37</f>
        <v>3.7565400000000006E-6</v>
      </c>
      <c r="AC36">
        <f>'Pretax Fuel Prices'!AC37+'Fuel Taxes'!AC37</f>
        <v>3.7565400000000006E-6</v>
      </c>
      <c r="AD36">
        <f>'Pretax Fuel Prices'!AD37+'Fuel Taxes'!AD37</f>
        <v>3.7565400000000006E-6</v>
      </c>
      <c r="AE36">
        <f>'Pretax Fuel Prices'!AE37+'Fuel Taxes'!AE37</f>
        <v>3.7565400000000006E-6</v>
      </c>
      <c r="AF36">
        <f>'Pretax Fuel Prices'!AF37+'Fuel Taxes'!AF37</f>
        <v>3.7565400000000006E-6</v>
      </c>
      <c r="AG36">
        <f>'Pretax Fuel Prices'!AG37+'Fuel Taxes'!AG37</f>
        <v>3.7565400000000002E-6</v>
      </c>
      <c r="AH36">
        <f>'Pretax Fuel Prices'!AH37+'Fuel Taxes'!AH37</f>
        <v>3.7565400000000002E-6</v>
      </c>
      <c r="AI36">
        <f>'Pretax Fuel Prices'!AI37+'Fuel Taxes'!AI37</f>
        <v>3.7565400000000002E-6</v>
      </c>
      <c r="AJ36">
        <f>'Pretax Fuel Prices'!AJ37+'Fuel Taxes'!AJ37</f>
        <v>3.7565400000000002E-6</v>
      </c>
      <c r="AK36">
        <f>'Pretax Fuel Prices'!AK37+'Fuel Taxes'!AK37</f>
        <v>3.7565400000000002E-6</v>
      </c>
      <c r="AL36">
        <f>'Pretax Fuel Prices'!AL37+'Fuel Taxes'!AL37</f>
        <v>3.7565400000000002E-6</v>
      </c>
      <c r="AM36">
        <f>'Pretax Fuel Prices'!AM37+'Fuel Taxes'!AM37</f>
        <v>3.7565400000000002E-6</v>
      </c>
      <c r="AN36">
        <f>'Pretax Fuel Prices'!AN37+'Fuel Taxes'!AN37</f>
        <v>3.7565400000000002E-6</v>
      </c>
      <c r="AO36">
        <f>'Pretax Fuel Prices'!AO37+'Fuel Taxes'!AO37</f>
        <v>3.7565400000000002E-6</v>
      </c>
      <c r="AP36">
        <f>'Pretax Fuel Prices'!AP37+'Fuel Taxes'!AP37</f>
        <v>3.7565400000000002E-6</v>
      </c>
      <c r="AQ36">
        <f>'Pretax Fuel Prices'!AQ37+'Fuel Taxes'!AQ37</f>
        <v>3.7565400000000002E-6</v>
      </c>
      <c r="AR36">
        <f>'Pretax Fuel Prices'!AR37+'Fuel Taxes'!AR37</f>
        <v>3.7565400000000002E-6</v>
      </c>
      <c r="AS36">
        <f>'Pretax Fuel Prices'!AS37+'Fuel Taxes'!AS37</f>
        <v>3.7565400000000002E-6</v>
      </c>
      <c r="AT36">
        <f>'Pretax Fuel Prices'!AT37+'Fuel Taxes'!AT37</f>
        <v>3.7565400000000002E-6</v>
      </c>
      <c r="AU36">
        <f>'Pretax Fuel Prices'!AU37+'Fuel Taxes'!AU37</f>
        <v>3.7565400000000002E-6</v>
      </c>
      <c r="AV36">
        <f>'Pretax Fuel Prices'!AV37+'Fuel Taxes'!AV37</f>
        <v>3.7565400000000002E-6</v>
      </c>
      <c r="AW36">
        <f>'Pretax Fuel Prices'!AW37+'Fuel Taxes'!AW37</f>
        <v>3.7565400000000002E-6</v>
      </c>
      <c r="AX36">
        <f>'Pretax Fuel Prices'!AX37+'Fuel Taxes'!AX37</f>
        <v>3.7565400000000002E-6</v>
      </c>
      <c r="AY36">
        <f>'Pretax Fuel Prices'!AY37+'Fuel Taxes'!AY37</f>
        <v>3.7565400000000002E-6</v>
      </c>
      <c r="AZ36">
        <f>'Pretax Fuel Prices'!AZ37+'Fuel Taxes'!AZ37</f>
        <v>3.7565400000000002E-6</v>
      </c>
    </row>
    <row r="37" spans="1:52" x14ac:dyDescent="0.25">
      <c r="A37" t="s">
        <v>56</v>
      </c>
      <c r="B37">
        <f>'Pretax Fuel Prices'!B38+'Fuel Taxes'!B38</f>
        <v>2.4038199999999999E-6</v>
      </c>
      <c r="C37">
        <f>'Pretax Fuel Prices'!C38+'Fuel Taxes'!C38</f>
        <v>2.4038199999999999E-6</v>
      </c>
      <c r="D37">
        <f>'Pretax Fuel Prices'!D38+'Fuel Taxes'!D38</f>
        <v>2.4038199999999999E-6</v>
      </c>
      <c r="E37">
        <f>'Pretax Fuel Prices'!E38+'Fuel Taxes'!E38</f>
        <v>2.4038199999999999E-6</v>
      </c>
      <c r="F37">
        <f>'Pretax Fuel Prices'!F38+'Fuel Taxes'!F38</f>
        <v>2.4038199999999999E-6</v>
      </c>
      <c r="G37">
        <f>'Pretax Fuel Prices'!G38+'Fuel Taxes'!G38</f>
        <v>2.4038199999999999E-6</v>
      </c>
      <c r="H37">
        <f>'Pretax Fuel Prices'!H38+'Fuel Taxes'!H38</f>
        <v>2.4038199999999999E-6</v>
      </c>
      <c r="I37">
        <f>'Pretax Fuel Prices'!I38+'Fuel Taxes'!I38</f>
        <v>2.4038199999999999E-6</v>
      </c>
      <c r="J37">
        <f>'Pretax Fuel Prices'!J38+'Fuel Taxes'!J38</f>
        <v>2.4038199999999999E-6</v>
      </c>
      <c r="K37">
        <f>'Pretax Fuel Prices'!K38+'Fuel Taxes'!K38</f>
        <v>2.4038199999999999E-6</v>
      </c>
      <c r="L37">
        <f>'Pretax Fuel Prices'!L38+'Fuel Taxes'!L38</f>
        <v>2.4038199999999999E-6</v>
      </c>
      <c r="M37">
        <f>'Pretax Fuel Prices'!M38+'Fuel Taxes'!M38</f>
        <v>2.4038199999999999E-6</v>
      </c>
      <c r="N37">
        <f>'Pretax Fuel Prices'!N38+'Fuel Taxes'!N38</f>
        <v>2.4038199999999999E-6</v>
      </c>
      <c r="O37">
        <f>'Pretax Fuel Prices'!O38+'Fuel Taxes'!O38</f>
        <v>2.4038199999999999E-6</v>
      </c>
      <c r="P37">
        <f>'Pretax Fuel Prices'!P38+'Fuel Taxes'!P38</f>
        <v>2.4038199999999999E-6</v>
      </c>
      <c r="Q37">
        <f>'Pretax Fuel Prices'!Q38+'Fuel Taxes'!Q38</f>
        <v>2.4038199999999999E-6</v>
      </c>
      <c r="R37">
        <f>'Pretax Fuel Prices'!R38+'Fuel Taxes'!R38</f>
        <v>2.4038199999999999E-6</v>
      </c>
      <c r="S37">
        <f>'Pretax Fuel Prices'!S38+'Fuel Taxes'!S38</f>
        <v>2.4038199999999999E-6</v>
      </c>
      <c r="T37">
        <f>'Pretax Fuel Prices'!T38+'Fuel Taxes'!T38</f>
        <v>2.4038199999999999E-6</v>
      </c>
      <c r="U37">
        <f>'Pretax Fuel Prices'!U38+'Fuel Taxes'!U38</f>
        <v>2.4038199999999999E-6</v>
      </c>
      <c r="V37">
        <f>'Pretax Fuel Prices'!V38+'Fuel Taxes'!V38</f>
        <v>2.4038199999999999E-6</v>
      </c>
      <c r="W37">
        <f>'Pretax Fuel Prices'!W38+'Fuel Taxes'!W38</f>
        <v>2.4038199999999999E-6</v>
      </c>
      <c r="X37">
        <f>'Pretax Fuel Prices'!X38+'Fuel Taxes'!X38</f>
        <v>2.4038199999999999E-6</v>
      </c>
      <c r="Y37">
        <f>'Pretax Fuel Prices'!Y38+'Fuel Taxes'!Y38</f>
        <v>2.4038199999999999E-6</v>
      </c>
      <c r="Z37">
        <f>'Pretax Fuel Prices'!Z38+'Fuel Taxes'!Z38</f>
        <v>2.4038199999999999E-6</v>
      </c>
      <c r="AA37">
        <f>'Pretax Fuel Prices'!AA38+'Fuel Taxes'!AA38</f>
        <v>2.4038199999999999E-6</v>
      </c>
      <c r="AB37">
        <f>'Pretax Fuel Prices'!AB38+'Fuel Taxes'!AB38</f>
        <v>2.4038199999999999E-6</v>
      </c>
      <c r="AC37">
        <f>'Pretax Fuel Prices'!AC38+'Fuel Taxes'!AC38</f>
        <v>2.4038199999999999E-6</v>
      </c>
      <c r="AD37">
        <f>'Pretax Fuel Prices'!AD38+'Fuel Taxes'!AD38</f>
        <v>2.4038199999999999E-6</v>
      </c>
      <c r="AE37">
        <f>'Pretax Fuel Prices'!AE38+'Fuel Taxes'!AE38</f>
        <v>2.4038199999999999E-6</v>
      </c>
      <c r="AF37">
        <f>'Pretax Fuel Prices'!AF38+'Fuel Taxes'!AF38</f>
        <v>2.4038199999999999E-6</v>
      </c>
      <c r="AG37">
        <f>'Pretax Fuel Prices'!AG38+'Fuel Taxes'!AG38</f>
        <v>2.4038199999999999E-6</v>
      </c>
      <c r="AH37">
        <f>'Pretax Fuel Prices'!AH38+'Fuel Taxes'!AH38</f>
        <v>2.4038199999999999E-6</v>
      </c>
      <c r="AI37">
        <f>'Pretax Fuel Prices'!AI38+'Fuel Taxes'!AI38</f>
        <v>2.4038199999999999E-6</v>
      </c>
      <c r="AJ37">
        <f>'Pretax Fuel Prices'!AJ38+'Fuel Taxes'!AJ38</f>
        <v>2.4038199999999999E-6</v>
      </c>
      <c r="AK37">
        <f>'Pretax Fuel Prices'!AK38+'Fuel Taxes'!AK38</f>
        <v>2.4038199999999999E-6</v>
      </c>
      <c r="AL37">
        <f>'Pretax Fuel Prices'!AL38+'Fuel Taxes'!AL38</f>
        <v>2.4038199999999999E-6</v>
      </c>
      <c r="AM37">
        <f>'Pretax Fuel Prices'!AM38+'Fuel Taxes'!AM38</f>
        <v>2.4038199999999999E-6</v>
      </c>
      <c r="AN37">
        <f>'Pretax Fuel Prices'!AN38+'Fuel Taxes'!AN38</f>
        <v>2.4038199999999999E-6</v>
      </c>
      <c r="AO37">
        <f>'Pretax Fuel Prices'!AO38+'Fuel Taxes'!AO38</f>
        <v>2.4038199999999999E-6</v>
      </c>
      <c r="AP37">
        <f>'Pretax Fuel Prices'!AP38+'Fuel Taxes'!AP38</f>
        <v>2.4038199999999999E-6</v>
      </c>
      <c r="AQ37">
        <f>'Pretax Fuel Prices'!AQ38+'Fuel Taxes'!AQ38</f>
        <v>2.4038199999999999E-6</v>
      </c>
      <c r="AR37">
        <f>'Pretax Fuel Prices'!AR38+'Fuel Taxes'!AR38</f>
        <v>2.4038199999999999E-6</v>
      </c>
      <c r="AS37">
        <f>'Pretax Fuel Prices'!AS38+'Fuel Taxes'!AS38</f>
        <v>2.4038199999999999E-6</v>
      </c>
      <c r="AT37">
        <f>'Pretax Fuel Prices'!AT38+'Fuel Taxes'!AT38</f>
        <v>2.4038199999999999E-6</v>
      </c>
      <c r="AU37">
        <f>'Pretax Fuel Prices'!AU38+'Fuel Taxes'!AU38</f>
        <v>2.4038199999999999E-6</v>
      </c>
      <c r="AV37">
        <f>'Pretax Fuel Prices'!AV38+'Fuel Taxes'!AV38</f>
        <v>2.4038199999999999E-6</v>
      </c>
      <c r="AW37">
        <f>'Pretax Fuel Prices'!AW38+'Fuel Taxes'!AW38</f>
        <v>2.4038199999999999E-6</v>
      </c>
      <c r="AX37">
        <f>'Pretax Fuel Prices'!AX38+'Fuel Taxes'!AX38</f>
        <v>2.4038199999999999E-6</v>
      </c>
      <c r="AY37">
        <f>'Pretax Fuel Prices'!AY38+'Fuel Taxes'!AY38</f>
        <v>2.4038199999999999E-6</v>
      </c>
      <c r="AZ37">
        <f>'Pretax Fuel Prices'!AZ38+'Fuel Taxes'!AZ38</f>
        <v>2.4038199999999999E-6</v>
      </c>
    </row>
    <row r="38" spans="1:52" x14ac:dyDescent="0.25">
      <c r="A38" t="s">
        <v>57</v>
      </c>
      <c r="B38">
        <f>'Pretax Fuel Prices'!B39+'Fuel Taxes'!B39</f>
        <v>2.0290800000000005E-6</v>
      </c>
      <c r="C38">
        <f>'Pretax Fuel Prices'!C39+'Fuel Taxes'!C39</f>
        <v>2.0290800000000005E-6</v>
      </c>
      <c r="D38">
        <f>'Pretax Fuel Prices'!D39+'Fuel Taxes'!D39</f>
        <v>2.0290800000000005E-6</v>
      </c>
      <c r="E38">
        <f>'Pretax Fuel Prices'!E39+'Fuel Taxes'!E39</f>
        <v>2.0290800000000005E-6</v>
      </c>
      <c r="F38">
        <f>'Pretax Fuel Prices'!F39+'Fuel Taxes'!F39</f>
        <v>2.0290800000000005E-6</v>
      </c>
      <c r="G38">
        <f>'Pretax Fuel Prices'!G39+'Fuel Taxes'!G39</f>
        <v>2.0290800000000005E-6</v>
      </c>
      <c r="H38">
        <f>'Pretax Fuel Prices'!H39+'Fuel Taxes'!H39</f>
        <v>2.0290800000000005E-6</v>
      </c>
      <c r="I38">
        <f>'Pretax Fuel Prices'!I39+'Fuel Taxes'!I39</f>
        <v>2.0290800000000005E-6</v>
      </c>
      <c r="J38">
        <f>'Pretax Fuel Prices'!J39+'Fuel Taxes'!J39</f>
        <v>2.0290800000000005E-6</v>
      </c>
      <c r="K38">
        <f>'Pretax Fuel Prices'!K39+'Fuel Taxes'!K39</f>
        <v>2.0290800000000005E-6</v>
      </c>
      <c r="L38">
        <f>'Pretax Fuel Prices'!L39+'Fuel Taxes'!L39</f>
        <v>2.0290800000000005E-6</v>
      </c>
      <c r="M38">
        <f>'Pretax Fuel Prices'!M39+'Fuel Taxes'!M39</f>
        <v>2.0290800000000005E-6</v>
      </c>
      <c r="N38">
        <f>'Pretax Fuel Prices'!N39+'Fuel Taxes'!N39</f>
        <v>2.0290800000000005E-6</v>
      </c>
      <c r="O38">
        <f>'Pretax Fuel Prices'!O39+'Fuel Taxes'!O39</f>
        <v>2.0290800000000005E-6</v>
      </c>
      <c r="P38">
        <f>'Pretax Fuel Prices'!P39+'Fuel Taxes'!P39</f>
        <v>2.0290800000000005E-6</v>
      </c>
      <c r="Q38">
        <f>'Pretax Fuel Prices'!Q39+'Fuel Taxes'!Q39</f>
        <v>2.0290800000000005E-6</v>
      </c>
      <c r="R38">
        <f>'Pretax Fuel Prices'!R39+'Fuel Taxes'!R39</f>
        <v>2.0290800000000005E-6</v>
      </c>
      <c r="S38">
        <f>'Pretax Fuel Prices'!S39+'Fuel Taxes'!S39</f>
        <v>2.0290800000000005E-6</v>
      </c>
      <c r="T38">
        <f>'Pretax Fuel Prices'!T39+'Fuel Taxes'!T39</f>
        <v>2.0290800000000005E-6</v>
      </c>
      <c r="U38">
        <f>'Pretax Fuel Prices'!U39+'Fuel Taxes'!U39</f>
        <v>2.0290800000000005E-6</v>
      </c>
      <c r="V38">
        <f>'Pretax Fuel Prices'!V39+'Fuel Taxes'!V39</f>
        <v>2.0290800000000005E-6</v>
      </c>
      <c r="W38">
        <f>'Pretax Fuel Prices'!W39+'Fuel Taxes'!W39</f>
        <v>2.0290800000000005E-6</v>
      </c>
      <c r="X38">
        <f>'Pretax Fuel Prices'!X39+'Fuel Taxes'!X39</f>
        <v>2.0290800000000005E-6</v>
      </c>
      <c r="Y38">
        <f>'Pretax Fuel Prices'!Y39+'Fuel Taxes'!Y39</f>
        <v>2.0290800000000005E-6</v>
      </c>
      <c r="Z38">
        <f>'Pretax Fuel Prices'!Z39+'Fuel Taxes'!Z39</f>
        <v>2.0290800000000005E-6</v>
      </c>
      <c r="AA38">
        <f>'Pretax Fuel Prices'!AA39+'Fuel Taxes'!AA39</f>
        <v>2.0290800000000005E-6</v>
      </c>
      <c r="AB38">
        <f>'Pretax Fuel Prices'!AB39+'Fuel Taxes'!AB39</f>
        <v>2.0290800000000005E-6</v>
      </c>
      <c r="AC38">
        <f>'Pretax Fuel Prices'!AC39+'Fuel Taxes'!AC39</f>
        <v>2.0290800000000005E-6</v>
      </c>
      <c r="AD38">
        <f>'Pretax Fuel Prices'!AD39+'Fuel Taxes'!AD39</f>
        <v>2.0290800000000005E-6</v>
      </c>
      <c r="AE38">
        <f>'Pretax Fuel Prices'!AE39+'Fuel Taxes'!AE39</f>
        <v>2.0290800000000005E-6</v>
      </c>
      <c r="AF38">
        <f>'Pretax Fuel Prices'!AF39+'Fuel Taxes'!AF39</f>
        <v>2.0290800000000005E-6</v>
      </c>
      <c r="AG38">
        <f>'Pretax Fuel Prices'!AG39+'Fuel Taxes'!AG39</f>
        <v>2.0290800000000001E-6</v>
      </c>
      <c r="AH38">
        <f>'Pretax Fuel Prices'!AH39+'Fuel Taxes'!AH39</f>
        <v>2.0290800000000001E-6</v>
      </c>
      <c r="AI38">
        <f>'Pretax Fuel Prices'!AI39+'Fuel Taxes'!AI39</f>
        <v>2.0290800000000001E-6</v>
      </c>
      <c r="AJ38">
        <f>'Pretax Fuel Prices'!AJ39+'Fuel Taxes'!AJ39</f>
        <v>2.0290800000000001E-6</v>
      </c>
      <c r="AK38">
        <f>'Pretax Fuel Prices'!AK39+'Fuel Taxes'!AK39</f>
        <v>2.0290800000000001E-6</v>
      </c>
      <c r="AL38">
        <f>'Pretax Fuel Prices'!AL39+'Fuel Taxes'!AL39</f>
        <v>2.0290800000000001E-6</v>
      </c>
      <c r="AM38">
        <f>'Pretax Fuel Prices'!AM39+'Fuel Taxes'!AM39</f>
        <v>2.0290800000000001E-6</v>
      </c>
      <c r="AN38">
        <f>'Pretax Fuel Prices'!AN39+'Fuel Taxes'!AN39</f>
        <v>2.0290800000000001E-6</v>
      </c>
      <c r="AO38">
        <f>'Pretax Fuel Prices'!AO39+'Fuel Taxes'!AO39</f>
        <v>2.0290800000000001E-6</v>
      </c>
      <c r="AP38">
        <f>'Pretax Fuel Prices'!AP39+'Fuel Taxes'!AP39</f>
        <v>2.0290800000000001E-6</v>
      </c>
      <c r="AQ38">
        <f>'Pretax Fuel Prices'!AQ39+'Fuel Taxes'!AQ39</f>
        <v>2.0290800000000001E-6</v>
      </c>
      <c r="AR38">
        <f>'Pretax Fuel Prices'!AR39+'Fuel Taxes'!AR39</f>
        <v>2.0290800000000001E-6</v>
      </c>
      <c r="AS38">
        <f>'Pretax Fuel Prices'!AS39+'Fuel Taxes'!AS39</f>
        <v>2.0290800000000001E-6</v>
      </c>
      <c r="AT38">
        <f>'Pretax Fuel Prices'!AT39+'Fuel Taxes'!AT39</f>
        <v>2.0290800000000001E-6</v>
      </c>
      <c r="AU38">
        <f>'Pretax Fuel Prices'!AU39+'Fuel Taxes'!AU39</f>
        <v>2.0290800000000001E-6</v>
      </c>
      <c r="AV38">
        <f>'Pretax Fuel Prices'!AV39+'Fuel Taxes'!AV39</f>
        <v>2.0290800000000001E-6</v>
      </c>
      <c r="AW38">
        <f>'Pretax Fuel Prices'!AW39+'Fuel Taxes'!AW39</f>
        <v>2.0290800000000001E-6</v>
      </c>
      <c r="AX38">
        <f>'Pretax Fuel Prices'!AX39+'Fuel Taxes'!AX39</f>
        <v>2.0290800000000001E-6</v>
      </c>
      <c r="AY38">
        <f>'Pretax Fuel Prices'!AY39+'Fuel Taxes'!AY39</f>
        <v>2.0290800000000001E-6</v>
      </c>
      <c r="AZ38">
        <f>'Pretax Fuel Prices'!AZ39+'Fuel Taxes'!AZ39</f>
        <v>2.0290800000000001E-6</v>
      </c>
    </row>
    <row r="39" spans="1:52" x14ac:dyDescent="0.25">
      <c r="A39" t="s">
        <v>58</v>
      </c>
      <c r="B39">
        <f>'Pretax Fuel Prices'!B40+'Fuel Taxes'!B40</f>
        <v>0</v>
      </c>
      <c r="C39">
        <f>'Pretax Fuel Prices'!C40+'Fuel Taxes'!C40</f>
        <v>0</v>
      </c>
      <c r="D39">
        <f>'Pretax Fuel Prices'!D40+'Fuel Taxes'!D40</f>
        <v>0</v>
      </c>
      <c r="E39">
        <f>'Pretax Fuel Prices'!E40+'Fuel Taxes'!E40</f>
        <v>0</v>
      </c>
      <c r="F39">
        <f>'Pretax Fuel Prices'!F40+'Fuel Taxes'!F40</f>
        <v>0</v>
      </c>
      <c r="G39">
        <f>'Pretax Fuel Prices'!G40+'Fuel Taxes'!G40</f>
        <v>0</v>
      </c>
      <c r="H39">
        <f>'Pretax Fuel Prices'!H40+'Fuel Taxes'!H40</f>
        <v>0</v>
      </c>
      <c r="I39">
        <f>'Pretax Fuel Prices'!I40+'Fuel Taxes'!I40</f>
        <v>0</v>
      </c>
      <c r="J39">
        <f>'Pretax Fuel Prices'!J40+'Fuel Taxes'!J40</f>
        <v>0</v>
      </c>
      <c r="K39">
        <f>'Pretax Fuel Prices'!K40+'Fuel Taxes'!K40</f>
        <v>0</v>
      </c>
      <c r="L39">
        <f>'Pretax Fuel Prices'!L40+'Fuel Taxes'!L40</f>
        <v>0</v>
      </c>
      <c r="M39">
        <f>'Pretax Fuel Prices'!M40+'Fuel Taxes'!M40</f>
        <v>0</v>
      </c>
      <c r="N39">
        <f>'Pretax Fuel Prices'!N40+'Fuel Taxes'!N40</f>
        <v>0</v>
      </c>
      <c r="O39">
        <f>'Pretax Fuel Prices'!O40+'Fuel Taxes'!O40</f>
        <v>0</v>
      </c>
      <c r="P39">
        <f>'Pretax Fuel Prices'!P40+'Fuel Taxes'!P40</f>
        <v>0</v>
      </c>
      <c r="Q39">
        <f>'Pretax Fuel Prices'!Q40+'Fuel Taxes'!Q40</f>
        <v>0</v>
      </c>
      <c r="R39">
        <f>'Pretax Fuel Prices'!R40+'Fuel Taxes'!R40</f>
        <v>0</v>
      </c>
      <c r="S39">
        <f>'Pretax Fuel Prices'!S40+'Fuel Taxes'!S40</f>
        <v>0</v>
      </c>
      <c r="T39">
        <f>'Pretax Fuel Prices'!T40+'Fuel Taxes'!T40</f>
        <v>0</v>
      </c>
      <c r="U39">
        <f>'Pretax Fuel Prices'!U40+'Fuel Taxes'!U40</f>
        <v>0</v>
      </c>
      <c r="V39">
        <f>'Pretax Fuel Prices'!V40+'Fuel Taxes'!V40</f>
        <v>0</v>
      </c>
      <c r="W39">
        <f>'Pretax Fuel Prices'!W40+'Fuel Taxes'!W40</f>
        <v>0</v>
      </c>
      <c r="X39">
        <f>'Pretax Fuel Prices'!X40+'Fuel Taxes'!X40</f>
        <v>0</v>
      </c>
      <c r="Y39">
        <f>'Pretax Fuel Prices'!Y40+'Fuel Taxes'!Y40</f>
        <v>0</v>
      </c>
      <c r="Z39">
        <f>'Pretax Fuel Prices'!Z40+'Fuel Taxes'!Z40</f>
        <v>0</v>
      </c>
      <c r="AA39">
        <f>'Pretax Fuel Prices'!AA40+'Fuel Taxes'!AA40</f>
        <v>0</v>
      </c>
      <c r="AB39">
        <f>'Pretax Fuel Prices'!AB40+'Fuel Taxes'!AB40</f>
        <v>0</v>
      </c>
      <c r="AC39">
        <f>'Pretax Fuel Prices'!AC40+'Fuel Taxes'!AC40</f>
        <v>0</v>
      </c>
      <c r="AD39">
        <f>'Pretax Fuel Prices'!AD40+'Fuel Taxes'!AD40</f>
        <v>0</v>
      </c>
      <c r="AE39">
        <f>'Pretax Fuel Prices'!AE40+'Fuel Taxes'!AE40</f>
        <v>0</v>
      </c>
      <c r="AF39">
        <f>'Pretax Fuel Prices'!AF40+'Fuel Taxes'!AF40</f>
        <v>0</v>
      </c>
      <c r="AG39">
        <f>'Pretax Fuel Prices'!AG40+'Fuel Taxes'!AG40</f>
        <v>0</v>
      </c>
      <c r="AH39">
        <f>'Pretax Fuel Prices'!AH40+'Fuel Taxes'!AH40</f>
        <v>0</v>
      </c>
      <c r="AI39">
        <f>'Pretax Fuel Prices'!AI40+'Fuel Taxes'!AI40</f>
        <v>0</v>
      </c>
      <c r="AJ39">
        <f>'Pretax Fuel Prices'!AJ40+'Fuel Taxes'!AJ40</f>
        <v>0</v>
      </c>
      <c r="AK39">
        <f>'Pretax Fuel Prices'!AK40+'Fuel Taxes'!AK40</f>
        <v>0</v>
      </c>
      <c r="AL39">
        <f>'Pretax Fuel Prices'!AL40+'Fuel Taxes'!AL40</f>
        <v>0</v>
      </c>
      <c r="AM39">
        <f>'Pretax Fuel Prices'!AM40+'Fuel Taxes'!AM40</f>
        <v>0</v>
      </c>
      <c r="AN39">
        <f>'Pretax Fuel Prices'!AN40+'Fuel Taxes'!AN40</f>
        <v>0</v>
      </c>
      <c r="AO39">
        <f>'Pretax Fuel Prices'!AO40+'Fuel Taxes'!AO40</f>
        <v>0</v>
      </c>
      <c r="AP39">
        <f>'Pretax Fuel Prices'!AP40+'Fuel Taxes'!AP40</f>
        <v>0</v>
      </c>
      <c r="AQ39">
        <f>'Pretax Fuel Prices'!AQ40+'Fuel Taxes'!AQ40</f>
        <v>0</v>
      </c>
      <c r="AR39">
        <f>'Pretax Fuel Prices'!AR40+'Fuel Taxes'!AR40</f>
        <v>0</v>
      </c>
      <c r="AS39">
        <f>'Pretax Fuel Prices'!AS40+'Fuel Taxes'!AS40</f>
        <v>0</v>
      </c>
      <c r="AT39">
        <f>'Pretax Fuel Prices'!AT40+'Fuel Taxes'!AT40</f>
        <v>0</v>
      </c>
      <c r="AU39">
        <f>'Pretax Fuel Prices'!AU40+'Fuel Taxes'!AU40</f>
        <v>0</v>
      </c>
      <c r="AV39">
        <f>'Pretax Fuel Prices'!AV40+'Fuel Taxes'!AV40</f>
        <v>0</v>
      </c>
      <c r="AW39">
        <f>'Pretax Fuel Prices'!AW40+'Fuel Taxes'!AW40</f>
        <v>0</v>
      </c>
      <c r="AX39">
        <f>'Pretax Fuel Prices'!AX40+'Fuel Taxes'!AX40</f>
        <v>0</v>
      </c>
      <c r="AY39">
        <f>'Pretax Fuel Prices'!AY40+'Fuel Taxes'!AY40</f>
        <v>0</v>
      </c>
      <c r="AZ39">
        <f>'Pretax Fuel Prices'!AZ40+'Fuel Taxes'!AZ40</f>
        <v>0</v>
      </c>
    </row>
    <row r="40" spans="1:52" x14ac:dyDescent="0.25">
      <c r="A40" t="s">
        <v>59</v>
      </c>
      <c r="B40">
        <f>'Pretax Fuel Prices'!B41+'Fuel Taxes'!B41</f>
        <v>2.4038199999999999E-6</v>
      </c>
      <c r="C40">
        <f>'Pretax Fuel Prices'!C41+'Fuel Taxes'!C41</f>
        <v>2.4038199999999999E-6</v>
      </c>
      <c r="D40">
        <f>'Pretax Fuel Prices'!D41+'Fuel Taxes'!D41</f>
        <v>2.4038199999999999E-6</v>
      </c>
      <c r="E40">
        <f>'Pretax Fuel Prices'!E41+'Fuel Taxes'!E41</f>
        <v>2.4038199999999999E-6</v>
      </c>
      <c r="F40">
        <f>'Pretax Fuel Prices'!F41+'Fuel Taxes'!F41</f>
        <v>2.4038199999999999E-6</v>
      </c>
      <c r="G40">
        <f>'Pretax Fuel Prices'!G41+'Fuel Taxes'!G41</f>
        <v>2.4038199999999999E-6</v>
      </c>
      <c r="H40">
        <f>'Pretax Fuel Prices'!H41+'Fuel Taxes'!H41</f>
        <v>2.4038199999999999E-6</v>
      </c>
      <c r="I40">
        <f>'Pretax Fuel Prices'!I41+'Fuel Taxes'!I41</f>
        <v>2.4038199999999999E-6</v>
      </c>
      <c r="J40">
        <f>'Pretax Fuel Prices'!J41+'Fuel Taxes'!J41</f>
        <v>2.4038199999999999E-6</v>
      </c>
      <c r="K40">
        <f>'Pretax Fuel Prices'!K41+'Fuel Taxes'!K41</f>
        <v>2.4038199999999999E-6</v>
      </c>
      <c r="L40">
        <f>'Pretax Fuel Prices'!L41+'Fuel Taxes'!L41</f>
        <v>2.4038199999999999E-6</v>
      </c>
      <c r="M40">
        <f>'Pretax Fuel Prices'!M41+'Fuel Taxes'!M41</f>
        <v>2.4038199999999999E-6</v>
      </c>
      <c r="N40">
        <f>'Pretax Fuel Prices'!N41+'Fuel Taxes'!N41</f>
        <v>2.4038199999999999E-6</v>
      </c>
      <c r="O40">
        <f>'Pretax Fuel Prices'!O41+'Fuel Taxes'!O41</f>
        <v>2.4038199999999999E-6</v>
      </c>
      <c r="P40">
        <f>'Pretax Fuel Prices'!P41+'Fuel Taxes'!P41</f>
        <v>2.4038199999999999E-6</v>
      </c>
      <c r="Q40">
        <f>'Pretax Fuel Prices'!Q41+'Fuel Taxes'!Q41</f>
        <v>2.4038199999999999E-6</v>
      </c>
      <c r="R40">
        <f>'Pretax Fuel Prices'!R41+'Fuel Taxes'!R41</f>
        <v>2.4038199999999999E-6</v>
      </c>
      <c r="S40">
        <f>'Pretax Fuel Prices'!S41+'Fuel Taxes'!S41</f>
        <v>2.4038199999999999E-6</v>
      </c>
      <c r="T40">
        <f>'Pretax Fuel Prices'!T41+'Fuel Taxes'!T41</f>
        <v>2.4038199999999999E-6</v>
      </c>
      <c r="U40">
        <f>'Pretax Fuel Prices'!U41+'Fuel Taxes'!U41</f>
        <v>2.4038199999999999E-6</v>
      </c>
      <c r="V40">
        <f>'Pretax Fuel Prices'!V41+'Fuel Taxes'!V41</f>
        <v>2.4038199999999999E-6</v>
      </c>
      <c r="W40">
        <f>'Pretax Fuel Prices'!W41+'Fuel Taxes'!W41</f>
        <v>2.4038199999999999E-6</v>
      </c>
      <c r="X40">
        <f>'Pretax Fuel Prices'!X41+'Fuel Taxes'!X41</f>
        <v>2.4038199999999999E-6</v>
      </c>
      <c r="Y40">
        <f>'Pretax Fuel Prices'!Y41+'Fuel Taxes'!Y41</f>
        <v>2.4038199999999999E-6</v>
      </c>
      <c r="Z40">
        <f>'Pretax Fuel Prices'!Z41+'Fuel Taxes'!Z41</f>
        <v>2.4038199999999999E-6</v>
      </c>
      <c r="AA40">
        <f>'Pretax Fuel Prices'!AA41+'Fuel Taxes'!AA41</f>
        <v>2.4038199999999999E-6</v>
      </c>
      <c r="AB40">
        <f>'Pretax Fuel Prices'!AB41+'Fuel Taxes'!AB41</f>
        <v>2.4038199999999999E-6</v>
      </c>
      <c r="AC40">
        <f>'Pretax Fuel Prices'!AC41+'Fuel Taxes'!AC41</f>
        <v>2.4038199999999999E-6</v>
      </c>
      <c r="AD40">
        <f>'Pretax Fuel Prices'!AD41+'Fuel Taxes'!AD41</f>
        <v>2.4038199999999999E-6</v>
      </c>
      <c r="AE40">
        <f>'Pretax Fuel Prices'!AE41+'Fuel Taxes'!AE41</f>
        <v>2.4038199999999999E-6</v>
      </c>
      <c r="AF40">
        <f>'Pretax Fuel Prices'!AF41+'Fuel Taxes'!AF41</f>
        <v>2.4038199999999999E-6</v>
      </c>
      <c r="AG40">
        <f>'Pretax Fuel Prices'!AG41+'Fuel Taxes'!AG41</f>
        <v>2.4038199999999999E-6</v>
      </c>
      <c r="AH40">
        <f>'Pretax Fuel Prices'!AH41+'Fuel Taxes'!AH41</f>
        <v>2.4038199999999999E-6</v>
      </c>
      <c r="AI40">
        <f>'Pretax Fuel Prices'!AI41+'Fuel Taxes'!AI41</f>
        <v>2.4038199999999999E-6</v>
      </c>
      <c r="AJ40">
        <f>'Pretax Fuel Prices'!AJ41+'Fuel Taxes'!AJ41</f>
        <v>2.4038199999999999E-6</v>
      </c>
      <c r="AK40">
        <f>'Pretax Fuel Prices'!AK41+'Fuel Taxes'!AK41</f>
        <v>2.4038199999999999E-6</v>
      </c>
      <c r="AL40">
        <f>'Pretax Fuel Prices'!AL41+'Fuel Taxes'!AL41</f>
        <v>2.4038199999999999E-6</v>
      </c>
      <c r="AM40">
        <f>'Pretax Fuel Prices'!AM41+'Fuel Taxes'!AM41</f>
        <v>2.4038199999999999E-6</v>
      </c>
      <c r="AN40">
        <f>'Pretax Fuel Prices'!AN41+'Fuel Taxes'!AN41</f>
        <v>2.4038199999999999E-6</v>
      </c>
      <c r="AO40">
        <f>'Pretax Fuel Prices'!AO41+'Fuel Taxes'!AO41</f>
        <v>2.4038199999999999E-6</v>
      </c>
      <c r="AP40">
        <f>'Pretax Fuel Prices'!AP41+'Fuel Taxes'!AP41</f>
        <v>2.4038199999999999E-6</v>
      </c>
      <c r="AQ40">
        <f>'Pretax Fuel Prices'!AQ41+'Fuel Taxes'!AQ41</f>
        <v>2.4038199999999999E-6</v>
      </c>
      <c r="AR40">
        <f>'Pretax Fuel Prices'!AR41+'Fuel Taxes'!AR41</f>
        <v>2.4038199999999999E-6</v>
      </c>
      <c r="AS40">
        <f>'Pretax Fuel Prices'!AS41+'Fuel Taxes'!AS41</f>
        <v>2.4038199999999999E-6</v>
      </c>
      <c r="AT40">
        <f>'Pretax Fuel Prices'!AT41+'Fuel Taxes'!AT41</f>
        <v>2.4038199999999999E-6</v>
      </c>
      <c r="AU40">
        <f>'Pretax Fuel Prices'!AU41+'Fuel Taxes'!AU41</f>
        <v>2.4038199999999999E-6</v>
      </c>
      <c r="AV40">
        <f>'Pretax Fuel Prices'!AV41+'Fuel Taxes'!AV41</f>
        <v>2.4038199999999999E-6</v>
      </c>
      <c r="AW40">
        <f>'Pretax Fuel Prices'!AW41+'Fuel Taxes'!AW41</f>
        <v>2.4038199999999999E-6</v>
      </c>
      <c r="AX40">
        <f>'Pretax Fuel Prices'!AX41+'Fuel Taxes'!AX41</f>
        <v>2.4038199999999999E-6</v>
      </c>
      <c r="AY40">
        <f>'Pretax Fuel Prices'!AY41+'Fuel Taxes'!AY41</f>
        <v>2.4038199999999999E-6</v>
      </c>
      <c r="AZ40">
        <f>'Pretax Fuel Prices'!AZ41+'Fuel Taxes'!AZ41</f>
        <v>2.4038199999999999E-6</v>
      </c>
    </row>
    <row r="41" spans="1:52" s="3" customFormat="1" x14ac:dyDescent="0.25">
      <c r="A41" s="5" t="s">
        <v>34</v>
      </c>
    </row>
    <row r="42" spans="1:52" x14ac:dyDescent="0.25">
      <c r="A42" t="s">
        <v>30</v>
      </c>
      <c r="B42">
        <f>'Fuel Taxes'!B$1</f>
        <v>2020</v>
      </c>
      <c r="C42">
        <f>'Fuel Taxes'!C$1</f>
        <v>2021</v>
      </c>
      <c r="D42">
        <f>'Fuel Taxes'!D$1</f>
        <v>2022</v>
      </c>
      <c r="E42">
        <f>'Fuel Taxes'!E$1</f>
        <v>2023</v>
      </c>
      <c r="F42">
        <f>'Fuel Taxes'!F$1</f>
        <v>2024</v>
      </c>
      <c r="G42">
        <f>'Fuel Taxes'!G$1</f>
        <v>2025</v>
      </c>
      <c r="H42">
        <f>'Fuel Taxes'!H$1</f>
        <v>2026</v>
      </c>
      <c r="I42">
        <f>'Fuel Taxes'!I$1</f>
        <v>2027</v>
      </c>
      <c r="J42">
        <f>'Fuel Taxes'!J$1</f>
        <v>2028</v>
      </c>
      <c r="K42">
        <f>'Fuel Taxes'!K$1</f>
        <v>2029</v>
      </c>
      <c r="L42">
        <f>'Fuel Taxes'!L$1</f>
        <v>2030</v>
      </c>
      <c r="M42">
        <f>'Fuel Taxes'!M$1</f>
        <v>2031</v>
      </c>
      <c r="N42">
        <f>'Fuel Taxes'!N$1</f>
        <v>2032</v>
      </c>
      <c r="O42">
        <f>'Fuel Taxes'!O$1</f>
        <v>2033</v>
      </c>
      <c r="P42">
        <f>'Fuel Taxes'!P$1</f>
        <v>2034</v>
      </c>
      <c r="Q42">
        <f>'Fuel Taxes'!Q$1</f>
        <v>2035</v>
      </c>
      <c r="R42">
        <f>'Fuel Taxes'!R$1</f>
        <v>2036</v>
      </c>
      <c r="S42">
        <f>'Fuel Taxes'!S$1</f>
        <v>2037</v>
      </c>
      <c r="T42">
        <f>'Fuel Taxes'!T$1</f>
        <v>2038</v>
      </c>
      <c r="U42">
        <f>'Fuel Taxes'!U$1</f>
        <v>2039</v>
      </c>
      <c r="V42">
        <f>'Fuel Taxes'!V$1</f>
        <v>2040</v>
      </c>
      <c r="W42">
        <f>'Fuel Taxes'!W$1</f>
        <v>2041</v>
      </c>
      <c r="X42">
        <f>'Fuel Taxes'!X$1</f>
        <v>2042</v>
      </c>
      <c r="Y42">
        <f>'Fuel Taxes'!Y$1</f>
        <v>2043</v>
      </c>
      <c r="Z42">
        <f>'Fuel Taxes'!Z$1</f>
        <v>2044</v>
      </c>
      <c r="AA42">
        <f>'Fuel Taxes'!AA$1</f>
        <v>2045</v>
      </c>
      <c r="AB42">
        <f>'Fuel Taxes'!AB$1</f>
        <v>2046</v>
      </c>
      <c r="AC42">
        <f>'Fuel Taxes'!AC$1</f>
        <v>2047</v>
      </c>
      <c r="AD42">
        <f>'Fuel Taxes'!AD$1</f>
        <v>2048</v>
      </c>
      <c r="AE42">
        <f>'Fuel Taxes'!AE$1</f>
        <v>2049</v>
      </c>
      <c r="AF42">
        <f>'Fuel Taxes'!AF$1</f>
        <v>2050</v>
      </c>
      <c r="AG42">
        <f>'Fuel Taxes'!AG$1</f>
        <v>2051</v>
      </c>
      <c r="AH42">
        <f>'Fuel Taxes'!AH$1</f>
        <v>2052</v>
      </c>
      <c r="AI42">
        <f>'Fuel Taxes'!AI$1</f>
        <v>2053</v>
      </c>
      <c r="AJ42">
        <f>'Fuel Taxes'!AJ$1</f>
        <v>2054</v>
      </c>
      <c r="AK42">
        <f>'Fuel Taxes'!AK$1</f>
        <v>2055</v>
      </c>
      <c r="AL42">
        <f>'Fuel Taxes'!AL$1</f>
        <v>2056</v>
      </c>
      <c r="AM42">
        <f>'Fuel Taxes'!AM$1</f>
        <v>2057</v>
      </c>
      <c r="AN42">
        <f>'Fuel Taxes'!AN$1</f>
        <v>2058</v>
      </c>
      <c r="AO42">
        <f>'Fuel Taxes'!AO$1</f>
        <v>2059</v>
      </c>
      <c r="AP42">
        <f>'Fuel Taxes'!AP$1</f>
        <v>2060</v>
      </c>
      <c r="AQ42">
        <f>'Fuel Taxes'!AQ$1</f>
        <v>2061</v>
      </c>
      <c r="AR42">
        <f>'Fuel Taxes'!AR$1</f>
        <v>2062</v>
      </c>
      <c r="AS42">
        <f>'Fuel Taxes'!AS$1</f>
        <v>2063</v>
      </c>
      <c r="AT42">
        <f>'Fuel Taxes'!AT$1</f>
        <v>2064</v>
      </c>
      <c r="AU42">
        <f>'Fuel Taxes'!AU$1</f>
        <v>2065</v>
      </c>
      <c r="AV42">
        <f>'Fuel Taxes'!AV$1</f>
        <v>2066</v>
      </c>
      <c r="AW42">
        <f>'Fuel Taxes'!AW$1</f>
        <v>2067</v>
      </c>
      <c r="AX42">
        <f>'Fuel Taxes'!AX$1</f>
        <v>2068</v>
      </c>
      <c r="AY42">
        <f>'Fuel Taxes'!AY$1</f>
        <v>2069</v>
      </c>
      <c r="AZ42">
        <f>'Fuel Taxes'!AZ$1</f>
        <v>2070</v>
      </c>
    </row>
    <row r="43" spans="1:52" x14ac:dyDescent="0.25">
      <c r="A43" t="s">
        <v>52</v>
      </c>
      <c r="B43">
        <f>'Pretax Fuel Prices'!B44+'Fuel Taxes'!B44</f>
        <v>1.6094861360251106E-5</v>
      </c>
      <c r="C43">
        <f>'Pretax Fuel Prices'!C44+'Fuel Taxes'!C44</f>
        <v>2.227982536027916E-5</v>
      </c>
      <c r="D43">
        <f>'Pretax Fuel Prices'!D44+'Fuel Taxes'!D44</f>
        <v>2.7679807958294331E-5</v>
      </c>
      <c r="E43">
        <f>'Pretax Fuel Prices'!E44+'Fuel Taxes'!E44</f>
        <v>2.5766523333354168E-5</v>
      </c>
      <c r="F43">
        <f>'Pretax Fuel Prices'!F44+'Fuel Taxes'!F44</f>
        <v>2.4432968376218707E-5</v>
      </c>
      <c r="G43">
        <f>'Pretax Fuel Prices'!G44+'Fuel Taxes'!G44</f>
        <v>2.3099413419083245E-5</v>
      </c>
      <c r="H43">
        <f>'Pretax Fuel Prices'!H44+'Fuel Taxes'!H44</f>
        <v>2.1765858461947784E-5</v>
      </c>
      <c r="I43">
        <f>'Pretax Fuel Prices'!I44+'Fuel Taxes'!I44</f>
        <v>2.0432303504812323E-5</v>
      </c>
      <c r="J43">
        <f>'Pretax Fuel Prices'!J44+'Fuel Taxes'!J44</f>
        <v>1.9098748547676859E-5</v>
      </c>
      <c r="K43">
        <f>'Pretax Fuel Prices'!K44+'Fuel Taxes'!K44</f>
        <v>1.9242083598066203E-5</v>
      </c>
      <c r="L43">
        <f>'Pretax Fuel Prices'!L44+'Fuel Taxes'!L44</f>
        <v>1.9717594912123109E-5</v>
      </c>
      <c r="M43">
        <f>'Pretax Fuel Prices'!M44+'Fuel Taxes'!M44</f>
        <v>2.0349110167915265E-5</v>
      </c>
      <c r="N43">
        <f>'Pretax Fuel Prices'!N44+'Fuel Taxes'!N44</f>
        <v>2.0555685456626195E-5</v>
      </c>
      <c r="O43">
        <f>'Pretax Fuel Prices'!O44+'Fuel Taxes'!O44</f>
        <v>2.0725959694512304E-5</v>
      </c>
      <c r="P43">
        <f>'Pretax Fuel Prices'!P44+'Fuel Taxes'!P44</f>
        <v>2.0886622114352136E-5</v>
      </c>
      <c r="Q43">
        <f>'Pretax Fuel Prices'!Q44+'Fuel Taxes'!Q44</f>
        <v>2.0965239228017855E-5</v>
      </c>
      <c r="R43">
        <f>'Pretax Fuel Prices'!R44+'Fuel Taxes'!R44</f>
        <v>2.1114277482503593E-5</v>
      </c>
      <c r="S43">
        <f>'Pretax Fuel Prices'!S44+'Fuel Taxes'!S44</f>
        <v>2.1246611983378232E-5</v>
      </c>
      <c r="T43">
        <f>'Pretax Fuel Prices'!T44+'Fuel Taxes'!T44</f>
        <v>2.1479640107015535E-5</v>
      </c>
      <c r="U43">
        <f>'Pretax Fuel Prices'!U44+'Fuel Taxes'!U44</f>
        <v>2.1491016012259655E-5</v>
      </c>
      <c r="V43">
        <f>'Pretax Fuel Prices'!V44+'Fuel Taxes'!V44</f>
        <v>2.1659783743403327E-5</v>
      </c>
      <c r="W43">
        <f>'Pretax Fuel Prices'!W44+'Fuel Taxes'!W44</f>
        <v>2.1797003799889282E-5</v>
      </c>
      <c r="X43">
        <f>'Pretax Fuel Prices'!X44+'Fuel Taxes'!X44</f>
        <v>2.183173225424954E-5</v>
      </c>
      <c r="Y43">
        <f>'Pretax Fuel Prices'!Y44+'Fuel Taxes'!Y44</f>
        <v>2.2048387920190422E-5</v>
      </c>
      <c r="Z43">
        <f>'Pretax Fuel Prices'!Z44+'Fuel Taxes'!Z44</f>
        <v>2.2256889131187951E-5</v>
      </c>
      <c r="AA43">
        <f>'Pretax Fuel Prices'!AA44+'Fuel Taxes'!AA44</f>
        <v>2.2328227055076205E-5</v>
      </c>
      <c r="AB43">
        <f>'Pretax Fuel Prices'!AB44+'Fuel Taxes'!AB44</f>
        <v>2.2507032798243345E-5</v>
      </c>
      <c r="AC43">
        <f>'Pretax Fuel Prices'!AC44+'Fuel Taxes'!AC44</f>
        <v>2.2576357527519643E-5</v>
      </c>
      <c r="AD43">
        <f>'Pretax Fuel Prices'!AD44+'Fuel Taxes'!AD44</f>
        <v>2.2515685468014907E-5</v>
      </c>
      <c r="AE43">
        <f>'Pretax Fuel Prices'!AE44+'Fuel Taxes'!AE44</f>
        <v>2.2529005936236478E-5</v>
      </c>
      <c r="AF43">
        <f>'Pretax Fuel Prices'!AF44+'Fuel Taxes'!AF44</f>
        <v>2.2524595718241866E-5</v>
      </c>
      <c r="AG43">
        <f>'Pretax Fuel Prices'!AG44+'Fuel Taxes'!AG44</f>
        <v>2.2609296632438413E-5</v>
      </c>
      <c r="AH43">
        <f>'Pretax Fuel Prices'!AH44+'Fuel Taxes'!AH44</f>
        <v>2.2693799779904685E-5</v>
      </c>
      <c r="AI43">
        <f>'Pretax Fuel Prices'!AI44+'Fuel Taxes'!AI44</f>
        <v>2.277830292737096E-5</v>
      </c>
      <c r="AJ43">
        <f>'Pretax Fuel Prices'!AJ44+'Fuel Taxes'!AJ44</f>
        <v>2.2862806074837235E-5</v>
      </c>
      <c r="AK43">
        <f>'Pretax Fuel Prices'!AK44+'Fuel Taxes'!AK44</f>
        <v>2.294730922230351E-5</v>
      </c>
      <c r="AL43">
        <f>'Pretax Fuel Prices'!AL44+'Fuel Taxes'!AL44</f>
        <v>2.3031812369769782E-5</v>
      </c>
      <c r="AM43">
        <f>'Pretax Fuel Prices'!AM44+'Fuel Taxes'!AM44</f>
        <v>2.3116315517236057E-5</v>
      </c>
      <c r="AN43">
        <f>'Pretax Fuel Prices'!AN44+'Fuel Taxes'!AN44</f>
        <v>2.3200818664702328E-5</v>
      </c>
      <c r="AO43">
        <f>'Pretax Fuel Prices'!AO44+'Fuel Taxes'!AO44</f>
        <v>2.3285321812168607E-5</v>
      </c>
      <c r="AP43">
        <f>'Pretax Fuel Prices'!AP44+'Fuel Taxes'!AP44</f>
        <v>2.3369824959634878E-5</v>
      </c>
      <c r="AQ43">
        <f>'Pretax Fuel Prices'!AQ44+'Fuel Taxes'!AQ44</f>
        <v>2.3454328107101157E-5</v>
      </c>
      <c r="AR43">
        <f>'Pretax Fuel Prices'!AR44+'Fuel Taxes'!AR44</f>
        <v>2.3538831254567428E-5</v>
      </c>
      <c r="AS43">
        <f>'Pretax Fuel Prices'!AS44+'Fuel Taxes'!AS44</f>
        <v>2.3623334402033703E-5</v>
      </c>
      <c r="AT43">
        <f>'Pretax Fuel Prices'!AT44+'Fuel Taxes'!AT44</f>
        <v>2.3707837549499978E-5</v>
      </c>
      <c r="AU43">
        <f>'Pretax Fuel Prices'!AU44+'Fuel Taxes'!AU44</f>
        <v>2.379234069696625E-5</v>
      </c>
      <c r="AV43">
        <f>'Pretax Fuel Prices'!AV44+'Fuel Taxes'!AV44</f>
        <v>2.3876843844432528E-5</v>
      </c>
      <c r="AW43">
        <f>'Pretax Fuel Prices'!AW44+'Fuel Taxes'!AW44</f>
        <v>2.39613469918988E-5</v>
      </c>
      <c r="AX43">
        <f>'Pretax Fuel Prices'!AX44+'Fuel Taxes'!AX44</f>
        <v>2.4045850139365075E-5</v>
      </c>
      <c r="AY43">
        <f>'Pretax Fuel Prices'!AY44+'Fuel Taxes'!AY44</f>
        <v>2.413035328683135E-5</v>
      </c>
      <c r="AZ43">
        <f>'Pretax Fuel Prices'!AZ44+'Fuel Taxes'!AZ44</f>
        <v>2.4214856434297625E-5</v>
      </c>
    </row>
    <row r="44" spans="1:52" x14ac:dyDescent="0.25">
      <c r="A44" t="s">
        <v>53</v>
      </c>
      <c r="B44">
        <f>'Pretax Fuel Prices'!B45+'Fuel Taxes'!B45</f>
        <v>0</v>
      </c>
      <c r="C44">
        <f>'Pretax Fuel Prices'!C45+'Fuel Taxes'!C45</f>
        <v>0</v>
      </c>
      <c r="D44">
        <f>'Pretax Fuel Prices'!D45+'Fuel Taxes'!D45</f>
        <v>0</v>
      </c>
      <c r="E44">
        <f>'Pretax Fuel Prices'!E45+'Fuel Taxes'!E45</f>
        <v>0</v>
      </c>
      <c r="F44">
        <f>'Pretax Fuel Prices'!F45+'Fuel Taxes'!F45</f>
        <v>0</v>
      </c>
      <c r="G44">
        <f>'Pretax Fuel Prices'!G45+'Fuel Taxes'!G45</f>
        <v>0</v>
      </c>
      <c r="H44">
        <f>'Pretax Fuel Prices'!H45+'Fuel Taxes'!H45</f>
        <v>0</v>
      </c>
      <c r="I44">
        <f>'Pretax Fuel Prices'!I45+'Fuel Taxes'!I45</f>
        <v>0</v>
      </c>
      <c r="J44">
        <f>'Pretax Fuel Prices'!J45+'Fuel Taxes'!J45</f>
        <v>0</v>
      </c>
      <c r="K44">
        <f>'Pretax Fuel Prices'!K45+'Fuel Taxes'!K45</f>
        <v>0</v>
      </c>
      <c r="L44">
        <f>'Pretax Fuel Prices'!L45+'Fuel Taxes'!L45</f>
        <v>0</v>
      </c>
      <c r="M44">
        <f>'Pretax Fuel Prices'!M45+'Fuel Taxes'!M45</f>
        <v>0</v>
      </c>
      <c r="N44">
        <f>'Pretax Fuel Prices'!N45+'Fuel Taxes'!N45</f>
        <v>0</v>
      </c>
      <c r="O44">
        <f>'Pretax Fuel Prices'!O45+'Fuel Taxes'!O45</f>
        <v>0</v>
      </c>
      <c r="P44">
        <f>'Pretax Fuel Prices'!P45+'Fuel Taxes'!P45</f>
        <v>0</v>
      </c>
      <c r="Q44">
        <f>'Pretax Fuel Prices'!Q45+'Fuel Taxes'!Q45</f>
        <v>0</v>
      </c>
      <c r="R44">
        <f>'Pretax Fuel Prices'!R45+'Fuel Taxes'!R45</f>
        <v>0</v>
      </c>
      <c r="S44">
        <f>'Pretax Fuel Prices'!S45+'Fuel Taxes'!S45</f>
        <v>0</v>
      </c>
      <c r="T44">
        <f>'Pretax Fuel Prices'!T45+'Fuel Taxes'!T45</f>
        <v>0</v>
      </c>
      <c r="U44">
        <f>'Pretax Fuel Prices'!U45+'Fuel Taxes'!U45</f>
        <v>0</v>
      </c>
      <c r="V44">
        <f>'Pretax Fuel Prices'!V45+'Fuel Taxes'!V45</f>
        <v>0</v>
      </c>
      <c r="W44">
        <f>'Pretax Fuel Prices'!W45+'Fuel Taxes'!W45</f>
        <v>0</v>
      </c>
      <c r="X44">
        <f>'Pretax Fuel Prices'!X45+'Fuel Taxes'!X45</f>
        <v>0</v>
      </c>
      <c r="Y44">
        <f>'Pretax Fuel Prices'!Y45+'Fuel Taxes'!Y45</f>
        <v>0</v>
      </c>
      <c r="Z44">
        <f>'Pretax Fuel Prices'!Z45+'Fuel Taxes'!Z45</f>
        <v>0</v>
      </c>
      <c r="AA44">
        <f>'Pretax Fuel Prices'!AA45+'Fuel Taxes'!AA45</f>
        <v>0</v>
      </c>
      <c r="AB44">
        <f>'Pretax Fuel Prices'!AB45+'Fuel Taxes'!AB45</f>
        <v>0</v>
      </c>
      <c r="AC44">
        <f>'Pretax Fuel Prices'!AC45+'Fuel Taxes'!AC45</f>
        <v>0</v>
      </c>
      <c r="AD44">
        <f>'Pretax Fuel Prices'!AD45+'Fuel Taxes'!AD45</f>
        <v>0</v>
      </c>
      <c r="AE44">
        <f>'Pretax Fuel Prices'!AE45+'Fuel Taxes'!AE45</f>
        <v>0</v>
      </c>
      <c r="AF44">
        <f>'Pretax Fuel Prices'!AF45+'Fuel Taxes'!AF45</f>
        <v>0</v>
      </c>
      <c r="AG44">
        <f>'Pretax Fuel Prices'!AG45+'Fuel Taxes'!AG45</f>
        <v>0</v>
      </c>
      <c r="AH44">
        <f>'Pretax Fuel Prices'!AH45+'Fuel Taxes'!AH45</f>
        <v>0</v>
      </c>
      <c r="AI44">
        <f>'Pretax Fuel Prices'!AI45+'Fuel Taxes'!AI45</f>
        <v>0</v>
      </c>
      <c r="AJ44">
        <f>'Pretax Fuel Prices'!AJ45+'Fuel Taxes'!AJ45</f>
        <v>0</v>
      </c>
      <c r="AK44">
        <f>'Pretax Fuel Prices'!AK45+'Fuel Taxes'!AK45</f>
        <v>0</v>
      </c>
      <c r="AL44">
        <f>'Pretax Fuel Prices'!AL45+'Fuel Taxes'!AL45</f>
        <v>0</v>
      </c>
      <c r="AM44">
        <f>'Pretax Fuel Prices'!AM45+'Fuel Taxes'!AM45</f>
        <v>0</v>
      </c>
      <c r="AN44">
        <f>'Pretax Fuel Prices'!AN45+'Fuel Taxes'!AN45</f>
        <v>0</v>
      </c>
      <c r="AO44">
        <f>'Pretax Fuel Prices'!AO45+'Fuel Taxes'!AO45</f>
        <v>0</v>
      </c>
      <c r="AP44">
        <f>'Pretax Fuel Prices'!AP45+'Fuel Taxes'!AP45</f>
        <v>0</v>
      </c>
      <c r="AQ44">
        <f>'Pretax Fuel Prices'!AQ45+'Fuel Taxes'!AQ45</f>
        <v>0</v>
      </c>
      <c r="AR44">
        <f>'Pretax Fuel Prices'!AR45+'Fuel Taxes'!AR45</f>
        <v>0</v>
      </c>
      <c r="AS44">
        <f>'Pretax Fuel Prices'!AS45+'Fuel Taxes'!AS45</f>
        <v>0</v>
      </c>
      <c r="AT44">
        <f>'Pretax Fuel Prices'!AT45+'Fuel Taxes'!AT45</f>
        <v>0</v>
      </c>
      <c r="AU44">
        <f>'Pretax Fuel Prices'!AU45+'Fuel Taxes'!AU45</f>
        <v>0</v>
      </c>
      <c r="AV44">
        <f>'Pretax Fuel Prices'!AV45+'Fuel Taxes'!AV45</f>
        <v>0</v>
      </c>
      <c r="AW44">
        <f>'Pretax Fuel Prices'!AW45+'Fuel Taxes'!AW45</f>
        <v>0</v>
      </c>
      <c r="AX44">
        <f>'Pretax Fuel Prices'!AX45+'Fuel Taxes'!AX45</f>
        <v>0</v>
      </c>
      <c r="AY44">
        <f>'Pretax Fuel Prices'!AY45+'Fuel Taxes'!AY45</f>
        <v>0</v>
      </c>
      <c r="AZ44">
        <f>'Pretax Fuel Prices'!AZ45+'Fuel Taxes'!AZ45</f>
        <v>0</v>
      </c>
    </row>
    <row r="45" spans="1:52" x14ac:dyDescent="0.25">
      <c r="A45" t="s">
        <v>54</v>
      </c>
      <c r="B45">
        <f>'Pretax Fuel Prices'!B46+'Fuel Taxes'!B46</f>
        <v>0</v>
      </c>
      <c r="C45">
        <f>'Pretax Fuel Prices'!C46+'Fuel Taxes'!C46</f>
        <v>0</v>
      </c>
      <c r="D45">
        <f>'Pretax Fuel Prices'!D46+'Fuel Taxes'!D46</f>
        <v>0</v>
      </c>
      <c r="E45">
        <f>'Pretax Fuel Prices'!E46+'Fuel Taxes'!E46</f>
        <v>0</v>
      </c>
      <c r="F45">
        <f>'Pretax Fuel Prices'!F46+'Fuel Taxes'!F46</f>
        <v>0</v>
      </c>
      <c r="G45">
        <f>'Pretax Fuel Prices'!G46+'Fuel Taxes'!G46</f>
        <v>0</v>
      </c>
      <c r="H45">
        <f>'Pretax Fuel Prices'!H46+'Fuel Taxes'!H46</f>
        <v>0</v>
      </c>
      <c r="I45">
        <f>'Pretax Fuel Prices'!I46+'Fuel Taxes'!I46</f>
        <v>0</v>
      </c>
      <c r="J45">
        <f>'Pretax Fuel Prices'!J46+'Fuel Taxes'!J46</f>
        <v>0</v>
      </c>
      <c r="K45">
        <f>'Pretax Fuel Prices'!K46+'Fuel Taxes'!K46</f>
        <v>0</v>
      </c>
      <c r="L45">
        <f>'Pretax Fuel Prices'!L46+'Fuel Taxes'!L46</f>
        <v>0</v>
      </c>
      <c r="M45">
        <f>'Pretax Fuel Prices'!M46+'Fuel Taxes'!M46</f>
        <v>0</v>
      </c>
      <c r="N45">
        <f>'Pretax Fuel Prices'!N46+'Fuel Taxes'!N46</f>
        <v>0</v>
      </c>
      <c r="O45">
        <f>'Pretax Fuel Prices'!O46+'Fuel Taxes'!O46</f>
        <v>0</v>
      </c>
      <c r="P45">
        <f>'Pretax Fuel Prices'!P46+'Fuel Taxes'!P46</f>
        <v>0</v>
      </c>
      <c r="Q45">
        <f>'Pretax Fuel Prices'!Q46+'Fuel Taxes'!Q46</f>
        <v>0</v>
      </c>
      <c r="R45">
        <f>'Pretax Fuel Prices'!R46+'Fuel Taxes'!R46</f>
        <v>0</v>
      </c>
      <c r="S45">
        <f>'Pretax Fuel Prices'!S46+'Fuel Taxes'!S46</f>
        <v>0</v>
      </c>
      <c r="T45">
        <f>'Pretax Fuel Prices'!T46+'Fuel Taxes'!T46</f>
        <v>0</v>
      </c>
      <c r="U45">
        <f>'Pretax Fuel Prices'!U46+'Fuel Taxes'!U46</f>
        <v>0</v>
      </c>
      <c r="V45">
        <f>'Pretax Fuel Prices'!V46+'Fuel Taxes'!V46</f>
        <v>0</v>
      </c>
      <c r="W45">
        <f>'Pretax Fuel Prices'!W46+'Fuel Taxes'!W46</f>
        <v>0</v>
      </c>
      <c r="X45">
        <f>'Pretax Fuel Prices'!X46+'Fuel Taxes'!X46</f>
        <v>0</v>
      </c>
      <c r="Y45">
        <f>'Pretax Fuel Prices'!Y46+'Fuel Taxes'!Y46</f>
        <v>0</v>
      </c>
      <c r="Z45">
        <f>'Pretax Fuel Prices'!Z46+'Fuel Taxes'!Z46</f>
        <v>0</v>
      </c>
      <c r="AA45">
        <f>'Pretax Fuel Prices'!AA46+'Fuel Taxes'!AA46</f>
        <v>0</v>
      </c>
      <c r="AB45">
        <f>'Pretax Fuel Prices'!AB46+'Fuel Taxes'!AB46</f>
        <v>0</v>
      </c>
      <c r="AC45">
        <f>'Pretax Fuel Prices'!AC46+'Fuel Taxes'!AC46</f>
        <v>0</v>
      </c>
      <c r="AD45">
        <f>'Pretax Fuel Prices'!AD46+'Fuel Taxes'!AD46</f>
        <v>0</v>
      </c>
      <c r="AE45">
        <f>'Pretax Fuel Prices'!AE46+'Fuel Taxes'!AE46</f>
        <v>0</v>
      </c>
      <c r="AF45">
        <f>'Pretax Fuel Prices'!AF46+'Fuel Taxes'!AF46</f>
        <v>0</v>
      </c>
      <c r="AG45">
        <f>'Pretax Fuel Prices'!AG46+'Fuel Taxes'!AG46</f>
        <v>0</v>
      </c>
      <c r="AH45">
        <f>'Pretax Fuel Prices'!AH46+'Fuel Taxes'!AH46</f>
        <v>0</v>
      </c>
      <c r="AI45">
        <f>'Pretax Fuel Prices'!AI46+'Fuel Taxes'!AI46</f>
        <v>0</v>
      </c>
      <c r="AJ45">
        <f>'Pretax Fuel Prices'!AJ46+'Fuel Taxes'!AJ46</f>
        <v>0</v>
      </c>
      <c r="AK45">
        <f>'Pretax Fuel Prices'!AK46+'Fuel Taxes'!AK46</f>
        <v>0</v>
      </c>
      <c r="AL45">
        <f>'Pretax Fuel Prices'!AL46+'Fuel Taxes'!AL46</f>
        <v>0</v>
      </c>
      <c r="AM45">
        <f>'Pretax Fuel Prices'!AM46+'Fuel Taxes'!AM46</f>
        <v>0</v>
      </c>
      <c r="AN45">
        <f>'Pretax Fuel Prices'!AN46+'Fuel Taxes'!AN46</f>
        <v>0</v>
      </c>
      <c r="AO45">
        <f>'Pretax Fuel Prices'!AO46+'Fuel Taxes'!AO46</f>
        <v>0</v>
      </c>
      <c r="AP45">
        <f>'Pretax Fuel Prices'!AP46+'Fuel Taxes'!AP46</f>
        <v>0</v>
      </c>
      <c r="AQ45">
        <f>'Pretax Fuel Prices'!AQ46+'Fuel Taxes'!AQ46</f>
        <v>0</v>
      </c>
      <c r="AR45">
        <f>'Pretax Fuel Prices'!AR46+'Fuel Taxes'!AR46</f>
        <v>0</v>
      </c>
      <c r="AS45">
        <f>'Pretax Fuel Prices'!AS46+'Fuel Taxes'!AS46</f>
        <v>0</v>
      </c>
      <c r="AT45">
        <f>'Pretax Fuel Prices'!AT46+'Fuel Taxes'!AT46</f>
        <v>0</v>
      </c>
      <c r="AU45">
        <f>'Pretax Fuel Prices'!AU46+'Fuel Taxes'!AU46</f>
        <v>0</v>
      </c>
      <c r="AV45">
        <f>'Pretax Fuel Prices'!AV46+'Fuel Taxes'!AV46</f>
        <v>0</v>
      </c>
      <c r="AW45">
        <f>'Pretax Fuel Prices'!AW46+'Fuel Taxes'!AW46</f>
        <v>0</v>
      </c>
      <c r="AX45">
        <f>'Pretax Fuel Prices'!AX46+'Fuel Taxes'!AX46</f>
        <v>0</v>
      </c>
      <c r="AY45">
        <f>'Pretax Fuel Prices'!AY46+'Fuel Taxes'!AY46</f>
        <v>0</v>
      </c>
      <c r="AZ45">
        <f>'Pretax Fuel Prices'!AZ46+'Fuel Taxes'!AZ46</f>
        <v>0</v>
      </c>
    </row>
    <row r="46" spans="1:52" x14ac:dyDescent="0.25">
      <c r="A46" t="s">
        <v>55</v>
      </c>
      <c r="B46">
        <f>'Pretax Fuel Prices'!B47+'Fuel Taxes'!B47</f>
        <v>0</v>
      </c>
      <c r="C46">
        <f>'Pretax Fuel Prices'!C47+'Fuel Taxes'!C47</f>
        <v>0</v>
      </c>
      <c r="D46">
        <f>'Pretax Fuel Prices'!D47+'Fuel Taxes'!D47</f>
        <v>0</v>
      </c>
      <c r="E46">
        <f>'Pretax Fuel Prices'!E47+'Fuel Taxes'!E47</f>
        <v>0</v>
      </c>
      <c r="F46">
        <f>'Pretax Fuel Prices'!F47+'Fuel Taxes'!F47</f>
        <v>0</v>
      </c>
      <c r="G46">
        <f>'Pretax Fuel Prices'!G47+'Fuel Taxes'!G47</f>
        <v>0</v>
      </c>
      <c r="H46">
        <f>'Pretax Fuel Prices'!H47+'Fuel Taxes'!H47</f>
        <v>0</v>
      </c>
      <c r="I46">
        <f>'Pretax Fuel Prices'!I47+'Fuel Taxes'!I47</f>
        <v>0</v>
      </c>
      <c r="J46">
        <f>'Pretax Fuel Prices'!J47+'Fuel Taxes'!J47</f>
        <v>0</v>
      </c>
      <c r="K46">
        <f>'Pretax Fuel Prices'!K47+'Fuel Taxes'!K47</f>
        <v>0</v>
      </c>
      <c r="L46">
        <f>'Pretax Fuel Prices'!L47+'Fuel Taxes'!L47</f>
        <v>0</v>
      </c>
      <c r="M46">
        <f>'Pretax Fuel Prices'!M47+'Fuel Taxes'!M47</f>
        <v>0</v>
      </c>
      <c r="N46">
        <f>'Pretax Fuel Prices'!N47+'Fuel Taxes'!N47</f>
        <v>0</v>
      </c>
      <c r="O46">
        <f>'Pretax Fuel Prices'!O47+'Fuel Taxes'!O47</f>
        <v>0</v>
      </c>
      <c r="P46">
        <f>'Pretax Fuel Prices'!P47+'Fuel Taxes'!P47</f>
        <v>0</v>
      </c>
      <c r="Q46">
        <f>'Pretax Fuel Prices'!Q47+'Fuel Taxes'!Q47</f>
        <v>0</v>
      </c>
      <c r="R46">
        <f>'Pretax Fuel Prices'!R47+'Fuel Taxes'!R47</f>
        <v>0</v>
      </c>
      <c r="S46">
        <f>'Pretax Fuel Prices'!S47+'Fuel Taxes'!S47</f>
        <v>0</v>
      </c>
      <c r="T46">
        <f>'Pretax Fuel Prices'!T47+'Fuel Taxes'!T47</f>
        <v>0</v>
      </c>
      <c r="U46">
        <f>'Pretax Fuel Prices'!U47+'Fuel Taxes'!U47</f>
        <v>0</v>
      </c>
      <c r="V46">
        <f>'Pretax Fuel Prices'!V47+'Fuel Taxes'!V47</f>
        <v>0</v>
      </c>
      <c r="W46">
        <f>'Pretax Fuel Prices'!W47+'Fuel Taxes'!W47</f>
        <v>0</v>
      </c>
      <c r="X46">
        <f>'Pretax Fuel Prices'!X47+'Fuel Taxes'!X47</f>
        <v>0</v>
      </c>
      <c r="Y46">
        <f>'Pretax Fuel Prices'!Y47+'Fuel Taxes'!Y47</f>
        <v>0</v>
      </c>
      <c r="Z46">
        <f>'Pretax Fuel Prices'!Z47+'Fuel Taxes'!Z47</f>
        <v>0</v>
      </c>
      <c r="AA46">
        <f>'Pretax Fuel Prices'!AA47+'Fuel Taxes'!AA47</f>
        <v>0</v>
      </c>
      <c r="AB46">
        <f>'Pretax Fuel Prices'!AB47+'Fuel Taxes'!AB47</f>
        <v>0</v>
      </c>
      <c r="AC46">
        <f>'Pretax Fuel Prices'!AC47+'Fuel Taxes'!AC47</f>
        <v>0</v>
      </c>
      <c r="AD46">
        <f>'Pretax Fuel Prices'!AD47+'Fuel Taxes'!AD47</f>
        <v>0</v>
      </c>
      <c r="AE46">
        <f>'Pretax Fuel Prices'!AE47+'Fuel Taxes'!AE47</f>
        <v>0</v>
      </c>
      <c r="AF46">
        <f>'Pretax Fuel Prices'!AF47+'Fuel Taxes'!AF47</f>
        <v>0</v>
      </c>
      <c r="AG46">
        <f>'Pretax Fuel Prices'!AG47+'Fuel Taxes'!AG47</f>
        <v>0</v>
      </c>
      <c r="AH46">
        <f>'Pretax Fuel Prices'!AH47+'Fuel Taxes'!AH47</f>
        <v>0</v>
      </c>
      <c r="AI46">
        <f>'Pretax Fuel Prices'!AI47+'Fuel Taxes'!AI47</f>
        <v>0</v>
      </c>
      <c r="AJ46">
        <f>'Pretax Fuel Prices'!AJ47+'Fuel Taxes'!AJ47</f>
        <v>0</v>
      </c>
      <c r="AK46">
        <f>'Pretax Fuel Prices'!AK47+'Fuel Taxes'!AK47</f>
        <v>0</v>
      </c>
      <c r="AL46">
        <f>'Pretax Fuel Prices'!AL47+'Fuel Taxes'!AL47</f>
        <v>0</v>
      </c>
      <c r="AM46">
        <f>'Pretax Fuel Prices'!AM47+'Fuel Taxes'!AM47</f>
        <v>0</v>
      </c>
      <c r="AN46">
        <f>'Pretax Fuel Prices'!AN47+'Fuel Taxes'!AN47</f>
        <v>0</v>
      </c>
      <c r="AO46">
        <f>'Pretax Fuel Prices'!AO47+'Fuel Taxes'!AO47</f>
        <v>0</v>
      </c>
      <c r="AP46">
        <f>'Pretax Fuel Prices'!AP47+'Fuel Taxes'!AP47</f>
        <v>0</v>
      </c>
      <c r="AQ46">
        <f>'Pretax Fuel Prices'!AQ47+'Fuel Taxes'!AQ47</f>
        <v>0</v>
      </c>
      <c r="AR46">
        <f>'Pretax Fuel Prices'!AR47+'Fuel Taxes'!AR47</f>
        <v>0</v>
      </c>
      <c r="AS46">
        <f>'Pretax Fuel Prices'!AS47+'Fuel Taxes'!AS47</f>
        <v>0</v>
      </c>
      <c r="AT46">
        <f>'Pretax Fuel Prices'!AT47+'Fuel Taxes'!AT47</f>
        <v>0</v>
      </c>
      <c r="AU46">
        <f>'Pretax Fuel Prices'!AU47+'Fuel Taxes'!AU47</f>
        <v>0</v>
      </c>
      <c r="AV46">
        <f>'Pretax Fuel Prices'!AV47+'Fuel Taxes'!AV47</f>
        <v>0</v>
      </c>
      <c r="AW46">
        <f>'Pretax Fuel Prices'!AW47+'Fuel Taxes'!AW47</f>
        <v>0</v>
      </c>
      <c r="AX46">
        <f>'Pretax Fuel Prices'!AX47+'Fuel Taxes'!AX47</f>
        <v>0</v>
      </c>
      <c r="AY46">
        <f>'Pretax Fuel Prices'!AY47+'Fuel Taxes'!AY47</f>
        <v>0</v>
      </c>
      <c r="AZ46">
        <f>'Pretax Fuel Prices'!AZ47+'Fuel Taxes'!AZ47</f>
        <v>0</v>
      </c>
    </row>
    <row r="47" spans="1:52" x14ac:dyDescent="0.25">
      <c r="A47" t="s">
        <v>56</v>
      </c>
      <c r="B47">
        <f>'Pretax Fuel Prices'!B48+'Fuel Taxes'!B48</f>
        <v>0</v>
      </c>
      <c r="C47">
        <f>'Pretax Fuel Prices'!C48+'Fuel Taxes'!C48</f>
        <v>0</v>
      </c>
      <c r="D47">
        <f>'Pretax Fuel Prices'!D48+'Fuel Taxes'!D48</f>
        <v>0</v>
      </c>
      <c r="E47">
        <f>'Pretax Fuel Prices'!E48+'Fuel Taxes'!E48</f>
        <v>0</v>
      </c>
      <c r="F47">
        <f>'Pretax Fuel Prices'!F48+'Fuel Taxes'!F48</f>
        <v>0</v>
      </c>
      <c r="G47">
        <f>'Pretax Fuel Prices'!G48+'Fuel Taxes'!G48</f>
        <v>0</v>
      </c>
      <c r="H47">
        <f>'Pretax Fuel Prices'!H48+'Fuel Taxes'!H48</f>
        <v>0</v>
      </c>
      <c r="I47">
        <f>'Pretax Fuel Prices'!I48+'Fuel Taxes'!I48</f>
        <v>0</v>
      </c>
      <c r="J47">
        <f>'Pretax Fuel Prices'!J48+'Fuel Taxes'!J48</f>
        <v>0</v>
      </c>
      <c r="K47">
        <f>'Pretax Fuel Prices'!K48+'Fuel Taxes'!K48</f>
        <v>0</v>
      </c>
      <c r="L47">
        <f>'Pretax Fuel Prices'!L48+'Fuel Taxes'!L48</f>
        <v>0</v>
      </c>
      <c r="M47">
        <f>'Pretax Fuel Prices'!M48+'Fuel Taxes'!M48</f>
        <v>0</v>
      </c>
      <c r="N47">
        <f>'Pretax Fuel Prices'!N48+'Fuel Taxes'!N48</f>
        <v>0</v>
      </c>
      <c r="O47">
        <f>'Pretax Fuel Prices'!O48+'Fuel Taxes'!O48</f>
        <v>0</v>
      </c>
      <c r="P47">
        <f>'Pretax Fuel Prices'!P48+'Fuel Taxes'!P48</f>
        <v>0</v>
      </c>
      <c r="Q47">
        <f>'Pretax Fuel Prices'!Q48+'Fuel Taxes'!Q48</f>
        <v>0</v>
      </c>
      <c r="R47">
        <f>'Pretax Fuel Prices'!R48+'Fuel Taxes'!R48</f>
        <v>0</v>
      </c>
      <c r="S47">
        <f>'Pretax Fuel Prices'!S48+'Fuel Taxes'!S48</f>
        <v>0</v>
      </c>
      <c r="T47">
        <f>'Pretax Fuel Prices'!T48+'Fuel Taxes'!T48</f>
        <v>0</v>
      </c>
      <c r="U47">
        <f>'Pretax Fuel Prices'!U48+'Fuel Taxes'!U48</f>
        <v>0</v>
      </c>
      <c r="V47">
        <f>'Pretax Fuel Prices'!V48+'Fuel Taxes'!V48</f>
        <v>0</v>
      </c>
      <c r="W47">
        <f>'Pretax Fuel Prices'!W48+'Fuel Taxes'!W48</f>
        <v>0</v>
      </c>
      <c r="X47">
        <f>'Pretax Fuel Prices'!X48+'Fuel Taxes'!X48</f>
        <v>0</v>
      </c>
      <c r="Y47">
        <f>'Pretax Fuel Prices'!Y48+'Fuel Taxes'!Y48</f>
        <v>0</v>
      </c>
      <c r="Z47">
        <f>'Pretax Fuel Prices'!Z48+'Fuel Taxes'!Z48</f>
        <v>0</v>
      </c>
      <c r="AA47">
        <f>'Pretax Fuel Prices'!AA48+'Fuel Taxes'!AA48</f>
        <v>0</v>
      </c>
      <c r="AB47">
        <f>'Pretax Fuel Prices'!AB48+'Fuel Taxes'!AB48</f>
        <v>0</v>
      </c>
      <c r="AC47">
        <f>'Pretax Fuel Prices'!AC48+'Fuel Taxes'!AC48</f>
        <v>0</v>
      </c>
      <c r="AD47">
        <f>'Pretax Fuel Prices'!AD48+'Fuel Taxes'!AD48</f>
        <v>0</v>
      </c>
      <c r="AE47">
        <f>'Pretax Fuel Prices'!AE48+'Fuel Taxes'!AE48</f>
        <v>0</v>
      </c>
      <c r="AF47">
        <f>'Pretax Fuel Prices'!AF48+'Fuel Taxes'!AF48</f>
        <v>0</v>
      </c>
      <c r="AG47">
        <f>'Pretax Fuel Prices'!AG48+'Fuel Taxes'!AG48</f>
        <v>0</v>
      </c>
      <c r="AH47">
        <f>'Pretax Fuel Prices'!AH48+'Fuel Taxes'!AH48</f>
        <v>0</v>
      </c>
      <c r="AI47">
        <f>'Pretax Fuel Prices'!AI48+'Fuel Taxes'!AI48</f>
        <v>0</v>
      </c>
      <c r="AJ47">
        <f>'Pretax Fuel Prices'!AJ48+'Fuel Taxes'!AJ48</f>
        <v>0</v>
      </c>
      <c r="AK47">
        <f>'Pretax Fuel Prices'!AK48+'Fuel Taxes'!AK48</f>
        <v>0</v>
      </c>
      <c r="AL47">
        <f>'Pretax Fuel Prices'!AL48+'Fuel Taxes'!AL48</f>
        <v>0</v>
      </c>
      <c r="AM47">
        <f>'Pretax Fuel Prices'!AM48+'Fuel Taxes'!AM48</f>
        <v>0</v>
      </c>
      <c r="AN47">
        <f>'Pretax Fuel Prices'!AN48+'Fuel Taxes'!AN48</f>
        <v>0</v>
      </c>
      <c r="AO47">
        <f>'Pretax Fuel Prices'!AO48+'Fuel Taxes'!AO48</f>
        <v>0</v>
      </c>
      <c r="AP47">
        <f>'Pretax Fuel Prices'!AP48+'Fuel Taxes'!AP48</f>
        <v>0</v>
      </c>
      <c r="AQ47">
        <f>'Pretax Fuel Prices'!AQ48+'Fuel Taxes'!AQ48</f>
        <v>0</v>
      </c>
      <c r="AR47">
        <f>'Pretax Fuel Prices'!AR48+'Fuel Taxes'!AR48</f>
        <v>0</v>
      </c>
      <c r="AS47">
        <f>'Pretax Fuel Prices'!AS48+'Fuel Taxes'!AS48</f>
        <v>0</v>
      </c>
      <c r="AT47">
        <f>'Pretax Fuel Prices'!AT48+'Fuel Taxes'!AT48</f>
        <v>0</v>
      </c>
      <c r="AU47">
        <f>'Pretax Fuel Prices'!AU48+'Fuel Taxes'!AU48</f>
        <v>0</v>
      </c>
      <c r="AV47">
        <f>'Pretax Fuel Prices'!AV48+'Fuel Taxes'!AV48</f>
        <v>0</v>
      </c>
      <c r="AW47">
        <f>'Pretax Fuel Prices'!AW48+'Fuel Taxes'!AW48</f>
        <v>0</v>
      </c>
      <c r="AX47">
        <f>'Pretax Fuel Prices'!AX48+'Fuel Taxes'!AX48</f>
        <v>0</v>
      </c>
      <c r="AY47">
        <f>'Pretax Fuel Prices'!AY48+'Fuel Taxes'!AY48</f>
        <v>0</v>
      </c>
      <c r="AZ47">
        <f>'Pretax Fuel Prices'!AZ48+'Fuel Taxes'!AZ48</f>
        <v>0</v>
      </c>
    </row>
    <row r="48" spans="1:52" x14ac:dyDescent="0.25">
      <c r="A48" t="s">
        <v>57</v>
      </c>
      <c r="B48">
        <f>'Pretax Fuel Prices'!B49+'Fuel Taxes'!B49</f>
        <v>0</v>
      </c>
      <c r="C48">
        <f>'Pretax Fuel Prices'!C49+'Fuel Taxes'!C49</f>
        <v>0</v>
      </c>
      <c r="D48">
        <f>'Pretax Fuel Prices'!D49+'Fuel Taxes'!D49</f>
        <v>0</v>
      </c>
      <c r="E48">
        <f>'Pretax Fuel Prices'!E49+'Fuel Taxes'!E49</f>
        <v>0</v>
      </c>
      <c r="F48">
        <f>'Pretax Fuel Prices'!F49+'Fuel Taxes'!F49</f>
        <v>0</v>
      </c>
      <c r="G48">
        <f>'Pretax Fuel Prices'!G49+'Fuel Taxes'!G49</f>
        <v>0</v>
      </c>
      <c r="H48">
        <f>'Pretax Fuel Prices'!H49+'Fuel Taxes'!H49</f>
        <v>0</v>
      </c>
      <c r="I48">
        <f>'Pretax Fuel Prices'!I49+'Fuel Taxes'!I49</f>
        <v>0</v>
      </c>
      <c r="J48">
        <f>'Pretax Fuel Prices'!J49+'Fuel Taxes'!J49</f>
        <v>0</v>
      </c>
      <c r="K48">
        <f>'Pretax Fuel Prices'!K49+'Fuel Taxes'!K49</f>
        <v>0</v>
      </c>
      <c r="L48">
        <f>'Pretax Fuel Prices'!L49+'Fuel Taxes'!L49</f>
        <v>0</v>
      </c>
      <c r="M48">
        <f>'Pretax Fuel Prices'!M49+'Fuel Taxes'!M49</f>
        <v>0</v>
      </c>
      <c r="N48">
        <f>'Pretax Fuel Prices'!N49+'Fuel Taxes'!N49</f>
        <v>0</v>
      </c>
      <c r="O48">
        <f>'Pretax Fuel Prices'!O49+'Fuel Taxes'!O49</f>
        <v>0</v>
      </c>
      <c r="P48">
        <f>'Pretax Fuel Prices'!P49+'Fuel Taxes'!P49</f>
        <v>0</v>
      </c>
      <c r="Q48">
        <f>'Pretax Fuel Prices'!Q49+'Fuel Taxes'!Q49</f>
        <v>0</v>
      </c>
      <c r="R48">
        <f>'Pretax Fuel Prices'!R49+'Fuel Taxes'!R49</f>
        <v>0</v>
      </c>
      <c r="S48">
        <f>'Pretax Fuel Prices'!S49+'Fuel Taxes'!S49</f>
        <v>0</v>
      </c>
      <c r="T48">
        <f>'Pretax Fuel Prices'!T49+'Fuel Taxes'!T49</f>
        <v>0</v>
      </c>
      <c r="U48">
        <f>'Pretax Fuel Prices'!U49+'Fuel Taxes'!U49</f>
        <v>0</v>
      </c>
      <c r="V48">
        <f>'Pretax Fuel Prices'!V49+'Fuel Taxes'!V49</f>
        <v>0</v>
      </c>
      <c r="W48">
        <f>'Pretax Fuel Prices'!W49+'Fuel Taxes'!W49</f>
        <v>0</v>
      </c>
      <c r="X48">
        <f>'Pretax Fuel Prices'!X49+'Fuel Taxes'!X49</f>
        <v>0</v>
      </c>
      <c r="Y48">
        <f>'Pretax Fuel Prices'!Y49+'Fuel Taxes'!Y49</f>
        <v>0</v>
      </c>
      <c r="Z48">
        <f>'Pretax Fuel Prices'!Z49+'Fuel Taxes'!Z49</f>
        <v>0</v>
      </c>
      <c r="AA48">
        <f>'Pretax Fuel Prices'!AA49+'Fuel Taxes'!AA49</f>
        <v>0</v>
      </c>
      <c r="AB48">
        <f>'Pretax Fuel Prices'!AB49+'Fuel Taxes'!AB49</f>
        <v>0</v>
      </c>
      <c r="AC48">
        <f>'Pretax Fuel Prices'!AC49+'Fuel Taxes'!AC49</f>
        <v>0</v>
      </c>
      <c r="AD48">
        <f>'Pretax Fuel Prices'!AD49+'Fuel Taxes'!AD49</f>
        <v>0</v>
      </c>
      <c r="AE48">
        <f>'Pretax Fuel Prices'!AE49+'Fuel Taxes'!AE49</f>
        <v>0</v>
      </c>
      <c r="AF48">
        <f>'Pretax Fuel Prices'!AF49+'Fuel Taxes'!AF49</f>
        <v>0</v>
      </c>
      <c r="AG48">
        <f>'Pretax Fuel Prices'!AG49+'Fuel Taxes'!AG49</f>
        <v>0</v>
      </c>
      <c r="AH48">
        <f>'Pretax Fuel Prices'!AH49+'Fuel Taxes'!AH49</f>
        <v>0</v>
      </c>
      <c r="AI48">
        <f>'Pretax Fuel Prices'!AI49+'Fuel Taxes'!AI49</f>
        <v>0</v>
      </c>
      <c r="AJ48">
        <f>'Pretax Fuel Prices'!AJ49+'Fuel Taxes'!AJ49</f>
        <v>0</v>
      </c>
      <c r="AK48">
        <f>'Pretax Fuel Prices'!AK49+'Fuel Taxes'!AK49</f>
        <v>0</v>
      </c>
      <c r="AL48">
        <f>'Pretax Fuel Prices'!AL49+'Fuel Taxes'!AL49</f>
        <v>0</v>
      </c>
      <c r="AM48">
        <f>'Pretax Fuel Prices'!AM49+'Fuel Taxes'!AM49</f>
        <v>0</v>
      </c>
      <c r="AN48">
        <f>'Pretax Fuel Prices'!AN49+'Fuel Taxes'!AN49</f>
        <v>0</v>
      </c>
      <c r="AO48">
        <f>'Pretax Fuel Prices'!AO49+'Fuel Taxes'!AO49</f>
        <v>0</v>
      </c>
      <c r="AP48">
        <f>'Pretax Fuel Prices'!AP49+'Fuel Taxes'!AP49</f>
        <v>0</v>
      </c>
      <c r="AQ48">
        <f>'Pretax Fuel Prices'!AQ49+'Fuel Taxes'!AQ49</f>
        <v>0</v>
      </c>
      <c r="AR48">
        <f>'Pretax Fuel Prices'!AR49+'Fuel Taxes'!AR49</f>
        <v>0</v>
      </c>
      <c r="AS48">
        <f>'Pretax Fuel Prices'!AS49+'Fuel Taxes'!AS49</f>
        <v>0</v>
      </c>
      <c r="AT48">
        <f>'Pretax Fuel Prices'!AT49+'Fuel Taxes'!AT49</f>
        <v>0</v>
      </c>
      <c r="AU48">
        <f>'Pretax Fuel Prices'!AU49+'Fuel Taxes'!AU49</f>
        <v>0</v>
      </c>
      <c r="AV48">
        <f>'Pretax Fuel Prices'!AV49+'Fuel Taxes'!AV49</f>
        <v>0</v>
      </c>
      <c r="AW48">
        <f>'Pretax Fuel Prices'!AW49+'Fuel Taxes'!AW49</f>
        <v>0</v>
      </c>
      <c r="AX48">
        <f>'Pretax Fuel Prices'!AX49+'Fuel Taxes'!AX49</f>
        <v>0</v>
      </c>
      <c r="AY48">
        <f>'Pretax Fuel Prices'!AY49+'Fuel Taxes'!AY49</f>
        <v>0</v>
      </c>
      <c r="AZ48">
        <f>'Pretax Fuel Prices'!AZ49+'Fuel Taxes'!AZ49</f>
        <v>0</v>
      </c>
    </row>
    <row r="49" spans="1:52" x14ac:dyDescent="0.25">
      <c r="A49" t="s">
        <v>58</v>
      </c>
      <c r="B49">
        <f>'Pretax Fuel Prices'!B50+'Fuel Taxes'!B50</f>
        <v>0</v>
      </c>
      <c r="C49">
        <f>'Pretax Fuel Prices'!C50+'Fuel Taxes'!C50</f>
        <v>0</v>
      </c>
      <c r="D49">
        <f>'Pretax Fuel Prices'!D50+'Fuel Taxes'!D50</f>
        <v>0</v>
      </c>
      <c r="E49">
        <f>'Pretax Fuel Prices'!E50+'Fuel Taxes'!E50</f>
        <v>0</v>
      </c>
      <c r="F49">
        <f>'Pretax Fuel Prices'!F50+'Fuel Taxes'!F50</f>
        <v>0</v>
      </c>
      <c r="G49">
        <f>'Pretax Fuel Prices'!G50+'Fuel Taxes'!G50</f>
        <v>0</v>
      </c>
      <c r="H49">
        <f>'Pretax Fuel Prices'!H50+'Fuel Taxes'!H50</f>
        <v>0</v>
      </c>
      <c r="I49">
        <f>'Pretax Fuel Prices'!I50+'Fuel Taxes'!I50</f>
        <v>0</v>
      </c>
      <c r="J49">
        <f>'Pretax Fuel Prices'!J50+'Fuel Taxes'!J50</f>
        <v>0</v>
      </c>
      <c r="K49">
        <f>'Pretax Fuel Prices'!K50+'Fuel Taxes'!K50</f>
        <v>0</v>
      </c>
      <c r="L49">
        <f>'Pretax Fuel Prices'!L50+'Fuel Taxes'!L50</f>
        <v>0</v>
      </c>
      <c r="M49">
        <f>'Pretax Fuel Prices'!M50+'Fuel Taxes'!M50</f>
        <v>0</v>
      </c>
      <c r="N49">
        <f>'Pretax Fuel Prices'!N50+'Fuel Taxes'!N50</f>
        <v>0</v>
      </c>
      <c r="O49">
        <f>'Pretax Fuel Prices'!O50+'Fuel Taxes'!O50</f>
        <v>0</v>
      </c>
      <c r="P49">
        <f>'Pretax Fuel Prices'!P50+'Fuel Taxes'!P50</f>
        <v>0</v>
      </c>
      <c r="Q49">
        <f>'Pretax Fuel Prices'!Q50+'Fuel Taxes'!Q50</f>
        <v>0</v>
      </c>
      <c r="R49">
        <f>'Pretax Fuel Prices'!R50+'Fuel Taxes'!R50</f>
        <v>0</v>
      </c>
      <c r="S49">
        <f>'Pretax Fuel Prices'!S50+'Fuel Taxes'!S50</f>
        <v>0</v>
      </c>
      <c r="T49">
        <f>'Pretax Fuel Prices'!T50+'Fuel Taxes'!T50</f>
        <v>0</v>
      </c>
      <c r="U49">
        <f>'Pretax Fuel Prices'!U50+'Fuel Taxes'!U50</f>
        <v>0</v>
      </c>
      <c r="V49">
        <f>'Pretax Fuel Prices'!V50+'Fuel Taxes'!V50</f>
        <v>0</v>
      </c>
      <c r="W49">
        <f>'Pretax Fuel Prices'!W50+'Fuel Taxes'!W50</f>
        <v>0</v>
      </c>
      <c r="X49">
        <f>'Pretax Fuel Prices'!X50+'Fuel Taxes'!X50</f>
        <v>0</v>
      </c>
      <c r="Y49">
        <f>'Pretax Fuel Prices'!Y50+'Fuel Taxes'!Y50</f>
        <v>0</v>
      </c>
      <c r="Z49">
        <f>'Pretax Fuel Prices'!Z50+'Fuel Taxes'!Z50</f>
        <v>0</v>
      </c>
      <c r="AA49">
        <f>'Pretax Fuel Prices'!AA50+'Fuel Taxes'!AA50</f>
        <v>0</v>
      </c>
      <c r="AB49">
        <f>'Pretax Fuel Prices'!AB50+'Fuel Taxes'!AB50</f>
        <v>0</v>
      </c>
      <c r="AC49">
        <f>'Pretax Fuel Prices'!AC50+'Fuel Taxes'!AC50</f>
        <v>0</v>
      </c>
      <c r="AD49">
        <f>'Pretax Fuel Prices'!AD50+'Fuel Taxes'!AD50</f>
        <v>0</v>
      </c>
      <c r="AE49">
        <f>'Pretax Fuel Prices'!AE50+'Fuel Taxes'!AE50</f>
        <v>0</v>
      </c>
      <c r="AF49">
        <f>'Pretax Fuel Prices'!AF50+'Fuel Taxes'!AF50</f>
        <v>0</v>
      </c>
      <c r="AG49">
        <f>'Pretax Fuel Prices'!AG50+'Fuel Taxes'!AG50</f>
        <v>0</v>
      </c>
      <c r="AH49">
        <f>'Pretax Fuel Prices'!AH50+'Fuel Taxes'!AH50</f>
        <v>0</v>
      </c>
      <c r="AI49">
        <f>'Pretax Fuel Prices'!AI50+'Fuel Taxes'!AI50</f>
        <v>0</v>
      </c>
      <c r="AJ49">
        <f>'Pretax Fuel Prices'!AJ50+'Fuel Taxes'!AJ50</f>
        <v>0</v>
      </c>
      <c r="AK49">
        <f>'Pretax Fuel Prices'!AK50+'Fuel Taxes'!AK50</f>
        <v>0</v>
      </c>
      <c r="AL49">
        <f>'Pretax Fuel Prices'!AL50+'Fuel Taxes'!AL50</f>
        <v>0</v>
      </c>
      <c r="AM49">
        <f>'Pretax Fuel Prices'!AM50+'Fuel Taxes'!AM50</f>
        <v>0</v>
      </c>
      <c r="AN49">
        <f>'Pretax Fuel Prices'!AN50+'Fuel Taxes'!AN50</f>
        <v>0</v>
      </c>
      <c r="AO49">
        <f>'Pretax Fuel Prices'!AO50+'Fuel Taxes'!AO50</f>
        <v>0</v>
      </c>
      <c r="AP49">
        <f>'Pretax Fuel Prices'!AP50+'Fuel Taxes'!AP50</f>
        <v>0</v>
      </c>
      <c r="AQ49">
        <f>'Pretax Fuel Prices'!AQ50+'Fuel Taxes'!AQ50</f>
        <v>0</v>
      </c>
      <c r="AR49">
        <f>'Pretax Fuel Prices'!AR50+'Fuel Taxes'!AR50</f>
        <v>0</v>
      </c>
      <c r="AS49">
        <f>'Pretax Fuel Prices'!AS50+'Fuel Taxes'!AS50</f>
        <v>0</v>
      </c>
      <c r="AT49">
        <f>'Pretax Fuel Prices'!AT50+'Fuel Taxes'!AT50</f>
        <v>0</v>
      </c>
      <c r="AU49">
        <f>'Pretax Fuel Prices'!AU50+'Fuel Taxes'!AU50</f>
        <v>0</v>
      </c>
      <c r="AV49">
        <f>'Pretax Fuel Prices'!AV50+'Fuel Taxes'!AV50</f>
        <v>0</v>
      </c>
      <c r="AW49">
        <f>'Pretax Fuel Prices'!AW50+'Fuel Taxes'!AW50</f>
        <v>0</v>
      </c>
      <c r="AX49">
        <f>'Pretax Fuel Prices'!AX50+'Fuel Taxes'!AX50</f>
        <v>0</v>
      </c>
      <c r="AY49">
        <f>'Pretax Fuel Prices'!AY50+'Fuel Taxes'!AY50</f>
        <v>0</v>
      </c>
      <c r="AZ49">
        <f>'Pretax Fuel Prices'!AZ50+'Fuel Taxes'!AZ50</f>
        <v>0</v>
      </c>
    </row>
    <row r="50" spans="1:52" x14ac:dyDescent="0.25">
      <c r="A50" t="s">
        <v>59</v>
      </c>
      <c r="B50">
        <f>'Pretax Fuel Prices'!B51+'Fuel Taxes'!B51</f>
        <v>0</v>
      </c>
      <c r="C50">
        <f>'Pretax Fuel Prices'!C51+'Fuel Taxes'!C51</f>
        <v>0</v>
      </c>
      <c r="D50">
        <f>'Pretax Fuel Prices'!D51+'Fuel Taxes'!D51</f>
        <v>0</v>
      </c>
      <c r="E50">
        <f>'Pretax Fuel Prices'!E51+'Fuel Taxes'!E51</f>
        <v>0</v>
      </c>
      <c r="F50">
        <f>'Pretax Fuel Prices'!F51+'Fuel Taxes'!F51</f>
        <v>0</v>
      </c>
      <c r="G50">
        <f>'Pretax Fuel Prices'!G51+'Fuel Taxes'!G51</f>
        <v>0</v>
      </c>
      <c r="H50">
        <f>'Pretax Fuel Prices'!H51+'Fuel Taxes'!H51</f>
        <v>0</v>
      </c>
      <c r="I50">
        <f>'Pretax Fuel Prices'!I51+'Fuel Taxes'!I51</f>
        <v>0</v>
      </c>
      <c r="J50">
        <f>'Pretax Fuel Prices'!J51+'Fuel Taxes'!J51</f>
        <v>0</v>
      </c>
      <c r="K50">
        <f>'Pretax Fuel Prices'!K51+'Fuel Taxes'!K51</f>
        <v>0</v>
      </c>
      <c r="L50">
        <f>'Pretax Fuel Prices'!L51+'Fuel Taxes'!L51</f>
        <v>0</v>
      </c>
      <c r="M50">
        <f>'Pretax Fuel Prices'!M51+'Fuel Taxes'!M51</f>
        <v>0</v>
      </c>
      <c r="N50">
        <f>'Pretax Fuel Prices'!N51+'Fuel Taxes'!N51</f>
        <v>0</v>
      </c>
      <c r="O50">
        <f>'Pretax Fuel Prices'!O51+'Fuel Taxes'!O51</f>
        <v>0</v>
      </c>
      <c r="P50">
        <f>'Pretax Fuel Prices'!P51+'Fuel Taxes'!P51</f>
        <v>0</v>
      </c>
      <c r="Q50">
        <f>'Pretax Fuel Prices'!Q51+'Fuel Taxes'!Q51</f>
        <v>0</v>
      </c>
      <c r="R50">
        <f>'Pretax Fuel Prices'!R51+'Fuel Taxes'!R51</f>
        <v>0</v>
      </c>
      <c r="S50">
        <f>'Pretax Fuel Prices'!S51+'Fuel Taxes'!S51</f>
        <v>0</v>
      </c>
      <c r="T50">
        <f>'Pretax Fuel Prices'!T51+'Fuel Taxes'!T51</f>
        <v>0</v>
      </c>
      <c r="U50">
        <f>'Pretax Fuel Prices'!U51+'Fuel Taxes'!U51</f>
        <v>0</v>
      </c>
      <c r="V50">
        <f>'Pretax Fuel Prices'!V51+'Fuel Taxes'!V51</f>
        <v>0</v>
      </c>
      <c r="W50">
        <f>'Pretax Fuel Prices'!W51+'Fuel Taxes'!W51</f>
        <v>0</v>
      </c>
      <c r="X50">
        <f>'Pretax Fuel Prices'!X51+'Fuel Taxes'!X51</f>
        <v>0</v>
      </c>
      <c r="Y50">
        <f>'Pretax Fuel Prices'!Y51+'Fuel Taxes'!Y51</f>
        <v>0</v>
      </c>
      <c r="Z50">
        <f>'Pretax Fuel Prices'!Z51+'Fuel Taxes'!Z51</f>
        <v>0</v>
      </c>
      <c r="AA50">
        <f>'Pretax Fuel Prices'!AA51+'Fuel Taxes'!AA51</f>
        <v>0</v>
      </c>
      <c r="AB50">
        <f>'Pretax Fuel Prices'!AB51+'Fuel Taxes'!AB51</f>
        <v>0</v>
      </c>
      <c r="AC50">
        <f>'Pretax Fuel Prices'!AC51+'Fuel Taxes'!AC51</f>
        <v>0</v>
      </c>
      <c r="AD50">
        <f>'Pretax Fuel Prices'!AD51+'Fuel Taxes'!AD51</f>
        <v>0</v>
      </c>
      <c r="AE50">
        <f>'Pretax Fuel Prices'!AE51+'Fuel Taxes'!AE51</f>
        <v>0</v>
      </c>
      <c r="AF50">
        <f>'Pretax Fuel Prices'!AF51+'Fuel Taxes'!AF51</f>
        <v>0</v>
      </c>
      <c r="AG50">
        <f>'Pretax Fuel Prices'!AG51+'Fuel Taxes'!AG51</f>
        <v>0</v>
      </c>
      <c r="AH50">
        <f>'Pretax Fuel Prices'!AH51+'Fuel Taxes'!AH51</f>
        <v>0</v>
      </c>
      <c r="AI50">
        <f>'Pretax Fuel Prices'!AI51+'Fuel Taxes'!AI51</f>
        <v>0</v>
      </c>
      <c r="AJ50">
        <f>'Pretax Fuel Prices'!AJ51+'Fuel Taxes'!AJ51</f>
        <v>0</v>
      </c>
      <c r="AK50">
        <f>'Pretax Fuel Prices'!AK51+'Fuel Taxes'!AK51</f>
        <v>0</v>
      </c>
      <c r="AL50">
        <f>'Pretax Fuel Prices'!AL51+'Fuel Taxes'!AL51</f>
        <v>0</v>
      </c>
      <c r="AM50">
        <f>'Pretax Fuel Prices'!AM51+'Fuel Taxes'!AM51</f>
        <v>0</v>
      </c>
      <c r="AN50">
        <f>'Pretax Fuel Prices'!AN51+'Fuel Taxes'!AN51</f>
        <v>0</v>
      </c>
      <c r="AO50">
        <f>'Pretax Fuel Prices'!AO51+'Fuel Taxes'!AO51</f>
        <v>0</v>
      </c>
      <c r="AP50">
        <f>'Pretax Fuel Prices'!AP51+'Fuel Taxes'!AP51</f>
        <v>0</v>
      </c>
      <c r="AQ50">
        <f>'Pretax Fuel Prices'!AQ51+'Fuel Taxes'!AQ51</f>
        <v>0</v>
      </c>
      <c r="AR50">
        <f>'Pretax Fuel Prices'!AR51+'Fuel Taxes'!AR51</f>
        <v>0</v>
      </c>
      <c r="AS50">
        <f>'Pretax Fuel Prices'!AS51+'Fuel Taxes'!AS51</f>
        <v>0</v>
      </c>
      <c r="AT50">
        <f>'Pretax Fuel Prices'!AT51+'Fuel Taxes'!AT51</f>
        <v>0</v>
      </c>
      <c r="AU50">
        <f>'Pretax Fuel Prices'!AU51+'Fuel Taxes'!AU51</f>
        <v>0</v>
      </c>
      <c r="AV50">
        <f>'Pretax Fuel Prices'!AV51+'Fuel Taxes'!AV51</f>
        <v>0</v>
      </c>
      <c r="AW50">
        <f>'Pretax Fuel Prices'!AW51+'Fuel Taxes'!AW51</f>
        <v>0</v>
      </c>
      <c r="AX50">
        <f>'Pretax Fuel Prices'!AX51+'Fuel Taxes'!AX51</f>
        <v>0</v>
      </c>
      <c r="AY50">
        <f>'Pretax Fuel Prices'!AY51+'Fuel Taxes'!AY51</f>
        <v>0</v>
      </c>
      <c r="AZ50">
        <f>'Pretax Fuel Prices'!AZ51+'Fuel Taxes'!AZ51</f>
        <v>0</v>
      </c>
    </row>
    <row r="51" spans="1:52" s="3" customFormat="1" x14ac:dyDescent="0.25">
      <c r="A51" s="5" t="s">
        <v>35</v>
      </c>
    </row>
    <row r="52" spans="1:52" x14ac:dyDescent="0.25">
      <c r="A52" t="s">
        <v>30</v>
      </c>
      <c r="B52">
        <f>'Fuel Taxes'!B$1</f>
        <v>2020</v>
      </c>
      <c r="C52">
        <f>'Fuel Taxes'!C$1</f>
        <v>2021</v>
      </c>
      <c r="D52">
        <f>'Fuel Taxes'!D$1</f>
        <v>2022</v>
      </c>
      <c r="E52">
        <f>'Fuel Taxes'!E$1</f>
        <v>2023</v>
      </c>
      <c r="F52">
        <f>'Fuel Taxes'!F$1</f>
        <v>2024</v>
      </c>
      <c r="G52">
        <f>'Fuel Taxes'!G$1</f>
        <v>2025</v>
      </c>
      <c r="H52">
        <f>'Fuel Taxes'!H$1</f>
        <v>2026</v>
      </c>
      <c r="I52">
        <f>'Fuel Taxes'!I$1</f>
        <v>2027</v>
      </c>
      <c r="J52">
        <f>'Fuel Taxes'!J$1</f>
        <v>2028</v>
      </c>
      <c r="K52">
        <f>'Fuel Taxes'!K$1</f>
        <v>2029</v>
      </c>
      <c r="L52">
        <f>'Fuel Taxes'!L$1</f>
        <v>2030</v>
      </c>
      <c r="M52">
        <f>'Fuel Taxes'!M$1</f>
        <v>2031</v>
      </c>
      <c r="N52">
        <f>'Fuel Taxes'!N$1</f>
        <v>2032</v>
      </c>
      <c r="O52">
        <f>'Fuel Taxes'!O$1</f>
        <v>2033</v>
      </c>
      <c r="P52">
        <f>'Fuel Taxes'!P$1</f>
        <v>2034</v>
      </c>
      <c r="Q52">
        <f>'Fuel Taxes'!Q$1</f>
        <v>2035</v>
      </c>
      <c r="R52">
        <f>'Fuel Taxes'!R$1</f>
        <v>2036</v>
      </c>
      <c r="S52">
        <f>'Fuel Taxes'!S$1</f>
        <v>2037</v>
      </c>
      <c r="T52">
        <f>'Fuel Taxes'!T$1</f>
        <v>2038</v>
      </c>
      <c r="U52">
        <f>'Fuel Taxes'!U$1</f>
        <v>2039</v>
      </c>
      <c r="V52">
        <f>'Fuel Taxes'!V$1</f>
        <v>2040</v>
      </c>
      <c r="W52">
        <f>'Fuel Taxes'!W$1</f>
        <v>2041</v>
      </c>
      <c r="X52">
        <f>'Fuel Taxes'!X$1</f>
        <v>2042</v>
      </c>
      <c r="Y52">
        <f>'Fuel Taxes'!Y$1</f>
        <v>2043</v>
      </c>
      <c r="Z52">
        <f>'Fuel Taxes'!Z$1</f>
        <v>2044</v>
      </c>
      <c r="AA52">
        <f>'Fuel Taxes'!AA$1</f>
        <v>2045</v>
      </c>
      <c r="AB52">
        <f>'Fuel Taxes'!AB$1</f>
        <v>2046</v>
      </c>
      <c r="AC52">
        <f>'Fuel Taxes'!AC$1</f>
        <v>2047</v>
      </c>
      <c r="AD52">
        <f>'Fuel Taxes'!AD$1</f>
        <v>2048</v>
      </c>
      <c r="AE52">
        <f>'Fuel Taxes'!AE$1</f>
        <v>2049</v>
      </c>
      <c r="AF52">
        <f>'Fuel Taxes'!AF$1</f>
        <v>2050</v>
      </c>
      <c r="AG52">
        <f>'Fuel Taxes'!AG$1</f>
        <v>2051</v>
      </c>
      <c r="AH52">
        <f>'Fuel Taxes'!AH$1</f>
        <v>2052</v>
      </c>
      <c r="AI52">
        <f>'Fuel Taxes'!AI$1</f>
        <v>2053</v>
      </c>
      <c r="AJ52">
        <f>'Fuel Taxes'!AJ$1</f>
        <v>2054</v>
      </c>
      <c r="AK52">
        <f>'Fuel Taxes'!AK$1</f>
        <v>2055</v>
      </c>
      <c r="AL52">
        <f>'Fuel Taxes'!AL$1</f>
        <v>2056</v>
      </c>
      <c r="AM52">
        <f>'Fuel Taxes'!AM$1</f>
        <v>2057</v>
      </c>
      <c r="AN52">
        <f>'Fuel Taxes'!AN$1</f>
        <v>2058</v>
      </c>
      <c r="AO52">
        <f>'Fuel Taxes'!AO$1</f>
        <v>2059</v>
      </c>
      <c r="AP52">
        <f>'Fuel Taxes'!AP$1</f>
        <v>2060</v>
      </c>
      <c r="AQ52">
        <f>'Fuel Taxes'!AQ$1</f>
        <v>2061</v>
      </c>
      <c r="AR52">
        <f>'Fuel Taxes'!AR$1</f>
        <v>2062</v>
      </c>
      <c r="AS52">
        <f>'Fuel Taxes'!AS$1</f>
        <v>2063</v>
      </c>
      <c r="AT52">
        <f>'Fuel Taxes'!AT$1</f>
        <v>2064</v>
      </c>
      <c r="AU52">
        <f>'Fuel Taxes'!AU$1</f>
        <v>2065</v>
      </c>
      <c r="AV52">
        <f>'Fuel Taxes'!AV$1</f>
        <v>2066</v>
      </c>
      <c r="AW52">
        <f>'Fuel Taxes'!AW$1</f>
        <v>2067</v>
      </c>
      <c r="AX52">
        <f>'Fuel Taxes'!AX$1</f>
        <v>2068</v>
      </c>
      <c r="AY52">
        <f>'Fuel Taxes'!AY$1</f>
        <v>2069</v>
      </c>
      <c r="AZ52">
        <f>'Fuel Taxes'!AZ$1</f>
        <v>2070</v>
      </c>
    </row>
    <row r="53" spans="1:52" x14ac:dyDescent="0.25">
      <c r="A53" t="s">
        <v>52</v>
      </c>
      <c r="B53">
        <f>'Pretax Fuel Prices'!B54+'Fuel Taxes'!B54</f>
        <v>1.5780771264133049E-5</v>
      </c>
      <c r="C53">
        <f>'Pretax Fuel Prices'!C54+'Fuel Taxes'!C54</f>
        <v>2.0280756819920988E-5</v>
      </c>
      <c r="D53">
        <f>'Pretax Fuel Prices'!D54+'Fuel Taxes'!D54</f>
        <v>2.9095797018245302E-5</v>
      </c>
      <c r="E53">
        <f>'Pretax Fuel Prices'!E54+'Fuel Taxes'!E54</f>
        <v>2.5027316926711003E-5</v>
      </c>
      <c r="F53">
        <f>'Pretax Fuel Prices'!F54+'Fuel Taxes'!F54</f>
        <v>2.3914238736336511E-5</v>
      </c>
      <c r="G53">
        <f>'Pretax Fuel Prices'!G54+'Fuel Taxes'!G54</f>
        <v>2.280116054596202E-5</v>
      </c>
      <c r="H53">
        <f>'Pretax Fuel Prices'!H54+'Fuel Taxes'!H54</f>
        <v>2.1688082355587529E-5</v>
      </c>
      <c r="I53">
        <f>'Pretax Fuel Prices'!I54+'Fuel Taxes'!I54</f>
        <v>2.0575004165213037E-5</v>
      </c>
      <c r="J53">
        <f>'Pretax Fuel Prices'!J54+'Fuel Taxes'!J54</f>
        <v>1.9461925974838539E-5</v>
      </c>
      <c r="K53">
        <f>'Pretax Fuel Prices'!K54+'Fuel Taxes'!K54</f>
        <v>1.9575851098889168E-5</v>
      </c>
      <c r="L53">
        <f>'Pretax Fuel Prices'!L54+'Fuel Taxes'!L54</f>
        <v>1.9544734702033432E-5</v>
      </c>
      <c r="M53">
        <f>'Pretax Fuel Prices'!M54+'Fuel Taxes'!M54</f>
        <v>2.0064362600206662E-5</v>
      </c>
      <c r="N53">
        <f>'Pretax Fuel Prices'!N54+'Fuel Taxes'!N54</f>
        <v>2.0146376556127981E-5</v>
      </c>
      <c r="O53">
        <f>'Pretax Fuel Prices'!O54+'Fuel Taxes'!O54</f>
        <v>2.0257472531689852E-5</v>
      </c>
      <c r="P53">
        <f>'Pretax Fuel Prices'!P54+'Fuel Taxes'!P54</f>
        <v>2.029121218213086E-5</v>
      </c>
      <c r="Q53">
        <f>'Pretax Fuel Prices'!Q54+'Fuel Taxes'!Q54</f>
        <v>2.0375381679757902E-5</v>
      </c>
      <c r="R53">
        <f>'Pretax Fuel Prices'!R54+'Fuel Taxes'!R54</f>
        <v>2.0529447836948738E-5</v>
      </c>
      <c r="S53">
        <f>'Pretax Fuel Prices'!S54+'Fuel Taxes'!S54</f>
        <v>2.0699176410975379E-5</v>
      </c>
      <c r="T53">
        <f>'Pretax Fuel Prices'!T54+'Fuel Taxes'!T54</f>
        <v>2.0812650769229063E-5</v>
      </c>
      <c r="U53">
        <f>'Pretax Fuel Prices'!U54+'Fuel Taxes'!U54</f>
        <v>2.0887534660899726E-5</v>
      </c>
      <c r="V53">
        <f>'Pretax Fuel Prices'!V54+'Fuel Taxes'!V54</f>
        <v>2.1060141527054655E-5</v>
      </c>
      <c r="W53">
        <f>'Pretax Fuel Prices'!W54+'Fuel Taxes'!W54</f>
        <v>2.1157455253644313E-5</v>
      </c>
      <c r="X53">
        <f>'Pretax Fuel Prices'!X54+'Fuel Taxes'!X54</f>
        <v>2.1167709328220831E-5</v>
      </c>
      <c r="Y53">
        <f>'Pretax Fuel Prices'!Y54+'Fuel Taxes'!Y54</f>
        <v>2.1388614224371695E-5</v>
      </c>
      <c r="Z53">
        <f>'Pretax Fuel Prices'!Z54+'Fuel Taxes'!Z54</f>
        <v>2.1631028783156804E-5</v>
      </c>
      <c r="AA53">
        <f>'Pretax Fuel Prices'!AA54+'Fuel Taxes'!AA54</f>
        <v>2.1718101144731887E-5</v>
      </c>
      <c r="AB53">
        <f>'Pretax Fuel Prices'!AB54+'Fuel Taxes'!AB54</f>
        <v>2.1872185095309441E-5</v>
      </c>
      <c r="AC53">
        <f>'Pretax Fuel Prices'!AC54+'Fuel Taxes'!AC54</f>
        <v>2.1922733565073622E-5</v>
      </c>
      <c r="AD53">
        <f>'Pretax Fuel Prices'!AD54+'Fuel Taxes'!AD54</f>
        <v>2.187990742514669E-5</v>
      </c>
      <c r="AE53">
        <f>'Pretax Fuel Prices'!AE54+'Fuel Taxes'!AE54</f>
        <v>2.1862069978610172E-5</v>
      </c>
      <c r="AF53">
        <f>'Pretax Fuel Prices'!AF54+'Fuel Taxes'!AF54</f>
        <v>2.1810414929652723E-5</v>
      </c>
      <c r="AG53">
        <f>'Pretax Fuel Prices'!AG54+'Fuel Taxes'!AG54</f>
        <v>2.1818544394750965E-5</v>
      </c>
      <c r="AH53">
        <f>'Pretax Fuel Prices'!AH54+'Fuel Taxes'!AH54</f>
        <v>2.1821012982180401E-5</v>
      </c>
      <c r="AI53">
        <f>'Pretax Fuel Prices'!AI54+'Fuel Taxes'!AI54</f>
        <v>2.1823481569609837E-5</v>
      </c>
      <c r="AJ53">
        <f>'Pretax Fuel Prices'!AJ54+'Fuel Taxes'!AJ54</f>
        <v>2.1825950157039272E-5</v>
      </c>
      <c r="AK53">
        <f>'Pretax Fuel Prices'!AK54+'Fuel Taxes'!AK54</f>
        <v>2.1828418744468708E-5</v>
      </c>
      <c r="AL53">
        <f>'Pretax Fuel Prices'!AL54+'Fuel Taxes'!AL54</f>
        <v>2.1830887331898143E-5</v>
      </c>
      <c r="AM53">
        <f>'Pretax Fuel Prices'!AM54+'Fuel Taxes'!AM54</f>
        <v>2.1833355919327579E-5</v>
      </c>
      <c r="AN53">
        <f>'Pretax Fuel Prices'!AN54+'Fuel Taxes'!AN54</f>
        <v>2.1835824506757014E-5</v>
      </c>
      <c r="AO53">
        <f>'Pretax Fuel Prices'!AO54+'Fuel Taxes'!AO54</f>
        <v>2.183829309418645E-5</v>
      </c>
      <c r="AP53">
        <f>'Pretax Fuel Prices'!AP54+'Fuel Taxes'!AP54</f>
        <v>2.1840761681615886E-5</v>
      </c>
      <c r="AQ53">
        <f>'Pretax Fuel Prices'!AQ54+'Fuel Taxes'!AQ54</f>
        <v>2.1843230269045321E-5</v>
      </c>
      <c r="AR53">
        <f>'Pretax Fuel Prices'!AR54+'Fuel Taxes'!AR54</f>
        <v>2.1845698856474757E-5</v>
      </c>
      <c r="AS53">
        <f>'Pretax Fuel Prices'!AS54+'Fuel Taxes'!AS54</f>
        <v>2.1848167443904192E-5</v>
      </c>
      <c r="AT53">
        <f>'Pretax Fuel Prices'!AT54+'Fuel Taxes'!AT54</f>
        <v>2.1850636031333628E-5</v>
      </c>
      <c r="AU53">
        <f>'Pretax Fuel Prices'!AU54+'Fuel Taxes'!AU54</f>
        <v>2.1853104618763064E-5</v>
      </c>
      <c r="AV53">
        <f>'Pretax Fuel Prices'!AV54+'Fuel Taxes'!AV54</f>
        <v>2.1855573206192496E-5</v>
      </c>
      <c r="AW53">
        <f>'Pretax Fuel Prices'!AW54+'Fuel Taxes'!AW54</f>
        <v>2.1858041793621931E-5</v>
      </c>
      <c r="AX53">
        <f>'Pretax Fuel Prices'!AX54+'Fuel Taxes'!AX54</f>
        <v>2.1860510381051367E-5</v>
      </c>
      <c r="AY53">
        <f>'Pretax Fuel Prices'!AY54+'Fuel Taxes'!AY54</f>
        <v>2.1862978968480806E-5</v>
      </c>
      <c r="AZ53">
        <f>'Pretax Fuel Prices'!AZ54+'Fuel Taxes'!AZ54</f>
        <v>2.1865447555910238E-5</v>
      </c>
    </row>
    <row r="54" spans="1:52" x14ac:dyDescent="0.25">
      <c r="A54" t="s">
        <v>53</v>
      </c>
      <c r="B54">
        <f>'Pretax Fuel Prices'!B55+'Fuel Taxes'!B55</f>
        <v>1.5247166822584436E-5</v>
      </c>
      <c r="C54">
        <f>'Pretax Fuel Prices'!C55+'Fuel Taxes'!C55</f>
        <v>1.8572102140122025E-5</v>
      </c>
      <c r="D54">
        <f>'Pretax Fuel Prices'!D55+'Fuel Taxes'!D55</f>
        <v>2.8104242953520353E-5</v>
      </c>
      <c r="E54">
        <f>'Pretax Fuel Prices'!E55+'Fuel Taxes'!E55</f>
        <v>2.320032318695358E-5</v>
      </c>
      <c r="F54">
        <f>'Pretax Fuel Prices'!F55+'Fuel Taxes'!F55</f>
        <v>2.183112057687806E-5</v>
      </c>
      <c r="G54">
        <f>'Pretax Fuel Prices'!G55+'Fuel Taxes'!G55</f>
        <v>2.0461917966802543E-5</v>
      </c>
      <c r="H54">
        <f>'Pretax Fuel Prices'!H55+'Fuel Taxes'!H55</f>
        <v>1.9092715356727027E-5</v>
      </c>
      <c r="I54">
        <f>'Pretax Fuel Prices'!I55+'Fuel Taxes'!I55</f>
        <v>1.7723512746651513E-5</v>
      </c>
      <c r="J54">
        <f>'Pretax Fuel Prices'!J55+'Fuel Taxes'!J55</f>
        <v>1.6354310136576E-5</v>
      </c>
      <c r="K54">
        <f>'Pretax Fuel Prices'!K55+'Fuel Taxes'!K55</f>
        <v>1.6474487517799017E-5</v>
      </c>
      <c r="L54">
        <f>'Pretax Fuel Prices'!L55+'Fuel Taxes'!L55</f>
        <v>1.6483343540561685E-5</v>
      </c>
      <c r="M54">
        <f>'Pretax Fuel Prices'!M55+'Fuel Taxes'!M55</f>
        <v>1.6642882435125657E-5</v>
      </c>
      <c r="N54">
        <f>'Pretax Fuel Prices'!N55+'Fuel Taxes'!N55</f>
        <v>1.6754396131623427E-5</v>
      </c>
      <c r="O54">
        <f>'Pretax Fuel Prices'!O55+'Fuel Taxes'!O55</f>
        <v>1.6788142560497471E-5</v>
      </c>
      <c r="P54">
        <f>'Pretax Fuel Prices'!P55+'Fuel Taxes'!P55</f>
        <v>1.6892527887352839E-5</v>
      </c>
      <c r="Q54">
        <f>'Pretax Fuel Prices'!Q55+'Fuel Taxes'!Q55</f>
        <v>1.6975768739653835E-5</v>
      </c>
      <c r="R54">
        <f>'Pretax Fuel Prices'!R55+'Fuel Taxes'!R55</f>
        <v>1.7133124131475806E-5</v>
      </c>
      <c r="S54">
        <f>'Pretax Fuel Prices'!S55+'Fuel Taxes'!S55</f>
        <v>1.7308600816717715E-5</v>
      </c>
      <c r="T54">
        <f>'Pretax Fuel Prices'!T55+'Fuel Taxes'!T55</f>
        <v>1.739333122967856E-5</v>
      </c>
      <c r="U54">
        <f>'Pretax Fuel Prices'!U55+'Fuel Taxes'!U55</f>
        <v>1.745080471609403E-5</v>
      </c>
      <c r="V54">
        <f>'Pretax Fuel Prices'!V55+'Fuel Taxes'!V55</f>
        <v>1.7633828339218363E-5</v>
      </c>
      <c r="W54">
        <f>'Pretax Fuel Prices'!W55+'Fuel Taxes'!W55</f>
        <v>1.7710261102837947E-5</v>
      </c>
      <c r="X54">
        <f>'Pretax Fuel Prices'!X55+'Fuel Taxes'!X55</f>
        <v>1.7740713213256076E-5</v>
      </c>
      <c r="Y54">
        <f>'Pretax Fuel Prices'!Y55+'Fuel Taxes'!Y55</f>
        <v>1.7937585175074729E-5</v>
      </c>
      <c r="Z54">
        <f>'Pretax Fuel Prices'!Z55+'Fuel Taxes'!Z55</f>
        <v>1.8166239514794989E-5</v>
      </c>
      <c r="AA54">
        <f>'Pretax Fuel Prices'!AA55+'Fuel Taxes'!AA55</f>
        <v>1.8253263580034687E-5</v>
      </c>
      <c r="AB54">
        <f>'Pretax Fuel Prices'!AB55+'Fuel Taxes'!AB55</f>
        <v>1.8457437608842304E-5</v>
      </c>
      <c r="AC54">
        <f>'Pretax Fuel Prices'!AC55+'Fuel Taxes'!AC55</f>
        <v>1.8514284090201863E-5</v>
      </c>
      <c r="AD54">
        <f>'Pretax Fuel Prices'!AD55+'Fuel Taxes'!AD55</f>
        <v>1.8469704030726647E-5</v>
      </c>
      <c r="AE54">
        <f>'Pretax Fuel Prices'!AE55+'Fuel Taxes'!AE55</f>
        <v>1.8464265185518687E-5</v>
      </c>
      <c r="AF54">
        <f>'Pretax Fuel Prices'!AF55+'Fuel Taxes'!AF55</f>
        <v>1.8417556698069895E-5</v>
      </c>
      <c r="AG54">
        <f>'Pretax Fuel Prices'!AG55+'Fuel Taxes'!AG55</f>
        <v>1.8351590776224603E-5</v>
      </c>
      <c r="AH54">
        <f>'Pretax Fuel Prices'!AH55+'Fuel Taxes'!AH55</f>
        <v>1.8287938648566343E-5</v>
      </c>
      <c r="AI54">
        <f>'Pretax Fuel Prices'!AI55+'Fuel Taxes'!AI55</f>
        <v>1.8224286520908081E-5</v>
      </c>
      <c r="AJ54">
        <f>'Pretax Fuel Prices'!AJ55+'Fuel Taxes'!AJ55</f>
        <v>1.8160634393249821E-5</v>
      </c>
      <c r="AK54">
        <f>'Pretax Fuel Prices'!AK55+'Fuel Taxes'!AK55</f>
        <v>1.8096982265591555E-5</v>
      </c>
      <c r="AL54">
        <f>'Pretax Fuel Prices'!AL55+'Fuel Taxes'!AL55</f>
        <v>1.8033330137933296E-5</v>
      </c>
      <c r="AM54">
        <f>'Pretax Fuel Prices'!AM55+'Fuel Taxes'!AM55</f>
        <v>1.7969678010275033E-5</v>
      </c>
      <c r="AN54">
        <f>'Pretax Fuel Prices'!AN55+'Fuel Taxes'!AN55</f>
        <v>1.790602588261677E-5</v>
      </c>
      <c r="AO54">
        <f>'Pretax Fuel Prices'!AO55+'Fuel Taxes'!AO55</f>
        <v>1.7842373754958507E-5</v>
      </c>
      <c r="AP54">
        <f>'Pretax Fuel Prices'!AP55+'Fuel Taxes'!AP55</f>
        <v>1.7778721627300248E-5</v>
      </c>
      <c r="AQ54">
        <f>'Pretax Fuel Prices'!AQ55+'Fuel Taxes'!AQ55</f>
        <v>1.7715069499641985E-5</v>
      </c>
      <c r="AR54">
        <f>'Pretax Fuel Prices'!AR55+'Fuel Taxes'!AR55</f>
        <v>1.7651417371983726E-5</v>
      </c>
      <c r="AS54">
        <f>'Pretax Fuel Prices'!AS55+'Fuel Taxes'!AS55</f>
        <v>1.758776524432546E-5</v>
      </c>
      <c r="AT54">
        <f>'Pretax Fuel Prices'!AT55+'Fuel Taxes'!AT55</f>
        <v>1.75241131166672E-5</v>
      </c>
      <c r="AU54">
        <f>'Pretax Fuel Prices'!AU55+'Fuel Taxes'!AU55</f>
        <v>1.7460460989008938E-5</v>
      </c>
      <c r="AV54">
        <f>'Pretax Fuel Prices'!AV55+'Fuel Taxes'!AV55</f>
        <v>1.7396808861350675E-5</v>
      </c>
      <c r="AW54">
        <f>'Pretax Fuel Prices'!AW55+'Fuel Taxes'!AW55</f>
        <v>1.7333156733692412E-5</v>
      </c>
      <c r="AX54">
        <f>'Pretax Fuel Prices'!AX55+'Fuel Taxes'!AX55</f>
        <v>1.7269504606034153E-5</v>
      </c>
      <c r="AY54">
        <f>'Pretax Fuel Prices'!AY55+'Fuel Taxes'!AY55</f>
        <v>1.720585247837589E-5</v>
      </c>
      <c r="AZ54">
        <f>'Pretax Fuel Prices'!AZ55+'Fuel Taxes'!AZ55</f>
        <v>1.7142200350717631E-5</v>
      </c>
    </row>
    <row r="55" spans="1:52" x14ac:dyDescent="0.25">
      <c r="A55" t="s">
        <v>54</v>
      </c>
      <c r="B55">
        <f>'Pretax Fuel Prices'!B56+'Fuel Taxes'!B56</f>
        <v>1.5280665131834009E-5</v>
      </c>
      <c r="C55">
        <f>'Pretax Fuel Prices'!C56+'Fuel Taxes'!C56</f>
        <v>1.8568273885217266E-5</v>
      </c>
      <c r="D55">
        <f>'Pretax Fuel Prices'!D56+'Fuel Taxes'!D56</f>
        <v>2.8108440177862851E-5</v>
      </c>
      <c r="E55">
        <f>'Pretax Fuel Prices'!E56+'Fuel Taxes'!E56</f>
        <v>2.4699012849085235E-5</v>
      </c>
      <c r="F55">
        <f>'Pretax Fuel Prices'!F56+'Fuel Taxes'!F56</f>
        <v>2.4000498707647709E-5</v>
      </c>
      <c r="G55">
        <f>'Pretax Fuel Prices'!G56+'Fuel Taxes'!G56</f>
        <v>2.3301984566210186E-5</v>
      </c>
      <c r="H55">
        <f>'Pretax Fuel Prices'!H56+'Fuel Taxes'!H56</f>
        <v>2.2603470424772663E-5</v>
      </c>
      <c r="I55">
        <f>'Pretax Fuel Prices'!I56+'Fuel Taxes'!I56</f>
        <v>2.1904956283335137E-5</v>
      </c>
      <c r="J55">
        <f>'Pretax Fuel Prices'!J56+'Fuel Taxes'!J56</f>
        <v>2.1206442141897618E-5</v>
      </c>
      <c r="K55">
        <f>'Pretax Fuel Prices'!K56+'Fuel Taxes'!K56</f>
        <v>2.1309129471277255E-5</v>
      </c>
      <c r="L55">
        <f>'Pretax Fuel Prices'!L56+'Fuel Taxes'!L56</f>
        <v>2.1278474007868027E-5</v>
      </c>
      <c r="M55">
        <f>'Pretax Fuel Prices'!M56+'Fuel Taxes'!M56</f>
        <v>2.1510874279145288E-5</v>
      </c>
      <c r="N55">
        <f>'Pretax Fuel Prices'!N56+'Fuel Taxes'!N56</f>
        <v>2.159919980352806E-5</v>
      </c>
      <c r="O55">
        <f>'Pretax Fuel Prices'!O56+'Fuel Taxes'!O56</f>
        <v>2.1652304589851271E-5</v>
      </c>
      <c r="P55">
        <f>'Pretax Fuel Prices'!P56+'Fuel Taxes'!P56</f>
        <v>2.1694009746414731E-5</v>
      </c>
      <c r="Q55">
        <f>'Pretax Fuel Prices'!Q56+'Fuel Taxes'!Q56</f>
        <v>2.1761126401129273E-5</v>
      </c>
      <c r="R55">
        <f>'Pretax Fuel Prices'!R56+'Fuel Taxes'!R56</f>
        <v>2.1904730046927701E-5</v>
      </c>
      <c r="S55">
        <f>'Pretax Fuel Prices'!S56+'Fuel Taxes'!S56</f>
        <v>2.2087957870347267E-5</v>
      </c>
      <c r="T55">
        <f>'Pretax Fuel Prices'!T56+'Fuel Taxes'!T56</f>
        <v>2.2195674797040257E-5</v>
      </c>
      <c r="U55">
        <f>'Pretax Fuel Prices'!U56+'Fuel Taxes'!U56</f>
        <v>2.2253581255865954E-5</v>
      </c>
      <c r="V55">
        <f>'Pretax Fuel Prices'!V56+'Fuel Taxes'!V56</f>
        <v>2.2443319764217439E-5</v>
      </c>
      <c r="W55">
        <f>'Pretax Fuel Prices'!W56+'Fuel Taxes'!W56</f>
        <v>2.2525684504048415E-5</v>
      </c>
      <c r="X55">
        <f>'Pretax Fuel Prices'!X56+'Fuel Taxes'!X56</f>
        <v>2.2536319865483258E-5</v>
      </c>
      <c r="Y55">
        <f>'Pretax Fuel Prices'!Y56+'Fuel Taxes'!Y56</f>
        <v>2.2728116475565558E-5</v>
      </c>
      <c r="Z55">
        <f>'Pretax Fuel Prices'!Z56+'Fuel Taxes'!Z56</f>
        <v>2.2946869219227218E-5</v>
      </c>
      <c r="AA55">
        <f>'Pretax Fuel Prices'!AA56+'Fuel Taxes'!AA56</f>
        <v>2.3030299020349112E-5</v>
      </c>
      <c r="AB55">
        <f>'Pretax Fuel Prices'!AB56+'Fuel Taxes'!AB56</f>
        <v>2.3204760635243749E-5</v>
      </c>
      <c r="AC55">
        <f>'Pretax Fuel Prices'!AC56+'Fuel Taxes'!AC56</f>
        <v>2.3229301104749601E-5</v>
      </c>
      <c r="AD55">
        <f>'Pretax Fuel Prices'!AD56+'Fuel Taxes'!AD56</f>
        <v>2.3163228328722732E-5</v>
      </c>
      <c r="AE55">
        <f>'Pretax Fuel Prices'!AE56+'Fuel Taxes'!AE56</f>
        <v>2.3150486569221685E-5</v>
      </c>
      <c r="AF55">
        <f>'Pretax Fuel Prices'!AF56+'Fuel Taxes'!AF56</f>
        <v>2.3105762468044431E-5</v>
      </c>
      <c r="AG55">
        <f>'Pretax Fuel Prices'!AG56+'Fuel Taxes'!AG56</f>
        <v>2.3174466036869477E-5</v>
      </c>
      <c r="AH55">
        <f>'Pretax Fuel Prices'!AH56+'Fuel Taxes'!AH56</f>
        <v>2.3232091777078474E-5</v>
      </c>
      <c r="AI55">
        <f>'Pretax Fuel Prices'!AI56+'Fuel Taxes'!AI56</f>
        <v>2.3289717517287474E-5</v>
      </c>
      <c r="AJ55">
        <f>'Pretax Fuel Prices'!AJ56+'Fuel Taxes'!AJ56</f>
        <v>2.3347343257496478E-5</v>
      </c>
      <c r="AK55">
        <f>'Pretax Fuel Prices'!AK56+'Fuel Taxes'!AK56</f>
        <v>2.3404968997705475E-5</v>
      </c>
      <c r="AL55">
        <f>'Pretax Fuel Prices'!AL56+'Fuel Taxes'!AL56</f>
        <v>2.3462594737914475E-5</v>
      </c>
      <c r="AM55">
        <f>'Pretax Fuel Prices'!AM56+'Fuel Taxes'!AM56</f>
        <v>2.3520220478123472E-5</v>
      </c>
      <c r="AN55">
        <f>'Pretax Fuel Prices'!AN56+'Fuel Taxes'!AN56</f>
        <v>2.3577846218332472E-5</v>
      </c>
      <c r="AO55">
        <f>'Pretax Fuel Prices'!AO56+'Fuel Taxes'!AO56</f>
        <v>2.3635471958541472E-5</v>
      </c>
      <c r="AP55">
        <f>'Pretax Fuel Prices'!AP56+'Fuel Taxes'!AP56</f>
        <v>2.3693097698750469E-5</v>
      </c>
      <c r="AQ55">
        <f>'Pretax Fuel Prices'!AQ56+'Fuel Taxes'!AQ56</f>
        <v>2.3750723438959469E-5</v>
      </c>
      <c r="AR55">
        <f>'Pretax Fuel Prices'!AR56+'Fuel Taxes'!AR56</f>
        <v>2.3808349179168469E-5</v>
      </c>
      <c r="AS55">
        <f>'Pretax Fuel Prices'!AS56+'Fuel Taxes'!AS56</f>
        <v>2.3865974919377466E-5</v>
      </c>
      <c r="AT55">
        <f>'Pretax Fuel Prices'!AT56+'Fuel Taxes'!AT56</f>
        <v>2.3923600659586466E-5</v>
      </c>
      <c r="AU55">
        <f>'Pretax Fuel Prices'!AU56+'Fuel Taxes'!AU56</f>
        <v>2.3981226399795463E-5</v>
      </c>
      <c r="AV55">
        <f>'Pretax Fuel Prices'!AV56+'Fuel Taxes'!AV56</f>
        <v>2.4038852140004463E-5</v>
      </c>
      <c r="AW55">
        <f>'Pretax Fuel Prices'!AW56+'Fuel Taxes'!AW56</f>
        <v>2.4096477880213467E-5</v>
      </c>
      <c r="AX55">
        <f>'Pretax Fuel Prices'!AX56+'Fuel Taxes'!AX56</f>
        <v>2.4154103620422463E-5</v>
      </c>
      <c r="AY55">
        <f>'Pretax Fuel Prices'!AY56+'Fuel Taxes'!AY56</f>
        <v>2.4211729360631463E-5</v>
      </c>
      <c r="AZ55">
        <f>'Pretax Fuel Prices'!AZ56+'Fuel Taxes'!AZ56</f>
        <v>2.4269355100840464E-5</v>
      </c>
    </row>
    <row r="56" spans="1:52" x14ac:dyDescent="0.25">
      <c r="A56" t="s">
        <v>55</v>
      </c>
      <c r="B56">
        <f>'Pretax Fuel Prices'!B57+'Fuel Taxes'!B57</f>
        <v>1.5346695750976263E-5</v>
      </c>
      <c r="C56">
        <f>'Pretax Fuel Prices'!C57+'Fuel Taxes'!C57</f>
        <v>1.8635193936270174E-5</v>
      </c>
      <c r="D56">
        <f>'Pretax Fuel Prices'!D57+'Fuel Taxes'!D57</f>
        <v>2.8214303361195659E-5</v>
      </c>
      <c r="E56">
        <f>'Pretax Fuel Prices'!E57+'Fuel Taxes'!E57</f>
        <v>2.3476771037811719E-5</v>
      </c>
      <c r="F56">
        <f>'Pretax Fuel Prices'!F57+'Fuel Taxes'!F57</f>
        <v>2.2120595464387469E-5</v>
      </c>
      <c r="G56">
        <f>'Pretax Fuel Prices'!G57+'Fuel Taxes'!G57</f>
        <v>2.0764419890963219E-5</v>
      </c>
      <c r="H56">
        <f>'Pretax Fuel Prices'!H57+'Fuel Taxes'!H57</f>
        <v>1.9408244317538973E-5</v>
      </c>
      <c r="I56">
        <f>'Pretax Fuel Prices'!I57+'Fuel Taxes'!I57</f>
        <v>1.8052068744114726E-5</v>
      </c>
      <c r="J56">
        <f>'Pretax Fuel Prices'!J57+'Fuel Taxes'!J57</f>
        <v>1.6695893170690479E-5</v>
      </c>
      <c r="K56">
        <f>'Pretax Fuel Prices'!K57+'Fuel Taxes'!K57</f>
        <v>1.6793988111687639E-5</v>
      </c>
      <c r="L56">
        <f>'Pretax Fuel Prices'!L57+'Fuel Taxes'!L57</f>
        <v>1.6765775426084064E-5</v>
      </c>
      <c r="M56">
        <f>'Pretax Fuel Prices'!M57+'Fuel Taxes'!M57</f>
        <v>1.7263839434158761E-5</v>
      </c>
      <c r="N56">
        <f>'Pretax Fuel Prices'!N57+'Fuel Taxes'!N57</f>
        <v>1.7356684478768862E-5</v>
      </c>
      <c r="O56">
        <f>'Pretax Fuel Prices'!O57+'Fuel Taxes'!O57</f>
        <v>1.7452739111421926E-5</v>
      </c>
      <c r="P56">
        <f>'Pretax Fuel Prices'!P57+'Fuel Taxes'!P57</f>
        <v>1.7498082591917921E-5</v>
      </c>
      <c r="Q56">
        <f>'Pretax Fuel Prices'!Q57+'Fuel Taxes'!Q57</f>
        <v>1.7577106411565853E-5</v>
      </c>
      <c r="R56">
        <f>'Pretax Fuel Prices'!R57+'Fuel Taxes'!R57</f>
        <v>1.7723346020511492E-5</v>
      </c>
      <c r="S56">
        <f>'Pretax Fuel Prices'!S57+'Fuel Taxes'!S57</f>
        <v>1.7908586191238879E-5</v>
      </c>
      <c r="T56">
        <f>'Pretax Fuel Prices'!T57+'Fuel Taxes'!T57</f>
        <v>1.8019786385208692E-5</v>
      </c>
      <c r="U56">
        <f>'Pretax Fuel Prices'!U57+'Fuel Taxes'!U57</f>
        <v>1.8077791978617558E-5</v>
      </c>
      <c r="V56">
        <f>'Pretax Fuel Prices'!V57+'Fuel Taxes'!V57</f>
        <v>1.8253137331719377E-5</v>
      </c>
      <c r="W56">
        <f>'Pretax Fuel Prices'!W57+'Fuel Taxes'!W57</f>
        <v>1.8341307799446432E-5</v>
      </c>
      <c r="X56">
        <f>'Pretax Fuel Prices'!X57+'Fuel Taxes'!X57</f>
        <v>1.8354965494711589E-5</v>
      </c>
      <c r="Y56">
        <f>'Pretax Fuel Prices'!Y57+'Fuel Taxes'!Y57</f>
        <v>1.8562885455076207E-5</v>
      </c>
      <c r="Z56">
        <f>'Pretax Fuel Prices'!Z57+'Fuel Taxes'!Z57</f>
        <v>1.8796651580610397E-5</v>
      </c>
      <c r="AA56">
        <f>'Pretax Fuel Prices'!AA57+'Fuel Taxes'!AA57</f>
        <v>1.8887027580986822E-5</v>
      </c>
      <c r="AB56">
        <f>'Pretax Fuel Prices'!AB57+'Fuel Taxes'!AB57</f>
        <v>1.9048631355714651E-5</v>
      </c>
      <c r="AC56">
        <f>'Pretax Fuel Prices'!AC57+'Fuel Taxes'!AC57</f>
        <v>1.9086961699929872E-5</v>
      </c>
      <c r="AD56">
        <f>'Pretax Fuel Prices'!AD57+'Fuel Taxes'!AD57</f>
        <v>1.9036843660663538E-5</v>
      </c>
      <c r="AE56">
        <f>'Pretax Fuel Prices'!AE57+'Fuel Taxes'!AE57</f>
        <v>1.9019043495508724E-5</v>
      </c>
      <c r="AF56">
        <f>'Pretax Fuel Prices'!AF57+'Fuel Taxes'!AF57</f>
        <v>1.8957430928420116E-5</v>
      </c>
      <c r="AG56">
        <f>'Pretax Fuel Prices'!AG57+'Fuel Taxes'!AG57</f>
        <v>1.8911060590575464E-5</v>
      </c>
      <c r="AH56">
        <f>'Pretax Fuel Prices'!AH57+'Fuel Taxes'!AH57</f>
        <v>1.8863581073819719E-5</v>
      </c>
      <c r="AI56">
        <f>'Pretax Fuel Prices'!AI57+'Fuel Taxes'!AI57</f>
        <v>1.8816101557063978E-5</v>
      </c>
      <c r="AJ56">
        <f>'Pretax Fuel Prices'!AJ57+'Fuel Taxes'!AJ57</f>
        <v>1.8768622040308233E-5</v>
      </c>
      <c r="AK56">
        <f>'Pretax Fuel Prices'!AK57+'Fuel Taxes'!AK57</f>
        <v>1.8721142523552495E-5</v>
      </c>
      <c r="AL56">
        <f>'Pretax Fuel Prices'!AL57+'Fuel Taxes'!AL57</f>
        <v>1.8673663006796751E-5</v>
      </c>
      <c r="AM56">
        <f>'Pretax Fuel Prices'!AM57+'Fuel Taxes'!AM57</f>
        <v>1.862618349004101E-5</v>
      </c>
      <c r="AN56">
        <f>'Pretax Fuel Prices'!AN57+'Fuel Taxes'!AN57</f>
        <v>1.8578703973285268E-5</v>
      </c>
      <c r="AO56">
        <f>'Pretax Fuel Prices'!AO57+'Fuel Taxes'!AO57</f>
        <v>1.8531224456529524E-5</v>
      </c>
      <c r="AP56">
        <f>'Pretax Fuel Prices'!AP57+'Fuel Taxes'!AP57</f>
        <v>1.8483744939773783E-5</v>
      </c>
      <c r="AQ56">
        <f>'Pretax Fuel Prices'!AQ57+'Fuel Taxes'!AQ57</f>
        <v>1.8436265423018038E-5</v>
      </c>
      <c r="AR56">
        <f>'Pretax Fuel Prices'!AR57+'Fuel Taxes'!AR57</f>
        <v>1.8388785906262297E-5</v>
      </c>
      <c r="AS56">
        <f>'Pretax Fuel Prices'!AS57+'Fuel Taxes'!AS57</f>
        <v>1.8341306389506552E-5</v>
      </c>
      <c r="AT56">
        <f>'Pretax Fuel Prices'!AT57+'Fuel Taxes'!AT57</f>
        <v>1.8293826872750811E-5</v>
      </c>
      <c r="AU56">
        <f>'Pretax Fuel Prices'!AU57+'Fuel Taxes'!AU57</f>
        <v>1.824634735599507E-5</v>
      </c>
      <c r="AV56">
        <f>'Pretax Fuel Prices'!AV57+'Fuel Taxes'!AV57</f>
        <v>1.8198867839239329E-5</v>
      </c>
      <c r="AW56">
        <f>'Pretax Fuel Prices'!AW57+'Fuel Taxes'!AW57</f>
        <v>1.8151388322483584E-5</v>
      </c>
      <c r="AX56">
        <f>'Pretax Fuel Prices'!AX57+'Fuel Taxes'!AX57</f>
        <v>1.8103908805727843E-5</v>
      </c>
      <c r="AY56">
        <f>'Pretax Fuel Prices'!AY57+'Fuel Taxes'!AY57</f>
        <v>1.8056429288972098E-5</v>
      </c>
      <c r="AZ56">
        <f>'Pretax Fuel Prices'!AZ57+'Fuel Taxes'!AZ57</f>
        <v>1.8008949772216357E-5</v>
      </c>
    </row>
    <row r="57" spans="1:52" x14ac:dyDescent="0.25">
      <c r="A57" t="s">
        <v>56</v>
      </c>
      <c r="B57">
        <f>'Pretax Fuel Prices'!B58+'Fuel Taxes'!B58</f>
        <v>1.5282806344312254E-5</v>
      </c>
      <c r="C57">
        <f>'Pretax Fuel Prices'!C58+'Fuel Taxes'!C58</f>
        <v>1.8574727009269181E-5</v>
      </c>
      <c r="D57">
        <f>'Pretax Fuel Prices'!D58+'Fuel Taxes'!D58</f>
        <v>2.811698771679742E-5</v>
      </c>
      <c r="E57">
        <f>'Pretax Fuel Prices'!E58+'Fuel Taxes'!E58</f>
        <v>2.3482206596057024E-5</v>
      </c>
      <c r="F57">
        <f>'Pretax Fuel Prices'!F58+'Fuel Taxes'!F58</f>
        <v>2.2112284001061581E-5</v>
      </c>
      <c r="G57">
        <f>'Pretax Fuel Prices'!G58+'Fuel Taxes'!G58</f>
        <v>2.0742361406066141E-5</v>
      </c>
      <c r="H57">
        <f>'Pretax Fuel Prices'!H58+'Fuel Taxes'!H58</f>
        <v>1.9372438811070702E-5</v>
      </c>
      <c r="I57">
        <f>'Pretax Fuel Prices'!I58+'Fuel Taxes'!I58</f>
        <v>1.8002516216075258E-5</v>
      </c>
      <c r="J57">
        <f>'Pretax Fuel Prices'!J58+'Fuel Taxes'!J58</f>
        <v>1.6632593621079822E-5</v>
      </c>
      <c r="K57">
        <f>'Pretax Fuel Prices'!K58+'Fuel Taxes'!K58</f>
        <v>1.6738828612850129E-5</v>
      </c>
      <c r="L57">
        <f>'Pretax Fuel Prices'!L58+'Fuel Taxes'!L58</f>
        <v>1.6714690612805844E-5</v>
      </c>
      <c r="M57">
        <f>'Pretax Fuel Prices'!M58+'Fuel Taxes'!M58</f>
        <v>1.6956507822179573E-5</v>
      </c>
      <c r="N57">
        <f>'Pretax Fuel Prices'!N58+'Fuel Taxes'!N58</f>
        <v>1.7049151208406831E-5</v>
      </c>
      <c r="O57">
        <f>'Pretax Fuel Prices'!O58+'Fuel Taxes'!O58</f>
        <v>1.7120362036675645E-5</v>
      </c>
      <c r="P57">
        <f>'Pretax Fuel Prices'!P58+'Fuel Taxes'!P58</f>
        <v>1.7163513541388343E-5</v>
      </c>
      <c r="Q57">
        <f>'Pretax Fuel Prices'!Q58+'Fuel Taxes'!Q58</f>
        <v>1.7250737570402624E-5</v>
      </c>
      <c r="R57">
        <f>'Pretax Fuel Prices'!R58+'Fuel Taxes'!R58</f>
        <v>1.7404468195158131E-5</v>
      </c>
      <c r="S57">
        <f>'Pretax Fuel Prices'!S58+'Fuel Taxes'!S58</f>
        <v>1.7595095525541568E-5</v>
      </c>
      <c r="T57">
        <f>'Pretax Fuel Prices'!T58+'Fuel Taxes'!T58</f>
        <v>1.7711154161390556E-5</v>
      </c>
      <c r="U57">
        <f>'Pretax Fuel Prices'!U58+'Fuel Taxes'!U58</f>
        <v>1.7774979039561573E-5</v>
      </c>
      <c r="V57">
        <f>'Pretax Fuel Prices'!V58+'Fuel Taxes'!V58</f>
        <v>1.7947026684990954E-5</v>
      </c>
      <c r="W57">
        <f>'Pretax Fuel Prices'!W58+'Fuel Taxes'!W58</f>
        <v>1.8043754924427055E-5</v>
      </c>
      <c r="X57">
        <f>'Pretax Fuel Prices'!X58+'Fuel Taxes'!X58</f>
        <v>1.8061655071469164E-5</v>
      </c>
      <c r="Y57">
        <f>'Pretax Fuel Prices'!Y58+'Fuel Taxes'!Y58</f>
        <v>1.8283604693611838E-5</v>
      </c>
      <c r="Z57">
        <f>'Pretax Fuel Prices'!Z58+'Fuel Taxes'!Z58</f>
        <v>1.8525795564106722E-5</v>
      </c>
      <c r="AA57">
        <f>'Pretax Fuel Prices'!AA58+'Fuel Taxes'!AA58</f>
        <v>1.8620114917902344E-5</v>
      </c>
      <c r="AB57">
        <f>'Pretax Fuel Prices'!AB58+'Fuel Taxes'!AB58</f>
        <v>1.8778630269077755E-5</v>
      </c>
      <c r="AC57">
        <f>'Pretax Fuel Prices'!AC58+'Fuel Taxes'!AC58</f>
        <v>1.8825956441237035E-5</v>
      </c>
      <c r="AD57">
        <f>'Pretax Fuel Prices'!AD58+'Fuel Taxes'!AD58</f>
        <v>1.8786832173052364E-5</v>
      </c>
      <c r="AE57">
        <f>'Pretax Fuel Prices'!AE58+'Fuel Taxes'!AE58</f>
        <v>1.8769352288858542E-5</v>
      </c>
      <c r="AF57">
        <f>'Pretax Fuel Prices'!AF58+'Fuel Taxes'!AF58</f>
        <v>1.8708099826025018E-5</v>
      </c>
      <c r="AG57">
        <f>'Pretax Fuel Prices'!AG58+'Fuel Taxes'!AG58</f>
        <v>1.8650980958229576E-5</v>
      </c>
      <c r="AH57">
        <f>'Pretax Fuel Prices'!AH58+'Fuel Taxes'!AH58</f>
        <v>1.8593875006171184E-5</v>
      </c>
      <c r="AI57">
        <f>'Pretax Fuel Prices'!AI58+'Fuel Taxes'!AI58</f>
        <v>1.8536769054112792E-5</v>
      </c>
      <c r="AJ57">
        <f>'Pretax Fuel Prices'!AJ58+'Fuel Taxes'!AJ58</f>
        <v>1.8479663102054403E-5</v>
      </c>
      <c r="AK57">
        <f>'Pretax Fuel Prices'!AK58+'Fuel Taxes'!AK58</f>
        <v>1.8422557149996011E-5</v>
      </c>
      <c r="AL57">
        <f>'Pretax Fuel Prices'!AL58+'Fuel Taxes'!AL58</f>
        <v>1.8365451197937619E-5</v>
      </c>
      <c r="AM57">
        <f>'Pretax Fuel Prices'!AM58+'Fuel Taxes'!AM58</f>
        <v>1.830834524587923E-5</v>
      </c>
      <c r="AN57">
        <f>'Pretax Fuel Prices'!AN58+'Fuel Taxes'!AN58</f>
        <v>1.8251239293820838E-5</v>
      </c>
      <c r="AO57">
        <f>'Pretax Fuel Prices'!AO58+'Fuel Taxes'!AO58</f>
        <v>1.8194133341762445E-5</v>
      </c>
      <c r="AP57">
        <f>'Pretax Fuel Prices'!AP58+'Fuel Taxes'!AP58</f>
        <v>1.8137027389704053E-5</v>
      </c>
      <c r="AQ57">
        <f>'Pretax Fuel Prices'!AQ58+'Fuel Taxes'!AQ58</f>
        <v>1.8079921437645661E-5</v>
      </c>
      <c r="AR57">
        <f>'Pretax Fuel Prices'!AR58+'Fuel Taxes'!AR58</f>
        <v>1.8022815485587272E-5</v>
      </c>
      <c r="AS57">
        <f>'Pretax Fuel Prices'!AS58+'Fuel Taxes'!AS58</f>
        <v>1.796570953352888E-5</v>
      </c>
      <c r="AT57">
        <f>'Pretax Fuel Prices'!AT58+'Fuel Taxes'!AT58</f>
        <v>1.7908603581470488E-5</v>
      </c>
      <c r="AU57">
        <f>'Pretax Fuel Prices'!AU58+'Fuel Taxes'!AU58</f>
        <v>1.7851497629412096E-5</v>
      </c>
      <c r="AV57">
        <f>'Pretax Fuel Prices'!AV58+'Fuel Taxes'!AV58</f>
        <v>1.7794391677353704E-5</v>
      </c>
      <c r="AW57">
        <f>'Pretax Fuel Prices'!AW58+'Fuel Taxes'!AW58</f>
        <v>1.7737285725295315E-5</v>
      </c>
      <c r="AX57">
        <f>'Pretax Fuel Prices'!AX58+'Fuel Taxes'!AX58</f>
        <v>1.7680179773236923E-5</v>
      </c>
      <c r="AY57">
        <f>'Pretax Fuel Prices'!AY58+'Fuel Taxes'!AY58</f>
        <v>1.7623073821178531E-5</v>
      </c>
      <c r="AZ57">
        <f>'Pretax Fuel Prices'!AZ58+'Fuel Taxes'!AZ58</f>
        <v>1.7565967869120142E-5</v>
      </c>
    </row>
    <row r="58" spans="1:52" x14ac:dyDescent="0.25">
      <c r="A58" t="s">
        <v>57</v>
      </c>
      <c r="B58">
        <f>'Pretax Fuel Prices'!B59+'Fuel Taxes'!B59</f>
        <v>1.5247166822584436E-5</v>
      </c>
      <c r="C58">
        <f>'Pretax Fuel Prices'!C59+'Fuel Taxes'!C59</f>
        <v>1.8572102140122025E-5</v>
      </c>
      <c r="D58">
        <f>'Pretax Fuel Prices'!D59+'Fuel Taxes'!D59</f>
        <v>2.8104242953520353E-5</v>
      </c>
      <c r="E58">
        <f>'Pretax Fuel Prices'!E59+'Fuel Taxes'!E59</f>
        <v>2.320032318695358E-5</v>
      </c>
      <c r="F58">
        <f>'Pretax Fuel Prices'!F59+'Fuel Taxes'!F59</f>
        <v>2.183112057687806E-5</v>
      </c>
      <c r="G58">
        <f>'Pretax Fuel Prices'!G59+'Fuel Taxes'!G59</f>
        <v>2.0461917966802543E-5</v>
      </c>
      <c r="H58">
        <f>'Pretax Fuel Prices'!H59+'Fuel Taxes'!H59</f>
        <v>1.9092715356727027E-5</v>
      </c>
      <c r="I58">
        <f>'Pretax Fuel Prices'!I59+'Fuel Taxes'!I59</f>
        <v>1.7723512746651513E-5</v>
      </c>
      <c r="J58">
        <f>'Pretax Fuel Prices'!J59+'Fuel Taxes'!J59</f>
        <v>1.6354310136576E-5</v>
      </c>
      <c r="K58">
        <f>'Pretax Fuel Prices'!K59+'Fuel Taxes'!K59</f>
        <v>1.6474487517799017E-5</v>
      </c>
      <c r="L58">
        <f>'Pretax Fuel Prices'!L59+'Fuel Taxes'!L59</f>
        <v>1.6483343540561685E-5</v>
      </c>
      <c r="M58">
        <f>'Pretax Fuel Prices'!M59+'Fuel Taxes'!M59</f>
        <v>1.6642882435125657E-5</v>
      </c>
      <c r="N58">
        <f>'Pretax Fuel Prices'!N59+'Fuel Taxes'!N59</f>
        <v>1.6754396131623427E-5</v>
      </c>
      <c r="O58">
        <f>'Pretax Fuel Prices'!O59+'Fuel Taxes'!O59</f>
        <v>1.6788142560497471E-5</v>
      </c>
      <c r="P58">
        <f>'Pretax Fuel Prices'!P59+'Fuel Taxes'!P59</f>
        <v>1.6892527887352839E-5</v>
      </c>
      <c r="Q58">
        <f>'Pretax Fuel Prices'!Q59+'Fuel Taxes'!Q59</f>
        <v>1.6975768739653835E-5</v>
      </c>
      <c r="R58">
        <f>'Pretax Fuel Prices'!R59+'Fuel Taxes'!R59</f>
        <v>1.7133124131475806E-5</v>
      </c>
      <c r="S58">
        <f>'Pretax Fuel Prices'!S59+'Fuel Taxes'!S59</f>
        <v>1.7308600816717715E-5</v>
      </c>
      <c r="T58">
        <f>'Pretax Fuel Prices'!T59+'Fuel Taxes'!T59</f>
        <v>1.739333122967856E-5</v>
      </c>
      <c r="U58">
        <f>'Pretax Fuel Prices'!U59+'Fuel Taxes'!U59</f>
        <v>1.745080471609403E-5</v>
      </c>
      <c r="V58">
        <f>'Pretax Fuel Prices'!V59+'Fuel Taxes'!V59</f>
        <v>1.7633828339218363E-5</v>
      </c>
      <c r="W58">
        <f>'Pretax Fuel Prices'!W59+'Fuel Taxes'!W59</f>
        <v>1.7710261102837947E-5</v>
      </c>
      <c r="X58">
        <f>'Pretax Fuel Prices'!X59+'Fuel Taxes'!X59</f>
        <v>1.7740713213256076E-5</v>
      </c>
      <c r="Y58">
        <f>'Pretax Fuel Prices'!Y59+'Fuel Taxes'!Y59</f>
        <v>1.7937585175074729E-5</v>
      </c>
      <c r="Z58">
        <f>'Pretax Fuel Prices'!Z59+'Fuel Taxes'!Z59</f>
        <v>1.8166239514794989E-5</v>
      </c>
      <c r="AA58">
        <f>'Pretax Fuel Prices'!AA59+'Fuel Taxes'!AA59</f>
        <v>1.8253263580034687E-5</v>
      </c>
      <c r="AB58">
        <f>'Pretax Fuel Prices'!AB59+'Fuel Taxes'!AB59</f>
        <v>1.8457437608842304E-5</v>
      </c>
      <c r="AC58">
        <f>'Pretax Fuel Prices'!AC59+'Fuel Taxes'!AC59</f>
        <v>1.8514284090201863E-5</v>
      </c>
      <c r="AD58">
        <f>'Pretax Fuel Prices'!AD59+'Fuel Taxes'!AD59</f>
        <v>1.8469704030726647E-5</v>
      </c>
      <c r="AE58">
        <f>'Pretax Fuel Prices'!AE59+'Fuel Taxes'!AE59</f>
        <v>1.8464265185518687E-5</v>
      </c>
      <c r="AF58">
        <f>'Pretax Fuel Prices'!AF59+'Fuel Taxes'!AF59</f>
        <v>1.8417556698069895E-5</v>
      </c>
      <c r="AG58">
        <f>'Pretax Fuel Prices'!AG59+'Fuel Taxes'!AG59</f>
        <v>1.8351590776224603E-5</v>
      </c>
      <c r="AH58">
        <f>'Pretax Fuel Prices'!AH59+'Fuel Taxes'!AH59</f>
        <v>1.8287938648566343E-5</v>
      </c>
      <c r="AI58">
        <f>'Pretax Fuel Prices'!AI59+'Fuel Taxes'!AI59</f>
        <v>1.8224286520908081E-5</v>
      </c>
      <c r="AJ58">
        <f>'Pretax Fuel Prices'!AJ59+'Fuel Taxes'!AJ59</f>
        <v>1.8160634393249821E-5</v>
      </c>
      <c r="AK58">
        <f>'Pretax Fuel Prices'!AK59+'Fuel Taxes'!AK59</f>
        <v>1.8096982265591555E-5</v>
      </c>
      <c r="AL58">
        <f>'Pretax Fuel Prices'!AL59+'Fuel Taxes'!AL59</f>
        <v>1.8033330137933296E-5</v>
      </c>
      <c r="AM58">
        <f>'Pretax Fuel Prices'!AM59+'Fuel Taxes'!AM59</f>
        <v>1.7969678010275033E-5</v>
      </c>
      <c r="AN58">
        <f>'Pretax Fuel Prices'!AN59+'Fuel Taxes'!AN59</f>
        <v>1.790602588261677E-5</v>
      </c>
      <c r="AO58">
        <f>'Pretax Fuel Prices'!AO59+'Fuel Taxes'!AO59</f>
        <v>1.7842373754958507E-5</v>
      </c>
      <c r="AP58">
        <f>'Pretax Fuel Prices'!AP59+'Fuel Taxes'!AP59</f>
        <v>1.7778721627300248E-5</v>
      </c>
      <c r="AQ58">
        <f>'Pretax Fuel Prices'!AQ59+'Fuel Taxes'!AQ59</f>
        <v>1.7715069499641985E-5</v>
      </c>
      <c r="AR58">
        <f>'Pretax Fuel Prices'!AR59+'Fuel Taxes'!AR59</f>
        <v>1.7651417371983726E-5</v>
      </c>
      <c r="AS58">
        <f>'Pretax Fuel Prices'!AS59+'Fuel Taxes'!AS59</f>
        <v>1.758776524432546E-5</v>
      </c>
      <c r="AT58">
        <f>'Pretax Fuel Prices'!AT59+'Fuel Taxes'!AT59</f>
        <v>1.75241131166672E-5</v>
      </c>
      <c r="AU58">
        <f>'Pretax Fuel Prices'!AU59+'Fuel Taxes'!AU59</f>
        <v>1.7460460989008938E-5</v>
      </c>
      <c r="AV58">
        <f>'Pretax Fuel Prices'!AV59+'Fuel Taxes'!AV59</f>
        <v>1.7396808861350675E-5</v>
      </c>
      <c r="AW58">
        <f>'Pretax Fuel Prices'!AW59+'Fuel Taxes'!AW59</f>
        <v>1.7333156733692412E-5</v>
      </c>
      <c r="AX58">
        <f>'Pretax Fuel Prices'!AX59+'Fuel Taxes'!AX59</f>
        <v>1.7269504606034153E-5</v>
      </c>
      <c r="AY58">
        <f>'Pretax Fuel Prices'!AY59+'Fuel Taxes'!AY59</f>
        <v>1.720585247837589E-5</v>
      </c>
      <c r="AZ58">
        <f>'Pretax Fuel Prices'!AZ59+'Fuel Taxes'!AZ59</f>
        <v>1.7142200350717631E-5</v>
      </c>
    </row>
    <row r="59" spans="1:52" x14ac:dyDescent="0.25">
      <c r="A59" t="s">
        <v>58</v>
      </c>
      <c r="B59">
        <f>'Pretax Fuel Prices'!B60+'Fuel Taxes'!B60</f>
        <v>0</v>
      </c>
      <c r="C59">
        <f>'Pretax Fuel Prices'!C60+'Fuel Taxes'!C60</f>
        <v>0</v>
      </c>
      <c r="D59">
        <f>'Pretax Fuel Prices'!D60+'Fuel Taxes'!D60</f>
        <v>0</v>
      </c>
      <c r="E59">
        <f>'Pretax Fuel Prices'!E60+'Fuel Taxes'!E60</f>
        <v>0</v>
      </c>
      <c r="F59">
        <f>'Pretax Fuel Prices'!F60+'Fuel Taxes'!F60</f>
        <v>0</v>
      </c>
      <c r="G59">
        <f>'Pretax Fuel Prices'!G60+'Fuel Taxes'!G60</f>
        <v>0</v>
      </c>
      <c r="H59">
        <f>'Pretax Fuel Prices'!H60+'Fuel Taxes'!H60</f>
        <v>0</v>
      </c>
      <c r="I59">
        <f>'Pretax Fuel Prices'!I60+'Fuel Taxes'!I60</f>
        <v>0</v>
      </c>
      <c r="J59">
        <f>'Pretax Fuel Prices'!J60+'Fuel Taxes'!J60</f>
        <v>0</v>
      </c>
      <c r="K59">
        <f>'Pretax Fuel Prices'!K60+'Fuel Taxes'!K60</f>
        <v>0</v>
      </c>
      <c r="L59">
        <f>'Pretax Fuel Prices'!L60+'Fuel Taxes'!L60</f>
        <v>0</v>
      </c>
      <c r="M59">
        <f>'Pretax Fuel Prices'!M60+'Fuel Taxes'!M60</f>
        <v>0</v>
      </c>
      <c r="N59">
        <f>'Pretax Fuel Prices'!N60+'Fuel Taxes'!N60</f>
        <v>0</v>
      </c>
      <c r="O59">
        <f>'Pretax Fuel Prices'!O60+'Fuel Taxes'!O60</f>
        <v>0</v>
      </c>
      <c r="P59">
        <f>'Pretax Fuel Prices'!P60+'Fuel Taxes'!P60</f>
        <v>0</v>
      </c>
      <c r="Q59">
        <f>'Pretax Fuel Prices'!Q60+'Fuel Taxes'!Q60</f>
        <v>0</v>
      </c>
      <c r="R59">
        <f>'Pretax Fuel Prices'!R60+'Fuel Taxes'!R60</f>
        <v>0</v>
      </c>
      <c r="S59">
        <f>'Pretax Fuel Prices'!S60+'Fuel Taxes'!S60</f>
        <v>0</v>
      </c>
      <c r="T59">
        <f>'Pretax Fuel Prices'!T60+'Fuel Taxes'!T60</f>
        <v>0</v>
      </c>
      <c r="U59">
        <f>'Pretax Fuel Prices'!U60+'Fuel Taxes'!U60</f>
        <v>0</v>
      </c>
      <c r="V59">
        <f>'Pretax Fuel Prices'!V60+'Fuel Taxes'!V60</f>
        <v>0</v>
      </c>
      <c r="W59">
        <f>'Pretax Fuel Prices'!W60+'Fuel Taxes'!W60</f>
        <v>0</v>
      </c>
      <c r="X59">
        <f>'Pretax Fuel Prices'!X60+'Fuel Taxes'!X60</f>
        <v>0</v>
      </c>
      <c r="Y59">
        <f>'Pretax Fuel Prices'!Y60+'Fuel Taxes'!Y60</f>
        <v>0</v>
      </c>
      <c r="Z59">
        <f>'Pretax Fuel Prices'!Z60+'Fuel Taxes'!Z60</f>
        <v>0</v>
      </c>
      <c r="AA59">
        <f>'Pretax Fuel Prices'!AA60+'Fuel Taxes'!AA60</f>
        <v>0</v>
      </c>
      <c r="AB59">
        <f>'Pretax Fuel Prices'!AB60+'Fuel Taxes'!AB60</f>
        <v>0</v>
      </c>
      <c r="AC59">
        <f>'Pretax Fuel Prices'!AC60+'Fuel Taxes'!AC60</f>
        <v>0</v>
      </c>
      <c r="AD59">
        <f>'Pretax Fuel Prices'!AD60+'Fuel Taxes'!AD60</f>
        <v>0</v>
      </c>
      <c r="AE59">
        <f>'Pretax Fuel Prices'!AE60+'Fuel Taxes'!AE60</f>
        <v>0</v>
      </c>
      <c r="AF59">
        <f>'Pretax Fuel Prices'!AF60+'Fuel Taxes'!AF60</f>
        <v>0</v>
      </c>
      <c r="AG59">
        <f>'Pretax Fuel Prices'!AG60+'Fuel Taxes'!AG60</f>
        <v>0</v>
      </c>
      <c r="AH59">
        <f>'Pretax Fuel Prices'!AH60+'Fuel Taxes'!AH60</f>
        <v>0</v>
      </c>
      <c r="AI59">
        <f>'Pretax Fuel Prices'!AI60+'Fuel Taxes'!AI60</f>
        <v>0</v>
      </c>
      <c r="AJ59">
        <f>'Pretax Fuel Prices'!AJ60+'Fuel Taxes'!AJ60</f>
        <v>0</v>
      </c>
      <c r="AK59">
        <f>'Pretax Fuel Prices'!AK60+'Fuel Taxes'!AK60</f>
        <v>0</v>
      </c>
      <c r="AL59">
        <f>'Pretax Fuel Prices'!AL60+'Fuel Taxes'!AL60</f>
        <v>0</v>
      </c>
      <c r="AM59">
        <f>'Pretax Fuel Prices'!AM60+'Fuel Taxes'!AM60</f>
        <v>0</v>
      </c>
      <c r="AN59">
        <f>'Pretax Fuel Prices'!AN60+'Fuel Taxes'!AN60</f>
        <v>0</v>
      </c>
      <c r="AO59">
        <f>'Pretax Fuel Prices'!AO60+'Fuel Taxes'!AO60</f>
        <v>0</v>
      </c>
      <c r="AP59">
        <f>'Pretax Fuel Prices'!AP60+'Fuel Taxes'!AP60</f>
        <v>0</v>
      </c>
      <c r="AQ59">
        <f>'Pretax Fuel Prices'!AQ60+'Fuel Taxes'!AQ60</f>
        <v>0</v>
      </c>
      <c r="AR59">
        <f>'Pretax Fuel Prices'!AR60+'Fuel Taxes'!AR60</f>
        <v>0</v>
      </c>
      <c r="AS59">
        <f>'Pretax Fuel Prices'!AS60+'Fuel Taxes'!AS60</f>
        <v>0</v>
      </c>
      <c r="AT59">
        <f>'Pretax Fuel Prices'!AT60+'Fuel Taxes'!AT60</f>
        <v>0</v>
      </c>
      <c r="AU59">
        <f>'Pretax Fuel Prices'!AU60+'Fuel Taxes'!AU60</f>
        <v>0</v>
      </c>
      <c r="AV59">
        <f>'Pretax Fuel Prices'!AV60+'Fuel Taxes'!AV60</f>
        <v>0</v>
      </c>
      <c r="AW59">
        <f>'Pretax Fuel Prices'!AW60+'Fuel Taxes'!AW60</f>
        <v>0</v>
      </c>
      <c r="AX59">
        <f>'Pretax Fuel Prices'!AX60+'Fuel Taxes'!AX60</f>
        <v>0</v>
      </c>
      <c r="AY59">
        <f>'Pretax Fuel Prices'!AY60+'Fuel Taxes'!AY60</f>
        <v>0</v>
      </c>
      <c r="AZ59">
        <f>'Pretax Fuel Prices'!AZ60+'Fuel Taxes'!AZ60</f>
        <v>0</v>
      </c>
    </row>
    <row r="60" spans="1:52" x14ac:dyDescent="0.25">
      <c r="A60" t="s">
        <v>59</v>
      </c>
      <c r="B60">
        <f>'Pretax Fuel Prices'!B61+'Fuel Taxes'!B61</f>
        <v>1.5282806344312254E-5</v>
      </c>
      <c r="C60">
        <f>'Pretax Fuel Prices'!C61+'Fuel Taxes'!C61</f>
        <v>1.8574727009269181E-5</v>
      </c>
      <c r="D60">
        <f>'Pretax Fuel Prices'!D61+'Fuel Taxes'!D61</f>
        <v>2.811698771679742E-5</v>
      </c>
      <c r="E60">
        <f>'Pretax Fuel Prices'!E61+'Fuel Taxes'!E61</f>
        <v>2.3482206596057024E-5</v>
      </c>
      <c r="F60">
        <f>'Pretax Fuel Prices'!F61+'Fuel Taxes'!F61</f>
        <v>2.2112284001061581E-5</v>
      </c>
      <c r="G60">
        <f>'Pretax Fuel Prices'!G61+'Fuel Taxes'!G61</f>
        <v>2.0742361406066141E-5</v>
      </c>
      <c r="H60">
        <f>'Pretax Fuel Prices'!H61+'Fuel Taxes'!H61</f>
        <v>1.9372438811070702E-5</v>
      </c>
      <c r="I60">
        <f>'Pretax Fuel Prices'!I61+'Fuel Taxes'!I61</f>
        <v>1.8002516216075258E-5</v>
      </c>
      <c r="J60">
        <f>'Pretax Fuel Prices'!J61+'Fuel Taxes'!J61</f>
        <v>1.6632593621079822E-5</v>
      </c>
      <c r="K60">
        <f>'Pretax Fuel Prices'!K61+'Fuel Taxes'!K61</f>
        <v>1.6738828612850129E-5</v>
      </c>
      <c r="L60">
        <f>'Pretax Fuel Prices'!L61+'Fuel Taxes'!L61</f>
        <v>1.6714690612805844E-5</v>
      </c>
      <c r="M60">
        <f>'Pretax Fuel Prices'!M61+'Fuel Taxes'!M61</f>
        <v>1.6956507822179573E-5</v>
      </c>
      <c r="N60">
        <f>'Pretax Fuel Prices'!N61+'Fuel Taxes'!N61</f>
        <v>1.7049151208406831E-5</v>
      </c>
      <c r="O60">
        <f>'Pretax Fuel Prices'!O61+'Fuel Taxes'!O61</f>
        <v>1.7120362036675645E-5</v>
      </c>
      <c r="P60">
        <f>'Pretax Fuel Prices'!P61+'Fuel Taxes'!P61</f>
        <v>1.7163513541388343E-5</v>
      </c>
      <c r="Q60">
        <f>'Pretax Fuel Prices'!Q61+'Fuel Taxes'!Q61</f>
        <v>1.7250737570402624E-5</v>
      </c>
      <c r="R60">
        <f>'Pretax Fuel Prices'!R61+'Fuel Taxes'!R61</f>
        <v>1.7404468195158131E-5</v>
      </c>
      <c r="S60">
        <f>'Pretax Fuel Prices'!S61+'Fuel Taxes'!S61</f>
        <v>1.7595095525541568E-5</v>
      </c>
      <c r="T60">
        <f>'Pretax Fuel Prices'!T61+'Fuel Taxes'!T61</f>
        <v>1.7711154161390556E-5</v>
      </c>
      <c r="U60">
        <f>'Pretax Fuel Prices'!U61+'Fuel Taxes'!U61</f>
        <v>1.7774979039561573E-5</v>
      </c>
      <c r="V60">
        <f>'Pretax Fuel Prices'!V61+'Fuel Taxes'!V61</f>
        <v>1.7947026684990954E-5</v>
      </c>
      <c r="W60">
        <f>'Pretax Fuel Prices'!W61+'Fuel Taxes'!W61</f>
        <v>1.8043754924427055E-5</v>
      </c>
      <c r="X60">
        <f>'Pretax Fuel Prices'!X61+'Fuel Taxes'!X61</f>
        <v>1.8061655071469164E-5</v>
      </c>
      <c r="Y60">
        <f>'Pretax Fuel Prices'!Y61+'Fuel Taxes'!Y61</f>
        <v>1.8283604693611838E-5</v>
      </c>
      <c r="Z60">
        <f>'Pretax Fuel Prices'!Z61+'Fuel Taxes'!Z61</f>
        <v>1.8525795564106722E-5</v>
      </c>
      <c r="AA60">
        <f>'Pretax Fuel Prices'!AA61+'Fuel Taxes'!AA61</f>
        <v>1.8620114917902344E-5</v>
      </c>
      <c r="AB60">
        <f>'Pretax Fuel Prices'!AB61+'Fuel Taxes'!AB61</f>
        <v>1.8778630269077755E-5</v>
      </c>
      <c r="AC60">
        <f>'Pretax Fuel Prices'!AC61+'Fuel Taxes'!AC61</f>
        <v>1.8825956441237035E-5</v>
      </c>
      <c r="AD60">
        <f>'Pretax Fuel Prices'!AD61+'Fuel Taxes'!AD61</f>
        <v>1.8786832173052364E-5</v>
      </c>
      <c r="AE60">
        <f>'Pretax Fuel Prices'!AE61+'Fuel Taxes'!AE61</f>
        <v>1.8769352288858542E-5</v>
      </c>
      <c r="AF60">
        <f>'Pretax Fuel Prices'!AF61+'Fuel Taxes'!AF61</f>
        <v>1.8708099826025018E-5</v>
      </c>
      <c r="AG60">
        <f>'Pretax Fuel Prices'!AG61+'Fuel Taxes'!AG61</f>
        <v>1.8650980958229576E-5</v>
      </c>
      <c r="AH60">
        <f>'Pretax Fuel Prices'!AH61+'Fuel Taxes'!AH61</f>
        <v>1.8593875006171184E-5</v>
      </c>
      <c r="AI60">
        <f>'Pretax Fuel Prices'!AI61+'Fuel Taxes'!AI61</f>
        <v>1.8536769054112792E-5</v>
      </c>
      <c r="AJ60">
        <f>'Pretax Fuel Prices'!AJ61+'Fuel Taxes'!AJ61</f>
        <v>1.8479663102054403E-5</v>
      </c>
      <c r="AK60">
        <f>'Pretax Fuel Prices'!AK61+'Fuel Taxes'!AK61</f>
        <v>1.8422557149996011E-5</v>
      </c>
      <c r="AL60">
        <f>'Pretax Fuel Prices'!AL61+'Fuel Taxes'!AL61</f>
        <v>1.8365451197937619E-5</v>
      </c>
      <c r="AM60">
        <f>'Pretax Fuel Prices'!AM61+'Fuel Taxes'!AM61</f>
        <v>1.830834524587923E-5</v>
      </c>
      <c r="AN60">
        <f>'Pretax Fuel Prices'!AN61+'Fuel Taxes'!AN61</f>
        <v>1.8251239293820838E-5</v>
      </c>
      <c r="AO60">
        <f>'Pretax Fuel Prices'!AO61+'Fuel Taxes'!AO61</f>
        <v>1.8194133341762445E-5</v>
      </c>
      <c r="AP60">
        <f>'Pretax Fuel Prices'!AP61+'Fuel Taxes'!AP61</f>
        <v>1.8137027389704053E-5</v>
      </c>
      <c r="AQ60">
        <f>'Pretax Fuel Prices'!AQ61+'Fuel Taxes'!AQ61</f>
        <v>1.8079921437645661E-5</v>
      </c>
      <c r="AR60">
        <f>'Pretax Fuel Prices'!AR61+'Fuel Taxes'!AR61</f>
        <v>1.8022815485587272E-5</v>
      </c>
      <c r="AS60">
        <f>'Pretax Fuel Prices'!AS61+'Fuel Taxes'!AS61</f>
        <v>1.796570953352888E-5</v>
      </c>
      <c r="AT60">
        <f>'Pretax Fuel Prices'!AT61+'Fuel Taxes'!AT61</f>
        <v>1.7908603581470488E-5</v>
      </c>
      <c r="AU60">
        <f>'Pretax Fuel Prices'!AU61+'Fuel Taxes'!AU61</f>
        <v>1.7851497629412096E-5</v>
      </c>
      <c r="AV60">
        <f>'Pretax Fuel Prices'!AV61+'Fuel Taxes'!AV61</f>
        <v>1.7794391677353704E-5</v>
      </c>
      <c r="AW60">
        <f>'Pretax Fuel Prices'!AW61+'Fuel Taxes'!AW61</f>
        <v>1.7737285725295315E-5</v>
      </c>
      <c r="AX60">
        <f>'Pretax Fuel Prices'!AX61+'Fuel Taxes'!AX61</f>
        <v>1.7680179773236923E-5</v>
      </c>
      <c r="AY60">
        <f>'Pretax Fuel Prices'!AY61+'Fuel Taxes'!AY61</f>
        <v>1.7623073821178531E-5</v>
      </c>
      <c r="AZ60">
        <f>'Pretax Fuel Prices'!AZ61+'Fuel Taxes'!AZ61</f>
        <v>1.7565967869120142E-5</v>
      </c>
    </row>
    <row r="61" spans="1:52" s="3" customFormat="1" x14ac:dyDescent="0.25">
      <c r="A61" s="5" t="s">
        <v>36</v>
      </c>
    </row>
    <row r="62" spans="1:52" x14ac:dyDescent="0.25">
      <c r="A62" t="s">
        <v>30</v>
      </c>
      <c r="B62">
        <f>'Fuel Taxes'!B$1</f>
        <v>2020</v>
      </c>
      <c r="C62">
        <f>'Fuel Taxes'!C$1</f>
        <v>2021</v>
      </c>
      <c r="D62">
        <f>'Fuel Taxes'!D$1</f>
        <v>2022</v>
      </c>
      <c r="E62">
        <f>'Fuel Taxes'!E$1</f>
        <v>2023</v>
      </c>
      <c r="F62">
        <f>'Fuel Taxes'!F$1</f>
        <v>2024</v>
      </c>
      <c r="G62">
        <f>'Fuel Taxes'!G$1</f>
        <v>2025</v>
      </c>
      <c r="H62">
        <f>'Fuel Taxes'!H$1</f>
        <v>2026</v>
      </c>
      <c r="I62">
        <f>'Fuel Taxes'!I$1</f>
        <v>2027</v>
      </c>
      <c r="J62">
        <f>'Fuel Taxes'!J$1</f>
        <v>2028</v>
      </c>
      <c r="K62">
        <f>'Fuel Taxes'!K$1</f>
        <v>2029</v>
      </c>
      <c r="L62">
        <f>'Fuel Taxes'!L$1</f>
        <v>2030</v>
      </c>
      <c r="M62">
        <f>'Fuel Taxes'!M$1</f>
        <v>2031</v>
      </c>
      <c r="N62">
        <f>'Fuel Taxes'!N$1</f>
        <v>2032</v>
      </c>
      <c r="O62">
        <f>'Fuel Taxes'!O$1</f>
        <v>2033</v>
      </c>
      <c r="P62">
        <f>'Fuel Taxes'!P$1</f>
        <v>2034</v>
      </c>
      <c r="Q62">
        <f>'Fuel Taxes'!Q$1</f>
        <v>2035</v>
      </c>
      <c r="R62">
        <f>'Fuel Taxes'!R$1</f>
        <v>2036</v>
      </c>
      <c r="S62">
        <f>'Fuel Taxes'!S$1</f>
        <v>2037</v>
      </c>
      <c r="T62">
        <f>'Fuel Taxes'!T$1</f>
        <v>2038</v>
      </c>
      <c r="U62">
        <f>'Fuel Taxes'!U$1</f>
        <v>2039</v>
      </c>
      <c r="V62">
        <f>'Fuel Taxes'!V$1</f>
        <v>2040</v>
      </c>
      <c r="W62">
        <f>'Fuel Taxes'!W$1</f>
        <v>2041</v>
      </c>
      <c r="X62">
        <f>'Fuel Taxes'!X$1</f>
        <v>2042</v>
      </c>
      <c r="Y62">
        <f>'Fuel Taxes'!Y$1</f>
        <v>2043</v>
      </c>
      <c r="Z62">
        <f>'Fuel Taxes'!Z$1</f>
        <v>2044</v>
      </c>
      <c r="AA62">
        <f>'Fuel Taxes'!AA$1</f>
        <v>2045</v>
      </c>
      <c r="AB62">
        <f>'Fuel Taxes'!AB$1</f>
        <v>2046</v>
      </c>
      <c r="AC62">
        <f>'Fuel Taxes'!AC$1</f>
        <v>2047</v>
      </c>
      <c r="AD62">
        <f>'Fuel Taxes'!AD$1</f>
        <v>2048</v>
      </c>
      <c r="AE62">
        <f>'Fuel Taxes'!AE$1</f>
        <v>2049</v>
      </c>
      <c r="AF62">
        <f>'Fuel Taxes'!AF$1</f>
        <v>2050</v>
      </c>
      <c r="AG62">
        <f>'Fuel Taxes'!AG$1</f>
        <v>2051</v>
      </c>
      <c r="AH62">
        <f>'Fuel Taxes'!AH$1</f>
        <v>2052</v>
      </c>
      <c r="AI62">
        <f>'Fuel Taxes'!AI$1</f>
        <v>2053</v>
      </c>
      <c r="AJ62">
        <f>'Fuel Taxes'!AJ$1</f>
        <v>2054</v>
      </c>
      <c r="AK62">
        <f>'Fuel Taxes'!AK$1</f>
        <v>2055</v>
      </c>
      <c r="AL62">
        <f>'Fuel Taxes'!AL$1</f>
        <v>2056</v>
      </c>
      <c r="AM62">
        <f>'Fuel Taxes'!AM$1</f>
        <v>2057</v>
      </c>
      <c r="AN62">
        <f>'Fuel Taxes'!AN$1</f>
        <v>2058</v>
      </c>
      <c r="AO62">
        <f>'Fuel Taxes'!AO$1</f>
        <v>2059</v>
      </c>
      <c r="AP62">
        <f>'Fuel Taxes'!AP$1</f>
        <v>2060</v>
      </c>
      <c r="AQ62">
        <f>'Fuel Taxes'!AQ$1</f>
        <v>2061</v>
      </c>
      <c r="AR62">
        <f>'Fuel Taxes'!AR$1</f>
        <v>2062</v>
      </c>
      <c r="AS62">
        <f>'Fuel Taxes'!AS$1</f>
        <v>2063</v>
      </c>
      <c r="AT62">
        <f>'Fuel Taxes'!AT$1</f>
        <v>2064</v>
      </c>
      <c r="AU62">
        <f>'Fuel Taxes'!AU$1</f>
        <v>2065</v>
      </c>
      <c r="AV62">
        <f>'Fuel Taxes'!AV$1</f>
        <v>2066</v>
      </c>
      <c r="AW62">
        <f>'Fuel Taxes'!AW$1</f>
        <v>2067</v>
      </c>
      <c r="AX62">
        <f>'Fuel Taxes'!AX$1</f>
        <v>2068</v>
      </c>
      <c r="AY62">
        <f>'Fuel Taxes'!AY$1</f>
        <v>2069</v>
      </c>
      <c r="AZ62">
        <f>'Fuel Taxes'!AZ$1</f>
        <v>2070</v>
      </c>
    </row>
    <row r="63" spans="1:52" x14ac:dyDescent="0.25">
      <c r="A63" t="s">
        <v>52</v>
      </c>
      <c r="B63">
        <f>'Pretax Fuel Prices'!B64+'Fuel Taxes'!B64</f>
        <v>1.8683067927182387E-5</v>
      </c>
      <c r="C63">
        <f>'Pretax Fuel Prices'!C64+'Fuel Taxes'!C64</f>
        <v>2.1771832936111003E-5</v>
      </c>
      <c r="D63">
        <f>'Pretax Fuel Prices'!D64+'Fuel Taxes'!D64</f>
        <v>2.1766218698948214E-5</v>
      </c>
      <c r="E63">
        <f>'Pretax Fuel Prices'!E64+'Fuel Taxes'!E64</f>
        <v>2.1891300276473406E-5</v>
      </c>
      <c r="F63">
        <f>'Pretax Fuel Prices'!F64+'Fuel Taxes'!F64</f>
        <v>2.1701422810244675E-5</v>
      </c>
      <c r="G63">
        <f>'Pretax Fuel Prices'!G64+'Fuel Taxes'!G64</f>
        <v>2.1442532422659328E-5</v>
      </c>
      <c r="H63">
        <f>'Pretax Fuel Prices'!H64+'Fuel Taxes'!H64</f>
        <v>2.1682626215433441E-5</v>
      </c>
      <c r="I63">
        <f>'Pretax Fuel Prices'!I64+'Fuel Taxes'!I64</f>
        <v>2.1961814620747681E-5</v>
      </c>
      <c r="J63">
        <f>'Pretax Fuel Prices'!J64+'Fuel Taxes'!J64</f>
        <v>2.2232382553847283E-5</v>
      </c>
      <c r="K63">
        <f>'Pretax Fuel Prices'!K64+'Fuel Taxes'!K64</f>
        <v>2.2428669875816509E-5</v>
      </c>
      <c r="L63">
        <f>'Pretax Fuel Prices'!L64+'Fuel Taxes'!L64</f>
        <v>2.3013385982617997E-5</v>
      </c>
      <c r="M63">
        <f>'Pretax Fuel Prices'!M64+'Fuel Taxes'!M64</f>
        <v>2.3637559348127096E-5</v>
      </c>
      <c r="N63">
        <f>'Pretax Fuel Prices'!N64+'Fuel Taxes'!N64</f>
        <v>2.3943622545824263E-5</v>
      </c>
      <c r="O63">
        <f>'Pretax Fuel Prices'!O64+'Fuel Taxes'!O64</f>
        <v>2.4084837641281317E-5</v>
      </c>
      <c r="P63">
        <f>'Pretax Fuel Prices'!P64+'Fuel Taxes'!P64</f>
        <v>2.448968463823301E-5</v>
      </c>
      <c r="Q63">
        <f>'Pretax Fuel Prices'!Q64+'Fuel Taxes'!Q64</f>
        <v>2.4635355706107683E-5</v>
      </c>
      <c r="R63">
        <f>'Pretax Fuel Prices'!R64+'Fuel Taxes'!R64</f>
        <v>2.4670563734605301E-5</v>
      </c>
      <c r="S63">
        <f>'Pretax Fuel Prices'!S64+'Fuel Taxes'!S64</f>
        <v>2.4784404128242974E-5</v>
      </c>
      <c r="T63">
        <f>'Pretax Fuel Prices'!T64+'Fuel Taxes'!T64</f>
        <v>2.5103267549426133E-5</v>
      </c>
      <c r="U63">
        <f>'Pretax Fuel Prices'!U64+'Fuel Taxes'!U64</f>
        <v>2.5094315781296816E-5</v>
      </c>
      <c r="V63">
        <f>'Pretax Fuel Prices'!V64+'Fuel Taxes'!V64</f>
        <v>2.5291750353057533E-5</v>
      </c>
      <c r="W63">
        <f>'Pretax Fuel Prices'!W64+'Fuel Taxes'!W64</f>
        <v>2.5473037002716156E-5</v>
      </c>
      <c r="X63">
        <f>'Pretax Fuel Prices'!X64+'Fuel Taxes'!X64</f>
        <v>2.548948741239251E-5</v>
      </c>
      <c r="Y63">
        <f>'Pretax Fuel Prices'!Y64+'Fuel Taxes'!Y64</f>
        <v>2.573788139642026E-5</v>
      </c>
      <c r="Z63">
        <f>'Pretax Fuel Prices'!Z64+'Fuel Taxes'!Z64</f>
        <v>2.5988377541993575E-5</v>
      </c>
      <c r="AA63">
        <f>'Pretax Fuel Prices'!AA64+'Fuel Taxes'!AA64</f>
        <v>2.6076020139247887E-5</v>
      </c>
      <c r="AB63">
        <f>'Pretax Fuel Prices'!AB64+'Fuel Taxes'!AB64</f>
        <v>2.6299400010761331E-5</v>
      </c>
      <c r="AC63">
        <f>'Pretax Fuel Prices'!AC64+'Fuel Taxes'!AC64</f>
        <v>2.6389554017455804E-5</v>
      </c>
      <c r="AD63">
        <f>'Pretax Fuel Prices'!AD64+'Fuel Taxes'!AD64</f>
        <v>2.632414044404177E-5</v>
      </c>
      <c r="AE63">
        <f>'Pretax Fuel Prices'!AE64+'Fuel Taxes'!AE64</f>
        <v>2.6349594307399339E-5</v>
      </c>
      <c r="AF63">
        <f>'Pretax Fuel Prices'!AF64+'Fuel Taxes'!AF64</f>
        <v>2.6346966817293421E-5</v>
      </c>
      <c r="AG63">
        <f>'Pretax Fuel Prices'!AG64+'Fuel Taxes'!AG64</f>
        <v>2.6423210134856602E-5</v>
      </c>
      <c r="AH63">
        <f>'Pretax Fuel Prices'!AH64+'Fuel Taxes'!AH64</f>
        <v>2.6495932876820852E-5</v>
      </c>
      <c r="AI63">
        <f>'Pretax Fuel Prices'!AI64+'Fuel Taxes'!AI64</f>
        <v>2.6568655618785095E-5</v>
      </c>
      <c r="AJ63">
        <f>'Pretax Fuel Prices'!AJ64+'Fuel Taxes'!AJ64</f>
        <v>2.6641378360749339E-5</v>
      </c>
      <c r="AK63">
        <f>'Pretax Fuel Prices'!AK64+'Fuel Taxes'!AK64</f>
        <v>2.6714101102713585E-5</v>
      </c>
      <c r="AL63">
        <f>'Pretax Fuel Prices'!AL64+'Fuel Taxes'!AL64</f>
        <v>2.6786823844677832E-5</v>
      </c>
      <c r="AM63">
        <f>'Pretax Fuel Prices'!AM64+'Fuel Taxes'!AM64</f>
        <v>2.6859546586642078E-5</v>
      </c>
      <c r="AN63">
        <f>'Pretax Fuel Prices'!AN64+'Fuel Taxes'!AN64</f>
        <v>2.6932269328606322E-5</v>
      </c>
      <c r="AO63">
        <f>'Pretax Fuel Prices'!AO64+'Fuel Taxes'!AO64</f>
        <v>2.7004992070570572E-5</v>
      </c>
      <c r="AP63">
        <f>'Pretax Fuel Prices'!AP64+'Fuel Taxes'!AP64</f>
        <v>2.7077714812534815E-5</v>
      </c>
      <c r="AQ63">
        <f>'Pretax Fuel Prices'!AQ64+'Fuel Taxes'!AQ64</f>
        <v>2.7150437554499058E-5</v>
      </c>
      <c r="AR63">
        <f>'Pretax Fuel Prices'!AR64+'Fuel Taxes'!AR64</f>
        <v>2.7223160296463305E-5</v>
      </c>
      <c r="AS63">
        <f>'Pretax Fuel Prices'!AS64+'Fuel Taxes'!AS64</f>
        <v>2.7295883038427551E-5</v>
      </c>
      <c r="AT63">
        <f>'Pretax Fuel Prices'!AT64+'Fuel Taxes'!AT64</f>
        <v>2.7368605780391798E-5</v>
      </c>
      <c r="AU63">
        <f>'Pretax Fuel Prices'!AU64+'Fuel Taxes'!AU64</f>
        <v>2.7441328522356041E-5</v>
      </c>
      <c r="AV63">
        <f>'Pretax Fuel Prices'!AV64+'Fuel Taxes'!AV64</f>
        <v>2.7514051264320284E-5</v>
      </c>
      <c r="AW63">
        <f>'Pretax Fuel Prices'!AW64+'Fuel Taxes'!AW64</f>
        <v>2.7586774006284534E-5</v>
      </c>
      <c r="AX63">
        <f>'Pretax Fuel Prices'!AX64+'Fuel Taxes'!AX64</f>
        <v>2.7659496748248777E-5</v>
      </c>
      <c r="AY63">
        <f>'Pretax Fuel Prices'!AY64+'Fuel Taxes'!AY64</f>
        <v>2.7732219490213024E-5</v>
      </c>
      <c r="AZ63">
        <f>'Pretax Fuel Prices'!AZ64+'Fuel Taxes'!AZ64</f>
        <v>2.7804942232177271E-5</v>
      </c>
    </row>
    <row r="64" spans="1:52" x14ac:dyDescent="0.25">
      <c r="A64" t="s">
        <v>53</v>
      </c>
      <c r="B64">
        <f>'Pretax Fuel Prices'!B65+'Fuel Taxes'!B65</f>
        <v>0</v>
      </c>
      <c r="C64">
        <f>'Pretax Fuel Prices'!C65+'Fuel Taxes'!C65</f>
        <v>0</v>
      </c>
      <c r="D64">
        <f>'Pretax Fuel Prices'!D65+'Fuel Taxes'!D65</f>
        <v>0</v>
      </c>
      <c r="E64">
        <f>'Pretax Fuel Prices'!E65+'Fuel Taxes'!E65</f>
        <v>0</v>
      </c>
      <c r="F64">
        <f>'Pretax Fuel Prices'!F65+'Fuel Taxes'!F65</f>
        <v>0</v>
      </c>
      <c r="G64">
        <f>'Pretax Fuel Prices'!G65+'Fuel Taxes'!G65</f>
        <v>0</v>
      </c>
      <c r="H64">
        <f>'Pretax Fuel Prices'!H65+'Fuel Taxes'!H65</f>
        <v>0</v>
      </c>
      <c r="I64">
        <f>'Pretax Fuel Prices'!I65+'Fuel Taxes'!I65</f>
        <v>0</v>
      </c>
      <c r="J64">
        <f>'Pretax Fuel Prices'!J65+'Fuel Taxes'!J65</f>
        <v>0</v>
      </c>
      <c r="K64">
        <f>'Pretax Fuel Prices'!K65+'Fuel Taxes'!K65</f>
        <v>0</v>
      </c>
      <c r="L64">
        <f>'Pretax Fuel Prices'!L65+'Fuel Taxes'!L65</f>
        <v>0</v>
      </c>
      <c r="M64">
        <f>'Pretax Fuel Prices'!M65+'Fuel Taxes'!M65</f>
        <v>0</v>
      </c>
      <c r="N64">
        <f>'Pretax Fuel Prices'!N65+'Fuel Taxes'!N65</f>
        <v>0</v>
      </c>
      <c r="O64">
        <f>'Pretax Fuel Prices'!O65+'Fuel Taxes'!O65</f>
        <v>0</v>
      </c>
      <c r="P64">
        <f>'Pretax Fuel Prices'!P65+'Fuel Taxes'!P65</f>
        <v>0</v>
      </c>
      <c r="Q64">
        <f>'Pretax Fuel Prices'!Q65+'Fuel Taxes'!Q65</f>
        <v>0</v>
      </c>
      <c r="R64">
        <f>'Pretax Fuel Prices'!R65+'Fuel Taxes'!R65</f>
        <v>0</v>
      </c>
      <c r="S64">
        <f>'Pretax Fuel Prices'!S65+'Fuel Taxes'!S65</f>
        <v>0</v>
      </c>
      <c r="T64">
        <f>'Pretax Fuel Prices'!T65+'Fuel Taxes'!T65</f>
        <v>0</v>
      </c>
      <c r="U64">
        <f>'Pretax Fuel Prices'!U65+'Fuel Taxes'!U65</f>
        <v>0</v>
      </c>
      <c r="V64">
        <f>'Pretax Fuel Prices'!V65+'Fuel Taxes'!V65</f>
        <v>0</v>
      </c>
      <c r="W64">
        <f>'Pretax Fuel Prices'!W65+'Fuel Taxes'!W65</f>
        <v>0</v>
      </c>
      <c r="X64">
        <f>'Pretax Fuel Prices'!X65+'Fuel Taxes'!X65</f>
        <v>0</v>
      </c>
      <c r="Y64">
        <f>'Pretax Fuel Prices'!Y65+'Fuel Taxes'!Y65</f>
        <v>0</v>
      </c>
      <c r="Z64">
        <f>'Pretax Fuel Prices'!Z65+'Fuel Taxes'!Z65</f>
        <v>0</v>
      </c>
      <c r="AA64">
        <f>'Pretax Fuel Prices'!AA65+'Fuel Taxes'!AA65</f>
        <v>0</v>
      </c>
      <c r="AB64">
        <f>'Pretax Fuel Prices'!AB65+'Fuel Taxes'!AB65</f>
        <v>0</v>
      </c>
      <c r="AC64">
        <f>'Pretax Fuel Prices'!AC65+'Fuel Taxes'!AC65</f>
        <v>0</v>
      </c>
      <c r="AD64">
        <f>'Pretax Fuel Prices'!AD65+'Fuel Taxes'!AD65</f>
        <v>0</v>
      </c>
      <c r="AE64">
        <f>'Pretax Fuel Prices'!AE65+'Fuel Taxes'!AE65</f>
        <v>0</v>
      </c>
      <c r="AF64">
        <f>'Pretax Fuel Prices'!AF65+'Fuel Taxes'!AF65</f>
        <v>0</v>
      </c>
      <c r="AG64">
        <f>'Pretax Fuel Prices'!AG65+'Fuel Taxes'!AG65</f>
        <v>0</v>
      </c>
      <c r="AH64">
        <f>'Pretax Fuel Prices'!AH65+'Fuel Taxes'!AH65</f>
        <v>0</v>
      </c>
      <c r="AI64">
        <f>'Pretax Fuel Prices'!AI65+'Fuel Taxes'!AI65</f>
        <v>0</v>
      </c>
      <c r="AJ64">
        <f>'Pretax Fuel Prices'!AJ65+'Fuel Taxes'!AJ65</f>
        <v>0</v>
      </c>
      <c r="AK64">
        <f>'Pretax Fuel Prices'!AK65+'Fuel Taxes'!AK65</f>
        <v>0</v>
      </c>
      <c r="AL64">
        <f>'Pretax Fuel Prices'!AL65+'Fuel Taxes'!AL65</f>
        <v>0</v>
      </c>
      <c r="AM64">
        <f>'Pretax Fuel Prices'!AM65+'Fuel Taxes'!AM65</f>
        <v>0</v>
      </c>
      <c r="AN64">
        <f>'Pretax Fuel Prices'!AN65+'Fuel Taxes'!AN65</f>
        <v>0</v>
      </c>
      <c r="AO64">
        <f>'Pretax Fuel Prices'!AO65+'Fuel Taxes'!AO65</f>
        <v>0</v>
      </c>
      <c r="AP64">
        <f>'Pretax Fuel Prices'!AP65+'Fuel Taxes'!AP65</f>
        <v>0</v>
      </c>
      <c r="AQ64">
        <f>'Pretax Fuel Prices'!AQ65+'Fuel Taxes'!AQ65</f>
        <v>0</v>
      </c>
      <c r="AR64">
        <f>'Pretax Fuel Prices'!AR65+'Fuel Taxes'!AR65</f>
        <v>0</v>
      </c>
      <c r="AS64">
        <f>'Pretax Fuel Prices'!AS65+'Fuel Taxes'!AS65</f>
        <v>0</v>
      </c>
      <c r="AT64">
        <f>'Pretax Fuel Prices'!AT65+'Fuel Taxes'!AT65</f>
        <v>0</v>
      </c>
      <c r="AU64">
        <f>'Pretax Fuel Prices'!AU65+'Fuel Taxes'!AU65</f>
        <v>0</v>
      </c>
      <c r="AV64">
        <f>'Pretax Fuel Prices'!AV65+'Fuel Taxes'!AV65</f>
        <v>0</v>
      </c>
      <c r="AW64">
        <f>'Pretax Fuel Prices'!AW65+'Fuel Taxes'!AW65</f>
        <v>0</v>
      </c>
      <c r="AX64">
        <f>'Pretax Fuel Prices'!AX65+'Fuel Taxes'!AX65</f>
        <v>0</v>
      </c>
      <c r="AY64">
        <f>'Pretax Fuel Prices'!AY65+'Fuel Taxes'!AY65</f>
        <v>0</v>
      </c>
      <c r="AZ64">
        <f>'Pretax Fuel Prices'!AZ65+'Fuel Taxes'!AZ65</f>
        <v>0</v>
      </c>
    </row>
    <row r="65" spans="1:52" x14ac:dyDescent="0.25">
      <c r="A65" t="s">
        <v>54</v>
      </c>
      <c r="B65">
        <f>'Pretax Fuel Prices'!B66+'Fuel Taxes'!B66</f>
        <v>0</v>
      </c>
      <c r="C65">
        <f>'Pretax Fuel Prices'!C66+'Fuel Taxes'!C66</f>
        <v>0</v>
      </c>
      <c r="D65">
        <f>'Pretax Fuel Prices'!D66+'Fuel Taxes'!D66</f>
        <v>0</v>
      </c>
      <c r="E65">
        <f>'Pretax Fuel Prices'!E66+'Fuel Taxes'!E66</f>
        <v>0</v>
      </c>
      <c r="F65">
        <f>'Pretax Fuel Prices'!F66+'Fuel Taxes'!F66</f>
        <v>0</v>
      </c>
      <c r="G65">
        <f>'Pretax Fuel Prices'!G66+'Fuel Taxes'!G66</f>
        <v>0</v>
      </c>
      <c r="H65">
        <f>'Pretax Fuel Prices'!H66+'Fuel Taxes'!H66</f>
        <v>0</v>
      </c>
      <c r="I65">
        <f>'Pretax Fuel Prices'!I66+'Fuel Taxes'!I66</f>
        <v>0</v>
      </c>
      <c r="J65">
        <f>'Pretax Fuel Prices'!J66+'Fuel Taxes'!J66</f>
        <v>0</v>
      </c>
      <c r="K65">
        <f>'Pretax Fuel Prices'!K66+'Fuel Taxes'!K66</f>
        <v>0</v>
      </c>
      <c r="L65">
        <f>'Pretax Fuel Prices'!L66+'Fuel Taxes'!L66</f>
        <v>0</v>
      </c>
      <c r="M65">
        <f>'Pretax Fuel Prices'!M66+'Fuel Taxes'!M66</f>
        <v>0</v>
      </c>
      <c r="N65">
        <f>'Pretax Fuel Prices'!N66+'Fuel Taxes'!N66</f>
        <v>0</v>
      </c>
      <c r="O65">
        <f>'Pretax Fuel Prices'!O66+'Fuel Taxes'!O66</f>
        <v>0</v>
      </c>
      <c r="P65">
        <f>'Pretax Fuel Prices'!P66+'Fuel Taxes'!P66</f>
        <v>0</v>
      </c>
      <c r="Q65">
        <f>'Pretax Fuel Prices'!Q66+'Fuel Taxes'!Q66</f>
        <v>0</v>
      </c>
      <c r="R65">
        <f>'Pretax Fuel Prices'!R66+'Fuel Taxes'!R66</f>
        <v>0</v>
      </c>
      <c r="S65">
        <f>'Pretax Fuel Prices'!S66+'Fuel Taxes'!S66</f>
        <v>0</v>
      </c>
      <c r="T65">
        <f>'Pretax Fuel Prices'!T66+'Fuel Taxes'!T66</f>
        <v>0</v>
      </c>
      <c r="U65">
        <f>'Pretax Fuel Prices'!U66+'Fuel Taxes'!U66</f>
        <v>0</v>
      </c>
      <c r="V65">
        <f>'Pretax Fuel Prices'!V66+'Fuel Taxes'!V66</f>
        <v>0</v>
      </c>
      <c r="W65">
        <f>'Pretax Fuel Prices'!W66+'Fuel Taxes'!W66</f>
        <v>0</v>
      </c>
      <c r="X65">
        <f>'Pretax Fuel Prices'!X66+'Fuel Taxes'!X66</f>
        <v>0</v>
      </c>
      <c r="Y65">
        <f>'Pretax Fuel Prices'!Y66+'Fuel Taxes'!Y66</f>
        <v>0</v>
      </c>
      <c r="Z65">
        <f>'Pretax Fuel Prices'!Z66+'Fuel Taxes'!Z66</f>
        <v>0</v>
      </c>
      <c r="AA65">
        <f>'Pretax Fuel Prices'!AA66+'Fuel Taxes'!AA66</f>
        <v>0</v>
      </c>
      <c r="AB65">
        <f>'Pretax Fuel Prices'!AB66+'Fuel Taxes'!AB66</f>
        <v>0</v>
      </c>
      <c r="AC65">
        <f>'Pretax Fuel Prices'!AC66+'Fuel Taxes'!AC66</f>
        <v>0</v>
      </c>
      <c r="AD65">
        <f>'Pretax Fuel Prices'!AD66+'Fuel Taxes'!AD66</f>
        <v>0</v>
      </c>
      <c r="AE65">
        <f>'Pretax Fuel Prices'!AE66+'Fuel Taxes'!AE66</f>
        <v>0</v>
      </c>
      <c r="AF65">
        <f>'Pretax Fuel Prices'!AF66+'Fuel Taxes'!AF66</f>
        <v>0</v>
      </c>
      <c r="AG65">
        <f>'Pretax Fuel Prices'!AG66+'Fuel Taxes'!AG66</f>
        <v>0</v>
      </c>
      <c r="AH65">
        <f>'Pretax Fuel Prices'!AH66+'Fuel Taxes'!AH66</f>
        <v>0</v>
      </c>
      <c r="AI65">
        <f>'Pretax Fuel Prices'!AI66+'Fuel Taxes'!AI66</f>
        <v>0</v>
      </c>
      <c r="AJ65">
        <f>'Pretax Fuel Prices'!AJ66+'Fuel Taxes'!AJ66</f>
        <v>0</v>
      </c>
      <c r="AK65">
        <f>'Pretax Fuel Prices'!AK66+'Fuel Taxes'!AK66</f>
        <v>0</v>
      </c>
      <c r="AL65">
        <f>'Pretax Fuel Prices'!AL66+'Fuel Taxes'!AL66</f>
        <v>0</v>
      </c>
      <c r="AM65">
        <f>'Pretax Fuel Prices'!AM66+'Fuel Taxes'!AM66</f>
        <v>0</v>
      </c>
      <c r="AN65">
        <f>'Pretax Fuel Prices'!AN66+'Fuel Taxes'!AN66</f>
        <v>0</v>
      </c>
      <c r="AO65">
        <f>'Pretax Fuel Prices'!AO66+'Fuel Taxes'!AO66</f>
        <v>0</v>
      </c>
      <c r="AP65">
        <f>'Pretax Fuel Prices'!AP66+'Fuel Taxes'!AP66</f>
        <v>0</v>
      </c>
      <c r="AQ65">
        <f>'Pretax Fuel Prices'!AQ66+'Fuel Taxes'!AQ66</f>
        <v>0</v>
      </c>
      <c r="AR65">
        <f>'Pretax Fuel Prices'!AR66+'Fuel Taxes'!AR66</f>
        <v>0</v>
      </c>
      <c r="AS65">
        <f>'Pretax Fuel Prices'!AS66+'Fuel Taxes'!AS66</f>
        <v>0</v>
      </c>
      <c r="AT65">
        <f>'Pretax Fuel Prices'!AT66+'Fuel Taxes'!AT66</f>
        <v>0</v>
      </c>
      <c r="AU65">
        <f>'Pretax Fuel Prices'!AU66+'Fuel Taxes'!AU66</f>
        <v>0</v>
      </c>
      <c r="AV65">
        <f>'Pretax Fuel Prices'!AV66+'Fuel Taxes'!AV66</f>
        <v>0</v>
      </c>
      <c r="AW65">
        <f>'Pretax Fuel Prices'!AW66+'Fuel Taxes'!AW66</f>
        <v>0</v>
      </c>
      <c r="AX65">
        <f>'Pretax Fuel Prices'!AX66+'Fuel Taxes'!AX66</f>
        <v>0</v>
      </c>
      <c r="AY65">
        <f>'Pretax Fuel Prices'!AY66+'Fuel Taxes'!AY66</f>
        <v>0</v>
      </c>
      <c r="AZ65">
        <f>'Pretax Fuel Prices'!AZ66+'Fuel Taxes'!AZ66</f>
        <v>0</v>
      </c>
    </row>
    <row r="66" spans="1:52" x14ac:dyDescent="0.25">
      <c r="A66" t="s">
        <v>55</v>
      </c>
      <c r="B66">
        <f>'Pretax Fuel Prices'!B67+'Fuel Taxes'!B67</f>
        <v>0</v>
      </c>
      <c r="C66">
        <f>'Pretax Fuel Prices'!C67+'Fuel Taxes'!C67</f>
        <v>0</v>
      </c>
      <c r="D66">
        <f>'Pretax Fuel Prices'!D67+'Fuel Taxes'!D67</f>
        <v>0</v>
      </c>
      <c r="E66">
        <f>'Pretax Fuel Prices'!E67+'Fuel Taxes'!E67</f>
        <v>0</v>
      </c>
      <c r="F66">
        <f>'Pretax Fuel Prices'!F67+'Fuel Taxes'!F67</f>
        <v>0</v>
      </c>
      <c r="G66">
        <f>'Pretax Fuel Prices'!G67+'Fuel Taxes'!G67</f>
        <v>0</v>
      </c>
      <c r="H66">
        <f>'Pretax Fuel Prices'!H67+'Fuel Taxes'!H67</f>
        <v>0</v>
      </c>
      <c r="I66">
        <f>'Pretax Fuel Prices'!I67+'Fuel Taxes'!I67</f>
        <v>0</v>
      </c>
      <c r="J66">
        <f>'Pretax Fuel Prices'!J67+'Fuel Taxes'!J67</f>
        <v>0</v>
      </c>
      <c r="K66">
        <f>'Pretax Fuel Prices'!K67+'Fuel Taxes'!K67</f>
        <v>0</v>
      </c>
      <c r="L66">
        <f>'Pretax Fuel Prices'!L67+'Fuel Taxes'!L67</f>
        <v>0</v>
      </c>
      <c r="M66">
        <f>'Pretax Fuel Prices'!M67+'Fuel Taxes'!M67</f>
        <v>0</v>
      </c>
      <c r="N66">
        <f>'Pretax Fuel Prices'!N67+'Fuel Taxes'!N67</f>
        <v>0</v>
      </c>
      <c r="O66">
        <f>'Pretax Fuel Prices'!O67+'Fuel Taxes'!O67</f>
        <v>0</v>
      </c>
      <c r="P66">
        <f>'Pretax Fuel Prices'!P67+'Fuel Taxes'!P67</f>
        <v>0</v>
      </c>
      <c r="Q66">
        <f>'Pretax Fuel Prices'!Q67+'Fuel Taxes'!Q67</f>
        <v>0</v>
      </c>
      <c r="R66">
        <f>'Pretax Fuel Prices'!R67+'Fuel Taxes'!R67</f>
        <v>0</v>
      </c>
      <c r="S66">
        <f>'Pretax Fuel Prices'!S67+'Fuel Taxes'!S67</f>
        <v>0</v>
      </c>
      <c r="T66">
        <f>'Pretax Fuel Prices'!T67+'Fuel Taxes'!T67</f>
        <v>0</v>
      </c>
      <c r="U66">
        <f>'Pretax Fuel Prices'!U67+'Fuel Taxes'!U67</f>
        <v>0</v>
      </c>
      <c r="V66">
        <f>'Pretax Fuel Prices'!V67+'Fuel Taxes'!V67</f>
        <v>0</v>
      </c>
      <c r="W66">
        <f>'Pretax Fuel Prices'!W67+'Fuel Taxes'!W67</f>
        <v>0</v>
      </c>
      <c r="X66">
        <f>'Pretax Fuel Prices'!X67+'Fuel Taxes'!X67</f>
        <v>0</v>
      </c>
      <c r="Y66">
        <f>'Pretax Fuel Prices'!Y67+'Fuel Taxes'!Y67</f>
        <v>0</v>
      </c>
      <c r="Z66">
        <f>'Pretax Fuel Prices'!Z67+'Fuel Taxes'!Z67</f>
        <v>0</v>
      </c>
      <c r="AA66">
        <f>'Pretax Fuel Prices'!AA67+'Fuel Taxes'!AA67</f>
        <v>0</v>
      </c>
      <c r="AB66">
        <f>'Pretax Fuel Prices'!AB67+'Fuel Taxes'!AB67</f>
        <v>0</v>
      </c>
      <c r="AC66">
        <f>'Pretax Fuel Prices'!AC67+'Fuel Taxes'!AC67</f>
        <v>0</v>
      </c>
      <c r="AD66">
        <f>'Pretax Fuel Prices'!AD67+'Fuel Taxes'!AD67</f>
        <v>0</v>
      </c>
      <c r="AE66">
        <f>'Pretax Fuel Prices'!AE67+'Fuel Taxes'!AE67</f>
        <v>0</v>
      </c>
      <c r="AF66">
        <f>'Pretax Fuel Prices'!AF67+'Fuel Taxes'!AF67</f>
        <v>0</v>
      </c>
      <c r="AG66">
        <f>'Pretax Fuel Prices'!AG67+'Fuel Taxes'!AG67</f>
        <v>0</v>
      </c>
      <c r="AH66">
        <f>'Pretax Fuel Prices'!AH67+'Fuel Taxes'!AH67</f>
        <v>0</v>
      </c>
      <c r="AI66">
        <f>'Pretax Fuel Prices'!AI67+'Fuel Taxes'!AI67</f>
        <v>0</v>
      </c>
      <c r="AJ66">
        <f>'Pretax Fuel Prices'!AJ67+'Fuel Taxes'!AJ67</f>
        <v>0</v>
      </c>
      <c r="AK66">
        <f>'Pretax Fuel Prices'!AK67+'Fuel Taxes'!AK67</f>
        <v>0</v>
      </c>
      <c r="AL66">
        <f>'Pretax Fuel Prices'!AL67+'Fuel Taxes'!AL67</f>
        <v>0</v>
      </c>
      <c r="AM66">
        <f>'Pretax Fuel Prices'!AM67+'Fuel Taxes'!AM67</f>
        <v>0</v>
      </c>
      <c r="AN66">
        <f>'Pretax Fuel Prices'!AN67+'Fuel Taxes'!AN67</f>
        <v>0</v>
      </c>
      <c r="AO66">
        <f>'Pretax Fuel Prices'!AO67+'Fuel Taxes'!AO67</f>
        <v>0</v>
      </c>
      <c r="AP66">
        <f>'Pretax Fuel Prices'!AP67+'Fuel Taxes'!AP67</f>
        <v>0</v>
      </c>
      <c r="AQ66">
        <f>'Pretax Fuel Prices'!AQ67+'Fuel Taxes'!AQ67</f>
        <v>0</v>
      </c>
      <c r="AR66">
        <f>'Pretax Fuel Prices'!AR67+'Fuel Taxes'!AR67</f>
        <v>0</v>
      </c>
      <c r="AS66">
        <f>'Pretax Fuel Prices'!AS67+'Fuel Taxes'!AS67</f>
        <v>0</v>
      </c>
      <c r="AT66">
        <f>'Pretax Fuel Prices'!AT67+'Fuel Taxes'!AT67</f>
        <v>0</v>
      </c>
      <c r="AU66">
        <f>'Pretax Fuel Prices'!AU67+'Fuel Taxes'!AU67</f>
        <v>0</v>
      </c>
      <c r="AV66">
        <f>'Pretax Fuel Prices'!AV67+'Fuel Taxes'!AV67</f>
        <v>0</v>
      </c>
      <c r="AW66">
        <f>'Pretax Fuel Prices'!AW67+'Fuel Taxes'!AW67</f>
        <v>0</v>
      </c>
      <c r="AX66">
        <f>'Pretax Fuel Prices'!AX67+'Fuel Taxes'!AX67</f>
        <v>0</v>
      </c>
      <c r="AY66">
        <f>'Pretax Fuel Prices'!AY67+'Fuel Taxes'!AY67</f>
        <v>0</v>
      </c>
      <c r="AZ66">
        <f>'Pretax Fuel Prices'!AZ67+'Fuel Taxes'!AZ67</f>
        <v>0</v>
      </c>
    </row>
    <row r="67" spans="1:52" x14ac:dyDescent="0.25">
      <c r="A67" t="s">
        <v>56</v>
      </c>
      <c r="B67">
        <f>'Pretax Fuel Prices'!B68+'Fuel Taxes'!B68</f>
        <v>0</v>
      </c>
      <c r="C67">
        <f>'Pretax Fuel Prices'!C68+'Fuel Taxes'!C68</f>
        <v>0</v>
      </c>
      <c r="D67">
        <f>'Pretax Fuel Prices'!D68+'Fuel Taxes'!D68</f>
        <v>0</v>
      </c>
      <c r="E67">
        <f>'Pretax Fuel Prices'!E68+'Fuel Taxes'!E68</f>
        <v>0</v>
      </c>
      <c r="F67">
        <f>'Pretax Fuel Prices'!F68+'Fuel Taxes'!F68</f>
        <v>0</v>
      </c>
      <c r="G67">
        <f>'Pretax Fuel Prices'!G68+'Fuel Taxes'!G68</f>
        <v>0</v>
      </c>
      <c r="H67">
        <f>'Pretax Fuel Prices'!H68+'Fuel Taxes'!H68</f>
        <v>0</v>
      </c>
      <c r="I67">
        <f>'Pretax Fuel Prices'!I68+'Fuel Taxes'!I68</f>
        <v>0</v>
      </c>
      <c r="J67">
        <f>'Pretax Fuel Prices'!J68+'Fuel Taxes'!J68</f>
        <v>0</v>
      </c>
      <c r="K67">
        <f>'Pretax Fuel Prices'!K68+'Fuel Taxes'!K68</f>
        <v>0</v>
      </c>
      <c r="L67">
        <f>'Pretax Fuel Prices'!L68+'Fuel Taxes'!L68</f>
        <v>0</v>
      </c>
      <c r="M67">
        <f>'Pretax Fuel Prices'!M68+'Fuel Taxes'!M68</f>
        <v>0</v>
      </c>
      <c r="N67">
        <f>'Pretax Fuel Prices'!N68+'Fuel Taxes'!N68</f>
        <v>0</v>
      </c>
      <c r="O67">
        <f>'Pretax Fuel Prices'!O68+'Fuel Taxes'!O68</f>
        <v>0</v>
      </c>
      <c r="P67">
        <f>'Pretax Fuel Prices'!P68+'Fuel Taxes'!P68</f>
        <v>0</v>
      </c>
      <c r="Q67">
        <f>'Pretax Fuel Prices'!Q68+'Fuel Taxes'!Q68</f>
        <v>0</v>
      </c>
      <c r="R67">
        <f>'Pretax Fuel Prices'!R68+'Fuel Taxes'!R68</f>
        <v>0</v>
      </c>
      <c r="S67">
        <f>'Pretax Fuel Prices'!S68+'Fuel Taxes'!S68</f>
        <v>0</v>
      </c>
      <c r="T67">
        <f>'Pretax Fuel Prices'!T68+'Fuel Taxes'!T68</f>
        <v>0</v>
      </c>
      <c r="U67">
        <f>'Pretax Fuel Prices'!U68+'Fuel Taxes'!U68</f>
        <v>0</v>
      </c>
      <c r="V67">
        <f>'Pretax Fuel Prices'!V68+'Fuel Taxes'!V68</f>
        <v>0</v>
      </c>
      <c r="W67">
        <f>'Pretax Fuel Prices'!W68+'Fuel Taxes'!W68</f>
        <v>0</v>
      </c>
      <c r="X67">
        <f>'Pretax Fuel Prices'!X68+'Fuel Taxes'!X68</f>
        <v>0</v>
      </c>
      <c r="Y67">
        <f>'Pretax Fuel Prices'!Y68+'Fuel Taxes'!Y68</f>
        <v>0</v>
      </c>
      <c r="Z67">
        <f>'Pretax Fuel Prices'!Z68+'Fuel Taxes'!Z68</f>
        <v>0</v>
      </c>
      <c r="AA67">
        <f>'Pretax Fuel Prices'!AA68+'Fuel Taxes'!AA68</f>
        <v>0</v>
      </c>
      <c r="AB67">
        <f>'Pretax Fuel Prices'!AB68+'Fuel Taxes'!AB68</f>
        <v>0</v>
      </c>
      <c r="AC67">
        <f>'Pretax Fuel Prices'!AC68+'Fuel Taxes'!AC68</f>
        <v>0</v>
      </c>
      <c r="AD67">
        <f>'Pretax Fuel Prices'!AD68+'Fuel Taxes'!AD68</f>
        <v>0</v>
      </c>
      <c r="AE67">
        <f>'Pretax Fuel Prices'!AE68+'Fuel Taxes'!AE68</f>
        <v>0</v>
      </c>
      <c r="AF67">
        <f>'Pretax Fuel Prices'!AF68+'Fuel Taxes'!AF68</f>
        <v>0</v>
      </c>
      <c r="AG67">
        <f>'Pretax Fuel Prices'!AG68+'Fuel Taxes'!AG68</f>
        <v>0</v>
      </c>
      <c r="AH67">
        <f>'Pretax Fuel Prices'!AH68+'Fuel Taxes'!AH68</f>
        <v>0</v>
      </c>
      <c r="AI67">
        <f>'Pretax Fuel Prices'!AI68+'Fuel Taxes'!AI68</f>
        <v>0</v>
      </c>
      <c r="AJ67">
        <f>'Pretax Fuel Prices'!AJ68+'Fuel Taxes'!AJ68</f>
        <v>0</v>
      </c>
      <c r="AK67">
        <f>'Pretax Fuel Prices'!AK68+'Fuel Taxes'!AK68</f>
        <v>0</v>
      </c>
      <c r="AL67">
        <f>'Pretax Fuel Prices'!AL68+'Fuel Taxes'!AL68</f>
        <v>0</v>
      </c>
      <c r="AM67">
        <f>'Pretax Fuel Prices'!AM68+'Fuel Taxes'!AM68</f>
        <v>0</v>
      </c>
      <c r="AN67">
        <f>'Pretax Fuel Prices'!AN68+'Fuel Taxes'!AN68</f>
        <v>0</v>
      </c>
      <c r="AO67">
        <f>'Pretax Fuel Prices'!AO68+'Fuel Taxes'!AO68</f>
        <v>0</v>
      </c>
      <c r="AP67">
        <f>'Pretax Fuel Prices'!AP68+'Fuel Taxes'!AP68</f>
        <v>0</v>
      </c>
      <c r="AQ67">
        <f>'Pretax Fuel Prices'!AQ68+'Fuel Taxes'!AQ68</f>
        <v>0</v>
      </c>
      <c r="AR67">
        <f>'Pretax Fuel Prices'!AR68+'Fuel Taxes'!AR68</f>
        <v>0</v>
      </c>
      <c r="AS67">
        <f>'Pretax Fuel Prices'!AS68+'Fuel Taxes'!AS68</f>
        <v>0</v>
      </c>
      <c r="AT67">
        <f>'Pretax Fuel Prices'!AT68+'Fuel Taxes'!AT68</f>
        <v>0</v>
      </c>
      <c r="AU67">
        <f>'Pretax Fuel Prices'!AU68+'Fuel Taxes'!AU68</f>
        <v>0</v>
      </c>
      <c r="AV67">
        <f>'Pretax Fuel Prices'!AV68+'Fuel Taxes'!AV68</f>
        <v>0</v>
      </c>
      <c r="AW67">
        <f>'Pretax Fuel Prices'!AW68+'Fuel Taxes'!AW68</f>
        <v>0</v>
      </c>
      <c r="AX67">
        <f>'Pretax Fuel Prices'!AX68+'Fuel Taxes'!AX68</f>
        <v>0</v>
      </c>
      <c r="AY67">
        <f>'Pretax Fuel Prices'!AY68+'Fuel Taxes'!AY68</f>
        <v>0</v>
      </c>
      <c r="AZ67">
        <f>'Pretax Fuel Prices'!AZ68+'Fuel Taxes'!AZ68</f>
        <v>0</v>
      </c>
    </row>
    <row r="68" spans="1:52" x14ac:dyDescent="0.25">
      <c r="A68" t="s">
        <v>57</v>
      </c>
      <c r="B68">
        <f>'Pretax Fuel Prices'!B69+'Fuel Taxes'!B69</f>
        <v>0</v>
      </c>
      <c r="C68">
        <f>'Pretax Fuel Prices'!C69+'Fuel Taxes'!C69</f>
        <v>0</v>
      </c>
      <c r="D68">
        <f>'Pretax Fuel Prices'!D69+'Fuel Taxes'!D69</f>
        <v>0</v>
      </c>
      <c r="E68">
        <f>'Pretax Fuel Prices'!E69+'Fuel Taxes'!E69</f>
        <v>0</v>
      </c>
      <c r="F68">
        <f>'Pretax Fuel Prices'!F69+'Fuel Taxes'!F69</f>
        <v>0</v>
      </c>
      <c r="G68">
        <f>'Pretax Fuel Prices'!G69+'Fuel Taxes'!G69</f>
        <v>0</v>
      </c>
      <c r="H68">
        <f>'Pretax Fuel Prices'!H69+'Fuel Taxes'!H69</f>
        <v>0</v>
      </c>
      <c r="I68">
        <f>'Pretax Fuel Prices'!I69+'Fuel Taxes'!I69</f>
        <v>0</v>
      </c>
      <c r="J68">
        <f>'Pretax Fuel Prices'!J69+'Fuel Taxes'!J69</f>
        <v>0</v>
      </c>
      <c r="K68">
        <f>'Pretax Fuel Prices'!K69+'Fuel Taxes'!K69</f>
        <v>0</v>
      </c>
      <c r="L68">
        <f>'Pretax Fuel Prices'!L69+'Fuel Taxes'!L69</f>
        <v>0</v>
      </c>
      <c r="M68">
        <f>'Pretax Fuel Prices'!M69+'Fuel Taxes'!M69</f>
        <v>0</v>
      </c>
      <c r="N68">
        <f>'Pretax Fuel Prices'!N69+'Fuel Taxes'!N69</f>
        <v>0</v>
      </c>
      <c r="O68">
        <f>'Pretax Fuel Prices'!O69+'Fuel Taxes'!O69</f>
        <v>0</v>
      </c>
      <c r="P68">
        <f>'Pretax Fuel Prices'!P69+'Fuel Taxes'!P69</f>
        <v>0</v>
      </c>
      <c r="Q68">
        <f>'Pretax Fuel Prices'!Q69+'Fuel Taxes'!Q69</f>
        <v>0</v>
      </c>
      <c r="R68">
        <f>'Pretax Fuel Prices'!R69+'Fuel Taxes'!R69</f>
        <v>0</v>
      </c>
      <c r="S68">
        <f>'Pretax Fuel Prices'!S69+'Fuel Taxes'!S69</f>
        <v>0</v>
      </c>
      <c r="T68">
        <f>'Pretax Fuel Prices'!T69+'Fuel Taxes'!T69</f>
        <v>0</v>
      </c>
      <c r="U68">
        <f>'Pretax Fuel Prices'!U69+'Fuel Taxes'!U69</f>
        <v>0</v>
      </c>
      <c r="V68">
        <f>'Pretax Fuel Prices'!V69+'Fuel Taxes'!V69</f>
        <v>0</v>
      </c>
      <c r="W68">
        <f>'Pretax Fuel Prices'!W69+'Fuel Taxes'!W69</f>
        <v>0</v>
      </c>
      <c r="X68">
        <f>'Pretax Fuel Prices'!X69+'Fuel Taxes'!X69</f>
        <v>0</v>
      </c>
      <c r="Y68">
        <f>'Pretax Fuel Prices'!Y69+'Fuel Taxes'!Y69</f>
        <v>0</v>
      </c>
      <c r="Z68">
        <f>'Pretax Fuel Prices'!Z69+'Fuel Taxes'!Z69</f>
        <v>0</v>
      </c>
      <c r="AA68">
        <f>'Pretax Fuel Prices'!AA69+'Fuel Taxes'!AA69</f>
        <v>0</v>
      </c>
      <c r="AB68">
        <f>'Pretax Fuel Prices'!AB69+'Fuel Taxes'!AB69</f>
        <v>0</v>
      </c>
      <c r="AC68">
        <f>'Pretax Fuel Prices'!AC69+'Fuel Taxes'!AC69</f>
        <v>0</v>
      </c>
      <c r="AD68">
        <f>'Pretax Fuel Prices'!AD69+'Fuel Taxes'!AD69</f>
        <v>0</v>
      </c>
      <c r="AE68">
        <f>'Pretax Fuel Prices'!AE69+'Fuel Taxes'!AE69</f>
        <v>0</v>
      </c>
      <c r="AF68">
        <f>'Pretax Fuel Prices'!AF69+'Fuel Taxes'!AF69</f>
        <v>0</v>
      </c>
      <c r="AG68">
        <f>'Pretax Fuel Prices'!AG69+'Fuel Taxes'!AG69</f>
        <v>0</v>
      </c>
      <c r="AH68">
        <f>'Pretax Fuel Prices'!AH69+'Fuel Taxes'!AH69</f>
        <v>0</v>
      </c>
      <c r="AI68">
        <f>'Pretax Fuel Prices'!AI69+'Fuel Taxes'!AI69</f>
        <v>0</v>
      </c>
      <c r="AJ68">
        <f>'Pretax Fuel Prices'!AJ69+'Fuel Taxes'!AJ69</f>
        <v>0</v>
      </c>
      <c r="AK68">
        <f>'Pretax Fuel Prices'!AK69+'Fuel Taxes'!AK69</f>
        <v>0</v>
      </c>
      <c r="AL68">
        <f>'Pretax Fuel Prices'!AL69+'Fuel Taxes'!AL69</f>
        <v>0</v>
      </c>
      <c r="AM68">
        <f>'Pretax Fuel Prices'!AM69+'Fuel Taxes'!AM69</f>
        <v>0</v>
      </c>
      <c r="AN68">
        <f>'Pretax Fuel Prices'!AN69+'Fuel Taxes'!AN69</f>
        <v>0</v>
      </c>
      <c r="AO68">
        <f>'Pretax Fuel Prices'!AO69+'Fuel Taxes'!AO69</f>
        <v>0</v>
      </c>
      <c r="AP68">
        <f>'Pretax Fuel Prices'!AP69+'Fuel Taxes'!AP69</f>
        <v>0</v>
      </c>
      <c r="AQ68">
        <f>'Pretax Fuel Prices'!AQ69+'Fuel Taxes'!AQ69</f>
        <v>0</v>
      </c>
      <c r="AR68">
        <f>'Pretax Fuel Prices'!AR69+'Fuel Taxes'!AR69</f>
        <v>0</v>
      </c>
      <c r="AS68">
        <f>'Pretax Fuel Prices'!AS69+'Fuel Taxes'!AS69</f>
        <v>0</v>
      </c>
      <c r="AT68">
        <f>'Pretax Fuel Prices'!AT69+'Fuel Taxes'!AT69</f>
        <v>0</v>
      </c>
      <c r="AU68">
        <f>'Pretax Fuel Prices'!AU69+'Fuel Taxes'!AU69</f>
        <v>0</v>
      </c>
      <c r="AV68">
        <f>'Pretax Fuel Prices'!AV69+'Fuel Taxes'!AV69</f>
        <v>0</v>
      </c>
      <c r="AW68">
        <f>'Pretax Fuel Prices'!AW69+'Fuel Taxes'!AW69</f>
        <v>0</v>
      </c>
      <c r="AX68">
        <f>'Pretax Fuel Prices'!AX69+'Fuel Taxes'!AX69</f>
        <v>0</v>
      </c>
      <c r="AY68">
        <f>'Pretax Fuel Prices'!AY69+'Fuel Taxes'!AY69</f>
        <v>0</v>
      </c>
      <c r="AZ68">
        <f>'Pretax Fuel Prices'!AZ69+'Fuel Taxes'!AZ69</f>
        <v>0</v>
      </c>
    </row>
    <row r="69" spans="1:52" x14ac:dyDescent="0.25">
      <c r="A69" t="s">
        <v>58</v>
      </c>
      <c r="B69">
        <f>'Pretax Fuel Prices'!B70+'Fuel Taxes'!B70</f>
        <v>0</v>
      </c>
      <c r="C69">
        <f>'Pretax Fuel Prices'!C70+'Fuel Taxes'!C70</f>
        <v>0</v>
      </c>
      <c r="D69">
        <f>'Pretax Fuel Prices'!D70+'Fuel Taxes'!D70</f>
        <v>0</v>
      </c>
      <c r="E69">
        <f>'Pretax Fuel Prices'!E70+'Fuel Taxes'!E70</f>
        <v>0</v>
      </c>
      <c r="F69">
        <f>'Pretax Fuel Prices'!F70+'Fuel Taxes'!F70</f>
        <v>0</v>
      </c>
      <c r="G69">
        <f>'Pretax Fuel Prices'!G70+'Fuel Taxes'!G70</f>
        <v>0</v>
      </c>
      <c r="H69">
        <f>'Pretax Fuel Prices'!H70+'Fuel Taxes'!H70</f>
        <v>0</v>
      </c>
      <c r="I69">
        <f>'Pretax Fuel Prices'!I70+'Fuel Taxes'!I70</f>
        <v>0</v>
      </c>
      <c r="J69">
        <f>'Pretax Fuel Prices'!J70+'Fuel Taxes'!J70</f>
        <v>0</v>
      </c>
      <c r="K69">
        <f>'Pretax Fuel Prices'!K70+'Fuel Taxes'!K70</f>
        <v>0</v>
      </c>
      <c r="L69">
        <f>'Pretax Fuel Prices'!L70+'Fuel Taxes'!L70</f>
        <v>0</v>
      </c>
      <c r="M69">
        <f>'Pretax Fuel Prices'!M70+'Fuel Taxes'!M70</f>
        <v>0</v>
      </c>
      <c r="N69">
        <f>'Pretax Fuel Prices'!N70+'Fuel Taxes'!N70</f>
        <v>0</v>
      </c>
      <c r="O69">
        <f>'Pretax Fuel Prices'!O70+'Fuel Taxes'!O70</f>
        <v>0</v>
      </c>
      <c r="P69">
        <f>'Pretax Fuel Prices'!P70+'Fuel Taxes'!P70</f>
        <v>0</v>
      </c>
      <c r="Q69">
        <f>'Pretax Fuel Prices'!Q70+'Fuel Taxes'!Q70</f>
        <v>0</v>
      </c>
      <c r="R69">
        <f>'Pretax Fuel Prices'!R70+'Fuel Taxes'!R70</f>
        <v>0</v>
      </c>
      <c r="S69">
        <f>'Pretax Fuel Prices'!S70+'Fuel Taxes'!S70</f>
        <v>0</v>
      </c>
      <c r="T69">
        <f>'Pretax Fuel Prices'!T70+'Fuel Taxes'!T70</f>
        <v>0</v>
      </c>
      <c r="U69">
        <f>'Pretax Fuel Prices'!U70+'Fuel Taxes'!U70</f>
        <v>0</v>
      </c>
      <c r="V69">
        <f>'Pretax Fuel Prices'!V70+'Fuel Taxes'!V70</f>
        <v>0</v>
      </c>
      <c r="W69">
        <f>'Pretax Fuel Prices'!W70+'Fuel Taxes'!W70</f>
        <v>0</v>
      </c>
      <c r="X69">
        <f>'Pretax Fuel Prices'!X70+'Fuel Taxes'!X70</f>
        <v>0</v>
      </c>
      <c r="Y69">
        <f>'Pretax Fuel Prices'!Y70+'Fuel Taxes'!Y70</f>
        <v>0</v>
      </c>
      <c r="Z69">
        <f>'Pretax Fuel Prices'!Z70+'Fuel Taxes'!Z70</f>
        <v>0</v>
      </c>
      <c r="AA69">
        <f>'Pretax Fuel Prices'!AA70+'Fuel Taxes'!AA70</f>
        <v>0</v>
      </c>
      <c r="AB69">
        <f>'Pretax Fuel Prices'!AB70+'Fuel Taxes'!AB70</f>
        <v>0</v>
      </c>
      <c r="AC69">
        <f>'Pretax Fuel Prices'!AC70+'Fuel Taxes'!AC70</f>
        <v>0</v>
      </c>
      <c r="AD69">
        <f>'Pretax Fuel Prices'!AD70+'Fuel Taxes'!AD70</f>
        <v>0</v>
      </c>
      <c r="AE69">
        <f>'Pretax Fuel Prices'!AE70+'Fuel Taxes'!AE70</f>
        <v>0</v>
      </c>
      <c r="AF69">
        <f>'Pretax Fuel Prices'!AF70+'Fuel Taxes'!AF70</f>
        <v>0</v>
      </c>
      <c r="AG69">
        <f>'Pretax Fuel Prices'!AG70+'Fuel Taxes'!AG70</f>
        <v>0</v>
      </c>
      <c r="AH69">
        <f>'Pretax Fuel Prices'!AH70+'Fuel Taxes'!AH70</f>
        <v>0</v>
      </c>
      <c r="AI69">
        <f>'Pretax Fuel Prices'!AI70+'Fuel Taxes'!AI70</f>
        <v>0</v>
      </c>
      <c r="AJ69">
        <f>'Pretax Fuel Prices'!AJ70+'Fuel Taxes'!AJ70</f>
        <v>0</v>
      </c>
      <c r="AK69">
        <f>'Pretax Fuel Prices'!AK70+'Fuel Taxes'!AK70</f>
        <v>0</v>
      </c>
      <c r="AL69">
        <f>'Pretax Fuel Prices'!AL70+'Fuel Taxes'!AL70</f>
        <v>0</v>
      </c>
      <c r="AM69">
        <f>'Pretax Fuel Prices'!AM70+'Fuel Taxes'!AM70</f>
        <v>0</v>
      </c>
      <c r="AN69">
        <f>'Pretax Fuel Prices'!AN70+'Fuel Taxes'!AN70</f>
        <v>0</v>
      </c>
      <c r="AO69">
        <f>'Pretax Fuel Prices'!AO70+'Fuel Taxes'!AO70</f>
        <v>0</v>
      </c>
      <c r="AP69">
        <f>'Pretax Fuel Prices'!AP70+'Fuel Taxes'!AP70</f>
        <v>0</v>
      </c>
      <c r="AQ69">
        <f>'Pretax Fuel Prices'!AQ70+'Fuel Taxes'!AQ70</f>
        <v>0</v>
      </c>
      <c r="AR69">
        <f>'Pretax Fuel Prices'!AR70+'Fuel Taxes'!AR70</f>
        <v>0</v>
      </c>
      <c r="AS69">
        <f>'Pretax Fuel Prices'!AS70+'Fuel Taxes'!AS70</f>
        <v>0</v>
      </c>
      <c r="AT69">
        <f>'Pretax Fuel Prices'!AT70+'Fuel Taxes'!AT70</f>
        <v>0</v>
      </c>
      <c r="AU69">
        <f>'Pretax Fuel Prices'!AU70+'Fuel Taxes'!AU70</f>
        <v>0</v>
      </c>
      <c r="AV69">
        <f>'Pretax Fuel Prices'!AV70+'Fuel Taxes'!AV70</f>
        <v>0</v>
      </c>
      <c r="AW69">
        <f>'Pretax Fuel Prices'!AW70+'Fuel Taxes'!AW70</f>
        <v>0</v>
      </c>
      <c r="AX69">
        <f>'Pretax Fuel Prices'!AX70+'Fuel Taxes'!AX70</f>
        <v>0</v>
      </c>
      <c r="AY69">
        <f>'Pretax Fuel Prices'!AY70+'Fuel Taxes'!AY70</f>
        <v>0</v>
      </c>
      <c r="AZ69">
        <f>'Pretax Fuel Prices'!AZ70+'Fuel Taxes'!AZ70</f>
        <v>0</v>
      </c>
    </row>
    <row r="70" spans="1:52" x14ac:dyDescent="0.25">
      <c r="A70" t="s">
        <v>59</v>
      </c>
      <c r="B70">
        <f>'Pretax Fuel Prices'!B71+'Fuel Taxes'!B71</f>
        <v>0</v>
      </c>
      <c r="C70">
        <f>'Pretax Fuel Prices'!C71+'Fuel Taxes'!C71</f>
        <v>0</v>
      </c>
      <c r="D70">
        <f>'Pretax Fuel Prices'!D71+'Fuel Taxes'!D71</f>
        <v>0</v>
      </c>
      <c r="E70">
        <f>'Pretax Fuel Prices'!E71+'Fuel Taxes'!E71</f>
        <v>0</v>
      </c>
      <c r="F70">
        <f>'Pretax Fuel Prices'!F71+'Fuel Taxes'!F71</f>
        <v>0</v>
      </c>
      <c r="G70">
        <f>'Pretax Fuel Prices'!G71+'Fuel Taxes'!G71</f>
        <v>0</v>
      </c>
      <c r="H70">
        <f>'Pretax Fuel Prices'!H71+'Fuel Taxes'!H71</f>
        <v>0</v>
      </c>
      <c r="I70">
        <f>'Pretax Fuel Prices'!I71+'Fuel Taxes'!I71</f>
        <v>0</v>
      </c>
      <c r="J70">
        <f>'Pretax Fuel Prices'!J71+'Fuel Taxes'!J71</f>
        <v>0</v>
      </c>
      <c r="K70">
        <f>'Pretax Fuel Prices'!K71+'Fuel Taxes'!K71</f>
        <v>0</v>
      </c>
      <c r="L70">
        <f>'Pretax Fuel Prices'!L71+'Fuel Taxes'!L71</f>
        <v>0</v>
      </c>
      <c r="M70">
        <f>'Pretax Fuel Prices'!M71+'Fuel Taxes'!M71</f>
        <v>0</v>
      </c>
      <c r="N70">
        <f>'Pretax Fuel Prices'!N71+'Fuel Taxes'!N71</f>
        <v>0</v>
      </c>
      <c r="O70">
        <f>'Pretax Fuel Prices'!O71+'Fuel Taxes'!O71</f>
        <v>0</v>
      </c>
      <c r="P70">
        <f>'Pretax Fuel Prices'!P71+'Fuel Taxes'!P71</f>
        <v>0</v>
      </c>
      <c r="Q70">
        <f>'Pretax Fuel Prices'!Q71+'Fuel Taxes'!Q71</f>
        <v>0</v>
      </c>
      <c r="R70">
        <f>'Pretax Fuel Prices'!R71+'Fuel Taxes'!R71</f>
        <v>0</v>
      </c>
      <c r="S70">
        <f>'Pretax Fuel Prices'!S71+'Fuel Taxes'!S71</f>
        <v>0</v>
      </c>
      <c r="T70">
        <f>'Pretax Fuel Prices'!T71+'Fuel Taxes'!T71</f>
        <v>0</v>
      </c>
      <c r="U70">
        <f>'Pretax Fuel Prices'!U71+'Fuel Taxes'!U71</f>
        <v>0</v>
      </c>
      <c r="V70">
        <f>'Pretax Fuel Prices'!V71+'Fuel Taxes'!V71</f>
        <v>0</v>
      </c>
      <c r="W70">
        <f>'Pretax Fuel Prices'!W71+'Fuel Taxes'!W71</f>
        <v>0</v>
      </c>
      <c r="X70">
        <f>'Pretax Fuel Prices'!X71+'Fuel Taxes'!X71</f>
        <v>0</v>
      </c>
      <c r="Y70">
        <f>'Pretax Fuel Prices'!Y71+'Fuel Taxes'!Y71</f>
        <v>0</v>
      </c>
      <c r="Z70">
        <f>'Pretax Fuel Prices'!Z71+'Fuel Taxes'!Z71</f>
        <v>0</v>
      </c>
      <c r="AA70">
        <f>'Pretax Fuel Prices'!AA71+'Fuel Taxes'!AA71</f>
        <v>0</v>
      </c>
      <c r="AB70">
        <f>'Pretax Fuel Prices'!AB71+'Fuel Taxes'!AB71</f>
        <v>0</v>
      </c>
      <c r="AC70">
        <f>'Pretax Fuel Prices'!AC71+'Fuel Taxes'!AC71</f>
        <v>0</v>
      </c>
      <c r="AD70">
        <f>'Pretax Fuel Prices'!AD71+'Fuel Taxes'!AD71</f>
        <v>0</v>
      </c>
      <c r="AE70">
        <f>'Pretax Fuel Prices'!AE71+'Fuel Taxes'!AE71</f>
        <v>0</v>
      </c>
      <c r="AF70">
        <f>'Pretax Fuel Prices'!AF71+'Fuel Taxes'!AF71</f>
        <v>0</v>
      </c>
      <c r="AG70">
        <f>'Pretax Fuel Prices'!AG71+'Fuel Taxes'!AG71</f>
        <v>0</v>
      </c>
      <c r="AH70">
        <f>'Pretax Fuel Prices'!AH71+'Fuel Taxes'!AH71</f>
        <v>0</v>
      </c>
      <c r="AI70">
        <f>'Pretax Fuel Prices'!AI71+'Fuel Taxes'!AI71</f>
        <v>0</v>
      </c>
      <c r="AJ70">
        <f>'Pretax Fuel Prices'!AJ71+'Fuel Taxes'!AJ71</f>
        <v>0</v>
      </c>
      <c r="AK70">
        <f>'Pretax Fuel Prices'!AK71+'Fuel Taxes'!AK71</f>
        <v>0</v>
      </c>
      <c r="AL70">
        <f>'Pretax Fuel Prices'!AL71+'Fuel Taxes'!AL71</f>
        <v>0</v>
      </c>
      <c r="AM70">
        <f>'Pretax Fuel Prices'!AM71+'Fuel Taxes'!AM71</f>
        <v>0</v>
      </c>
      <c r="AN70">
        <f>'Pretax Fuel Prices'!AN71+'Fuel Taxes'!AN71</f>
        <v>0</v>
      </c>
      <c r="AO70">
        <f>'Pretax Fuel Prices'!AO71+'Fuel Taxes'!AO71</f>
        <v>0</v>
      </c>
      <c r="AP70">
        <f>'Pretax Fuel Prices'!AP71+'Fuel Taxes'!AP71</f>
        <v>0</v>
      </c>
      <c r="AQ70">
        <f>'Pretax Fuel Prices'!AQ71+'Fuel Taxes'!AQ71</f>
        <v>0</v>
      </c>
      <c r="AR70">
        <f>'Pretax Fuel Prices'!AR71+'Fuel Taxes'!AR71</f>
        <v>0</v>
      </c>
      <c r="AS70">
        <f>'Pretax Fuel Prices'!AS71+'Fuel Taxes'!AS71</f>
        <v>0</v>
      </c>
      <c r="AT70">
        <f>'Pretax Fuel Prices'!AT71+'Fuel Taxes'!AT71</f>
        <v>0</v>
      </c>
      <c r="AU70">
        <f>'Pretax Fuel Prices'!AU71+'Fuel Taxes'!AU71</f>
        <v>0</v>
      </c>
      <c r="AV70">
        <f>'Pretax Fuel Prices'!AV71+'Fuel Taxes'!AV71</f>
        <v>0</v>
      </c>
      <c r="AW70">
        <f>'Pretax Fuel Prices'!AW71+'Fuel Taxes'!AW71</f>
        <v>0</v>
      </c>
      <c r="AX70">
        <f>'Pretax Fuel Prices'!AX71+'Fuel Taxes'!AX71</f>
        <v>0</v>
      </c>
      <c r="AY70">
        <f>'Pretax Fuel Prices'!AY71+'Fuel Taxes'!AY71</f>
        <v>0</v>
      </c>
      <c r="AZ70">
        <f>'Pretax Fuel Prices'!AZ71+'Fuel Taxes'!AZ71</f>
        <v>0</v>
      </c>
    </row>
    <row r="71" spans="1:52" s="3" customFormat="1" x14ac:dyDescent="0.25">
      <c r="A71" s="5" t="s">
        <v>37</v>
      </c>
    </row>
    <row r="72" spans="1:52" x14ac:dyDescent="0.25">
      <c r="A72" t="s">
        <v>30</v>
      </c>
      <c r="B72">
        <f>'Fuel Taxes'!B$1</f>
        <v>2020</v>
      </c>
      <c r="C72">
        <f>'Fuel Taxes'!C$1</f>
        <v>2021</v>
      </c>
      <c r="D72">
        <f>'Fuel Taxes'!D$1</f>
        <v>2022</v>
      </c>
      <c r="E72">
        <f>'Fuel Taxes'!E$1</f>
        <v>2023</v>
      </c>
      <c r="F72">
        <f>'Fuel Taxes'!F$1</f>
        <v>2024</v>
      </c>
      <c r="G72">
        <f>'Fuel Taxes'!G$1</f>
        <v>2025</v>
      </c>
      <c r="H72">
        <f>'Fuel Taxes'!H$1</f>
        <v>2026</v>
      </c>
      <c r="I72">
        <f>'Fuel Taxes'!I$1</f>
        <v>2027</v>
      </c>
      <c r="J72">
        <f>'Fuel Taxes'!J$1</f>
        <v>2028</v>
      </c>
      <c r="K72">
        <f>'Fuel Taxes'!K$1</f>
        <v>2029</v>
      </c>
      <c r="L72">
        <f>'Fuel Taxes'!L$1</f>
        <v>2030</v>
      </c>
      <c r="M72">
        <f>'Fuel Taxes'!M$1</f>
        <v>2031</v>
      </c>
      <c r="N72">
        <f>'Fuel Taxes'!N$1</f>
        <v>2032</v>
      </c>
      <c r="O72">
        <f>'Fuel Taxes'!O$1</f>
        <v>2033</v>
      </c>
      <c r="P72">
        <f>'Fuel Taxes'!P$1</f>
        <v>2034</v>
      </c>
      <c r="Q72">
        <f>'Fuel Taxes'!Q$1</f>
        <v>2035</v>
      </c>
      <c r="R72">
        <f>'Fuel Taxes'!R$1</f>
        <v>2036</v>
      </c>
      <c r="S72">
        <f>'Fuel Taxes'!S$1</f>
        <v>2037</v>
      </c>
      <c r="T72">
        <f>'Fuel Taxes'!T$1</f>
        <v>2038</v>
      </c>
      <c r="U72">
        <f>'Fuel Taxes'!U$1</f>
        <v>2039</v>
      </c>
      <c r="V72">
        <f>'Fuel Taxes'!V$1</f>
        <v>2040</v>
      </c>
      <c r="W72">
        <f>'Fuel Taxes'!W$1</f>
        <v>2041</v>
      </c>
      <c r="X72">
        <f>'Fuel Taxes'!X$1</f>
        <v>2042</v>
      </c>
      <c r="Y72">
        <f>'Fuel Taxes'!Y$1</f>
        <v>2043</v>
      </c>
      <c r="Z72">
        <f>'Fuel Taxes'!Z$1</f>
        <v>2044</v>
      </c>
      <c r="AA72">
        <f>'Fuel Taxes'!AA$1</f>
        <v>2045</v>
      </c>
      <c r="AB72">
        <f>'Fuel Taxes'!AB$1</f>
        <v>2046</v>
      </c>
      <c r="AC72">
        <f>'Fuel Taxes'!AC$1</f>
        <v>2047</v>
      </c>
      <c r="AD72">
        <f>'Fuel Taxes'!AD$1</f>
        <v>2048</v>
      </c>
      <c r="AE72">
        <f>'Fuel Taxes'!AE$1</f>
        <v>2049</v>
      </c>
      <c r="AF72">
        <f>'Fuel Taxes'!AF$1</f>
        <v>2050</v>
      </c>
      <c r="AG72">
        <f>'Fuel Taxes'!AG$1</f>
        <v>2051</v>
      </c>
      <c r="AH72">
        <f>'Fuel Taxes'!AH$1</f>
        <v>2052</v>
      </c>
      <c r="AI72">
        <f>'Fuel Taxes'!AI$1</f>
        <v>2053</v>
      </c>
      <c r="AJ72">
        <f>'Fuel Taxes'!AJ$1</f>
        <v>2054</v>
      </c>
      <c r="AK72">
        <f>'Fuel Taxes'!AK$1</f>
        <v>2055</v>
      </c>
      <c r="AL72">
        <f>'Fuel Taxes'!AL$1</f>
        <v>2056</v>
      </c>
      <c r="AM72">
        <f>'Fuel Taxes'!AM$1</f>
        <v>2057</v>
      </c>
      <c r="AN72">
        <f>'Fuel Taxes'!AN$1</f>
        <v>2058</v>
      </c>
      <c r="AO72">
        <f>'Fuel Taxes'!AO$1</f>
        <v>2059</v>
      </c>
      <c r="AP72">
        <f>'Fuel Taxes'!AP$1</f>
        <v>2060</v>
      </c>
      <c r="AQ72">
        <f>'Fuel Taxes'!AQ$1</f>
        <v>2061</v>
      </c>
      <c r="AR72">
        <f>'Fuel Taxes'!AR$1</f>
        <v>2062</v>
      </c>
      <c r="AS72">
        <f>'Fuel Taxes'!AS$1</f>
        <v>2063</v>
      </c>
      <c r="AT72">
        <f>'Fuel Taxes'!AT$1</f>
        <v>2064</v>
      </c>
      <c r="AU72">
        <f>'Fuel Taxes'!AU$1</f>
        <v>2065</v>
      </c>
      <c r="AV72">
        <f>'Fuel Taxes'!AV$1</f>
        <v>2066</v>
      </c>
      <c r="AW72">
        <f>'Fuel Taxes'!AW$1</f>
        <v>2067</v>
      </c>
      <c r="AX72">
        <f>'Fuel Taxes'!AX$1</f>
        <v>2068</v>
      </c>
      <c r="AY72">
        <f>'Fuel Taxes'!AY$1</f>
        <v>2069</v>
      </c>
      <c r="AZ72">
        <f>'Fuel Taxes'!AZ$1</f>
        <v>2070</v>
      </c>
    </row>
    <row r="73" spans="1:52" x14ac:dyDescent="0.25">
      <c r="A73" t="s">
        <v>52</v>
      </c>
      <c r="B73">
        <f>'Pretax Fuel Prices'!B74+'Fuel Taxes'!B74</f>
        <v>1.7893022244031361E-5</v>
      </c>
      <c r="C73">
        <f>'Pretax Fuel Prices'!C74+'Fuel Taxes'!C74</f>
        <v>1.7838467224886931E-5</v>
      </c>
      <c r="D73">
        <f>'Pretax Fuel Prices'!D74+'Fuel Taxes'!D74</f>
        <v>1.8592756624233452E-5</v>
      </c>
      <c r="E73">
        <f>'Pretax Fuel Prices'!E74+'Fuel Taxes'!E74</f>
        <v>2.0132598274999515E-5</v>
      </c>
      <c r="F73">
        <f>'Pretax Fuel Prices'!F74+'Fuel Taxes'!F74</f>
        <v>2.0790355015795156E-5</v>
      </c>
      <c r="G73">
        <f>'Pretax Fuel Prices'!G74+'Fuel Taxes'!G74</f>
        <v>2.1267480317610929E-5</v>
      </c>
      <c r="H73">
        <f>'Pretax Fuel Prices'!H74+'Fuel Taxes'!H74</f>
        <v>2.1682402061765727E-5</v>
      </c>
      <c r="I73">
        <f>'Pretax Fuel Prices'!I74+'Fuel Taxes'!I74</f>
        <v>2.2055863553293128E-5</v>
      </c>
      <c r="J73">
        <f>'Pretax Fuel Prices'!J74+'Fuel Taxes'!J74</f>
        <v>2.2424448918478448E-5</v>
      </c>
      <c r="K73">
        <f>'Pretax Fuel Prices'!K74+'Fuel Taxes'!K74</f>
        <v>2.2643761364500973E-5</v>
      </c>
      <c r="L73">
        <f>'Pretax Fuel Prices'!L74+'Fuel Taxes'!L74</f>
        <v>2.3377231315099294E-5</v>
      </c>
      <c r="M73">
        <f>'Pretax Fuel Prices'!M74+'Fuel Taxes'!M74</f>
        <v>2.3623573803621412E-5</v>
      </c>
      <c r="N73">
        <f>'Pretax Fuel Prices'!N74+'Fuel Taxes'!N74</f>
        <v>2.391132187748864E-5</v>
      </c>
      <c r="O73">
        <f>'Pretax Fuel Prices'!O74+'Fuel Taxes'!O74</f>
        <v>2.4041885895481124E-5</v>
      </c>
      <c r="P73">
        <f>'Pretax Fuel Prices'!P74+'Fuel Taxes'!P74</f>
        <v>2.4140783890193536E-5</v>
      </c>
      <c r="Q73">
        <f>'Pretax Fuel Prices'!Q74+'Fuel Taxes'!Q74</f>
        <v>2.4267696914688657E-5</v>
      </c>
      <c r="R73">
        <f>'Pretax Fuel Prices'!R74+'Fuel Taxes'!R74</f>
        <v>2.4319657190326138E-5</v>
      </c>
      <c r="S73">
        <f>'Pretax Fuel Prices'!S74+'Fuel Taxes'!S74</f>
        <v>2.4577208424125468E-5</v>
      </c>
      <c r="T73">
        <f>'Pretax Fuel Prices'!T74+'Fuel Taxes'!T74</f>
        <v>2.4764312078850658E-5</v>
      </c>
      <c r="U73">
        <f>'Pretax Fuel Prices'!U74+'Fuel Taxes'!U74</f>
        <v>2.4762620321703351E-5</v>
      </c>
      <c r="V73">
        <f>'Pretax Fuel Prices'!V74+'Fuel Taxes'!V74</f>
        <v>2.5138435434974626E-5</v>
      </c>
      <c r="W73">
        <f>'Pretax Fuel Prices'!W74+'Fuel Taxes'!W74</f>
        <v>2.5362116382574878E-5</v>
      </c>
      <c r="X73">
        <f>'Pretax Fuel Prices'!X74+'Fuel Taxes'!X74</f>
        <v>2.5496620349699816E-5</v>
      </c>
      <c r="Y73">
        <f>'Pretax Fuel Prices'!Y74+'Fuel Taxes'!Y74</f>
        <v>2.5735920520818198E-5</v>
      </c>
      <c r="Z73">
        <f>'Pretax Fuel Prices'!Z74+'Fuel Taxes'!Z74</f>
        <v>2.5791717268232321E-5</v>
      </c>
      <c r="AA73">
        <f>'Pretax Fuel Prices'!AA74+'Fuel Taxes'!AA74</f>
        <v>2.5749312052582061E-5</v>
      </c>
      <c r="AB73">
        <f>'Pretax Fuel Prices'!AB74+'Fuel Taxes'!AB74</f>
        <v>2.6045766867359177E-5</v>
      </c>
      <c r="AC73">
        <f>'Pretax Fuel Prices'!AC74+'Fuel Taxes'!AC74</f>
        <v>2.615305433750376E-5</v>
      </c>
      <c r="AD73">
        <f>'Pretax Fuel Prices'!AD74+'Fuel Taxes'!AD74</f>
        <v>2.6165674670106414E-5</v>
      </c>
      <c r="AE73">
        <f>'Pretax Fuel Prices'!AE74+'Fuel Taxes'!AE74</f>
        <v>2.6285600044480114E-5</v>
      </c>
      <c r="AF73">
        <f>'Pretax Fuel Prices'!AF74+'Fuel Taxes'!AF74</f>
        <v>2.625935584416377E-5</v>
      </c>
      <c r="AG73">
        <f>'Pretax Fuel Prices'!AG74+'Fuel Taxes'!AG74</f>
        <v>2.6399850592633975E-5</v>
      </c>
      <c r="AH73">
        <f>'Pretax Fuel Prices'!AH74+'Fuel Taxes'!AH74</f>
        <v>2.6494450537424585E-5</v>
      </c>
      <c r="AI73">
        <f>'Pretax Fuel Prices'!AI74+'Fuel Taxes'!AI74</f>
        <v>2.6589050482215195E-5</v>
      </c>
      <c r="AJ73">
        <f>'Pretax Fuel Prices'!AJ74+'Fuel Taxes'!AJ74</f>
        <v>2.6683650427005802E-5</v>
      </c>
      <c r="AK73">
        <f>'Pretax Fuel Prices'!AK74+'Fuel Taxes'!AK74</f>
        <v>2.6778250371796409E-5</v>
      </c>
      <c r="AL73">
        <f>'Pretax Fuel Prices'!AL74+'Fuel Taxes'!AL74</f>
        <v>2.6872850316587015E-5</v>
      </c>
      <c r="AM73">
        <f>'Pretax Fuel Prices'!AM74+'Fuel Taxes'!AM74</f>
        <v>2.6967450261377626E-5</v>
      </c>
      <c r="AN73">
        <f>'Pretax Fuel Prices'!AN74+'Fuel Taxes'!AN74</f>
        <v>2.7062050206168236E-5</v>
      </c>
      <c r="AO73">
        <f>'Pretax Fuel Prices'!AO74+'Fuel Taxes'!AO74</f>
        <v>2.7156650150958842E-5</v>
      </c>
      <c r="AP73">
        <f>'Pretax Fuel Prices'!AP74+'Fuel Taxes'!AP74</f>
        <v>2.7251250095749452E-5</v>
      </c>
      <c r="AQ73">
        <f>'Pretax Fuel Prices'!AQ74+'Fuel Taxes'!AQ74</f>
        <v>2.7345850040540063E-5</v>
      </c>
      <c r="AR73">
        <f>'Pretax Fuel Prices'!AR74+'Fuel Taxes'!AR74</f>
        <v>2.7440449985330669E-5</v>
      </c>
      <c r="AS73">
        <f>'Pretax Fuel Prices'!AS74+'Fuel Taxes'!AS74</f>
        <v>2.7535049930121276E-5</v>
      </c>
      <c r="AT73">
        <f>'Pretax Fuel Prices'!AT74+'Fuel Taxes'!AT74</f>
        <v>2.7629649874911883E-5</v>
      </c>
      <c r="AU73">
        <f>'Pretax Fuel Prices'!AU74+'Fuel Taxes'!AU74</f>
        <v>2.7724249819702493E-5</v>
      </c>
      <c r="AV73">
        <f>'Pretax Fuel Prices'!AV74+'Fuel Taxes'!AV74</f>
        <v>2.7818849764493099E-5</v>
      </c>
      <c r="AW73">
        <f>'Pretax Fuel Prices'!AW74+'Fuel Taxes'!AW74</f>
        <v>2.791344970928371E-5</v>
      </c>
      <c r="AX73">
        <f>'Pretax Fuel Prices'!AX74+'Fuel Taxes'!AX74</f>
        <v>2.800804965407432E-5</v>
      </c>
      <c r="AY73">
        <f>'Pretax Fuel Prices'!AY74+'Fuel Taxes'!AY74</f>
        <v>2.8102649598864926E-5</v>
      </c>
      <c r="AZ73">
        <f>'Pretax Fuel Prices'!AZ74+'Fuel Taxes'!AZ74</f>
        <v>2.8197249543655536E-5</v>
      </c>
    </row>
    <row r="74" spans="1:52" x14ac:dyDescent="0.25">
      <c r="A74" t="s">
        <v>53</v>
      </c>
      <c r="B74">
        <f>'Pretax Fuel Prices'!B75+'Fuel Taxes'!B75</f>
        <v>0</v>
      </c>
      <c r="C74">
        <f>'Pretax Fuel Prices'!C75+'Fuel Taxes'!C75</f>
        <v>0</v>
      </c>
      <c r="D74">
        <f>'Pretax Fuel Prices'!D75+'Fuel Taxes'!D75</f>
        <v>0</v>
      </c>
      <c r="E74">
        <f>'Pretax Fuel Prices'!E75+'Fuel Taxes'!E75</f>
        <v>0</v>
      </c>
      <c r="F74">
        <f>'Pretax Fuel Prices'!F75+'Fuel Taxes'!F75</f>
        <v>0</v>
      </c>
      <c r="G74">
        <f>'Pretax Fuel Prices'!G75+'Fuel Taxes'!G75</f>
        <v>0</v>
      </c>
      <c r="H74">
        <f>'Pretax Fuel Prices'!H75+'Fuel Taxes'!H75</f>
        <v>0</v>
      </c>
      <c r="I74">
        <f>'Pretax Fuel Prices'!I75+'Fuel Taxes'!I75</f>
        <v>0</v>
      </c>
      <c r="J74">
        <f>'Pretax Fuel Prices'!J75+'Fuel Taxes'!J75</f>
        <v>0</v>
      </c>
      <c r="K74">
        <f>'Pretax Fuel Prices'!K75+'Fuel Taxes'!K75</f>
        <v>0</v>
      </c>
      <c r="L74">
        <f>'Pretax Fuel Prices'!L75+'Fuel Taxes'!L75</f>
        <v>0</v>
      </c>
      <c r="M74">
        <f>'Pretax Fuel Prices'!M75+'Fuel Taxes'!M75</f>
        <v>0</v>
      </c>
      <c r="N74">
        <f>'Pretax Fuel Prices'!N75+'Fuel Taxes'!N75</f>
        <v>0</v>
      </c>
      <c r="O74">
        <f>'Pretax Fuel Prices'!O75+'Fuel Taxes'!O75</f>
        <v>0</v>
      </c>
      <c r="P74">
        <f>'Pretax Fuel Prices'!P75+'Fuel Taxes'!P75</f>
        <v>0</v>
      </c>
      <c r="Q74">
        <f>'Pretax Fuel Prices'!Q75+'Fuel Taxes'!Q75</f>
        <v>0</v>
      </c>
      <c r="R74">
        <f>'Pretax Fuel Prices'!R75+'Fuel Taxes'!R75</f>
        <v>0</v>
      </c>
      <c r="S74">
        <f>'Pretax Fuel Prices'!S75+'Fuel Taxes'!S75</f>
        <v>0</v>
      </c>
      <c r="T74">
        <f>'Pretax Fuel Prices'!T75+'Fuel Taxes'!T75</f>
        <v>0</v>
      </c>
      <c r="U74">
        <f>'Pretax Fuel Prices'!U75+'Fuel Taxes'!U75</f>
        <v>0</v>
      </c>
      <c r="V74">
        <f>'Pretax Fuel Prices'!V75+'Fuel Taxes'!V75</f>
        <v>0</v>
      </c>
      <c r="W74">
        <f>'Pretax Fuel Prices'!W75+'Fuel Taxes'!W75</f>
        <v>0</v>
      </c>
      <c r="X74">
        <f>'Pretax Fuel Prices'!X75+'Fuel Taxes'!X75</f>
        <v>0</v>
      </c>
      <c r="Y74">
        <f>'Pretax Fuel Prices'!Y75+'Fuel Taxes'!Y75</f>
        <v>0</v>
      </c>
      <c r="Z74">
        <f>'Pretax Fuel Prices'!Z75+'Fuel Taxes'!Z75</f>
        <v>0</v>
      </c>
      <c r="AA74">
        <f>'Pretax Fuel Prices'!AA75+'Fuel Taxes'!AA75</f>
        <v>0</v>
      </c>
      <c r="AB74">
        <f>'Pretax Fuel Prices'!AB75+'Fuel Taxes'!AB75</f>
        <v>0</v>
      </c>
      <c r="AC74">
        <f>'Pretax Fuel Prices'!AC75+'Fuel Taxes'!AC75</f>
        <v>0</v>
      </c>
      <c r="AD74">
        <f>'Pretax Fuel Prices'!AD75+'Fuel Taxes'!AD75</f>
        <v>0</v>
      </c>
      <c r="AE74">
        <f>'Pretax Fuel Prices'!AE75+'Fuel Taxes'!AE75</f>
        <v>0</v>
      </c>
      <c r="AF74">
        <f>'Pretax Fuel Prices'!AF75+'Fuel Taxes'!AF75</f>
        <v>0</v>
      </c>
      <c r="AG74">
        <f>'Pretax Fuel Prices'!AG75+'Fuel Taxes'!AG75</f>
        <v>0</v>
      </c>
      <c r="AH74">
        <f>'Pretax Fuel Prices'!AH75+'Fuel Taxes'!AH75</f>
        <v>0</v>
      </c>
      <c r="AI74">
        <f>'Pretax Fuel Prices'!AI75+'Fuel Taxes'!AI75</f>
        <v>0</v>
      </c>
      <c r="AJ74">
        <f>'Pretax Fuel Prices'!AJ75+'Fuel Taxes'!AJ75</f>
        <v>0</v>
      </c>
      <c r="AK74">
        <f>'Pretax Fuel Prices'!AK75+'Fuel Taxes'!AK75</f>
        <v>0</v>
      </c>
      <c r="AL74">
        <f>'Pretax Fuel Prices'!AL75+'Fuel Taxes'!AL75</f>
        <v>0</v>
      </c>
      <c r="AM74">
        <f>'Pretax Fuel Prices'!AM75+'Fuel Taxes'!AM75</f>
        <v>0</v>
      </c>
      <c r="AN74">
        <f>'Pretax Fuel Prices'!AN75+'Fuel Taxes'!AN75</f>
        <v>0</v>
      </c>
      <c r="AO74">
        <f>'Pretax Fuel Prices'!AO75+'Fuel Taxes'!AO75</f>
        <v>0</v>
      </c>
      <c r="AP74">
        <f>'Pretax Fuel Prices'!AP75+'Fuel Taxes'!AP75</f>
        <v>0</v>
      </c>
      <c r="AQ74">
        <f>'Pretax Fuel Prices'!AQ75+'Fuel Taxes'!AQ75</f>
        <v>0</v>
      </c>
      <c r="AR74">
        <f>'Pretax Fuel Prices'!AR75+'Fuel Taxes'!AR75</f>
        <v>0</v>
      </c>
      <c r="AS74">
        <f>'Pretax Fuel Prices'!AS75+'Fuel Taxes'!AS75</f>
        <v>0</v>
      </c>
      <c r="AT74">
        <f>'Pretax Fuel Prices'!AT75+'Fuel Taxes'!AT75</f>
        <v>0</v>
      </c>
      <c r="AU74">
        <f>'Pretax Fuel Prices'!AU75+'Fuel Taxes'!AU75</f>
        <v>0</v>
      </c>
      <c r="AV74">
        <f>'Pretax Fuel Prices'!AV75+'Fuel Taxes'!AV75</f>
        <v>0</v>
      </c>
      <c r="AW74">
        <f>'Pretax Fuel Prices'!AW75+'Fuel Taxes'!AW75</f>
        <v>0</v>
      </c>
      <c r="AX74">
        <f>'Pretax Fuel Prices'!AX75+'Fuel Taxes'!AX75</f>
        <v>0</v>
      </c>
      <c r="AY74">
        <f>'Pretax Fuel Prices'!AY75+'Fuel Taxes'!AY75</f>
        <v>0</v>
      </c>
      <c r="AZ74">
        <f>'Pretax Fuel Prices'!AZ75+'Fuel Taxes'!AZ75</f>
        <v>0</v>
      </c>
    </row>
    <row r="75" spans="1:52" x14ac:dyDescent="0.25">
      <c r="A75" t="s">
        <v>54</v>
      </c>
      <c r="B75">
        <f>'Pretax Fuel Prices'!B76+'Fuel Taxes'!B76</f>
        <v>0</v>
      </c>
      <c r="C75">
        <f>'Pretax Fuel Prices'!C76+'Fuel Taxes'!C76</f>
        <v>0</v>
      </c>
      <c r="D75">
        <f>'Pretax Fuel Prices'!D76+'Fuel Taxes'!D76</f>
        <v>0</v>
      </c>
      <c r="E75">
        <f>'Pretax Fuel Prices'!E76+'Fuel Taxes'!E76</f>
        <v>0</v>
      </c>
      <c r="F75">
        <f>'Pretax Fuel Prices'!F76+'Fuel Taxes'!F76</f>
        <v>0</v>
      </c>
      <c r="G75">
        <f>'Pretax Fuel Prices'!G76+'Fuel Taxes'!G76</f>
        <v>0</v>
      </c>
      <c r="H75">
        <f>'Pretax Fuel Prices'!H76+'Fuel Taxes'!H76</f>
        <v>0</v>
      </c>
      <c r="I75">
        <f>'Pretax Fuel Prices'!I76+'Fuel Taxes'!I76</f>
        <v>0</v>
      </c>
      <c r="J75">
        <f>'Pretax Fuel Prices'!J76+'Fuel Taxes'!J76</f>
        <v>0</v>
      </c>
      <c r="K75">
        <f>'Pretax Fuel Prices'!K76+'Fuel Taxes'!K76</f>
        <v>0</v>
      </c>
      <c r="L75">
        <f>'Pretax Fuel Prices'!L76+'Fuel Taxes'!L76</f>
        <v>0</v>
      </c>
      <c r="M75">
        <f>'Pretax Fuel Prices'!M76+'Fuel Taxes'!M76</f>
        <v>0</v>
      </c>
      <c r="N75">
        <f>'Pretax Fuel Prices'!N76+'Fuel Taxes'!N76</f>
        <v>0</v>
      </c>
      <c r="O75">
        <f>'Pretax Fuel Prices'!O76+'Fuel Taxes'!O76</f>
        <v>0</v>
      </c>
      <c r="P75">
        <f>'Pretax Fuel Prices'!P76+'Fuel Taxes'!P76</f>
        <v>0</v>
      </c>
      <c r="Q75">
        <f>'Pretax Fuel Prices'!Q76+'Fuel Taxes'!Q76</f>
        <v>0</v>
      </c>
      <c r="R75">
        <f>'Pretax Fuel Prices'!R76+'Fuel Taxes'!R76</f>
        <v>0</v>
      </c>
      <c r="S75">
        <f>'Pretax Fuel Prices'!S76+'Fuel Taxes'!S76</f>
        <v>0</v>
      </c>
      <c r="T75">
        <f>'Pretax Fuel Prices'!T76+'Fuel Taxes'!T76</f>
        <v>0</v>
      </c>
      <c r="U75">
        <f>'Pretax Fuel Prices'!U76+'Fuel Taxes'!U76</f>
        <v>0</v>
      </c>
      <c r="V75">
        <f>'Pretax Fuel Prices'!V76+'Fuel Taxes'!V76</f>
        <v>0</v>
      </c>
      <c r="W75">
        <f>'Pretax Fuel Prices'!W76+'Fuel Taxes'!W76</f>
        <v>0</v>
      </c>
      <c r="X75">
        <f>'Pretax Fuel Prices'!X76+'Fuel Taxes'!X76</f>
        <v>0</v>
      </c>
      <c r="Y75">
        <f>'Pretax Fuel Prices'!Y76+'Fuel Taxes'!Y76</f>
        <v>0</v>
      </c>
      <c r="Z75">
        <f>'Pretax Fuel Prices'!Z76+'Fuel Taxes'!Z76</f>
        <v>0</v>
      </c>
      <c r="AA75">
        <f>'Pretax Fuel Prices'!AA76+'Fuel Taxes'!AA76</f>
        <v>0</v>
      </c>
      <c r="AB75">
        <f>'Pretax Fuel Prices'!AB76+'Fuel Taxes'!AB76</f>
        <v>0</v>
      </c>
      <c r="AC75">
        <f>'Pretax Fuel Prices'!AC76+'Fuel Taxes'!AC76</f>
        <v>0</v>
      </c>
      <c r="AD75">
        <f>'Pretax Fuel Prices'!AD76+'Fuel Taxes'!AD76</f>
        <v>0</v>
      </c>
      <c r="AE75">
        <f>'Pretax Fuel Prices'!AE76+'Fuel Taxes'!AE76</f>
        <v>0</v>
      </c>
      <c r="AF75">
        <f>'Pretax Fuel Prices'!AF76+'Fuel Taxes'!AF76</f>
        <v>0</v>
      </c>
      <c r="AG75">
        <f>'Pretax Fuel Prices'!AG76+'Fuel Taxes'!AG76</f>
        <v>0</v>
      </c>
      <c r="AH75">
        <f>'Pretax Fuel Prices'!AH76+'Fuel Taxes'!AH76</f>
        <v>0</v>
      </c>
      <c r="AI75">
        <f>'Pretax Fuel Prices'!AI76+'Fuel Taxes'!AI76</f>
        <v>0</v>
      </c>
      <c r="AJ75">
        <f>'Pretax Fuel Prices'!AJ76+'Fuel Taxes'!AJ76</f>
        <v>0</v>
      </c>
      <c r="AK75">
        <f>'Pretax Fuel Prices'!AK76+'Fuel Taxes'!AK76</f>
        <v>0</v>
      </c>
      <c r="AL75">
        <f>'Pretax Fuel Prices'!AL76+'Fuel Taxes'!AL76</f>
        <v>0</v>
      </c>
      <c r="AM75">
        <f>'Pretax Fuel Prices'!AM76+'Fuel Taxes'!AM76</f>
        <v>0</v>
      </c>
      <c r="AN75">
        <f>'Pretax Fuel Prices'!AN76+'Fuel Taxes'!AN76</f>
        <v>0</v>
      </c>
      <c r="AO75">
        <f>'Pretax Fuel Prices'!AO76+'Fuel Taxes'!AO76</f>
        <v>0</v>
      </c>
      <c r="AP75">
        <f>'Pretax Fuel Prices'!AP76+'Fuel Taxes'!AP76</f>
        <v>0</v>
      </c>
      <c r="AQ75">
        <f>'Pretax Fuel Prices'!AQ76+'Fuel Taxes'!AQ76</f>
        <v>0</v>
      </c>
      <c r="AR75">
        <f>'Pretax Fuel Prices'!AR76+'Fuel Taxes'!AR76</f>
        <v>0</v>
      </c>
      <c r="AS75">
        <f>'Pretax Fuel Prices'!AS76+'Fuel Taxes'!AS76</f>
        <v>0</v>
      </c>
      <c r="AT75">
        <f>'Pretax Fuel Prices'!AT76+'Fuel Taxes'!AT76</f>
        <v>0</v>
      </c>
      <c r="AU75">
        <f>'Pretax Fuel Prices'!AU76+'Fuel Taxes'!AU76</f>
        <v>0</v>
      </c>
      <c r="AV75">
        <f>'Pretax Fuel Prices'!AV76+'Fuel Taxes'!AV76</f>
        <v>0</v>
      </c>
      <c r="AW75">
        <f>'Pretax Fuel Prices'!AW76+'Fuel Taxes'!AW76</f>
        <v>0</v>
      </c>
      <c r="AX75">
        <f>'Pretax Fuel Prices'!AX76+'Fuel Taxes'!AX76</f>
        <v>0</v>
      </c>
      <c r="AY75">
        <f>'Pretax Fuel Prices'!AY76+'Fuel Taxes'!AY76</f>
        <v>0</v>
      </c>
      <c r="AZ75">
        <f>'Pretax Fuel Prices'!AZ76+'Fuel Taxes'!AZ76</f>
        <v>0</v>
      </c>
    </row>
    <row r="76" spans="1:52" x14ac:dyDescent="0.25">
      <c r="A76" t="s">
        <v>55</v>
      </c>
      <c r="B76">
        <f>'Pretax Fuel Prices'!B77+'Fuel Taxes'!B77</f>
        <v>0</v>
      </c>
      <c r="C76">
        <f>'Pretax Fuel Prices'!C77+'Fuel Taxes'!C77</f>
        <v>0</v>
      </c>
      <c r="D76">
        <f>'Pretax Fuel Prices'!D77+'Fuel Taxes'!D77</f>
        <v>0</v>
      </c>
      <c r="E76">
        <f>'Pretax Fuel Prices'!E77+'Fuel Taxes'!E77</f>
        <v>0</v>
      </c>
      <c r="F76">
        <f>'Pretax Fuel Prices'!F77+'Fuel Taxes'!F77</f>
        <v>0</v>
      </c>
      <c r="G76">
        <f>'Pretax Fuel Prices'!G77+'Fuel Taxes'!G77</f>
        <v>0</v>
      </c>
      <c r="H76">
        <f>'Pretax Fuel Prices'!H77+'Fuel Taxes'!H77</f>
        <v>0</v>
      </c>
      <c r="I76">
        <f>'Pretax Fuel Prices'!I77+'Fuel Taxes'!I77</f>
        <v>0</v>
      </c>
      <c r="J76">
        <f>'Pretax Fuel Prices'!J77+'Fuel Taxes'!J77</f>
        <v>0</v>
      </c>
      <c r="K76">
        <f>'Pretax Fuel Prices'!K77+'Fuel Taxes'!K77</f>
        <v>0</v>
      </c>
      <c r="L76">
        <f>'Pretax Fuel Prices'!L77+'Fuel Taxes'!L77</f>
        <v>0</v>
      </c>
      <c r="M76">
        <f>'Pretax Fuel Prices'!M77+'Fuel Taxes'!M77</f>
        <v>0</v>
      </c>
      <c r="N76">
        <f>'Pretax Fuel Prices'!N77+'Fuel Taxes'!N77</f>
        <v>0</v>
      </c>
      <c r="O76">
        <f>'Pretax Fuel Prices'!O77+'Fuel Taxes'!O77</f>
        <v>0</v>
      </c>
      <c r="P76">
        <f>'Pretax Fuel Prices'!P77+'Fuel Taxes'!P77</f>
        <v>0</v>
      </c>
      <c r="Q76">
        <f>'Pretax Fuel Prices'!Q77+'Fuel Taxes'!Q77</f>
        <v>0</v>
      </c>
      <c r="R76">
        <f>'Pretax Fuel Prices'!R77+'Fuel Taxes'!R77</f>
        <v>0</v>
      </c>
      <c r="S76">
        <f>'Pretax Fuel Prices'!S77+'Fuel Taxes'!S77</f>
        <v>0</v>
      </c>
      <c r="T76">
        <f>'Pretax Fuel Prices'!T77+'Fuel Taxes'!T77</f>
        <v>0</v>
      </c>
      <c r="U76">
        <f>'Pretax Fuel Prices'!U77+'Fuel Taxes'!U77</f>
        <v>0</v>
      </c>
      <c r="V76">
        <f>'Pretax Fuel Prices'!V77+'Fuel Taxes'!V77</f>
        <v>0</v>
      </c>
      <c r="W76">
        <f>'Pretax Fuel Prices'!W77+'Fuel Taxes'!W77</f>
        <v>0</v>
      </c>
      <c r="X76">
        <f>'Pretax Fuel Prices'!X77+'Fuel Taxes'!X77</f>
        <v>0</v>
      </c>
      <c r="Y76">
        <f>'Pretax Fuel Prices'!Y77+'Fuel Taxes'!Y77</f>
        <v>0</v>
      </c>
      <c r="Z76">
        <f>'Pretax Fuel Prices'!Z77+'Fuel Taxes'!Z77</f>
        <v>0</v>
      </c>
      <c r="AA76">
        <f>'Pretax Fuel Prices'!AA77+'Fuel Taxes'!AA77</f>
        <v>0</v>
      </c>
      <c r="AB76">
        <f>'Pretax Fuel Prices'!AB77+'Fuel Taxes'!AB77</f>
        <v>0</v>
      </c>
      <c r="AC76">
        <f>'Pretax Fuel Prices'!AC77+'Fuel Taxes'!AC77</f>
        <v>0</v>
      </c>
      <c r="AD76">
        <f>'Pretax Fuel Prices'!AD77+'Fuel Taxes'!AD77</f>
        <v>0</v>
      </c>
      <c r="AE76">
        <f>'Pretax Fuel Prices'!AE77+'Fuel Taxes'!AE77</f>
        <v>0</v>
      </c>
      <c r="AF76">
        <f>'Pretax Fuel Prices'!AF77+'Fuel Taxes'!AF77</f>
        <v>0</v>
      </c>
      <c r="AG76">
        <f>'Pretax Fuel Prices'!AG77+'Fuel Taxes'!AG77</f>
        <v>0</v>
      </c>
      <c r="AH76">
        <f>'Pretax Fuel Prices'!AH77+'Fuel Taxes'!AH77</f>
        <v>0</v>
      </c>
      <c r="AI76">
        <f>'Pretax Fuel Prices'!AI77+'Fuel Taxes'!AI77</f>
        <v>0</v>
      </c>
      <c r="AJ76">
        <f>'Pretax Fuel Prices'!AJ77+'Fuel Taxes'!AJ77</f>
        <v>0</v>
      </c>
      <c r="AK76">
        <f>'Pretax Fuel Prices'!AK77+'Fuel Taxes'!AK77</f>
        <v>0</v>
      </c>
      <c r="AL76">
        <f>'Pretax Fuel Prices'!AL77+'Fuel Taxes'!AL77</f>
        <v>0</v>
      </c>
      <c r="AM76">
        <f>'Pretax Fuel Prices'!AM77+'Fuel Taxes'!AM77</f>
        <v>0</v>
      </c>
      <c r="AN76">
        <f>'Pretax Fuel Prices'!AN77+'Fuel Taxes'!AN77</f>
        <v>0</v>
      </c>
      <c r="AO76">
        <f>'Pretax Fuel Prices'!AO77+'Fuel Taxes'!AO77</f>
        <v>0</v>
      </c>
      <c r="AP76">
        <f>'Pretax Fuel Prices'!AP77+'Fuel Taxes'!AP77</f>
        <v>0</v>
      </c>
      <c r="AQ76">
        <f>'Pretax Fuel Prices'!AQ77+'Fuel Taxes'!AQ77</f>
        <v>0</v>
      </c>
      <c r="AR76">
        <f>'Pretax Fuel Prices'!AR77+'Fuel Taxes'!AR77</f>
        <v>0</v>
      </c>
      <c r="AS76">
        <f>'Pretax Fuel Prices'!AS77+'Fuel Taxes'!AS77</f>
        <v>0</v>
      </c>
      <c r="AT76">
        <f>'Pretax Fuel Prices'!AT77+'Fuel Taxes'!AT77</f>
        <v>0</v>
      </c>
      <c r="AU76">
        <f>'Pretax Fuel Prices'!AU77+'Fuel Taxes'!AU77</f>
        <v>0</v>
      </c>
      <c r="AV76">
        <f>'Pretax Fuel Prices'!AV77+'Fuel Taxes'!AV77</f>
        <v>0</v>
      </c>
      <c r="AW76">
        <f>'Pretax Fuel Prices'!AW77+'Fuel Taxes'!AW77</f>
        <v>0</v>
      </c>
      <c r="AX76">
        <f>'Pretax Fuel Prices'!AX77+'Fuel Taxes'!AX77</f>
        <v>0</v>
      </c>
      <c r="AY76">
        <f>'Pretax Fuel Prices'!AY77+'Fuel Taxes'!AY77</f>
        <v>0</v>
      </c>
      <c r="AZ76">
        <f>'Pretax Fuel Prices'!AZ77+'Fuel Taxes'!AZ77</f>
        <v>0</v>
      </c>
    </row>
    <row r="77" spans="1:52" x14ac:dyDescent="0.25">
      <c r="A77" t="s">
        <v>56</v>
      </c>
      <c r="B77">
        <f>'Pretax Fuel Prices'!B78+'Fuel Taxes'!B78</f>
        <v>0</v>
      </c>
      <c r="C77">
        <f>'Pretax Fuel Prices'!C78+'Fuel Taxes'!C78</f>
        <v>0</v>
      </c>
      <c r="D77">
        <f>'Pretax Fuel Prices'!D78+'Fuel Taxes'!D78</f>
        <v>0</v>
      </c>
      <c r="E77">
        <f>'Pretax Fuel Prices'!E78+'Fuel Taxes'!E78</f>
        <v>0</v>
      </c>
      <c r="F77">
        <f>'Pretax Fuel Prices'!F78+'Fuel Taxes'!F78</f>
        <v>0</v>
      </c>
      <c r="G77">
        <f>'Pretax Fuel Prices'!G78+'Fuel Taxes'!G78</f>
        <v>0</v>
      </c>
      <c r="H77">
        <f>'Pretax Fuel Prices'!H78+'Fuel Taxes'!H78</f>
        <v>0</v>
      </c>
      <c r="I77">
        <f>'Pretax Fuel Prices'!I78+'Fuel Taxes'!I78</f>
        <v>0</v>
      </c>
      <c r="J77">
        <f>'Pretax Fuel Prices'!J78+'Fuel Taxes'!J78</f>
        <v>0</v>
      </c>
      <c r="K77">
        <f>'Pretax Fuel Prices'!K78+'Fuel Taxes'!K78</f>
        <v>0</v>
      </c>
      <c r="L77">
        <f>'Pretax Fuel Prices'!L78+'Fuel Taxes'!L78</f>
        <v>0</v>
      </c>
      <c r="M77">
        <f>'Pretax Fuel Prices'!M78+'Fuel Taxes'!M78</f>
        <v>0</v>
      </c>
      <c r="N77">
        <f>'Pretax Fuel Prices'!N78+'Fuel Taxes'!N78</f>
        <v>0</v>
      </c>
      <c r="O77">
        <f>'Pretax Fuel Prices'!O78+'Fuel Taxes'!O78</f>
        <v>0</v>
      </c>
      <c r="P77">
        <f>'Pretax Fuel Prices'!P78+'Fuel Taxes'!P78</f>
        <v>0</v>
      </c>
      <c r="Q77">
        <f>'Pretax Fuel Prices'!Q78+'Fuel Taxes'!Q78</f>
        <v>0</v>
      </c>
      <c r="R77">
        <f>'Pretax Fuel Prices'!R78+'Fuel Taxes'!R78</f>
        <v>0</v>
      </c>
      <c r="S77">
        <f>'Pretax Fuel Prices'!S78+'Fuel Taxes'!S78</f>
        <v>0</v>
      </c>
      <c r="T77">
        <f>'Pretax Fuel Prices'!T78+'Fuel Taxes'!T78</f>
        <v>0</v>
      </c>
      <c r="U77">
        <f>'Pretax Fuel Prices'!U78+'Fuel Taxes'!U78</f>
        <v>0</v>
      </c>
      <c r="V77">
        <f>'Pretax Fuel Prices'!V78+'Fuel Taxes'!V78</f>
        <v>0</v>
      </c>
      <c r="W77">
        <f>'Pretax Fuel Prices'!W78+'Fuel Taxes'!W78</f>
        <v>0</v>
      </c>
      <c r="X77">
        <f>'Pretax Fuel Prices'!X78+'Fuel Taxes'!X78</f>
        <v>0</v>
      </c>
      <c r="Y77">
        <f>'Pretax Fuel Prices'!Y78+'Fuel Taxes'!Y78</f>
        <v>0</v>
      </c>
      <c r="Z77">
        <f>'Pretax Fuel Prices'!Z78+'Fuel Taxes'!Z78</f>
        <v>0</v>
      </c>
      <c r="AA77">
        <f>'Pretax Fuel Prices'!AA78+'Fuel Taxes'!AA78</f>
        <v>0</v>
      </c>
      <c r="AB77">
        <f>'Pretax Fuel Prices'!AB78+'Fuel Taxes'!AB78</f>
        <v>0</v>
      </c>
      <c r="AC77">
        <f>'Pretax Fuel Prices'!AC78+'Fuel Taxes'!AC78</f>
        <v>0</v>
      </c>
      <c r="AD77">
        <f>'Pretax Fuel Prices'!AD78+'Fuel Taxes'!AD78</f>
        <v>0</v>
      </c>
      <c r="AE77">
        <f>'Pretax Fuel Prices'!AE78+'Fuel Taxes'!AE78</f>
        <v>0</v>
      </c>
      <c r="AF77">
        <f>'Pretax Fuel Prices'!AF78+'Fuel Taxes'!AF78</f>
        <v>0</v>
      </c>
      <c r="AG77">
        <f>'Pretax Fuel Prices'!AG78+'Fuel Taxes'!AG78</f>
        <v>0</v>
      </c>
      <c r="AH77">
        <f>'Pretax Fuel Prices'!AH78+'Fuel Taxes'!AH78</f>
        <v>0</v>
      </c>
      <c r="AI77">
        <f>'Pretax Fuel Prices'!AI78+'Fuel Taxes'!AI78</f>
        <v>0</v>
      </c>
      <c r="AJ77">
        <f>'Pretax Fuel Prices'!AJ78+'Fuel Taxes'!AJ78</f>
        <v>0</v>
      </c>
      <c r="AK77">
        <f>'Pretax Fuel Prices'!AK78+'Fuel Taxes'!AK78</f>
        <v>0</v>
      </c>
      <c r="AL77">
        <f>'Pretax Fuel Prices'!AL78+'Fuel Taxes'!AL78</f>
        <v>0</v>
      </c>
      <c r="AM77">
        <f>'Pretax Fuel Prices'!AM78+'Fuel Taxes'!AM78</f>
        <v>0</v>
      </c>
      <c r="AN77">
        <f>'Pretax Fuel Prices'!AN78+'Fuel Taxes'!AN78</f>
        <v>0</v>
      </c>
      <c r="AO77">
        <f>'Pretax Fuel Prices'!AO78+'Fuel Taxes'!AO78</f>
        <v>0</v>
      </c>
      <c r="AP77">
        <f>'Pretax Fuel Prices'!AP78+'Fuel Taxes'!AP78</f>
        <v>0</v>
      </c>
      <c r="AQ77">
        <f>'Pretax Fuel Prices'!AQ78+'Fuel Taxes'!AQ78</f>
        <v>0</v>
      </c>
      <c r="AR77">
        <f>'Pretax Fuel Prices'!AR78+'Fuel Taxes'!AR78</f>
        <v>0</v>
      </c>
      <c r="AS77">
        <f>'Pretax Fuel Prices'!AS78+'Fuel Taxes'!AS78</f>
        <v>0</v>
      </c>
      <c r="AT77">
        <f>'Pretax Fuel Prices'!AT78+'Fuel Taxes'!AT78</f>
        <v>0</v>
      </c>
      <c r="AU77">
        <f>'Pretax Fuel Prices'!AU78+'Fuel Taxes'!AU78</f>
        <v>0</v>
      </c>
      <c r="AV77">
        <f>'Pretax Fuel Prices'!AV78+'Fuel Taxes'!AV78</f>
        <v>0</v>
      </c>
      <c r="AW77">
        <f>'Pretax Fuel Prices'!AW78+'Fuel Taxes'!AW78</f>
        <v>0</v>
      </c>
      <c r="AX77">
        <f>'Pretax Fuel Prices'!AX78+'Fuel Taxes'!AX78</f>
        <v>0</v>
      </c>
      <c r="AY77">
        <f>'Pretax Fuel Prices'!AY78+'Fuel Taxes'!AY78</f>
        <v>0</v>
      </c>
      <c r="AZ77">
        <f>'Pretax Fuel Prices'!AZ78+'Fuel Taxes'!AZ78</f>
        <v>0</v>
      </c>
    </row>
    <row r="78" spans="1:52" x14ac:dyDescent="0.25">
      <c r="A78" t="s">
        <v>57</v>
      </c>
      <c r="B78">
        <f>'Pretax Fuel Prices'!B79+'Fuel Taxes'!B79</f>
        <v>0</v>
      </c>
      <c r="C78">
        <f>'Pretax Fuel Prices'!C79+'Fuel Taxes'!C79</f>
        <v>0</v>
      </c>
      <c r="D78">
        <f>'Pretax Fuel Prices'!D79+'Fuel Taxes'!D79</f>
        <v>0</v>
      </c>
      <c r="E78">
        <f>'Pretax Fuel Prices'!E79+'Fuel Taxes'!E79</f>
        <v>0</v>
      </c>
      <c r="F78">
        <f>'Pretax Fuel Prices'!F79+'Fuel Taxes'!F79</f>
        <v>0</v>
      </c>
      <c r="G78">
        <f>'Pretax Fuel Prices'!G79+'Fuel Taxes'!G79</f>
        <v>0</v>
      </c>
      <c r="H78">
        <f>'Pretax Fuel Prices'!H79+'Fuel Taxes'!H79</f>
        <v>0</v>
      </c>
      <c r="I78">
        <f>'Pretax Fuel Prices'!I79+'Fuel Taxes'!I79</f>
        <v>0</v>
      </c>
      <c r="J78">
        <f>'Pretax Fuel Prices'!J79+'Fuel Taxes'!J79</f>
        <v>0</v>
      </c>
      <c r="K78">
        <f>'Pretax Fuel Prices'!K79+'Fuel Taxes'!K79</f>
        <v>0</v>
      </c>
      <c r="L78">
        <f>'Pretax Fuel Prices'!L79+'Fuel Taxes'!L79</f>
        <v>0</v>
      </c>
      <c r="M78">
        <f>'Pretax Fuel Prices'!M79+'Fuel Taxes'!M79</f>
        <v>0</v>
      </c>
      <c r="N78">
        <f>'Pretax Fuel Prices'!N79+'Fuel Taxes'!N79</f>
        <v>0</v>
      </c>
      <c r="O78">
        <f>'Pretax Fuel Prices'!O79+'Fuel Taxes'!O79</f>
        <v>0</v>
      </c>
      <c r="P78">
        <f>'Pretax Fuel Prices'!P79+'Fuel Taxes'!P79</f>
        <v>0</v>
      </c>
      <c r="Q78">
        <f>'Pretax Fuel Prices'!Q79+'Fuel Taxes'!Q79</f>
        <v>0</v>
      </c>
      <c r="R78">
        <f>'Pretax Fuel Prices'!R79+'Fuel Taxes'!R79</f>
        <v>0</v>
      </c>
      <c r="S78">
        <f>'Pretax Fuel Prices'!S79+'Fuel Taxes'!S79</f>
        <v>0</v>
      </c>
      <c r="T78">
        <f>'Pretax Fuel Prices'!T79+'Fuel Taxes'!T79</f>
        <v>0</v>
      </c>
      <c r="U78">
        <f>'Pretax Fuel Prices'!U79+'Fuel Taxes'!U79</f>
        <v>0</v>
      </c>
      <c r="V78">
        <f>'Pretax Fuel Prices'!V79+'Fuel Taxes'!V79</f>
        <v>0</v>
      </c>
      <c r="W78">
        <f>'Pretax Fuel Prices'!W79+'Fuel Taxes'!W79</f>
        <v>0</v>
      </c>
      <c r="X78">
        <f>'Pretax Fuel Prices'!X79+'Fuel Taxes'!X79</f>
        <v>0</v>
      </c>
      <c r="Y78">
        <f>'Pretax Fuel Prices'!Y79+'Fuel Taxes'!Y79</f>
        <v>0</v>
      </c>
      <c r="Z78">
        <f>'Pretax Fuel Prices'!Z79+'Fuel Taxes'!Z79</f>
        <v>0</v>
      </c>
      <c r="AA78">
        <f>'Pretax Fuel Prices'!AA79+'Fuel Taxes'!AA79</f>
        <v>0</v>
      </c>
      <c r="AB78">
        <f>'Pretax Fuel Prices'!AB79+'Fuel Taxes'!AB79</f>
        <v>0</v>
      </c>
      <c r="AC78">
        <f>'Pretax Fuel Prices'!AC79+'Fuel Taxes'!AC79</f>
        <v>0</v>
      </c>
      <c r="AD78">
        <f>'Pretax Fuel Prices'!AD79+'Fuel Taxes'!AD79</f>
        <v>0</v>
      </c>
      <c r="AE78">
        <f>'Pretax Fuel Prices'!AE79+'Fuel Taxes'!AE79</f>
        <v>0</v>
      </c>
      <c r="AF78">
        <f>'Pretax Fuel Prices'!AF79+'Fuel Taxes'!AF79</f>
        <v>0</v>
      </c>
      <c r="AG78">
        <f>'Pretax Fuel Prices'!AG79+'Fuel Taxes'!AG79</f>
        <v>0</v>
      </c>
      <c r="AH78">
        <f>'Pretax Fuel Prices'!AH79+'Fuel Taxes'!AH79</f>
        <v>0</v>
      </c>
      <c r="AI78">
        <f>'Pretax Fuel Prices'!AI79+'Fuel Taxes'!AI79</f>
        <v>0</v>
      </c>
      <c r="AJ78">
        <f>'Pretax Fuel Prices'!AJ79+'Fuel Taxes'!AJ79</f>
        <v>0</v>
      </c>
      <c r="AK78">
        <f>'Pretax Fuel Prices'!AK79+'Fuel Taxes'!AK79</f>
        <v>0</v>
      </c>
      <c r="AL78">
        <f>'Pretax Fuel Prices'!AL79+'Fuel Taxes'!AL79</f>
        <v>0</v>
      </c>
      <c r="AM78">
        <f>'Pretax Fuel Prices'!AM79+'Fuel Taxes'!AM79</f>
        <v>0</v>
      </c>
      <c r="AN78">
        <f>'Pretax Fuel Prices'!AN79+'Fuel Taxes'!AN79</f>
        <v>0</v>
      </c>
      <c r="AO78">
        <f>'Pretax Fuel Prices'!AO79+'Fuel Taxes'!AO79</f>
        <v>0</v>
      </c>
      <c r="AP78">
        <f>'Pretax Fuel Prices'!AP79+'Fuel Taxes'!AP79</f>
        <v>0</v>
      </c>
      <c r="AQ78">
        <f>'Pretax Fuel Prices'!AQ79+'Fuel Taxes'!AQ79</f>
        <v>0</v>
      </c>
      <c r="AR78">
        <f>'Pretax Fuel Prices'!AR79+'Fuel Taxes'!AR79</f>
        <v>0</v>
      </c>
      <c r="AS78">
        <f>'Pretax Fuel Prices'!AS79+'Fuel Taxes'!AS79</f>
        <v>0</v>
      </c>
      <c r="AT78">
        <f>'Pretax Fuel Prices'!AT79+'Fuel Taxes'!AT79</f>
        <v>0</v>
      </c>
      <c r="AU78">
        <f>'Pretax Fuel Prices'!AU79+'Fuel Taxes'!AU79</f>
        <v>0</v>
      </c>
      <c r="AV78">
        <f>'Pretax Fuel Prices'!AV79+'Fuel Taxes'!AV79</f>
        <v>0</v>
      </c>
      <c r="AW78">
        <f>'Pretax Fuel Prices'!AW79+'Fuel Taxes'!AW79</f>
        <v>0</v>
      </c>
      <c r="AX78">
        <f>'Pretax Fuel Prices'!AX79+'Fuel Taxes'!AX79</f>
        <v>0</v>
      </c>
      <c r="AY78">
        <f>'Pretax Fuel Prices'!AY79+'Fuel Taxes'!AY79</f>
        <v>0</v>
      </c>
      <c r="AZ78">
        <f>'Pretax Fuel Prices'!AZ79+'Fuel Taxes'!AZ79</f>
        <v>0</v>
      </c>
    </row>
    <row r="79" spans="1:52" x14ac:dyDescent="0.25">
      <c r="A79" t="s">
        <v>58</v>
      </c>
      <c r="B79">
        <f>'Pretax Fuel Prices'!B80+'Fuel Taxes'!B80</f>
        <v>0</v>
      </c>
      <c r="C79">
        <f>'Pretax Fuel Prices'!C80+'Fuel Taxes'!C80</f>
        <v>0</v>
      </c>
      <c r="D79">
        <f>'Pretax Fuel Prices'!D80+'Fuel Taxes'!D80</f>
        <v>0</v>
      </c>
      <c r="E79">
        <f>'Pretax Fuel Prices'!E80+'Fuel Taxes'!E80</f>
        <v>0</v>
      </c>
      <c r="F79">
        <f>'Pretax Fuel Prices'!F80+'Fuel Taxes'!F80</f>
        <v>0</v>
      </c>
      <c r="G79">
        <f>'Pretax Fuel Prices'!G80+'Fuel Taxes'!G80</f>
        <v>0</v>
      </c>
      <c r="H79">
        <f>'Pretax Fuel Prices'!H80+'Fuel Taxes'!H80</f>
        <v>0</v>
      </c>
      <c r="I79">
        <f>'Pretax Fuel Prices'!I80+'Fuel Taxes'!I80</f>
        <v>0</v>
      </c>
      <c r="J79">
        <f>'Pretax Fuel Prices'!J80+'Fuel Taxes'!J80</f>
        <v>0</v>
      </c>
      <c r="K79">
        <f>'Pretax Fuel Prices'!K80+'Fuel Taxes'!K80</f>
        <v>0</v>
      </c>
      <c r="L79">
        <f>'Pretax Fuel Prices'!L80+'Fuel Taxes'!L80</f>
        <v>0</v>
      </c>
      <c r="M79">
        <f>'Pretax Fuel Prices'!M80+'Fuel Taxes'!M80</f>
        <v>0</v>
      </c>
      <c r="N79">
        <f>'Pretax Fuel Prices'!N80+'Fuel Taxes'!N80</f>
        <v>0</v>
      </c>
      <c r="O79">
        <f>'Pretax Fuel Prices'!O80+'Fuel Taxes'!O80</f>
        <v>0</v>
      </c>
      <c r="P79">
        <f>'Pretax Fuel Prices'!P80+'Fuel Taxes'!P80</f>
        <v>0</v>
      </c>
      <c r="Q79">
        <f>'Pretax Fuel Prices'!Q80+'Fuel Taxes'!Q80</f>
        <v>0</v>
      </c>
      <c r="R79">
        <f>'Pretax Fuel Prices'!R80+'Fuel Taxes'!R80</f>
        <v>0</v>
      </c>
      <c r="S79">
        <f>'Pretax Fuel Prices'!S80+'Fuel Taxes'!S80</f>
        <v>0</v>
      </c>
      <c r="T79">
        <f>'Pretax Fuel Prices'!T80+'Fuel Taxes'!T80</f>
        <v>0</v>
      </c>
      <c r="U79">
        <f>'Pretax Fuel Prices'!U80+'Fuel Taxes'!U80</f>
        <v>0</v>
      </c>
      <c r="V79">
        <f>'Pretax Fuel Prices'!V80+'Fuel Taxes'!V80</f>
        <v>0</v>
      </c>
      <c r="W79">
        <f>'Pretax Fuel Prices'!W80+'Fuel Taxes'!W80</f>
        <v>0</v>
      </c>
      <c r="X79">
        <f>'Pretax Fuel Prices'!X80+'Fuel Taxes'!X80</f>
        <v>0</v>
      </c>
      <c r="Y79">
        <f>'Pretax Fuel Prices'!Y80+'Fuel Taxes'!Y80</f>
        <v>0</v>
      </c>
      <c r="Z79">
        <f>'Pretax Fuel Prices'!Z80+'Fuel Taxes'!Z80</f>
        <v>0</v>
      </c>
      <c r="AA79">
        <f>'Pretax Fuel Prices'!AA80+'Fuel Taxes'!AA80</f>
        <v>0</v>
      </c>
      <c r="AB79">
        <f>'Pretax Fuel Prices'!AB80+'Fuel Taxes'!AB80</f>
        <v>0</v>
      </c>
      <c r="AC79">
        <f>'Pretax Fuel Prices'!AC80+'Fuel Taxes'!AC80</f>
        <v>0</v>
      </c>
      <c r="AD79">
        <f>'Pretax Fuel Prices'!AD80+'Fuel Taxes'!AD80</f>
        <v>0</v>
      </c>
      <c r="AE79">
        <f>'Pretax Fuel Prices'!AE80+'Fuel Taxes'!AE80</f>
        <v>0</v>
      </c>
      <c r="AF79">
        <f>'Pretax Fuel Prices'!AF80+'Fuel Taxes'!AF80</f>
        <v>0</v>
      </c>
      <c r="AG79">
        <f>'Pretax Fuel Prices'!AG80+'Fuel Taxes'!AG80</f>
        <v>0</v>
      </c>
      <c r="AH79">
        <f>'Pretax Fuel Prices'!AH80+'Fuel Taxes'!AH80</f>
        <v>0</v>
      </c>
      <c r="AI79">
        <f>'Pretax Fuel Prices'!AI80+'Fuel Taxes'!AI80</f>
        <v>0</v>
      </c>
      <c r="AJ79">
        <f>'Pretax Fuel Prices'!AJ80+'Fuel Taxes'!AJ80</f>
        <v>0</v>
      </c>
      <c r="AK79">
        <f>'Pretax Fuel Prices'!AK80+'Fuel Taxes'!AK80</f>
        <v>0</v>
      </c>
      <c r="AL79">
        <f>'Pretax Fuel Prices'!AL80+'Fuel Taxes'!AL80</f>
        <v>0</v>
      </c>
      <c r="AM79">
        <f>'Pretax Fuel Prices'!AM80+'Fuel Taxes'!AM80</f>
        <v>0</v>
      </c>
      <c r="AN79">
        <f>'Pretax Fuel Prices'!AN80+'Fuel Taxes'!AN80</f>
        <v>0</v>
      </c>
      <c r="AO79">
        <f>'Pretax Fuel Prices'!AO80+'Fuel Taxes'!AO80</f>
        <v>0</v>
      </c>
      <c r="AP79">
        <f>'Pretax Fuel Prices'!AP80+'Fuel Taxes'!AP80</f>
        <v>0</v>
      </c>
      <c r="AQ79">
        <f>'Pretax Fuel Prices'!AQ80+'Fuel Taxes'!AQ80</f>
        <v>0</v>
      </c>
      <c r="AR79">
        <f>'Pretax Fuel Prices'!AR80+'Fuel Taxes'!AR80</f>
        <v>0</v>
      </c>
      <c r="AS79">
        <f>'Pretax Fuel Prices'!AS80+'Fuel Taxes'!AS80</f>
        <v>0</v>
      </c>
      <c r="AT79">
        <f>'Pretax Fuel Prices'!AT80+'Fuel Taxes'!AT80</f>
        <v>0</v>
      </c>
      <c r="AU79">
        <f>'Pretax Fuel Prices'!AU80+'Fuel Taxes'!AU80</f>
        <v>0</v>
      </c>
      <c r="AV79">
        <f>'Pretax Fuel Prices'!AV80+'Fuel Taxes'!AV80</f>
        <v>0</v>
      </c>
      <c r="AW79">
        <f>'Pretax Fuel Prices'!AW80+'Fuel Taxes'!AW80</f>
        <v>0</v>
      </c>
      <c r="AX79">
        <f>'Pretax Fuel Prices'!AX80+'Fuel Taxes'!AX80</f>
        <v>0</v>
      </c>
      <c r="AY79">
        <f>'Pretax Fuel Prices'!AY80+'Fuel Taxes'!AY80</f>
        <v>0</v>
      </c>
      <c r="AZ79">
        <f>'Pretax Fuel Prices'!AZ80+'Fuel Taxes'!AZ80</f>
        <v>0</v>
      </c>
    </row>
    <row r="80" spans="1:52" x14ac:dyDescent="0.25">
      <c r="A80" t="s">
        <v>59</v>
      </c>
      <c r="B80">
        <f>'Pretax Fuel Prices'!B81+'Fuel Taxes'!B81</f>
        <v>0</v>
      </c>
      <c r="C80">
        <f>'Pretax Fuel Prices'!C81+'Fuel Taxes'!C81</f>
        <v>0</v>
      </c>
      <c r="D80">
        <f>'Pretax Fuel Prices'!D81+'Fuel Taxes'!D81</f>
        <v>0</v>
      </c>
      <c r="E80">
        <f>'Pretax Fuel Prices'!E81+'Fuel Taxes'!E81</f>
        <v>0</v>
      </c>
      <c r="F80">
        <f>'Pretax Fuel Prices'!F81+'Fuel Taxes'!F81</f>
        <v>0</v>
      </c>
      <c r="G80">
        <f>'Pretax Fuel Prices'!G81+'Fuel Taxes'!G81</f>
        <v>0</v>
      </c>
      <c r="H80">
        <f>'Pretax Fuel Prices'!H81+'Fuel Taxes'!H81</f>
        <v>0</v>
      </c>
      <c r="I80">
        <f>'Pretax Fuel Prices'!I81+'Fuel Taxes'!I81</f>
        <v>0</v>
      </c>
      <c r="J80">
        <f>'Pretax Fuel Prices'!J81+'Fuel Taxes'!J81</f>
        <v>0</v>
      </c>
      <c r="K80">
        <f>'Pretax Fuel Prices'!K81+'Fuel Taxes'!K81</f>
        <v>0</v>
      </c>
      <c r="L80">
        <f>'Pretax Fuel Prices'!L81+'Fuel Taxes'!L81</f>
        <v>0</v>
      </c>
      <c r="M80">
        <f>'Pretax Fuel Prices'!M81+'Fuel Taxes'!M81</f>
        <v>0</v>
      </c>
      <c r="N80">
        <f>'Pretax Fuel Prices'!N81+'Fuel Taxes'!N81</f>
        <v>0</v>
      </c>
      <c r="O80">
        <f>'Pretax Fuel Prices'!O81+'Fuel Taxes'!O81</f>
        <v>0</v>
      </c>
      <c r="P80">
        <f>'Pretax Fuel Prices'!P81+'Fuel Taxes'!P81</f>
        <v>0</v>
      </c>
      <c r="Q80">
        <f>'Pretax Fuel Prices'!Q81+'Fuel Taxes'!Q81</f>
        <v>0</v>
      </c>
      <c r="R80">
        <f>'Pretax Fuel Prices'!R81+'Fuel Taxes'!R81</f>
        <v>0</v>
      </c>
      <c r="S80">
        <f>'Pretax Fuel Prices'!S81+'Fuel Taxes'!S81</f>
        <v>0</v>
      </c>
      <c r="T80">
        <f>'Pretax Fuel Prices'!T81+'Fuel Taxes'!T81</f>
        <v>0</v>
      </c>
      <c r="U80">
        <f>'Pretax Fuel Prices'!U81+'Fuel Taxes'!U81</f>
        <v>0</v>
      </c>
      <c r="V80">
        <f>'Pretax Fuel Prices'!V81+'Fuel Taxes'!V81</f>
        <v>0</v>
      </c>
      <c r="W80">
        <f>'Pretax Fuel Prices'!W81+'Fuel Taxes'!W81</f>
        <v>0</v>
      </c>
      <c r="X80">
        <f>'Pretax Fuel Prices'!X81+'Fuel Taxes'!X81</f>
        <v>0</v>
      </c>
      <c r="Y80">
        <f>'Pretax Fuel Prices'!Y81+'Fuel Taxes'!Y81</f>
        <v>0</v>
      </c>
      <c r="Z80">
        <f>'Pretax Fuel Prices'!Z81+'Fuel Taxes'!Z81</f>
        <v>0</v>
      </c>
      <c r="AA80">
        <f>'Pretax Fuel Prices'!AA81+'Fuel Taxes'!AA81</f>
        <v>0</v>
      </c>
      <c r="AB80">
        <f>'Pretax Fuel Prices'!AB81+'Fuel Taxes'!AB81</f>
        <v>0</v>
      </c>
      <c r="AC80">
        <f>'Pretax Fuel Prices'!AC81+'Fuel Taxes'!AC81</f>
        <v>0</v>
      </c>
      <c r="AD80">
        <f>'Pretax Fuel Prices'!AD81+'Fuel Taxes'!AD81</f>
        <v>0</v>
      </c>
      <c r="AE80">
        <f>'Pretax Fuel Prices'!AE81+'Fuel Taxes'!AE81</f>
        <v>0</v>
      </c>
      <c r="AF80">
        <f>'Pretax Fuel Prices'!AF81+'Fuel Taxes'!AF81</f>
        <v>0</v>
      </c>
      <c r="AG80">
        <f>'Pretax Fuel Prices'!AG81+'Fuel Taxes'!AG81</f>
        <v>0</v>
      </c>
      <c r="AH80">
        <f>'Pretax Fuel Prices'!AH81+'Fuel Taxes'!AH81</f>
        <v>0</v>
      </c>
      <c r="AI80">
        <f>'Pretax Fuel Prices'!AI81+'Fuel Taxes'!AI81</f>
        <v>0</v>
      </c>
      <c r="AJ80">
        <f>'Pretax Fuel Prices'!AJ81+'Fuel Taxes'!AJ81</f>
        <v>0</v>
      </c>
      <c r="AK80">
        <f>'Pretax Fuel Prices'!AK81+'Fuel Taxes'!AK81</f>
        <v>0</v>
      </c>
      <c r="AL80">
        <f>'Pretax Fuel Prices'!AL81+'Fuel Taxes'!AL81</f>
        <v>0</v>
      </c>
      <c r="AM80">
        <f>'Pretax Fuel Prices'!AM81+'Fuel Taxes'!AM81</f>
        <v>0</v>
      </c>
      <c r="AN80">
        <f>'Pretax Fuel Prices'!AN81+'Fuel Taxes'!AN81</f>
        <v>0</v>
      </c>
      <c r="AO80">
        <f>'Pretax Fuel Prices'!AO81+'Fuel Taxes'!AO81</f>
        <v>0</v>
      </c>
      <c r="AP80">
        <f>'Pretax Fuel Prices'!AP81+'Fuel Taxes'!AP81</f>
        <v>0</v>
      </c>
      <c r="AQ80">
        <f>'Pretax Fuel Prices'!AQ81+'Fuel Taxes'!AQ81</f>
        <v>0</v>
      </c>
      <c r="AR80">
        <f>'Pretax Fuel Prices'!AR81+'Fuel Taxes'!AR81</f>
        <v>0</v>
      </c>
      <c r="AS80">
        <f>'Pretax Fuel Prices'!AS81+'Fuel Taxes'!AS81</f>
        <v>0</v>
      </c>
      <c r="AT80">
        <f>'Pretax Fuel Prices'!AT81+'Fuel Taxes'!AT81</f>
        <v>0</v>
      </c>
      <c r="AU80">
        <f>'Pretax Fuel Prices'!AU81+'Fuel Taxes'!AU81</f>
        <v>0</v>
      </c>
      <c r="AV80">
        <f>'Pretax Fuel Prices'!AV81+'Fuel Taxes'!AV81</f>
        <v>0</v>
      </c>
      <c r="AW80">
        <f>'Pretax Fuel Prices'!AW81+'Fuel Taxes'!AW81</f>
        <v>0</v>
      </c>
      <c r="AX80">
        <f>'Pretax Fuel Prices'!AX81+'Fuel Taxes'!AX81</f>
        <v>0</v>
      </c>
      <c r="AY80">
        <f>'Pretax Fuel Prices'!AY81+'Fuel Taxes'!AY81</f>
        <v>0</v>
      </c>
      <c r="AZ80">
        <f>'Pretax Fuel Prices'!AZ81+'Fuel Taxes'!AZ81</f>
        <v>0</v>
      </c>
    </row>
    <row r="81" spans="1:52" s="3" customFormat="1" x14ac:dyDescent="0.25">
      <c r="A81" s="5" t="s">
        <v>38</v>
      </c>
    </row>
    <row r="82" spans="1:52" x14ac:dyDescent="0.25">
      <c r="A82" t="s">
        <v>30</v>
      </c>
      <c r="B82">
        <f>'Fuel Taxes'!B$1</f>
        <v>2020</v>
      </c>
      <c r="C82">
        <f>'Fuel Taxes'!C$1</f>
        <v>2021</v>
      </c>
      <c r="D82">
        <f>'Fuel Taxes'!D$1</f>
        <v>2022</v>
      </c>
      <c r="E82">
        <f>'Fuel Taxes'!E$1</f>
        <v>2023</v>
      </c>
      <c r="F82">
        <f>'Fuel Taxes'!F$1</f>
        <v>2024</v>
      </c>
      <c r="G82">
        <f>'Fuel Taxes'!G$1</f>
        <v>2025</v>
      </c>
      <c r="H82">
        <f>'Fuel Taxes'!H$1</f>
        <v>2026</v>
      </c>
      <c r="I82">
        <f>'Fuel Taxes'!I$1</f>
        <v>2027</v>
      </c>
      <c r="J82">
        <f>'Fuel Taxes'!J$1</f>
        <v>2028</v>
      </c>
      <c r="K82">
        <f>'Fuel Taxes'!K$1</f>
        <v>2029</v>
      </c>
      <c r="L82">
        <f>'Fuel Taxes'!L$1</f>
        <v>2030</v>
      </c>
      <c r="M82">
        <f>'Fuel Taxes'!M$1</f>
        <v>2031</v>
      </c>
      <c r="N82">
        <f>'Fuel Taxes'!N$1</f>
        <v>2032</v>
      </c>
      <c r="O82">
        <f>'Fuel Taxes'!O$1</f>
        <v>2033</v>
      </c>
      <c r="P82">
        <f>'Fuel Taxes'!P$1</f>
        <v>2034</v>
      </c>
      <c r="Q82">
        <f>'Fuel Taxes'!Q$1</f>
        <v>2035</v>
      </c>
      <c r="R82">
        <f>'Fuel Taxes'!R$1</f>
        <v>2036</v>
      </c>
      <c r="S82">
        <f>'Fuel Taxes'!S$1</f>
        <v>2037</v>
      </c>
      <c r="T82">
        <f>'Fuel Taxes'!T$1</f>
        <v>2038</v>
      </c>
      <c r="U82">
        <f>'Fuel Taxes'!U$1</f>
        <v>2039</v>
      </c>
      <c r="V82">
        <f>'Fuel Taxes'!V$1</f>
        <v>2040</v>
      </c>
      <c r="W82">
        <f>'Fuel Taxes'!W$1</f>
        <v>2041</v>
      </c>
      <c r="X82">
        <f>'Fuel Taxes'!X$1</f>
        <v>2042</v>
      </c>
      <c r="Y82">
        <f>'Fuel Taxes'!Y$1</f>
        <v>2043</v>
      </c>
      <c r="Z82">
        <f>'Fuel Taxes'!Z$1</f>
        <v>2044</v>
      </c>
      <c r="AA82">
        <f>'Fuel Taxes'!AA$1</f>
        <v>2045</v>
      </c>
      <c r="AB82">
        <f>'Fuel Taxes'!AB$1</f>
        <v>2046</v>
      </c>
      <c r="AC82">
        <f>'Fuel Taxes'!AC$1</f>
        <v>2047</v>
      </c>
      <c r="AD82">
        <f>'Fuel Taxes'!AD$1</f>
        <v>2048</v>
      </c>
      <c r="AE82">
        <f>'Fuel Taxes'!AE$1</f>
        <v>2049</v>
      </c>
      <c r="AF82">
        <f>'Fuel Taxes'!AF$1</f>
        <v>2050</v>
      </c>
      <c r="AG82">
        <f>'Fuel Taxes'!AG$1</f>
        <v>2051</v>
      </c>
      <c r="AH82">
        <f>'Fuel Taxes'!AH$1</f>
        <v>2052</v>
      </c>
      <c r="AI82">
        <f>'Fuel Taxes'!AI$1</f>
        <v>2053</v>
      </c>
      <c r="AJ82">
        <f>'Fuel Taxes'!AJ$1</f>
        <v>2054</v>
      </c>
      <c r="AK82">
        <f>'Fuel Taxes'!AK$1</f>
        <v>2055</v>
      </c>
      <c r="AL82">
        <f>'Fuel Taxes'!AL$1</f>
        <v>2056</v>
      </c>
      <c r="AM82">
        <f>'Fuel Taxes'!AM$1</f>
        <v>2057</v>
      </c>
      <c r="AN82">
        <f>'Fuel Taxes'!AN$1</f>
        <v>2058</v>
      </c>
      <c r="AO82">
        <f>'Fuel Taxes'!AO$1</f>
        <v>2059</v>
      </c>
      <c r="AP82">
        <f>'Fuel Taxes'!AP$1</f>
        <v>2060</v>
      </c>
      <c r="AQ82">
        <f>'Fuel Taxes'!AQ$1</f>
        <v>2061</v>
      </c>
      <c r="AR82">
        <f>'Fuel Taxes'!AR$1</f>
        <v>2062</v>
      </c>
      <c r="AS82">
        <f>'Fuel Taxes'!AS$1</f>
        <v>2063</v>
      </c>
      <c r="AT82">
        <f>'Fuel Taxes'!AT$1</f>
        <v>2064</v>
      </c>
      <c r="AU82">
        <f>'Fuel Taxes'!AU$1</f>
        <v>2065</v>
      </c>
      <c r="AV82">
        <f>'Fuel Taxes'!AV$1</f>
        <v>2066</v>
      </c>
      <c r="AW82">
        <f>'Fuel Taxes'!AW$1</f>
        <v>2067</v>
      </c>
      <c r="AX82">
        <f>'Fuel Taxes'!AX$1</f>
        <v>2068</v>
      </c>
      <c r="AY82">
        <f>'Fuel Taxes'!AY$1</f>
        <v>2069</v>
      </c>
      <c r="AZ82">
        <f>'Fuel Taxes'!AZ$1</f>
        <v>2070</v>
      </c>
    </row>
    <row r="83" spans="1:52" x14ac:dyDescent="0.25">
      <c r="A83" t="s">
        <v>52</v>
      </c>
      <c r="B83">
        <f>'Pretax Fuel Prices'!B84+'Fuel Taxes'!B84</f>
        <v>8.2402408832182343E-6</v>
      </c>
      <c r="C83">
        <f>'Pretax Fuel Prices'!C84+'Fuel Taxes'!C84</f>
        <v>1.2255974215131283E-5</v>
      </c>
      <c r="D83">
        <f>'Pretax Fuel Prices'!D84+'Fuel Taxes'!D84</f>
        <v>2.2066075345013406E-5</v>
      </c>
      <c r="E83">
        <f>'Pretax Fuel Prices'!E84+'Fuel Taxes'!E84</f>
        <v>1.7657019153600988E-5</v>
      </c>
      <c r="F83">
        <f>'Pretax Fuel Prices'!F84+'Fuel Taxes'!F84</f>
        <v>1.6884785810883153E-5</v>
      </c>
      <c r="G83">
        <f>'Pretax Fuel Prices'!G84+'Fuel Taxes'!G84</f>
        <v>1.6112552468165316E-5</v>
      </c>
      <c r="H83">
        <f>'Pretax Fuel Prices'!H84+'Fuel Taxes'!H84</f>
        <v>1.5340319125447478E-5</v>
      </c>
      <c r="I83">
        <f>'Pretax Fuel Prices'!I84+'Fuel Taxes'!I84</f>
        <v>1.4568085782729642E-5</v>
      </c>
      <c r="J83">
        <f>'Pretax Fuel Prices'!J84+'Fuel Taxes'!J84</f>
        <v>1.3795852440011805E-5</v>
      </c>
      <c r="K83">
        <f>'Pretax Fuel Prices'!K84+'Fuel Taxes'!K84</f>
        <v>1.3939162071277261E-5</v>
      </c>
      <c r="L83">
        <f>'Pretax Fuel Prices'!L84+'Fuel Taxes'!L84</f>
        <v>1.3890819134162453E-5</v>
      </c>
      <c r="M83">
        <f>'Pretax Fuel Prices'!M84+'Fuel Taxes'!M84</f>
        <v>1.4302081070679405E-5</v>
      </c>
      <c r="N83">
        <f>'Pretax Fuel Prices'!N84+'Fuel Taxes'!N84</f>
        <v>1.4458083317806396E-5</v>
      </c>
      <c r="O83">
        <f>'Pretax Fuel Prices'!O84+'Fuel Taxes'!O84</f>
        <v>1.4552284896328007E-5</v>
      </c>
      <c r="P83">
        <f>'Pretax Fuel Prices'!P84+'Fuel Taxes'!P84</f>
        <v>1.4695461500845112E-5</v>
      </c>
      <c r="Q83">
        <f>'Pretax Fuel Prices'!Q84+'Fuel Taxes'!Q84</f>
        <v>1.4790573084001917E-5</v>
      </c>
      <c r="R83">
        <f>'Pretax Fuel Prices'!R84+'Fuel Taxes'!R84</f>
        <v>1.4957511485529762E-5</v>
      </c>
      <c r="S83">
        <f>'Pretax Fuel Prices'!S84+'Fuel Taxes'!S84</f>
        <v>1.5175163581127059E-5</v>
      </c>
      <c r="T83">
        <f>'Pretax Fuel Prices'!T84+'Fuel Taxes'!T84</f>
        <v>1.5327129271380592E-5</v>
      </c>
      <c r="U83">
        <f>'Pretax Fuel Prices'!U84+'Fuel Taxes'!U84</f>
        <v>1.5415203146436875E-5</v>
      </c>
      <c r="V83">
        <f>'Pretax Fuel Prices'!V84+'Fuel Taxes'!V84</f>
        <v>1.5573919308690995E-5</v>
      </c>
      <c r="W83">
        <f>'Pretax Fuel Prices'!W84+'Fuel Taxes'!W84</f>
        <v>1.5694389009838725E-5</v>
      </c>
      <c r="X83">
        <f>'Pretax Fuel Prices'!X84+'Fuel Taxes'!X84</f>
        <v>1.5729087808554452E-5</v>
      </c>
      <c r="Y83">
        <f>'Pretax Fuel Prices'!Y84+'Fuel Taxes'!Y84</f>
        <v>1.5976199821434106E-5</v>
      </c>
      <c r="Z83">
        <f>'Pretax Fuel Prices'!Z84+'Fuel Taxes'!Z84</f>
        <v>1.6239930857511899E-5</v>
      </c>
      <c r="AA83">
        <f>'Pretax Fuel Prices'!AA84+'Fuel Taxes'!AA84</f>
        <v>1.6332129409071114E-5</v>
      </c>
      <c r="AB83">
        <f>'Pretax Fuel Prices'!AB84+'Fuel Taxes'!AB84</f>
        <v>1.6509579465630875E-5</v>
      </c>
      <c r="AC83">
        <f>'Pretax Fuel Prices'!AC84+'Fuel Taxes'!AC84</f>
        <v>1.6587051871417496E-5</v>
      </c>
      <c r="AD83">
        <f>'Pretax Fuel Prices'!AD84+'Fuel Taxes'!AD84</f>
        <v>1.6563312951618257E-5</v>
      </c>
      <c r="AE83">
        <f>'Pretax Fuel Prices'!AE84+'Fuel Taxes'!AE84</f>
        <v>1.659851504898697E-5</v>
      </c>
      <c r="AF83">
        <f>'Pretax Fuel Prices'!AF84+'Fuel Taxes'!AF84</f>
        <v>1.6549241771937848E-5</v>
      </c>
      <c r="AG83">
        <f>'Pretax Fuel Prices'!AG84+'Fuel Taxes'!AG84</f>
        <v>1.6632962704276262E-5</v>
      </c>
      <c r="AH83">
        <f>'Pretax Fuel Prices'!AH84+'Fuel Taxes'!AH84</f>
        <v>1.6704168019353426E-5</v>
      </c>
      <c r="AI83">
        <f>'Pretax Fuel Prices'!AI84+'Fuel Taxes'!AI84</f>
        <v>1.6775373334430595E-5</v>
      </c>
      <c r="AJ83">
        <f>'Pretax Fuel Prices'!AJ84+'Fuel Taxes'!AJ84</f>
        <v>1.6846578649507763E-5</v>
      </c>
      <c r="AK83">
        <f>'Pretax Fuel Prices'!AK84+'Fuel Taxes'!AK84</f>
        <v>1.6917783964584928E-5</v>
      </c>
      <c r="AL83">
        <f>'Pretax Fuel Prices'!AL84+'Fuel Taxes'!AL84</f>
        <v>1.6988989279662096E-5</v>
      </c>
      <c r="AM83">
        <f>'Pretax Fuel Prices'!AM84+'Fuel Taxes'!AM84</f>
        <v>1.7060194594739261E-5</v>
      </c>
      <c r="AN83">
        <f>'Pretax Fuel Prices'!AN84+'Fuel Taxes'!AN84</f>
        <v>1.7131399909816429E-5</v>
      </c>
      <c r="AO83">
        <f>'Pretax Fuel Prices'!AO84+'Fuel Taxes'!AO84</f>
        <v>1.7202605224893597E-5</v>
      </c>
      <c r="AP83">
        <f>'Pretax Fuel Prices'!AP84+'Fuel Taxes'!AP84</f>
        <v>1.7273810539970762E-5</v>
      </c>
      <c r="AQ83">
        <f>'Pretax Fuel Prices'!AQ84+'Fuel Taxes'!AQ84</f>
        <v>1.7345015855047931E-5</v>
      </c>
      <c r="AR83">
        <f>'Pretax Fuel Prices'!AR84+'Fuel Taxes'!AR84</f>
        <v>1.7416221170125095E-5</v>
      </c>
      <c r="AS83">
        <f>'Pretax Fuel Prices'!AS84+'Fuel Taxes'!AS84</f>
        <v>1.7487426485202264E-5</v>
      </c>
      <c r="AT83">
        <f>'Pretax Fuel Prices'!AT84+'Fuel Taxes'!AT84</f>
        <v>1.7558631800279429E-5</v>
      </c>
      <c r="AU83">
        <f>'Pretax Fuel Prices'!AU84+'Fuel Taxes'!AU84</f>
        <v>1.7629837115356597E-5</v>
      </c>
      <c r="AV83">
        <f>'Pretax Fuel Prices'!AV84+'Fuel Taxes'!AV84</f>
        <v>1.7701042430433765E-5</v>
      </c>
      <c r="AW83">
        <f>'Pretax Fuel Prices'!AW84+'Fuel Taxes'!AW84</f>
        <v>1.777224774551093E-5</v>
      </c>
      <c r="AX83">
        <f>'Pretax Fuel Prices'!AX84+'Fuel Taxes'!AX84</f>
        <v>1.7843453060588098E-5</v>
      </c>
      <c r="AY83">
        <f>'Pretax Fuel Prices'!AY84+'Fuel Taxes'!AY84</f>
        <v>1.7914658375665263E-5</v>
      </c>
      <c r="AZ83">
        <f>'Pretax Fuel Prices'!AZ84+'Fuel Taxes'!AZ84</f>
        <v>1.7985863690742431E-5</v>
      </c>
    </row>
    <row r="84" spans="1:52" x14ac:dyDescent="0.25">
      <c r="A84" t="s">
        <v>53</v>
      </c>
      <c r="B84">
        <f>'Pretax Fuel Prices'!B85+'Fuel Taxes'!B85</f>
        <v>0</v>
      </c>
      <c r="C84">
        <f>'Pretax Fuel Prices'!C85+'Fuel Taxes'!C85</f>
        <v>0</v>
      </c>
      <c r="D84">
        <f>'Pretax Fuel Prices'!D85+'Fuel Taxes'!D85</f>
        <v>0</v>
      </c>
      <c r="E84">
        <f>'Pretax Fuel Prices'!E85+'Fuel Taxes'!E85</f>
        <v>0</v>
      </c>
      <c r="F84">
        <f>'Pretax Fuel Prices'!F85+'Fuel Taxes'!F85</f>
        <v>0</v>
      </c>
      <c r="G84">
        <f>'Pretax Fuel Prices'!G85+'Fuel Taxes'!G85</f>
        <v>0</v>
      </c>
      <c r="H84">
        <f>'Pretax Fuel Prices'!H85+'Fuel Taxes'!H85</f>
        <v>0</v>
      </c>
      <c r="I84">
        <f>'Pretax Fuel Prices'!I85+'Fuel Taxes'!I85</f>
        <v>0</v>
      </c>
      <c r="J84">
        <f>'Pretax Fuel Prices'!J85+'Fuel Taxes'!J85</f>
        <v>0</v>
      </c>
      <c r="K84">
        <f>'Pretax Fuel Prices'!K85+'Fuel Taxes'!K85</f>
        <v>0</v>
      </c>
      <c r="L84">
        <f>'Pretax Fuel Prices'!L85+'Fuel Taxes'!L85</f>
        <v>0</v>
      </c>
      <c r="M84">
        <f>'Pretax Fuel Prices'!M85+'Fuel Taxes'!M85</f>
        <v>0</v>
      </c>
      <c r="N84">
        <f>'Pretax Fuel Prices'!N85+'Fuel Taxes'!N85</f>
        <v>0</v>
      </c>
      <c r="O84">
        <f>'Pretax Fuel Prices'!O85+'Fuel Taxes'!O85</f>
        <v>0</v>
      </c>
      <c r="P84">
        <f>'Pretax Fuel Prices'!P85+'Fuel Taxes'!P85</f>
        <v>0</v>
      </c>
      <c r="Q84">
        <f>'Pretax Fuel Prices'!Q85+'Fuel Taxes'!Q85</f>
        <v>0</v>
      </c>
      <c r="R84">
        <f>'Pretax Fuel Prices'!R85+'Fuel Taxes'!R85</f>
        <v>0</v>
      </c>
      <c r="S84">
        <f>'Pretax Fuel Prices'!S85+'Fuel Taxes'!S85</f>
        <v>0</v>
      </c>
      <c r="T84">
        <f>'Pretax Fuel Prices'!T85+'Fuel Taxes'!T85</f>
        <v>0</v>
      </c>
      <c r="U84">
        <f>'Pretax Fuel Prices'!U85+'Fuel Taxes'!U85</f>
        <v>0</v>
      </c>
      <c r="V84">
        <f>'Pretax Fuel Prices'!V85+'Fuel Taxes'!V85</f>
        <v>0</v>
      </c>
      <c r="W84">
        <f>'Pretax Fuel Prices'!W85+'Fuel Taxes'!W85</f>
        <v>0</v>
      </c>
      <c r="X84">
        <f>'Pretax Fuel Prices'!X85+'Fuel Taxes'!X85</f>
        <v>0</v>
      </c>
      <c r="Y84">
        <f>'Pretax Fuel Prices'!Y85+'Fuel Taxes'!Y85</f>
        <v>0</v>
      </c>
      <c r="Z84">
        <f>'Pretax Fuel Prices'!Z85+'Fuel Taxes'!Z85</f>
        <v>0</v>
      </c>
      <c r="AA84">
        <f>'Pretax Fuel Prices'!AA85+'Fuel Taxes'!AA85</f>
        <v>0</v>
      </c>
      <c r="AB84">
        <f>'Pretax Fuel Prices'!AB85+'Fuel Taxes'!AB85</f>
        <v>0</v>
      </c>
      <c r="AC84">
        <f>'Pretax Fuel Prices'!AC85+'Fuel Taxes'!AC85</f>
        <v>0</v>
      </c>
      <c r="AD84">
        <f>'Pretax Fuel Prices'!AD85+'Fuel Taxes'!AD85</f>
        <v>0</v>
      </c>
      <c r="AE84">
        <f>'Pretax Fuel Prices'!AE85+'Fuel Taxes'!AE85</f>
        <v>0</v>
      </c>
      <c r="AF84">
        <f>'Pretax Fuel Prices'!AF85+'Fuel Taxes'!AF85</f>
        <v>0</v>
      </c>
      <c r="AG84">
        <f>'Pretax Fuel Prices'!AG85+'Fuel Taxes'!AG85</f>
        <v>0</v>
      </c>
      <c r="AH84">
        <f>'Pretax Fuel Prices'!AH85+'Fuel Taxes'!AH85</f>
        <v>0</v>
      </c>
      <c r="AI84">
        <f>'Pretax Fuel Prices'!AI85+'Fuel Taxes'!AI85</f>
        <v>0</v>
      </c>
      <c r="AJ84">
        <f>'Pretax Fuel Prices'!AJ85+'Fuel Taxes'!AJ85</f>
        <v>0</v>
      </c>
      <c r="AK84">
        <f>'Pretax Fuel Prices'!AK85+'Fuel Taxes'!AK85</f>
        <v>0</v>
      </c>
      <c r="AL84">
        <f>'Pretax Fuel Prices'!AL85+'Fuel Taxes'!AL85</f>
        <v>0</v>
      </c>
      <c r="AM84">
        <f>'Pretax Fuel Prices'!AM85+'Fuel Taxes'!AM85</f>
        <v>0</v>
      </c>
      <c r="AN84">
        <f>'Pretax Fuel Prices'!AN85+'Fuel Taxes'!AN85</f>
        <v>0</v>
      </c>
      <c r="AO84">
        <f>'Pretax Fuel Prices'!AO85+'Fuel Taxes'!AO85</f>
        <v>0</v>
      </c>
      <c r="AP84">
        <f>'Pretax Fuel Prices'!AP85+'Fuel Taxes'!AP85</f>
        <v>0</v>
      </c>
      <c r="AQ84">
        <f>'Pretax Fuel Prices'!AQ85+'Fuel Taxes'!AQ85</f>
        <v>0</v>
      </c>
      <c r="AR84">
        <f>'Pretax Fuel Prices'!AR85+'Fuel Taxes'!AR85</f>
        <v>0</v>
      </c>
      <c r="AS84">
        <f>'Pretax Fuel Prices'!AS85+'Fuel Taxes'!AS85</f>
        <v>0</v>
      </c>
      <c r="AT84">
        <f>'Pretax Fuel Prices'!AT85+'Fuel Taxes'!AT85</f>
        <v>0</v>
      </c>
      <c r="AU84">
        <f>'Pretax Fuel Prices'!AU85+'Fuel Taxes'!AU85</f>
        <v>0</v>
      </c>
      <c r="AV84">
        <f>'Pretax Fuel Prices'!AV85+'Fuel Taxes'!AV85</f>
        <v>0</v>
      </c>
      <c r="AW84">
        <f>'Pretax Fuel Prices'!AW85+'Fuel Taxes'!AW85</f>
        <v>0</v>
      </c>
      <c r="AX84">
        <f>'Pretax Fuel Prices'!AX85+'Fuel Taxes'!AX85</f>
        <v>0</v>
      </c>
      <c r="AY84">
        <f>'Pretax Fuel Prices'!AY85+'Fuel Taxes'!AY85</f>
        <v>0</v>
      </c>
      <c r="AZ84">
        <f>'Pretax Fuel Prices'!AZ85+'Fuel Taxes'!AZ85</f>
        <v>0</v>
      </c>
    </row>
    <row r="85" spans="1:52" x14ac:dyDescent="0.25">
      <c r="A85" t="s">
        <v>54</v>
      </c>
      <c r="B85">
        <f>'Pretax Fuel Prices'!B86+'Fuel Taxes'!B86</f>
        <v>1.5284362687015012E-5</v>
      </c>
      <c r="C85">
        <f>'Pretax Fuel Prices'!C86+'Fuel Taxes'!C86</f>
        <v>1.8103896074364319E-5</v>
      </c>
      <c r="D85">
        <f>'Pretax Fuel Prices'!D86+'Fuel Taxes'!D86</f>
        <v>3.1644800953223414E-5</v>
      </c>
      <c r="E85">
        <f>'Pretax Fuel Prices'!E86+'Fuel Taxes'!E86</f>
        <v>2.6730017958962703E-5</v>
      </c>
      <c r="F85">
        <f>'Pretax Fuel Prices'!F86+'Fuel Taxes'!F86</f>
        <v>2.5625302795549684E-5</v>
      </c>
      <c r="G85">
        <f>'Pretax Fuel Prices'!G86+'Fuel Taxes'!G86</f>
        <v>2.4520587632136668E-5</v>
      </c>
      <c r="H85">
        <f>'Pretax Fuel Prices'!H86+'Fuel Taxes'!H86</f>
        <v>2.3415872468723653E-5</v>
      </c>
      <c r="I85">
        <f>'Pretax Fuel Prices'!I86+'Fuel Taxes'!I86</f>
        <v>2.2311157305310637E-5</v>
      </c>
      <c r="J85">
        <f>'Pretax Fuel Prices'!J86+'Fuel Taxes'!J86</f>
        <v>2.1206442141897621E-5</v>
      </c>
      <c r="K85">
        <f>'Pretax Fuel Prices'!K86+'Fuel Taxes'!K86</f>
        <v>2.1309129471277255E-5</v>
      </c>
      <c r="L85">
        <f>'Pretax Fuel Prices'!L86+'Fuel Taxes'!L86</f>
        <v>2.1278474007868027E-5</v>
      </c>
      <c r="M85">
        <f>'Pretax Fuel Prices'!M86+'Fuel Taxes'!M86</f>
        <v>2.1510874279145285E-5</v>
      </c>
      <c r="N85">
        <f>'Pretax Fuel Prices'!N86+'Fuel Taxes'!N86</f>
        <v>2.159919980352806E-5</v>
      </c>
      <c r="O85">
        <f>'Pretax Fuel Prices'!O86+'Fuel Taxes'!O86</f>
        <v>2.1652304589851271E-5</v>
      </c>
      <c r="P85">
        <f>'Pretax Fuel Prices'!P86+'Fuel Taxes'!P86</f>
        <v>2.1694009746414734E-5</v>
      </c>
      <c r="Q85">
        <f>'Pretax Fuel Prices'!Q86+'Fuel Taxes'!Q86</f>
        <v>2.1761126401129273E-5</v>
      </c>
      <c r="R85">
        <f>'Pretax Fuel Prices'!R86+'Fuel Taxes'!R86</f>
        <v>2.1904730046927701E-5</v>
      </c>
      <c r="S85">
        <f>'Pretax Fuel Prices'!S86+'Fuel Taxes'!S86</f>
        <v>2.2087957870347267E-5</v>
      </c>
      <c r="T85">
        <f>'Pretax Fuel Prices'!T86+'Fuel Taxes'!T86</f>
        <v>2.2195674797040257E-5</v>
      </c>
      <c r="U85">
        <f>'Pretax Fuel Prices'!U86+'Fuel Taxes'!U86</f>
        <v>2.2253581255865957E-5</v>
      </c>
      <c r="V85">
        <f>'Pretax Fuel Prices'!V86+'Fuel Taxes'!V86</f>
        <v>2.2443319764217439E-5</v>
      </c>
      <c r="W85">
        <f>'Pretax Fuel Prices'!W86+'Fuel Taxes'!W86</f>
        <v>2.2525684504048415E-5</v>
      </c>
      <c r="X85">
        <f>'Pretax Fuel Prices'!X86+'Fuel Taxes'!X86</f>
        <v>2.2536319865483258E-5</v>
      </c>
      <c r="Y85">
        <f>'Pretax Fuel Prices'!Y86+'Fuel Taxes'!Y86</f>
        <v>2.2728116475565561E-5</v>
      </c>
      <c r="Z85">
        <f>'Pretax Fuel Prices'!Z86+'Fuel Taxes'!Z86</f>
        <v>2.2946869219227222E-5</v>
      </c>
      <c r="AA85">
        <f>'Pretax Fuel Prices'!AA86+'Fuel Taxes'!AA86</f>
        <v>2.3030299020349112E-5</v>
      </c>
      <c r="AB85">
        <f>'Pretax Fuel Prices'!AB86+'Fuel Taxes'!AB86</f>
        <v>2.3204760635243749E-5</v>
      </c>
      <c r="AC85">
        <f>'Pretax Fuel Prices'!AC86+'Fuel Taxes'!AC86</f>
        <v>2.3229301104749601E-5</v>
      </c>
      <c r="AD85">
        <f>'Pretax Fuel Prices'!AD86+'Fuel Taxes'!AD86</f>
        <v>2.3163228328722735E-5</v>
      </c>
      <c r="AE85">
        <f>'Pretax Fuel Prices'!AE86+'Fuel Taxes'!AE86</f>
        <v>2.3150486569221682E-5</v>
      </c>
      <c r="AF85">
        <f>'Pretax Fuel Prices'!AF86+'Fuel Taxes'!AF86</f>
        <v>2.3105762468044434E-5</v>
      </c>
      <c r="AG85">
        <f>'Pretax Fuel Prices'!AG86+'Fuel Taxes'!AG86</f>
        <v>2.3129956490074663E-5</v>
      </c>
      <c r="AH85">
        <f>'Pretax Fuel Prices'!AH86+'Fuel Taxes'!AH86</f>
        <v>2.314689252890836E-5</v>
      </c>
      <c r="AI85">
        <f>'Pretax Fuel Prices'!AI86+'Fuel Taxes'!AI86</f>
        <v>2.3163828567742061E-5</v>
      </c>
      <c r="AJ85">
        <f>'Pretax Fuel Prices'!AJ86+'Fuel Taxes'!AJ86</f>
        <v>2.3180764606575765E-5</v>
      </c>
      <c r="AK85">
        <f>'Pretax Fuel Prices'!AK86+'Fuel Taxes'!AK86</f>
        <v>2.3197700645409463E-5</v>
      </c>
      <c r="AL85">
        <f>'Pretax Fuel Prices'!AL86+'Fuel Taxes'!AL86</f>
        <v>2.3214636684243164E-5</v>
      </c>
      <c r="AM85">
        <f>'Pretax Fuel Prices'!AM86+'Fuel Taxes'!AM86</f>
        <v>2.3231572723076868E-5</v>
      </c>
      <c r="AN85">
        <f>'Pretax Fuel Prices'!AN86+'Fuel Taxes'!AN86</f>
        <v>2.3248508761910566E-5</v>
      </c>
      <c r="AO85">
        <f>'Pretax Fuel Prices'!AO86+'Fuel Taxes'!AO86</f>
        <v>2.3265444800744267E-5</v>
      </c>
      <c r="AP85">
        <f>'Pretax Fuel Prices'!AP86+'Fuel Taxes'!AP86</f>
        <v>2.3282380839577968E-5</v>
      </c>
      <c r="AQ85">
        <f>'Pretax Fuel Prices'!AQ86+'Fuel Taxes'!AQ86</f>
        <v>2.3299316878411668E-5</v>
      </c>
      <c r="AR85">
        <f>'Pretax Fuel Prices'!AR86+'Fuel Taxes'!AR86</f>
        <v>2.3316252917245369E-5</v>
      </c>
      <c r="AS85">
        <f>'Pretax Fuel Prices'!AS86+'Fuel Taxes'!AS86</f>
        <v>2.333318895607907E-5</v>
      </c>
      <c r="AT85">
        <f>'Pretax Fuel Prices'!AT86+'Fuel Taxes'!AT86</f>
        <v>2.3350124994912768E-5</v>
      </c>
      <c r="AU85">
        <f>'Pretax Fuel Prices'!AU86+'Fuel Taxes'!AU86</f>
        <v>2.3367061033746472E-5</v>
      </c>
      <c r="AV85">
        <f>'Pretax Fuel Prices'!AV86+'Fuel Taxes'!AV86</f>
        <v>2.3383997072580173E-5</v>
      </c>
      <c r="AW85">
        <f>'Pretax Fuel Prices'!AW86+'Fuel Taxes'!AW86</f>
        <v>2.3400933111413871E-5</v>
      </c>
      <c r="AX85">
        <f>'Pretax Fuel Prices'!AX86+'Fuel Taxes'!AX86</f>
        <v>2.3417869150247572E-5</v>
      </c>
      <c r="AY85">
        <f>'Pretax Fuel Prices'!AY86+'Fuel Taxes'!AY86</f>
        <v>2.3434805189081276E-5</v>
      </c>
      <c r="AZ85">
        <f>'Pretax Fuel Prices'!AZ86+'Fuel Taxes'!AZ86</f>
        <v>2.3451741227914973E-5</v>
      </c>
    </row>
    <row r="86" spans="1:52" x14ac:dyDescent="0.25">
      <c r="A86" t="s">
        <v>55</v>
      </c>
      <c r="B86">
        <f>'Pretax Fuel Prices'!B87+'Fuel Taxes'!B87</f>
        <v>1.535040928398649E-5</v>
      </c>
      <c r="C86">
        <f>'Pretax Fuel Prices'!C87+'Fuel Taxes'!C87</f>
        <v>1.8169142507987729E-5</v>
      </c>
      <c r="D86">
        <f>'Pretax Fuel Prices'!D87+'Fuel Taxes'!D87</f>
        <v>3.1763982926454341E-5</v>
      </c>
      <c r="E86">
        <f>'Pretax Fuel Prices'!E87+'Fuel Taxes'!E87</f>
        <v>2.5407270942101809E-5</v>
      </c>
      <c r="F86">
        <f>'Pretax Fuel Prices'!F87+'Fuel Taxes'!F87</f>
        <v>2.3664995387819542E-5</v>
      </c>
      <c r="G86">
        <f>'Pretax Fuel Prices'!G87+'Fuel Taxes'!G87</f>
        <v>2.1922719833537274E-5</v>
      </c>
      <c r="H86">
        <f>'Pretax Fuel Prices'!H87+'Fuel Taxes'!H87</f>
        <v>2.0180444279255007E-5</v>
      </c>
      <c r="I86">
        <f>'Pretax Fuel Prices'!I87+'Fuel Taxes'!I87</f>
        <v>1.843816872497274E-5</v>
      </c>
      <c r="J86">
        <f>'Pretax Fuel Prices'!J87+'Fuel Taxes'!J87</f>
        <v>1.6695893170690479E-5</v>
      </c>
      <c r="K86">
        <f>'Pretax Fuel Prices'!K87+'Fuel Taxes'!K87</f>
        <v>1.6793988111687639E-5</v>
      </c>
      <c r="L86">
        <f>'Pretax Fuel Prices'!L87+'Fuel Taxes'!L87</f>
        <v>1.6765775426084064E-5</v>
      </c>
      <c r="M86">
        <f>'Pretax Fuel Prices'!M87+'Fuel Taxes'!M87</f>
        <v>1.7263839434158761E-5</v>
      </c>
      <c r="N86">
        <f>'Pretax Fuel Prices'!N87+'Fuel Taxes'!N87</f>
        <v>1.7356684478768862E-5</v>
      </c>
      <c r="O86">
        <f>'Pretax Fuel Prices'!O87+'Fuel Taxes'!O87</f>
        <v>1.7452739111421926E-5</v>
      </c>
      <c r="P86">
        <f>'Pretax Fuel Prices'!P87+'Fuel Taxes'!P87</f>
        <v>1.7498082591917921E-5</v>
      </c>
      <c r="Q86">
        <f>'Pretax Fuel Prices'!Q87+'Fuel Taxes'!Q87</f>
        <v>1.7577106411565853E-5</v>
      </c>
      <c r="R86">
        <f>'Pretax Fuel Prices'!R87+'Fuel Taxes'!R87</f>
        <v>1.7723346020511492E-5</v>
      </c>
      <c r="S86">
        <f>'Pretax Fuel Prices'!S87+'Fuel Taxes'!S87</f>
        <v>1.7908586191238879E-5</v>
      </c>
      <c r="T86">
        <f>'Pretax Fuel Prices'!T87+'Fuel Taxes'!T87</f>
        <v>1.8019786385208692E-5</v>
      </c>
      <c r="U86">
        <f>'Pretax Fuel Prices'!U87+'Fuel Taxes'!U87</f>
        <v>1.8077791978617558E-5</v>
      </c>
      <c r="V86">
        <f>'Pretax Fuel Prices'!V87+'Fuel Taxes'!V87</f>
        <v>1.8253137331719377E-5</v>
      </c>
      <c r="W86">
        <f>'Pretax Fuel Prices'!W87+'Fuel Taxes'!W87</f>
        <v>1.8341307799446429E-5</v>
      </c>
      <c r="X86">
        <f>'Pretax Fuel Prices'!X87+'Fuel Taxes'!X87</f>
        <v>1.8354965494711586E-5</v>
      </c>
      <c r="Y86">
        <f>'Pretax Fuel Prices'!Y87+'Fuel Taxes'!Y87</f>
        <v>1.8562885455076207E-5</v>
      </c>
      <c r="Z86">
        <f>'Pretax Fuel Prices'!Z87+'Fuel Taxes'!Z87</f>
        <v>1.8796651580610397E-5</v>
      </c>
      <c r="AA86">
        <f>'Pretax Fuel Prices'!AA87+'Fuel Taxes'!AA87</f>
        <v>1.8887027580986822E-5</v>
      </c>
      <c r="AB86">
        <f>'Pretax Fuel Prices'!AB87+'Fuel Taxes'!AB87</f>
        <v>1.9048631355714651E-5</v>
      </c>
      <c r="AC86">
        <f>'Pretax Fuel Prices'!AC87+'Fuel Taxes'!AC87</f>
        <v>1.9086961699929876E-5</v>
      </c>
      <c r="AD86">
        <f>'Pretax Fuel Prices'!AD87+'Fuel Taxes'!AD87</f>
        <v>1.9036843660663538E-5</v>
      </c>
      <c r="AE86">
        <f>'Pretax Fuel Prices'!AE87+'Fuel Taxes'!AE87</f>
        <v>1.9019043495508724E-5</v>
      </c>
      <c r="AF86">
        <f>'Pretax Fuel Prices'!AF87+'Fuel Taxes'!AF87</f>
        <v>1.8957430928420119E-5</v>
      </c>
      <c r="AG86">
        <f>'Pretax Fuel Prices'!AG87+'Fuel Taxes'!AG87</f>
        <v>1.8866667664791186E-5</v>
      </c>
      <c r="AH86">
        <f>'Pretax Fuel Prices'!AH87+'Fuel Taxes'!AH87</f>
        <v>1.8779677715226584E-5</v>
      </c>
      <c r="AI86">
        <f>'Pretax Fuel Prices'!AI87+'Fuel Taxes'!AI87</f>
        <v>1.8692687765661984E-5</v>
      </c>
      <c r="AJ86">
        <f>'Pretax Fuel Prices'!AJ87+'Fuel Taxes'!AJ87</f>
        <v>1.8605697816097385E-5</v>
      </c>
      <c r="AK86">
        <f>'Pretax Fuel Prices'!AK87+'Fuel Taxes'!AK87</f>
        <v>1.8518707866532783E-5</v>
      </c>
      <c r="AL86">
        <f>'Pretax Fuel Prices'!AL87+'Fuel Taxes'!AL87</f>
        <v>1.8431717916968183E-5</v>
      </c>
      <c r="AM86">
        <f>'Pretax Fuel Prices'!AM87+'Fuel Taxes'!AM87</f>
        <v>1.8344727967403584E-5</v>
      </c>
      <c r="AN86">
        <f>'Pretax Fuel Prices'!AN87+'Fuel Taxes'!AN87</f>
        <v>1.8257738017838982E-5</v>
      </c>
      <c r="AO86">
        <f>'Pretax Fuel Prices'!AO87+'Fuel Taxes'!AO87</f>
        <v>1.8170748068274383E-5</v>
      </c>
      <c r="AP86">
        <f>'Pretax Fuel Prices'!AP87+'Fuel Taxes'!AP87</f>
        <v>1.8083758118709783E-5</v>
      </c>
      <c r="AQ86">
        <f>'Pretax Fuel Prices'!AQ87+'Fuel Taxes'!AQ87</f>
        <v>1.7996768169145181E-5</v>
      </c>
      <c r="AR86">
        <f>'Pretax Fuel Prices'!AR87+'Fuel Taxes'!AR87</f>
        <v>1.7909778219580585E-5</v>
      </c>
      <c r="AS86">
        <f>'Pretax Fuel Prices'!AS87+'Fuel Taxes'!AS87</f>
        <v>1.7822788270015983E-5</v>
      </c>
      <c r="AT86">
        <f>'Pretax Fuel Prices'!AT87+'Fuel Taxes'!AT87</f>
        <v>1.7735798320451383E-5</v>
      </c>
      <c r="AU86">
        <f>'Pretax Fuel Prices'!AU87+'Fuel Taxes'!AU87</f>
        <v>1.7648808370886784E-5</v>
      </c>
      <c r="AV86">
        <f>'Pretax Fuel Prices'!AV87+'Fuel Taxes'!AV87</f>
        <v>1.7561818421322182E-5</v>
      </c>
      <c r="AW86">
        <f>'Pretax Fuel Prices'!AW87+'Fuel Taxes'!AW87</f>
        <v>1.7474828471757582E-5</v>
      </c>
      <c r="AX86">
        <f>'Pretax Fuel Prices'!AX87+'Fuel Taxes'!AX87</f>
        <v>1.7387838522192983E-5</v>
      </c>
      <c r="AY86">
        <f>'Pretax Fuel Prices'!AY87+'Fuel Taxes'!AY87</f>
        <v>1.7300848572628381E-5</v>
      </c>
      <c r="AZ86">
        <f>'Pretax Fuel Prices'!AZ87+'Fuel Taxes'!AZ87</f>
        <v>1.7213858623063782E-5</v>
      </c>
    </row>
    <row r="87" spans="1:52" x14ac:dyDescent="0.25">
      <c r="A87" t="s">
        <v>56</v>
      </c>
      <c r="B87">
        <f>'Pretax Fuel Prices'!B88+'Fuel Taxes'!B88</f>
        <v>0</v>
      </c>
      <c r="C87">
        <f>'Pretax Fuel Prices'!C88+'Fuel Taxes'!C88</f>
        <v>0</v>
      </c>
      <c r="D87">
        <f>'Pretax Fuel Prices'!D88+'Fuel Taxes'!D88</f>
        <v>0</v>
      </c>
      <c r="E87">
        <f>'Pretax Fuel Prices'!E88+'Fuel Taxes'!E88</f>
        <v>0</v>
      </c>
      <c r="F87">
        <f>'Pretax Fuel Prices'!F88+'Fuel Taxes'!F88</f>
        <v>0</v>
      </c>
      <c r="G87">
        <f>'Pretax Fuel Prices'!G88+'Fuel Taxes'!G88</f>
        <v>0</v>
      </c>
      <c r="H87">
        <f>'Pretax Fuel Prices'!H88+'Fuel Taxes'!H88</f>
        <v>0</v>
      </c>
      <c r="I87">
        <f>'Pretax Fuel Prices'!I88+'Fuel Taxes'!I88</f>
        <v>0</v>
      </c>
      <c r="J87">
        <f>'Pretax Fuel Prices'!J88+'Fuel Taxes'!J88</f>
        <v>0</v>
      </c>
      <c r="K87">
        <f>'Pretax Fuel Prices'!K88+'Fuel Taxes'!K88</f>
        <v>0</v>
      </c>
      <c r="L87">
        <f>'Pretax Fuel Prices'!L88+'Fuel Taxes'!L88</f>
        <v>0</v>
      </c>
      <c r="M87">
        <f>'Pretax Fuel Prices'!M88+'Fuel Taxes'!M88</f>
        <v>0</v>
      </c>
      <c r="N87">
        <f>'Pretax Fuel Prices'!N88+'Fuel Taxes'!N88</f>
        <v>0</v>
      </c>
      <c r="O87">
        <f>'Pretax Fuel Prices'!O88+'Fuel Taxes'!O88</f>
        <v>0</v>
      </c>
      <c r="P87">
        <f>'Pretax Fuel Prices'!P88+'Fuel Taxes'!P88</f>
        <v>0</v>
      </c>
      <c r="Q87">
        <f>'Pretax Fuel Prices'!Q88+'Fuel Taxes'!Q88</f>
        <v>0</v>
      </c>
      <c r="R87">
        <f>'Pretax Fuel Prices'!R88+'Fuel Taxes'!R88</f>
        <v>0</v>
      </c>
      <c r="S87">
        <f>'Pretax Fuel Prices'!S88+'Fuel Taxes'!S88</f>
        <v>0</v>
      </c>
      <c r="T87">
        <f>'Pretax Fuel Prices'!T88+'Fuel Taxes'!T88</f>
        <v>0</v>
      </c>
      <c r="U87">
        <f>'Pretax Fuel Prices'!U88+'Fuel Taxes'!U88</f>
        <v>0</v>
      </c>
      <c r="V87">
        <f>'Pretax Fuel Prices'!V88+'Fuel Taxes'!V88</f>
        <v>0</v>
      </c>
      <c r="W87">
        <f>'Pretax Fuel Prices'!W88+'Fuel Taxes'!W88</f>
        <v>0</v>
      </c>
      <c r="X87">
        <f>'Pretax Fuel Prices'!X88+'Fuel Taxes'!X88</f>
        <v>0</v>
      </c>
      <c r="Y87">
        <f>'Pretax Fuel Prices'!Y88+'Fuel Taxes'!Y88</f>
        <v>0</v>
      </c>
      <c r="Z87">
        <f>'Pretax Fuel Prices'!Z88+'Fuel Taxes'!Z88</f>
        <v>0</v>
      </c>
      <c r="AA87">
        <f>'Pretax Fuel Prices'!AA88+'Fuel Taxes'!AA88</f>
        <v>0</v>
      </c>
      <c r="AB87">
        <f>'Pretax Fuel Prices'!AB88+'Fuel Taxes'!AB88</f>
        <v>0</v>
      </c>
      <c r="AC87">
        <f>'Pretax Fuel Prices'!AC88+'Fuel Taxes'!AC88</f>
        <v>0</v>
      </c>
      <c r="AD87">
        <f>'Pretax Fuel Prices'!AD88+'Fuel Taxes'!AD88</f>
        <v>0</v>
      </c>
      <c r="AE87">
        <f>'Pretax Fuel Prices'!AE88+'Fuel Taxes'!AE88</f>
        <v>0</v>
      </c>
      <c r="AF87">
        <f>'Pretax Fuel Prices'!AF88+'Fuel Taxes'!AF88</f>
        <v>0</v>
      </c>
      <c r="AG87">
        <f>'Pretax Fuel Prices'!AG88+'Fuel Taxes'!AG88</f>
        <v>0</v>
      </c>
      <c r="AH87">
        <f>'Pretax Fuel Prices'!AH88+'Fuel Taxes'!AH88</f>
        <v>0</v>
      </c>
      <c r="AI87">
        <f>'Pretax Fuel Prices'!AI88+'Fuel Taxes'!AI88</f>
        <v>0</v>
      </c>
      <c r="AJ87">
        <f>'Pretax Fuel Prices'!AJ88+'Fuel Taxes'!AJ88</f>
        <v>0</v>
      </c>
      <c r="AK87">
        <f>'Pretax Fuel Prices'!AK88+'Fuel Taxes'!AK88</f>
        <v>0</v>
      </c>
      <c r="AL87">
        <f>'Pretax Fuel Prices'!AL88+'Fuel Taxes'!AL88</f>
        <v>0</v>
      </c>
      <c r="AM87">
        <f>'Pretax Fuel Prices'!AM88+'Fuel Taxes'!AM88</f>
        <v>0</v>
      </c>
      <c r="AN87">
        <f>'Pretax Fuel Prices'!AN88+'Fuel Taxes'!AN88</f>
        <v>0</v>
      </c>
      <c r="AO87">
        <f>'Pretax Fuel Prices'!AO88+'Fuel Taxes'!AO88</f>
        <v>0</v>
      </c>
      <c r="AP87">
        <f>'Pretax Fuel Prices'!AP88+'Fuel Taxes'!AP88</f>
        <v>0</v>
      </c>
      <c r="AQ87">
        <f>'Pretax Fuel Prices'!AQ88+'Fuel Taxes'!AQ88</f>
        <v>0</v>
      </c>
      <c r="AR87">
        <f>'Pretax Fuel Prices'!AR88+'Fuel Taxes'!AR88</f>
        <v>0</v>
      </c>
      <c r="AS87">
        <f>'Pretax Fuel Prices'!AS88+'Fuel Taxes'!AS88</f>
        <v>0</v>
      </c>
      <c r="AT87">
        <f>'Pretax Fuel Prices'!AT88+'Fuel Taxes'!AT88</f>
        <v>0</v>
      </c>
      <c r="AU87">
        <f>'Pretax Fuel Prices'!AU88+'Fuel Taxes'!AU88</f>
        <v>0</v>
      </c>
      <c r="AV87">
        <f>'Pretax Fuel Prices'!AV88+'Fuel Taxes'!AV88</f>
        <v>0</v>
      </c>
      <c r="AW87">
        <f>'Pretax Fuel Prices'!AW88+'Fuel Taxes'!AW88</f>
        <v>0</v>
      </c>
      <c r="AX87">
        <f>'Pretax Fuel Prices'!AX88+'Fuel Taxes'!AX88</f>
        <v>0</v>
      </c>
      <c r="AY87">
        <f>'Pretax Fuel Prices'!AY88+'Fuel Taxes'!AY88</f>
        <v>0</v>
      </c>
      <c r="AZ87">
        <f>'Pretax Fuel Prices'!AZ88+'Fuel Taxes'!AZ88</f>
        <v>0</v>
      </c>
    </row>
    <row r="88" spans="1:52" x14ac:dyDescent="0.25">
      <c r="A88" t="s">
        <v>57</v>
      </c>
      <c r="B88">
        <f>'Pretax Fuel Prices'!B89+'Fuel Taxes'!B89</f>
        <v>0</v>
      </c>
      <c r="C88">
        <f>'Pretax Fuel Prices'!C89+'Fuel Taxes'!C89</f>
        <v>0</v>
      </c>
      <c r="D88">
        <f>'Pretax Fuel Prices'!D89+'Fuel Taxes'!D89</f>
        <v>0</v>
      </c>
      <c r="E88">
        <f>'Pretax Fuel Prices'!E89+'Fuel Taxes'!E89</f>
        <v>0</v>
      </c>
      <c r="F88">
        <f>'Pretax Fuel Prices'!F89+'Fuel Taxes'!F89</f>
        <v>0</v>
      </c>
      <c r="G88">
        <f>'Pretax Fuel Prices'!G89+'Fuel Taxes'!G89</f>
        <v>0</v>
      </c>
      <c r="H88">
        <f>'Pretax Fuel Prices'!H89+'Fuel Taxes'!H89</f>
        <v>0</v>
      </c>
      <c r="I88">
        <f>'Pretax Fuel Prices'!I89+'Fuel Taxes'!I89</f>
        <v>0</v>
      </c>
      <c r="J88">
        <f>'Pretax Fuel Prices'!J89+'Fuel Taxes'!J89</f>
        <v>0</v>
      </c>
      <c r="K88">
        <f>'Pretax Fuel Prices'!K89+'Fuel Taxes'!K89</f>
        <v>0</v>
      </c>
      <c r="L88">
        <f>'Pretax Fuel Prices'!L89+'Fuel Taxes'!L89</f>
        <v>0</v>
      </c>
      <c r="M88">
        <f>'Pretax Fuel Prices'!M89+'Fuel Taxes'!M89</f>
        <v>0</v>
      </c>
      <c r="N88">
        <f>'Pretax Fuel Prices'!N89+'Fuel Taxes'!N89</f>
        <v>0</v>
      </c>
      <c r="O88">
        <f>'Pretax Fuel Prices'!O89+'Fuel Taxes'!O89</f>
        <v>0</v>
      </c>
      <c r="P88">
        <f>'Pretax Fuel Prices'!P89+'Fuel Taxes'!P89</f>
        <v>0</v>
      </c>
      <c r="Q88">
        <f>'Pretax Fuel Prices'!Q89+'Fuel Taxes'!Q89</f>
        <v>0</v>
      </c>
      <c r="R88">
        <f>'Pretax Fuel Prices'!R89+'Fuel Taxes'!R89</f>
        <v>0</v>
      </c>
      <c r="S88">
        <f>'Pretax Fuel Prices'!S89+'Fuel Taxes'!S89</f>
        <v>0</v>
      </c>
      <c r="T88">
        <f>'Pretax Fuel Prices'!T89+'Fuel Taxes'!T89</f>
        <v>0</v>
      </c>
      <c r="U88">
        <f>'Pretax Fuel Prices'!U89+'Fuel Taxes'!U89</f>
        <v>0</v>
      </c>
      <c r="V88">
        <f>'Pretax Fuel Prices'!V89+'Fuel Taxes'!V89</f>
        <v>0</v>
      </c>
      <c r="W88">
        <f>'Pretax Fuel Prices'!W89+'Fuel Taxes'!W89</f>
        <v>0</v>
      </c>
      <c r="X88">
        <f>'Pretax Fuel Prices'!X89+'Fuel Taxes'!X89</f>
        <v>0</v>
      </c>
      <c r="Y88">
        <f>'Pretax Fuel Prices'!Y89+'Fuel Taxes'!Y89</f>
        <v>0</v>
      </c>
      <c r="Z88">
        <f>'Pretax Fuel Prices'!Z89+'Fuel Taxes'!Z89</f>
        <v>0</v>
      </c>
      <c r="AA88">
        <f>'Pretax Fuel Prices'!AA89+'Fuel Taxes'!AA89</f>
        <v>0</v>
      </c>
      <c r="AB88">
        <f>'Pretax Fuel Prices'!AB89+'Fuel Taxes'!AB89</f>
        <v>0</v>
      </c>
      <c r="AC88">
        <f>'Pretax Fuel Prices'!AC89+'Fuel Taxes'!AC89</f>
        <v>0</v>
      </c>
      <c r="AD88">
        <f>'Pretax Fuel Prices'!AD89+'Fuel Taxes'!AD89</f>
        <v>0</v>
      </c>
      <c r="AE88">
        <f>'Pretax Fuel Prices'!AE89+'Fuel Taxes'!AE89</f>
        <v>0</v>
      </c>
      <c r="AF88">
        <f>'Pretax Fuel Prices'!AF89+'Fuel Taxes'!AF89</f>
        <v>0</v>
      </c>
      <c r="AG88">
        <f>'Pretax Fuel Prices'!AG89+'Fuel Taxes'!AG89</f>
        <v>0</v>
      </c>
      <c r="AH88">
        <f>'Pretax Fuel Prices'!AH89+'Fuel Taxes'!AH89</f>
        <v>0</v>
      </c>
      <c r="AI88">
        <f>'Pretax Fuel Prices'!AI89+'Fuel Taxes'!AI89</f>
        <v>0</v>
      </c>
      <c r="AJ88">
        <f>'Pretax Fuel Prices'!AJ89+'Fuel Taxes'!AJ89</f>
        <v>0</v>
      </c>
      <c r="AK88">
        <f>'Pretax Fuel Prices'!AK89+'Fuel Taxes'!AK89</f>
        <v>0</v>
      </c>
      <c r="AL88">
        <f>'Pretax Fuel Prices'!AL89+'Fuel Taxes'!AL89</f>
        <v>0</v>
      </c>
      <c r="AM88">
        <f>'Pretax Fuel Prices'!AM89+'Fuel Taxes'!AM89</f>
        <v>0</v>
      </c>
      <c r="AN88">
        <f>'Pretax Fuel Prices'!AN89+'Fuel Taxes'!AN89</f>
        <v>0</v>
      </c>
      <c r="AO88">
        <f>'Pretax Fuel Prices'!AO89+'Fuel Taxes'!AO89</f>
        <v>0</v>
      </c>
      <c r="AP88">
        <f>'Pretax Fuel Prices'!AP89+'Fuel Taxes'!AP89</f>
        <v>0</v>
      </c>
      <c r="AQ88">
        <f>'Pretax Fuel Prices'!AQ89+'Fuel Taxes'!AQ89</f>
        <v>0</v>
      </c>
      <c r="AR88">
        <f>'Pretax Fuel Prices'!AR89+'Fuel Taxes'!AR89</f>
        <v>0</v>
      </c>
      <c r="AS88">
        <f>'Pretax Fuel Prices'!AS89+'Fuel Taxes'!AS89</f>
        <v>0</v>
      </c>
      <c r="AT88">
        <f>'Pretax Fuel Prices'!AT89+'Fuel Taxes'!AT89</f>
        <v>0</v>
      </c>
      <c r="AU88">
        <f>'Pretax Fuel Prices'!AU89+'Fuel Taxes'!AU89</f>
        <v>0</v>
      </c>
      <c r="AV88">
        <f>'Pretax Fuel Prices'!AV89+'Fuel Taxes'!AV89</f>
        <v>0</v>
      </c>
      <c r="AW88">
        <f>'Pretax Fuel Prices'!AW89+'Fuel Taxes'!AW89</f>
        <v>0</v>
      </c>
      <c r="AX88">
        <f>'Pretax Fuel Prices'!AX89+'Fuel Taxes'!AX89</f>
        <v>0</v>
      </c>
      <c r="AY88">
        <f>'Pretax Fuel Prices'!AY89+'Fuel Taxes'!AY89</f>
        <v>0</v>
      </c>
      <c r="AZ88">
        <f>'Pretax Fuel Prices'!AZ89+'Fuel Taxes'!AZ89</f>
        <v>0</v>
      </c>
    </row>
    <row r="89" spans="1:52" x14ac:dyDescent="0.25">
      <c r="A89" t="s">
        <v>58</v>
      </c>
      <c r="B89">
        <f>'Pretax Fuel Prices'!B90+'Fuel Taxes'!B90</f>
        <v>0</v>
      </c>
      <c r="C89">
        <f>'Pretax Fuel Prices'!C90+'Fuel Taxes'!C90</f>
        <v>0</v>
      </c>
      <c r="D89">
        <f>'Pretax Fuel Prices'!D90+'Fuel Taxes'!D90</f>
        <v>0</v>
      </c>
      <c r="E89">
        <f>'Pretax Fuel Prices'!E90+'Fuel Taxes'!E90</f>
        <v>0</v>
      </c>
      <c r="F89">
        <f>'Pretax Fuel Prices'!F90+'Fuel Taxes'!F90</f>
        <v>0</v>
      </c>
      <c r="G89">
        <f>'Pretax Fuel Prices'!G90+'Fuel Taxes'!G90</f>
        <v>0</v>
      </c>
      <c r="H89">
        <f>'Pretax Fuel Prices'!H90+'Fuel Taxes'!H90</f>
        <v>0</v>
      </c>
      <c r="I89">
        <f>'Pretax Fuel Prices'!I90+'Fuel Taxes'!I90</f>
        <v>0</v>
      </c>
      <c r="J89">
        <f>'Pretax Fuel Prices'!J90+'Fuel Taxes'!J90</f>
        <v>0</v>
      </c>
      <c r="K89">
        <f>'Pretax Fuel Prices'!K90+'Fuel Taxes'!K90</f>
        <v>0</v>
      </c>
      <c r="L89">
        <f>'Pretax Fuel Prices'!L90+'Fuel Taxes'!L90</f>
        <v>0</v>
      </c>
      <c r="M89">
        <f>'Pretax Fuel Prices'!M90+'Fuel Taxes'!M90</f>
        <v>0</v>
      </c>
      <c r="N89">
        <f>'Pretax Fuel Prices'!N90+'Fuel Taxes'!N90</f>
        <v>0</v>
      </c>
      <c r="O89">
        <f>'Pretax Fuel Prices'!O90+'Fuel Taxes'!O90</f>
        <v>0</v>
      </c>
      <c r="P89">
        <f>'Pretax Fuel Prices'!P90+'Fuel Taxes'!P90</f>
        <v>0</v>
      </c>
      <c r="Q89">
        <f>'Pretax Fuel Prices'!Q90+'Fuel Taxes'!Q90</f>
        <v>0</v>
      </c>
      <c r="R89">
        <f>'Pretax Fuel Prices'!R90+'Fuel Taxes'!R90</f>
        <v>0</v>
      </c>
      <c r="S89">
        <f>'Pretax Fuel Prices'!S90+'Fuel Taxes'!S90</f>
        <v>0</v>
      </c>
      <c r="T89">
        <f>'Pretax Fuel Prices'!T90+'Fuel Taxes'!T90</f>
        <v>0</v>
      </c>
      <c r="U89">
        <f>'Pretax Fuel Prices'!U90+'Fuel Taxes'!U90</f>
        <v>0</v>
      </c>
      <c r="V89">
        <f>'Pretax Fuel Prices'!V90+'Fuel Taxes'!V90</f>
        <v>0</v>
      </c>
      <c r="W89">
        <f>'Pretax Fuel Prices'!W90+'Fuel Taxes'!W90</f>
        <v>0</v>
      </c>
      <c r="X89">
        <f>'Pretax Fuel Prices'!X90+'Fuel Taxes'!X90</f>
        <v>0</v>
      </c>
      <c r="Y89">
        <f>'Pretax Fuel Prices'!Y90+'Fuel Taxes'!Y90</f>
        <v>0</v>
      </c>
      <c r="Z89">
        <f>'Pretax Fuel Prices'!Z90+'Fuel Taxes'!Z90</f>
        <v>0</v>
      </c>
      <c r="AA89">
        <f>'Pretax Fuel Prices'!AA90+'Fuel Taxes'!AA90</f>
        <v>0</v>
      </c>
      <c r="AB89">
        <f>'Pretax Fuel Prices'!AB90+'Fuel Taxes'!AB90</f>
        <v>0</v>
      </c>
      <c r="AC89">
        <f>'Pretax Fuel Prices'!AC90+'Fuel Taxes'!AC90</f>
        <v>0</v>
      </c>
      <c r="AD89">
        <f>'Pretax Fuel Prices'!AD90+'Fuel Taxes'!AD90</f>
        <v>0</v>
      </c>
      <c r="AE89">
        <f>'Pretax Fuel Prices'!AE90+'Fuel Taxes'!AE90</f>
        <v>0</v>
      </c>
      <c r="AF89">
        <f>'Pretax Fuel Prices'!AF90+'Fuel Taxes'!AF90</f>
        <v>0</v>
      </c>
      <c r="AG89">
        <f>'Pretax Fuel Prices'!AG90+'Fuel Taxes'!AG90</f>
        <v>0</v>
      </c>
      <c r="AH89">
        <f>'Pretax Fuel Prices'!AH90+'Fuel Taxes'!AH90</f>
        <v>0</v>
      </c>
      <c r="AI89">
        <f>'Pretax Fuel Prices'!AI90+'Fuel Taxes'!AI90</f>
        <v>0</v>
      </c>
      <c r="AJ89">
        <f>'Pretax Fuel Prices'!AJ90+'Fuel Taxes'!AJ90</f>
        <v>0</v>
      </c>
      <c r="AK89">
        <f>'Pretax Fuel Prices'!AK90+'Fuel Taxes'!AK90</f>
        <v>0</v>
      </c>
      <c r="AL89">
        <f>'Pretax Fuel Prices'!AL90+'Fuel Taxes'!AL90</f>
        <v>0</v>
      </c>
      <c r="AM89">
        <f>'Pretax Fuel Prices'!AM90+'Fuel Taxes'!AM90</f>
        <v>0</v>
      </c>
      <c r="AN89">
        <f>'Pretax Fuel Prices'!AN90+'Fuel Taxes'!AN90</f>
        <v>0</v>
      </c>
      <c r="AO89">
        <f>'Pretax Fuel Prices'!AO90+'Fuel Taxes'!AO90</f>
        <v>0</v>
      </c>
      <c r="AP89">
        <f>'Pretax Fuel Prices'!AP90+'Fuel Taxes'!AP90</f>
        <v>0</v>
      </c>
      <c r="AQ89">
        <f>'Pretax Fuel Prices'!AQ90+'Fuel Taxes'!AQ90</f>
        <v>0</v>
      </c>
      <c r="AR89">
        <f>'Pretax Fuel Prices'!AR90+'Fuel Taxes'!AR90</f>
        <v>0</v>
      </c>
      <c r="AS89">
        <f>'Pretax Fuel Prices'!AS90+'Fuel Taxes'!AS90</f>
        <v>0</v>
      </c>
      <c r="AT89">
        <f>'Pretax Fuel Prices'!AT90+'Fuel Taxes'!AT90</f>
        <v>0</v>
      </c>
      <c r="AU89">
        <f>'Pretax Fuel Prices'!AU90+'Fuel Taxes'!AU90</f>
        <v>0</v>
      </c>
      <c r="AV89">
        <f>'Pretax Fuel Prices'!AV90+'Fuel Taxes'!AV90</f>
        <v>0</v>
      </c>
      <c r="AW89">
        <f>'Pretax Fuel Prices'!AW90+'Fuel Taxes'!AW90</f>
        <v>0</v>
      </c>
      <c r="AX89">
        <f>'Pretax Fuel Prices'!AX90+'Fuel Taxes'!AX90</f>
        <v>0</v>
      </c>
      <c r="AY89">
        <f>'Pretax Fuel Prices'!AY90+'Fuel Taxes'!AY90</f>
        <v>0</v>
      </c>
      <c r="AZ89">
        <f>'Pretax Fuel Prices'!AZ90+'Fuel Taxes'!AZ90</f>
        <v>0</v>
      </c>
    </row>
    <row r="90" spans="1:52" x14ac:dyDescent="0.25">
      <c r="A90" t="s">
        <v>59</v>
      </c>
      <c r="B90">
        <f>'Pretax Fuel Prices'!B91+'Fuel Taxes'!B91</f>
        <v>0</v>
      </c>
      <c r="C90">
        <f>'Pretax Fuel Prices'!C91+'Fuel Taxes'!C91</f>
        <v>0</v>
      </c>
      <c r="D90">
        <f>'Pretax Fuel Prices'!D91+'Fuel Taxes'!D91</f>
        <v>0</v>
      </c>
      <c r="E90">
        <f>'Pretax Fuel Prices'!E91+'Fuel Taxes'!E91</f>
        <v>0</v>
      </c>
      <c r="F90">
        <f>'Pretax Fuel Prices'!F91+'Fuel Taxes'!F91</f>
        <v>0</v>
      </c>
      <c r="G90">
        <f>'Pretax Fuel Prices'!G91+'Fuel Taxes'!G91</f>
        <v>0</v>
      </c>
      <c r="H90">
        <f>'Pretax Fuel Prices'!H91+'Fuel Taxes'!H91</f>
        <v>0</v>
      </c>
      <c r="I90">
        <f>'Pretax Fuel Prices'!I91+'Fuel Taxes'!I91</f>
        <v>0</v>
      </c>
      <c r="J90">
        <f>'Pretax Fuel Prices'!J91+'Fuel Taxes'!J91</f>
        <v>0</v>
      </c>
      <c r="K90">
        <f>'Pretax Fuel Prices'!K91+'Fuel Taxes'!K91</f>
        <v>0</v>
      </c>
      <c r="L90">
        <f>'Pretax Fuel Prices'!L91+'Fuel Taxes'!L91</f>
        <v>0</v>
      </c>
      <c r="M90">
        <f>'Pretax Fuel Prices'!M91+'Fuel Taxes'!M91</f>
        <v>0</v>
      </c>
      <c r="N90">
        <f>'Pretax Fuel Prices'!N91+'Fuel Taxes'!N91</f>
        <v>0</v>
      </c>
      <c r="O90">
        <f>'Pretax Fuel Prices'!O91+'Fuel Taxes'!O91</f>
        <v>0</v>
      </c>
      <c r="P90">
        <f>'Pretax Fuel Prices'!P91+'Fuel Taxes'!P91</f>
        <v>0</v>
      </c>
      <c r="Q90">
        <f>'Pretax Fuel Prices'!Q91+'Fuel Taxes'!Q91</f>
        <v>0</v>
      </c>
      <c r="R90">
        <f>'Pretax Fuel Prices'!R91+'Fuel Taxes'!R91</f>
        <v>0</v>
      </c>
      <c r="S90">
        <f>'Pretax Fuel Prices'!S91+'Fuel Taxes'!S91</f>
        <v>0</v>
      </c>
      <c r="T90">
        <f>'Pretax Fuel Prices'!T91+'Fuel Taxes'!T91</f>
        <v>0</v>
      </c>
      <c r="U90">
        <f>'Pretax Fuel Prices'!U91+'Fuel Taxes'!U91</f>
        <v>0</v>
      </c>
      <c r="V90">
        <f>'Pretax Fuel Prices'!V91+'Fuel Taxes'!V91</f>
        <v>0</v>
      </c>
      <c r="W90">
        <f>'Pretax Fuel Prices'!W91+'Fuel Taxes'!W91</f>
        <v>0</v>
      </c>
      <c r="X90">
        <f>'Pretax Fuel Prices'!X91+'Fuel Taxes'!X91</f>
        <v>0</v>
      </c>
      <c r="Y90">
        <f>'Pretax Fuel Prices'!Y91+'Fuel Taxes'!Y91</f>
        <v>0</v>
      </c>
      <c r="Z90">
        <f>'Pretax Fuel Prices'!Z91+'Fuel Taxes'!Z91</f>
        <v>0</v>
      </c>
      <c r="AA90">
        <f>'Pretax Fuel Prices'!AA91+'Fuel Taxes'!AA91</f>
        <v>0</v>
      </c>
      <c r="AB90">
        <f>'Pretax Fuel Prices'!AB91+'Fuel Taxes'!AB91</f>
        <v>0</v>
      </c>
      <c r="AC90">
        <f>'Pretax Fuel Prices'!AC91+'Fuel Taxes'!AC91</f>
        <v>0</v>
      </c>
      <c r="AD90">
        <f>'Pretax Fuel Prices'!AD91+'Fuel Taxes'!AD91</f>
        <v>0</v>
      </c>
      <c r="AE90">
        <f>'Pretax Fuel Prices'!AE91+'Fuel Taxes'!AE91</f>
        <v>0</v>
      </c>
      <c r="AF90">
        <f>'Pretax Fuel Prices'!AF91+'Fuel Taxes'!AF91</f>
        <v>0</v>
      </c>
      <c r="AG90">
        <f>'Pretax Fuel Prices'!AG91+'Fuel Taxes'!AG91</f>
        <v>0</v>
      </c>
      <c r="AH90">
        <f>'Pretax Fuel Prices'!AH91+'Fuel Taxes'!AH91</f>
        <v>0</v>
      </c>
      <c r="AI90">
        <f>'Pretax Fuel Prices'!AI91+'Fuel Taxes'!AI91</f>
        <v>0</v>
      </c>
      <c r="AJ90">
        <f>'Pretax Fuel Prices'!AJ91+'Fuel Taxes'!AJ91</f>
        <v>0</v>
      </c>
      <c r="AK90">
        <f>'Pretax Fuel Prices'!AK91+'Fuel Taxes'!AK91</f>
        <v>0</v>
      </c>
      <c r="AL90">
        <f>'Pretax Fuel Prices'!AL91+'Fuel Taxes'!AL91</f>
        <v>0</v>
      </c>
      <c r="AM90">
        <f>'Pretax Fuel Prices'!AM91+'Fuel Taxes'!AM91</f>
        <v>0</v>
      </c>
      <c r="AN90">
        <f>'Pretax Fuel Prices'!AN91+'Fuel Taxes'!AN91</f>
        <v>0</v>
      </c>
      <c r="AO90">
        <f>'Pretax Fuel Prices'!AO91+'Fuel Taxes'!AO91</f>
        <v>0</v>
      </c>
      <c r="AP90">
        <f>'Pretax Fuel Prices'!AP91+'Fuel Taxes'!AP91</f>
        <v>0</v>
      </c>
      <c r="AQ90">
        <f>'Pretax Fuel Prices'!AQ91+'Fuel Taxes'!AQ91</f>
        <v>0</v>
      </c>
      <c r="AR90">
        <f>'Pretax Fuel Prices'!AR91+'Fuel Taxes'!AR91</f>
        <v>0</v>
      </c>
      <c r="AS90">
        <f>'Pretax Fuel Prices'!AS91+'Fuel Taxes'!AS91</f>
        <v>0</v>
      </c>
      <c r="AT90">
        <f>'Pretax Fuel Prices'!AT91+'Fuel Taxes'!AT91</f>
        <v>0</v>
      </c>
      <c r="AU90">
        <f>'Pretax Fuel Prices'!AU91+'Fuel Taxes'!AU91</f>
        <v>0</v>
      </c>
      <c r="AV90">
        <f>'Pretax Fuel Prices'!AV91+'Fuel Taxes'!AV91</f>
        <v>0</v>
      </c>
      <c r="AW90">
        <f>'Pretax Fuel Prices'!AW91+'Fuel Taxes'!AW91</f>
        <v>0</v>
      </c>
      <c r="AX90">
        <f>'Pretax Fuel Prices'!AX91+'Fuel Taxes'!AX91</f>
        <v>0</v>
      </c>
      <c r="AY90">
        <f>'Pretax Fuel Prices'!AY91+'Fuel Taxes'!AY91</f>
        <v>0</v>
      </c>
      <c r="AZ90">
        <f>'Pretax Fuel Prices'!AZ91+'Fuel Taxes'!AZ91</f>
        <v>0</v>
      </c>
    </row>
    <row r="91" spans="1:52" s="3" customFormat="1" x14ac:dyDescent="0.25">
      <c r="A91" s="5" t="s">
        <v>39</v>
      </c>
    </row>
    <row r="92" spans="1:52" x14ac:dyDescent="0.25">
      <c r="A92" t="s">
        <v>30</v>
      </c>
      <c r="B92">
        <f>'Fuel Taxes'!B$1</f>
        <v>2020</v>
      </c>
      <c r="C92">
        <f>'Fuel Taxes'!C$1</f>
        <v>2021</v>
      </c>
      <c r="D92">
        <f>'Fuel Taxes'!D$1</f>
        <v>2022</v>
      </c>
      <c r="E92">
        <f>'Fuel Taxes'!E$1</f>
        <v>2023</v>
      </c>
      <c r="F92">
        <f>'Fuel Taxes'!F$1</f>
        <v>2024</v>
      </c>
      <c r="G92">
        <f>'Fuel Taxes'!G$1</f>
        <v>2025</v>
      </c>
      <c r="H92">
        <f>'Fuel Taxes'!H$1</f>
        <v>2026</v>
      </c>
      <c r="I92">
        <f>'Fuel Taxes'!I$1</f>
        <v>2027</v>
      </c>
      <c r="J92">
        <f>'Fuel Taxes'!J$1</f>
        <v>2028</v>
      </c>
      <c r="K92">
        <f>'Fuel Taxes'!K$1</f>
        <v>2029</v>
      </c>
      <c r="L92">
        <f>'Fuel Taxes'!L$1</f>
        <v>2030</v>
      </c>
      <c r="M92">
        <f>'Fuel Taxes'!M$1</f>
        <v>2031</v>
      </c>
      <c r="N92">
        <f>'Fuel Taxes'!N$1</f>
        <v>2032</v>
      </c>
      <c r="O92">
        <f>'Fuel Taxes'!O$1</f>
        <v>2033</v>
      </c>
      <c r="P92">
        <f>'Fuel Taxes'!P$1</f>
        <v>2034</v>
      </c>
      <c r="Q92">
        <f>'Fuel Taxes'!Q$1</f>
        <v>2035</v>
      </c>
      <c r="R92">
        <f>'Fuel Taxes'!R$1</f>
        <v>2036</v>
      </c>
      <c r="S92">
        <f>'Fuel Taxes'!S$1</f>
        <v>2037</v>
      </c>
      <c r="T92">
        <f>'Fuel Taxes'!T$1</f>
        <v>2038</v>
      </c>
      <c r="U92">
        <f>'Fuel Taxes'!U$1</f>
        <v>2039</v>
      </c>
      <c r="V92">
        <f>'Fuel Taxes'!V$1</f>
        <v>2040</v>
      </c>
      <c r="W92">
        <f>'Fuel Taxes'!W$1</f>
        <v>2041</v>
      </c>
      <c r="X92">
        <f>'Fuel Taxes'!X$1</f>
        <v>2042</v>
      </c>
      <c r="Y92">
        <f>'Fuel Taxes'!Y$1</f>
        <v>2043</v>
      </c>
      <c r="Z92">
        <f>'Fuel Taxes'!Z$1</f>
        <v>2044</v>
      </c>
      <c r="AA92">
        <f>'Fuel Taxes'!AA$1</f>
        <v>2045</v>
      </c>
      <c r="AB92">
        <f>'Fuel Taxes'!AB$1</f>
        <v>2046</v>
      </c>
      <c r="AC92">
        <f>'Fuel Taxes'!AC$1</f>
        <v>2047</v>
      </c>
      <c r="AD92">
        <f>'Fuel Taxes'!AD$1</f>
        <v>2048</v>
      </c>
      <c r="AE92">
        <f>'Fuel Taxes'!AE$1</f>
        <v>2049</v>
      </c>
      <c r="AF92">
        <f>'Fuel Taxes'!AF$1</f>
        <v>2050</v>
      </c>
      <c r="AG92">
        <f>'Fuel Taxes'!AG$1</f>
        <v>2051</v>
      </c>
      <c r="AH92">
        <f>'Fuel Taxes'!AH$1</f>
        <v>2052</v>
      </c>
      <c r="AI92">
        <f>'Fuel Taxes'!AI$1</f>
        <v>2053</v>
      </c>
      <c r="AJ92">
        <f>'Fuel Taxes'!AJ$1</f>
        <v>2054</v>
      </c>
      <c r="AK92">
        <f>'Fuel Taxes'!AK$1</f>
        <v>2055</v>
      </c>
      <c r="AL92">
        <f>'Fuel Taxes'!AL$1</f>
        <v>2056</v>
      </c>
      <c r="AM92">
        <f>'Fuel Taxes'!AM$1</f>
        <v>2057</v>
      </c>
      <c r="AN92">
        <f>'Fuel Taxes'!AN$1</f>
        <v>2058</v>
      </c>
      <c r="AO92">
        <f>'Fuel Taxes'!AO$1</f>
        <v>2059</v>
      </c>
      <c r="AP92">
        <f>'Fuel Taxes'!AP$1</f>
        <v>2060</v>
      </c>
      <c r="AQ92">
        <f>'Fuel Taxes'!AQ$1</f>
        <v>2061</v>
      </c>
      <c r="AR92">
        <f>'Fuel Taxes'!AR$1</f>
        <v>2062</v>
      </c>
      <c r="AS92">
        <f>'Fuel Taxes'!AS$1</f>
        <v>2063</v>
      </c>
      <c r="AT92">
        <f>'Fuel Taxes'!AT$1</f>
        <v>2064</v>
      </c>
      <c r="AU92">
        <f>'Fuel Taxes'!AU$1</f>
        <v>2065</v>
      </c>
      <c r="AV92">
        <f>'Fuel Taxes'!AV$1</f>
        <v>2066</v>
      </c>
      <c r="AW92">
        <f>'Fuel Taxes'!AW$1</f>
        <v>2067</v>
      </c>
      <c r="AX92">
        <f>'Fuel Taxes'!AX$1</f>
        <v>2068</v>
      </c>
      <c r="AY92">
        <f>'Fuel Taxes'!AY$1</f>
        <v>2069</v>
      </c>
      <c r="AZ92">
        <f>'Fuel Taxes'!AZ$1</f>
        <v>2070</v>
      </c>
    </row>
    <row r="93" spans="1:52" x14ac:dyDescent="0.25">
      <c r="A93" t="s">
        <v>52</v>
      </c>
      <c r="B93">
        <f>'Pretax Fuel Prices'!B94+'Fuel Taxes'!B94</f>
        <v>0</v>
      </c>
      <c r="C93">
        <f>'Pretax Fuel Prices'!C94+'Fuel Taxes'!C94</f>
        <v>0</v>
      </c>
      <c r="D93">
        <f>'Pretax Fuel Prices'!D94+'Fuel Taxes'!D94</f>
        <v>0</v>
      </c>
      <c r="E93">
        <f>'Pretax Fuel Prices'!E94+'Fuel Taxes'!E94</f>
        <v>0</v>
      </c>
      <c r="F93">
        <f>'Pretax Fuel Prices'!F94+'Fuel Taxes'!F94</f>
        <v>0</v>
      </c>
      <c r="G93">
        <f>'Pretax Fuel Prices'!G94+'Fuel Taxes'!G94</f>
        <v>0</v>
      </c>
      <c r="H93">
        <f>'Pretax Fuel Prices'!H94+'Fuel Taxes'!H94</f>
        <v>0</v>
      </c>
      <c r="I93">
        <f>'Pretax Fuel Prices'!I94+'Fuel Taxes'!I94</f>
        <v>0</v>
      </c>
      <c r="J93">
        <f>'Pretax Fuel Prices'!J94+'Fuel Taxes'!J94</f>
        <v>0</v>
      </c>
      <c r="K93">
        <f>'Pretax Fuel Prices'!K94+'Fuel Taxes'!K94</f>
        <v>0</v>
      </c>
      <c r="L93">
        <f>'Pretax Fuel Prices'!L94+'Fuel Taxes'!L94</f>
        <v>0</v>
      </c>
      <c r="M93">
        <f>'Pretax Fuel Prices'!M94+'Fuel Taxes'!M94</f>
        <v>0</v>
      </c>
      <c r="N93">
        <f>'Pretax Fuel Prices'!N94+'Fuel Taxes'!N94</f>
        <v>0</v>
      </c>
      <c r="O93">
        <f>'Pretax Fuel Prices'!O94+'Fuel Taxes'!O94</f>
        <v>0</v>
      </c>
      <c r="P93">
        <f>'Pretax Fuel Prices'!P94+'Fuel Taxes'!P94</f>
        <v>0</v>
      </c>
      <c r="Q93">
        <f>'Pretax Fuel Prices'!Q94+'Fuel Taxes'!Q94</f>
        <v>0</v>
      </c>
      <c r="R93">
        <f>'Pretax Fuel Prices'!R94+'Fuel Taxes'!R94</f>
        <v>0</v>
      </c>
      <c r="S93">
        <f>'Pretax Fuel Prices'!S94+'Fuel Taxes'!S94</f>
        <v>0</v>
      </c>
      <c r="T93">
        <f>'Pretax Fuel Prices'!T94+'Fuel Taxes'!T94</f>
        <v>0</v>
      </c>
      <c r="U93">
        <f>'Pretax Fuel Prices'!U94+'Fuel Taxes'!U94</f>
        <v>0</v>
      </c>
      <c r="V93">
        <f>'Pretax Fuel Prices'!V94+'Fuel Taxes'!V94</f>
        <v>0</v>
      </c>
      <c r="W93">
        <f>'Pretax Fuel Prices'!W94+'Fuel Taxes'!W94</f>
        <v>0</v>
      </c>
      <c r="X93">
        <f>'Pretax Fuel Prices'!X94+'Fuel Taxes'!X94</f>
        <v>0</v>
      </c>
      <c r="Y93">
        <f>'Pretax Fuel Prices'!Y94+'Fuel Taxes'!Y94</f>
        <v>0</v>
      </c>
      <c r="Z93">
        <f>'Pretax Fuel Prices'!Z94+'Fuel Taxes'!Z94</f>
        <v>0</v>
      </c>
      <c r="AA93">
        <f>'Pretax Fuel Prices'!AA94+'Fuel Taxes'!AA94</f>
        <v>0</v>
      </c>
      <c r="AB93">
        <f>'Pretax Fuel Prices'!AB94+'Fuel Taxes'!AB94</f>
        <v>0</v>
      </c>
      <c r="AC93">
        <f>'Pretax Fuel Prices'!AC94+'Fuel Taxes'!AC94</f>
        <v>0</v>
      </c>
      <c r="AD93">
        <f>'Pretax Fuel Prices'!AD94+'Fuel Taxes'!AD94</f>
        <v>0</v>
      </c>
      <c r="AE93">
        <f>'Pretax Fuel Prices'!AE94+'Fuel Taxes'!AE94</f>
        <v>0</v>
      </c>
      <c r="AF93">
        <f>'Pretax Fuel Prices'!AF94+'Fuel Taxes'!AF94</f>
        <v>0</v>
      </c>
      <c r="AG93">
        <f>'Pretax Fuel Prices'!AG94+'Fuel Taxes'!AG94</f>
        <v>0</v>
      </c>
      <c r="AH93">
        <f>'Pretax Fuel Prices'!AH94+'Fuel Taxes'!AH94</f>
        <v>0</v>
      </c>
      <c r="AI93">
        <f>'Pretax Fuel Prices'!AI94+'Fuel Taxes'!AI94</f>
        <v>0</v>
      </c>
      <c r="AJ93">
        <f>'Pretax Fuel Prices'!AJ94+'Fuel Taxes'!AJ94</f>
        <v>0</v>
      </c>
      <c r="AK93">
        <f>'Pretax Fuel Prices'!AK94+'Fuel Taxes'!AK94</f>
        <v>0</v>
      </c>
      <c r="AL93">
        <f>'Pretax Fuel Prices'!AL94+'Fuel Taxes'!AL94</f>
        <v>0</v>
      </c>
      <c r="AM93">
        <f>'Pretax Fuel Prices'!AM94+'Fuel Taxes'!AM94</f>
        <v>0</v>
      </c>
      <c r="AN93">
        <f>'Pretax Fuel Prices'!AN94+'Fuel Taxes'!AN94</f>
        <v>0</v>
      </c>
      <c r="AO93">
        <f>'Pretax Fuel Prices'!AO94+'Fuel Taxes'!AO94</f>
        <v>0</v>
      </c>
      <c r="AP93">
        <f>'Pretax Fuel Prices'!AP94+'Fuel Taxes'!AP94</f>
        <v>0</v>
      </c>
      <c r="AQ93">
        <f>'Pretax Fuel Prices'!AQ94+'Fuel Taxes'!AQ94</f>
        <v>0</v>
      </c>
      <c r="AR93">
        <f>'Pretax Fuel Prices'!AR94+'Fuel Taxes'!AR94</f>
        <v>0</v>
      </c>
      <c r="AS93">
        <f>'Pretax Fuel Prices'!AS94+'Fuel Taxes'!AS94</f>
        <v>0</v>
      </c>
      <c r="AT93">
        <f>'Pretax Fuel Prices'!AT94+'Fuel Taxes'!AT94</f>
        <v>0</v>
      </c>
      <c r="AU93">
        <f>'Pretax Fuel Prices'!AU94+'Fuel Taxes'!AU94</f>
        <v>0</v>
      </c>
      <c r="AV93">
        <f>'Pretax Fuel Prices'!AV94+'Fuel Taxes'!AV94</f>
        <v>0</v>
      </c>
      <c r="AW93">
        <f>'Pretax Fuel Prices'!AW94+'Fuel Taxes'!AW94</f>
        <v>0</v>
      </c>
      <c r="AX93">
        <f>'Pretax Fuel Prices'!AX94+'Fuel Taxes'!AX94</f>
        <v>0</v>
      </c>
      <c r="AY93">
        <f>'Pretax Fuel Prices'!AY94+'Fuel Taxes'!AY94</f>
        <v>0</v>
      </c>
      <c r="AZ93">
        <f>'Pretax Fuel Prices'!AZ94+'Fuel Taxes'!AZ94</f>
        <v>0</v>
      </c>
    </row>
    <row r="94" spans="1:52" x14ac:dyDescent="0.25">
      <c r="A94" t="s">
        <v>53</v>
      </c>
      <c r="B94">
        <f>'Pretax Fuel Prices'!B95+'Fuel Taxes'!B95</f>
        <v>1.6033945228538147E-6</v>
      </c>
      <c r="C94">
        <f>'Pretax Fuel Prices'!C95+'Fuel Taxes'!C95</f>
        <v>1.6047709638441597E-6</v>
      </c>
      <c r="D94">
        <f>'Pretax Fuel Prices'!D95+'Fuel Taxes'!D95</f>
        <v>1.5830184176916273E-6</v>
      </c>
      <c r="E94">
        <f>'Pretax Fuel Prices'!E95+'Fuel Taxes'!E95</f>
        <v>1.5696186745298908E-6</v>
      </c>
      <c r="F94">
        <f>'Pretax Fuel Prices'!F95+'Fuel Taxes'!F95</f>
        <v>1.56891740726348E-6</v>
      </c>
      <c r="G94">
        <f>'Pretax Fuel Prices'!G95+'Fuel Taxes'!G95</f>
        <v>1.5302580015645813E-6</v>
      </c>
      <c r="H94">
        <f>'Pretax Fuel Prices'!H95+'Fuel Taxes'!H95</f>
        <v>1.50496791697693E-6</v>
      </c>
      <c r="I94">
        <f>'Pretax Fuel Prices'!I95+'Fuel Taxes'!I95</f>
        <v>1.5038618024232366E-6</v>
      </c>
      <c r="J94">
        <f>'Pretax Fuel Prices'!J95+'Fuel Taxes'!J95</f>
        <v>1.4959107265094174E-6</v>
      </c>
      <c r="K94">
        <f>'Pretax Fuel Prices'!K95+'Fuel Taxes'!K95</f>
        <v>1.5015434861654255E-6</v>
      </c>
      <c r="L94">
        <f>'Pretax Fuel Prices'!L95+'Fuel Taxes'!L95</f>
        <v>1.4992961546920897E-6</v>
      </c>
      <c r="M94">
        <f>'Pretax Fuel Prices'!M95+'Fuel Taxes'!M95</f>
        <v>1.4983249892341572E-6</v>
      </c>
      <c r="N94">
        <f>'Pretax Fuel Prices'!N95+'Fuel Taxes'!N95</f>
        <v>1.4896141421106784E-6</v>
      </c>
      <c r="O94">
        <f>'Pretax Fuel Prices'!O95+'Fuel Taxes'!O95</f>
        <v>1.4868777176717817E-6</v>
      </c>
      <c r="P94">
        <f>'Pretax Fuel Prices'!P95+'Fuel Taxes'!P95</f>
        <v>1.4814852142093824E-6</v>
      </c>
      <c r="Q94">
        <f>'Pretax Fuel Prices'!Q95+'Fuel Taxes'!Q95</f>
        <v>1.4708452970638422E-6</v>
      </c>
      <c r="R94">
        <f>'Pretax Fuel Prices'!R95+'Fuel Taxes'!R95</f>
        <v>1.4589650963214244E-6</v>
      </c>
      <c r="S94">
        <f>'Pretax Fuel Prices'!S95+'Fuel Taxes'!S95</f>
        <v>1.456481408917363E-6</v>
      </c>
      <c r="T94">
        <f>'Pretax Fuel Prices'!T95+'Fuel Taxes'!T95</f>
        <v>1.4559556534806989E-6</v>
      </c>
      <c r="U94">
        <f>'Pretax Fuel Prices'!U95+'Fuel Taxes'!U95</f>
        <v>1.4538908543102998E-6</v>
      </c>
      <c r="V94">
        <f>'Pretax Fuel Prices'!V95+'Fuel Taxes'!V95</f>
        <v>1.4577762961946061E-6</v>
      </c>
      <c r="W94">
        <f>'Pretax Fuel Prices'!W95+'Fuel Taxes'!W95</f>
        <v>1.4545297173705783E-6</v>
      </c>
      <c r="X94">
        <f>'Pretax Fuel Prices'!X95+'Fuel Taxes'!X95</f>
        <v>1.4461792545375131E-6</v>
      </c>
      <c r="Y94">
        <f>'Pretax Fuel Prices'!Y95+'Fuel Taxes'!Y95</f>
        <v>1.4373631003161864E-6</v>
      </c>
      <c r="Z94">
        <f>'Pretax Fuel Prices'!Z95+'Fuel Taxes'!Z95</f>
        <v>1.4332389623434244E-6</v>
      </c>
      <c r="AA94">
        <f>'Pretax Fuel Prices'!AA95+'Fuel Taxes'!AA95</f>
        <v>1.4308418607753714E-6</v>
      </c>
      <c r="AB94">
        <f>'Pretax Fuel Prices'!AB95+'Fuel Taxes'!AB95</f>
        <v>1.4286343119834444E-6</v>
      </c>
      <c r="AC94">
        <f>'Pretax Fuel Prices'!AC95+'Fuel Taxes'!AC95</f>
        <v>1.4243432427592787E-6</v>
      </c>
      <c r="AD94">
        <f>'Pretax Fuel Prices'!AD95+'Fuel Taxes'!AD95</f>
        <v>1.4176285501794543E-6</v>
      </c>
      <c r="AE94">
        <f>'Pretax Fuel Prices'!AE95+'Fuel Taxes'!AE95</f>
        <v>1.4186589996332123E-6</v>
      </c>
      <c r="AF94">
        <f>'Pretax Fuel Prices'!AF95+'Fuel Taxes'!AF95</f>
        <v>1.4165450571504839E-6</v>
      </c>
      <c r="AG94">
        <f>'Pretax Fuel Prices'!AG95+'Fuel Taxes'!AG95</f>
        <v>1.4123862623883809E-6</v>
      </c>
      <c r="AH94">
        <f>'Pretax Fuel Prices'!AH95+'Fuel Taxes'!AH95</f>
        <v>1.4082320232254123E-6</v>
      </c>
      <c r="AI94">
        <f>'Pretax Fuel Prices'!AI95+'Fuel Taxes'!AI95</f>
        <v>1.4040777840624438E-6</v>
      </c>
      <c r="AJ94">
        <f>'Pretax Fuel Prices'!AJ95+'Fuel Taxes'!AJ95</f>
        <v>1.3999235448994753E-6</v>
      </c>
      <c r="AK94">
        <f>'Pretax Fuel Prices'!AK95+'Fuel Taxes'!AK95</f>
        <v>1.3957693057365068E-6</v>
      </c>
      <c r="AL94">
        <f>'Pretax Fuel Prices'!AL95+'Fuel Taxes'!AL95</f>
        <v>1.3916150665735385E-6</v>
      </c>
      <c r="AM94">
        <f>'Pretax Fuel Prices'!AM95+'Fuel Taxes'!AM95</f>
        <v>1.3874608274105702E-6</v>
      </c>
      <c r="AN94">
        <f>'Pretax Fuel Prices'!AN95+'Fuel Taxes'!AN95</f>
        <v>1.3833065882476016E-6</v>
      </c>
      <c r="AO94">
        <f>'Pretax Fuel Prices'!AO95+'Fuel Taxes'!AO95</f>
        <v>1.3791523490846331E-6</v>
      </c>
      <c r="AP94">
        <f>'Pretax Fuel Prices'!AP95+'Fuel Taxes'!AP95</f>
        <v>1.3749981099216646E-6</v>
      </c>
      <c r="AQ94">
        <f>'Pretax Fuel Prices'!AQ95+'Fuel Taxes'!AQ95</f>
        <v>1.3708438707586961E-6</v>
      </c>
      <c r="AR94">
        <f>'Pretax Fuel Prices'!AR95+'Fuel Taxes'!AR95</f>
        <v>1.3666896315957278E-6</v>
      </c>
      <c r="AS94">
        <f>'Pretax Fuel Prices'!AS95+'Fuel Taxes'!AS95</f>
        <v>1.3625353924327592E-6</v>
      </c>
      <c r="AT94">
        <f>'Pretax Fuel Prices'!AT95+'Fuel Taxes'!AT95</f>
        <v>1.3583811532697907E-6</v>
      </c>
      <c r="AU94">
        <f>'Pretax Fuel Prices'!AU95+'Fuel Taxes'!AU95</f>
        <v>1.3542269141068222E-6</v>
      </c>
      <c r="AV94">
        <f>'Pretax Fuel Prices'!AV95+'Fuel Taxes'!AV95</f>
        <v>1.3500726749438537E-6</v>
      </c>
      <c r="AW94">
        <f>'Pretax Fuel Prices'!AW95+'Fuel Taxes'!AW95</f>
        <v>1.3459184357808854E-6</v>
      </c>
      <c r="AX94">
        <f>'Pretax Fuel Prices'!AX95+'Fuel Taxes'!AX95</f>
        <v>1.341764196617917E-6</v>
      </c>
      <c r="AY94">
        <f>'Pretax Fuel Prices'!AY95+'Fuel Taxes'!AY95</f>
        <v>1.3376099574549485E-6</v>
      </c>
      <c r="AZ94">
        <f>'Pretax Fuel Prices'!AZ95+'Fuel Taxes'!AZ95</f>
        <v>1.33345571829198E-6</v>
      </c>
    </row>
    <row r="95" spans="1:52" x14ac:dyDescent="0.25">
      <c r="A95" t="s">
        <v>54</v>
      </c>
      <c r="B95">
        <f>'Pretax Fuel Prices'!B96+'Fuel Taxes'!B96</f>
        <v>0</v>
      </c>
      <c r="C95">
        <f>'Pretax Fuel Prices'!C96+'Fuel Taxes'!C96</f>
        <v>0</v>
      </c>
      <c r="D95">
        <f>'Pretax Fuel Prices'!D96+'Fuel Taxes'!D96</f>
        <v>0</v>
      </c>
      <c r="E95">
        <f>'Pretax Fuel Prices'!E96+'Fuel Taxes'!E96</f>
        <v>0</v>
      </c>
      <c r="F95">
        <f>'Pretax Fuel Prices'!F96+'Fuel Taxes'!F96</f>
        <v>0</v>
      </c>
      <c r="G95">
        <f>'Pretax Fuel Prices'!G96+'Fuel Taxes'!G96</f>
        <v>0</v>
      </c>
      <c r="H95">
        <f>'Pretax Fuel Prices'!H96+'Fuel Taxes'!H96</f>
        <v>0</v>
      </c>
      <c r="I95">
        <f>'Pretax Fuel Prices'!I96+'Fuel Taxes'!I96</f>
        <v>0</v>
      </c>
      <c r="J95">
        <f>'Pretax Fuel Prices'!J96+'Fuel Taxes'!J96</f>
        <v>0</v>
      </c>
      <c r="K95">
        <f>'Pretax Fuel Prices'!K96+'Fuel Taxes'!K96</f>
        <v>0</v>
      </c>
      <c r="L95">
        <f>'Pretax Fuel Prices'!L96+'Fuel Taxes'!L96</f>
        <v>0</v>
      </c>
      <c r="M95">
        <f>'Pretax Fuel Prices'!M96+'Fuel Taxes'!M96</f>
        <v>0</v>
      </c>
      <c r="N95">
        <f>'Pretax Fuel Prices'!N96+'Fuel Taxes'!N96</f>
        <v>0</v>
      </c>
      <c r="O95">
        <f>'Pretax Fuel Prices'!O96+'Fuel Taxes'!O96</f>
        <v>0</v>
      </c>
      <c r="P95">
        <f>'Pretax Fuel Prices'!P96+'Fuel Taxes'!P96</f>
        <v>0</v>
      </c>
      <c r="Q95">
        <f>'Pretax Fuel Prices'!Q96+'Fuel Taxes'!Q96</f>
        <v>0</v>
      </c>
      <c r="R95">
        <f>'Pretax Fuel Prices'!R96+'Fuel Taxes'!R96</f>
        <v>0</v>
      </c>
      <c r="S95">
        <f>'Pretax Fuel Prices'!S96+'Fuel Taxes'!S96</f>
        <v>0</v>
      </c>
      <c r="T95">
        <f>'Pretax Fuel Prices'!T96+'Fuel Taxes'!T96</f>
        <v>0</v>
      </c>
      <c r="U95">
        <f>'Pretax Fuel Prices'!U96+'Fuel Taxes'!U96</f>
        <v>0</v>
      </c>
      <c r="V95">
        <f>'Pretax Fuel Prices'!V96+'Fuel Taxes'!V96</f>
        <v>0</v>
      </c>
      <c r="W95">
        <f>'Pretax Fuel Prices'!W96+'Fuel Taxes'!W96</f>
        <v>0</v>
      </c>
      <c r="X95">
        <f>'Pretax Fuel Prices'!X96+'Fuel Taxes'!X96</f>
        <v>0</v>
      </c>
      <c r="Y95">
        <f>'Pretax Fuel Prices'!Y96+'Fuel Taxes'!Y96</f>
        <v>0</v>
      </c>
      <c r="Z95">
        <f>'Pretax Fuel Prices'!Z96+'Fuel Taxes'!Z96</f>
        <v>0</v>
      </c>
      <c r="AA95">
        <f>'Pretax Fuel Prices'!AA96+'Fuel Taxes'!AA96</f>
        <v>0</v>
      </c>
      <c r="AB95">
        <f>'Pretax Fuel Prices'!AB96+'Fuel Taxes'!AB96</f>
        <v>0</v>
      </c>
      <c r="AC95">
        <f>'Pretax Fuel Prices'!AC96+'Fuel Taxes'!AC96</f>
        <v>0</v>
      </c>
      <c r="AD95">
        <f>'Pretax Fuel Prices'!AD96+'Fuel Taxes'!AD96</f>
        <v>0</v>
      </c>
      <c r="AE95">
        <f>'Pretax Fuel Prices'!AE96+'Fuel Taxes'!AE96</f>
        <v>0</v>
      </c>
      <c r="AF95">
        <f>'Pretax Fuel Prices'!AF96+'Fuel Taxes'!AF96</f>
        <v>0</v>
      </c>
      <c r="AG95">
        <f>'Pretax Fuel Prices'!AG96+'Fuel Taxes'!AG96</f>
        <v>0</v>
      </c>
      <c r="AH95">
        <f>'Pretax Fuel Prices'!AH96+'Fuel Taxes'!AH96</f>
        <v>0</v>
      </c>
      <c r="AI95">
        <f>'Pretax Fuel Prices'!AI96+'Fuel Taxes'!AI96</f>
        <v>0</v>
      </c>
      <c r="AJ95">
        <f>'Pretax Fuel Prices'!AJ96+'Fuel Taxes'!AJ96</f>
        <v>0</v>
      </c>
      <c r="AK95">
        <f>'Pretax Fuel Prices'!AK96+'Fuel Taxes'!AK96</f>
        <v>0</v>
      </c>
      <c r="AL95">
        <f>'Pretax Fuel Prices'!AL96+'Fuel Taxes'!AL96</f>
        <v>0</v>
      </c>
      <c r="AM95">
        <f>'Pretax Fuel Prices'!AM96+'Fuel Taxes'!AM96</f>
        <v>0</v>
      </c>
      <c r="AN95">
        <f>'Pretax Fuel Prices'!AN96+'Fuel Taxes'!AN96</f>
        <v>0</v>
      </c>
      <c r="AO95">
        <f>'Pretax Fuel Prices'!AO96+'Fuel Taxes'!AO96</f>
        <v>0</v>
      </c>
      <c r="AP95">
        <f>'Pretax Fuel Prices'!AP96+'Fuel Taxes'!AP96</f>
        <v>0</v>
      </c>
      <c r="AQ95">
        <f>'Pretax Fuel Prices'!AQ96+'Fuel Taxes'!AQ96</f>
        <v>0</v>
      </c>
      <c r="AR95">
        <f>'Pretax Fuel Prices'!AR96+'Fuel Taxes'!AR96</f>
        <v>0</v>
      </c>
      <c r="AS95">
        <f>'Pretax Fuel Prices'!AS96+'Fuel Taxes'!AS96</f>
        <v>0</v>
      </c>
      <c r="AT95">
        <f>'Pretax Fuel Prices'!AT96+'Fuel Taxes'!AT96</f>
        <v>0</v>
      </c>
      <c r="AU95">
        <f>'Pretax Fuel Prices'!AU96+'Fuel Taxes'!AU96</f>
        <v>0</v>
      </c>
      <c r="AV95">
        <f>'Pretax Fuel Prices'!AV96+'Fuel Taxes'!AV96</f>
        <v>0</v>
      </c>
      <c r="AW95">
        <f>'Pretax Fuel Prices'!AW96+'Fuel Taxes'!AW96</f>
        <v>0</v>
      </c>
      <c r="AX95">
        <f>'Pretax Fuel Prices'!AX96+'Fuel Taxes'!AX96</f>
        <v>0</v>
      </c>
      <c r="AY95">
        <f>'Pretax Fuel Prices'!AY96+'Fuel Taxes'!AY96</f>
        <v>0</v>
      </c>
      <c r="AZ95">
        <f>'Pretax Fuel Prices'!AZ96+'Fuel Taxes'!AZ96</f>
        <v>0</v>
      </c>
    </row>
    <row r="96" spans="1:52" x14ac:dyDescent="0.25">
      <c r="A96" t="s">
        <v>55</v>
      </c>
      <c r="B96">
        <f>'Pretax Fuel Prices'!B97+'Fuel Taxes'!B97</f>
        <v>0</v>
      </c>
      <c r="C96">
        <f>'Pretax Fuel Prices'!C97+'Fuel Taxes'!C97</f>
        <v>0</v>
      </c>
      <c r="D96">
        <f>'Pretax Fuel Prices'!D97+'Fuel Taxes'!D97</f>
        <v>0</v>
      </c>
      <c r="E96">
        <f>'Pretax Fuel Prices'!E97+'Fuel Taxes'!E97</f>
        <v>0</v>
      </c>
      <c r="F96">
        <f>'Pretax Fuel Prices'!F97+'Fuel Taxes'!F97</f>
        <v>0</v>
      </c>
      <c r="G96">
        <f>'Pretax Fuel Prices'!G97+'Fuel Taxes'!G97</f>
        <v>0</v>
      </c>
      <c r="H96">
        <f>'Pretax Fuel Prices'!H97+'Fuel Taxes'!H97</f>
        <v>0</v>
      </c>
      <c r="I96">
        <f>'Pretax Fuel Prices'!I97+'Fuel Taxes'!I97</f>
        <v>0</v>
      </c>
      <c r="J96">
        <f>'Pretax Fuel Prices'!J97+'Fuel Taxes'!J97</f>
        <v>0</v>
      </c>
      <c r="K96">
        <f>'Pretax Fuel Prices'!K97+'Fuel Taxes'!K97</f>
        <v>0</v>
      </c>
      <c r="L96">
        <f>'Pretax Fuel Prices'!L97+'Fuel Taxes'!L97</f>
        <v>0</v>
      </c>
      <c r="M96">
        <f>'Pretax Fuel Prices'!M97+'Fuel Taxes'!M97</f>
        <v>0</v>
      </c>
      <c r="N96">
        <f>'Pretax Fuel Prices'!N97+'Fuel Taxes'!N97</f>
        <v>0</v>
      </c>
      <c r="O96">
        <f>'Pretax Fuel Prices'!O97+'Fuel Taxes'!O97</f>
        <v>0</v>
      </c>
      <c r="P96">
        <f>'Pretax Fuel Prices'!P97+'Fuel Taxes'!P97</f>
        <v>0</v>
      </c>
      <c r="Q96">
        <f>'Pretax Fuel Prices'!Q97+'Fuel Taxes'!Q97</f>
        <v>0</v>
      </c>
      <c r="R96">
        <f>'Pretax Fuel Prices'!R97+'Fuel Taxes'!R97</f>
        <v>0</v>
      </c>
      <c r="S96">
        <f>'Pretax Fuel Prices'!S97+'Fuel Taxes'!S97</f>
        <v>0</v>
      </c>
      <c r="T96">
        <f>'Pretax Fuel Prices'!T97+'Fuel Taxes'!T97</f>
        <v>0</v>
      </c>
      <c r="U96">
        <f>'Pretax Fuel Prices'!U97+'Fuel Taxes'!U97</f>
        <v>0</v>
      </c>
      <c r="V96">
        <f>'Pretax Fuel Prices'!V97+'Fuel Taxes'!V97</f>
        <v>0</v>
      </c>
      <c r="W96">
        <f>'Pretax Fuel Prices'!W97+'Fuel Taxes'!W97</f>
        <v>0</v>
      </c>
      <c r="X96">
        <f>'Pretax Fuel Prices'!X97+'Fuel Taxes'!X97</f>
        <v>0</v>
      </c>
      <c r="Y96">
        <f>'Pretax Fuel Prices'!Y97+'Fuel Taxes'!Y97</f>
        <v>0</v>
      </c>
      <c r="Z96">
        <f>'Pretax Fuel Prices'!Z97+'Fuel Taxes'!Z97</f>
        <v>0</v>
      </c>
      <c r="AA96">
        <f>'Pretax Fuel Prices'!AA97+'Fuel Taxes'!AA97</f>
        <v>0</v>
      </c>
      <c r="AB96">
        <f>'Pretax Fuel Prices'!AB97+'Fuel Taxes'!AB97</f>
        <v>0</v>
      </c>
      <c r="AC96">
        <f>'Pretax Fuel Prices'!AC97+'Fuel Taxes'!AC97</f>
        <v>0</v>
      </c>
      <c r="AD96">
        <f>'Pretax Fuel Prices'!AD97+'Fuel Taxes'!AD97</f>
        <v>0</v>
      </c>
      <c r="AE96">
        <f>'Pretax Fuel Prices'!AE97+'Fuel Taxes'!AE97</f>
        <v>0</v>
      </c>
      <c r="AF96">
        <f>'Pretax Fuel Prices'!AF97+'Fuel Taxes'!AF97</f>
        <v>0</v>
      </c>
      <c r="AG96">
        <f>'Pretax Fuel Prices'!AG97+'Fuel Taxes'!AG97</f>
        <v>0</v>
      </c>
      <c r="AH96">
        <f>'Pretax Fuel Prices'!AH97+'Fuel Taxes'!AH97</f>
        <v>0</v>
      </c>
      <c r="AI96">
        <f>'Pretax Fuel Prices'!AI97+'Fuel Taxes'!AI97</f>
        <v>0</v>
      </c>
      <c r="AJ96">
        <f>'Pretax Fuel Prices'!AJ97+'Fuel Taxes'!AJ97</f>
        <v>0</v>
      </c>
      <c r="AK96">
        <f>'Pretax Fuel Prices'!AK97+'Fuel Taxes'!AK97</f>
        <v>0</v>
      </c>
      <c r="AL96">
        <f>'Pretax Fuel Prices'!AL97+'Fuel Taxes'!AL97</f>
        <v>0</v>
      </c>
      <c r="AM96">
        <f>'Pretax Fuel Prices'!AM97+'Fuel Taxes'!AM97</f>
        <v>0</v>
      </c>
      <c r="AN96">
        <f>'Pretax Fuel Prices'!AN97+'Fuel Taxes'!AN97</f>
        <v>0</v>
      </c>
      <c r="AO96">
        <f>'Pretax Fuel Prices'!AO97+'Fuel Taxes'!AO97</f>
        <v>0</v>
      </c>
      <c r="AP96">
        <f>'Pretax Fuel Prices'!AP97+'Fuel Taxes'!AP97</f>
        <v>0</v>
      </c>
      <c r="AQ96">
        <f>'Pretax Fuel Prices'!AQ97+'Fuel Taxes'!AQ97</f>
        <v>0</v>
      </c>
      <c r="AR96">
        <f>'Pretax Fuel Prices'!AR97+'Fuel Taxes'!AR97</f>
        <v>0</v>
      </c>
      <c r="AS96">
        <f>'Pretax Fuel Prices'!AS97+'Fuel Taxes'!AS97</f>
        <v>0</v>
      </c>
      <c r="AT96">
        <f>'Pretax Fuel Prices'!AT97+'Fuel Taxes'!AT97</f>
        <v>0</v>
      </c>
      <c r="AU96">
        <f>'Pretax Fuel Prices'!AU97+'Fuel Taxes'!AU97</f>
        <v>0</v>
      </c>
      <c r="AV96">
        <f>'Pretax Fuel Prices'!AV97+'Fuel Taxes'!AV97</f>
        <v>0</v>
      </c>
      <c r="AW96">
        <f>'Pretax Fuel Prices'!AW97+'Fuel Taxes'!AW97</f>
        <v>0</v>
      </c>
      <c r="AX96">
        <f>'Pretax Fuel Prices'!AX97+'Fuel Taxes'!AX97</f>
        <v>0</v>
      </c>
      <c r="AY96">
        <f>'Pretax Fuel Prices'!AY97+'Fuel Taxes'!AY97</f>
        <v>0</v>
      </c>
      <c r="AZ96">
        <f>'Pretax Fuel Prices'!AZ97+'Fuel Taxes'!AZ97</f>
        <v>0</v>
      </c>
    </row>
    <row r="97" spans="1:52" x14ac:dyDescent="0.25">
      <c r="A97" t="s">
        <v>56</v>
      </c>
      <c r="B97">
        <f>'Pretax Fuel Prices'!B98+'Fuel Taxes'!B98</f>
        <v>0</v>
      </c>
      <c r="C97">
        <f>'Pretax Fuel Prices'!C98+'Fuel Taxes'!C98</f>
        <v>0</v>
      </c>
      <c r="D97">
        <f>'Pretax Fuel Prices'!D98+'Fuel Taxes'!D98</f>
        <v>0</v>
      </c>
      <c r="E97">
        <f>'Pretax Fuel Prices'!E98+'Fuel Taxes'!E98</f>
        <v>0</v>
      </c>
      <c r="F97">
        <f>'Pretax Fuel Prices'!F98+'Fuel Taxes'!F98</f>
        <v>0</v>
      </c>
      <c r="G97">
        <f>'Pretax Fuel Prices'!G98+'Fuel Taxes'!G98</f>
        <v>0</v>
      </c>
      <c r="H97">
        <f>'Pretax Fuel Prices'!H98+'Fuel Taxes'!H98</f>
        <v>0</v>
      </c>
      <c r="I97">
        <f>'Pretax Fuel Prices'!I98+'Fuel Taxes'!I98</f>
        <v>0</v>
      </c>
      <c r="J97">
        <f>'Pretax Fuel Prices'!J98+'Fuel Taxes'!J98</f>
        <v>0</v>
      </c>
      <c r="K97">
        <f>'Pretax Fuel Prices'!K98+'Fuel Taxes'!K98</f>
        <v>0</v>
      </c>
      <c r="L97">
        <f>'Pretax Fuel Prices'!L98+'Fuel Taxes'!L98</f>
        <v>0</v>
      </c>
      <c r="M97">
        <f>'Pretax Fuel Prices'!M98+'Fuel Taxes'!M98</f>
        <v>0</v>
      </c>
      <c r="N97">
        <f>'Pretax Fuel Prices'!N98+'Fuel Taxes'!N98</f>
        <v>0</v>
      </c>
      <c r="O97">
        <f>'Pretax Fuel Prices'!O98+'Fuel Taxes'!O98</f>
        <v>0</v>
      </c>
      <c r="P97">
        <f>'Pretax Fuel Prices'!P98+'Fuel Taxes'!P98</f>
        <v>0</v>
      </c>
      <c r="Q97">
        <f>'Pretax Fuel Prices'!Q98+'Fuel Taxes'!Q98</f>
        <v>0</v>
      </c>
      <c r="R97">
        <f>'Pretax Fuel Prices'!R98+'Fuel Taxes'!R98</f>
        <v>0</v>
      </c>
      <c r="S97">
        <f>'Pretax Fuel Prices'!S98+'Fuel Taxes'!S98</f>
        <v>0</v>
      </c>
      <c r="T97">
        <f>'Pretax Fuel Prices'!T98+'Fuel Taxes'!T98</f>
        <v>0</v>
      </c>
      <c r="U97">
        <f>'Pretax Fuel Prices'!U98+'Fuel Taxes'!U98</f>
        <v>0</v>
      </c>
      <c r="V97">
        <f>'Pretax Fuel Prices'!V98+'Fuel Taxes'!V98</f>
        <v>0</v>
      </c>
      <c r="W97">
        <f>'Pretax Fuel Prices'!W98+'Fuel Taxes'!W98</f>
        <v>0</v>
      </c>
      <c r="X97">
        <f>'Pretax Fuel Prices'!X98+'Fuel Taxes'!X98</f>
        <v>0</v>
      </c>
      <c r="Y97">
        <f>'Pretax Fuel Prices'!Y98+'Fuel Taxes'!Y98</f>
        <v>0</v>
      </c>
      <c r="Z97">
        <f>'Pretax Fuel Prices'!Z98+'Fuel Taxes'!Z98</f>
        <v>0</v>
      </c>
      <c r="AA97">
        <f>'Pretax Fuel Prices'!AA98+'Fuel Taxes'!AA98</f>
        <v>0</v>
      </c>
      <c r="AB97">
        <f>'Pretax Fuel Prices'!AB98+'Fuel Taxes'!AB98</f>
        <v>0</v>
      </c>
      <c r="AC97">
        <f>'Pretax Fuel Prices'!AC98+'Fuel Taxes'!AC98</f>
        <v>0</v>
      </c>
      <c r="AD97">
        <f>'Pretax Fuel Prices'!AD98+'Fuel Taxes'!AD98</f>
        <v>0</v>
      </c>
      <c r="AE97">
        <f>'Pretax Fuel Prices'!AE98+'Fuel Taxes'!AE98</f>
        <v>0</v>
      </c>
      <c r="AF97">
        <f>'Pretax Fuel Prices'!AF98+'Fuel Taxes'!AF98</f>
        <v>0</v>
      </c>
      <c r="AG97">
        <f>'Pretax Fuel Prices'!AG98+'Fuel Taxes'!AG98</f>
        <v>0</v>
      </c>
      <c r="AH97">
        <f>'Pretax Fuel Prices'!AH98+'Fuel Taxes'!AH98</f>
        <v>0</v>
      </c>
      <c r="AI97">
        <f>'Pretax Fuel Prices'!AI98+'Fuel Taxes'!AI98</f>
        <v>0</v>
      </c>
      <c r="AJ97">
        <f>'Pretax Fuel Prices'!AJ98+'Fuel Taxes'!AJ98</f>
        <v>0</v>
      </c>
      <c r="AK97">
        <f>'Pretax Fuel Prices'!AK98+'Fuel Taxes'!AK98</f>
        <v>0</v>
      </c>
      <c r="AL97">
        <f>'Pretax Fuel Prices'!AL98+'Fuel Taxes'!AL98</f>
        <v>0</v>
      </c>
      <c r="AM97">
        <f>'Pretax Fuel Prices'!AM98+'Fuel Taxes'!AM98</f>
        <v>0</v>
      </c>
      <c r="AN97">
        <f>'Pretax Fuel Prices'!AN98+'Fuel Taxes'!AN98</f>
        <v>0</v>
      </c>
      <c r="AO97">
        <f>'Pretax Fuel Prices'!AO98+'Fuel Taxes'!AO98</f>
        <v>0</v>
      </c>
      <c r="AP97">
        <f>'Pretax Fuel Prices'!AP98+'Fuel Taxes'!AP98</f>
        <v>0</v>
      </c>
      <c r="AQ97">
        <f>'Pretax Fuel Prices'!AQ98+'Fuel Taxes'!AQ98</f>
        <v>0</v>
      </c>
      <c r="AR97">
        <f>'Pretax Fuel Prices'!AR98+'Fuel Taxes'!AR98</f>
        <v>0</v>
      </c>
      <c r="AS97">
        <f>'Pretax Fuel Prices'!AS98+'Fuel Taxes'!AS98</f>
        <v>0</v>
      </c>
      <c r="AT97">
        <f>'Pretax Fuel Prices'!AT98+'Fuel Taxes'!AT98</f>
        <v>0</v>
      </c>
      <c r="AU97">
        <f>'Pretax Fuel Prices'!AU98+'Fuel Taxes'!AU98</f>
        <v>0</v>
      </c>
      <c r="AV97">
        <f>'Pretax Fuel Prices'!AV98+'Fuel Taxes'!AV98</f>
        <v>0</v>
      </c>
      <c r="AW97">
        <f>'Pretax Fuel Prices'!AW98+'Fuel Taxes'!AW98</f>
        <v>0</v>
      </c>
      <c r="AX97">
        <f>'Pretax Fuel Prices'!AX98+'Fuel Taxes'!AX98</f>
        <v>0</v>
      </c>
      <c r="AY97">
        <f>'Pretax Fuel Prices'!AY98+'Fuel Taxes'!AY98</f>
        <v>0</v>
      </c>
      <c r="AZ97">
        <f>'Pretax Fuel Prices'!AZ98+'Fuel Taxes'!AZ98</f>
        <v>0</v>
      </c>
    </row>
    <row r="98" spans="1:52" x14ac:dyDescent="0.25">
      <c r="A98" t="s">
        <v>57</v>
      </c>
      <c r="B98">
        <f>'Pretax Fuel Prices'!B99+'Fuel Taxes'!B99</f>
        <v>0</v>
      </c>
      <c r="C98">
        <f>'Pretax Fuel Prices'!C99+'Fuel Taxes'!C99</f>
        <v>0</v>
      </c>
      <c r="D98">
        <f>'Pretax Fuel Prices'!D99+'Fuel Taxes'!D99</f>
        <v>0</v>
      </c>
      <c r="E98">
        <f>'Pretax Fuel Prices'!E99+'Fuel Taxes'!E99</f>
        <v>0</v>
      </c>
      <c r="F98">
        <f>'Pretax Fuel Prices'!F99+'Fuel Taxes'!F99</f>
        <v>0</v>
      </c>
      <c r="G98">
        <f>'Pretax Fuel Prices'!G99+'Fuel Taxes'!G99</f>
        <v>0</v>
      </c>
      <c r="H98">
        <f>'Pretax Fuel Prices'!H99+'Fuel Taxes'!H99</f>
        <v>0</v>
      </c>
      <c r="I98">
        <f>'Pretax Fuel Prices'!I99+'Fuel Taxes'!I99</f>
        <v>0</v>
      </c>
      <c r="J98">
        <f>'Pretax Fuel Prices'!J99+'Fuel Taxes'!J99</f>
        <v>0</v>
      </c>
      <c r="K98">
        <f>'Pretax Fuel Prices'!K99+'Fuel Taxes'!K99</f>
        <v>0</v>
      </c>
      <c r="L98">
        <f>'Pretax Fuel Prices'!L99+'Fuel Taxes'!L99</f>
        <v>0</v>
      </c>
      <c r="M98">
        <f>'Pretax Fuel Prices'!M99+'Fuel Taxes'!M99</f>
        <v>0</v>
      </c>
      <c r="N98">
        <f>'Pretax Fuel Prices'!N99+'Fuel Taxes'!N99</f>
        <v>0</v>
      </c>
      <c r="O98">
        <f>'Pretax Fuel Prices'!O99+'Fuel Taxes'!O99</f>
        <v>0</v>
      </c>
      <c r="P98">
        <f>'Pretax Fuel Prices'!P99+'Fuel Taxes'!P99</f>
        <v>0</v>
      </c>
      <c r="Q98">
        <f>'Pretax Fuel Prices'!Q99+'Fuel Taxes'!Q99</f>
        <v>0</v>
      </c>
      <c r="R98">
        <f>'Pretax Fuel Prices'!R99+'Fuel Taxes'!R99</f>
        <v>0</v>
      </c>
      <c r="S98">
        <f>'Pretax Fuel Prices'!S99+'Fuel Taxes'!S99</f>
        <v>0</v>
      </c>
      <c r="T98">
        <f>'Pretax Fuel Prices'!T99+'Fuel Taxes'!T99</f>
        <v>0</v>
      </c>
      <c r="U98">
        <f>'Pretax Fuel Prices'!U99+'Fuel Taxes'!U99</f>
        <v>0</v>
      </c>
      <c r="V98">
        <f>'Pretax Fuel Prices'!V99+'Fuel Taxes'!V99</f>
        <v>0</v>
      </c>
      <c r="W98">
        <f>'Pretax Fuel Prices'!W99+'Fuel Taxes'!W99</f>
        <v>0</v>
      </c>
      <c r="X98">
        <f>'Pretax Fuel Prices'!X99+'Fuel Taxes'!X99</f>
        <v>0</v>
      </c>
      <c r="Y98">
        <f>'Pretax Fuel Prices'!Y99+'Fuel Taxes'!Y99</f>
        <v>0</v>
      </c>
      <c r="Z98">
        <f>'Pretax Fuel Prices'!Z99+'Fuel Taxes'!Z99</f>
        <v>0</v>
      </c>
      <c r="AA98">
        <f>'Pretax Fuel Prices'!AA99+'Fuel Taxes'!AA99</f>
        <v>0</v>
      </c>
      <c r="AB98">
        <f>'Pretax Fuel Prices'!AB99+'Fuel Taxes'!AB99</f>
        <v>0</v>
      </c>
      <c r="AC98">
        <f>'Pretax Fuel Prices'!AC99+'Fuel Taxes'!AC99</f>
        <v>0</v>
      </c>
      <c r="AD98">
        <f>'Pretax Fuel Prices'!AD99+'Fuel Taxes'!AD99</f>
        <v>0</v>
      </c>
      <c r="AE98">
        <f>'Pretax Fuel Prices'!AE99+'Fuel Taxes'!AE99</f>
        <v>0</v>
      </c>
      <c r="AF98">
        <f>'Pretax Fuel Prices'!AF99+'Fuel Taxes'!AF99</f>
        <v>0</v>
      </c>
      <c r="AG98">
        <f>'Pretax Fuel Prices'!AG99+'Fuel Taxes'!AG99</f>
        <v>0</v>
      </c>
      <c r="AH98">
        <f>'Pretax Fuel Prices'!AH99+'Fuel Taxes'!AH99</f>
        <v>0</v>
      </c>
      <c r="AI98">
        <f>'Pretax Fuel Prices'!AI99+'Fuel Taxes'!AI99</f>
        <v>0</v>
      </c>
      <c r="AJ98">
        <f>'Pretax Fuel Prices'!AJ99+'Fuel Taxes'!AJ99</f>
        <v>0</v>
      </c>
      <c r="AK98">
        <f>'Pretax Fuel Prices'!AK99+'Fuel Taxes'!AK99</f>
        <v>0</v>
      </c>
      <c r="AL98">
        <f>'Pretax Fuel Prices'!AL99+'Fuel Taxes'!AL99</f>
        <v>0</v>
      </c>
      <c r="AM98">
        <f>'Pretax Fuel Prices'!AM99+'Fuel Taxes'!AM99</f>
        <v>0</v>
      </c>
      <c r="AN98">
        <f>'Pretax Fuel Prices'!AN99+'Fuel Taxes'!AN99</f>
        <v>0</v>
      </c>
      <c r="AO98">
        <f>'Pretax Fuel Prices'!AO99+'Fuel Taxes'!AO99</f>
        <v>0</v>
      </c>
      <c r="AP98">
        <f>'Pretax Fuel Prices'!AP99+'Fuel Taxes'!AP99</f>
        <v>0</v>
      </c>
      <c r="AQ98">
        <f>'Pretax Fuel Prices'!AQ99+'Fuel Taxes'!AQ99</f>
        <v>0</v>
      </c>
      <c r="AR98">
        <f>'Pretax Fuel Prices'!AR99+'Fuel Taxes'!AR99</f>
        <v>0</v>
      </c>
      <c r="AS98">
        <f>'Pretax Fuel Prices'!AS99+'Fuel Taxes'!AS99</f>
        <v>0</v>
      </c>
      <c r="AT98">
        <f>'Pretax Fuel Prices'!AT99+'Fuel Taxes'!AT99</f>
        <v>0</v>
      </c>
      <c r="AU98">
        <f>'Pretax Fuel Prices'!AU99+'Fuel Taxes'!AU99</f>
        <v>0</v>
      </c>
      <c r="AV98">
        <f>'Pretax Fuel Prices'!AV99+'Fuel Taxes'!AV99</f>
        <v>0</v>
      </c>
      <c r="AW98">
        <f>'Pretax Fuel Prices'!AW99+'Fuel Taxes'!AW99</f>
        <v>0</v>
      </c>
      <c r="AX98">
        <f>'Pretax Fuel Prices'!AX99+'Fuel Taxes'!AX99</f>
        <v>0</v>
      </c>
      <c r="AY98">
        <f>'Pretax Fuel Prices'!AY99+'Fuel Taxes'!AY99</f>
        <v>0</v>
      </c>
      <c r="AZ98">
        <f>'Pretax Fuel Prices'!AZ99+'Fuel Taxes'!AZ99</f>
        <v>0</v>
      </c>
    </row>
    <row r="99" spans="1:52" x14ac:dyDescent="0.25">
      <c r="A99" t="s">
        <v>58</v>
      </c>
      <c r="B99">
        <f>'Pretax Fuel Prices'!B100+'Fuel Taxes'!B100</f>
        <v>0</v>
      </c>
      <c r="C99">
        <f>'Pretax Fuel Prices'!C100+'Fuel Taxes'!C100</f>
        <v>0</v>
      </c>
      <c r="D99">
        <f>'Pretax Fuel Prices'!D100+'Fuel Taxes'!D100</f>
        <v>0</v>
      </c>
      <c r="E99">
        <f>'Pretax Fuel Prices'!E100+'Fuel Taxes'!E100</f>
        <v>0</v>
      </c>
      <c r="F99">
        <f>'Pretax Fuel Prices'!F100+'Fuel Taxes'!F100</f>
        <v>0</v>
      </c>
      <c r="G99">
        <f>'Pretax Fuel Prices'!G100+'Fuel Taxes'!G100</f>
        <v>0</v>
      </c>
      <c r="H99">
        <f>'Pretax Fuel Prices'!H100+'Fuel Taxes'!H100</f>
        <v>0</v>
      </c>
      <c r="I99">
        <f>'Pretax Fuel Prices'!I100+'Fuel Taxes'!I100</f>
        <v>0</v>
      </c>
      <c r="J99">
        <f>'Pretax Fuel Prices'!J100+'Fuel Taxes'!J100</f>
        <v>0</v>
      </c>
      <c r="K99">
        <f>'Pretax Fuel Prices'!K100+'Fuel Taxes'!K100</f>
        <v>0</v>
      </c>
      <c r="L99">
        <f>'Pretax Fuel Prices'!L100+'Fuel Taxes'!L100</f>
        <v>0</v>
      </c>
      <c r="M99">
        <f>'Pretax Fuel Prices'!M100+'Fuel Taxes'!M100</f>
        <v>0</v>
      </c>
      <c r="N99">
        <f>'Pretax Fuel Prices'!N100+'Fuel Taxes'!N100</f>
        <v>0</v>
      </c>
      <c r="O99">
        <f>'Pretax Fuel Prices'!O100+'Fuel Taxes'!O100</f>
        <v>0</v>
      </c>
      <c r="P99">
        <f>'Pretax Fuel Prices'!P100+'Fuel Taxes'!P100</f>
        <v>0</v>
      </c>
      <c r="Q99">
        <f>'Pretax Fuel Prices'!Q100+'Fuel Taxes'!Q100</f>
        <v>0</v>
      </c>
      <c r="R99">
        <f>'Pretax Fuel Prices'!R100+'Fuel Taxes'!R100</f>
        <v>0</v>
      </c>
      <c r="S99">
        <f>'Pretax Fuel Prices'!S100+'Fuel Taxes'!S100</f>
        <v>0</v>
      </c>
      <c r="T99">
        <f>'Pretax Fuel Prices'!T100+'Fuel Taxes'!T100</f>
        <v>0</v>
      </c>
      <c r="U99">
        <f>'Pretax Fuel Prices'!U100+'Fuel Taxes'!U100</f>
        <v>0</v>
      </c>
      <c r="V99">
        <f>'Pretax Fuel Prices'!V100+'Fuel Taxes'!V100</f>
        <v>0</v>
      </c>
      <c r="W99">
        <f>'Pretax Fuel Prices'!W100+'Fuel Taxes'!W100</f>
        <v>0</v>
      </c>
      <c r="X99">
        <f>'Pretax Fuel Prices'!X100+'Fuel Taxes'!X100</f>
        <v>0</v>
      </c>
      <c r="Y99">
        <f>'Pretax Fuel Prices'!Y100+'Fuel Taxes'!Y100</f>
        <v>0</v>
      </c>
      <c r="Z99">
        <f>'Pretax Fuel Prices'!Z100+'Fuel Taxes'!Z100</f>
        <v>0</v>
      </c>
      <c r="AA99">
        <f>'Pretax Fuel Prices'!AA100+'Fuel Taxes'!AA100</f>
        <v>0</v>
      </c>
      <c r="AB99">
        <f>'Pretax Fuel Prices'!AB100+'Fuel Taxes'!AB100</f>
        <v>0</v>
      </c>
      <c r="AC99">
        <f>'Pretax Fuel Prices'!AC100+'Fuel Taxes'!AC100</f>
        <v>0</v>
      </c>
      <c r="AD99">
        <f>'Pretax Fuel Prices'!AD100+'Fuel Taxes'!AD100</f>
        <v>0</v>
      </c>
      <c r="AE99">
        <f>'Pretax Fuel Prices'!AE100+'Fuel Taxes'!AE100</f>
        <v>0</v>
      </c>
      <c r="AF99">
        <f>'Pretax Fuel Prices'!AF100+'Fuel Taxes'!AF100</f>
        <v>0</v>
      </c>
      <c r="AG99">
        <f>'Pretax Fuel Prices'!AG100+'Fuel Taxes'!AG100</f>
        <v>0</v>
      </c>
      <c r="AH99">
        <f>'Pretax Fuel Prices'!AH100+'Fuel Taxes'!AH100</f>
        <v>0</v>
      </c>
      <c r="AI99">
        <f>'Pretax Fuel Prices'!AI100+'Fuel Taxes'!AI100</f>
        <v>0</v>
      </c>
      <c r="AJ99">
        <f>'Pretax Fuel Prices'!AJ100+'Fuel Taxes'!AJ100</f>
        <v>0</v>
      </c>
      <c r="AK99">
        <f>'Pretax Fuel Prices'!AK100+'Fuel Taxes'!AK100</f>
        <v>0</v>
      </c>
      <c r="AL99">
        <f>'Pretax Fuel Prices'!AL100+'Fuel Taxes'!AL100</f>
        <v>0</v>
      </c>
      <c r="AM99">
        <f>'Pretax Fuel Prices'!AM100+'Fuel Taxes'!AM100</f>
        <v>0</v>
      </c>
      <c r="AN99">
        <f>'Pretax Fuel Prices'!AN100+'Fuel Taxes'!AN100</f>
        <v>0</v>
      </c>
      <c r="AO99">
        <f>'Pretax Fuel Prices'!AO100+'Fuel Taxes'!AO100</f>
        <v>0</v>
      </c>
      <c r="AP99">
        <f>'Pretax Fuel Prices'!AP100+'Fuel Taxes'!AP100</f>
        <v>0</v>
      </c>
      <c r="AQ99">
        <f>'Pretax Fuel Prices'!AQ100+'Fuel Taxes'!AQ100</f>
        <v>0</v>
      </c>
      <c r="AR99">
        <f>'Pretax Fuel Prices'!AR100+'Fuel Taxes'!AR100</f>
        <v>0</v>
      </c>
      <c r="AS99">
        <f>'Pretax Fuel Prices'!AS100+'Fuel Taxes'!AS100</f>
        <v>0</v>
      </c>
      <c r="AT99">
        <f>'Pretax Fuel Prices'!AT100+'Fuel Taxes'!AT100</f>
        <v>0</v>
      </c>
      <c r="AU99">
        <f>'Pretax Fuel Prices'!AU100+'Fuel Taxes'!AU100</f>
        <v>0</v>
      </c>
      <c r="AV99">
        <f>'Pretax Fuel Prices'!AV100+'Fuel Taxes'!AV100</f>
        <v>0</v>
      </c>
      <c r="AW99">
        <f>'Pretax Fuel Prices'!AW100+'Fuel Taxes'!AW100</f>
        <v>0</v>
      </c>
      <c r="AX99">
        <f>'Pretax Fuel Prices'!AX100+'Fuel Taxes'!AX100</f>
        <v>0</v>
      </c>
      <c r="AY99">
        <f>'Pretax Fuel Prices'!AY100+'Fuel Taxes'!AY100</f>
        <v>0</v>
      </c>
      <c r="AZ99">
        <f>'Pretax Fuel Prices'!AZ100+'Fuel Taxes'!AZ100</f>
        <v>0</v>
      </c>
    </row>
    <row r="100" spans="1:52" x14ac:dyDescent="0.25">
      <c r="A100" t="s">
        <v>59</v>
      </c>
      <c r="B100">
        <f>'Pretax Fuel Prices'!B101+'Fuel Taxes'!B101</f>
        <v>0</v>
      </c>
      <c r="C100">
        <f>'Pretax Fuel Prices'!C101+'Fuel Taxes'!C101</f>
        <v>0</v>
      </c>
      <c r="D100">
        <f>'Pretax Fuel Prices'!D101+'Fuel Taxes'!D101</f>
        <v>0</v>
      </c>
      <c r="E100">
        <f>'Pretax Fuel Prices'!E101+'Fuel Taxes'!E101</f>
        <v>0</v>
      </c>
      <c r="F100">
        <f>'Pretax Fuel Prices'!F101+'Fuel Taxes'!F101</f>
        <v>0</v>
      </c>
      <c r="G100">
        <f>'Pretax Fuel Prices'!G101+'Fuel Taxes'!G101</f>
        <v>0</v>
      </c>
      <c r="H100">
        <f>'Pretax Fuel Prices'!H101+'Fuel Taxes'!H101</f>
        <v>0</v>
      </c>
      <c r="I100">
        <f>'Pretax Fuel Prices'!I101+'Fuel Taxes'!I101</f>
        <v>0</v>
      </c>
      <c r="J100">
        <f>'Pretax Fuel Prices'!J101+'Fuel Taxes'!J101</f>
        <v>0</v>
      </c>
      <c r="K100">
        <f>'Pretax Fuel Prices'!K101+'Fuel Taxes'!K101</f>
        <v>0</v>
      </c>
      <c r="L100">
        <f>'Pretax Fuel Prices'!L101+'Fuel Taxes'!L101</f>
        <v>0</v>
      </c>
      <c r="M100">
        <f>'Pretax Fuel Prices'!M101+'Fuel Taxes'!M101</f>
        <v>0</v>
      </c>
      <c r="N100">
        <f>'Pretax Fuel Prices'!N101+'Fuel Taxes'!N101</f>
        <v>0</v>
      </c>
      <c r="O100">
        <f>'Pretax Fuel Prices'!O101+'Fuel Taxes'!O101</f>
        <v>0</v>
      </c>
      <c r="P100">
        <f>'Pretax Fuel Prices'!P101+'Fuel Taxes'!P101</f>
        <v>0</v>
      </c>
      <c r="Q100">
        <f>'Pretax Fuel Prices'!Q101+'Fuel Taxes'!Q101</f>
        <v>0</v>
      </c>
      <c r="R100">
        <f>'Pretax Fuel Prices'!R101+'Fuel Taxes'!R101</f>
        <v>0</v>
      </c>
      <c r="S100">
        <f>'Pretax Fuel Prices'!S101+'Fuel Taxes'!S101</f>
        <v>0</v>
      </c>
      <c r="T100">
        <f>'Pretax Fuel Prices'!T101+'Fuel Taxes'!T101</f>
        <v>0</v>
      </c>
      <c r="U100">
        <f>'Pretax Fuel Prices'!U101+'Fuel Taxes'!U101</f>
        <v>0</v>
      </c>
      <c r="V100">
        <f>'Pretax Fuel Prices'!V101+'Fuel Taxes'!V101</f>
        <v>0</v>
      </c>
      <c r="W100">
        <f>'Pretax Fuel Prices'!W101+'Fuel Taxes'!W101</f>
        <v>0</v>
      </c>
      <c r="X100">
        <f>'Pretax Fuel Prices'!X101+'Fuel Taxes'!X101</f>
        <v>0</v>
      </c>
      <c r="Y100">
        <f>'Pretax Fuel Prices'!Y101+'Fuel Taxes'!Y101</f>
        <v>0</v>
      </c>
      <c r="Z100">
        <f>'Pretax Fuel Prices'!Z101+'Fuel Taxes'!Z101</f>
        <v>0</v>
      </c>
      <c r="AA100">
        <f>'Pretax Fuel Prices'!AA101+'Fuel Taxes'!AA101</f>
        <v>0</v>
      </c>
      <c r="AB100">
        <f>'Pretax Fuel Prices'!AB101+'Fuel Taxes'!AB101</f>
        <v>0</v>
      </c>
      <c r="AC100">
        <f>'Pretax Fuel Prices'!AC101+'Fuel Taxes'!AC101</f>
        <v>0</v>
      </c>
      <c r="AD100">
        <f>'Pretax Fuel Prices'!AD101+'Fuel Taxes'!AD101</f>
        <v>0</v>
      </c>
      <c r="AE100">
        <f>'Pretax Fuel Prices'!AE101+'Fuel Taxes'!AE101</f>
        <v>0</v>
      </c>
      <c r="AF100">
        <f>'Pretax Fuel Prices'!AF101+'Fuel Taxes'!AF101</f>
        <v>0</v>
      </c>
      <c r="AG100">
        <f>'Pretax Fuel Prices'!AG101+'Fuel Taxes'!AG101</f>
        <v>0</v>
      </c>
      <c r="AH100">
        <f>'Pretax Fuel Prices'!AH101+'Fuel Taxes'!AH101</f>
        <v>0</v>
      </c>
      <c r="AI100">
        <f>'Pretax Fuel Prices'!AI101+'Fuel Taxes'!AI101</f>
        <v>0</v>
      </c>
      <c r="AJ100">
        <f>'Pretax Fuel Prices'!AJ101+'Fuel Taxes'!AJ101</f>
        <v>0</v>
      </c>
      <c r="AK100">
        <f>'Pretax Fuel Prices'!AK101+'Fuel Taxes'!AK101</f>
        <v>0</v>
      </c>
      <c r="AL100">
        <f>'Pretax Fuel Prices'!AL101+'Fuel Taxes'!AL101</f>
        <v>0</v>
      </c>
      <c r="AM100">
        <f>'Pretax Fuel Prices'!AM101+'Fuel Taxes'!AM101</f>
        <v>0</v>
      </c>
      <c r="AN100">
        <f>'Pretax Fuel Prices'!AN101+'Fuel Taxes'!AN101</f>
        <v>0</v>
      </c>
      <c r="AO100">
        <f>'Pretax Fuel Prices'!AO101+'Fuel Taxes'!AO101</f>
        <v>0</v>
      </c>
      <c r="AP100">
        <f>'Pretax Fuel Prices'!AP101+'Fuel Taxes'!AP101</f>
        <v>0</v>
      </c>
      <c r="AQ100">
        <f>'Pretax Fuel Prices'!AQ101+'Fuel Taxes'!AQ101</f>
        <v>0</v>
      </c>
      <c r="AR100">
        <f>'Pretax Fuel Prices'!AR101+'Fuel Taxes'!AR101</f>
        <v>0</v>
      </c>
      <c r="AS100">
        <f>'Pretax Fuel Prices'!AS101+'Fuel Taxes'!AS101</f>
        <v>0</v>
      </c>
      <c r="AT100">
        <f>'Pretax Fuel Prices'!AT101+'Fuel Taxes'!AT101</f>
        <v>0</v>
      </c>
      <c r="AU100">
        <f>'Pretax Fuel Prices'!AU101+'Fuel Taxes'!AU101</f>
        <v>0</v>
      </c>
      <c r="AV100">
        <f>'Pretax Fuel Prices'!AV101+'Fuel Taxes'!AV101</f>
        <v>0</v>
      </c>
      <c r="AW100">
        <f>'Pretax Fuel Prices'!AW101+'Fuel Taxes'!AW101</f>
        <v>0</v>
      </c>
      <c r="AX100">
        <f>'Pretax Fuel Prices'!AX101+'Fuel Taxes'!AX101</f>
        <v>0</v>
      </c>
      <c r="AY100">
        <f>'Pretax Fuel Prices'!AY101+'Fuel Taxes'!AY101</f>
        <v>0</v>
      </c>
      <c r="AZ100">
        <f>'Pretax Fuel Prices'!AZ101+'Fuel Taxes'!AZ101</f>
        <v>0</v>
      </c>
    </row>
    <row r="101" spans="1:52" s="3" customFormat="1" x14ac:dyDescent="0.25">
      <c r="A101" s="5" t="s">
        <v>46</v>
      </c>
    </row>
    <row r="102" spans="1:52" x14ac:dyDescent="0.25">
      <c r="A102" t="s">
        <v>30</v>
      </c>
      <c r="B102">
        <f>'Fuel Taxes'!B$1</f>
        <v>2020</v>
      </c>
      <c r="C102">
        <f>'Fuel Taxes'!C$1</f>
        <v>2021</v>
      </c>
      <c r="D102">
        <f>'Fuel Taxes'!D$1</f>
        <v>2022</v>
      </c>
      <c r="E102">
        <f>'Fuel Taxes'!E$1</f>
        <v>2023</v>
      </c>
      <c r="F102">
        <f>'Fuel Taxes'!F$1</f>
        <v>2024</v>
      </c>
      <c r="G102">
        <f>'Fuel Taxes'!G$1</f>
        <v>2025</v>
      </c>
      <c r="H102">
        <f>'Fuel Taxes'!H$1</f>
        <v>2026</v>
      </c>
      <c r="I102">
        <f>'Fuel Taxes'!I$1</f>
        <v>2027</v>
      </c>
      <c r="J102">
        <f>'Fuel Taxes'!J$1</f>
        <v>2028</v>
      </c>
      <c r="K102">
        <f>'Fuel Taxes'!K$1</f>
        <v>2029</v>
      </c>
      <c r="L102">
        <f>'Fuel Taxes'!L$1</f>
        <v>2030</v>
      </c>
      <c r="M102">
        <f>'Fuel Taxes'!M$1</f>
        <v>2031</v>
      </c>
      <c r="N102">
        <f>'Fuel Taxes'!N$1</f>
        <v>2032</v>
      </c>
      <c r="O102">
        <f>'Fuel Taxes'!O$1</f>
        <v>2033</v>
      </c>
      <c r="P102">
        <f>'Fuel Taxes'!P$1</f>
        <v>2034</v>
      </c>
      <c r="Q102">
        <f>'Fuel Taxes'!Q$1</f>
        <v>2035</v>
      </c>
      <c r="R102">
        <f>'Fuel Taxes'!R$1</f>
        <v>2036</v>
      </c>
      <c r="S102">
        <f>'Fuel Taxes'!S$1</f>
        <v>2037</v>
      </c>
      <c r="T102">
        <f>'Fuel Taxes'!T$1</f>
        <v>2038</v>
      </c>
      <c r="U102">
        <f>'Fuel Taxes'!U$1</f>
        <v>2039</v>
      </c>
      <c r="V102">
        <f>'Fuel Taxes'!V$1</f>
        <v>2040</v>
      </c>
      <c r="W102">
        <f>'Fuel Taxes'!W$1</f>
        <v>2041</v>
      </c>
      <c r="X102">
        <f>'Fuel Taxes'!X$1</f>
        <v>2042</v>
      </c>
      <c r="Y102">
        <f>'Fuel Taxes'!Y$1</f>
        <v>2043</v>
      </c>
      <c r="Z102">
        <f>'Fuel Taxes'!Z$1</f>
        <v>2044</v>
      </c>
      <c r="AA102">
        <f>'Fuel Taxes'!AA$1</f>
        <v>2045</v>
      </c>
      <c r="AB102">
        <f>'Fuel Taxes'!AB$1</f>
        <v>2046</v>
      </c>
      <c r="AC102">
        <f>'Fuel Taxes'!AC$1</f>
        <v>2047</v>
      </c>
      <c r="AD102">
        <f>'Fuel Taxes'!AD$1</f>
        <v>2048</v>
      </c>
      <c r="AE102">
        <f>'Fuel Taxes'!AE$1</f>
        <v>2049</v>
      </c>
      <c r="AF102">
        <f>'Fuel Taxes'!AF$1</f>
        <v>2050</v>
      </c>
      <c r="AG102">
        <f>'Fuel Taxes'!AG$1</f>
        <v>2051</v>
      </c>
      <c r="AH102">
        <f>'Fuel Taxes'!AH$1</f>
        <v>2052</v>
      </c>
      <c r="AI102">
        <f>'Fuel Taxes'!AI$1</f>
        <v>2053</v>
      </c>
      <c r="AJ102">
        <f>'Fuel Taxes'!AJ$1</f>
        <v>2054</v>
      </c>
      <c r="AK102">
        <f>'Fuel Taxes'!AK$1</f>
        <v>2055</v>
      </c>
      <c r="AL102">
        <f>'Fuel Taxes'!AL$1</f>
        <v>2056</v>
      </c>
      <c r="AM102">
        <f>'Fuel Taxes'!AM$1</f>
        <v>2057</v>
      </c>
      <c r="AN102">
        <f>'Fuel Taxes'!AN$1</f>
        <v>2058</v>
      </c>
      <c r="AO102">
        <f>'Fuel Taxes'!AO$1</f>
        <v>2059</v>
      </c>
      <c r="AP102">
        <f>'Fuel Taxes'!AP$1</f>
        <v>2060</v>
      </c>
      <c r="AQ102">
        <f>'Fuel Taxes'!AQ$1</f>
        <v>2061</v>
      </c>
      <c r="AR102">
        <f>'Fuel Taxes'!AR$1</f>
        <v>2062</v>
      </c>
      <c r="AS102">
        <f>'Fuel Taxes'!AS$1</f>
        <v>2063</v>
      </c>
      <c r="AT102">
        <f>'Fuel Taxes'!AT$1</f>
        <v>2064</v>
      </c>
      <c r="AU102">
        <f>'Fuel Taxes'!AU$1</f>
        <v>2065</v>
      </c>
      <c r="AV102">
        <f>'Fuel Taxes'!AV$1</f>
        <v>2066</v>
      </c>
      <c r="AW102">
        <f>'Fuel Taxes'!AW$1</f>
        <v>2067</v>
      </c>
      <c r="AX102">
        <f>'Fuel Taxes'!AX$1</f>
        <v>2068</v>
      </c>
      <c r="AY102">
        <f>'Fuel Taxes'!AY$1</f>
        <v>2069</v>
      </c>
      <c r="AZ102">
        <f>'Fuel Taxes'!AZ$1</f>
        <v>2070</v>
      </c>
    </row>
    <row r="103" spans="1:52" x14ac:dyDescent="0.25">
      <c r="A103" t="s">
        <v>52</v>
      </c>
      <c r="B103">
        <f>'Pretax Fuel Prices'!B104+'Fuel Taxes'!B104</f>
        <v>0</v>
      </c>
      <c r="C103">
        <f>'Pretax Fuel Prices'!C104+'Fuel Taxes'!C104</f>
        <v>0</v>
      </c>
      <c r="D103">
        <f>'Pretax Fuel Prices'!D104+'Fuel Taxes'!D104</f>
        <v>0</v>
      </c>
      <c r="E103">
        <f>'Pretax Fuel Prices'!E104+'Fuel Taxes'!E104</f>
        <v>0</v>
      </c>
      <c r="F103">
        <f>'Pretax Fuel Prices'!F104+'Fuel Taxes'!F104</f>
        <v>0</v>
      </c>
      <c r="G103">
        <f>'Pretax Fuel Prices'!G104+'Fuel Taxes'!G104</f>
        <v>0</v>
      </c>
      <c r="H103">
        <f>'Pretax Fuel Prices'!H104+'Fuel Taxes'!H104</f>
        <v>0</v>
      </c>
      <c r="I103">
        <f>'Pretax Fuel Prices'!I104+'Fuel Taxes'!I104</f>
        <v>0</v>
      </c>
      <c r="J103">
        <f>'Pretax Fuel Prices'!J104+'Fuel Taxes'!J104</f>
        <v>0</v>
      </c>
      <c r="K103">
        <f>'Pretax Fuel Prices'!K104+'Fuel Taxes'!K104</f>
        <v>0</v>
      </c>
      <c r="L103">
        <f>'Pretax Fuel Prices'!L104+'Fuel Taxes'!L104</f>
        <v>0</v>
      </c>
      <c r="M103">
        <f>'Pretax Fuel Prices'!M104+'Fuel Taxes'!M104</f>
        <v>0</v>
      </c>
      <c r="N103">
        <f>'Pretax Fuel Prices'!N104+'Fuel Taxes'!N104</f>
        <v>0</v>
      </c>
      <c r="O103">
        <f>'Pretax Fuel Prices'!O104+'Fuel Taxes'!O104</f>
        <v>0</v>
      </c>
      <c r="P103">
        <f>'Pretax Fuel Prices'!P104+'Fuel Taxes'!P104</f>
        <v>0</v>
      </c>
      <c r="Q103">
        <f>'Pretax Fuel Prices'!Q104+'Fuel Taxes'!Q104</f>
        <v>0</v>
      </c>
      <c r="R103">
        <f>'Pretax Fuel Prices'!R104+'Fuel Taxes'!R104</f>
        <v>0</v>
      </c>
      <c r="S103">
        <f>'Pretax Fuel Prices'!S104+'Fuel Taxes'!S104</f>
        <v>0</v>
      </c>
      <c r="T103">
        <f>'Pretax Fuel Prices'!T104+'Fuel Taxes'!T104</f>
        <v>0</v>
      </c>
      <c r="U103">
        <f>'Pretax Fuel Prices'!U104+'Fuel Taxes'!U104</f>
        <v>0</v>
      </c>
      <c r="V103">
        <f>'Pretax Fuel Prices'!V104+'Fuel Taxes'!V104</f>
        <v>0</v>
      </c>
      <c r="W103">
        <f>'Pretax Fuel Prices'!W104+'Fuel Taxes'!W104</f>
        <v>0</v>
      </c>
      <c r="X103">
        <f>'Pretax Fuel Prices'!X104+'Fuel Taxes'!X104</f>
        <v>0</v>
      </c>
      <c r="Y103">
        <f>'Pretax Fuel Prices'!Y104+'Fuel Taxes'!Y104</f>
        <v>0</v>
      </c>
      <c r="Z103">
        <f>'Pretax Fuel Prices'!Z104+'Fuel Taxes'!Z104</f>
        <v>0</v>
      </c>
      <c r="AA103">
        <f>'Pretax Fuel Prices'!AA104+'Fuel Taxes'!AA104</f>
        <v>0</v>
      </c>
      <c r="AB103">
        <f>'Pretax Fuel Prices'!AB104+'Fuel Taxes'!AB104</f>
        <v>0</v>
      </c>
      <c r="AC103">
        <f>'Pretax Fuel Prices'!AC104+'Fuel Taxes'!AC104</f>
        <v>0</v>
      </c>
      <c r="AD103">
        <f>'Pretax Fuel Prices'!AD104+'Fuel Taxes'!AD104</f>
        <v>0</v>
      </c>
      <c r="AE103">
        <f>'Pretax Fuel Prices'!AE104+'Fuel Taxes'!AE104</f>
        <v>0</v>
      </c>
      <c r="AF103">
        <f>'Pretax Fuel Prices'!AF104+'Fuel Taxes'!AF104</f>
        <v>0</v>
      </c>
      <c r="AG103">
        <f>'Pretax Fuel Prices'!AG104+'Fuel Taxes'!AG104</f>
        <v>0</v>
      </c>
      <c r="AH103">
        <f>'Pretax Fuel Prices'!AH104+'Fuel Taxes'!AH104</f>
        <v>0</v>
      </c>
      <c r="AI103">
        <f>'Pretax Fuel Prices'!AI104+'Fuel Taxes'!AI104</f>
        <v>0</v>
      </c>
      <c r="AJ103">
        <f>'Pretax Fuel Prices'!AJ104+'Fuel Taxes'!AJ104</f>
        <v>0</v>
      </c>
      <c r="AK103">
        <f>'Pretax Fuel Prices'!AK104+'Fuel Taxes'!AK104</f>
        <v>0</v>
      </c>
      <c r="AL103">
        <f>'Pretax Fuel Prices'!AL104+'Fuel Taxes'!AL104</f>
        <v>0</v>
      </c>
      <c r="AM103">
        <f>'Pretax Fuel Prices'!AM104+'Fuel Taxes'!AM104</f>
        <v>0</v>
      </c>
      <c r="AN103">
        <f>'Pretax Fuel Prices'!AN104+'Fuel Taxes'!AN104</f>
        <v>0</v>
      </c>
      <c r="AO103">
        <f>'Pretax Fuel Prices'!AO104+'Fuel Taxes'!AO104</f>
        <v>0</v>
      </c>
      <c r="AP103">
        <f>'Pretax Fuel Prices'!AP104+'Fuel Taxes'!AP104</f>
        <v>0</v>
      </c>
      <c r="AQ103">
        <f>'Pretax Fuel Prices'!AQ104+'Fuel Taxes'!AQ104</f>
        <v>0</v>
      </c>
      <c r="AR103">
        <f>'Pretax Fuel Prices'!AR104+'Fuel Taxes'!AR104</f>
        <v>0</v>
      </c>
      <c r="AS103">
        <f>'Pretax Fuel Prices'!AS104+'Fuel Taxes'!AS104</f>
        <v>0</v>
      </c>
      <c r="AT103">
        <f>'Pretax Fuel Prices'!AT104+'Fuel Taxes'!AT104</f>
        <v>0</v>
      </c>
      <c r="AU103">
        <f>'Pretax Fuel Prices'!AU104+'Fuel Taxes'!AU104</f>
        <v>0</v>
      </c>
      <c r="AV103">
        <f>'Pretax Fuel Prices'!AV104+'Fuel Taxes'!AV104</f>
        <v>0</v>
      </c>
      <c r="AW103">
        <f>'Pretax Fuel Prices'!AW104+'Fuel Taxes'!AW104</f>
        <v>0</v>
      </c>
      <c r="AX103">
        <f>'Pretax Fuel Prices'!AX104+'Fuel Taxes'!AX104</f>
        <v>0</v>
      </c>
      <c r="AY103">
        <f>'Pretax Fuel Prices'!AY104+'Fuel Taxes'!AY104</f>
        <v>0</v>
      </c>
      <c r="AZ103">
        <f>'Pretax Fuel Prices'!AZ104+'Fuel Taxes'!AZ104</f>
        <v>0</v>
      </c>
    </row>
    <row r="104" spans="1:52" x14ac:dyDescent="0.25">
      <c r="A104" t="s">
        <v>53</v>
      </c>
      <c r="B104">
        <f>'Pretax Fuel Prices'!B105+'Fuel Taxes'!B105</f>
        <v>5.8032702844488082E-6</v>
      </c>
      <c r="C104">
        <f>'Pretax Fuel Prices'!C105+'Fuel Taxes'!C105</f>
        <v>1.010572034981499E-5</v>
      </c>
      <c r="D104">
        <f>'Pretax Fuel Prices'!D105+'Fuel Taxes'!D105</f>
        <v>1.4548918609468291E-5</v>
      </c>
      <c r="E104">
        <f>'Pretax Fuel Prices'!E105+'Fuel Taxes'!E105</f>
        <v>1.3814064879295553E-5</v>
      </c>
      <c r="F104">
        <f>'Pretax Fuel Prices'!F105+'Fuel Taxes'!F105</f>
        <v>1.3102705815542782E-5</v>
      </c>
      <c r="G104">
        <f>'Pretax Fuel Prices'!G105+'Fuel Taxes'!G105</f>
        <v>1.2391346751790012E-5</v>
      </c>
      <c r="H104">
        <f>'Pretax Fuel Prices'!H105+'Fuel Taxes'!H105</f>
        <v>1.1679987688037241E-5</v>
      </c>
      <c r="I104">
        <f>'Pretax Fuel Prices'!I105+'Fuel Taxes'!I105</f>
        <v>1.096862862428447E-5</v>
      </c>
      <c r="J104">
        <f>'Pretax Fuel Prices'!J105+'Fuel Taxes'!J105</f>
        <v>1.0257269560531699E-5</v>
      </c>
      <c r="K104">
        <f>'Pretax Fuel Prices'!K105+'Fuel Taxes'!K105</f>
        <v>1.0408034285260253E-5</v>
      </c>
      <c r="L104">
        <f>'Pretax Fuel Prices'!L105+'Fuel Taxes'!L105</f>
        <v>1.0568057722521E-5</v>
      </c>
      <c r="M104">
        <f>'Pretax Fuel Prices'!M105+'Fuel Taxes'!M105</f>
        <v>1.0789191951557296E-5</v>
      </c>
      <c r="N104">
        <f>'Pretax Fuel Prices'!N105+'Fuel Taxes'!N105</f>
        <v>1.0962604245994599E-5</v>
      </c>
      <c r="O104">
        <f>'Pretax Fuel Prices'!O105+'Fuel Taxes'!O105</f>
        <v>1.1079859048003297E-5</v>
      </c>
      <c r="P104">
        <f>'Pretax Fuel Prices'!P105+'Fuel Taxes'!P105</f>
        <v>1.1139624583353451E-5</v>
      </c>
      <c r="Q104">
        <f>'Pretax Fuel Prices'!Q105+'Fuel Taxes'!Q105</f>
        <v>1.1245470781201217E-5</v>
      </c>
      <c r="R104">
        <f>'Pretax Fuel Prices'!R105+'Fuel Taxes'!R105</f>
        <v>1.1425356603639763E-5</v>
      </c>
      <c r="S104">
        <f>'Pretax Fuel Prices'!S105+'Fuel Taxes'!S105</f>
        <v>1.1557046984922532E-5</v>
      </c>
      <c r="T104">
        <f>'Pretax Fuel Prices'!T105+'Fuel Taxes'!T105</f>
        <v>1.1709809000606015E-5</v>
      </c>
      <c r="U104">
        <f>'Pretax Fuel Prices'!U105+'Fuel Taxes'!U105</f>
        <v>1.1748037247266352E-5</v>
      </c>
      <c r="V104">
        <f>'Pretax Fuel Prices'!V105+'Fuel Taxes'!V105</f>
        <v>1.1971575603617068E-5</v>
      </c>
      <c r="W104">
        <f>'Pretax Fuel Prices'!W105+'Fuel Taxes'!W105</f>
        <v>1.2108322993442573E-5</v>
      </c>
      <c r="X104">
        <f>'Pretax Fuel Prices'!X105+'Fuel Taxes'!X105</f>
        <v>1.2166028123384359E-5</v>
      </c>
      <c r="Y104">
        <f>'Pretax Fuel Prices'!Y105+'Fuel Taxes'!Y105</f>
        <v>1.2377163304386512E-5</v>
      </c>
      <c r="Z104">
        <f>'Pretax Fuel Prices'!Z105+'Fuel Taxes'!Z105</f>
        <v>1.2631320319234431E-5</v>
      </c>
      <c r="AA104">
        <f>'Pretax Fuel Prices'!AA105+'Fuel Taxes'!AA105</f>
        <v>1.2700802369138198E-5</v>
      </c>
      <c r="AB104">
        <f>'Pretax Fuel Prices'!AB105+'Fuel Taxes'!AB105</f>
        <v>1.2885034347660337E-5</v>
      </c>
      <c r="AC104">
        <f>'Pretax Fuel Prices'!AC105+'Fuel Taxes'!AC105</f>
        <v>1.2877523135077211E-5</v>
      </c>
      <c r="AD104">
        <f>'Pretax Fuel Prices'!AD105+'Fuel Taxes'!AD105</f>
        <v>1.2895332818958327E-5</v>
      </c>
      <c r="AE104">
        <f>'Pretax Fuel Prices'!AE105+'Fuel Taxes'!AE105</f>
        <v>1.2940666330778267E-5</v>
      </c>
      <c r="AF104">
        <f>'Pretax Fuel Prices'!AF105+'Fuel Taxes'!AF105</f>
        <v>1.2899894838325157E-5</v>
      </c>
      <c r="AG104">
        <f>'Pretax Fuel Prices'!AG105+'Fuel Taxes'!AG105</f>
        <v>1.2997822325031527E-5</v>
      </c>
      <c r="AH104">
        <f>'Pretax Fuel Prices'!AH105+'Fuel Taxes'!AH105</f>
        <v>1.3095442282746987E-5</v>
      </c>
      <c r="AI104">
        <f>'Pretax Fuel Prices'!AI105+'Fuel Taxes'!AI105</f>
        <v>1.3193062240462445E-5</v>
      </c>
      <c r="AJ104">
        <f>'Pretax Fuel Prices'!AJ105+'Fuel Taxes'!AJ105</f>
        <v>1.3290682198177904E-5</v>
      </c>
      <c r="AK104">
        <f>'Pretax Fuel Prices'!AK105+'Fuel Taxes'!AK105</f>
        <v>1.3388302155893362E-5</v>
      </c>
      <c r="AL104">
        <f>'Pretax Fuel Prices'!AL105+'Fuel Taxes'!AL105</f>
        <v>1.3485922113608822E-5</v>
      </c>
      <c r="AM104">
        <f>'Pretax Fuel Prices'!AM105+'Fuel Taxes'!AM105</f>
        <v>1.358354207132428E-5</v>
      </c>
      <c r="AN104">
        <f>'Pretax Fuel Prices'!AN105+'Fuel Taxes'!AN105</f>
        <v>1.3681162029039738E-5</v>
      </c>
      <c r="AO104">
        <f>'Pretax Fuel Prices'!AO105+'Fuel Taxes'!AO105</f>
        <v>1.3778781986755198E-5</v>
      </c>
      <c r="AP104">
        <f>'Pretax Fuel Prices'!AP105+'Fuel Taxes'!AP105</f>
        <v>1.3876401944470656E-5</v>
      </c>
      <c r="AQ104">
        <f>'Pretax Fuel Prices'!AQ105+'Fuel Taxes'!AQ105</f>
        <v>1.3974021902186115E-5</v>
      </c>
      <c r="AR104">
        <f>'Pretax Fuel Prices'!AR105+'Fuel Taxes'!AR105</f>
        <v>1.4071641859901575E-5</v>
      </c>
      <c r="AS104">
        <f>'Pretax Fuel Prices'!AS105+'Fuel Taxes'!AS105</f>
        <v>1.4169261817617033E-5</v>
      </c>
      <c r="AT104">
        <f>'Pretax Fuel Prices'!AT105+'Fuel Taxes'!AT105</f>
        <v>1.4266881775332491E-5</v>
      </c>
      <c r="AU104">
        <f>'Pretax Fuel Prices'!AU105+'Fuel Taxes'!AU105</f>
        <v>1.4364501733047951E-5</v>
      </c>
      <c r="AV104">
        <f>'Pretax Fuel Prices'!AV105+'Fuel Taxes'!AV105</f>
        <v>1.4462121690763409E-5</v>
      </c>
      <c r="AW104">
        <f>'Pretax Fuel Prices'!AW105+'Fuel Taxes'!AW105</f>
        <v>1.4559741648478868E-5</v>
      </c>
      <c r="AX104">
        <f>'Pretax Fuel Prices'!AX105+'Fuel Taxes'!AX105</f>
        <v>1.4657361606194326E-5</v>
      </c>
      <c r="AY104">
        <f>'Pretax Fuel Prices'!AY105+'Fuel Taxes'!AY105</f>
        <v>1.4754981563909786E-5</v>
      </c>
      <c r="AZ104">
        <f>'Pretax Fuel Prices'!AZ105+'Fuel Taxes'!AZ105</f>
        <v>1.4852601521625244E-5</v>
      </c>
    </row>
    <row r="105" spans="1:52" x14ac:dyDescent="0.25">
      <c r="A105" t="s">
        <v>54</v>
      </c>
      <c r="B105">
        <f>'Pretax Fuel Prices'!B106+'Fuel Taxes'!B106</f>
        <v>0</v>
      </c>
      <c r="C105">
        <f>'Pretax Fuel Prices'!C106+'Fuel Taxes'!C106</f>
        <v>0</v>
      </c>
      <c r="D105">
        <f>'Pretax Fuel Prices'!D106+'Fuel Taxes'!D106</f>
        <v>0</v>
      </c>
      <c r="E105">
        <f>'Pretax Fuel Prices'!E106+'Fuel Taxes'!E106</f>
        <v>0</v>
      </c>
      <c r="F105">
        <f>'Pretax Fuel Prices'!F106+'Fuel Taxes'!F106</f>
        <v>0</v>
      </c>
      <c r="G105">
        <f>'Pretax Fuel Prices'!G106+'Fuel Taxes'!G106</f>
        <v>0</v>
      </c>
      <c r="H105">
        <f>'Pretax Fuel Prices'!H106+'Fuel Taxes'!H106</f>
        <v>0</v>
      </c>
      <c r="I105">
        <f>'Pretax Fuel Prices'!I106+'Fuel Taxes'!I106</f>
        <v>0</v>
      </c>
      <c r="J105">
        <f>'Pretax Fuel Prices'!J106+'Fuel Taxes'!J106</f>
        <v>0</v>
      </c>
      <c r="K105">
        <f>'Pretax Fuel Prices'!K106+'Fuel Taxes'!K106</f>
        <v>0</v>
      </c>
      <c r="L105">
        <f>'Pretax Fuel Prices'!L106+'Fuel Taxes'!L106</f>
        <v>0</v>
      </c>
      <c r="M105">
        <f>'Pretax Fuel Prices'!M106+'Fuel Taxes'!M106</f>
        <v>0</v>
      </c>
      <c r="N105">
        <f>'Pretax Fuel Prices'!N106+'Fuel Taxes'!N106</f>
        <v>0</v>
      </c>
      <c r="O105">
        <f>'Pretax Fuel Prices'!O106+'Fuel Taxes'!O106</f>
        <v>0</v>
      </c>
      <c r="P105">
        <f>'Pretax Fuel Prices'!P106+'Fuel Taxes'!P106</f>
        <v>0</v>
      </c>
      <c r="Q105">
        <f>'Pretax Fuel Prices'!Q106+'Fuel Taxes'!Q106</f>
        <v>0</v>
      </c>
      <c r="R105">
        <f>'Pretax Fuel Prices'!R106+'Fuel Taxes'!R106</f>
        <v>0</v>
      </c>
      <c r="S105">
        <f>'Pretax Fuel Prices'!S106+'Fuel Taxes'!S106</f>
        <v>0</v>
      </c>
      <c r="T105">
        <f>'Pretax Fuel Prices'!T106+'Fuel Taxes'!T106</f>
        <v>0</v>
      </c>
      <c r="U105">
        <f>'Pretax Fuel Prices'!U106+'Fuel Taxes'!U106</f>
        <v>0</v>
      </c>
      <c r="V105">
        <f>'Pretax Fuel Prices'!V106+'Fuel Taxes'!V106</f>
        <v>0</v>
      </c>
      <c r="W105">
        <f>'Pretax Fuel Prices'!W106+'Fuel Taxes'!W106</f>
        <v>0</v>
      </c>
      <c r="X105">
        <f>'Pretax Fuel Prices'!X106+'Fuel Taxes'!X106</f>
        <v>0</v>
      </c>
      <c r="Y105">
        <f>'Pretax Fuel Prices'!Y106+'Fuel Taxes'!Y106</f>
        <v>0</v>
      </c>
      <c r="Z105">
        <f>'Pretax Fuel Prices'!Z106+'Fuel Taxes'!Z106</f>
        <v>0</v>
      </c>
      <c r="AA105">
        <f>'Pretax Fuel Prices'!AA106+'Fuel Taxes'!AA106</f>
        <v>0</v>
      </c>
      <c r="AB105">
        <f>'Pretax Fuel Prices'!AB106+'Fuel Taxes'!AB106</f>
        <v>0</v>
      </c>
      <c r="AC105">
        <f>'Pretax Fuel Prices'!AC106+'Fuel Taxes'!AC106</f>
        <v>0</v>
      </c>
      <c r="AD105">
        <f>'Pretax Fuel Prices'!AD106+'Fuel Taxes'!AD106</f>
        <v>0</v>
      </c>
      <c r="AE105">
        <f>'Pretax Fuel Prices'!AE106+'Fuel Taxes'!AE106</f>
        <v>0</v>
      </c>
      <c r="AF105">
        <f>'Pretax Fuel Prices'!AF106+'Fuel Taxes'!AF106</f>
        <v>0</v>
      </c>
      <c r="AG105">
        <f>'Pretax Fuel Prices'!AG106+'Fuel Taxes'!AG106</f>
        <v>0</v>
      </c>
      <c r="AH105">
        <f>'Pretax Fuel Prices'!AH106+'Fuel Taxes'!AH106</f>
        <v>0</v>
      </c>
      <c r="AI105">
        <f>'Pretax Fuel Prices'!AI106+'Fuel Taxes'!AI106</f>
        <v>0</v>
      </c>
      <c r="AJ105">
        <f>'Pretax Fuel Prices'!AJ106+'Fuel Taxes'!AJ106</f>
        <v>0</v>
      </c>
      <c r="AK105">
        <f>'Pretax Fuel Prices'!AK106+'Fuel Taxes'!AK106</f>
        <v>0</v>
      </c>
      <c r="AL105">
        <f>'Pretax Fuel Prices'!AL106+'Fuel Taxes'!AL106</f>
        <v>0</v>
      </c>
      <c r="AM105">
        <f>'Pretax Fuel Prices'!AM106+'Fuel Taxes'!AM106</f>
        <v>0</v>
      </c>
      <c r="AN105">
        <f>'Pretax Fuel Prices'!AN106+'Fuel Taxes'!AN106</f>
        <v>0</v>
      </c>
      <c r="AO105">
        <f>'Pretax Fuel Prices'!AO106+'Fuel Taxes'!AO106</f>
        <v>0</v>
      </c>
      <c r="AP105">
        <f>'Pretax Fuel Prices'!AP106+'Fuel Taxes'!AP106</f>
        <v>0</v>
      </c>
      <c r="AQ105">
        <f>'Pretax Fuel Prices'!AQ106+'Fuel Taxes'!AQ106</f>
        <v>0</v>
      </c>
      <c r="AR105">
        <f>'Pretax Fuel Prices'!AR106+'Fuel Taxes'!AR106</f>
        <v>0</v>
      </c>
      <c r="AS105">
        <f>'Pretax Fuel Prices'!AS106+'Fuel Taxes'!AS106</f>
        <v>0</v>
      </c>
      <c r="AT105">
        <f>'Pretax Fuel Prices'!AT106+'Fuel Taxes'!AT106</f>
        <v>0</v>
      </c>
      <c r="AU105">
        <f>'Pretax Fuel Prices'!AU106+'Fuel Taxes'!AU106</f>
        <v>0</v>
      </c>
      <c r="AV105">
        <f>'Pretax Fuel Prices'!AV106+'Fuel Taxes'!AV106</f>
        <v>0</v>
      </c>
      <c r="AW105">
        <f>'Pretax Fuel Prices'!AW106+'Fuel Taxes'!AW106</f>
        <v>0</v>
      </c>
      <c r="AX105">
        <f>'Pretax Fuel Prices'!AX106+'Fuel Taxes'!AX106</f>
        <v>0</v>
      </c>
      <c r="AY105">
        <f>'Pretax Fuel Prices'!AY106+'Fuel Taxes'!AY106</f>
        <v>0</v>
      </c>
      <c r="AZ105">
        <f>'Pretax Fuel Prices'!AZ106+'Fuel Taxes'!AZ106</f>
        <v>0</v>
      </c>
    </row>
    <row r="106" spans="1:52" x14ac:dyDescent="0.25">
      <c r="A106" t="s">
        <v>55</v>
      </c>
      <c r="B106">
        <f>'Pretax Fuel Prices'!B107+'Fuel Taxes'!B107</f>
        <v>0</v>
      </c>
      <c r="C106">
        <f>'Pretax Fuel Prices'!C107+'Fuel Taxes'!C107</f>
        <v>0</v>
      </c>
      <c r="D106">
        <f>'Pretax Fuel Prices'!D107+'Fuel Taxes'!D107</f>
        <v>0</v>
      </c>
      <c r="E106">
        <f>'Pretax Fuel Prices'!E107+'Fuel Taxes'!E107</f>
        <v>0</v>
      </c>
      <c r="F106">
        <f>'Pretax Fuel Prices'!F107+'Fuel Taxes'!F107</f>
        <v>0</v>
      </c>
      <c r="G106">
        <f>'Pretax Fuel Prices'!G107+'Fuel Taxes'!G107</f>
        <v>0</v>
      </c>
      <c r="H106">
        <f>'Pretax Fuel Prices'!H107+'Fuel Taxes'!H107</f>
        <v>0</v>
      </c>
      <c r="I106">
        <f>'Pretax Fuel Prices'!I107+'Fuel Taxes'!I107</f>
        <v>0</v>
      </c>
      <c r="J106">
        <f>'Pretax Fuel Prices'!J107+'Fuel Taxes'!J107</f>
        <v>0</v>
      </c>
      <c r="K106">
        <f>'Pretax Fuel Prices'!K107+'Fuel Taxes'!K107</f>
        <v>0</v>
      </c>
      <c r="L106">
        <f>'Pretax Fuel Prices'!L107+'Fuel Taxes'!L107</f>
        <v>0</v>
      </c>
      <c r="M106">
        <f>'Pretax Fuel Prices'!M107+'Fuel Taxes'!M107</f>
        <v>0</v>
      </c>
      <c r="N106">
        <f>'Pretax Fuel Prices'!N107+'Fuel Taxes'!N107</f>
        <v>0</v>
      </c>
      <c r="O106">
        <f>'Pretax Fuel Prices'!O107+'Fuel Taxes'!O107</f>
        <v>0</v>
      </c>
      <c r="P106">
        <f>'Pretax Fuel Prices'!P107+'Fuel Taxes'!P107</f>
        <v>0</v>
      </c>
      <c r="Q106">
        <f>'Pretax Fuel Prices'!Q107+'Fuel Taxes'!Q107</f>
        <v>0</v>
      </c>
      <c r="R106">
        <f>'Pretax Fuel Prices'!R107+'Fuel Taxes'!R107</f>
        <v>0</v>
      </c>
      <c r="S106">
        <f>'Pretax Fuel Prices'!S107+'Fuel Taxes'!S107</f>
        <v>0</v>
      </c>
      <c r="T106">
        <f>'Pretax Fuel Prices'!T107+'Fuel Taxes'!T107</f>
        <v>0</v>
      </c>
      <c r="U106">
        <f>'Pretax Fuel Prices'!U107+'Fuel Taxes'!U107</f>
        <v>0</v>
      </c>
      <c r="V106">
        <f>'Pretax Fuel Prices'!V107+'Fuel Taxes'!V107</f>
        <v>0</v>
      </c>
      <c r="W106">
        <f>'Pretax Fuel Prices'!W107+'Fuel Taxes'!W107</f>
        <v>0</v>
      </c>
      <c r="X106">
        <f>'Pretax Fuel Prices'!X107+'Fuel Taxes'!X107</f>
        <v>0</v>
      </c>
      <c r="Y106">
        <f>'Pretax Fuel Prices'!Y107+'Fuel Taxes'!Y107</f>
        <v>0</v>
      </c>
      <c r="Z106">
        <f>'Pretax Fuel Prices'!Z107+'Fuel Taxes'!Z107</f>
        <v>0</v>
      </c>
      <c r="AA106">
        <f>'Pretax Fuel Prices'!AA107+'Fuel Taxes'!AA107</f>
        <v>0</v>
      </c>
      <c r="AB106">
        <f>'Pretax Fuel Prices'!AB107+'Fuel Taxes'!AB107</f>
        <v>0</v>
      </c>
      <c r="AC106">
        <f>'Pretax Fuel Prices'!AC107+'Fuel Taxes'!AC107</f>
        <v>0</v>
      </c>
      <c r="AD106">
        <f>'Pretax Fuel Prices'!AD107+'Fuel Taxes'!AD107</f>
        <v>0</v>
      </c>
      <c r="AE106">
        <f>'Pretax Fuel Prices'!AE107+'Fuel Taxes'!AE107</f>
        <v>0</v>
      </c>
      <c r="AF106">
        <f>'Pretax Fuel Prices'!AF107+'Fuel Taxes'!AF107</f>
        <v>0</v>
      </c>
      <c r="AG106">
        <f>'Pretax Fuel Prices'!AG107+'Fuel Taxes'!AG107</f>
        <v>0</v>
      </c>
      <c r="AH106">
        <f>'Pretax Fuel Prices'!AH107+'Fuel Taxes'!AH107</f>
        <v>0</v>
      </c>
      <c r="AI106">
        <f>'Pretax Fuel Prices'!AI107+'Fuel Taxes'!AI107</f>
        <v>0</v>
      </c>
      <c r="AJ106">
        <f>'Pretax Fuel Prices'!AJ107+'Fuel Taxes'!AJ107</f>
        <v>0</v>
      </c>
      <c r="AK106">
        <f>'Pretax Fuel Prices'!AK107+'Fuel Taxes'!AK107</f>
        <v>0</v>
      </c>
      <c r="AL106">
        <f>'Pretax Fuel Prices'!AL107+'Fuel Taxes'!AL107</f>
        <v>0</v>
      </c>
      <c r="AM106">
        <f>'Pretax Fuel Prices'!AM107+'Fuel Taxes'!AM107</f>
        <v>0</v>
      </c>
      <c r="AN106">
        <f>'Pretax Fuel Prices'!AN107+'Fuel Taxes'!AN107</f>
        <v>0</v>
      </c>
      <c r="AO106">
        <f>'Pretax Fuel Prices'!AO107+'Fuel Taxes'!AO107</f>
        <v>0</v>
      </c>
      <c r="AP106">
        <f>'Pretax Fuel Prices'!AP107+'Fuel Taxes'!AP107</f>
        <v>0</v>
      </c>
      <c r="AQ106">
        <f>'Pretax Fuel Prices'!AQ107+'Fuel Taxes'!AQ107</f>
        <v>0</v>
      </c>
      <c r="AR106">
        <f>'Pretax Fuel Prices'!AR107+'Fuel Taxes'!AR107</f>
        <v>0</v>
      </c>
      <c r="AS106">
        <f>'Pretax Fuel Prices'!AS107+'Fuel Taxes'!AS107</f>
        <v>0</v>
      </c>
      <c r="AT106">
        <f>'Pretax Fuel Prices'!AT107+'Fuel Taxes'!AT107</f>
        <v>0</v>
      </c>
      <c r="AU106">
        <f>'Pretax Fuel Prices'!AU107+'Fuel Taxes'!AU107</f>
        <v>0</v>
      </c>
      <c r="AV106">
        <f>'Pretax Fuel Prices'!AV107+'Fuel Taxes'!AV107</f>
        <v>0</v>
      </c>
      <c r="AW106">
        <f>'Pretax Fuel Prices'!AW107+'Fuel Taxes'!AW107</f>
        <v>0</v>
      </c>
      <c r="AX106">
        <f>'Pretax Fuel Prices'!AX107+'Fuel Taxes'!AX107</f>
        <v>0</v>
      </c>
      <c r="AY106">
        <f>'Pretax Fuel Prices'!AY107+'Fuel Taxes'!AY107</f>
        <v>0</v>
      </c>
      <c r="AZ106">
        <f>'Pretax Fuel Prices'!AZ107+'Fuel Taxes'!AZ107</f>
        <v>0</v>
      </c>
    </row>
    <row r="107" spans="1:52" x14ac:dyDescent="0.25">
      <c r="A107" t="s">
        <v>56</v>
      </c>
      <c r="B107">
        <f>'Pretax Fuel Prices'!B108+'Fuel Taxes'!B108</f>
        <v>5.8032702844488082E-6</v>
      </c>
      <c r="C107">
        <f>'Pretax Fuel Prices'!C108+'Fuel Taxes'!C108</f>
        <v>1.010572034981499E-5</v>
      </c>
      <c r="D107">
        <f>'Pretax Fuel Prices'!D108+'Fuel Taxes'!D108</f>
        <v>1.4548918609468291E-5</v>
      </c>
      <c r="E107">
        <f>'Pretax Fuel Prices'!E108+'Fuel Taxes'!E108</f>
        <v>1.3814064879295553E-5</v>
      </c>
      <c r="F107">
        <f>'Pretax Fuel Prices'!F108+'Fuel Taxes'!F108</f>
        <v>1.3102705815542782E-5</v>
      </c>
      <c r="G107">
        <f>'Pretax Fuel Prices'!G108+'Fuel Taxes'!G108</f>
        <v>1.2391346751790012E-5</v>
      </c>
      <c r="H107">
        <f>'Pretax Fuel Prices'!H108+'Fuel Taxes'!H108</f>
        <v>1.1679987688037241E-5</v>
      </c>
      <c r="I107">
        <f>'Pretax Fuel Prices'!I108+'Fuel Taxes'!I108</f>
        <v>1.096862862428447E-5</v>
      </c>
      <c r="J107">
        <f>'Pretax Fuel Prices'!J108+'Fuel Taxes'!J108</f>
        <v>1.0257269560531699E-5</v>
      </c>
      <c r="K107">
        <f>'Pretax Fuel Prices'!K108+'Fuel Taxes'!K108</f>
        <v>1.0408034285260253E-5</v>
      </c>
      <c r="L107">
        <f>'Pretax Fuel Prices'!L108+'Fuel Taxes'!L108</f>
        <v>1.0568057722521E-5</v>
      </c>
      <c r="M107">
        <f>'Pretax Fuel Prices'!M108+'Fuel Taxes'!M108</f>
        <v>1.0789191951557296E-5</v>
      </c>
      <c r="N107">
        <f>'Pretax Fuel Prices'!N108+'Fuel Taxes'!N108</f>
        <v>1.0962604245994599E-5</v>
      </c>
      <c r="O107">
        <f>'Pretax Fuel Prices'!O108+'Fuel Taxes'!O108</f>
        <v>1.1079859048003297E-5</v>
      </c>
      <c r="P107">
        <f>'Pretax Fuel Prices'!P108+'Fuel Taxes'!P108</f>
        <v>1.1139624583353451E-5</v>
      </c>
      <c r="Q107">
        <f>'Pretax Fuel Prices'!Q108+'Fuel Taxes'!Q108</f>
        <v>1.1245470781201217E-5</v>
      </c>
      <c r="R107">
        <f>'Pretax Fuel Prices'!R108+'Fuel Taxes'!R108</f>
        <v>1.1425356603639763E-5</v>
      </c>
      <c r="S107">
        <f>'Pretax Fuel Prices'!S108+'Fuel Taxes'!S108</f>
        <v>1.1557046984922532E-5</v>
      </c>
      <c r="T107">
        <f>'Pretax Fuel Prices'!T108+'Fuel Taxes'!T108</f>
        <v>1.1709809000606015E-5</v>
      </c>
      <c r="U107">
        <f>'Pretax Fuel Prices'!U108+'Fuel Taxes'!U108</f>
        <v>1.1748037247266352E-5</v>
      </c>
      <c r="V107">
        <f>'Pretax Fuel Prices'!V108+'Fuel Taxes'!V108</f>
        <v>1.1971575603617068E-5</v>
      </c>
      <c r="W107">
        <f>'Pretax Fuel Prices'!W108+'Fuel Taxes'!W108</f>
        <v>1.2108322993442573E-5</v>
      </c>
      <c r="X107">
        <f>'Pretax Fuel Prices'!X108+'Fuel Taxes'!X108</f>
        <v>1.2166028123384359E-5</v>
      </c>
      <c r="Y107">
        <f>'Pretax Fuel Prices'!Y108+'Fuel Taxes'!Y108</f>
        <v>1.2377163304386512E-5</v>
      </c>
      <c r="Z107">
        <f>'Pretax Fuel Prices'!Z108+'Fuel Taxes'!Z108</f>
        <v>1.2631320319234431E-5</v>
      </c>
      <c r="AA107">
        <f>'Pretax Fuel Prices'!AA108+'Fuel Taxes'!AA108</f>
        <v>1.2700802369138198E-5</v>
      </c>
      <c r="AB107">
        <f>'Pretax Fuel Prices'!AB108+'Fuel Taxes'!AB108</f>
        <v>1.2885034347660337E-5</v>
      </c>
      <c r="AC107">
        <f>'Pretax Fuel Prices'!AC108+'Fuel Taxes'!AC108</f>
        <v>1.2877523135077211E-5</v>
      </c>
      <c r="AD107">
        <f>'Pretax Fuel Prices'!AD108+'Fuel Taxes'!AD108</f>
        <v>1.2895332818958327E-5</v>
      </c>
      <c r="AE107">
        <f>'Pretax Fuel Prices'!AE108+'Fuel Taxes'!AE108</f>
        <v>1.2940666330778267E-5</v>
      </c>
      <c r="AF107">
        <f>'Pretax Fuel Prices'!AF108+'Fuel Taxes'!AF108</f>
        <v>1.2899894838325157E-5</v>
      </c>
      <c r="AG107">
        <f>'Pretax Fuel Prices'!AG108+'Fuel Taxes'!AG108</f>
        <v>1.2997822325031527E-5</v>
      </c>
      <c r="AH107">
        <f>'Pretax Fuel Prices'!AH108+'Fuel Taxes'!AH108</f>
        <v>1.3095442282746987E-5</v>
      </c>
      <c r="AI107">
        <f>'Pretax Fuel Prices'!AI108+'Fuel Taxes'!AI108</f>
        <v>1.3193062240462445E-5</v>
      </c>
      <c r="AJ107">
        <f>'Pretax Fuel Prices'!AJ108+'Fuel Taxes'!AJ108</f>
        <v>1.3290682198177904E-5</v>
      </c>
      <c r="AK107">
        <f>'Pretax Fuel Prices'!AK108+'Fuel Taxes'!AK108</f>
        <v>1.3388302155893362E-5</v>
      </c>
      <c r="AL107">
        <f>'Pretax Fuel Prices'!AL108+'Fuel Taxes'!AL108</f>
        <v>1.3485922113608822E-5</v>
      </c>
      <c r="AM107">
        <f>'Pretax Fuel Prices'!AM108+'Fuel Taxes'!AM108</f>
        <v>1.358354207132428E-5</v>
      </c>
      <c r="AN107">
        <f>'Pretax Fuel Prices'!AN108+'Fuel Taxes'!AN108</f>
        <v>1.3681162029039738E-5</v>
      </c>
      <c r="AO107">
        <f>'Pretax Fuel Prices'!AO108+'Fuel Taxes'!AO108</f>
        <v>1.3778781986755198E-5</v>
      </c>
      <c r="AP107">
        <f>'Pretax Fuel Prices'!AP108+'Fuel Taxes'!AP108</f>
        <v>1.3876401944470656E-5</v>
      </c>
      <c r="AQ107">
        <f>'Pretax Fuel Prices'!AQ108+'Fuel Taxes'!AQ108</f>
        <v>1.3974021902186115E-5</v>
      </c>
      <c r="AR107">
        <f>'Pretax Fuel Prices'!AR108+'Fuel Taxes'!AR108</f>
        <v>1.4071641859901575E-5</v>
      </c>
      <c r="AS107">
        <f>'Pretax Fuel Prices'!AS108+'Fuel Taxes'!AS108</f>
        <v>1.4169261817617033E-5</v>
      </c>
      <c r="AT107">
        <f>'Pretax Fuel Prices'!AT108+'Fuel Taxes'!AT108</f>
        <v>1.4266881775332491E-5</v>
      </c>
      <c r="AU107">
        <f>'Pretax Fuel Prices'!AU108+'Fuel Taxes'!AU108</f>
        <v>1.4364501733047951E-5</v>
      </c>
      <c r="AV107">
        <f>'Pretax Fuel Prices'!AV108+'Fuel Taxes'!AV108</f>
        <v>1.4462121690763409E-5</v>
      </c>
      <c r="AW107">
        <f>'Pretax Fuel Prices'!AW108+'Fuel Taxes'!AW108</f>
        <v>1.4559741648478868E-5</v>
      </c>
      <c r="AX107">
        <f>'Pretax Fuel Prices'!AX108+'Fuel Taxes'!AX108</f>
        <v>1.4657361606194326E-5</v>
      </c>
      <c r="AY107">
        <f>'Pretax Fuel Prices'!AY108+'Fuel Taxes'!AY108</f>
        <v>1.4754981563909786E-5</v>
      </c>
      <c r="AZ107">
        <f>'Pretax Fuel Prices'!AZ108+'Fuel Taxes'!AZ108</f>
        <v>1.4852601521625244E-5</v>
      </c>
    </row>
    <row r="108" spans="1:52" x14ac:dyDescent="0.25">
      <c r="A108" t="s">
        <v>57</v>
      </c>
      <c r="B108">
        <f>'Pretax Fuel Prices'!B109+'Fuel Taxes'!B109</f>
        <v>0</v>
      </c>
      <c r="C108">
        <f>'Pretax Fuel Prices'!C109+'Fuel Taxes'!C109</f>
        <v>0</v>
      </c>
      <c r="D108">
        <f>'Pretax Fuel Prices'!D109+'Fuel Taxes'!D109</f>
        <v>0</v>
      </c>
      <c r="E108">
        <f>'Pretax Fuel Prices'!E109+'Fuel Taxes'!E109</f>
        <v>0</v>
      </c>
      <c r="F108">
        <f>'Pretax Fuel Prices'!F109+'Fuel Taxes'!F109</f>
        <v>0</v>
      </c>
      <c r="G108">
        <f>'Pretax Fuel Prices'!G109+'Fuel Taxes'!G109</f>
        <v>0</v>
      </c>
      <c r="H108">
        <f>'Pretax Fuel Prices'!H109+'Fuel Taxes'!H109</f>
        <v>0</v>
      </c>
      <c r="I108">
        <f>'Pretax Fuel Prices'!I109+'Fuel Taxes'!I109</f>
        <v>0</v>
      </c>
      <c r="J108">
        <f>'Pretax Fuel Prices'!J109+'Fuel Taxes'!J109</f>
        <v>0</v>
      </c>
      <c r="K108">
        <f>'Pretax Fuel Prices'!K109+'Fuel Taxes'!K109</f>
        <v>0</v>
      </c>
      <c r="L108">
        <f>'Pretax Fuel Prices'!L109+'Fuel Taxes'!L109</f>
        <v>0</v>
      </c>
      <c r="M108">
        <f>'Pretax Fuel Prices'!M109+'Fuel Taxes'!M109</f>
        <v>0</v>
      </c>
      <c r="N108">
        <f>'Pretax Fuel Prices'!N109+'Fuel Taxes'!N109</f>
        <v>0</v>
      </c>
      <c r="O108">
        <f>'Pretax Fuel Prices'!O109+'Fuel Taxes'!O109</f>
        <v>0</v>
      </c>
      <c r="P108">
        <f>'Pretax Fuel Prices'!P109+'Fuel Taxes'!P109</f>
        <v>0</v>
      </c>
      <c r="Q108">
        <f>'Pretax Fuel Prices'!Q109+'Fuel Taxes'!Q109</f>
        <v>0</v>
      </c>
      <c r="R108">
        <f>'Pretax Fuel Prices'!R109+'Fuel Taxes'!R109</f>
        <v>0</v>
      </c>
      <c r="S108">
        <f>'Pretax Fuel Prices'!S109+'Fuel Taxes'!S109</f>
        <v>0</v>
      </c>
      <c r="T108">
        <f>'Pretax Fuel Prices'!T109+'Fuel Taxes'!T109</f>
        <v>0</v>
      </c>
      <c r="U108">
        <f>'Pretax Fuel Prices'!U109+'Fuel Taxes'!U109</f>
        <v>0</v>
      </c>
      <c r="V108">
        <f>'Pretax Fuel Prices'!V109+'Fuel Taxes'!V109</f>
        <v>0</v>
      </c>
      <c r="W108">
        <f>'Pretax Fuel Prices'!W109+'Fuel Taxes'!W109</f>
        <v>0</v>
      </c>
      <c r="X108">
        <f>'Pretax Fuel Prices'!X109+'Fuel Taxes'!X109</f>
        <v>0</v>
      </c>
      <c r="Y108">
        <f>'Pretax Fuel Prices'!Y109+'Fuel Taxes'!Y109</f>
        <v>0</v>
      </c>
      <c r="Z108">
        <f>'Pretax Fuel Prices'!Z109+'Fuel Taxes'!Z109</f>
        <v>0</v>
      </c>
      <c r="AA108">
        <f>'Pretax Fuel Prices'!AA109+'Fuel Taxes'!AA109</f>
        <v>0</v>
      </c>
      <c r="AB108">
        <f>'Pretax Fuel Prices'!AB109+'Fuel Taxes'!AB109</f>
        <v>0</v>
      </c>
      <c r="AC108">
        <f>'Pretax Fuel Prices'!AC109+'Fuel Taxes'!AC109</f>
        <v>0</v>
      </c>
      <c r="AD108">
        <f>'Pretax Fuel Prices'!AD109+'Fuel Taxes'!AD109</f>
        <v>0</v>
      </c>
      <c r="AE108">
        <f>'Pretax Fuel Prices'!AE109+'Fuel Taxes'!AE109</f>
        <v>0</v>
      </c>
      <c r="AF108">
        <f>'Pretax Fuel Prices'!AF109+'Fuel Taxes'!AF109</f>
        <v>0</v>
      </c>
      <c r="AG108">
        <f>'Pretax Fuel Prices'!AG109+'Fuel Taxes'!AG109</f>
        <v>0</v>
      </c>
      <c r="AH108">
        <f>'Pretax Fuel Prices'!AH109+'Fuel Taxes'!AH109</f>
        <v>0</v>
      </c>
      <c r="AI108">
        <f>'Pretax Fuel Prices'!AI109+'Fuel Taxes'!AI109</f>
        <v>0</v>
      </c>
      <c r="AJ108">
        <f>'Pretax Fuel Prices'!AJ109+'Fuel Taxes'!AJ109</f>
        <v>0</v>
      </c>
      <c r="AK108">
        <f>'Pretax Fuel Prices'!AK109+'Fuel Taxes'!AK109</f>
        <v>0</v>
      </c>
      <c r="AL108">
        <f>'Pretax Fuel Prices'!AL109+'Fuel Taxes'!AL109</f>
        <v>0</v>
      </c>
      <c r="AM108">
        <f>'Pretax Fuel Prices'!AM109+'Fuel Taxes'!AM109</f>
        <v>0</v>
      </c>
      <c r="AN108">
        <f>'Pretax Fuel Prices'!AN109+'Fuel Taxes'!AN109</f>
        <v>0</v>
      </c>
      <c r="AO108">
        <f>'Pretax Fuel Prices'!AO109+'Fuel Taxes'!AO109</f>
        <v>0</v>
      </c>
      <c r="AP108">
        <f>'Pretax Fuel Prices'!AP109+'Fuel Taxes'!AP109</f>
        <v>0</v>
      </c>
      <c r="AQ108">
        <f>'Pretax Fuel Prices'!AQ109+'Fuel Taxes'!AQ109</f>
        <v>0</v>
      </c>
      <c r="AR108">
        <f>'Pretax Fuel Prices'!AR109+'Fuel Taxes'!AR109</f>
        <v>0</v>
      </c>
      <c r="AS108">
        <f>'Pretax Fuel Prices'!AS109+'Fuel Taxes'!AS109</f>
        <v>0</v>
      </c>
      <c r="AT108">
        <f>'Pretax Fuel Prices'!AT109+'Fuel Taxes'!AT109</f>
        <v>0</v>
      </c>
      <c r="AU108">
        <f>'Pretax Fuel Prices'!AU109+'Fuel Taxes'!AU109</f>
        <v>0</v>
      </c>
      <c r="AV108">
        <f>'Pretax Fuel Prices'!AV109+'Fuel Taxes'!AV109</f>
        <v>0</v>
      </c>
      <c r="AW108">
        <f>'Pretax Fuel Prices'!AW109+'Fuel Taxes'!AW109</f>
        <v>0</v>
      </c>
      <c r="AX108">
        <f>'Pretax Fuel Prices'!AX109+'Fuel Taxes'!AX109</f>
        <v>0</v>
      </c>
      <c r="AY108">
        <f>'Pretax Fuel Prices'!AY109+'Fuel Taxes'!AY109</f>
        <v>0</v>
      </c>
      <c r="AZ108">
        <f>'Pretax Fuel Prices'!AZ109+'Fuel Taxes'!AZ109</f>
        <v>0</v>
      </c>
    </row>
    <row r="109" spans="1:52" x14ac:dyDescent="0.25">
      <c r="A109" t="s">
        <v>58</v>
      </c>
      <c r="B109">
        <f>'Pretax Fuel Prices'!B110+'Fuel Taxes'!B110</f>
        <v>0</v>
      </c>
      <c r="C109">
        <f>'Pretax Fuel Prices'!C110+'Fuel Taxes'!C110</f>
        <v>0</v>
      </c>
      <c r="D109">
        <f>'Pretax Fuel Prices'!D110+'Fuel Taxes'!D110</f>
        <v>0</v>
      </c>
      <c r="E109">
        <f>'Pretax Fuel Prices'!E110+'Fuel Taxes'!E110</f>
        <v>0</v>
      </c>
      <c r="F109">
        <f>'Pretax Fuel Prices'!F110+'Fuel Taxes'!F110</f>
        <v>0</v>
      </c>
      <c r="G109">
        <f>'Pretax Fuel Prices'!G110+'Fuel Taxes'!G110</f>
        <v>0</v>
      </c>
      <c r="H109">
        <f>'Pretax Fuel Prices'!H110+'Fuel Taxes'!H110</f>
        <v>0</v>
      </c>
      <c r="I109">
        <f>'Pretax Fuel Prices'!I110+'Fuel Taxes'!I110</f>
        <v>0</v>
      </c>
      <c r="J109">
        <f>'Pretax Fuel Prices'!J110+'Fuel Taxes'!J110</f>
        <v>0</v>
      </c>
      <c r="K109">
        <f>'Pretax Fuel Prices'!K110+'Fuel Taxes'!K110</f>
        <v>0</v>
      </c>
      <c r="L109">
        <f>'Pretax Fuel Prices'!L110+'Fuel Taxes'!L110</f>
        <v>0</v>
      </c>
      <c r="M109">
        <f>'Pretax Fuel Prices'!M110+'Fuel Taxes'!M110</f>
        <v>0</v>
      </c>
      <c r="N109">
        <f>'Pretax Fuel Prices'!N110+'Fuel Taxes'!N110</f>
        <v>0</v>
      </c>
      <c r="O109">
        <f>'Pretax Fuel Prices'!O110+'Fuel Taxes'!O110</f>
        <v>0</v>
      </c>
      <c r="P109">
        <f>'Pretax Fuel Prices'!P110+'Fuel Taxes'!P110</f>
        <v>0</v>
      </c>
      <c r="Q109">
        <f>'Pretax Fuel Prices'!Q110+'Fuel Taxes'!Q110</f>
        <v>0</v>
      </c>
      <c r="R109">
        <f>'Pretax Fuel Prices'!R110+'Fuel Taxes'!R110</f>
        <v>0</v>
      </c>
      <c r="S109">
        <f>'Pretax Fuel Prices'!S110+'Fuel Taxes'!S110</f>
        <v>0</v>
      </c>
      <c r="T109">
        <f>'Pretax Fuel Prices'!T110+'Fuel Taxes'!T110</f>
        <v>0</v>
      </c>
      <c r="U109">
        <f>'Pretax Fuel Prices'!U110+'Fuel Taxes'!U110</f>
        <v>0</v>
      </c>
      <c r="V109">
        <f>'Pretax Fuel Prices'!V110+'Fuel Taxes'!V110</f>
        <v>0</v>
      </c>
      <c r="W109">
        <f>'Pretax Fuel Prices'!W110+'Fuel Taxes'!W110</f>
        <v>0</v>
      </c>
      <c r="X109">
        <f>'Pretax Fuel Prices'!X110+'Fuel Taxes'!X110</f>
        <v>0</v>
      </c>
      <c r="Y109">
        <f>'Pretax Fuel Prices'!Y110+'Fuel Taxes'!Y110</f>
        <v>0</v>
      </c>
      <c r="Z109">
        <f>'Pretax Fuel Prices'!Z110+'Fuel Taxes'!Z110</f>
        <v>0</v>
      </c>
      <c r="AA109">
        <f>'Pretax Fuel Prices'!AA110+'Fuel Taxes'!AA110</f>
        <v>0</v>
      </c>
      <c r="AB109">
        <f>'Pretax Fuel Prices'!AB110+'Fuel Taxes'!AB110</f>
        <v>0</v>
      </c>
      <c r="AC109">
        <f>'Pretax Fuel Prices'!AC110+'Fuel Taxes'!AC110</f>
        <v>0</v>
      </c>
      <c r="AD109">
        <f>'Pretax Fuel Prices'!AD110+'Fuel Taxes'!AD110</f>
        <v>0</v>
      </c>
      <c r="AE109">
        <f>'Pretax Fuel Prices'!AE110+'Fuel Taxes'!AE110</f>
        <v>0</v>
      </c>
      <c r="AF109">
        <f>'Pretax Fuel Prices'!AF110+'Fuel Taxes'!AF110</f>
        <v>0</v>
      </c>
      <c r="AG109">
        <f>'Pretax Fuel Prices'!AG110+'Fuel Taxes'!AG110</f>
        <v>0</v>
      </c>
      <c r="AH109">
        <f>'Pretax Fuel Prices'!AH110+'Fuel Taxes'!AH110</f>
        <v>0</v>
      </c>
      <c r="AI109">
        <f>'Pretax Fuel Prices'!AI110+'Fuel Taxes'!AI110</f>
        <v>0</v>
      </c>
      <c r="AJ109">
        <f>'Pretax Fuel Prices'!AJ110+'Fuel Taxes'!AJ110</f>
        <v>0</v>
      </c>
      <c r="AK109">
        <f>'Pretax Fuel Prices'!AK110+'Fuel Taxes'!AK110</f>
        <v>0</v>
      </c>
      <c r="AL109">
        <f>'Pretax Fuel Prices'!AL110+'Fuel Taxes'!AL110</f>
        <v>0</v>
      </c>
      <c r="AM109">
        <f>'Pretax Fuel Prices'!AM110+'Fuel Taxes'!AM110</f>
        <v>0</v>
      </c>
      <c r="AN109">
        <f>'Pretax Fuel Prices'!AN110+'Fuel Taxes'!AN110</f>
        <v>0</v>
      </c>
      <c r="AO109">
        <f>'Pretax Fuel Prices'!AO110+'Fuel Taxes'!AO110</f>
        <v>0</v>
      </c>
      <c r="AP109">
        <f>'Pretax Fuel Prices'!AP110+'Fuel Taxes'!AP110</f>
        <v>0</v>
      </c>
      <c r="AQ109">
        <f>'Pretax Fuel Prices'!AQ110+'Fuel Taxes'!AQ110</f>
        <v>0</v>
      </c>
      <c r="AR109">
        <f>'Pretax Fuel Prices'!AR110+'Fuel Taxes'!AR110</f>
        <v>0</v>
      </c>
      <c r="AS109">
        <f>'Pretax Fuel Prices'!AS110+'Fuel Taxes'!AS110</f>
        <v>0</v>
      </c>
      <c r="AT109">
        <f>'Pretax Fuel Prices'!AT110+'Fuel Taxes'!AT110</f>
        <v>0</v>
      </c>
      <c r="AU109">
        <f>'Pretax Fuel Prices'!AU110+'Fuel Taxes'!AU110</f>
        <v>0</v>
      </c>
      <c r="AV109">
        <f>'Pretax Fuel Prices'!AV110+'Fuel Taxes'!AV110</f>
        <v>0</v>
      </c>
      <c r="AW109">
        <f>'Pretax Fuel Prices'!AW110+'Fuel Taxes'!AW110</f>
        <v>0</v>
      </c>
      <c r="AX109">
        <f>'Pretax Fuel Prices'!AX110+'Fuel Taxes'!AX110</f>
        <v>0</v>
      </c>
      <c r="AY109">
        <f>'Pretax Fuel Prices'!AY110+'Fuel Taxes'!AY110</f>
        <v>0</v>
      </c>
      <c r="AZ109">
        <f>'Pretax Fuel Prices'!AZ110+'Fuel Taxes'!AZ110</f>
        <v>0</v>
      </c>
    </row>
    <row r="110" spans="1:52" x14ac:dyDescent="0.25">
      <c r="A110" t="s">
        <v>59</v>
      </c>
      <c r="B110">
        <f>'Pretax Fuel Prices'!B111+'Fuel Taxes'!B111</f>
        <v>5.8032702844488082E-6</v>
      </c>
      <c r="C110">
        <f>'Pretax Fuel Prices'!C111+'Fuel Taxes'!C111</f>
        <v>1.010572034981499E-5</v>
      </c>
      <c r="D110">
        <f>'Pretax Fuel Prices'!D111+'Fuel Taxes'!D111</f>
        <v>1.4548918609468291E-5</v>
      </c>
      <c r="E110">
        <f>'Pretax Fuel Prices'!E111+'Fuel Taxes'!E111</f>
        <v>1.3814064879295553E-5</v>
      </c>
      <c r="F110">
        <f>'Pretax Fuel Prices'!F111+'Fuel Taxes'!F111</f>
        <v>1.3102705815542782E-5</v>
      </c>
      <c r="G110">
        <f>'Pretax Fuel Prices'!G111+'Fuel Taxes'!G111</f>
        <v>1.2391346751790012E-5</v>
      </c>
      <c r="H110">
        <f>'Pretax Fuel Prices'!H111+'Fuel Taxes'!H111</f>
        <v>1.1679987688037241E-5</v>
      </c>
      <c r="I110">
        <f>'Pretax Fuel Prices'!I111+'Fuel Taxes'!I111</f>
        <v>1.096862862428447E-5</v>
      </c>
      <c r="J110">
        <f>'Pretax Fuel Prices'!J111+'Fuel Taxes'!J111</f>
        <v>1.0257269560531699E-5</v>
      </c>
      <c r="K110">
        <f>'Pretax Fuel Prices'!K111+'Fuel Taxes'!K111</f>
        <v>1.0408034285260253E-5</v>
      </c>
      <c r="L110">
        <f>'Pretax Fuel Prices'!L111+'Fuel Taxes'!L111</f>
        <v>1.0568057722521E-5</v>
      </c>
      <c r="M110">
        <f>'Pretax Fuel Prices'!M111+'Fuel Taxes'!M111</f>
        <v>1.0789191951557296E-5</v>
      </c>
      <c r="N110">
        <f>'Pretax Fuel Prices'!N111+'Fuel Taxes'!N111</f>
        <v>1.0962604245994599E-5</v>
      </c>
      <c r="O110">
        <f>'Pretax Fuel Prices'!O111+'Fuel Taxes'!O111</f>
        <v>1.1079859048003297E-5</v>
      </c>
      <c r="P110">
        <f>'Pretax Fuel Prices'!P111+'Fuel Taxes'!P111</f>
        <v>1.1139624583353451E-5</v>
      </c>
      <c r="Q110">
        <f>'Pretax Fuel Prices'!Q111+'Fuel Taxes'!Q111</f>
        <v>1.1245470781201217E-5</v>
      </c>
      <c r="R110">
        <f>'Pretax Fuel Prices'!R111+'Fuel Taxes'!R111</f>
        <v>1.1425356603639763E-5</v>
      </c>
      <c r="S110">
        <f>'Pretax Fuel Prices'!S111+'Fuel Taxes'!S111</f>
        <v>1.1557046984922532E-5</v>
      </c>
      <c r="T110">
        <f>'Pretax Fuel Prices'!T111+'Fuel Taxes'!T111</f>
        <v>1.1709809000606015E-5</v>
      </c>
      <c r="U110">
        <f>'Pretax Fuel Prices'!U111+'Fuel Taxes'!U111</f>
        <v>1.1748037247266352E-5</v>
      </c>
      <c r="V110">
        <f>'Pretax Fuel Prices'!V111+'Fuel Taxes'!V111</f>
        <v>1.1971575603617068E-5</v>
      </c>
      <c r="W110">
        <f>'Pretax Fuel Prices'!W111+'Fuel Taxes'!W111</f>
        <v>1.2108322993442573E-5</v>
      </c>
      <c r="X110">
        <f>'Pretax Fuel Prices'!X111+'Fuel Taxes'!X111</f>
        <v>1.2166028123384359E-5</v>
      </c>
      <c r="Y110">
        <f>'Pretax Fuel Prices'!Y111+'Fuel Taxes'!Y111</f>
        <v>1.2377163304386512E-5</v>
      </c>
      <c r="Z110">
        <f>'Pretax Fuel Prices'!Z111+'Fuel Taxes'!Z111</f>
        <v>1.2631320319234431E-5</v>
      </c>
      <c r="AA110">
        <f>'Pretax Fuel Prices'!AA111+'Fuel Taxes'!AA111</f>
        <v>1.2700802369138198E-5</v>
      </c>
      <c r="AB110">
        <f>'Pretax Fuel Prices'!AB111+'Fuel Taxes'!AB111</f>
        <v>1.2885034347660337E-5</v>
      </c>
      <c r="AC110">
        <f>'Pretax Fuel Prices'!AC111+'Fuel Taxes'!AC111</f>
        <v>1.2877523135077211E-5</v>
      </c>
      <c r="AD110">
        <f>'Pretax Fuel Prices'!AD111+'Fuel Taxes'!AD111</f>
        <v>1.2895332818958327E-5</v>
      </c>
      <c r="AE110">
        <f>'Pretax Fuel Prices'!AE111+'Fuel Taxes'!AE111</f>
        <v>1.2940666330778267E-5</v>
      </c>
      <c r="AF110">
        <f>'Pretax Fuel Prices'!AF111+'Fuel Taxes'!AF111</f>
        <v>1.2899894838325157E-5</v>
      </c>
      <c r="AG110">
        <f>'Pretax Fuel Prices'!AG111+'Fuel Taxes'!AG111</f>
        <v>1.2997822325031527E-5</v>
      </c>
      <c r="AH110">
        <f>'Pretax Fuel Prices'!AH111+'Fuel Taxes'!AH111</f>
        <v>1.3095442282746987E-5</v>
      </c>
      <c r="AI110">
        <f>'Pretax Fuel Prices'!AI111+'Fuel Taxes'!AI111</f>
        <v>1.3193062240462445E-5</v>
      </c>
      <c r="AJ110">
        <f>'Pretax Fuel Prices'!AJ111+'Fuel Taxes'!AJ111</f>
        <v>1.3290682198177904E-5</v>
      </c>
      <c r="AK110">
        <f>'Pretax Fuel Prices'!AK111+'Fuel Taxes'!AK111</f>
        <v>1.3388302155893362E-5</v>
      </c>
      <c r="AL110">
        <f>'Pretax Fuel Prices'!AL111+'Fuel Taxes'!AL111</f>
        <v>1.3485922113608822E-5</v>
      </c>
      <c r="AM110">
        <f>'Pretax Fuel Prices'!AM111+'Fuel Taxes'!AM111</f>
        <v>1.358354207132428E-5</v>
      </c>
      <c r="AN110">
        <f>'Pretax Fuel Prices'!AN111+'Fuel Taxes'!AN111</f>
        <v>1.3681162029039738E-5</v>
      </c>
      <c r="AO110">
        <f>'Pretax Fuel Prices'!AO111+'Fuel Taxes'!AO111</f>
        <v>1.3778781986755198E-5</v>
      </c>
      <c r="AP110">
        <f>'Pretax Fuel Prices'!AP111+'Fuel Taxes'!AP111</f>
        <v>1.3876401944470656E-5</v>
      </c>
      <c r="AQ110">
        <f>'Pretax Fuel Prices'!AQ111+'Fuel Taxes'!AQ111</f>
        <v>1.3974021902186115E-5</v>
      </c>
      <c r="AR110">
        <f>'Pretax Fuel Prices'!AR111+'Fuel Taxes'!AR111</f>
        <v>1.4071641859901575E-5</v>
      </c>
      <c r="AS110">
        <f>'Pretax Fuel Prices'!AS111+'Fuel Taxes'!AS111</f>
        <v>1.4169261817617033E-5</v>
      </c>
      <c r="AT110">
        <f>'Pretax Fuel Prices'!AT111+'Fuel Taxes'!AT111</f>
        <v>1.4266881775332491E-5</v>
      </c>
      <c r="AU110">
        <f>'Pretax Fuel Prices'!AU111+'Fuel Taxes'!AU111</f>
        <v>1.4364501733047951E-5</v>
      </c>
      <c r="AV110">
        <f>'Pretax Fuel Prices'!AV111+'Fuel Taxes'!AV111</f>
        <v>1.4462121690763409E-5</v>
      </c>
      <c r="AW110">
        <f>'Pretax Fuel Prices'!AW111+'Fuel Taxes'!AW111</f>
        <v>1.4559741648478868E-5</v>
      </c>
      <c r="AX110">
        <f>'Pretax Fuel Prices'!AX111+'Fuel Taxes'!AX111</f>
        <v>1.4657361606194326E-5</v>
      </c>
      <c r="AY110">
        <f>'Pretax Fuel Prices'!AY111+'Fuel Taxes'!AY111</f>
        <v>1.4754981563909786E-5</v>
      </c>
      <c r="AZ110">
        <f>'Pretax Fuel Prices'!AZ111+'Fuel Taxes'!AZ111</f>
        <v>1.4852601521625244E-5</v>
      </c>
    </row>
    <row r="111" spans="1:52" s="3" customFormat="1" x14ac:dyDescent="0.25">
      <c r="A111" s="5" t="s">
        <v>47</v>
      </c>
    </row>
    <row r="112" spans="1:52" x14ac:dyDescent="0.25">
      <c r="A112" t="s">
        <v>30</v>
      </c>
      <c r="B112">
        <f>'Fuel Taxes'!B$1</f>
        <v>2020</v>
      </c>
      <c r="C112">
        <f>'Fuel Taxes'!C$1</f>
        <v>2021</v>
      </c>
      <c r="D112">
        <f>'Fuel Taxes'!D$1</f>
        <v>2022</v>
      </c>
      <c r="E112">
        <f>'Fuel Taxes'!E$1</f>
        <v>2023</v>
      </c>
      <c r="F112">
        <f>'Fuel Taxes'!F$1</f>
        <v>2024</v>
      </c>
      <c r="G112">
        <f>'Fuel Taxes'!G$1</f>
        <v>2025</v>
      </c>
      <c r="H112">
        <f>'Fuel Taxes'!H$1</f>
        <v>2026</v>
      </c>
      <c r="I112">
        <f>'Fuel Taxes'!I$1</f>
        <v>2027</v>
      </c>
      <c r="J112">
        <f>'Fuel Taxes'!J$1</f>
        <v>2028</v>
      </c>
      <c r="K112">
        <f>'Fuel Taxes'!K$1</f>
        <v>2029</v>
      </c>
      <c r="L112">
        <f>'Fuel Taxes'!L$1</f>
        <v>2030</v>
      </c>
      <c r="M112">
        <f>'Fuel Taxes'!M$1</f>
        <v>2031</v>
      </c>
      <c r="N112">
        <f>'Fuel Taxes'!N$1</f>
        <v>2032</v>
      </c>
      <c r="O112">
        <f>'Fuel Taxes'!O$1</f>
        <v>2033</v>
      </c>
      <c r="P112">
        <f>'Fuel Taxes'!P$1</f>
        <v>2034</v>
      </c>
      <c r="Q112">
        <f>'Fuel Taxes'!Q$1</f>
        <v>2035</v>
      </c>
      <c r="R112">
        <f>'Fuel Taxes'!R$1</f>
        <v>2036</v>
      </c>
      <c r="S112">
        <f>'Fuel Taxes'!S$1</f>
        <v>2037</v>
      </c>
      <c r="T112">
        <f>'Fuel Taxes'!T$1</f>
        <v>2038</v>
      </c>
      <c r="U112">
        <f>'Fuel Taxes'!U$1</f>
        <v>2039</v>
      </c>
      <c r="V112">
        <f>'Fuel Taxes'!V$1</f>
        <v>2040</v>
      </c>
      <c r="W112">
        <f>'Fuel Taxes'!W$1</f>
        <v>2041</v>
      </c>
      <c r="X112">
        <f>'Fuel Taxes'!X$1</f>
        <v>2042</v>
      </c>
      <c r="Y112">
        <f>'Fuel Taxes'!Y$1</f>
        <v>2043</v>
      </c>
      <c r="Z112">
        <f>'Fuel Taxes'!Z$1</f>
        <v>2044</v>
      </c>
      <c r="AA112">
        <f>'Fuel Taxes'!AA$1</f>
        <v>2045</v>
      </c>
      <c r="AB112">
        <f>'Fuel Taxes'!AB$1</f>
        <v>2046</v>
      </c>
      <c r="AC112">
        <f>'Fuel Taxes'!AC$1</f>
        <v>2047</v>
      </c>
      <c r="AD112">
        <f>'Fuel Taxes'!AD$1</f>
        <v>2048</v>
      </c>
      <c r="AE112">
        <f>'Fuel Taxes'!AE$1</f>
        <v>2049</v>
      </c>
      <c r="AF112">
        <f>'Fuel Taxes'!AF$1</f>
        <v>2050</v>
      </c>
      <c r="AG112">
        <f>'Fuel Taxes'!AG$1</f>
        <v>2051</v>
      </c>
      <c r="AH112">
        <f>'Fuel Taxes'!AH$1</f>
        <v>2052</v>
      </c>
      <c r="AI112">
        <f>'Fuel Taxes'!AI$1</f>
        <v>2053</v>
      </c>
      <c r="AJ112">
        <f>'Fuel Taxes'!AJ$1</f>
        <v>2054</v>
      </c>
      <c r="AK112">
        <f>'Fuel Taxes'!AK$1</f>
        <v>2055</v>
      </c>
      <c r="AL112">
        <f>'Fuel Taxes'!AL$1</f>
        <v>2056</v>
      </c>
      <c r="AM112">
        <f>'Fuel Taxes'!AM$1</f>
        <v>2057</v>
      </c>
      <c r="AN112">
        <f>'Fuel Taxes'!AN$1</f>
        <v>2058</v>
      </c>
      <c r="AO112">
        <f>'Fuel Taxes'!AO$1</f>
        <v>2059</v>
      </c>
      <c r="AP112">
        <f>'Fuel Taxes'!AP$1</f>
        <v>2060</v>
      </c>
      <c r="AQ112">
        <f>'Fuel Taxes'!AQ$1</f>
        <v>2061</v>
      </c>
      <c r="AR112">
        <f>'Fuel Taxes'!AR$1</f>
        <v>2062</v>
      </c>
      <c r="AS112">
        <f>'Fuel Taxes'!AS$1</f>
        <v>2063</v>
      </c>
      <c r="AT112">
        <f>'Fuel Taxes'!AT$1</f>
        <v>2064</v>
      </c>
      <c r="AU112">
        <f>'Fuel Taxes'!AU$1</f>
        <v>2065</v>
      </c>
      <c r="AV112">
        <f>'Fuel Taxes'!AV$1</f>
        <v>2066</v>
      </c>
      <c r="AW112">
        <f>'Fuel Taxes'!AW$1</f>
        <v>2067</v>
      </c>
      <c r="AX112">
        <f>'Fuel Taxes'!AX$1</f>
        <v>2068</v>
      </c>
      <c r="AY112">
        <f>'Fuel Taxes'!AY$1</f>
        <v>2069</v>
      </c>
      <c r="AZ112">
        <f>'Fuel Taxes'!AZ$1</f>
        <v>2070</v>
      </c>
    </row>
    <row r="113" spans="1:52" x14ac:dyDescent="0.25">
      <c r="A113" t="s">
        <v>52</v>
      </c>
      <c r="B113">
        <f>'Pretax Fuel Prices'!B114+'Fuel Taxes'!B114</f>
        <v>1.4927235207542256E-5</v>
      </c>
      <c r="C113">
        <f>'Pretax Fuel Prices'!C114+'Fuel Taxes'!C114</f>
        <v>1.835315804206015E-5</v>
      </c>
      <c r="D113">
        <f>'Pretax Fuel Prices'!D114+'Fuel Taxes'!D114</f>
        <v>2.6795610741407819E-5</v>
      </c>
      <c r="E113">
        <f>'Pretax Fuel Prices'!E114+'Fuel Taxes'!E114</f>
        <v>2.3369687906889925E-5</v>
      </c>
      <c r="F113">
        <f>'Pretax Fuel Prices'!F114+'Fuel Taxes'!F114</f>
        <v>2.117401763410256E-5</v>
      </c>
      <c r="G113">
        <f>'Pretax Fuel Prices'!G114+'Fuel Taxes'!G114</f>
        <v>1.8978347361315195E-5</v>
      </c>
      <c r="H113">
        <f>'Pretax Fuel Prices'!H114+'Fuel Taxes'!H114</f>
        <v>1.678267708852783E-5</v>
      </c>
      <c r="I113">
        <f>'Pretax Fuel Prices'!I114+'Fuel Taxes'!I114</f>
        <v>1.4587006815740463E-5</v>
      </c>
      <c r="J113">
        <f>'Pretax Fuel Prices'!J114+'Fuel Taxes'!J114</f>
        <v>1.2391336542953093E-5</v>
      </c>
      <c r="K113">
        <f>'Pretax Fuel Prices'!K114+'Fuel Taxes'!K114</f>
        <v>1.2477675986456064E-5</v>
      </c>
      <c r="L113">
        <f>'Pretax Fuel Prices'!L114+'Fuel Taxes'!L114</f>
        <v>1.2579748173037605E-5</v>
      </c>
      <c r="M113">
        <f>'Pretax Fuel Prices'!M114+'Fuel Taxes'!M114</f>
        <v>1.2772463260796397E-5</v>
      </c>
      <c r="N113">
        <f>'Pretax Fuel Prices'!N114+'Fuel Taxes'!N114</f>
        <v>1.2863922115850461E-5</v>
      </c>
      <c r="O113">
        <f>'Pretax Fuel Prices'!O114+'Fuel Taxes'!O114</f>
        <v>1.2974373292969698E-5</v>
      </c>
      <c r="P113">
        <f>'Pretax Fuel Prices'!P114+'Fuel Taxes'!P114</f>
        <v>1.2986282999815475E-5</v>
      </c>
      <c r="Q113">
        <f>'Pretax Fuel Prices'!Q114+'Fuel Taxes'!Q114</f>
        <v>1.3015132858124513E-5</v>
      </c>
      <c r="R113">
        <f>'Pretax Fuel Prices'!R114+'Fuel Taxes'!R114</f>
        <v>1.3002682571244048E-5</v>
      </c>
      <c r="S113">
        <f>'Pretax Fuel Prices'!S114+'Fuel Taxes'!S114</f>
        <v>1.3031510399645716E-5</v>
      </c>
      <c r="T113">
        <f>'Pretax Fuel Prices'!T114+'Fuel Taxes'!T114</f>
        <v>1.3191422955330845E-5</v>
      </c>
      <c r="U113">
        <f>'Pretax Fuel Prices'!U114+'Fuel Taxes'!U114</f>
        <v>1.3147735107104103E-5</v>
      </c>
      <c r="V113">
        <f>'Pretax Fuel Prices'!V114+'Fuel Taxes'!V114</f>
        <v>1.3424564617721518E-5</v>
      </c>
      <c r="W113">
        <f>'Pretax Fuel Prices'!W114+'Fuel Taxes'!W114</f>
        <v>1.3535538581488725E-5</v>
      </c>
      <c r="X113">
        <f>'Pretax Fuel Prices'!X114+'Fuel Taxes'!X114</f>
        <v>1.360756621093848E-5</v>
      </c>
      <c r="Y113">
        <f>'Pretax Fuel Prices'!Y114+'Fuel Taxes'!Y114</f>
        <v>1.3866842969206922E-5</v>
      </c>
      <c r="Z113">
        <f>'Pretax Fuel Prices'!Z114+'Fuel Taxes'!Z114</f>
        <v>1.4050525794944086E-5</v>
      </c>
      <c r="AA113">
        <f>'Pretax Fuel Prices'!AA114+'Fuel Taxes'!AA114</f>
        <v>1.413115017209285E-5</v>
      </c>
      <c r="AB113">
        <f>'Pretax Fuel Prices'!AB114+'Fuel Taxes'!AB114</f>
        <v>1.4257588283529538E-5</v>
      </c>
      <c r="AC113">
        <f>'Pretax Fuel Prices'!AC114+'Fuel Taxes'!AC114</f>
        <v>1.4303693490438054E-5</v>
      </c>
      <c r="AD113">
        <f>'Pretax Fuel Prices'!AD114+'Fuel Taxes'!AD114</f>
        <v>1.427933264940768E-5</v>
      </c>
      <c r="AE113">
        <f>'Pretax Fuel Prices'!AE114+'Fuel Taxes'!AE114</f>
        <v>1.4307708017404141E-5</v>
      </c>
      <c r="AF113">
        <f>'Pretax Fuel Prices'!AF114+'Fuel Taxes'!AF114</f>
        <v>1.4275271520714466E-5</v>
      </c>
      <c r="AG113">
        <f>'Pretax Fuel Prices'!AG114+'Fuel Taxes'!AG114</f>
        <v>1.4553254224291295E-5</v>
      </c>
      <c r="AH113">
        <f>'Pretax Fuel Prices'!AH114+'Fuel Taxes'!AH114</f>
        <v>1.4647116840562957E-5</v>
      </c>
      <c r="AI113">
        <f>'Pretax Fuel Prices'!AI114+'Fuel Taxes'!AI114</f>
        <v>1.4740979456834617E-5</v>
      </c>
      <c r="AJ113">
        <f>'Pretax Fuel Prices'!AJ114+'Fuel Taxes'!AJ114</f>
        <v>1.4834842073106279E-5</v>
      </c>
      <c r="AK113">
        <f>'Pretax Fuel Prices'!AK114+'Fuel Taxes'!AK114</f>
        <v>1.4928704689377941E-5</v>
      </c>
      <c r="AL113">
        <f>'Pretax Fuel Prices'!AL114+'Fuel Taxes'!AL114</f>
        <v>1.5022567305649603E-5</v>
      </c>
      <c r="AM113">
        <f>'Pretax Fuel Prices'!AM114+'Fuel Taxes'!AM114</f>
        <v>1.5116429921921264E-5</v>
      </c>
      <c r="AN113">
        <f>'Pretax Fuel Prices'!AN114+'Fuel Taxes'!AN114</f>
        <v>1.5210292538192926E-5</v>
      </c>
      <c r="AO113">
        <f>'Pretax Fuel Prices'!AO114+'Fuel Taxes'!AO114</f>
        <v>1.5304155154464588E-5</v>
      </c>
      <c r="AP113">
        <f>'Pretax Fuel Prices'!AP114+'Fuel Taxes'!AP114</f>
        <v>1.5398017770736248E-5</v>
      </c>
      <c r="AQ113">
        <f>'Pretax Fuel Prices'!AQ114+'Fuel Taxes'!AQ114</f>
        <v>1.5491880387007912E-5</v>
      </c>
      <c r="AR113">
        <f>'Pretax Fuel Prices'!AR114+'Fuel Taxes'!AR114</f>
        <v>1.5585743003279572E-5</v>
      </c>
      <c r="AS113">
        <f>'Pretax Fuel Prices'!AS114+'Fuel Taxes'!AS114</f>
        <v>1.5679605619551236E-5</v>
      </c>
      <c r="AT113">
        <f>'Pretax Fuel Prices'!AT114+'Fuel Taxes'!AT114</f>
        <v>1.5773468235822897E-5</v>
      </c>
      <c r="AU113">
        <f>'Pretax Fuel Prices'!AU114+'Fuel Taxes'!AU114</f>
        <v>1.5867330852094557E-5</v>
      </c>
      <c r="AV113">
        <f>'Pretax Fuel Prices'!AV114+'Fuel Taxes'!AV114</f>
        <v>1.5961193468366221E-5</v>
      </c>
      <c r="AW113">
        <f>'Pretax Fuel Prices'!AW114+'Fuel Taxes'!AW114</f>
        <v>1.6055056084637881E-5</v>
      </c>
      <c r="AX113">
        <f>'Pretax Fuel Prices'!AX114+'Fuel Taxes'!AX114</f>
        <v>1.6148918700909542E-5</v>
      </c>
      <c r="AY113">
        <f>'Pretax Fuel Prices'!AY114+'Fuel Taxes'!AY114</f>
        <v>1.6242781317181205E-5</v>
      </c>
      <c r="AZ113">
        <f>'Pretax Fuel Prices'!AZ114+'Fuel Taxes'!AZ114</f>
        <v>1.6336643933452866E-5</v>
      </c>
    </row>
    <row r="114" spans="1:52" x14ac:dyDescent="0.25">
      <c r="A114" t="s">
        <v>53</v>
      </c>
      <c r="B114">
        <f>'Pretax Fuel Prices'!B115+'Fuel Taxes'!B115</f>
        <v>1.3440227052039288E-5</v>
      </c>
      <c r="C114">
        <f>'Pretax Fuel Prices'!C115+'Fuel Taxes'!C115</f>
        <v>1.9314501239121262E-5</v>
      </c>
      <c r="D114">
        <f>'Pretax Fuel Prices'!D115+'Fuel Taxes'!D115</f>
        <v>3.4260821340317909E-5</v>
      </c>
      <c r="E114">
        <f>'Pretax Fuel Prices'!E115+'Fuel Taxes'!E115</f>
        <v>2.3289665132092304E-5</v>
      </c>
      <c r="F114">
        <f>'Pretax Fuel Prices'!F115+'Fuel Taxes'!F115</f>
        <v>2.1121113671993361E-5</v>
      </c>
      <c r="G114">
        <f>'Pretax Fuel Prices'!G115+'Fuel Taxes'!G115</f>
        <v>1.8952562211894418E-5</v>
      </c>
      <c r="H114">
        <f>'Pretax Fuel Prices'!H115+'Fuel Taxes'!H115</f>
        <v>1.6784010751795474E-5</v>
      </c>
      <c r="I114">
        <f>'Pretax Fuel Prices'!I115+'Fuel Taxes'!I115</f>
        <v>1.4615459291696531E-5</v>
      </c>
      <c r="J114">
        <f>'Pretax Fuel Prices'!J115+'Fuel Taxes'!J115</f>
        <v>1.2446907831597591E-5</v>
      </c>
      <c r="K114">
        <f>'Pretax Fuel Prices'!K115+'Fuel Taxes'!K115</f>
        <v>1.2529524220755063E-5</v>
      </c>
      <c r="L114">
        <f>'Pretax Fuel Prices'!L115+'Fuel Taxes'!L115</f>
        <v>1.2607007641495365E-5</v>
      </c>
      <c r="M114">
        <f>'Pretax Fuel Prices'!M115+'Fuel Taxes'!M115</f>
        <v>1.28450789193121E-5</v>
      </c>
      <c r="N114">
        <f>'Pretax Fuel Prices'!N115+'Fuel Taxes'!N115</f>
        <v>1.2923944293087793E-5</v>
      </c>
      <c r="O114">
        <f>'Pretax Fuel Prices'!O115+'Fuel Taxes'!O115</f>
        <v>1.3038766712211682E-5</v>
      </c>
      <c r="P114">
        <f>'Pretax Fuel Prices'!P115+'Fuel Taxes'!P115</f>
        <v>1.3061193157914159E-5</v>
      </c>
      <c r="Q114">
        <f>'Pretax Fuel Prices'!Q115+'Fuel Taxes'!Q115</f>
        <v>1.3094616763914823E-5</v>
      </c>
      <c r="R114">
        <f>'Pretax Fuel Prices'!R115+'Fuel Taxes'!R115</f>
        <v>1.3079316993246483E-5</v>
      </c>
      <c r="S114">
        <f>'Pretax Fuel Prices'!S115+'Fuel Taxes'!S115</f>
        <v>1.3118923377480901E-5</v>
      </c>
      <c r="T114">
        <f>'Pretax Fuel Prices'!T115+'Fuel Taxes'!T115</f>
        <v>1.3262904920921133E-5</v>
      </c>
      <c r="U114">
        <f>'Pretax Fuel Prices'!U115+'Fuel Taxes'!U115</f>
        <v>1.3248684615713915E-5</v>
      </c>
      <c r="V114">
        <f>'Pretax Fuel Prices'!V115+'Fuel Taxes'!V115</f>
        <v>1.3432568252529797E-5</v>
      </c>
      <c r="W114">
        <f>'Pretax Fuel Prices'!W115+'Fuel Taxes'!W115</f>
        <v>1.3464638713835477E-5</v>
      </c>
      <c r="X114">
        <f>'Pretax Fuel Prices'!X115+'Fuel Taxes'!X115</f>
        <v>1.3417280344119274E-5</v>
      </c>
      <c r="Y114">
        <f>'Pretax Fuel Prices'!Y115+'Fuel Taxes'!Y115</f>
        <v>1.3534054104653649E-5</v>
      </c>
      <c r="Z114">
        <f>'Pretax Fuel Prices'!Z115+'Fuel Taxes'!Z115</f>
        <v>1.3544019248521975E-5</v>
      </c>
      <c r="AA114">
        <f>'Pretax Fuel Prices'!AA115+'Fuel Taxes'!AA115</f>
        <v>1.3389006652618371E-5</v>
      </c>
      <c r="AB114">
        <f>'Pretax Fuel Prices'!AB115+'Fuel Taxes'!AB115</f>
        <v>1.3578085111052882E-5</v>
      </c>
      <c r="AC114">
        <f>'Pretax Fuel Prices'!AC115+'Fuel Taxes'!AC115</f>
        <v>1.3650717715651176E-5</v>
      </c>
      <c r="AD114">
        <f>'Pretax Fuel Prices'!AD115+'Fuel Taxes'!AD115</f>
        <v>1.368319403563494E-5</v>
      </c>
      <c r="AE114">
        <f>'Pretax Fuel Prices'!AE115+'Fuel Taxes'!AE115</f>
        <v>1.37311692427575E-5</v>
      </c>
      <c r="AF114">
        <f>'Pretax Fuel Prices'!AF115+'Fuel Taxes'!AF115</f>
        <v>1.3726539572993318E-5</v>
      </c>
      <c r="AG114">
        <f>'Pretax Fuel Prices'!AG115+'Fuel Taxes'!AG115</f>
        <v>1.3760923370483187E-5</v>
      </c>
      <c r="AH114">
        <f>'Pretax Fuel Prices'!AH115+'Fuel Taxes'!AH115</f>
        <v>1.3795203551896969E-5</v>
      </c>
      <c r="AI114">
        <f>'Pretax Fuel Prices'!AI115+'Fuel Taxes'!AI115</f>
        <v>1.382948373331075E-5</v>
      </c>
      <c r="AJ114">
        <f>'Pretax Fuel Prices'!AJ115+'Fuel Taxes'!AJ115</f>
        <v>1.3863763914724532E-5</v>
      </c>
      <c r="AK114">
        <f>'Pretax Fuel Prices'!AK115+'Fuel Taxes'!AK115</f>
        <v>1.3898044096138312E-5</v>
      </c>
      <c r="AL114">
        <f>'Pretax Fuel Prices'!AL115+'Fuel Taxes'!AL115</f>
        <v>1.3932324277552095E-5</v>
      </c>
      <c r="AM114">
        <f>'Pretax Fuel Prices'!AM115+'Fuel Taxes'!AM115</f>
        <v>1.3966604458965875E-5</v>
      </c>
      <c r="AN114">
        <f>'Pretax Fuel Prices'!AN115+'Fuel Taxes'!AN115</f>
        <v>1.4000884640379657E-5</v>
      </c>
      <c r="AO114">
        <f>'Pretax Fuel Prices'!AO115+'Fuel Taxes'!AO115</f>
        <v>1.4035164821793438E-5</v>
      </c>
      <c r="AP114">
        <f>'Pretax Fuel Prices'!AP115+'Fuel Taxes'!AP115</f>
        <v>1.406944500320722E-5</v>
      </c>
      <c r="AQ114">
        <f>'Pretax Fuel Prices'!AQ115+'Fuel Taxes'!AQ115</f>
        <v>1.4103725184621001E-5</v>
      </c>
      <c r="AR114">
        <f>'Pretax Fuel Prices'!AR115+'Fuel Taxes'!AR115</f>
        <v>1.4138005366034781E-5</v>
      </c>
      <c r="AS114">
        <f>'Pretax Fuel Prices'!AS115+'Fuel Taxes'!AS115</f>
        <v>1.4172285547448563E-5</v>
      </c>
      <c r="AT114">
        <f>'Pretax Fuel Prices'!AT115+'Fuel Taxes'!AT115</f>
        <v>1.4206565728862344E-5</v>
      </c>
      <c r="AU114">
        <f>'Pretax Fuel Prices'!AU115+'Fuel Taxes'!AU115</f>
        <v>1.4240845910276126E-5</v>
      </c>
      <c r="AV114">
        <f>'Pretax Fuel Prices'!AV115+'Fuel Taxes'!AV115</f>
        <v>1.4275126091689906E-5</v>
      </c>
      <c r="AW114">
        <f>'Pretax Fuel Prices'!AW115+'Fuel Taxes'!AW115</f>
        <v>1.4309406273103689E-5</v>
      </c>
      <c r="AX114">
        <f>'Pretax Fuel Prices'!AX115+'Fuel Taxes'!AX115</f>
        <v>1.4343686454517469E-5</v>
      </c>
      <c r="AY114">
        <f>'Pretax Fuel Prices'!AY115+'Fuel Taxes'!AY115</f>
        <v>1.4377966635931251E-5</v>
      </c>
      <c r="AZ114">
        <f>'Pretax Fuel Prices'!AZ115+'Fuel Taxes'!AZ115</f>
        <v>1.4412246817345032E-5</v>
      </c>
    </row>
    <row r="115" spans="1:52" x14ac:dyDescent="0.25">
      <c r="A115" t="s">
        <v>54</v>
      </c>
      <c r="B115">
        <f>'Pretax Fuel Prices'!B116+'Fuel Taxes'!B116</f>
        <v>8.5051560296238753E-6</v>
      </c>
      <c r="C115">
        <f>'Pretax Fuel Prices'!C116+'Fuel Taxes'!C116</f>
        <v>9.6681985880672616E-6</v>
      </c>
      <c r="D115">
        <f>'Pretax Fuel Prices'!D116+'Fuel Taxes'!D116</f>
        <v>1.9380993332185943E-5</v>
      </c>
      <c r="E115">
        <f>'Pretax Fuel Prices'!E116+'Fuel Taxes'!E116</f>
        <v>1.3941376221413941E-5</v>
      </c>
      <c r="F115">
        <f>'Pretax Fuel Prices'!F116+'Fuel Taxes'!F116</f>
        <v>1.3034456083278697E-5</v>
      </c>
      <c r="G115">
        <f>'Pretax Fuel Prices'!G116+'Fuel Taxes'!G116</f>
        <v>1.2127535945143453E-5</v>
      </c>
      <c r="H115">
        <f>'Pretax Fuel Prices'!H116+'Fuel Taxes'!H116</f>
        <v>1.1220615807008209E-5</v>
      </c>
      <c r="I115">
        <f>'Pretax Fuel Prices'!I116+'Fuel Taxes'!I116</f>
        <v>1.0313695668872966E-5</v>
      </c>
      <c r="J115">
        <f>'Pretax Fuel Prices'!J116+'Fuel Taxes'!J116</f>
        <v>9.4067755307377185E-6</v>
      </c>
      <c r="K115">
        <f>'Pretax Fuel Prices'!K116+'Fuel Taxes'!K116</f>
        <v>9.4895249466435392E-6</v>
      </c>
      <c r="L115">
        <f>'Pretax Fuel Prices'!L116+'Fuel Taxes'!L116</f>
        <v>9.620852850212199E-6</v>
      </c>
      <c r="M115">
        <f>'Pretax Fuel Prices'!M116+'Fuel Taxes'!M116</f>
        <v>9.7740496733660521E-6</v>
      </c>
      <c r="N115">
        <f>'Pretax Fuel Prices'!N116+'Fuel Taxes'!N116</f>
        <v>9.8933348433405903E-6</v>
      </c>
      <c r="O115">
        <f>'Pretax Fuel Prices'!O116+'Fuel Taxes'!O116</f>
        <v>9.9951545332915061E-6</v>
      </c>
      <c r="P115">
        <f>'Pretax Fuel Prices'!P116+'Fuel Taxes'!P116</f>
        <v>1.0004276609550872E-5</v>
      </c>
      <c r="Q115">
        <f>'Pretax Fuel Prices'!Q116+'Fuel Taxes'!Q116</f>
        <v>1.0019889035443037E-5</v>
      </c>
      <c r="R115">
        <f>'Pretax Fuel Prices'!R116+'Fuel Taxes'!R116</f>
        <v>9.9776890532678871E-6</v>
      </c>
      <c r="S115">
        <f>'Pretax Fuel Prices'!S116+'Fuel Taxes'!S116</f>
        <v>9.959061919282575E-6</v>
      </c>
      <c r="T115">
        <f>'Pretax Fuel Prices'!T116+'Fuel Taxes'!T116</f>
        <v>1.0128836247732221E-5</v>
      </c>
      <c r="U115">
        <f>'Pretax Fuel Prices'!U116+'Fuel Taxes'!U116</f>
        <v>9.9825957914824492E-6</v>
      </c>
      <c r="V115">
        <f>'Pretax Fuel Prices'!V116+'Fuel Taxes'!V116</f>
        <v>1.0427620255651916E-5</v>
      </c>
      <c r="W115">
        <f>'Pretax Fuel Prices'!W116+'Fuel Taxes'!W116</f>
        <v>1.0573672610384912E-5</v>
      </c>
      <c r="X115">
        <f>'Pretax Fuel Prices'!X116+'Fuel Taxes'!X116</f>
        <v>1.0693172995608367E-5</v>
      </c>
      <c r="Y115">
        <f>'Pretax Fuel Prices'!Y116+'Fuel Taxes'!Y116</f>
        <v>1.100867092478872E-5</v>
      </c>
      <c r="Z115">
        <f>'Pretax Fuel Prices'!Z116+'Fuel Taxes'!Z116</f>
        <v>1.1241573647414841E-5</v>
      </c>
      <c r="AA115">
        <f>'Pretax Fuel Prices'!AA116+'Fuel Taxes'!AA116</f>
        <v>1.1319719659984498E-5</v>
      </c>
      <c r="AB115">
        <f>'Pretax Fuel Prices'!AB116+'Fuel Taxes'!AB116</f>
        <v>1.1444550435487321E-5</v>
      </c>
      <c r="AC115">
        <f>'Pretax Fuel Prices'!AC116+'Fuel Taxes'!AC116</f>
        <v>1.1542895331202714E-5</v>
      </c>
      <c r="AD115">
        <f>'Pretax Fuel Prices'!AD116+'Fuel Taxes'!AD116</f>
        <v>1.1463989286828799E-5</v>
      </c>
      <c r="AE115">
        <f>'Pretax Fuel Prices'!AE116+'Fuel Taxes'!AE116</f>
        <v>1.1512050071668448E-5</v>
      </c>
      <c r="AF115">
        <f>'Pretax Fuel Prices'!AF116+'Fuel Taxes'!AF116</f>
        <v>1.1440579121031846E-5</v>
      </c>
      <c r="AG115">
        <f>'Pretax Fuel Prices'!AG116+'Fuel Taxes'!AG116</f>
        <v>1.1429856600786197E-5</v>
      </c>
      <c r="AH115">
        <f>'Pretax Fuel Prices'!AH116+'Fuel Taxes'!AH116</f>
        <v>1.1410146334624564E-5</v>
      </c>
      <c r="AI115">
        <f>'Pretax Fuel Prices'!AI116+'Fuel Taxes'!AI116</f>
        <v>1.1390436068462926E-5</v>
      </c>
      <c r="AJ115">
        <f>'Pretax Fuel Prices'!AJ116+'Fuel Taxes'!AJ116</f>
        <v>1.1370725802301293E-5</v>
      </c>
      <c r="AK115">
        <f>'Pretax Fuel Prices'!AK116+'Fuel Taxes'!AK116</f>
        <v>1.1351015536139654E-5</v>
      </c>
      <c r="AL115">
        <f>'Pretax Fuel Prices'!AL116+'Fuel Taxes'!AL116</f>
        <v>1.1331305269978021E-5</v>
      </c>
      <c r="AM115">
        <f>'Pretax Fuel Prices'!AM116+'Fuel Taxes'!AM116</f>
        <v>1.1311595003816383E-5</v>
      </c>
      <c r="AN115">
        <f>'Pretax Fuel Prices'!AN116+'Fuel Taxes'!AN116</f>
        <v>1.129188473765475E-5</v>
      </c>
      <c r="AO115">
        <f>'Pretax Fuel Prices'!AO116+'Fuel Taxes'!AO116</f>
        <v>1.1272174471493112E-5</v>
      </c>
      <c r="AP115">
        <f>'Pretax Fuel Prices'!AP116+'Fuel Taxes'!AP116</f>
        <v>1.1252464205331479E-5</v>
      </c>
      <c r="AQ115">
        <f>'Pretax Fuel Prices'!AQ116+'Fuel Taxes'!AQ116</f>
        <v>1.123275393916984E-5</v>
      </c>
      <c r="AR115">
        <f>'Pretax Fuel Prices'!AR116+'Fuel Taxes'!AR116</f>
        <v>1.1213043673008209E-5</v>
      </c>
      <c r="AS115">
        <f>'Pretax Fuel Prices'!AS116+'Fuel Taxes'!AS116</f>
        <v>1.1193333406846569E-5</v>
      </c>
      <c r="AT115">
        <f>'Pretax Fuel Prices'!AT116+'Fuel Taxes'!AT116</f>
        <v>1.1173623140684938E-5</v>
      </c>
      <c r="AU115">
        <f>'Pretax Fuel Prices'!AU116+'Fuel Taxes'!AU116</f>
        <v>1.1153912874523298E-5</v>
      </c>
      <c r="AV115">
        <f>'Pretax Fuel Prices'!AV116+'Fuel Taxes'!AV116</f>
        <v>1.1134202608361666E-5</v>
      </c>
      <c r="AW115">
        <f>'Pretax Fuel Prices'!AW116+'Fuel Taxes'!AW116</f>
        <v>1.1114492342200026E-5</v>
      </c>
      <c r="AX115">
        <f>'Pretax Fuel Prices'!AX116+'Fuel Taxes'!AX116</f>
        <v>1.1094782076038395E-5</v>
      </c>
      <c r="AY115">
        <f>'Pretax Fuel Prices'!AY116+'Fuel Taxes'!AY116</f>
        <v>1.1075071809876755E-5</v>
      </c>
      <c r="AZ115">
        <f>'Pretax Fuel Prices'!AZ116+'Fuel Taxes'!AZ116</f>
        <v>1.1055361543715124E-5</v>
      </c>
    </row>
    <row r="116" spans="1:52" x14ac:dyDescent="0.25">
      <c r="A116" t="s">
        <v>55</v>
      </c>
      <c r="B116">
        <f>'Pretax Fuel Prices'!B117+'Fuel Taxes'!B117</f>
        <v>8.5051560296238753E-6</v>
      </c>
      <c r="C116">
        <f>'Pretax Fuel Prices'!C117+'Fuel Taxes'!C117</f>
        <v>9.6681985880672616E-6</v>
      </c>
      <c r="D116">
        <f>'Pretax Fuel Prices'!D117+'Fuel Taxes'!D117</f>
        <v>1.9380993332185943E-5</v>
      </c>
      <c r="E116">
        <f>'Pretax Fuel Prices'!E117+'Fuel Taxes'!E117</f>
        <v>1.3941376221413941E-5</v>
      </c>
      <c r="F116">
        <f>'Pretax Fuel Prices'!F117+'Fuel Taxes'!F117</f>
        <v>1.3034456083278697E-5</v>
      </c>
      <c r="G116">
        <f>'Pretax Fuel Prices'!G117+'Fuel Taxes'!G117</f>
        <v>1.2127535945143453E-5</v>
      </c>
      <c r="H116">
        <f>'Pretax Fuel Prices'!H117+'Fuel Taxes'!H117</f>
        <v>1.1220615807008209E-5</v>
      </c>
      <c r="I116">
        <f>'Pretax Fuel Prices'!I117+'Fuel Taxes'!I117</f>
        <v>1.0313695668872966E-5</v>
      </c>
      <c r="J116">
        <f>'Pretax Fuel Prices'!J117+'Fuel Taxes'!J117</f>
        <v>9.4067755307377185E-6</v>
      </c>
      <c r="K116">
        <f>'Pretax Fuel Prices'!K117+'Fuel Taxes'!K117</f>
        <v>9.4895249466435392E-6</v>
      </c>
      <c r="L116">
        <f>'Pretax Fuel Prices'!L117+'Fuel Taxes'!L117</f>
        <v>9.620852850212199E-6</v>
      </c>
      <c r="M116">
        <f>'Pretax Fuel Prices'!M117+'Fuel Taxes'!M117</f>
        <v>9.7740496733660521E-6</v>
      </c>
      <c r="N116">
        <f>'Pretax Fuel Prices'!N117+'Fuel Taxes'!N117</f>
        <v>9.8933348433405903E-6</v>
      </c>
      <c r="O116">
        <f>'Pretax Fuel Prices'!O117+'Fuel Taxes'!O117</f>
        <v>9.9951545332915061E-6</v>
      </c>
      <c r="P116">
        <f>'Pretax Fuel Prices'!P117+'Fuel Taxes'!P117</f>
        <v>1.0004276609550872E-5</v>
      </c>
      <c r="Q116">
        <f>'Pretax Fuel Prices'!Q117+'Fuel Taxes'!Q117</f>
        <v>1.0019889035443037E-5</v>
      </c>
      <c r="R116">
        <f>'Pretax Fuel Prices'!R117+'Fuel Taxes'!R117</f>
        <v>9.9776890532678871E-6</v>
      </c>
      <c r="S116">
        <f>'Pretax Fuel Prices'!S117+'Fuel Taxes'!S117</f>
        <v>9.959061919282575E-6</v>
      </c>
      <c r="T116">
        <f>'Pretax Fuel Prices'!T117+'Fuel Taxes'!T117</f>
        <v>1.0128836247732221E-5</v>
      </c>
      <c r="U116">
        <f>'Pretax Fuel Prices'!U117+'Fuel Taxes'!U117</f>
        <v>9.9825957914824492E-6</v>
      </c>
      <c r="V116">
        <f>'Pretax Fuel Prices'!V117+'Fuel Taxes'!V117</f>
        <v>1.0427620255651916E-5</v>
      </c>
      <c r="W116">
        <f>'Pretax Fuel Prices'!W117+'Fuel Taxes'!W117</f>
        <v>1.0573672610384912E-5</v>
      </c>
      <c r="X116">
        <f>'Pretax Fuel Prices'!X117+'Fuel Taxes'!X117</f>
        <v>1.0693172995608367E-5</v>
      </c>
      <c r="Y116">
        <f>'Pretax Fuel Prices'!Y117+'Fuel Taxes'!Y117</f>
        <v>1.100867092478872E-5</v>
      </c>
      <c r="Z116">
        <f>'Pretax Fuel Prices'!Z117+'Fuel Taxes'!Z117</f>
        <v>1.1241573647414841E-5</v>
      </c>
      <c r="AA116">
        <f>'Pretax Fuel Prices'!AA117+'Fuel Taxes'!AA117</f>
        <v>1.1319719659984498E-5</v>
      </c>
      <c r="AB116">
        <f>'Pretax Fuel Prices'!AB117+'Fuel Taxes'!AB117</f>
        <v>1.1444550435487321E-5</v>
      </c>
      <c r="AC116">
        <f>'Pretax Fuel Prices'!AC117+'Fuel Taxes'!AC117</f>
        <v>1.1542895331202714E-5</v>
      </c>
      <c r="AD116">
        <f>'Pretax Fuel Prices'!AD117+'Fuel Taxes'!AD117</f>
        <v>1.1463989286828799E-5</v>
      </c>
      <c r="AE116">
        <f>'Pretax Fuel Prices'!AE117+'Fuel Taxes'!AE117</f>
        <v>1.1512050071668448E-5</v>
      </c>
      <c r="AF116">
        <f>'Pretax Fuel Prices'!AF117+'Fuel Taxes'!AF117</f>
        <v>1.1440579121031846E-5</v>
      </c>
      <c r="AG116">
        <f>'Pretax Fuel Prices'!AG117+'Fuel Taxes'!AG117</f>
        <v>1.1429856600786197E-5</v>
      </c>
      <c r="AH116">
        <f>'Pretax Fuel Prices'!AH117+'Fuel Taxes'!AH117</f>
        <v>1.1410146334624564E-5</v>
      </c>
      <c r="AI116">
        <f>'Pretax Fuel Prices'!AI117+'Fuel Taxes'!AI117</f>
        <v>1.1390436068462926E-5</v>
      </c>
      <c r="AJ116">
        <f>'Pretax Fuel Prices'!AJ117+'Fuel Taxes'!AJ117</f>
        <v>1.1370725802301293E-5</v>
      </c>
      <c r="AK116">
        <f>'Pretax Fuel Prices'!AK117+'Fuel Taxes'!AK117</f>
        <v>1.1351015536139654E-5</v>
      </c>
      <c r="AL116">
        <f>'Pretax Fuel Prices'!AL117+'Fuel Taxes'!AL117</f>
        <v>1.1331305269978021E-5</v>
      </c>
      <c r="AM116">
        <f>'Pretax Fuel Prices'!AM117+'Fuel Taxes'!AM117</f>
        <v>1.1311595003816383E-5</v>
      </c>
      <c r="AN116">
        <f>'Pretax Fuel Prices'!AN117+'Fuel Taxes'!AN117</f>
        <v>1.129188473765475E-5</v>
      </c>
      <c r="AO116">
        <f>'Pretax Fuel Prices'!AO117+'Fuel Taxes'!AO117</f>
        <v>1.1272174471493112E-5</v>
      </c>
      <c r="AP116">
        <f>'Pretax Fuel Prices'!AP117+'Fuel Taxes'!AP117</f>
        <v>1.1252464205331479E-5</v>
      </c>
      <c r="AQ116">
        <f>'Pretax Fuel Prices'!AQ117+'Fuel Taxes'!AQ117</f>
        <v>1.123275393916984E-5</v>
      </c>
      <c r="AR116">
        <f>'Pretax Fuel Prices'!AR117+'Fuel Taxes'!AR117</f>
        <v>1.1213043673008209E-5</v>
      </c>
      <c r="AS116">
        <f>'Pretax Fuel Prices'!AS117+'Fuel Taxes'!AS117</f>
        <v>1.1193333406846569E-5</v>
      </c>
      <c r="AT116">
        <f>'Pretax Fuel Prices'!AT117+'Fuel Taxes'!AT117</f>
        <v>1.1173623140684938E-5</v>
      </c>
      <c r="AU116">
        <f>'Pretax Fuel Prices'!AU117+'Fuel Taxes'!AU117</f>
        <v>1.1153912874523298E-5</v>
      </c>
      <c r="AV116">
        <f>'Pretax Fuel Prices'!AV117+'Fuel Taxes'!AV117</f>
        <v>1.1134202608361666E-5</v>
      </c>
      <c r="AW116">
        <f>'Pretax Fuel Prices'!AW117+'Fuel Taxes'!AW117</f>
        <v>1.1114492342200026E-5</v>
      </c>
      <c r="AX116">
        <f>'Pretax Fuel Prices'!AX117+'Fuel Taxes'!AX117</f>
        <v>1.1094782076038395E-5</v>
      </c>
      <c r="AY116">
        <f>'Pretax Fuel Prices'!AY117+'Fuel Taxes'!AY117</f>
        <v>1.1075071809876755E-5</v>
      </c>
      <c r="AZ116">
        <f>'Pretax Fuel Prices'!AZ117+'Fuel Taxes'!AZ117</f>
        <v>1.1055361543715124E-5</v>
      </c>
    </row>
    <row r="117" spans="1:52" x14ac:dyDescent="0.25">
      <c r="A117" t="s">
        <v>56</v>
      </c>
      <c r="B117">
        <f>'Pretax Fuel Prices'!B118+'Fuel Taxes'!B118</f>
        <v>8.7907978460530088E-6</v>
      </c>
      <c r="C117">
        <f>'Pretax Fuel Prices'!C118+'Fuel Taxes'!C118</f>
        <v>1.0532853075767043E-5</v>
      </c>
      <c r="D117">
        <f>'Pretax Fuel Prices'!D118+'Fuel Taxes'!D118</f>
        <v>2.127032890654978E-5</v>
      </c>
      <c r="E117">
        <f>'Pretax Fuel Prices'!E118+'Fuel Taxes'!E118</f>
        <v>1.5683538562914313E-5</v>
      </c>
      <c r="F117">
        <f>'Pretax Fuel Prices'!F118+'Fuel Taxes'!F118</f>
        <v>1.4738694620022559E-5</v>
      </c>
      <c r="G117">
        <f>'Pretax Fuel Prices'!G118+'Fuel Taxes'!G118</f>
        <v>1.3793850677130806E-5</v>
      </c>
      <c r="H117">
        <f>'Pretax Fuel Prices'!H118+'Fuel Taxes'!H118</f>
        <v>1.2849006734239053E-5</v>
      </c>
      <c r="I117">
        <f>'Pretax Fuel Prices'!I118+'Fuel Taxes'!I118</f>
        <v>1.19041627913473E-5</v>
      </c>
      <c r="J117">
        <f>'Pretax Fuel Prices'!J118+'Fuel Taxes'!J118</f>
        <v>1.0959318848455545E-5</v>
      </c>
      <c r="K117">
        <f>'Pretax Fuel Prices'!K118+'Fuel Taxes'!K118</f>
        <v>1.1060770808414214E-5</v>
      </c>
      <c r="L117">
        <f>'Pretax Fuel Prices'!L118+'Fuel Taxes'!L118</f>
        <v>1.120498197127357E-5</v>
      </c>
      <c r="M117">
        <f>'Pretax Fuel Prices'!M118+'Fuel Taxes'!M118</f>
        <v>1.1375702738435987E-5</v>
      </c>
      <c r="N117">
        <f>'Pretax Fuel Prices'!N118+'Fuel Taxes'!N118</f>
        <v>1.1506722223301469E-5</v>
      </c>
      <c r="O117">
        <f>'Pretax Fuel Prices'!O118+'Fuel Taxes'!O118</f>
        <v>1.1620780374100452E-5</v>
      </c>
      <c r="P117">
        <f>'Pretax Fuel Prices'!P118+'Fuel Taxes'!P118</f>
        <v>1.164121396049009E-5</v>
      </c>
      <c r="Q117">
        <f>'Pretax Fuel Prices'!Q118+'Fuel Taxes'!Q118</f>
        <v>1.1671604217706756E-5</v>
      </c>
      <c r="R117">
        <f>'Pretax Fuel Prices'!R118+'Fuel Taxes'!R118</f>
        <v>1.1636764766505515E-5</v>
      </c>
      <c r="S117">
        <f>'Pretax Fuel Prices'!S118+'Fuel Taxes'!S118</f>
        <v>1.1608711374078309E-5</v>
      </c>
      <c r="T117">
        <f>'Pretax Fuel Prices'!T118+'Fuel Taxes'!T118</f>
        <v>1.1809786811683947E-5</v>
      </c>
      <c r="U117">
        <f>'Pretax Fuel Prices'!U118+'Fuel Taxes'!U118</f>
        <v>1.1701001434483519E-5</v>
      </c>
      <c r="V117">
        <f>'Pretax Fuel Prices'!V118+'Fuel Taxes'!V118</f>
        <v>1.2136292916116174E-5</v>
      </c>
      <c r="W117">
        <f>'Pretax Fuel Prices'!W118+'Fuel Taxes'!W118</f>
        <v>1.2288257759065575E-5</v>
      </c>
      <c r="X117">
        <f>'Pretax Fuel Prices'!X118+'Fuel Taxes'!X118</f>
        <v>1.2410101787511531E-5</v>
      </c>
      <c r="Y117">
        <f>'Pretax Fuel Prices'!Y118+'Fuel Taxes'!Y118</f>
        <v>1.2723622956157506E-5</v>
      </c>
      <c r="Z117">
        <f>'Pretax Fuel Prices'!Z118+'Fuel Taxes'!Z118</f>
        <v>1.2937252051747422E-5</v>
      </c>
      <c r="AA117">
        <f>'Pretax Fuel Prices'!AA118+'Fuel Taxes'!AA118</f>
        <v>1.3010755684990955E-5</v>
      </c>
      <c r="AB117">
        <f>'Pretax Fuel Prices'!AB118+'Fuel Taxes'!AB118</f>
        <v>1.3156353884710482E-5</v>
      </c>
      <c r="AC117">
        <f>'Pretax Fuel Prices'!AC118+'Fuel Taxes'!AC118</f>
        <v>1.3221510724973242E-5</v>
      </c>
      <c r="AD117">
        <f>'Pretax Fuel Prices'!AD118+'Fuel Taxes'!AD118</f>
        <v>1.3194303789371515E-5</v>
      </c>
      <c r="AE117">
        <f>'Pretax Fuel Prices'!AE118+'Fuel Taxes'!AE118</f>
        <v>1.3219168776359003E-5</v>
      </c>
      <c r="AF117">
        <f>'Pretax Fuel Prices'!AF118+'Fuel Taxes'!AF118</f>
        <v>1.3178508345787353E-5</v>
      </c>
      <c r="AG117">
        <f>'Pretax Fuel Prices'!AG118+'Fuel Taxes'!AG118</f>
        <v>1.3181948425596508E-5</v>
      </c>
      <c r="AH117">
        <f>'Pretax Fuel Prices'!AH118+'Fuel Taxes'!AH118</f>
        <v>1.3178071618106646E-5</v>
      </c>
      <c r="AI117">
        <f>'Pretax Fuel Prices'!AI118+'Fuel Taxes'!AI118</f>
        <v>1.3174194810616777E-5</v>
      </c>
      <c r="AJ117">
        <f>'Pretax Fuel Prices'!AJ118+'Fuel Taxes'!AJ118</f>
        <v>1.3170318003126913E-5</v>
      </c>
      <c r="AK117">
        <f>'Pretax Fuel Prices'!AK118+'Fuel Taxes'!AK118</f>
        <v>1.3166441195637044E-5</v>
      </c>
      <c r="AL117">
        <f>'Pretax Fuel Prices'!AL118+'Fuel Taxes'!AL118</f>
        <v>1.3162564388147181E-5</v>
      </c>
      <c r="AM117">
        <f>'Pretax Fuel Prices'!AM118+'Fuel Taxes'!AM118</f>
        <v>1.3158687580657312E-5</v>
      </c>
      <c r="AN117">
        <f>'Pretax Fuel Prices'!AN118+'Fuel Taxes'!AN118</f>
        <v>1.315481077316745E-5</v>
      </c>
      <c r="AO117">
        <f>'Pretax Fuel Prices'!AO118+'Fuel Taxes'!AO118</f>
        <v>1.3150933965677581E-5</v>
      </c>
      <c r="AP117">
        <f>'Pretax Fuel Prices'!AP118+'Fuel Taxes'!AP118</f>
        <v>1.3147057158187717E-5</v>
      </c>
      <c r="AQ117">
        <f>'Pretax Fuel Prices'!AQ118+'Fuel Taxes'!AQ118</f>
        <v>1.3143180350697847E-5</v>
      </c>
      <c r="AR117">
        <f>'Pretax Fuel Prices'!AR118+'Fuel Taxes'!AR118</f>
        <v>1.3139303543207985E-5</v>
      </c>
      <c r="AS117">
        <f>'Pretax Fuel Prices'!AS118+'Fuel Taxes'!AS118</f>
        <v>1.3135426735718116E-5</v>
      </c>
      <c r="AT117">
        <f>'Pretax Fuel Prices'!AT118+'Fuel Taxes'!AT118</f>
        <v>1.3131549928228254E-5</v>
      </c>
      <c r="AU117">
        <f>'Pretax Fuel Prices'!AU118+'Fuel Taxes'!AU118</f>
        <v>1.3127673120738384E-5</v>
      </c>
      <c r="AV117">
        <f>'Pretax Fuel Prices'!AV118+'Fuel Taxes'!AV118</f>
        <v>1.312379631324852E-5</v>
      </c>
      <c r="AW117">
        <f>'Pretax Fuel Prices'!AW118+'Fuel Taxes'!AW118</f>
        <v>1.3119919505758651E-5</v>
      </c>
      <c r="AX117">
        <f>'Pretax Fuel Prices'!AX118+'Fuel Taxes'!AX118</f>
        <v>1.3116042698268789E-5</v>
      </c>
      <c r="AY117">
        <f>'Pretax Fuel Prices'!AY118+'Fuel Taxes'!AY118</f>
        <v>1.311216589077892E-5</v>
      </c>
      <c r="AZ117">
        <f>'Pretax Fuel Prices'!AZ118+'Fuel Taxes'!AZ118</f>
        <v>1.3108289083289057E-5</v>
      </c>
    </row>
    <row r="118" spans="1:52" x14ac:dyDescent="0.25">
      <c r="A118" t="s">
        <v>57</v>
      </c>
      <c r="B118">
        <f>'Pretax Fuel Prices'!B119+'Fuel Taxes'!B119</f>
        <v>8.7907978460530088E-6</v>
      </c>
      <c r="C118">
        <f>'Pretax Fuel Prices'!C119+'Fuel Taxes'!C119</f>
        <v>1.0532853075767043E-5</v>
      </c>
      <c r="D118">
        <f>'Pretax Fuel Prices'!D119+'Fuel Taxes'!D119</f>
        <v>2.127032890654978E-5</v>
      </c>
      <c r="E118">
        <f>'Pretax Fuel Prices'!E119+'Fuel Taxes'!E119</f>
        <v>1.5683538562914313E-5</v>
      </c>
      <c r="F118">
        <f>'Pretax Fuel Prices'!F119+'Fuel Taxes'!F119</f>
        <v>1.4738694620022559E-5</v>
      </c>
      <c r="G118">
        <f>'Pretax Fuel Prices'!G119+'Fuel Taxes'!G119</f>
        <v>1.3793850677130806E-5</v>
      </c>
      <c r="H118">
        <f>'Pretax Fuel Prices'!H119+'Fuel Taxes'!H119</f>
        <v>1.2849006734239053E-5</v>
      </c>
      <c r="I118">
        <f>'Pretax Fuel Prices'!I119+'Fuel Taxes'!I119</f>
        <v>1.19041627913473E-5</v>
      </c>
      <c r="J118">
        <f>'Pretax Fuel Prices'!J119+'Fuel Taxes'!J119</f>
        <v>1.0959318848455545E-5</v>
      </c>
      <c r="K118">
        <f>'Pretax Fuel Prices'!K119+'Fuel Taxes'!K119</f>
        <v>1.1060770808414214E-5</v>
      </c>
      <c r="L118">
        <f>'Pretax Fuel Prices'!L119+'Fuel Taxes'!L119</f>
        <v>1.120498197127357E-5</v>
      </c>
      <c r="M118">
        <f>'Pretax Fuel Prices'!M119+'Fuel Taxes'!M119</f>
        <v>1.1375702738435987E-5</v>
      </c>
      <c r="N118">
        <f>'Pretax Fuel Prices'!N119+'Fuel Taxes'!N119</f>
        <v>1.1506722223301469E-5</v>
      </c>
      <c r="O118">
        <f>'Pretax Fuel Prices'!O119+'Fuel Taxes'!O119</f>
        <v>1.1620780374100452E-5</v>
      </c>
      <c r="P118">
        <f>'Pretax Fuel Prices'!P119+'Fuel Taxes'!P119</f>
        <v>1.164121396049009E-5</v>
      </c>
      <c r="Q118">
        <f>'Pretax Fuel Prices'!Q119+'Fuel Taxes'!Q119</f>
        <v>1.1671604217706756E-5</v>
      </c>
      <c r="R118">
        <f>'Pretax Fuel Prices'!R119+'Fuel Taxes'!R119</f>
        <v>1.1636764766505515E-5</v>
      </c>
      <c r="S118">
        <f>'Pretax Fuel Prices'!S119+'Fuel Taxes'!S119</f>
        <v>1.1608711374078309E-5</v>
      </c>
      <c r="T118">
        <f>'Pretax Fuel Prices'!T119+'Fuel Taxes'!T119</f>
        <v>1.1809786811683947E-5</v>
      </c>
      <c r="U118">
        <f>'Pretax Fuel Prices'!U119+'Fuel Taxes'!U119</f>
        <v>1.1701001434483519E-5</v>
      </c>
      <c r="V118">
        <f>'Pretax Fuel Prices'!V119+'Fuel Taxes'!V119</f>
        <v>1.2136292916116174E-5</v>
      </c>
      <c r="W118">
        <f>'Pretax Fuel Prices'!W119+'Fuel Taxes'!W119</f>
        <v>1.2288257759065575E-5</v>
      </c>
      <c r="X118">
        <f>'Pretax Fuel Prices'!X119+'Fuel Taxes'!X119</f>
        <v>1.2410101787511531E-5</v>
      </c>
      <c r="Y118">
        <f>'Pretax Fuel Prices'!Y119+'Fuel Taxes'!Y119</f>
        <v>1.2723622956157506E-5</v>
      </c>
      <c r="Z118">
        <f>'Pretax Fuel Prices'!Z119+'Fuel Taxes'!Z119</f>
        <v>1.2937252051747422E-5</v>
      </c>
      <c r="AA118">
        <f>'Pretax Fuel Prices'!AA119+'Fuel Taxes'!AA119</f>
        <v>1.3010755684990955E-5</v>
      </c>
      <c r="AB118">
        <f>'Pretax Fuel Prices'!AB119+'Fuel Taxes'!AB119</f>
        <v>1.3156353884710482E-5</v>
      </c>
      <c r="AC118">
        <f>'Pretax Fuel Prices'!AC119+'Fuel Taxes'!AC119</f>
        <v>1.3221510724973242E-5</v>
      </c>
      <c r="AD118">
        <f>'Pretax Fuel Prices'!AD119+'Fuel Taxes'!AD119</f>
        <v>1.3194303789371515E-5</v>
      </c>
      <c r="AE118">
        <f>'Pretax Fuel Prices'!AE119+'Fuel Taxes'!AE119</f>
        <v>1.3219168776359003E-5</v>
      </c>
      <c r="AF118">
        <f>'Pretax Fuel Prices'!AF119+'Fuel Taxes'!AF119</f>
        <v>1.3178508345787353E-5</v>
      </c>
      <c r="AG118">
        <f>'Pretax Fuel Prices'!AG119+'Fuel Taxes'!AG119</f>
        <v>1.3181948425596508E-5</v>
      </c>
      <c r="AH118">
        <f>'Pretax Fuel Prices'!AH119+'Fuel Taxes'!AH119</f>
        <v>1.3178071618106646E-5</v>
      </c>
      <c r="AI118">
        <f>'Pretax Fuel Prices'!AI119+'Fuel Taxes'!AI119</f>
        <v>1.3174194810616777E-5</v>
      </c>
      <c r="AJ118">
        <f>'Pretax Fuel Prices'!AJ119+'Fuel Taxes'!AJ119</f>
        <v>1.3170318003126913E-5</v>
      </c>
      <c r="AK118">
        <f>'Pretax Fuel Prices'!AK119+'Fuel Taxes'!AK119</f>
        <v>1.3166441195637044E-5</v>
      </c>
      <c r="AL118">
        <f>'Pretax Fuel Prices'!AL119+'Fuel Taxes'!AL119</f>
        <v>1.3162564388147181E-5</v>
      </c>
      <c r="AM118">
        <f>'Pretax Fuel Prices'!AM119+'Fuel Taxes'!AM119</f>
        <v>1.3158687580657312E-5</v>
      </c>
      <c r="AN118">
        <f>'Pretax Fuel Prices'!AN119+'Fuel Taxes'!AN119</f>
        <v>1.315481077316745E-5</v>
      </c>
      <c r="AO118">
        <f>'Pretax Fuel Prices'!AO119+'Fuel Taxes'!AO119</f>
        <v>1.3150933965677581E-5</v>
      </c>
      <c r="AP118">
        <f>'Pretax Fuel Prices'!AP119+'Fuel Taxes'!AP119</f>
        <v>1.3147057158187717E-5</v>
      </c>
      <c r="AQ118">
        <f>'Pretax Fuel Prices'!AQ119+'Fuel Taxes'!AQ119</f>
        <v>1.3143180350697847E-5</v>
      </c>
      <c r="AR118">
        <f>'Pretax Fuel Prices'!AR119+'Fuel Taxes'!AR119</f>
        <v>1.3139303543207985E-5</v>
      </c>
      <c r="AS118">
        <f>'Pretax Fuel Prices'!AS119+'Fuel Taxes'!AS119</f>
        <v>1.3135426735718116E-5</v>
      </c>
      <c r="AT118">
        <f>'Pretax Fuel Prices'!AT119+'Fuel Taxes'!AT119</f>
        <v>1.3131549928228254E-5</v>
      </c>
      <c r="AU118">
        <f>'Pretax Fuel Prices'!AU119+'Fuel Taxes'!AU119</f>
        <v>1.3127673120738384E-5</v>
      </c>
      <c r="AV118">
        <f>'Pretax Fuel Prices'!AV119+'Fuel Taxes'!AV119</f>
        <v>1.312379631324852E-5</v>
      </c>
      <c r="AW118">
        <f>'Pretax Fuel Prices'!AW119+'Fuel Taxes'!AW119</f>
        <v>1.3119919505758651E-5</v>
      </c>
      <c r="AX118">
        <f>'Pretax Fuel Prices'!AX119+'Fuel Taxes'!AX119</f>
        <v>1.3116042698268789E-5</v>
      </c>
      <c r="AY118">
        <f>'Pretax Fuel Prices'!AY119+'Fuel Taxes'!AY119</f>
        <v>1.311216589077892E-5</v>
      </c>
      <c r="AZ118">
        <f>'Pretax Fuel Prices'!AZ119+'Fuel Taxes'!AZ119</f>
        <v>1.3108289083289057E-5</v>
      </c>
    </row>
    <row r="119" spans="1:52" x14ac:dyDescent="0.25">
      <c r="A119" t="s">
        <v>58</v>
      </c>
      <c r="B119">
        <f>'Pretax Fuel Prices'!B120+'Fuel Taxes'!B120</f>
        <v>0</v>
      </c>
      <c r="C119">
        <f>'Pretax Fuel Prices'!C120+'Fuel Taxes'!C120</f>
        <v>0</v>
      </c>
      <c r="D119">
        <f>'Pretax Fuel Prices'!D120+'Fuel Taxes'!D120</f>
        <v>0</v>
      </c>
      <c r="E119">
        <f>'Pretax Fuel Prices'!E120+'Fuel Taxes'!E120</f>
        <v>0</v>
      </c>
      <c r="F119">
        <f>'Pretax Fuel Prices'!F120+'Fuel Taxes'!F120</f>
        <v>0</v>
      </c>
      <c r="G119">
        <f>'Pretax Fuel Prices'!G120+'Fuel Taxes'!G120</f>
        <v>0</v>
      </c>
      <c r="H119">
        <f>'Pretax Fuel Prices'!H120+'Fuel Taxes'!H120</f>
        <v>0</v>
      </c>
      <c r="I119">
        <f>'Pretax Fuel Prices'!I120+'Fuel Taxes'!I120</f>
        <v>0</v>
      </c>
      <c r="J119">
        <f>'Pretax Fuel Prices'!J120+'Fuel Taxes'!J120</f>
        <v>0</v>
      </c>
      <c r="K119">
        <f>'Pretax Fuel Prices'!K120+'Fuel Taxes'!K120</f>
        <v>0</v>
      </c>
      <c r="L119">
        <f>'Pretax Fuel Prices'!L120+'Fuel Taxes'!L120</f>
        <v>0</v>
      </c>
      <c r="M119">
        <f>'Pretax Fuel Prices'!M120+'Fuel Taxes'!M120</f>
        <v>0</v>
      </c>
      <c r="N119">
        <f>'Pretax Fuel Prices'!N120+'Fuel Taxes'!N120</f>
        <v>0</v>
      </c>
      <c r="O119">
        <f>'Pretax Fuel Prices'!O120+'Fuel Taxes'!O120</f>
        <v>0</v>
      </c>
      <c r="P119">
        <f>'Pretax Fuel Prices'!P120+'Fuel Taxes'!P120</f>
        <v>0</v>
      </c>
      <c r="Q119">
        <f>'Pretax Fuel Prices'!Q120+'Fuel Taxes'!Q120</f>
        <v>0</v>
      </c>
      <c r="R119">
        <f>'Pretax Fuel Prices'!R120+'Fuel Taxes'!R120</f>
        <v>0</v>
      </c>
      <c r="S119">
        <f>'Pretax Fuel Prices'!S120+'Fuel Taxes'!S120</f>
        <v>0</v>
      </c>
      <c r="T119">
        <f>'Pretax Fuel Prices'!T120+'Fuel Taxes'!T120</f>
        <v>0</v>
      </c>
      <c r="U119">
        <f>'Pretax Fuel Prices'!U120+'Fuel Taxes'!U120</f>
        <v>0</v>
      </c>
      <c r="V119">
        <f>'Pretax Fuel Prices'!V120+'Fuel Taxes'!V120</f>
        <v>0</v>
      </c>
      <c r="W119">
        <f>'Pretax Fuel Prices'!W120+'Fuel Taxes'!W120</f>
        <v>0</v>
      </c>
      <c r="X119">
        <f>'Pretax Fuel Prices'!X120+'Fuel Taxes'!X120</f>
        <v>0</v>
      </c>
      <c r="Y119">
        <f>'Pretax Fuel Prices'!Y120+'Fuel Taxes'!Y120</f>
        <v>0</v>
      </c>
      <c r="Z119">
        <f>'Pretax Fuel Prices'!Z120+'Fuel Taxes'!Z120</f>
        <v>0</v>
      </c>
      <c r="AA119">
        <f>'Pretax Fuel Prices'!AA120+'Fuel Taxes'!AA120</f>
        <v>0</v>
      </c>
      <c r="AB119">
        <f>'Pretax Fuel Prices'!AB120+'Fuel Taxes'!AB120</f>
        <v>0</v>
      </c>
      <c r="AC119">
        <f>'Pretax Fuel Prices'!AC120+'Fuel Taxes'!AC120</f>
        <v>0</v>
      </c>
      <c r="AD119">
        <f>'Pretax Fuel Prices'!AD120+'Fuel Taxes'!AD120</f>
        <v>0</v>
      </c>
      <c r="AE119">
        <f>'Pretax Fuel Prices'!AE120+'Fuel Taxes'!AE120</f>
        <v>0</v>
      </c>
      <c r="AF119">
        <f>'Pretax Fuel Prices'!AF120+'Fuel Taxes'!AF120</f>
        <v>0</v>
      </c>
      <c r="AG119">
        <f>'Pretax Fuel Prices'!AG120+'Fuel Taxes'!AG120</f>
        <v>0</v>
      </c>
      <c r="AH119">
        <f>'Pretax Fuel Prices'!AH120+'Fuel Taxes'!AH120</f>
        <v>0</v>
      </c>
      <c r="AI119">
        <f>'Pretax Fuel Prices'!AI120+'Fuel Taxes'!AI120</f>
        <v>0</v>
      </c>
      <c r="AJ119">
        <f>'Pretax Fuel Prices'!AJ120+'Fuel Taxes'!AJ120</f>
        <v>0</v>
      </c>
      <c r="AK119">
        <f>'Pretax Fuel Prices'!AK120+'Fuel Taxes'!AK120</f>
        <v>0</v>
      </c>
      <c r="AL119">
        <f>'Pretax Fuel Prices'!AL120+'Fuel Taxes'!AL120</f>
        <v>0</v>
      </c>
      <c r="AM119">
        <f>'Pretax Fuel Prices'!AM120+'Fuel Taxes'!AM120</f>
        <v>0</v>
      </c>
      <c r="AN119">
        <f>'Pretax Fuel Prices'!AN120+'Fuel Taxes'!AN120</f>
        <v>0</v>
      </c>
      <c r="AO119">
        <f>'Pretax Fuel Prices'!AO120+'Fuel Taxes'!AO120</f>
        <v>0</v>
      </c>
      <c r="AP119">
        <f>'Pretax Fuel Prices'!AP120+'Fuel Taxes'!AP120</f>
        <v>0</v>
      </c>
      <c r="AQ119">
        <f>'Pretax Fuel Prices'!AQ120+'Fuel Taxes'!AQ120</f>
        <v>0</v>
      </c>
      <c r="AR119">
        <f>'Pretax Fuel Prices'!AR120+'Fuel Taxes'!AR120</f>
        <v>0</v>
      </c>
      <c r="AS119">
        <f>'Pretax Fuel Prices'!AS120+'Fuel Taxes'!AS120</f>
        <v>0</v>
      </c>
      <c r="AT119">
        <f>'Pretax Fuel Prices'!AT120+'Fuel Taxes'!AT120</f>
        <v>0</v>
      </c>
      <c r="AU119">
        <f>'Pretax Fuel Prices'!AU120+'Fuel Taxes'!AU120</f>
        <v>0</v>
      </c>
      <c r="AV119">
        <f>'Pretax Fuel Prices'!AV120+'Fuel Taxes'!AV120</f>
        <v>0</v>
      </c>
      <c r="AW119">
        <f>'Pretax Fuel Prices'!AW120+'Fuel Taxes'!AW120</f>
        <v>0</v>
      </c>
      <c r="AX119">
        <f>'Pretax Fuel Prices'!AX120+'Fuel Taxes'!AX120</f>
        <v>0</v>
      </c>
      <c r="AY119">
        <f>'Pretax Fuel Prices'!AY120+'Fuel Taxes'!AY120</f>
        <v>0</v>
      </c>
      <c r="AZ119">
        <f>'Pretax Fuel Prices'!AZ120+'Fuel Taxes'!AZ120</f>
        <v>0</v>
      </c>
    </row>
    <row r="120" spans="1:52" x14ac:dyDescent="0.25">
      <c r="A120" t="s">
        <v>59</v>
      </c>
      <c r="B120">
        <f>'Pretax Fuel Prices'!B121+'Fuel Taxes'!B121</f>
        <v>8.7907978460530088E-6</v>
      </c>
      <c r="C120">
        <f>'Pretax Fuel Prices'!C121+'Fuel Taxes'!C121</f>
        <v>1.0532853075767043E-5</v>
      </c>
      <c r="D120">
        <f>'Pretax Fuel Prices'!D121+'Fuel Taxes'!D121</f>
        <v>2.127032890654978E-5</v>
      </c>
      <c r="E120">
        <f>'Pretax Fuel Prices'!E121+'Fuel Taxes'!E121</f>
        <v>1.5683538562914313E-5</v>
      </c>
      <c r="F120">
        <f>'Pretax Fuel Prices'!F121+'Fuel Taxes'!F121</f>
        <v>1.4738694620022559E-5</v>
      </c>
      <c r="G120">
        <f>'Pretax Fuel Prices'!G121+'Fuel Taxes'!G121</f>
        <v>1.3793850677130806E-5</v>
      </c>
      <c r="H120">
        <f>'Pretax Fuel Prices'!H121+'Fuel Taxes'!H121</f>
        <v>1.2849006734239053E-5</v>
      </c>
      <c r="I120">
        <f>'Pretax Fuel Prices'!I121+'Fuel Taxes'!I121</f>
        <v>1.19041627913473E-5</v>
      </c>
      <c r="J120">
        <f>'Pretax Fuel Prices'!J121+'Fuel Taxes'!J121</f>
        <v>1.0959318848455545E-5</v>
      </c>
      <c r="K120">
        <f>'Pretax Fuel Prices'!K121+'Fuel Taxes'!K121</f>
        <v>1.1060770808414214E-5</v>
      </c>
      <c r="L120">
        <f>'Pretax Fuel Prices'!L121+'Fuel Taxes'!L121</f>
        <v>1.120498197127357E-5</v>
      </c>
      <c r="M120">
        <f>'Pretax Fuel Prices'!M121+'Fuel Taxes'!M121</f>
        <v>1.1375702738435987E-5</v>
      </c>
      <c r="N120">
        <f>'Pretax Fuel Prices'!N121+'Fuel Taxes'!N121</f>
        <v>1.1506722223301469E-5</v>
      </c>
      <c r="O120">
        <f>'Pretax Fuel Prices'!O121+'Fuel Taxes'!O121</f>
        <v>1.1620780374100452E-5</v>
      </c>
      <c r="P120">
        <f>'Pretax Fuel Prices'!P121+'Fuel Taxes'!P121</f>
        <v>1.164121396049009E-5</v>
      </c>
      <c r="Q120">
        <f>'Pretax Fuel Prices'!Q121+'Fuel Taxes'!Q121</f>
        <v>1.1671604217706756E-5</v>
      </c>
      <c r="R120">
        <f>'Pretax Fuel Prices'!R121+'Fuel Taxes'!R121</f>
        <v>1.1636764766505515E-5</v>
      </c>
      <c r="S120">
        <f>'Pretax Fuel Prices'!S121+'Fuel Taxes'!S121</f>
        <v>1.1608711374078309E-5</v>
      </c>
      <c r="T120">
        <f>'Pretax Fuel Prices'!T121+'Fuel Taxes'!T121</f>
        <v>1.1809786811683947E-5</v>
      </c>
      <c r="U120">
        <f>'Pretax Fuel Prices'!U121+'Fuel Taxes'!U121</f>
        <v>1.1701001434483519E-5</v>
      </c>
      <c r="V120">
        <f>'Pretax Fuel Prices'!V121+'Fuel Taxes'!V121</f>
        <v>1.2136292916116174E-5</v>
      </c>
      <c r="W120">
        <f>'Pretax Fuel Prices'!W121+'Fuel Taxes'!W121</f>
        <v>1.2288257759065575E-5</v>
      </c>
      <c r="X120">
        <f>'Pretax Fuel Prices'!X121+'Fuel Taxes'!X121</f>
        <v>1.2410101787511531E-5</v>
      </c>
      <c r="Y120">
        <f>'Pretax Fuel Prices'!Y121+'Fuel Taxes'!Y121</f>
        <v>1.2723622956157506E-5</v>
      </c>
      <c r="Z120">
        <f>'Pretax Fuel Prices'!Z121+'Fuel Taxes'!Z121</f>
        <v>1.2937252051747422E-5</v>
      </c>
      <c r="AA120">
        <f>'Pretax Fuel Prices'!AA121+'Fuel Taxes'!AA121</f>
        <v>1.3010755684990955E-5</v>
      </c>
      <c r="AB120">
        <f>'Pretax Fuel Prices'!AB121+'Fuel Taxes'!AB121</f>
        <v>1.3156353884710482E-5</v>
      </c>
      <c r="AC120">
        <f>'Pretax Fuel Prices'!AC121+'Fuel Taxes'!AC121</f>
        <v>1.3221510724973242E-5</v>
      </c>
      <c r="AD120">
        <f>'Pretax Fuel Prices'!AD121+'Fuel Taxes'!AD121</f>
        <v>1.3194303789371515E-5</v>
      </c>
      <c r="AE120">
        <f>'Pretax Fuel Prices'!AE121+'Fuel Taxes'!AE121</f>
        <v>1.3219168776359003E-5</v>
      </c>
      <c r="AF120">
        <f>'Pretax Fuel Prices'!AF121+'Fuel Taxes'!AF121</f>
        <v>1.3178508345787353E-5</v>
      </c>
      <c r="AG120">
        <f>'Pretax Fuel Prices'!AG121+'Fuel Taxes'!AG121</f>
        <v>1.3181948425596508E-5</v>
      </c>
      <c r="AH120">
        <f>'Pretax Fuel Prices'!AH121+'Fuel Taxes'!AH121</f>
        <v>1.3178071618106646E-5</v>
      </c>
      <c r="AI120">
        <f>'Pretax Fuel Prices'!AI121+'Fuel Taxes'!AI121</f>
        <v>1.3174194810616777E-5</v>
      </c>
      <c r="AJ120">
        <f>'Pretax Fuel Prices'!AJ121+'Fuel Taxes'!AJ121</f>
        <v>1.3170318003126913E-5</v>
      </c>
      <c r="AK120">
        <f>'Pretax Fuel Prices'!AK121+'Fuel Taxes'!AK121</f>
        <v>1.3166441195637044E-5</v>
      </c>
      <c r="AL120">
        <f>'Pretax Fuel Prices'!AL121+'Fuel Taxes'!AL121</f>
        <v>1.3162564388147181E-5</v>
      </c>
      <c r="AM120">
        <f>'Pretax Fuel Prices'!AM121+'Fuel Taxes'!AM121</f>
        <v>1.3158687580657312E-5</v>
      </c>
      <c r="AN120">
        <f>'Pretax Fuel Prices'!AN121+'Fuel Taxes'!AN121</f>
        <v>1.315481077316745E-5</v>
      </c>
      <c r="AO120">
        <f>'Pretax Fuel Prices'!AO121+'Fuel Taxes'!AO121</f>
        <v>1.3150933965677581E-5</v>
      </c>
      <c r="AP120">
        <f>'Pretax Fuel Prices'!AP121+'Fuel Taxes'!AP121</f>
        <v>1.3147057158187717E-5</v>
      </c>
      <c r="AQ120">
        <f>'Pretax Fuel Prices'!AQ121+'Fuel Taxes'!AQ121</f>
        <v>1.3143180350697847E-5</v>
      </c>
      <c r="AR120">
        <f>'Pretax Fuel Prices'!AR121+'Fuel Taxes'!AR121</f>
        <v>1.3139303543207985E-5</v>
      </c>
      <c r="AS120">
        <f>'Pretax Fuel Prices'!AS121+'Fuel Taxes'!AS121</f>
        <v>1.3135426735718116E-5</v>
      </c>
      <c r="AT120">
        <f>'Pretax Fuel Prices'!AT121+'Fuel Taxes'!AT121</f>
        <v>1.3131549928228254E-5</v>
      </c>
      <c r="AU120">
        <f>'Pretax Fuel Prices'!AU121+'Fuel Taxes'!AU121</f>
        <v>1.3127673120738384E-5</v>
      </c>
      <c r="AV120">
        <f>'Pretax Fuel Prices'!AV121+'Fuel Taxes'!AV121</f>
        <v>1.312379631324852E-5</v>
      </c>
      <c r="AW120">
        <f>'Pretax Fuel Prices'!AW121+'Fuel Taxes'!AW121</f>
        <v>1.3119919505758651E-5</v>
      </c>
      <c r="AX120">
        <f>'Pretax Fuel Prices'!AX121+'Fuel Taxes'!AX121</f>
        <v>1.3116042698268789E-5</v>
      </c>
      <c r="AY120">
        <f>'Pretax Fuel Prices'!AY121+'Fuel Taxes'!AY121</f>
        <v>1.311216589077892E-5</v>
      </c>
      <c r="AZ120">
        <f>'Pretax Fuel Prices'!AZ121+'Fuel Taxes'!AZ121</f>
        <v>1.3108289083289057E-5</v>
      </c>
    </row>
    <row r="121" spans="1:52" s="3" customFormat="1" x14ac:dyDescent="0.25">
      <c r="A121" s="5" t="s">
        <v>48</v>
      </c>
    </row>
    <row r="122" spans="1:52" x14ac:dyDescent="0.25">
      <c r="A122" t="s">
        <v>30</v>
      </c>
      <c r="B122">
        <f>'Fuel Taxes'!B$1</f>
        <v>2020</v>
      </c>
      <c r="C122">
        <f>'Fuel Taxes'!C$1</f>
        <v>2021</v>
      </c>
      <c r="D122">
        <f>'Fuel Taxes'!D$1</f>
        <v>2022</v>
      </c>
      <c r="E122">
        <f>'Fuel Taxes'!E$1</f>
        <v>2023</v>
      </c>
      <c r="F122">
        <f>'Fuel Taxes'!F$1</f>
        <v>2024</v>
      </c>
      <c r="G122">
        <f>'Fuel Taxes'!G$1</f>
        <v>2025</v>
      </c>
      <c r="H122">
        <f>'Fuel Taxes'!H$1</f>
        <v>2026</v>
      </c>
      <c r="I122">
        <f>'Fuel Taxes'!I$1</f>
        <v>2027</v>
      </c>
      <c r="J122">
        <f>'Fuel Taxes'!J$1</f>
        <v>2028</v>
      </c>
      <c r="K122">
        <f>'Fuel Taxes'!K$1</f>
        <v>2029</v>
      </c>
      <c r="L122">
        <f>'Fuel Taxes'!L$1</f>
        <v>2030</v>
      </c>
      <c r="M122">
        <f>'Fuel Taxes'!M$1</f>
        <v>2031</v>
      </c>
      <c r="N122">
        <f>'Fuel Taxes'!N$1</f>
        <v>2032</v>
      </c>
      <c r="O122">
        <f>'Fuel Taxes'!O$1</f>
        <v>2033</v>
      </c>
      <c r="P122">
        <f>'Fuel Taxes'!P$1</f>
        <v>2034</v>
      </c>
      <c r="Q122">
        <f>'Fuel Taxes'!Q$1</f>
        <v>2035</v>
      </c>
      <c r="R122">
        <f>'Fuel Taxes'!R$1</f>
        <v>2036</v>
      </c>
      <c r="S122">
        <f>'Fuel Taxes'!S$1</f>
        <v>2037</v>
      </c>
      <c r="T122">
        <f>'Fuel Taxes'!T$1</f>
        <v>2038</v>
      </c>
      <c r="U122">
        <f>'Fuel Taxes'!U$1</f>
        <v>2039</v>
      </c>
      <c r="V122">
        <f>'Fuel Taxes'!V$1</f>
        <v>2040</v>
      </c>
      <c r="W122">
        <f>'Fuel Taxes'!W$1</f>
        <v>2041</v>
      </c>
      <c r="X122">
        <f>'Fuel Taxes'!X$1</f>
        <v>2042</v>
      </c>
      <c r="Y122">
        <f>'Fuel Taxes'!Y$1</f>
        <v>2043</v>
      </c>
      <c r="Z122">
        <f>'Fuel Taxes'!Z$1</f>
        <v>2044</v>
      </c>
      <c r="AA122">
        <f>'Fuel Taxes'!AA$1</f>
        <v>2045</v>
      </c>
      <c r="AB122">
        <f>'Fuel Taxes'!AB$1</f>
        <v>2046</v>
      </c>
      <c r="AC122">
        <f>'Fuel Taxes'!AC$1</f>
        <v>2047</v>
      </c>
      <c r="AD122">
        <f>'Fuel Taxes'!AD$1</f>
        <v>2048</v>
      </c>
      <c r="AE122">
        <f>'Fuel Taxes'!AE$1</f>
        <v>2049</v>
      </c>
      <c r="AF122">
        <f>'Fuel Taxes'!AF$1</f>
        <v>2050</v>
      </c>
      <c r="AG122">
        <f>'Fuel Taxes'!AG$1</f>
        <v>2051</v>
      </c>
      <c r="AH122">
        <f>'Fuel Taxes'!AH$1</f>
        <v>2052</v>
      </c>
      <c r="AI122">
        <f>'Fuel Taxes'!AI$1</f>
        <v>2053</v>
      </c>
      <c r="AJ122">
        <f>'Fuel Taxes'!AJ$1</f>
        <v>2054</v>
      </c>
      <c r="AK122">
        <f>'Fuel Taxes'!AK$1</f>
        <v>2055</v>
      </c>
      <c r="AL122">
        <f>'Fuel Taxes'!AL$1</f>
        <v>2056</v>
      </c>
      <c r="AM122">
        <f>'Fuel Taxes'!AM$1</f>
        <v>2057</v>
      </c>
      <c r="AN122">
        <f>'Fuel Taxes'!AN$1</f>
        <v>2058</v>
      </c>
      <c r="AO122">
        <f>'Fuel Taxes'!AO$1</f>
        <v>2059</v>
      </c>
      <c r="AP122">
        <f>'Fuel Taxes'!AP$1</f>
        <v>2060</v>
      </c>
      <c r="AQ122">
        <f>'Fuel Taxes'!AQ$1</f>
        <v>2061</v>
      </c>
      <c r="AR122">
        <f>'Fuel Taxes'!AR$1</f>
        <v>2062</v>
      </c>
      <c r="AS122">
        <f>'Fuel Taxes'!AS$1</f>
        <v>2063</v>
      </c>
      <c r="AT122">
        <f>'Fuel Taxes'!AT$1</f>
        <v>2064</v>
      </c>
      <c r="AU122">
        <f>'Fuel Taxes'!AU$1</f>
        <v>2065</v>
      </c>
      <c r="AV122">
        <f>'Fuel Taxes'!AV$1</f>
        <v>2066</v>
      </c>
      <c r="AW122">
        <f>'Fuel Taxes'!AW$1</f>
        <v>2067</v>
      </c>
      <c r="AX122">
        <f>'Fuel Taxes'!AX$1</f>
        <v>2068</v>
      </c>
      <c r="AY122">
        <f>'Fuel Taxes'!AY$1</f>
        <v>2069</v>
      </c>
      <c r="AZ122">
        <f>'Fuel Taxes'!AZ$1</f>
        <v>2070</v>
      </c>
    </row>
    <row r="123" spans="1:52" x14ac:dyDescent="0.25">
      <c r="A123" t="s">
        <v>52</v>
      </c>
      <c r="B123">
        <f>'Pretax Fuel Prices'!B124+'Fuel Taxes'!B124</f>
        <v>1.063381424852112E-5</v>
      </c>
      <c r="C123">
        <f>'Pretax Fuel Prices'!C124+'Fuel Taxes'!C124</f>
        <v>1.5033772246411039E-5</v>
      </c>
      <c r="D123">
        <f>'Pretax Fuel Prices'!D124+'Fuel Taxes'!D124</f>
        <v>1.5550752319179242E-5</v>
      </c>
      <c r="E123">
        <f>'Pretax Fuel Prices'!E124+'Fuel Taxes'!E124</f>
        <v>1.4272275453312171E-5</v>
      </c>
      <c r="F123">
        <f>'Pretax Fuel Prices'!F124+'Fuel Taxes'!F124</f>
        <v>1.4274338638867767E-5</v>
      </c>
      <c r="G123">
        <f>'Pretax Fuel Prices'!G124+'Fuel Taxes'!G124</f>
        <v>1.4189911560785323E-5</v>
      </c>
      <c r="H123">
        <f>'Pretax Fuel Prices'!H124+'Fuel Taxes'!H124</f>
        <v>1.430004160963944E-5</v>
      </c>
      <c r="I123">
        <f>'Pretax Fuel Prices'!I124+'Fuel Taxes'!I124</f>
        <v>1.4592905503605561E-5</v>
      </c>
      <c r="J123">
        <f>'Pretax Fuel Prices'!J124+'Fuel Taxes'!J124</f>
        <v>1.499192304814555E-5</v>
      </c>
      <c r="K123">
        <f>'Pretax Fuel Prices'!K124+'Fuel Taxes'!K124</f>
        <v>1.5248679923932534E-5</v>
      </c>
      <c r="L123">
        <f>'Pretax Fuel Prices'!L124+'Fuel Taxes'!L124</f>
        <v>1.5519683371354758E-5</v>
      </c>
      <c r="M123">
        <f>'Pretax Fuel Prices'!M124+'Fuel Taxes'!M124</f>
        <v>1.604612444203417E-5</v>
      </c>
      <c r="N123">
        <f>'Pretax Fuel Prices'!N124+'Fuel Taxes'!N124</f>
        <v>1.6240413820865775E-5</v>
      </c>
      <c r="O123">
        <f>'Pretax Fuel Prices'!O124+'Fuel Taxes'!O124</f>
        <v>1.6467995473557952E-5</v>
      </c>
      <c r="P123">
        <f>'Pretax Fuel Prices'!P124+'Fuel Taxes'!P124</f>
        <v>1.6578363614872495E-5</v>
      </c>
      <c r="Q123">
        <f>'Pretax Fuel Prices'!Q124+'Fuel Taxes'!Q124</f>
        <v>1.665231547200059E-5</v>
      </c>
      <c r="R123">
        <f>'Pretax Fuel Prices'!R124+'Fuel Taxes'!R124</f>
        <v>1.6756330526951322E-5</v>
      </c>
      <c r="S123">
        <f>'Pretax Fuel Prices'!S124+'Fuel Taxes'!S124</f>
        <v>1.6890409627028819E-5</v>
      </c>
      <c r="T123">
        <f>'Pretax Fuel Prices'!T124+'Fuel Taxes'!T124</f>
        <v>1.7012333302062957E-5</v>
      </c>
      <c r="U123">
        <f>'Pretax Fuel Prices'!U124+'Fuel Taxes'!U124</f>
        <v>1.7070320254780968E-5</v>
      </c>
      <c r="V123">
        <f>'Pretax Fuel Prices'!V124+'Fuel Taxes'!V124</f>
        <v>1.7271088968291689E-5</v>
      </c>
      <c r="W123">
        <f>'Pretax Fuel Prices'!W124+'Fuel Taxes'!W124</f>
        <v>1.7386892565597664E-5</v>
      </c>
      <c r="X123">
        <f>'Pretax Fuel Prices'!X124+'Fuel Taxes'!X124</f>
        <v>1.739384893250175E-5</v>
      </c>
      <c r="Y123">
        <f>'Pretax Fuel Prices'!Y124+'Fuel Taxes'!Y124</f>
        <v>1.7518039993386719E-5</v>
      </c>
      <c r="Z123">
        <f>'Pretax Fuel Prices'!Z124+'Fuel Taxes'!Z124</f>
        <v>1.766648682958999E-5</v>
      </c>
      <c r="AA123">
        <f>'Pretax Fuel Prices'!AA124+'Fuel Taxes'!AA124</f>
        <v>1.7684873329202493E-5</v>
      </c>
      <c r="AB123">
        <f>'Pretax Fuel Prices'!AB124+'Fuel Taxes'!AB124</f>
        <v>1.7757342404103775E-5</v>
      </c>
      <c r="AC123">
        <f>'Pretax Fuel Prices'!AC124+'Fuel Taxes'!AC124</f>
        <v>1.7804625363752442E-5</v>
      </c>
      <c r="AD123">
        <f>'Pretax Fuel Prices'!AD124+'Fuel Taxes'!AD124</f>
        <v>1.7827588152968962E-5</v>
      </c>
      <c r="AE123">
        <f>'Pretax Fuel Prices'!AE124+'Fuel Taxes'!AE124</f>
        <v>1.7810205708750046E-5</v>
      </c>
      <c r="AF123">
        <f>'Pretax Fuel Prices'!AF124+'Fuel Taxes'!AF124</f>
        <v>1.7791193898689886E-5</v>
      </c>
      <c r="AG123">
        <f>'Pretax Fuel Prices'!AG124+'Fuel Taxes'!AG124</f>
        <v>1.797134157306912E-5</v>
      </c>
      <c r="AH123">
        <f>'Pretax Fuel Prices'!AH124+'Fuel Taxes'!AH124</f>
        <v>1.8131610607215573E-5</v>
      </c>
      <c r="AI123">
        <f>'Pretax Fuel Prices'!AI124+'Fuel Taxes'!AI124</f>
        <v>1.8291879641362027E-5</v>
      </c>
      <c r="AJ123">
        <f>'Pretax Fuel Prices'!AJ124+'Fuel Taxes'!AJ124</f>
        <v>1.8452148675508481E-5</v>
      </c>
      <c r="AK123">
        <f>'Pretax Fuel Prices'!AK124+'Fuel Taxes'!AK124</f>
        <v>1.8612417709654935E-5</v>
      </c>
      <c r="AL123">
        <f>'Pretax Fuel Prices'!AL124+'Fuel Taxes'!AL124</f>
        <v>1.8772686743801392E-5</v>
      </c>
      <c r="AM123">
        <f>'Pretax Fuel Prices'!AM124+'Fuel Taxes'!AM124</f>
        <v>1.8932955777947846E-5</v>
      </c>
      <c r="AN123">
        <f>'Pretax Fuel Prices'!AN124+'Fuel Taxes'!AN124</f>
        <v>1.90932248120943E-5</v>
      </c>
      <c r="AO123">
        <f>'Pretax Fuel Prices'!AO124+'Fuel Taxes'!AO124</f>
        <v>1.9253493846240753E-5</v>
      </c>
      <c r="AP123">
        <f>'Pretax Fuel Prices'!AP124+'Fuel Taxes'!AP124</f>
        <v>1.941376288038721E-5</v>
      </c>
      <c r="AQ123">
        <f>'Pretax Fuel Prices'!AQ124+'Fuel Taxes'!AQ124</f>
        <v>1.9574031914533664E-5</v>
      </c>
      <c r="AR123">
        <f>'Pretax Fuel Prices'!AR124+'Fuel Taxes'!AR124</f>
        <v>1.9734300948680118E-5</v>
      </c>
      <c r="AS123">
        <f>'Pretax Fuel Prices'!AS124+'Fuel Taxes'!AS124</f>
        <v>1.9894569982826572E-5</v>
      </c>
      <c r="AT123">
        <f>'Pretax Fuel Prices'!AT124+'Fuel Taxes'!AT124</f>
        <v>2.0054839016973026E-5</v>
      </c>
      <c r="AU123">
        <f>'Pretax Fuel Prices'!AU124+'Fuel Taxes'!AU124</f>
        <v>2.0215108051119479E-5</v>
      </c>
      <c r="AV123">
        <f>'Pretax Fuel Prices'!AV124+'Fuel Taxes'!AV124</f>
        <v>2.0375377085265937E-5</v>
      </c>
      <c r="AW123">
        <f>'Pretax Fuel Prices'!AW124+'Fuel Taxes'!AW124</f>
        <v>2.053564611941239E-5</v>
      </c>
      <c r="AX123">
        <f>'Pretax Fuel Prices'!AX124+'Fuel Taxes'!AX124</f>
        <v>2.0695915153558844E-5</v>
      </c>
      <c r="AY123">
        <f>'Pretax Fuel Prices'!AY124+'Fuel Taxes'!AY124</f>
        <v>2.0856184187705298E-5</v>
      </c>
      <c r="AZ123">
        <f>'Pretax Fuel Prices'!AZ124+'Fuel Taxes'!AZ124</f>
        <v>2.1016453221851752E-5</v>
      </c>
    </row>
    <row r="124" spans="1:52" x14ac:dyDescent="0.25">
      <c r="A124" t="s">
        <v>53</v>
      </c>
      <c r="B124">
        <f>'Pretax Fuel Prices'!B125+'Fuel Taxes'!B125</f>
        <v>0</v>
      </c>
      <c r="C124">
        <f>'Pretax Fuel Prices'!C125+'Fuel Taxes'!C125</f>
        <v>0</v>
      </c>
      <c r="D124">
        <f>'Pretax Fuel Prices'!D125+'Fuel Taxes'!D125</f>
        <v>0</v>
      </c>
      <c r="E124">
        <f>'Pretax Fuel Prices'!E125+'Fuel Taxes'!E125</f>
        <v>0</v>
      </c>
      <c r="F124">
        <f>'Pretax Fuel Prices'!F125+'Fuel Taxes'!F125</f>
        <v>0</v>
      </c>
      <c r="G124">
        <f>'Pretax Fuel Prices'!G125+'Fuel Taxes'!G125</f>
        <v>0</v>
      </c>
      <c r="H124">
        <f>'Pretax Fuel Prices'!H125+'Fuel Taxes'!H125</f>
        <v>0</v>
      </c>
      <c r="I124">
        <f>'Pretax Fuel Prices'!I125+'Fuel Taxes'!I125</f>
        <v>0</v>
      </c>
      <c r="J124">
        <f>'Pretax Fuel Prices'!J125+'Fuel Taxes'!J125</f>
        <v>0</v>
      </c>
      <c r="K124">
        <f>'Pretax Fuel Prices'!K125+'Fuel Taxes'!K125</f>
        <v>0</v>
      </c>
      <c r="L124">
        <f>'Pretax Fuel Prices'!L125+'Fuel Taxes'!L125</f>
        <v>0</v>
      </c>
      <c r="M124">
        <f>'Pretax Fuel Prices'!M125+'Fuel Taxes'!M125</f>
        <v>0</v>
      </c>
      <c r="N124">
        <f>'Pretax Fuel Prices'!N125+'Fuel Taxes'!N125</f>
        <v>0</v>
      </c>
      <c r="O124">
        <f>'Pretax Fuel Prices'!O125+'Fuel Taxes'!O125</f>
        <v>0</v>
      </c>
      <c r="P124">
        <f>'Pretax Fuel Prices'!P125+'Fuel Taxes'!P125</f>
        <v>0</v>
      </c>
      <c r="Q124">
        <f>'Pretax Fuel Prices'!Q125+'Fuel Taxes'!Q125</f>
        <v>0</v>
      </c>
      <c r="R124">
        <f>'Pretax Fuel Prices'!R125+'Fuel Taxes'!R125</f>
        <v>0</v>
      </c>
      <c r="S124">
        <f>'Pretax Fuel Prices'!S125+'Fuel Taxes'!S125</f>
        <v>0</v>
      </c>
      <c r="T124">
        <f>'Pretax Fuel Prices'!T125+'Fuel Taxes'!T125</f>
        <v>0</v>
      </c>
      <c r="U124">
        <f>'Pretax Fuel Prices'!U125+'Fuel Taxes'!U125</f>
        <v>0</v>
      </c>
      <c r="V124">
        <f>'Pretax Fuel Prices'!V125+'Fuel Taxes'!V125</f>
        <v>0</v>
      </c>
      <c r="W124">
        <f>'Pretax Fuel Prices'!W125+'Fuel Taxes'!W125</f>
        <v>0</v>
      </c>
      <c r="X124">
        <f>'Pretax Fuel Prices'!X125+'Fuel Taxes'!X125</f>
        <v>0</v>
      </c>
      <c r="Y124">
        <f>'Pretax Fuel Prices'!Y125+'Fuel Taxes'!Y125</f>
        <v>0</v>
      </c>
      <c r="Z124">
        <f>'Pretax Fuel Prices'!Z125+'Fuel Taxes'!Z125</f>
        <v>0</v>
      </c>
      <c r="AA124">
        <f>'Pretax Fuel Prices'!AA125+'Fuel Taxes'!AA125</f>
        <v>0</v>
      </c>
      <c r="AB124">
        <f>'Pretax Fuel Prices'!AB125+'Fuel Taxes'!AB125</f>
        <v>0</v>
      </c>
      <c r="AC124">
        <f>'Pretax Fuel Prices'!AC125+'Fuel Taxes'!AC125</f>
        <v>0</v>
      </c>
      <c r="AD124">
        <f>'Pretax Fuel Prices'!AD125+'Fuel Taxes'!AD125</f>
        <v>0</v>
      </c>
      <c r="AE124">
        <f>'Pretax Fuel Prices'!AE125+'Fuel Taxes'!AE125</f>
        <v>0</v>
      </c>
      <c r="AF124">
        <f>'Pretax Fuel Prices'!AF125+'Fuel Taxes'!AF125</f>
        <v>0</v>
      </c>
      <c r="AG124">
        <f>'Pretax Fuel Prices'!AG125+'Fuel Taxes'!AG125</f>
        <v>0</v>
      </c>
      <c r="AH124">
        <f>'Pretax Fuel Prices'!AH125+'Fuel Taxes'!AH125</f>
        <v>0</v>
      </c>
      <c r="AI124">
        <f>'Pretax Fuel Prices'!AI125+'Fuel Taxes'!AI125</f>
        <v>0</v>
      </c>
      <c r="AJ124">
        <f>'Pretax Fuel Prices'!AJ125+'Fuel Taxes'!AJ125</f>
        <v>0</v>
      </c>
      <c r="AK124">
        <f>'Pretax Fuel Prices'!AK125+'Fuel Taxes'!AK125</f>
        <v>0</v>
      </c>
      <c r="AL124">
        <f>'Pretax Fuel Prices'!AL125+'Fuel Taxes'!AL125</f>
        <v>0</v>
      </c>
      <c r="AM124">
        <f>'Pretax Fuel Prices'!AM125+'Fuel Taxes'!AM125</f>
        <v>0</v>
      </c>
      <c r="AN124">
        <f>'Pretax Fuel Prices'!AN125+'Fuel Taxes'!AN125</f>
        <v>0</v>
      </c>
      <c r="AO124">
        <f>'Pretax Fuel Prices'!AO125+'Fuel Taxes'!AO125</f>
        <v>0</v>
      </c>
      <c r="AP124">
        <f>'Pretax Fuel Prices'!AP125+'Fuel Taxes'!AP125</f>
        <v>0</v>
      </c>
      <c r="AQ124">
        <f>'Pretax Fuel Prices'!AQ125+'Fuel Taxes'!AQ125</f>
        <v>0</v>
      </c>
      <c r="AR124">
        <f>'Pretax Fuel Prices'!AR125+'Fuel Taxes'!AR125</f>
        <v>0</v>
      </c>
      <c r="AS124">
        <f>'Pretax Fuel Prices'!AS125+'Fuel Taxes'!AS125</f>
        <v>0</v>
      </c>
      <c r="AT124">
        <f>'Pretax Fuel Prices'!AT125+'Fuel Taxes'!AT125</f>
        <v>0</v>
      </c>
      <c r="AU124">
        <f>'Pretax Fuel Prices'!AU125+'Fuel Taxes'!AU125</f>
        <v>0</v>
      </c>
      <c r="AV124">
        <f>'Pretax Fuel Prices'!AV125+'Fuel Taxes'!AV125</f>
        <v>0</v>
      </c>
      <c r="AW124">
        <f>'Pretax Fuel Prices'!AW125+'Fuel Taxes'!AW125</f>
        <v>0</v>
      </c>
      <c r="AX124">
        <f>'Pretax Fuel Prices'!AX125+'Fuel Taxes'!AX125</f>
        <v>0</v>
      </c>
      <c r="AY124">
        <f>'Pretax Fuel Prices'!AY125+'Fuel Taxes'!AY125</f>
        <v>0</v>
      </c>
      <c r="AZ124">
        <f>'Pretax Fuel Prices'!AZ125+'Fuel Taxes'!AZ125</f>
        <v>0</v>
      </c>
    </row>
    <row r="125" spans="1:52" x14ac:dyDescent="0.25">
      <c r="A125" t="s">
        <v>54</v>
      </c>
      <c r="B125">
        <f>'Pretax Fuel Prices'!B126+'Fuel Taxes'!B126</f>
        <v>1.5343880454841564E-5</v>
      </c>
      <c r="C125">
        <f>'Pretax Fuel Prices'!C126+'Fuel Taxes'!C126</f>
        <v>1.8204437679565998E-5</v>
      </c>
      <c r="D125">
        <f>'Pretax Fuel Prices'!D126+'Fuel Taxes'!D126</f>
        <v>1.9674945858759268E-5</v>
      </c>
      <c r="E125">
        <f>'Pretax Fuel Prices'!E126+'Fuel Taxes'!E126</f>
        <v>1.9487733164018152E-5</v>
      </c>
      <c r="F125">
        <f>'Pretax Fuel Prices'!F126+'Fuel Taxes'!F126</f>
        <v>1.9525317033295192E-5</v>
      </c>
      <c r="G125">
        <f>'Pretax Fuel Prices'!G126+'Fuel Taxes'!G126</f>
        <v>1.9477834109871938E-5</v>
      </c>
      <c r="H125">
        <f>'Pretax Fuel Prices'!H126+'Fuel Taxes'!H126</f>
        <v>1.9550357412237516E-5</v>
      </c>
      <c r="I125">
        <f>'Pretax Fuel Prices'!I126+'Fuel Taxes'!I126</f>
        <v>1.9816616803838061E-5</v>
      </c>
      <c r="J125">
        <f>'Pretax Fuel Prices'!J126+'Fuel Taxes'!J126</f>
        <v>2.0258450320655421E-5</v>
      </c>
      <c r="K125">
        <f>'Pretax Fuel Prices'!K126+'Fuel Taxes'!K126</f>
        <v>2.0676214469062992E-5</v>
      </c>
      <c r="L125">
        <f>'Pretax Fuel Prices'!L126+'Fuel Taxes'!L126</f>
        <v>2.1108417527143222E-5</v>
      </c>
      <c r="M125">
        <f>'Pretax Fuel Prices'!M126+'Fuel Taxes'!M126</f>
        <v>2.1674109114322615E-5</v>
      </c>
      <c r="N125">
        <f>'Pretax Fuel Prices'!N126+'Fuel Taxes'!N126</f>
        <v>2.2045189347101149E-5</v>
      </c>
      <c r="O125">
        <f>'Pretax Fuel Prices'!O126+'Fuel Taxes'!O126</f>
        <v>2.2412960857253566E-5</v>
      </c>
      <c r="P125">
        <f>'Pretax Fuel Prices'!P126+'Fuel Taxes'!P126</f>
        <v>2.2683255111119305E-5</v>
      </c>
      <c r="Q125">
        <f>'Pretax Fuel Prices'!Q126+'Fuel Taxes'!Q126</f>
        <v>2.2888277291360661E-5</v>
      </c>
      <c r="R125">
        <f>'Pretax Fuel Prices'!R126+'Fuel Taxes'!R126</f>
        <v>2.3084784065099455E-5</v>
      </c>
      <c r="S125">
        <f>'Pretax Fuel Prices'!S126+'Fuel Taxes'!S126</f>
        <v>2.329800306549064E-5</v>
      </c>
      <c r="T125">
        <f>'Pretax Fuel Prices'!T126+'Fuel Taxes'!T126</f>
        <v>2.3507239736472668E-5</v>
      </c>
      <c r="U125">
        <f>'Pretax Fuel Prices'!U126+'Fuel Taxes'!U126</f>
        <v>2.3662520080481232E-5</v>
      </c>
      <c r="V125">
        <f>'Pretax Fuel Prices'!V126+'Fuel Taxes'!V126</f>
        <v>2.3913354300402255E-5</v>
      </c>
      <c r="W125">
        <f>'Pretax Fuel Prices'!W126+'Fuel Taxes'!W126</f>
        <v>2.4131720673380811E-5</v>
      </c>
      <c r="X125">
        <f>'Pretax Fuel Prices'!X126+'Fuel Taxes'!X126</f>
        <v>2.4250578802074028E-5</v>
      </c>
      <c r="Y125">
        <f>'Pretax Fuel Prices'!Y126+'Fuel Taxes'!Y126</f>
        <v>2.4423375464353984E-5</v>
      </c>
      <c r="Z125">
        <f>'Pretax Fuel Prices'!Z126+'Fuel Taxes'!Z126</f>
        <v>2.4633366236011362E-5</v>
      </c>
      <c r="AA125">
        <f>'Pretax Fuel Prices'!AA126+'Fuel Taxes'!AA126</f>
        <v>2.4752896276879357E-5</v>
      </c>
      <c r="AB125">
        <f>'Pretax Fuel Prices'!AB126+'Fuel Taxes'!AB126</f>
        <v>2.4881529753315858E-5</v>
      </c>
      <c r="AC125">
        <f>'Pretax Fuel Prices'!AC126+'Fuel Taxes'!AC126</f>
        <v>2.4987685098497985E-5</v>
      </c>
      <c r="AD125">
        <f>'Pretax Fuel Prices'!AD126+'Fuel Taxes'!AD126</f>
        <v>2.5063334953101819E-5</v>
      </c>
      <c r="AE125">
        <f>'Pretax Fuel Prices'!AE126+'Fuel Taxes'!AE126</f>
        <v>2.5090511385754874E-5</v>
      </c>
      <c r="AF125">
        <f>'Pretax Fuel Prices'!AF126+'Fuel Taxes'!AF126</f>
        <v>2.5093519315414986E-5</v>
      </c>
      <c r="AG125">
        <f>'Pretax Fuel Prices'!AG126+'Fuel Taxes'!AG126</f>
        <v>2.512689534276858E-5</v>
      </c>
      <c r="AH125">
        <f>'Pretax Fuel Prices'!AH126+'Fuel Taxes'!AH126</f>
        <v>2.5160150043717718E-5</v>
      </c>
      <c r="AI125">
        <f>'Pretax Fuel Prices'!AI126+'Fuel Taxes'!AI126</f>
        <v>2.519340474466686E-5</v>
      </c>
      <c r="AJ125">
        <f>'Pretax Fuel Prices'!AJ126+'Fuel Taxes'!AJ126</f>
        <v>2.5226659445616002E-5</v>
      </c>
      <c r="AK125">
        <f>'Pretax Fuel Prices'!AK126+'Fuel Taxes'!AK126</f>
        <v>2.5259914146565143E-5</v>
      </c>
      <c r="AL125">
        <f>'Pretax Fuel Prices'!AL126+'Fuel Taxes'!AL126</f>
        <v>2.5293168847514282E-5</v>
      </c>
      <c r="AM125">
        <f>'Pretax Fuel Prices'!AM126+'Fuel Taxes'!AM126</f>
        <v>2.5326423548463427E-5</v>
      </c>
      <c r="AN125">
        <f>'Pretax Fuel Prices'!AN126+'Fuel Taxes'!AN126</f>
        <v>2.5359678249412565E-5</v>
      </c>
      <c r="AO125">
        <f>'Pretax Fuel Prices'!AO126+'Fuel Taxes'!AO126</f>
        <v>2.5392932950361707E-5</v>
      </c>
      <c r="AP125">
        <f>'Pretax Fuel Prices'!AP126+'Fuel Taxes'!AP126</f>
        <v>2.5426187651310848E-5</v>
      </c>
      <c r="AQ125">
        <f>'Pretax Fuel Prices'!AQ126+'Fuel Taxes'!AQ126</f>
        <v>2.545944235225999E-5</v>
      </c>
      <c r="AR125">
        <f>'Pretax Fuel Prices'!AR126+'Fuel Taxes'!AR126</f>
        <v>2.5492697053209128E-5</v>
      </c>
      <c r="AS125">
        <f>'Pretax Fuel Prices'!AS126+'Fuel Taxes'!AS126</f>
        <v>2.5525951754158273E-5</v>
      </c>
      <c r="AT125">
        <f>'Pretax Fuel Prices'!AT126+'Fuel Taxes'!AT126</f>
        <v>2.5559206455107412E-5</v>
      </c>
      <c r="AU125">
        <f>'Pretax Fuel Prices'!AU126+'Fuel Taxes'!AU126</f>
        <v>2.5592461156056553E-5</v>
      </c>
      <c r="AV125">
        <f>'Pretax Fuel Prices'!AV126+'Fuel Taxes'!AV126</f>
        <v>2.5625715857005695E-5</v>
      </c>
      <c r="AW125">
        <f>'Pretax Fuel Prices'!AW126+'Fuel Taxes'!AW126</f>
        <v>2.5658970557954837E-5</v>
      </c>
      <c r="AX125">
        <f>'Pretax Fuel Prices'!AX126+'Fuel Taxes'!AX126</f>
        <v>2.5692225258903975E-5</v>
      </c>
      <c r="AY125">
        <f>'Pretax Fuel Prices'!AY126+'Fuel Taxes'!AY126</f>
        <v>2.572547995985312E-5</v>
      </c>
      <c r="AZ125">
        <f>'Pretax Fuel Prices'!AZ126+'Fuel Taxes'!AZ126</f>
        <v>2.5758734660802258E-5</v>
      </c>
    </row>
    <row r="126" spans="1:52" x14ac:dyDescent="0.25">
      <c r="A126" t="s">
        <v>55</v>
      </c>
      <c r="B126">
        <f>'Pretax Fuel Prices'!B127+'Fuel Taxes'!B127</f>
        <v>1.1328563842008262E-5</v>
      </c>
      <c r="C126">
        <f>'Pretax Fuel Prices'!C127+'Fuel Taxes'!C127</f>
        <v>1.5922701038690627E-5</v>
      </c>
      <c r="D126">
        <f>'Pretax Fuel Prices'!D127+'Fuel Taxes'!D127</f>
        <v>1.6784696574602351E-5</v>
      </c>
      <c r="E126">
        <f>'Pretax Fuel Prices'!E127+'Fuel Taxes'!E127</f>
        <v>1.5469792409595152E-5</v>
      </c>
      <c r="F126">
        <f>'Pretax Fuel Prices'!F127+'Fuel Taxes'!F127</f>
        <v>1.5406669099243457E-5</v>
      </c>
      <c r="G126">
        <f>'Pretax Fuel Prices'!G127+'Fuel Taxes'!G127</f>
        <v>1.530015280250212E-5</v>
      </c>
      <c r="H126">
        <f>'Pretax Fuel Prices'!H127+'Fuel Taxes'!H127</f>
        <v>1.5412087609152301E-5</v>
      </c>
      <c r="I126">
        <f>'Pretax Fuel Prices'!I127+'Fuel Taxes'!I127</f>
        <v>1.5739649454530017E-5</v>
      </c>
      <c r="J126">
        <f>'Pretax Fuel Prices'!J127+'Fuel Taxes'!J127</f>
        <v>1.6200370227700481E-5</v>
      </c>
      <c r="K126">
        <f>'Pretax Fuel Prices'!K127+'Fuel Taxes'!K127</f>
        <v>1.6516043548835662E-5</v>
      </c>
      <c r="L126">
        <f>'Pretax Fuel Prices'!L127+'Fuel Taxes'!L127</f>
        <v>1.684015347718935E-5</v>
      </c>
      <c r="M126">
        <f>'Pretax Fuel Prices'!M127+'Fuel Taxes'!M127</f>
        <v>1.7337982782020146E-5</v>
      </c>
      <c r="N126">
        <f>'Pretax Fuel Prices'!N127+'Fuel Taxes'!N127</f>
        <v>1.7575164390500785E-5</v>
      </c>
      <c r="O126">
        <f>'Pretax Fuel Prices'!O127+'Fuel Taxes'!O127</f>
        <v>1.7830311388441525E-5</v>
      </c>
      <c r="P126">
        <f>'Pretax Fuel Prices'!P127+'Fuel Taxes'!P127</f>
        <v>1.7970070815403914E-5</v>
      </c>
      <c r="Q126">
        <f>'Pretax Fuel Prices'!Q127+'Fuel Taxes'!Q127</f>
        <v>1.8063961433309959E-5</v>
      </c>
      <c r="R126">
        <f>'Pretax Fuel Prices'!R127+'Fuel Taxes'!R127</f>
        <v>1.8187716132568177E-5</v>
      </c>
      <c r="S126">
        <f>'Pretax Fuel Prices'!S127+'Fuel Taxes'!S127</f>
        <v>1.8346535665926109E-5</v>
      </c>
      <c r="T126">
        <f>'Pretax Fuel Prices'!T127+'Fuel Taxes'!T127</f>
        <v>1.849418773085581E-5</v>
      </c>
      <c r="U126">
        <f>'Pretax Fuel Prices'!U127+'Fuel Taxes'!U127</f>
        <v>1.8570280725519426E-5</v>
      </c>
      <c r="V126">
        <f>'Pretax Fuel Prices'!V127+'Fuel Taxes'!V127</f>
        <v>1.8801293112632387E-5</v>
      </c>
      <c r="W126">
        <f>'Pretax Fuel Prices'!W127+'Fuel Taxes'!W127</f>
        <v>1.8946834542975234E-5</v>
      </c>
      <c r="X126">
        <f>'Pretax Fuel Prices'!X127+'Fuel Taxes'!X127</f>
        <v>1.8966670779953498E-5</v>
      </c>
      <c r="Y126">
        <f>'Pretax Fuel Prices'!Y127+'Fuel Taxes'!Y127</f>
        <v>1.9109191571074281E-5</v>
      </c>
      <c r="Z126">
        <f>'Pretax Fuel Prices'!Z127+'Fuel Taxes'!Z127</f>
        <v>1.9285475737151708E-5</v>
      </c>
      <c r="AA126">
        <f>'Pretax Fuel Prices'!AA127+'Fuel Taxes'!AA127</f>
        <v>1.9319105238055869E-5</v>
      </c>
      <c r="AB126">
        <f>'Pretax Fuel Prices'!AB127+'Fuel Taxes'!AB127</f>
        <v>1.9404775311296452E-5</v>
      </c>
      <c r="AC126">
        <f>'Pretax Fuel Prices'!AC127+'Fuel Taxes'!AC127</f>
        <v>1.9464257755803221E-5</v>
      </c>
      <c r="AD126">
        <f>'Pretax Fuel Prices'!AD127+'Fuel Taxes'!AD127</f>
        <v>1.9495108946466397E-5</v>
      </c>
      <c r="AE126">
        <f>'Pretax Fuel Prices'!AE127+'Fuel Taxes'!AE127</f>
        <v>1.9478845791002691E-5</v>
      </c>
      <c r="AF126">
        <f>'Pretax Fuel Prices'!AF127+'Fuel Taxes'!AF127</f>
        <v>1.9457719109835037E-5</v>
      </c>
      <c r="AG126">
        <f>'Pretax Fuel Prices'!AG127+'Fuel Taxes'!AG127</f>
        <v>1.9666344214985123E-5</v>
      </c>
      <c r="AH126">
        <f>'Pretax Fuel Prices'!AH127+'Fuel Taxes'!AH127</f>
        <v>1.9852067698021053E-5</v>
      </c>
      <c r="AI126">
        <f>'Pretax Fuel Prices'!AI127+'Fuel Taxes'!AI127</f>
        <v>2.0037791181056981E-5</v>
      </c>
      <c r="AJ126">
        <f>'Pretax Fuel Prices'!AJ127+'Fuel Taxes'!AJ127</f>
        <v>2.0223514664092908E-5</v>
      </c>
      <c r="AK126">
        <f>'Pretax Fuel Prices'!AK127+'Fuel Taxes'!AK127</f>
        <v>2.0409238147128839E-5</v>
      </c>
      <c r="AL126">
        <f>'Pretax Fuel Prices'!AL127+'Fuel Taxes'!AL127</f>
        <v>2.0594961630164766E-5</v>
      </c>
      <c r="AM126">
        <f>'Pretax Fuel Prices'!AM127+'Fuel Taxes'!AM127</f>
        <v>2.0780685113200696E-5</v>
      </c>
      <c r="AN126">
        <f>'Pretax Fuel Prices'!AN127+'Fuel Taxes'!AN127</f>
        <v>2.0966408596236624E-5</v>
      </c>
      <c r="AO126">
        <f>'Pretax Fuel Prices'!AO127+'Fuel Taxes'!AO127</f>
        <v>2.1152132079272554E-5</v>
      </c>
      <c r="AP126">
        <f>'Pretax Fuel Prices'!AP127+'Fuel Taxes'!AP127</f>
        <v>2.1337855562308485E-5</v>
      </c>
      <c r="AQ126">
        <f>'Pretax Fuel Prices'!AQ127+'Fuel Taxes'!AQ127</f>
        <v>2.1523579045344412E-5</v>
      </c>
      <c r="AR126">
        <f>'Pretax Fuel Prices'!AR127+'Fuel Taxes'!AR127</f>
        <v>2.1709302528380343E-5</v>
      </c>
      <c r="AS126">
        <f>'Pretax Fuel Prices'!AS127+'Fuel Taxes'!AS127</f>
        <v>2.189502601141627E-5</v>
      </c>
      <c r="AT126">
        <f>'Pretax Fuel Prices'!AT127+'Fuel Taxes'!AT127</f>
        <v>2.2080749494452197E-5</v>
      </c>
      <c r="AU126">
        <f>'Pretax Fuel Prices'!AU127+'Fuel Taxes'!AU127</f>
        <v>2.2266472977488128E-5</v>
      </c>
      <c r="AV126">
        <f>'Pretax Fuel Prices'!AV127+'Fuel Taxes'!AV127</f>
        <v>2.2452196460524055E-5</v>
      </c>
      <c r="AW126">
        <f>'Pretax Fuel Prices'!AW127+'Fuel Taxes'!AW127</f>
        <v>2.2637919943559986E-5</v>
      </c>
      <c r="AX126">
        <f>'Pretax Fuel Prices'!AX127+'Fuel Taxes'!AX127</f>
        <v>2.2823643426595913E-5</v>
      </c>
      <c r="AY126">
        <f>'Pretax Fuel Prices'!AY127+'Fuel Taxes'!AY127</f>
        <v>2.300936690963184E-5</v>
      </c>
      <c r="AZ126">
        <f>'Pretax Fuel Prices'!AZ127+'Fuel Taxes'!AZ127</f>
        <v>2.3195090392667771E-5</v>
      </c>
    </row>
    <row r="127" spans="1:52" x14ac:dyDescent="0.25">
      <c r="A127" t="s">
        <v>56</v>
      </c>
      <c r="B127">
        <f>'Pretax Fuel Prices'!B128+'Fuel Taxes'!B128</f>
        <v>6.7619363343830057E-6</v>
      </c>
      <c r="C127">
        <f>'Pretax Fuel Prices'!C128+'Fuel Taxes'!C128</f>
        <v>1.1558906837339924E-5</v>
      </c>
      <c r="D127">
        <f>'Pretax Fuel Prices'!D128+'Fuel Taxes'!D128</f>
        <v>1.2263759654766206E-5</v>
      </c>
      <c r="E127">
        <f>'Pretax Fuel Prices'!E128+'Fuel Taxes'!E128</f>
        <v>1.0752880823013616E-5</v>
      </c>
      <c r="F127">
        <f>'Pretax Fuel Prices'!F128+'Fuel Taxes'!F128</f>
        <v>1.0738552062877806E-5</v>
      </c>
      <c r="G127">
        <f>'Pretax Fuel Prices'!G128+'Fuel Taxes'!G128</f>
        <v>1.0637570356711074E-5</v>
      </c>
      <c r="H127">
        <f>'Pretax Fuel Prices'!H128+'Fuel Taxes'!H128</f>
        <v>1.0764577856522861E-5</v>
      </c>
      <c r="I127">
        <f>'Pretax Fuel Prices'!I128+'Fuel Taxes'!I128</f>
        <v>1.1110932907495294E-5</v>
      </c>
      <c r="J127">
        <f>'Pretax Fuel Prices'!J128+'Fuel Taxes'!J128</f>
        <v>1.159232366490755E-5</v>
      </c>
      <c r="K127">
        <f>'Pretax Fuel Prices'!K128+'Fuel Taxes'!K128</f>
        <v>1.1910725305340073E-5</v>
      </c>
      <c r="L127">
        <f>'Pretax Fuel Prices'!L128+'Fuel Taxes'!L128</f>
        <v>1.2247354999512859E-5</v>
      </c>
      <c r="M127">
        <f>'Pretax Fuel Prices'!M128+'Fuel Taxes'!M128</f>
        <v>1.2548870715946412E-5</v>
      </c>
      <c r="N127">
        <f>'Pretax Fuel Prices'!N128+'Fuel Taxes'!N128</f>
        <v>1.2796825796435027E-5</v>
      </c>
      <c r="O127">
        <f>'Pretax Fuel Prices'!O128+'Fuel Taxes'!O128</f>
        <v>1.3036781478636008E-5</v>
      </c>
      <c r="P127">
        <f>'Pretax Fuel Prices'!P128+'Fuel Taxes'!P128</f>
        <v>1.3181539152658962E-5</v>
      </c>
      <c r="Q127">
        <f>'Pretax Fuel Prices'!Q128+'Fuel Taxes'!Q128</f>
        <v>1.3279468022046719E-5</v>
      </c>
      <c r="R127">
        <f>'Pretax Fuel Prices'!R128+'Fuel Taxes'!R128</f>
        <v>1.3414871458478797E-5</v>
      </c>
      <c r="S127">
        <f>'Pretax Fuel Prices'!S128+'Fuel Taxes'!S128</f>
        <v>1.3589587264612316E-5</v>
      </c>
      <c r="T127">
        <f>'Pretax Fuel Prices'!T128+'Fuel Taxes'!T128</f>
        <v>1.3750077681713843E-5</v>
      </c>
      <c r="U127">
        <f>'Pretax Fuel Prices'!U128+'Fuel Taxes'!U128</f>
        <v>1.3829116752836105E-5</v>
      </c>
      <c r="V127">
        <f>'Pretax Fuel Prices'!V128+'Fuel Taxes'!V128</f>
        <v>1.4090926950452079E-5</v>
      </c>
      <c r="W127">
        <f>'Pretax Fuel Prices'!W128+'Fuel Taxes'!W128</f>
        <v>1.4246947838269918E-5</v>
      </c>
      <c r="X127">
        <f>'Pretax Fuel Prices'!X128+'Fuel Taxes'!X128</f>
        <v>1.4261104595667415E-5</v>
      </c>
      <c r="Y127">
        <f>'Pretax Fuel Prices'!Y128+'Fuel Taxes'!Y128</f>
        <v>1.4425249435479938E-5</v>
      </c>
      <c r="Z127">
        <f>'Pretax Fuel Prices'!Z128+'Fuel Taxes'!Z128</f>
        <v>1.4623517754504186E-5</v>
      </c>
      <c r="AA127">
        <f>'Pretax Fuel Prices'!AA128+'Fuel Taxes'!AA128</f>
        <v>1.4652922597018119E-5</v>
      </c>
      <c r="AB127">
        <f>'Pretax Fuel Prices'!AB128+'Fuel Taxes'!AB128</f>
        <v>1.4750884511266923E-5</v>
      </c>
      <c r="AC127">
        <f>'Pretax Fuel Prices'!AC128+'Fuel Taxes'!AC128</f>
        <v>1.481650313228032E-5</v>
      </c>
      <c r="AD127">
        <f>'Pretax Fuel Prices'!AD128+'Fuel Taxes'!AD128</f>
        <v>1.4849753040934418E-5</v>
      </c>
      <c r="AE127">
        <f>'Pretax Fuel Prices'!AE128+'Fuel Taxes'!AE128</f>
        <v>1.4829572798479534E-5</v>
      </c>
      <c r="AF127">
        <f>'Pretax Fuel Prices'!AF128+'Fuel Taxes'!AF128</f>
        <v>1.4806620176912568E-5</v>
      </c>
      <c r="AG127">
        <f>'Pretax Fuel Prices'!AG128+'Fuel Taxes'!AG128</f>
        <v>1.4957382999727877E-5</v>
      </c>
      <c r="AH127">
        <f>'Pretax Fuel Prices'!AH128+'Fuel Taxes'!AH128</f>
        <v>1.4983726341633852E-5</v>
      </c>
      <c r="AI127">
        <f>'Pretax Fuel Prices'!AI128+'Fuel Taxes'!AI128</f>
        <v>1.5010069683539828E-5</v>
      </c>
      <c r="AJ127">
        <f>'Pretax Fuel Prices'!AJ128+'Fuel Taxes'!AJ128</f>
        <v>1.5036413025445803E-5</v>
      </c>
      <c r="AK127">
        <f>'Pretax Fuel Prices'!AK128+'Fuel Taxes'!AK128</f>
        <v>1.5062756367351776E-5</v>
      </c>
      <c r="AL127">
        <f>'Pretax Fuel Prices'!AL128+'Fuel Taxes'!AL128</f>
        <v>1.5089099709257751E-5</v>
      </c>
      <c r="AM127">
        <f>'Pretax Fuel Prices'!AM128+'Fuel Taxes'!AM128</f>
        <v>1.5115443051163728E-5</v>
      </c>
      <c r="AN127">
        <f>'Pretax Fuel Prices'!AN128+'Fuel Taxes'!AN128</f>
        <v>1.5141786393069703E-5</v>
      </c>
      <c r="AO127">
        <f>'Pretax Fuel Prices'!AO128+'Fuel Taxes'!AO128</f>
        <v>1.5168129734975678E-5</v>
      </c>
      <c r="AP127">
        <f>'Pretax Fuel Prices'!AP128+'Fuel Taxes'!AP128</f>
        <v>1.5194473076881653E-5</v>
      </c>
      <c r="AQ127">
        <f>'Pretax Fuel Prices'!AQ128+'Fuel Taxes'!AQ128</f>
        <v>1.5220816418787626E-5</v>
      </c>
      <c r="AR127">
        <f>'Pretax Fuel Prices'!AR128+'Fuel Taxes'!AR128</f>
        <v>1.5247159760693601E-5</v>
      </c>
      <c r="AS127">
        <f>'Pretax Fuel Prices'!AS128+'Fuel Taxes'!AS128</f>
        <v>1.5273503102599576E-5</v>
      </c>
      <c r="AT127">
        <f>'Pretax Fuel Prices'!AT128+'Fuel Taxes'!AT128</f>
        <v>1.5299846444505552E-5</v>
      </c>
      <c r="AU127">
        <f>'Pretax Fuel Prices'!AU128+'Fuel Taxes'!AU128</f>
        <v>1.5326189786411527E-5</v>
      </c>
      <c r="AV127">
        <f>'Pretax Fuel Prices'!AV128+'Fuel Taxes'!AV128</f>
        <v>1.5352533128317502E-5</v>
      </c>
      <c r="AW127">
        <f>'Pretax Fuel Prices'!AW128+'Fuel Taxes'!AW128</f>
        <v>1.5378876470223477E-5</v>
      </c>
      <c r="AX127">
        <f>'Pretax Fuel Prices'!AX128+'Fuel Taxes'!AX128</f>
        <v>1.5405219812129452E-5</v>
      </c>
      <c r="AY127">
        <f>'Pretax Fuel Prices'!AY128+'Fuel Taxes'!AY128</f>
        <v>1.5431563154035427E-5</v>
      </c>
      <c r="AZ127">
        <f>'Pretax Fuel Prices'!AZ128+'Fuel Taxes'!AZ128</f>
        <v>1.5457906495941402E-5</v>
      </c>
    </row>
    <row r="128" spans="1:52" x14ac:dyDescent="0.25">
      <c r="A128" t="s">
        <v>57</v>
      </c>
      <c r="B128">
        <f>'Pretax Fuel Prices'!B129+'Fuel Taxes'!B129</f>
        <v>0</v>
      </c>
      <c r="C128">
        <f>'Pretax Fuel Prices'!C129+'Fuel Taxes'!C129</f>
        <v>0</v>
      </c>
      <c r="D128">
        <f>'Pretax Fuel Prices'!D129+'Fuel Taxes'!D129</f>
        <v>0</v>
      </c>
      <c r="E128">
        <f>'Pretax Fuel Prices'!E129+'Fuel Taxes'!E129</f>
        <v>0</v>
      </c>
      <c r="F128">
        <f>'Pretax Fuel Prices'!F129+'Fuel Taxes'!F129</f>
        <v>0</v>
      </c>
      <c r="G128">
        <f>'Pretax Fuel Prices'!G129+'Fuel Taxes'!G129</f>
        <v>0</v>
      </c>
      <c r="H128">
        <f>'Pretax Fuel Prices'!H129+'Fuel Taxes'!H129</f>
        <v>0</v>
      </c>
      <c r="I128">
        <f>'Pretax Fuel Prices'!I129+'Fuel Taxes'!I129</f>
        <v>0</v>
      </c>
      <c r="J128">
        <f>'Pretax Fuel Prices'!J129+'Fuel Taxes'!J129</f>
        <v>0</v>
      </c>
      <c r="K128">
        <f>'Pretax Fuel Prices'!K129+'Fuel Taxes'!K129</f>
        <v>0</v>
      </c>
      <c r="L128">
        <f>'Pretax Fuel Prices'!L129+'Fuel Taxes'!L129</f>
        <v>0</v>
      </c>
      <c r="M128">
        <f>'Pretax Fuel Prices'!M129+'Fuel Taxes'!M129</f>
        <v>0</v>
      </c>
      <c r="N128">
        <f>'Pretax Fuel Prices'!N129+'Fuel Taxes'!N129</f>
        <v>0</v>
      </c>
      <c r="O128">
        <f>'Pretax Fuel Prices'!O129+'Fuel Taxes'!O129</f>
        <v>0</v>
      </c>
      <c r="P128">
        <f>'Pretax Fuel Prices'!P129+'Fuel Taxes'!P129</f>
        <v>0</v>
      </c>
      <c r="Q128">
        <f>'Pretax Fuel Prices'!Q129+'Fuel Taxes'!Q129</f>
        <v>0</v>
      </c>
      <c r="R128">
        <f>'Pretax Fuel Prices'!R129+'Fuel Taxes'!R129</f>
        <v>0</v>
      </c>
      <c r="S128">
        <f>'Pretax Fuel Prices'!S129+'Fuel Taxes'!S129</f>
        <v>0</v>
      </c>
      <c r="T128">
        <f>'Pretax Fuel Prices'!T129+'Fuel Taxes'!T129</f>
        <v>0</v>
      </c>
      <c r="U128">
        <f>'Pretax Fuel Prices'!U129+'Fuel Taxes'!U129</f>
        <v>0</v>
      </c>
      <c r="V128">
        <f>'Pretax Fuel Prices'!V129+'Fuel Taxes'!V129</f>
        <v>0</v>
      </c>
      <c r="W128">
        <f>'Pretax Fuel Prices'!W129+'Fuel Taxes'!W129</f>
        <v>0</v>
      </c>
      <c r="X128">
        <f>'Pretax Fuel Prices'!X129+'Fuel Taxes'!X129</f>
        <v>0</v>
      </c>
      <c r="Y128">
        <f>'Pretax Fuel Prices'!Y129+'Fuel Taxes'!Y129</f>
        <v>0</v>
      </c>
      <c r="Z128">
        <f>'Pretax Fuel Prices'!Z129+'Fuel Taxes'!Z129</f>
        <v>0</v>
      </c>
      <c r="AA128">
        <f>'Pretax Fuel Prices'!AA129+'Fuel Taxes'!AA129</f>
        <v>0</v>
      </c>
      <c r="AB128">
        <f>'Pretax Fuel Prices'!AB129+'Fuel Taxes'!AB129</f>
        <v>0</v>
      </c>
      <c r="AC128">
        <f>'Pretax Fuel Prices'!AC129+'Fuel Taxes'!AC129</f>
        <v>0</v>
      </c>
      <c r="AD128">
        <f>'Pretax Fuel Prices'!AD129+'Fuel Taxes'!AD129</f>
        <v>0</v>
      </c>
      <c r="AE128">
        <f>'Pretax Fuel Prices'!AE129+'Fuel Taxes'!AE129</f>
        <v>0</v>
      </c>
      <c r="AF128">
        <f>'Pretax Fuel Prices'!AF129+'Fuel Taxes'!AF129</f>
        <v>0</v>
      </c>
      <c r="AG128">
        <f>'Pretax Fuel Prices'!AG129+'Fuel Taxes'!AG129</f>
        <v>0</v>
      </c>
      <c r="AH128">
        <f>'Pretax Fuel Prices'!AH129+'Fuel Taxes'!AH129</f>
        <v>0</v>
      </c>
      <c r="AI128">
        <f>'Pretax Fuel Prices'!AI129+'Fuel Taxes'!AI129</f>
        <v>0</v>
      </c>
      <c r="AJ128">
        <f>'Pretax Fuel Prices'!AJ129+'Fuel Taxes'!AJ129</f>
        <v>0</v>
      </c>
      <c r="AK128">
        <f>'Pretax Fuel Prices'!AK129+'Fuel Taxes'!AK129</f>
        <v>0</v>
      </c>
      <c r="AL128">
        <f>'Pretax Fuel Prices'!AL129+'Fuel Taxes'!AL129</f>
        <v>0</v>
      </c>
      <c r="AM128">
        <f>'Pretax Fuel Prices'!AM129+'Fuel Taxes'!AM129</f>
        <v>0</v>
      </c>
      <c r="AN128">
        <f>'Pretax Fuel Prices'!AN129+'Fuel Taxes'!AN129</f>
        <v>0</v>
      </c>
      <c r="AO128">
        <f>'Pretax Fuel Prices'!AO129+'Fuel Taxes'!AO129</f>
        <v>0</v>
      </c>
      <c r="AP128">
        <f>'Pretax Fuel Prices'!AP129+'Fuel Taxes'!AP129</f>
        <v>0</v>
      </c>
      <c r="AQ128">
        <f>'Pretax Fuel Prices'!AQ129+'Fuel Taxes'!AQ129</f>
        <v>0</v>
      </c>
      <c r="AR128">
        <f>'Pretax Fuel Prices'!AR129+'Fuel Taxes'!AR129</f>
        <v>0</v>
      </c>
      <c r="AS128">
        <f>'Pretax Fuel Prices'!AS129+'Fuel Taxes'!AS129</f>
        <v>0</v>
      </c>
      <c r="AT128">
        <f>'Pretax Fuel Prices'!AT129+'Fuel Taxes'!AT129</f>
        <v>0</v>
      </c>
      <c r="AU128">
        <f>'Pretax Fuel Prices'!AU129+'Fuel Taxes'!AU129</f>
        <v>0</v>
      </c>
      <c r="AV128">
        <f>'Pretax Fuel Prices'!AV129+'Fuel Taxes'!AV129</f>
        <v>0</v>
      </c>
      <c r="AW128">
        <f>'Pretax Fuel Prices'!AW129+'Fuel Taxes'!AW129</f>
        <v>0</v>
      </c>
      <c r="AX128">
        <f>'Pretax Fuel Prices'!AX129+'Fuel Taxes'!AX129</f>
        <v>0</v>
      </c>
      <c r="AY128">
        <f>'Pretax Fuel Prices'!AY129+'Fuel Taxes'!AY129</f>
        <v>0</v>
      </c>
      <c r="AZ128">
        <f>'Pretax Fuel Prices'!AZ129+'Fuel Taxes'!AZ129</f>
        <v>0</v>
      </c>
    </row>
    <row r="129" spans="1:52" x14ac:dyDescent="0.25">
      <c r="A129" t="s">
        <v>58</v>
      </c>
      <c r="B129">
        <f>'Pretax Fuel Prices'!B130+'Fuel Taxes'!B130</f>
        <v>0</v>
      </c>
      <c r="C129">
        <f>'Pretax Fuel Prices'!C130+'Fuel Taxes'!C130</f>
        <v>0</v>
      </c>
      <c r="D129">
        <f>'Pretax Fuel Prices'!D130+'Fuel Taxes'!D130</f>
        <v>0</v>
      </c>
      <c r="E129">
        <f>'Pretax Fuel Prices'!E130+'Fuel Taxes'!E130</f>
        <v>0</v>
      </c>
      <c r="F129">
        <f>'Pretax Fuel Prices'!F130+'Fuel Taxes'!F130</f>
        <v>0</v>
      </c>
      <c r="G129">
        <f>'Pretax Fuel Prices'!G130+'Fuel Taxes'!G130</f>
        <v>0</v>
      </c>
      <c r="H129">
        <f>'Pretax Fuel Prices'!H130+'Fuel Taxes'!H130</f>
        <v>0</v>
      </c>
      <c r="I129">
        <f>'Pretax Fuel Prices'!I130+'Fuel Taxes'!I130</f>
        <v>0</v>
      </c>
      <c r="J129">
        <f>'Pretax Fuel Prices'!J130+'Fuel Taxes'!J130</f>
        <v>0</v>
      </c>
      <c r="K129">
        <f>'Pretax Fuel Prices'!K130+'Fuel Taxes'!K130</f>
        <v>0</v>
      </c>
      <c r="L129">
        <f>'Pretax Fuel Prices'!L130+'Fuel Taxes'!L130</f>
        <v>0</v>
      </c>
      <c r="M129">
        <f>'Pretax Fuel Prices'!M130+'Fuel Taxes'!M130</f>
        <v>0</v>
      </c>
      <c r="N129">
        <f>'Pretax Fuel Prices'!N130+'Fuel Taxes'!N130</f>
        <v>0</v>
      </c>
      <c r="O129">
        <f>'Pretax Fuel Prices'!O130+'Fuel Taxes'!O130</f>
        <v>0</v>
      </c>
      <c r="P129">
        <f>'Pretax Fuel Prices'!P130+'Fuel Taxes'!P130</f>
        <v>0</v>
      </c>
      <c r="Q129">
        <f>'Pretax Fuel Prices'!Q130+'Fuel Taxes'!Q130</f>
        <v>0</v>
      </c>
      <c r="R129">
        <f>'Pretax Fuel Prices'!R130+'Fuel Taxes'!R130</f>
        <v>0</v>
      </c>
      <c r="S129">
        <f>'Pretax Fuel Prices'!S130+'Fuel Taxes'!S130</f>
        <v>0</v>
      </c>
      <c r="T129">
        <f>'Pretax Fuel Prices'!T130+'Fuel Taxes'!T130</f>
        <v>0</v>
      </c>
      <c r="U129">
        <f>'Pretax Fuel Prices'!U130+'Fuel Taxes'!U130</f>
        <v>0</v>
      </c>
      <c r="V129">
        <f>'Pretax Fuel Prices'!V130+'Fuel Taxes'!V130</f>
        <v>0</v>
      </c>
      <c r="W129">
        <f>'Pretax Fuel Prices'!W130+'Fuel Taxes'!W130</f>
        <v>0</v>
      </c>
      <c r="X129">
        <f>'Pretax Fuel Prices'!X130+'Fuel Taxes'!X130</f>
        <v>0</v>
      </c>
      <c r="Y129">
        <f>'Pretax Fuel Prices'!Y130+'Fuel Taxes'!Y130</f>
        <v>0</v>
      </c>
      <c r="Z129">
        <f>'Pretax Fuel Prices'!Z130+'Fuel Taxes'!Z130</f>
        <v>0</v>
      </c>
      <c r="AA129">
        <f>'Pretax Fuel Prices'!AA130+'Fuel Taxes'!AA130</f>
        <v>0</v>
      </c>
      <c r="AB129">
        <f>'Pretax Fuel Prices'!AB130+'Fuel Taxes'!AB130</f>
        <v>0</v>
      </c>
      <c r="AC129">
        <f>'Pretax Fuel Prices'!AC130+'Fuel Taxes'!AC130</f>
        <v>0</v>
      </c>
      <c r="AD129">
        <f>'Pretax Fuel Prices'!AD130+'Fuel Taxes'!AD130</f>
        <v>0</v>
      </c>
      <c r="AE129">
        <f>'Pretax Fuel Prices'!AE130+'Fuel Taxes'!AE130</f>
        <v>0</v>
      </c>
      <c r="AF129">
        <f>'Pretax Fuel Prices'!AF130+'Fuel Taxes'!AF130</f>
        <v>0</v>
      </c>
      <c r="AG129">
        <f>'Pretax Fuel Prices'!AG130+'Fuel Taxes'!AG130</f>
        <v>0</v>
      </c>
      <c r="AH129">
        <f>'Pretax Fuel Prices'!AH130+'Fuel Taxes'!AH130</f>
        <v>0</v>
      </c>
      <c r="AI129">
        <f>'Pretax Fuel Prices'!AI130+'Fuel Taxes'!AI130</f>
        <v>0</v>
      </c>
      <c r="AJ129">
        <f>'Pretax Fuel Prices'!AJ130+'Fuel Taxes'!AJ130</f>
        <v>0</v>
      </c>
      <c r="AK129">
        <f>'Pretax Fuel Prices'!AK130+'Fuel Taxes'!AK130</f>
        <v>0</v>
      </c>
      <c r="AL129">
        <f>'Pretax Fuel Prices'!AL130+'Fuel Taxes'!AL130</f>
        <v>0</v>
      </c>
      <c r="AM129">
        <f>'Pretax Fuel Prices'!AM130+'Fuel Taxes'!AM130</f>
        <v>0</v>
      </c>
      <c r="AN129">
        <f>'Pretax Fuel Prices'!AN130+'Fuel Taxes'!AN130</f>
        <v>0</v>
      </c>
      <c r="AO129">
        <f>'Pretax Fuel Prices'!AO130+'Fuel Taxes'!AO130</f>
        <v>0</v>
      </c>
      <c r="AP129">
        <f>'Pretax Fuel Prices'!AP130+'Fuel Taxes'!AP130</f>
        <v>0</v>
      </c>
      <c r="AQ129">
        <f>'Pretax Fuel Prices'!AQ130+'Fuel Taxes'!AQ130</f>
        <v>0</v>
      </c>
      <c r="AR129">
        <f>'Pretax Fuel Prices'!AR130+'Fuel Taxes'!AR130</f>
        <v>0</v>
      </c>
      <c r="AS129">
        <f>'Pretax Fuel Prices'!AS130+'Fuel Taxes'!AS130</f>
        <v>0</v>
      </c>
      <c r="AT129">
        <f>'Pretax Fuel Prices'!AT130+'Fuel Taxes'!AT130</f>
        <v>0</v>
      </c>
      <c r="AU129">
        <f>'Pretax Fuel Prices'!AU130+'Fuel Taxes'!AU130</f>
        <v>0</v>
      </c>
      <c r="AV129">
        <f>'Pretax Fuel Prices'!AV130+'Fuel Taxes'!AV130</f>
        <v>0</v>
      </c>
      <c r="AW129">
        <f>'Pretax Fuel Prices'!AW130+'Fuel Taxes'!AW130</f>
        <v>0</v>
      </c>
      <c r="AX129">
        <f>'Pretax Fuel Prices'!AX130+'Fuel Taxes'!AX130</f>
        <v>0</v>
      </c>
      <c r="AY129">
        <f>'Pretax Fuel Prices'!AY130+'Fuel Taxes'!AY130</f>
        <v>0</v>
      </c>
      <c r="AZ129">
        <f>'Pretax Fuel Prices'!AZ130+'Fuel Taxes'!AZ130</f>
        <v>0</v>
      </c>
    </row>
    <row r="130" spans="1:52" x14ac:dyDescent="0.25">
      <c r="A130" t="s">
        <v>59</v>
      </c>
      <c r="B130">
        <f>'Pretax Fuel Prices'!B131+'Fuel Taxes'!B131</f>
        <v>6.7619363343830057E-6</v>
      </c>
      <c r="C130">
        <f>'Pretax Fuel Prices'!C131+'Fuel Taxes'!C131</f>
        <v>1.1558906837339924E-5</v>
      </c>
      <c r="D130">
        <f>'Pretax Fuel Prices'!D131+'Fuel Taxes'!D131</f>
        <v>1.2263759654766206E-5</v>
      </c>
      <c r="E130">
        <f>'Pretax Fuel Prices'!E131+'Fuel Taxes'!E131</f>
        <v>1.0752880823013616E-5</v>
      </c>
      <c r="F130">
        <f>'Pretax Fuel Prices'!F131+'Fuel Taxes'!F131</f>
        <v>1.0738552062877806E-5</v>
      </c>
      <c r="G130">
        <f>'Pretax Fuel Prices'!G131+'Fuel Taxes'!G131</f>
        <v>1.0637570356711074E-5</v>
      </c>
      <c r="H130">
        <f>'Pretax Fuel Prices'!H131+'Fuel Taxes'!H131</f>
        <v>1.0764577856522861E-5</v>
      </c>
      <c r="I130">
        <f>'Pretax Fuel Prices'!I131+'Fuel Taxes'!I131</f>
        <v>1.1110932907495294E-5</v>
      </c>
      <c r="J130">
        <f>'Pretax Fuel Prices'!J131+'Fuel Taxes'!J131</f>
        <v>1.159232366490755E-5</v>
      </c>
      <c r="K130">
        <f>'Pretax Fuel Prices'!K131+'Fuel Taxes'!K131</f>
        <v>1.1910725305340073E-5</v>
      </c>
      <c r="L130">
        <f>'Pretax Fuel Prices'!L131+'Fuel Taxes'!L131</f>
        <v>1.2247354999512859E-5</v>
      </c>
      <c r="M130">
        <f>'Pretax Fuel Prices'!M131+'Fuel Taxes'!M131</f>
        <v>1.2548870715946412E-5</v>
      </c>
      <c r="N130">
        <f>'Pretax Fuel Prices'!N131+'Fuel Taxes'!N131</f>
        <v>1.2796825796435027E-5</v>
      </c>
      <c r="O130">
        <f>'Pretax Fuel Prices'!O131+'Fuel Taxes'!O131</f>
        <v>1.3036781478636008E-5</v>
      </c>
      <c r="P130">
        <f>'Pretax Fuel Prices'!P131+'Fuel Taxes'!P131</f>
        <v>1.3181539152658962E-5</v>
      </c>
      <c r="Q130">
        <f>'Pretax Fuel Prices'!Q131+'Fuel Taxes'!Q131</f>
        <v>1.3279468022046719E-5</v>
      </c>
      <c r="R130">
        <f>'Pretax Fuel Prices'!R131+'Fuel Taxes'!R131</f>
        <v>1.3414871458478797E-5</v>
      </c>
      <c r="S130">
        <f>'Pretax Fuel Prices'!S131+'Fuel Taxes'!S131</f>
        <v>1.3589587264612316E-5</v>
      </c>
      <c r="T130">
        <f>'Pretax Fuel Prices'!T131+'Fuel Taxes'!T131</f>
        <v>1.3750077681713843E-5</v>
      </c>
      <c r="U130">
        <f>'Pretax Fuel Prices'!U131+'Fuel Taxes'!U131</f>
        <v>1.3829116752836105E-5</v>
      </c>
      <c r="V130">
        <f>'Pretax Fuel Prices'!V131+'Fuel Taxes'!V131</f>
        <v>1.4090926950452079E-5</v>
      </c>
      <c r="W130">
        <f>'Pretax Fuel Prices'!W131+'Fuel Taxes'!W131</f>
        <v>1.4246947838269918E-5</v>
      </c>
      <c r="X130">
        <f>'Pretax Fuel Prices'!X131+'Fuel Taxes'!X131</f>
        <v>1.4261104595667415E-5</v>
      </c>
      <c r="Y130">
        <f>'Pretax Fuel Prices'!Y131+'Fuel Taxes'!Y131</f>
        <v>1.4425249435479938E-5</v>
      </c>
      <c r="Z130">
        <f>'Pretax Fuel Prices'!Z131+'Fuel Taxes'!Z131</f>
        <v>1.4623517754504186E-5</v>
      </c>
      <c r="AA130">
        <f>'Pretax Fuel Prices'!AA131+'Fuel Taxes'!AA131</f>
        <v>1.4652922597018119E-5</v>
      </c>
      <c r="AB130">
        <f>'Pretax Fuel Prices'!AB131+'Fuel Taxes'!AB131</f>
        <v>1.4750884511266923E-5</v>
      </c>
      <c r="AC130">
        <f>'Pretax Fuel Prices'!AC131+'Fuel Taxes'!AC131</f>
        <v>1.481650313228032E-5</v>
      </c>
      <c r="AD130">
        <f>'Pretax Fuel Prices'!AD131+'Fuel Taxes'!AD131</f>
        <v>1.4849753040934418E-5</v>
      </c>
      <c r="AE130">
        <f>'Pretax Fuel Prices'!AE131+'Fuel Taxes'!AE131</f>
        <v>1.4829572798479534E-5</v>
      </c>
      <c r="AF130">
        <f>'Pretax Fuel Prices'!AF131+'Fuel Taxes'!AF131</f>
        <v>1.4806620176912568E-5</v>
      </c>
      <c r="AG130">
        <f>'Pretax Fuel Prices'!AG131+'Fuel Taxes'!AG131</f>
        <v>1.4957382999727877E-5</v>
      </c>
      <c r="AH130">
        <f>'Pretax Fuel Prices'!AH131+'Fuel Taxes'!AH131</f>
        <v>1.4983726341633852E-5</v>
      </c>
      <c r="AI130">
        <f>'Pretax Fuel Prices'!AI131+'Fuel Taxes'!AI131</f>
        <v>1.5010069683539828E-5</v>
      </c>
      <c r="AJ130">
        <f>'Pretax Fuel Prices'!AJ131+'Fuel Taxes'!AJ131</f>
        <v>1.5036413025445803E-5</v>
      </c>
      <c r="AK130">
        <f>'Pretax Fuel Prices'!AK131+'Fuel Taxes'!AK131</f>
        <v>1.5062756367351776E-5</v>
      </c>
      <c r="AL130">
        <f>'Pretax Fuel Prices'!AL131+'Fuel Taxes'!AL131</f>
        <v>1.5089099709257751E-5</v>
      </c>
      <c r="AM130">
        <f>'Pretax Fuel Prices'!AM131+'Fuel Taxes'!AM131</f>
        <v>1.5115443051163728E-5</v>
      </c>
      <c r="AN130">
        <f>'Pretax Fuel Prices'!AN131+'Fuel Taxes'!AN131</f>
        <v>1.5141786393069703E-5</v>
      </c>
      <c r="AO130">
        <f>'Pretax Fuel Prices'!AO131+'Fuel Taxes'!AO131</f>
        <v>1.5168129734975678E-5</v>
      </c>
      <c r="AP130">
        <f>'Pretax Fuel Prices'!AP131+'Fuel Taxes'!AP131</f>
        <v>1.5194473076881653E-5</v>
      </c>
      <c r="AQ130">
        <f>'Pretax Fuel Prices'!AQ131+'Fuel Taxes'!AQ131</f>
        <v>1.5220816418787626E-5</v>
      </c>
      <c r="AR130">
        <f>'Pretax Fuel Prices'!AR131+'Fuel Taxes'!AR131</f>
        <v>1.5247159760693601E-5</v>
      </c>
      <c r="AS130">
        <f>'Pretax Fuel Prices'!AS131+'Fuel Taxes'!AS131</f>
        <v>1.5273503102599576E-5</v>
      </c>
      <c r="AT130">
        <f>'Pretax Fuel Prices'!AT131+'Fuel Taxes'!AT131</f>
        <v>1.5299846444505552E-5</v>
      </c>
      <c r="AU130">
        <f>'Pretax Fuel Prices'!AU131+'Fuel Taxes'!AU131</f>
        <v>1.5326189786411527E-5</v>
      </c>
      <c r="AV130">
        <f>'Pretax Fuel Prices'!AV131+'Fuel Taxes'!AV131</f>
        <v>1.5352533128317502E-5</v>
      </c>
      <c r="AW130">
        <f>'Pretax Fuel Prices'!AW131+'Fuel Taxes'!AW131</f>
        <v>1.5378876470223477E-5</v>
      </c>
      <c r="AX130">
        <f>'Pretax Fuel Prices'!AX131+'Fuel Taxes'!AX131</f>
        <v>1.5405219812129452E-5</v>
      </c>
      <c r="AY130">
        <f>'Pretax Fuel Prices'!AY131+'Fuel Taxes'!AY131</f>
        <v>1.5431563154035427E-5</v>
      </c>
      <c r="AZ130">
        <f>'Pretax Fuel Prices'!AZ131+'Fuel Taxes'!AZ131</f>
        <v>1.5457906495941402E-5</v>
      </c>
    </row>
    <row r="131" spans="1:52" s="3" customFormat="1" x14ac:dyDescent="0.25">
      <c r="A131" s="5" t="s">
        <v>49</v>
      </c>
    </row>
    <row r="132" spans="1:52" x14ac:dyDescent="0.25">
      <c r="A132" t="s">
        <v>30</v>
      </c>
      <c r="B132">
        <f>'Fuel Taxes'!B$1</f>
        <v>2020</v>
      </c>
      <c r="C132">
        <f>'Fuel Taxes'!C$1</f>
        <v>2021</v>
      </c>
      <c r="D132">
        <f>'Fuel Taxes'!D$1</f>
        <v>2022</v>
      </c>
      <c r="E132">
        <f>'Fuel Taxes'!E$1</f>
        <v>2023</v>
      </c>
      <c r="F132">
        <f>'Fuel Taxes'!F$1</f>
        <v>2024</v>
      </c>
      <c r="G132">
        <f>'Fuel Taxes'!G$1</f>
        <v>2025</v>
      </c>
      <c r="H132">
        <f>'Fuel Taxes'!H$1</f>
        <v>2026</v>
      </c>
      <c r="I132">
        <f>'Fuel Taxes'!I$1</f>
        <v>2027</v>
      </c>
      <c r="J132">
        <f>'Fuel Taxes'!J$1</f>
        <v>2028</v>
      </c>
      <c r="K132">
        <f>'Fuel Taxes'!K$1</f>
        <v>2029</v>
      </c>
      <c r="L132">
        <f>'Fuel Taxes'!L$1</f>
        <v>2030</v>
      </c>
      <c r="M132">
        <f>'Fuel Taxes'!M$1</f>
        <v>2031</v>
      </c>
      <c r="N132">
        <f>'Fuel Taxes'!N$1</f>
        <v>2032</v>
      </c>
      <c r="O132">
        <f>'Fuel Taxes'!O$1</f>
        <v>2033</v>
      </c>
      <c r="P132">
        <f>'Fuel Taxes'!P$1</f>
        <v>2034</v>
      </c>
      <c r="Q132">
        <f>'Fuel Taxes'!Q$1</f>
        <v>2035</v>
      </c>
      <c r="R132">
        <f>'Fuel Taxes'!R$1</f>
        <v>2036</v>
      </c>
      <c r="S132">
        <f>'Fuel Taxes'!S$1</f>
        <v>2037</v>
      </c>
      <c r="T132">
        <f>'Fuel Taxes'!T$1</f>
        <v>2038</v>
      </c>
      <c r="U132">
        <f>'Fuel Taxes'!U$1</f>
        <v>2039</v>
      </c>
      <c r="V132">
        <f>'Fuel Taxes'!V$1</f>
        <v>2040</v>
      </c>
      <c r="W132">
        <f>'Fuel Taxes'!W$1</f>
        <v>2041</v>
      </c>
      <c r="X132">
        <f>'Fuel Taxes'!X$1</f>
        <v>2042</v>
      </c>
      <c r="Y132">
        <f>'Fuel Taxes'!Y$1</f>
        <v>2043</v>
      </c>
      <c r="Z132">
        <f>'Fuel Taxes'!Z$1</f>
        <v>2044</v>
      </c>
      <c r="AA132">
        <f>'Fuel Taxes'!AA$1</f>
        <v>2045</v>
      </c>
      <c r="AB132">
        <f>'Fuel Taxes'!AB$1</f>
        <v>2046</v>
      </c>
      <c r="AC132">
        <f>'Fuel Taxes'!AC$1</f>
        <v>2047</v>
      </c>
      <c r="AD132">
        <f>'Fuel Taxes'!AD$1</f>
        <v>2048</v>
      </c>
      <c r="AE132">
        <f>'Fuel Taxes'!AE$1</f>
        <v>2049</v>
      </c>
      <c r="AF132">
        <f>'Fuel Taxes'!AF$1</f>
        <v>2050</v>
      </c>
      <c r="AG132">
        <f>'Fuel Taxes'!AG$1</f>
        <v>2051</v>
      </c>
      <c r="AH132">
        <f>'Fuel Taxes'!AH$1</f>
        <v>2052</v>
      </c>
      <c r="AI132">
        <f>'Fuel Taxes'!AI$1</f>
        <v>2053</v>
      </c>
      <c r="AJ132">
        <f>'Fuel Taxes'!AJ$1</f>
        <v>2054</v>
      </c>
      <c r="AK132">
        <f>'Fuel Taxes'!AK$1</f>
        <v>2055</v>
      </c>
      <c r="AL132">
        <f>'Fuel Taxes'!AL$1</f>
        <v>2056</v>
      </c>
      <c r="AM132">
        <f>'Fuel Taxes'!AM$1</f>
        <v>2057</v>
      </c>
      <c r="AN132">
        <f>'Fuel Taxes'!AN$1</f>
        <v>2058</v>
      </c>
      <c r="AO132">
        <f>'Fuel Taxes'!AO$1</f>
        <v>2059</v>
      </c>
      <c r="AP132">
        <f>'Fuel Taxes'!AP$1</f>
        <v>2060</v>
      </c>
      <c r="AQ132">
        <f>'Fuel Taxes'!AQ$1</f>
        <v>2061</v>
      </c>
      <c r="AR132">
        <f>'Fuel Taxes'!AR$1</f>
        <v>2062</v>
      </c>
      <c r="AS132">
        <f>'Fuel Taxes'!AS$1</f>
        <v>2063</v>
      </c>
      <c r="AT132">
        <f>'Fuel Taxes'!AT$1</f>
        <v>2064</v>
      </c>
      <c r="AU132">
        <f>'Fuel Taxes'!AU$1</f>
        <v>2065</v>
      </c>
      <c r="AV132">
        <f>'Fuel Taxes'!AV$1</f>
        <v>2066</v>
      </c>
      <c r="AW132">
        <f>'Fuel Taxes'!AW$1</f>
        <v>2067</v>
      </c>
      <c r="AX132">
        <f>'Fuel Taxes'!AX$1</f>
        <v>2068</v>
      </c>
      <c r="AY132">
        <f>'Fuel Taxes'!AY$1</f>
        <v>2069</v>
      </c>
      <c r="AZ132">
        <f>'Fuel Taxes'!AZ$1</f>
        <v>2070</v>
      </c>
    </row>
    <row r="133" spans="1:52" x14ac:dyDescent="0.25">
      <c r="A133" t="s">
        <v>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 x14ac:dyDescent="0.25">
      <c r="A134" t="s">
        <v>24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 x14ac:dyDescent="0.25">
      <c r="A135" t="s">
        <v>25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 x14ac:dyDescent="0.25">
      <c r="A136" t="s">
        <v>26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 x14ac:dyDescent="0.25">
      <c r="A137" t="s">
        <v>27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5">
      <c r="A138" t="s">
        <v>28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 x14ac:dyDescent="0.25">
      <c r="A139" t="s">
        <v>29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t="s">
        <v>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s="3" customFormat="1" x14ac:dyDescent="0.25">
      <c r="A141" s="5" t="s">
        <v>50</v>
      </c>
    </row>
    <row r="142" spans="1:52" x14ac:dyDescent="0.25">
      <c r="A142" t="s">
        <v>30</v>
      </c>
      <c r="B142">
        <f>'Fuel Taxes'!B$1</f>
        <v>2020</v>
      </c>
      <c r="C142">
        <f>'Fuel Taxes'!C$1</f>
        <v>2021</v>
      </c>
      <c r="D142">
        <f>'Fuel Taxes'!D$1</f>
        <v>2022</v>
      </c>
      <c r="E142">
        <f>'Fuel Taxes'!E$1</f>
        <v>2023</v>
      </c>
      <c r="F142">
        <f>'Fuel Taxes'!F$1</f>
        <v>2024</v>
      </c>
      <c r="G142">
        <f>'Fuel Taxes'!G$1</f>
        <v>2025</v>
      </c>
      <c r="H142">
        <f>'Fuel Taxes'!H$1</f>
        <v>2026</v>
      </c>
      <c r="I142">
        <f>'Fuel Taxes'!I$1</f>
        <v>2027</v>
      </c>
      <c r="J142">
        <f>'Fuel Taxes'!J$1</f>
        <v>2028</v>
      </c>
      <c r="K142">
        <f>'Fuel Taxes'!K$1</f>
        <v>2029</v>
      </c>
      <c r="L142">
        <f>'Fuel Taxes'!L$1</f>
        <v>2030</v>
      </c>
      <c r="M142">
        <f>'Fuel Taxes'!M$1</f>
        <v>2031</v>
      </c>
      <c r="N142">
        <f>'Fuel Taxes'!N$1</f>
        <v>2032</v>
      </c>
      <c r="O142">
        <f>'Fuel Taxes'!O$1</f>
        <v>2033</v>
      </c>
      <c r="P142">
        <f>'Fuel Taxes'!P$1</f>
        <v>2034</v>
      </c>
      <c r="Q142">
        <f>'Fuel Taxes'!Q$1</f>
        <v>2035</v>
      </c>
      <c r="R142">
        <f>'Fuel Taxes'!R$1</f>
        <v>2036</v>
      </c>
      <c r="S142">
        <f>'Fuel Taxes'!S$1</f>
        <v>2037</v>
      </c>
      <c r="T142">
        <f>'Fuel Taxes'!T$1</f>
        <v>2038</v>
      </c>
      <c r="U142">
        <f>'Fuel Taxes'!U$1</f>
        <v>2039</v>
      </c>
      <c r="V142">
        <f>'Fuel Taxes'!V$1</f>
        <v>2040</v>
      </c>
      <c r="W142">
        <f>'Fuel Taxes'!W$1</f>
        <v>2041</v>
      </c>
      <c r="X142">
        <f>'Fuel Taxes'!X$1</f>
        <v>2042</v>
      </c>
      <c r="Y142">
        <f>'Fuel Taxes'!Y$1</f>
        <v>2043</v>
      </c>
      <c r="Z142">
        <f>'Fuel Taxes'!Z$1</f>
        <v>2044</v>
      </c>
      <c r="AA142">
        <f>'Fuel Taxes'!AA$1</f>
        <v>2045</v>
      </c>
      <c r="AB142">
        <f>'Fuel Taxes'!AB$1</f>
        <v>2046</v>
      </c>
      <c r="AC142">
        <f>'Fuel Taxes'!AC$1</f>
        <v>2047</v>
      </c>
      <c r="AD142">
        <f>'Fuel Taxes'!AD$1</f>
        <v>2048</v>
      </c>
      <c r="AE142">
        <f>'Fuel Taxes'!AE$1</f>
        <v>2049</v>
      </c>
      <c r="AF142">
        <f>'Fuel Taxes'!AF$1</f>
        <v>2050</v>
      </c>
      <c r="AG142">
        <f>'Fuel Taxes'!AG$1</f>
        <v>2051</v>
      </c>
      <c r="AH142">
        <f>'Fuel Taxes'!AH$1</f>
        <v>2052</v>
      </c>
      <c r="AI142">
        <f>'Fuel Taxes'!AI$1</f>
        <v>2053</v>
      </c>
      <c r="AJ142">
        <f>'Fuel Taxes'!AJ$1</f>
        <v>2054</v>
      </c>
      <c r="AK142">
        <f>'Fuel Taxes'!AK$1</f>
        <v>2055</v>
      </c>
      <c r="AL142">
        <f>'Fuel Taxes'!AL$1</f>
        <v>2056</v>
      </c>
      <c r="AM142">
        <f>'Fuel Taxes'!AM$1</f>
        <v>2057</v>
      </c>
      <c r="AN142">
        <f>'Fuel Taxes'!AN$1</f>
        <v>2058</v>
      </c>
      <c r="AO142">
        <f>'Fuel Taxes'!AO$1</f>
        <v>2059</v>
      </c>
      <c r="AP142">
        <f>'Fuel Taxes'!AP$1</f>
        <v>2060</v>
      </c>
      <c r="AQ142">
        <f>'Fuel Taxes'!AQ$1</f>
        <v>2061</v>
      </c>
      <c r="AR142">
        <f>'Fuel Taxes'!AR$1</f>
        <v>2062</v>
      </c>
      <c r="AS142">
        <f>'Fuel Taxes'!AS$1</f>
        <v>2063</v>
      </c>
      <c r="AT142">
        <f>'Fuel Taxes'!AT$1</f>
        <v>2064</v>
      </c>
      <c r="AU142">
        <f>'Fuel Taxes'!AU$1</f>
        <v>2065</v>
      </c>
      <c r="AV142">
        <f>'Fuel Taxes'!AV$1</f>
        <v>2066</v>
      </c>
      <c r="AW142">
        <f>'Fuel Taxes'!AW$1</f>
        <v>2067</v>
      </c>
      <c r="AX142">
        <f>'Fuel Taxes'!AX$1</f>
        <v>2068</v>
      </c>
      <c r="AY142">
        <f>'Fuel Taxes'!AY$1</f>
        <v>2069</v>
      </c>
      <c r="AZ142">
        <f>'Fuel Taxes'!AZ$1</f>
        <v>2070</v>
      </c>
    </row>
    <row r="143" spans="1:52" x14ac:dyDescent="0.25">
      <c r="A143" t="s">
        <v>52</v>
      </c>
      <c r="B143">
        <f>'Pretax Fuel Prices'!B144+'Fuel Taxes'!B144</f>
        <v>7.7600766078083947E-5</v>
      </c>
      <c r="C143">
        <f>'Pretax Fuel Prices'!C144+'Fuel Taxes'!C144</f>
        <v>7.1252833465009711E-5</v>
      </c>
      <c r="D143">
        <f>'Pretax Fuel Prices'!D144+'Fuel Taxes'!D144</f>
        <v>6.4904900851937169E-5</v>
      </c>
      <c r="E143">
        <f>'Pretax Fuel Prices'!E144+'Fuel Taxes'!E144</f>
        <v>5.855696823886294E-5</v>
      </c>
      <c r="F143">
        <f>'Pretax Fuel Prices'!F144+'Fuel Taxes'!F144</f>
        <v>5.2209035625788711E-5</v>
      </c>
      <c r="G143">
        <f>'Pretax Fuel Prices'!G144+'Fuel Taxes'!G144</f>
        <v>4.5861103012714481E-5</v>
      </c>
      <c r="H143">
        <f>'Pretax Fuel Prices'!H144+'Fuel Taxes'!H144</f>
        <v>3.9513170399641933E-5</v>
      </c>
      <c r="I143">
        <f>'Pretax Fuel Prices'!I144+'Fuel Taxes'!I144</f>
        <v>3.3165237786567717E-5</v>
      </c>
      <c r="J143">
        <f>'Pretax Fuel Prices'!J144+'Fuel Taxes'!J144</f>
        <v>2.6817305173493488E-5</v>
      </c>
      <c r="K143">
        <f>'Pretax Fuel Prices'!K144+'Fuel Taxes'!K144</f>
        <v>2.0469372560420939E-5</v>
      </c>
      <c r="L143">
        <f>'Pretax Fuel Prices'!L144+'Fuel Taxes'!L144</f>
        <v>1.4121439947346712E-5</v>
      </c>
      <c r="M143">
        <f>'Pretax Fuel Prices'!M144+'Fuel Taxes'!M144</f>
        <v>1.3777364253197018E-5</v>
      </c>
      <c r="N143">
        <f>'Pretax Fuel Prices'!N144+'Fuel Taxes'!N144</f>
        <v>1.3433288559048477E-5</v>
      </c>
      <c r="O143">
        <f>'Pretax Fuel Prices'!O144+'Fuel Taxes'!O144</f>
        <v>1.3089212864899936E-5</v>
      </c>
      <c r="P143">
        <f>'Pretax Fuel Prices'!P144+'Fuel Taxes'!P144</f>
        <v>1.2745137170751397E-5</v>
      </c>
      <c r="Q143">
        <f>'Pretax Fuel Prices'!Q144+'Fuel Taxes'!Q144</f>
        <v>1.240106147660296E-5</v>
      </c>
      <c r="R143">
        <f>'Pretax Fuel Prices'!R144+'Fuel Taxes'!R144</f>
        <v>1.2056985782454419E-5</v>
      </c>
      <c r="S143">
        <f>'Pretax Fuel Prices'!S144+'Fuel Taxes'!S144</f>
        <v>1.1712910088305878E-5</v>
      </c>
      <c r="T143">
        <f>'Pretax Fuel Prices'!T144+'Fuel Taxes'!T144</f>
        <v>1.1368834394157339E-5</v>
      </c>
      <c r="U143">
        <f>'Pretax Fuel Prices'!U144+'Fuel Taxes'!U144</f>
        <v>1.1024758700008799E-5</v>
      </c>
      <c r="V143">
        <f>'Pretax Fuel Prices'!V144+'Fuel Taxes'!V144</f>
        <v>1.0680683005860363E-5</v>
      </c>
      <c r="W143">
        <f>'Pretax Fuel Prices'!W144+'Fuel Taxes'!W144</f>
        <v>1.0336607311711822E-5</v>
      </c>
      <c r="X143">
        <f>'Pretax Fuel Prices'!X144+'Fuel Taxes'!X144</f>
        <v>9.9925316175632831E-6</v>
      </c>
      <c r="Y143">
        <f>'Pretax Fuel Prices'!Y144+'Fuel Taxes'!Y144</f>
        <v>9.6484559234147441E-6</v>
      </c>
      <c r="Z143">
        <f>'Pretax Fuel Prices'!Z144+'Fuel Taxes'!Z144</f>
        <v>9.3043802292662017E-6</v>
      </c>
      <c r="AA143">
        <f>'Pretax Fuel Prices'!AA144+'Fuel Taxes'!AA144</f>
        <v>8.9603045351176627E-6</v>
      </c>
      <c r="AB143">
        <f>'Pretax Fuel Prices'!AB144+'Fuel Taxes'!AB144</f>
        <v>8.6162288409692287E-6</v>
      </c>
      <c r="AC143">
        <f>'Pretax Fuel Prices'!AC144+'Fuel Taxes'!AC144</f>
        <v>8.2721531468206879E-6</v>
      </c>
      <c r="AD143">
        <f>'Pretax Fuel Prices'!AD144+'Fuel Taxes'!AD144</f>
        <v>7.9280774526721472E-6</v>
      </c>
      <c r="AE143">
        <f>'Pretax Fuel Prices'!AE144+'Fuel Taxes'!AE144</f>
        <v>7.5840017585236074E-6</v>
      </c>
      <c r="AF143">
        <f>'Pretax Fuel Prices'!AF144+'Fuel Taxes'!AF144</f>
        <v>7.2399260643750666E-6</v>
      </c>
      <c r="AG143">
        <f>'Pretax Fuel Prices'!AG144+'Fuel Taxes'!AG144</f>
        <v>6.8958503702265259E-6</v>
      </c>
      <c r="AH143">
        <f>'Pretax Fuel Prices'!AH144+'Fuel Taxes'!AH144</f>
        <v>6.5517746760779852E-6</v>
      </c>
      <c r="AI143">
        <f>'Pretax Fuel Prices'!AI144+'Fuel Taxes'!AI144</f>
        <v>6.2076989819294453E-6</v>
      </c>
      <c r="AJ143">
        <f>'Pretax Fuel Prices'!AJ144+'Fuel Taxes'!AJ144</f>
        <v>5.8636232877809046E-6</v>
      </c>
      <c r="AK143">
        <f>'Pretax Fuel Prices'!AK144+'Fuel Taxes'!AK144</f>
        <v>5.5195475936323639E-6</v>
      </c>
      <c r="AL143">
        <f>'Pretax Fuel Prices'!AL144+'Fuel Taxes'!AL144</f>
        <v>5.1754718994838232E-6</v>
      </c>
      <c r="AM143">
        <f>'Pretax Fuel Prices'!AM144+'Fuel Taxes'!AM144</f>
        <v>4.8313962053352825E-6</v>
      </c>
      <c r="AN143">
        <f>'Pretax Fuel Prices'!AN144+'Fuel Taxes'!AN144</f>
        <v>4.4873205111867417E-6</v>
      </c>
      <c r="AO143">
        <f>'Pretax Fuel Prices'!AO144+'Fuel Taxes'!AO144</f>
        <v>4.143244817038201E-6</v>
      </c>
      <c r="AP143">
        <f>'Pretax Fuel Prices'!AP144+'Fuel Taxes'!AP144</f>
        <v>3.7991691228896603E-6</v>
      </c>
      <c r="AQ143">
        <f>'Pretax Fuel Prices'!AQ144+'Fuel Taxes'!AQ144</f>
        <v>3.45509342874112E-6</v>
      </c>
      <c r="AR143">
        <f>'Pretax Fuel Prices'!AR144+'Fuel Taxes'!AR144</f>
        <v>3.1110177345925797E-6</v>
      </c>
      <c r="AS143">
        <f>'Pretax Fuel Prices'!AS144+'Fuel Taxes'!AS144</f>
        <v>2.766942040444039E-6</v>
      </c>
      <c r="AT143">
        <f>'Pretax Fuel Prices'!AT144+'Fuel Taxes'!AT144</f>
        <v>2.4228663462954987E-6</v>
      </c>
      <c r="AU143">
        <f>'Pretax Fuel Prices'!AU144+'Fuel Taxes'!AU144</f>
        <v>2.078790652146958E-6</v>
      </c>
      <c r="AV143">
        <f>'Pretax Fuel Prices'!AV144+'Fuel Taxes'!AV144</f>
        <v>1.7347149579984168E-6</v>
      </c>
      <c r="AW143">
        <f>'Pretax Fuel Prices'!AW144+'Fuel Taxes'!AW144</f>
        <v>1.3906392638498767E-6</v>
      </c>
      <c r="AX143">
        <f>'Pretax Fuel Prices'!AX144+'Fuel Taxes'!AX144</f>
        <v>1.0465635697013356E-6</v>
      </c>
      <c r="AY143">
        <f>'Pretax Fuel Prices'!AY144+'Fuel Taxes'!AY144</f>
        <v>7.024878755527952E-7</v>
      </c>
      <c r="AZ143">
        <f>'Pretax Fuel Prices'!AZ144+'Fuel Taxes'!AZ144</f>
        <v>3.5841218140425422E-7</v>
      </c>
    </row>
    <row r="144" spans="1:52" x14ac:dyDescent="0.25">
      <c r="A144" t="s">
        <v>53</v>
      </c>
      <c r="B144">
        <f>'Pretax Fuel Prices'!B145+'Fuel Taxes'!B145</f>
        <v>0</v>
      </c>
      <c r="C144">
        <f>'Pretax Fuel Prices'!C145+'Fuel Taxes'!C145</f>
        <v>0</v>
      </c>
      <c r="D144">
        <f>'Pretax Fuel Prices'!D145+'Fuel Taxes'!D145</f>
        <v>0</v>
      </c>
      <c r="E144">
        <f>'Pretax Fuel Prices'!E145+'Fuel Taxes'!E145</f>
        <v>0</v>
      </c>
      <c r="F144">
        <f>'Pretax Fuel Prices'!F145+'Fuel Taxes'!F145</f>
        <v>0</v>
      </c>
      <c r="G144">
        <f>'Pretax Fuel Prices'!G145+'Fuel Taxes'!G145</f>
        <v>0</v>
      </c>
      <c r="H144">
        <f>'Pretax Fuel Prices'!H145+'Fuel Taxes'!H145</f>
        <v>0</v>
      </c>
      <c r="I144">
        <f>'Pretax Fuel Prices'!I145+'Fuel Taxes'!I145</f>
        <v>0</v>
      </c>
      <c r="J144">
        <f>'Pretax Fuel Prices'!J145+'Fuel Taxes'!J145</f>
        <v>0</v>
      </c>
      <c r="K144">
        <f>'Pretax Fuel Prices'!K145+'Fuel Taxes'!K145</f>
        <v>0</v>
      </c>
      <c r="L144">
        <f>'Pretax Fuel Prices'!L145+'Fuel Taxes'!L145</f>
        <v>0</v>
      </c>
      <c r="M144">
        <f>'Pretax Fuel Prices'!M145+'Fuel Taxes'!M145</f>
        <v>0</v>
      </c>
      <c r="N144">
        <f>'Pretax Fuel Prices'!N145+'Fuel Taxes'!N145</f>
        <v>0</v>
      </c>
      <c r="O144">
        <f>'Pretax Fuel Prices'!O145+'Fuel Taxes'!O145</f>
        <v>0</v>
      </c>
      <c r="P144">
        <f>'Pretax Fuel Prices'!P145+'Fuel Taxes'!P145</f>
        <v>0</v>
      </c>
      <c r="Q144">
        <f>'Pretax Fuel Prices'!Q145+'Fuel Taxes'!Q145</f>
        <v>0</v>
      </c>
      <c r="R144">
        <f>'Pretax Fuel Prices'!R145+'Fuel Taxes'!R145</f>
        <v>0</v>
      </c>
      <c r="S144">
        <f>'Pretax Fuel Prices'!S145+'Fuel Taxes'!S145</f>
        <v>0</v>
      </c>
      <c r="T144">
        <f>'Pretax Fuel Prices'!T145+'Fuel Taxes'!T145</f>
        <v>0</v>
      </c>
      <c r="U144">
        <f>'Pretax Fuel Prices'!U145+'Fuel Taxes'!U145</f>
        <v>0</v>
      </c>
      <c r="V144">
        <f>'Pretax Fuel Prices'!V145+'Fuel Taxes'!V145</f>
        <v>0</v>
      </c>
      <c r="W144">
        <f>'Pretax Fuel Prices'!W145+'Fuel Taxes'!W145</f>
        <v>0</v>
      </c>
      <c r="X144">
        <f>'Pretax Fuel Prices'!X145+'Fuel Taxes'!X145</f>
        <v>0</v>
      </c>
      <c r="Y144">
        <f>'Pretax Fuel Prices'!Y145+'Fuel Taxes'!Y145</f>
        <v>0</v>
      </c>
      <c r="Z144">
        <f>'Pretax Fuel Prices'!Z145+'Fuel Taxes'!Z145</f>
        <v>0</v>
      </c>
      <c r="AA144">
        <f>'Pretax Fuel Prices'!AA145+'Fuel Taxes'!AA145</f>
        <v>0</v>
      </c>
      <c r="AB144">
        <f>'Pretax Fuel Prices'!AB145+'Fuel Taxes'!AB145</f>
        <v>0</v>
      </c>
      <c r="AC144">
        <f>'Pretax Fuel Prices'!AC145+'Fuel Taxes'!AC145</f>
        <v>0</v>
      </c>
      <c r="AD144">
        <f>'Pretax Fuel Prices'!AD145+'Fuel Taxes'!AD145</f>
        <v>0</v>
      </c>
      <c r="AE144">
        <f>'Pretax Fuel Prices'!AE145+'Fuel Taxes'!AE145</f>
        <v>0</v>
      </c>
      <c r="AF144">
        <f>'Pretax Fuel Prices'!AF145+'Fuel Taxes'!AF145</f>
        <v>0</v>
      </c>
      <c r="AG144">
        <f>'Pretax Fuel Prices'!AG145+'Fuel Taxes'!AG145</f>
        <v>0</v>
      </c>
      <c r="AH144">
        <f>'Pretax Fuel Prices'!AH145+'Fuel Taxes'!AH145</f>
        <v>0</v>
      </c>
      <c r="AI144">
        <f>'Pretax Fuel Prices'!AI145+'Fuel Taxes'!AI145</f>
        <v>0</v>
      </c>
      <c r="AJ144">
        <f>'Pretax Fuel Prices'!AJ145+'Fuel Taxes'!AJ145</f>
        <v>0</v>
      </c>
      <c r="AK144">
        <f>'Pretax Fuel Prices'!AK145+'Fuel Taxes'!AK145</f>
        <v>0</v>
      </c>
      <c r="AL144">
        <f>'Pretax Fuel Prices'!AL145+'Fuel Taxes'!AL145</f>
        <v>0</v>
      </c>
      <c r="AM144">
        <f>'Pretax Fuel Prices'!AM145+'Fuel Taxes'!AM145</f>
        <v>0</v>
      </c>
      <c r="AN144">
        <f>'Pretax Fuel Prices'!AN145+'Fuel Taxes'!AN145</f>
        <v>0</v>
      </c>
      <c r="AO144">
        <f>'Pretax Fuel Prices'!AO145+'Fuel Taxes'!AO145</f>
        <v>0</v>
      </c>
      <c r="AP144">
        <f>'Pretax Fuel Prices'!AP145+'Fuel Taxes'!AP145</f>
        <v>0</v>
      </c>
      <c r="AQ144">
        <f>'Pretax Fuel Prices'!AQ145+'Fuel Taxes'!AQ145</f>
        <v>0</v>
      </c>
      <c r="AR144">
        <f>'Pretax Fuel Prices'!AR145+'Fuel Taxes'!AR145</f>
        <v>0</v>
      </c>
      <c r="AS144">
        <f>'Pretax Fuel Prices'!AS145+'Fuel Taxes'!AS145</f>
        <v>0</v>
      </c>
      <c r="AT144">
        <f>'Pretax Fuel Prices'!AT145+'Fuel Taxes'!AT145</f>
        <v>0</v>
      </c>
      <c r="AU144">
        <f>'Pretax Fuel Prices'!AU145+'Fuel Taxes'!AU145</f>
        <v>0</v>
      </c>
      <c r="AV144">
        <f>'Pretax Fuel Prices'!AV145+'Fuel Taxes'!AV145</f>
        <v>0</v>
      </c>
      <c r="AW144">
        <f>'Pretax Fuel Prices'!AW145+'Fuel Taxes'!AW145</f>
        <v>0</v>
      </c>
      <c r="AX144">
        <f>'Pretax Fuel Prices'!AX145+'Fuel Taxes'!AX145</f>
        <v>0</v>
      </c>
      <c r="AY144">
        <f>'Pretax Fuel Prices'!AY145+'Fuel Taxes'!AY145</f>
        <v>0</v>
      </c>
      <c r="AZ144">
        <f>'Pretax Fuel Prices'!AZ145+'Fuel Taxes'!AZ145</f>
        <v>0</v>
      </c>
    </row>
    <row r="145" spans="1:52" x14ac:dyDescent="0.25">
      <c r="A145" t="s">
        <v>54</v>
      </c>
      <c r="B145">
        <f>'Pretax Fuel Prices'!B146+'Fuel Taxes'!B146</f>
        <v>7.7600766078083947E-5</v>
      </c>
      <c r="C145">
        <f>'Pretax Fuel Prices'!C146+'Fuel Taxes'!C146</f>
        <v>7.1252833465009711E-5</v>
      </c>
      <c r="D145">
        <f>'Pretax Fuel Prices'!D146+'Fuel Taxes'!D146</f>
        <v>6.4904900851937169E-5</v>
      </c>
      <c r="E145">
        <f>'Pretax Fuel Prices'!E146+'Fuel Taxes'!E146</f>
        <v>5.855696823886294E-5</v>
      </c>
      <c r="F145">
        <f>'Pretax Fuel Prices'!F146+'Fuel Taxes'!F146</f>
        <v>5.2209035625788711E-5</v>
      </c>
      <c r="G145">
        <f>'Pretax Fuel Prices'!G146+'Fuel Taxes'!G146</f>
        <v>4.5861103012714481E-5</v>
      </c>
      <c r="H145">
        <f>'Pretax Fuel Prices'!H146+'Fuel Taxes'!H146</f>
        <v>3.9513170399641933E-5</v>
      </c>
      <c r="I145">
        <f>'Pretax Fuel Prices'!I146+'Fuel Taxes'!I146</f>
        <v>3.3165237786567717E-5</v>
      </c>
      <c r="J145">
        <f>'Pretax Fuel Prices'!J146+'Fuel Taxes'!J146</f>
        <v>2.6817305173493488E-5</v>
      </c>
      <c r="K145">
        <f>'Pretax Fuel Prices'!K146+'Fuel Taxes'!K146</f>
        <v>2.0469372560420939E-5</v>
      </c>
      <c r="L145">
        <f>'Pretax Fuel Prices'!L146+'Fuel Taxes'!L146</f>
        <v>1.4121439947346712E-5</v>
      </c>
      <c r="M145">
        <f>'Pretax Fuel Prices'!M146+'Fuel Taxes'!M146</f>
        <v>1.3777364253197018E-5</v>
      </c>
      <c r="N145">
        <f>'Pretax Fuel Prices'!N146+'Fuel Taxes'!N146</f>
        <v>1.3433288559048477E-5</v>
      </c>
      <c r="O145">
        <f>'Pretax Fuel Prices'!O146+'Fuel Taxes'!O146</f>
        <v>1.3089212864899936E-5</v>
      </c>
      <c r="P145">
        <f>'Pretax Fuel Prices'!P146+'Fuel Taxes'!P146</f>
        <v>1.2745137170751397E-5</v>
      </c>
      <c r="Q145">
        <f>'Pretax Fuel Prices'!Q146+'Fuel Taxes'!Q146</f>
        <v>1.240106147660296E-5</v>
      </c>
      <c r="R145">
        <f>'Pretax Fuel Prices'!R146+'Fuel Taxes'!R146</f>
        <v>1.2056985782454419E-5</v>
      </c>
      <c r="S145">
        <f>'Pretax Fuel Prices'!S146+'Fuel Taxes'!S146</f>
        <v>1.1712910088305878E-5</v>
      </c>
      <c r="T145">
        <f>'Pretax Fuel Prices'!T146+'Fuel Taxes'!T146</f>
        <v>1.1368834394157339E-5</v>
      </c>
      <c r="U145">
        <f>'Pretax Fuel Prices'!U146+'Fuel Taxes'!U146</f>
        <v>1.1024758700008799E-5</v>
      </c>
      <c r="V145">
        <f>'Pretax Fuel Prices'!V146+'Fuel Taxes'!V146</f>
        <v>1.0680683005860363E-5</v>
      </c>
      <c r="W145">
        <f>'Pretax Fuel Prices'!W146+'Fuel Taxes'!W146</f>
        <v>1.0336607311711822E-5</v>
      </c>
      <c r="X145">
        <f>'Pretax Fuel Prices'!X146+'Fuel Taxes'!X146</f>
        <v>9.9925316175632831E-6</v>
      </c>
      <c r="Y145">
        <f>'Pretax Fuel Prices'!Y146+'Fuel Taxes'!Y146</f>
        <v>9.6484559234147441E-6</v>
      </c>
      <c r="Z145">
        <f>'Pretax Fuel Prices'!Z146+'Fuel Taxes'!Z146</f>
        <v>9.3043802292662017E-6</v>
      </c>
      <c r="AA145">
        <f>'Pretax Fuel Prices'!AA146+'Fuel Taxes'!AA146</f>
        <v>8.9603045351176627E-6</v>
      </c>
      <c r="AB145">
        <f>'Pretax Fuel Prices'!AB146+'Fuel Taxes'!AB146</f>
        <v>8.6162288409692287E-6</v>
      </c>
      <c r="AC145">
        <f>'Pretax Fuel Prices'!AC146+'Fuel Taxes'!AC146</f>
        <v>8.2721531468206879E-6</v>
      </c>
      <c r="AD145">
        <f>'Pretax Fuel Prices'!AD146+'Fuel Taxes'!AD146</f>
        <v>7.9280774526721472E-6</v>
      </c>
      <c r="AE145">
        <f>'Pretax Fuel Prices'!AE146+'Fuel Taxes'!AE146</f>
        <v>7.5840017585236074E-6</v>
      </c>
      <c r="AF145">
        <f>'Pretax Fuel Prices'!AF146+'Fuel Taxes'!AF146</f>
        <v>7.2399260643750666E-6</v>
      </c>
      <c r="AG145">
        <f>'Pretax Fuel Prices'!AG146+'Fuel Taxes'!AG146</f>
        <v>6.8958503702265259E-6</v>
      </c>
      <c r="AH145">
        <f>'Pretax Fuel Prices'!AH146+'Fuel Taxes'!AH146</f>
        <v>6.5517746760779852E-6</v>
      </c>
      <c r="AI145">
        <f>'Pretax Fuel Prices'!AI146+'Fuel Taxes'!AI146</f>
        <v>6.2076989819294453E-6</v>
      </c>
      <c r="AJ145">
        <f>'Pretax Fuel Prices'!AJ146+'Fuel Taxes'!AJ146</f>
        <v>5.8636232877809046E-6</v>
      </c>
      <c r="AK145">
        <f>'Pretax Fuel Prices'!AK146+'Fuel Taxes'!AK146</f>
        <v>5.5195475936323639E-6</v>
      </c>
      <c r="AL145">
        <f>'Pretax Fuel Prices'!AL146+'Fuel Taxes'!AL146</f>
        <v>5.1754718994838232E-6</v>
      </c>
      <c r="AM145">
        <f>'Pretax Fuel Prices'!AM146+'Fuel Taxes'!AM146</f>
        <v>4.8313962053352825E-6</v>
      </c>
      <c r="AN145">
        <f>'Pretax Fuel Prices'!AN146+'Fuel Taxes'!AN146</f>
        <v>4.4873205111867417E-6</v>
      </c>
      <c r="AO145">
        <f>'Pretax Fuel Prices'!AO146+'Fuel Taxes'!AO146</f>
        <v>4.143244817038201E-6</v>
      </c>
      <c r="AP145">
        <f>'Pretax Fuel Prices'!AP146+'Fuel Taxes'!AP146</f>
        <v>3.7991691228896603E-6</v>
      </c>
      <c r="AQ145">
        <f>'Pretax Fuel Prices'!AQ146+'Fuel Taxes'!AQ146</f>
        <v>3.45509342874112E-6</v>
      </c>
      <c r="AR145">
        <f>'Pretax Fuel Prices'!AR146+'Fuel Taxes'!AR146</f>
        <v>3.1110177345925797E-6</v>
      </c>
      <c r="AS145">
        <f>'Pretax Fuel Prices'!AS146+'Fuel Taxes'!AS146</f>
        <v>2.766942040444039E-6</v>
      </c>
      <c r="AT145">
        <f>'Pretax Fuel Prices'!AT146+'Fuel Taxes'!AT146</f>
        <v>2.4228663462954987E-6</v>
      </c>
      <c r="AU145">
        <f>'Pretax Fuel Prices'!AU146+'Fuel Taxes'!AU146</f>
        <v>2.078790652146958E-6</v>
      </c>
      <c r="AV145">
        <f>'Pretax Fuel Prices'!AV146+'Fuel Taxes'!AV146</f>
        <v>1.7347149579984168E-6</v>
      </c>
      <c r="AW145">
        <f>'Pretax Fuel Prices'!AW146+'Fuel Taxes'!AW146</f>
        <v>1.3906392638498767E-6</v>
      </c>
      <c r="AX145">
        <f>'Pretax Fuel Prices'!AX146+'Fuel Taxes'!AX146</f>
        <v>1.0465635697013356E-6</v>
      </c>
      <c r="AY145">
        <f>'Pretax Fuel Prices'!AY146+'Fuel Taxes'!AY146</f>
        <v>7.024878755527952E-7</v>
      </c>
      <c r="AZ145">
        <f>'Pretax Fuel Prices'!AZ146+'Fuel Taxes'!AZ146</f>
        <v>3.5841218140425422E-7</v>
      </c>
    </row>
    <row r="146" spans="1:52" x14ac:dyDescent="0.25">
      <c r="A146" t="s">
        <v>55</v>
      </c>
      <c r="B146">
        <f>'Pretax Fuel Prices'!B147+'Fuel Taxes'!B147</f>
        <v>7.7600766078083947E-5</v>
      </c>
      <c r="C146">
        <f>'Pretax Fuel Prices'!C147+'Fuel Taxes'!C147</f>
        <v>7.1252833465009711E-5</v>
      </c>
      <c r="D146">
        <f>'Pretax Fuel Prices'!D147+'Fuel Taxes'!D147</f>
        <v>6.4904900851937169E-5</v>
      </c>
      <c r="E146">
        <f>'Pretax Fuel Prices'!E147+'Fuel Taxes'!E147</f>
        <v>5.855696823886294E-5</v>
      </c>
      <c r="F146">
        <f>'Pretax Fuel Prices'!F147+'Fuel Taxes'!F147</f>
        <v>5.2209035625788711E-5</v>
      </c>
      <c r="G146">
        <f>'Pretax Fuel Prices'!G147+'Fuel Taxes'!G147</f>
        <v>4.5861103012714481E-5</v>
      </c>
      <c r="H146">
        <f>'Pretax Fuel Prices'!H147+'Fuel Taxes'!H147</f>
        <v>3.9513170399641933E-5</v>
      </c>
      <c r="I146">
        <f>'Pretax Fuel Prices'!I147+'Fuel Taxes'!I147</f>
        <v>3.3165237786567717E-5</v>
      </c>
      <c r="J146">
        <f>'Pretax Fuel Prices'!J147+'Fuel Taxes'!J147</f>
        <v>2.6817305173493488E-5</v>
      </c>
      <c r="K146">
        <f>'Pretax Fuel Prices'!K147+'Fuel Taxes'!K147</f>
        <v>2.0469372560420939E-5</v>
      </c>
      <c r="L146">
        <f>'Pretax Fuel Prices'!L147+'Fuel Taxes'!L147</f>
        <v>1.4121439947346712E-5</v>
      </c>
      <c r="M146">
        <f>'Pretax Fuel Prices'!M147+'Fuel Taxes'!M147</f>
        <v>1.3777364253197018E-5</v>
      </c>
      <c r="N146">
        <f>'Pretax Fuel Prices'!N147+'Fuel Taxes'!N147</f>
        <v>1.3433288559048477E-5</v>
      </c>
      <c r="O146">
        <f>'Pretax Fuel Prices'!O147+'Fuel Taxes'!O147</f>
        <v>1.3089212864899936E-5</v>
      </c>
      <c r="P146">
        <f>'Pretax Fuel Prices'!P147+'Fuel Taxes'!P147</f>
        <v>1.2745137170751397E-5</v>
      </c>
      <c r="Q146">
        <f>'Pretax Fuel Prices'!Q147+'Fuel Taxes'!Q147</f>
        <v>1.240106147660296E-5</v>
      </c>
      <c r="R146">
        <f>'Pretax Fuel Prices'!R147+'Fuel Taxes'!R147</f>
        <v>1.2056985782454419E-5</v>
      </c>
      <c r="S146">
        <f>'Pretax Fuel Prices'!S147+'Fuel Taxes'!S147</f>
        <v>1.1712910088305878E-5</v>
      </c>
      <c r="T146">
        <f>'Pretax Fuel Prices'!T147+'Fuel Taxes'!T147</f>
        <v>1.1368834394157339E-5</v>
      </c>
      <c r="U146">
        <f>'Pretax Fuel Prices'!U147+'Fuel Taxes'!U147</f>
        <v>1.1024758700008799E-5</v>
      </c>
      <c r="V146">
        <f>'Pretax Fuel Prices'!V147+'Fuel Taxes'!V147</f>
        <v>1.0680683005860363E-5</v>
      </c>
      <c r="W146">
        <f>'Pretax Fuel Prices'!W147+'Fuel Taxes'!W147</f>
        <v>1.0336607311711822E-5</v>
      </c>
      <c r="X146">
        <f>'Pretax Fuel Prices'!X147+'Fuel Taxes'!X147</f>
        <v>9.9925316175632831E-6</v>
      </c>
      <c r="Y146">
        <f>'Pretax Fuel Prices'!Y147+'Fuel Taxes'!Y147</f>
        <v>9.6484559234147441E-6</v>
      </c>
      <c r="Z146">
        <f>'Pretax Fuel Prices'!Z147+'Fuel Taxes'!Z147</f>
        <v>9.3043802292662017E-6</v>
      </c>
      <c r="AA146">
        <f>'Pretax Fuel Prices'!AA147+'Fuel Taxes'!AA147</f>
        <v>8.9603045351176627E-6</v>
      </c>
      <c r="AB146">
        <f>'Pretax Fuel Prices'!AB147+'Fuel Taxes'!AB147</f>
        <v>8.6162288409692287E-6</v>
      </c>
      <c r="AC146">
        <f>'Pretax Fuel Prices'!AC147+'Fuel Taxes'!AC147</f>
        <v>8.2721531468206879E-6</v>
      </c>
      <c r="AD146">
        <f>'Pretax Fuel Prices'!AD147+'Fuel Taxes'!AD147</f>
        <v>7.9280774526721472E-6</v>
      </c>
      <c r="AE146">
        <f>'Pretax Fuel Prices'!AE147+'Fuel Taxes'!AE147</f>
        <v>7.5840017585236074E-6</v>
      </c>
      <c r="AF146">
        <f>'Pretax Fuel Prices'!AF147+'Fuel Taxes'!AF147</f>
        <v>7.2399260643750666E-6</v>
      </c>
      <c r="AG146">
        <f>'Pretax Fuel Prices'!AG147+'Fuel Taxes'!AG147</f>
        <v>6.8958503702265259E-6</v>
      </c>
      <c r="AH146">
        <f>'Pretax Fuel Prices'!AH147+'Fuel Taxes'!AH147</f>
        <v>6.5517746760779852E-6</v>
      </c>
      <c r="AI146">
        <f>'Pretax Fuel Prices'!AI147+'Fuel Taxes'!AI147</f>
        <v>6.2076989819294453E-6</v>
      </c>
      <c r="AJ146">
        <f>'Pretax Fuel Prices'!AJ147+'Fuel Taxes'!AJ147</f>
        <v>5.8636232877809046E-6</v>
      </c>
      <c r="AK146">
        <f>'Pretax Fuel Prices'!AK147+'Fuel Taxes'!AK147</f>
        <v>5.5195475936323639E-6</v>
      </c>
      <c r="AL146">
        <f>'Pretax Fuel Prices'!AL147+'Fuel Taxes'!AL147</f>
        <v>5.1754718994838232E-6</v>
      </c>
      <c r="AM146">
        <f>'Pretax Fuel Prices'!AM147+'Fuel Taxes'!AM147</f>
        <v>4.8313962053352825E-6</v>
      </c>
      <c r="AN146">
        <f>'Pretax Fuel Prices'!AN147+'Fuel Taxes'!AN147</f>
        <v>4.4873205111867417E-6</v>
      </c>
      <c r="AO146">
        <f>'Pretax Fuel Prices'!AO147+'Fuel Taxes'!AO147</f>
        <v>4.143244817038201E-6</v>
      </c>
      <c r="AP146">
        <f>'Pretax Fuel Prices'!AP147+'Fuel Taxes'!AP147</f>
        <v>3.7991691228896603E-6</v>
      </c>
      <c r="AQ146">
        <f>'Pretax Fuel Prices'!AQ147+'Fuel Taxes'!AQ147</f>
        <v>3.45509342874112E-6</v>
      </c>
      <c r="AR146">
        <f>'Pretax Fuel Prices'!AR147+'Fuel Taxes'!AR147</f>
        <v>3.1110177345925797E-6</v>
      </c>
      <c r="AS146">
        <f>'Pretax Fuel Prices'!AS147+'Fuel Taxes'!AS147</f>
        <v>2.766942040444039E-6</v>
      </c>
      <c r="AT146">
        <f>'Pretax Fuel Prices'!AT147+'Fuel Taxes'!AT147</f>
        <v>2.4228663462954987E-6</v>
      </c>
      <c r="AU146">
        <f>'Pretax Fuel Prices'!AU147+'Fuel Taxes'!AU147</f>
        <v>2.078790652146958E-6</v>
      </c>
      <c r="AV146">
        <f>'Pretax Fuel Prices'!AV147+'Fuel Taxes'!AV147</f>
        <v>1.7347149579984168E-6</v>
      </c>
      <c r="AW146">
        <f>'Pretax Fuel Prices'!AW147+'Fuel Taxes'!AW147</f>
        <v>1.3906392638498767E-6</v>
      </c>
      <c r="AX146">
        <f>'Pretax Fuel Prices'!AX147+'Fuel Taxes'!AX147</f>
        <v>1.0465635697013356E-6</v>
      </c>
      <c r="AY146">
        <f>'Pretax Fuel Prices'!AY147+'Fuel Taxes'!AY147</f>
        <v>7.024878755527952E-7</v>
      </c>
      <c r="AZ146">
        <f>'Pretax Fuel Prices'!AZ147+'Fuel Taxes'!AZ147</f>
        <v>3.5841218140425422E-7</v>
      </c>
    </row>
    <row r="147" spans="1:52" x14ac:dyDescent="0.25">
      <c r="A147" t="s">
        <v>56</v>
      </c>
      <c r="B147">
        <f>'Pretax Fuel Prices'!B148+'Fuel Taxes'!B148</f>
        <v>7.7600766078083947E-5</v>
      </c>
      <c r="C147">
        <f>'Pretax Fuel Prices'!C148+'Fuel Taxes'!C148</f>
        <v>7.1252833465009711E-5</v>
      </c>
      <c r="D147">
        <f>'Pretax Fuel Prices'!D148+'Fuel Taxes'!D148</f>
        <v>6.4904900851937169E-5</v>
      </c>
      <c r="E147">
        <f>'Pretax Fuel Prices'!E148+'Fuel Taxes'!E148</f>
        <v>5.855696823886294E-5</v>
      </c>
      <c r="F147">
        <f>'Pretax Fuel Prices'!F148+'Fuel Taxes'!F148</f>
        <v>5.2209035625788711E-5</v>
      </c>
      <c r="G147">
        <f>'Pretax Fuel Prices'!G148+'Fuel Taxes'!G148</f>
        <v>4.5861103012714481E-5</v>
      </c>
      <c r="H147">
        <f>'Pretax Fuel Prices'!H148+'Fuel Taxes'!H148</f>
        <v>3.9513170399641933E-5</v>
      </c>
      <c r="I147">
        <f>'Pretax Fuel Prices'!I148+'Fuel Taxes'!I148</f>
        <v>3.3165237786567717E-5</v>
      </c>
      <c r="J147">
        <f>'Pretax Fuel Prices'!J148+'Fuel Taxes'!J148</f>
        <v>2.6817305173493488E-5</v>
      </c>
      <c r="K147">
        <f>'Pretax Fuel Prices'!K148+'Fuel Taxes'!K148</f>
        <v>2.0469372560420939E-5</v>
      </c>
      <c r="L147">
        <f>'Pretax Fuel Prices'!L148+'Fuel Taxes'!L148</f>
        <v>1.4121439947346712E-5</v>
      </c>
      <c r="M147">
        <f>'Pretax Fuel Prices'!M148+'Fuel Taxes'!M148</f>
        <v>1.3777364253197018E-5</v>
      </c>
      <c r="N147">
        <f>'Pretax Fuel Prices'!N148+'Fuel Taxes'!N148</f>
        <v>1.3433288559048477E-5</v>
      </c>
      <c r="O147">
        <f>'Pretax Fuel Prices'!O148+'Fuel Taxes'!O148</f>
        <v>1.3089212864899936E-5</v>
      </c>
      <c r="P147">
        <f>'Pretax Fuel Prices'!P148+'Fuel Taxes'!P148</f>
        <v>1.2745137170751397E-5</v>
      </c>
      <c r="Q147">
        <f>'Pretax Fuel Prices'!Q148+'Fuel Taxes'!Q148</f>
        <v>1.240106147660296E-5</v>
      </c>
      <c r="R147">
        <f>'Pretax Fuel Prices'!R148+'Fuel Taxes'!R148</f>
        <v>1.2056985782454419E-5</v>
      </c>
      <c r="S147">
        <f>'Pretax Fuel Prices'!S148+'Fuel Taxes'!S148</f>
        <v>1.1712910088305878E-5</v>
      </c>
      <c r="T147">
        <f>'Pretax Fuel Prices'!T148+'Fuel Taxes'!T148</f>
        <v>1.1368834394157339E-5</v>
      </c>
      <c r="U147">
        <f>'Pretax Fuel Prices'!U148+'Fuel Taxes'!U148</f>
        <v>1.1024758700008799E-5</v>
      </c>
      <c r="V147">
        <f>'Pretax Fuel Prices'!V148+'Fuel Taxes'!V148</f>
        <v>1.0680683005860363E-5</v>
      </c>
      <c r="W147">
        <f>'Pretax Fuel Prices'!W148+'Fuel Taxes'!W148</f>
        <v>1.0336607311711822E-5</v>
      </c>
      <c r="X147">
        <f>'Pretax Fuel Prices'!X148+'Fuel Taxes'!X148</f>
        <v>9.9925316175632831E-6</v>
      </c>
      <c r="Y147">
        <f>'Pretax Fuel Prices'!Y148+'Fuel Taxes'!Y148</f>
        <v>9.6484559234147441E-6</v>
      </c>
      <c r="Z147">
        <f>'Pretax Fuel Prices'!Z148+'Fuel Taxes'!Z148</f>
        <v>9.3043802292662017E-6</v>
      </c>
      <c r="AA147">
        <f>'Pretax Fuel Prices'!AA148+'Fuel Taxes'!AA148</f>
        <v>8.9603045351176627E-6</v>
      </c>
      <c r="AB147">
        <f>'Pretax Fuel Prices'!AB148+'Fuel Taxes'!AB148</f>
        <v>8.6162288409692287E-6</v>
      </c>
      <c r="AC147">
        <f>'Pretax Fuel Prices'!AC148+'Fuel Taxes'!AC148</f>
        <v>8.2721531468206879E-6</v>
      </c>
      <c r="AD147">
        <f>'Pretax Fuel Prices'!AD148+'Fuel Taxes'!AD148</f>
        <v>7.9280774526721472E-6</v>
      </c>
      <c r="AE147">
        <f>'Pretax Fuel Prices'!AE148+'Fuel Taxes'!AE148</f>
        <v>7.5840017585236074E-6</v>
      </c>
      <c r="AF147">
        <f>'Pretax Fuel Prices'!AF148+'Fuel Taxes'!AF148</f>
        <v>7.2399260643750666E-6</v>
      </c>
      <c r="AG147">
        <f>'Pretax Fuel Prices'!AG148+'Fuel Taxes'!AG148</f>
        <v>6.8958503702265259E-6</v>
      </c>
      <c r="AH147">
        <f>'Pretax Fuel Prices'!AH148+'Fuel Taxes'!AH148</f>
        <v>6.5517746760779852E-6</v>
      </c>
      <c r="AI147">
        <f>'Pretax Fuel Prices'!AI148+'Fuel Taxes'!AI148</f>
        <v>6.2076989819294453E-6</v>
      </c>
      <c r="AJ147">
        <f>'Pretax Fuel Prices'!AJ148+'Fuel Taxes'!AJ148</f>
        <v>5.8636232877809046E-6</v>
      </c>
      <c r="AK147">
        <f>'Pretax Fuel Prices'!AK148+'Fuel Taxes'!AK148</f>
        <v>5.5195475936323639E-6</v>
      </c>
      <c r="AL147">
        <f>'Pretax Fuel Prices'!AL148+'Fuel Taxes'!AL148</f>
        <v>5.1754718994838232E-6</v>
      </c>
      <c r="AM147">
        <f>'Pretax Fuel Prices'!AM148+'Fuel Taxes'!AM148</f>
        <v>4.8313962053352825E-6</v>
      </c>
      <c r="AN147">
        <f>'Pretax Fuel Prices'!AN148+'Fuel Taxes'!AN148</f>
        <v>4.4873205111867417E-6</v>
      </c>
      <c r="AO147">
        <f>'Pretax Fuel Prices'!AO148+'Fuel Taxes'!AO148</f>
        <v>4.143244817038201E-6</v>
      </c>
      <c r="AP147">
        <f>'Pretax Fuel Prices'!AP148+'Fuel Taxes'!AP148</f>
        <v>3.7991691228896603E-6</v>
      </c>
      <c r="AQ147">
        <f>'Pretax Fuel Prices'!AQ148+'Fuel Taxes'!AQ148</f>
        <v>3.45509342874112E-6</v>
      </c>
      <c r="AR147">
        <f>'Pretax Fuel Prices'!AR148+'Fuel Taxes'!AR148</f>
        <v>3.1110177345925797E-6</v>
      </c>
      <c r="AS147">
        <f>'Pretax Fuel Prices'!AS148+'Fuel Taxes'!AS148</f>
        <v>2.766942040444039E-6</v>
      </c>
      <c r="AT147">
        <f>'Pretax Fuel Prices'!AT148+'Fuel Taxes'!AT148</f>
        <v>2.4228663462954987E-6</v>
      </c>
      <c r="AU147">
        <f>'Pretax Fuel Prices'!AU148+'Fuel Taxes'!AU148</f>
        <v>2.078790652146958E-6</v>
      </c>
      <c r="AV147">
        <f>'Pretax Fuel Prices'!AV148+'Fuel Taxes'!AV148</f>
        <v>1.7347149579984168E-6</v>
      </c>
      <c r="AW147">
        <f>'Pretax Fuel Prices'!AW148+'Fuel Taxes'!AW148</f>
        <v>1.3906392638498767E-6</v>
      </c>
      <c r="AX147">
        <f>'Pretax Fuel Prices'!AX148+'Fuel Taxes'!AX148</f>
        <v>1.0465635697013356E-6</v>
      </c>
      <c r="AY147">
        <f>'Pretax Fuel Prices'!AY148+'Fuel Taxes'!AY148</f>
        <v>7.024878755527952E-7</v>
      </c>
      <c r="AZ147">
        <f>'Pretax Fuel Prices'!AZ148+'Fuel Taxes'!AZ148</f>
        <v>3.5841218140425422E-7</v>
      </c>
    </row>
    <row r="148" spans="1:52" x14ac:dyDescent="0.25">
      <c r="A148" t="s">
        <v>57</v>
      </c>
      <c r="B148">
        <f>'Pretax Fuel Prices'!B149+'Fuel Taxes'!B149</f>
        <v>7.7600766078083947E-5</v>
      </c>
      <c r="C148">
        <f>'Pretax Fuel Prices'!C149+'Fuel Taxes'!C149</f>
        <v>7.1252833465009711E-5</v>
      </c>
      <c r="D148">
        <f>'Pretax Fuel Prices'!D149+'Fuel Taxes'!D149</f>
        <v>6.4904900851937169E-5</v>
      </c>
      <c r="E148">
        <f>'Pretax Fuel Prices'!E149+'Fuel Taxes'!E149</f>
        <v>5.855696823886294E-5</v>
      </c>
      <c r="F148">
        <f>'Pretax Fuel Prices'!F149+'Fuel Taxes'!F149</f>
        <v>5.2209035625788711E-5</v>
      </c>
      <c r="G148">
        <f>'Pretax Fuel Prices'!G149+'Fuel Taxes'!G149</f>
        <v>4.5861103012714481E-5</v>
      </c>
      <c r="H148">
        <f>'Pretax Fuel Prices'!H149+'Fuel Taxes'!H149</f>
        <v>3.9513170399641933E-5</v>
      </c>
      <c r="I148">
        <f>'Pretax Fuel Prices'!I149+'Fuel Taxes'!I149</f>
        <v>3.3165237786567717E-5</v>
      </c>
      <c r="J148">
        <f>'Pretax Fuel Prices'!J149+'Fuel Taxes'!J149</f>
        <v>2.6817305173493488E-5</v>
      </c>
      <c r="K148">
        <f>'Pretax Fuel Prices'!K149+'Fuel Taxes'!K149</f>
        <v>2.0469372560420939E-5</v>
      </c>
      <c r="L148">
        <f>'Pretax Fuel Prices'!L149+'Fuel Taxes'!L149</f>
        <v>1.4121439947346712E-5</v>
      </c>
      <c r="M148">
        <f>'Pretax Fuel Prices'!M149+'Fuel Taxes'!M149</f>
        <v>1.3777364253197018E-5</v>
      </c>
      <c r="N148">
        <f>'Pretax Fuel Prices'!N149+'Fuel Taxes'!N149</f>
        <v>1.3433288559048477E-5</v>
      </c>
      <c r="O148">
        <f>'Pretax Fuel Prices'!O149+'Fuel Taxes'!O149</f>
        <v>1.3089212864899936E-5</v>
      </c>
      <c r="P148">
        <f>'Pretax Fuel Prices'!P149+'Fuel Taxes'!P149</f>
        <v>1.2745137170751397E-5</v>
      </c>
      <c r="Q148">
        <f>'Pretax Fuel Prices'!Q149+'Fuel Taxes'!Q149</f>
        <v>1.240106147660296E-5</v>
      </c>
      <c r="R148">
        <f>'Pretax Fuel Prices'!R149+'Fuel Taxes'!R149</f>
        <v>1.2056985782454419E-5</v>
      </c>
      <c r="S148">
        <f>'Pretax Fuel Prices'!S149+'Fuel Taxes'!S149</f>
        <v>1.1712910088305878E-5</v>
      </c>
      <c r="T148">
        <f>'Pretax Fuel Prices'!T149+'Fuel Taxes'!T149</f>
        <v>1.1368834394157339E-5</v>
      </c>
      <c r="U148">
        <f>'Pretax Fuel Prices'!U149+'Fuel Taxes'!U149</f>
        <v>1.1024758700008799E-5</v>
      </c>
      <c r="V148">
        <f>'Pretax Fuel Prices'!V149+'Fuel Taxes'!V149</f>
        <v>1.0680683005860363E-5</v>
      </c>
      <c r="W148">
        <f>'Pretax Fuel Prices'!W149+'Fuel Taxes'!W149</f>
        <v>1.0336607311711822E-5</v>
      </c>
      <c r="X148">
        <f>'Pretax Fuel Prices'!X149+'Fuel Taxes'!X149</f>
        <v>9.9925316175632831E-6</v>
      </c>
      <c r="Y148">
        <f>'Pretax Fuel Prices'!Y149+'Fuel Taxes'!Y149</f>
        <v>9.6484559234147441E-6</v>
      </c>
      <c r="Z148">
        <f>'Pretax Fuel Prices'!Z149+'Fuel Taxes'!Z149</f>
        <v>9.3043802292662017E-6</v>
      </c>
      <c r="AA148">
        <f>'Pretax Fuel Prices'!AA149+'Fuel Taxes'!AA149</f>
        <v>8.9603045351176627E-6</v>
      </c>
      <c r="AB148">
        <f>'Pretax Fuel Prices'!AB149+'Fuel Taxes'!AB149</f>
        <v>8.6162288409692287E-6</v>
      </c>
      <c r="AC148">
        <f>'Pretax Fuel Prices'!AC149+'Fuel Taxes'!AC149</f>
        <v>8.2721531468206879E-6</v>
      </c>
      <c r="AD148">
        <f>'Pretax Fuel Prices'!AD149+'Fuel Taxes'!AD149</f>
        <v>7.9280774526721472E-6</v>
      </c>
      <c r="AE148">
        <f>'Pretax Fuel Prices'!AE149+'Fuel Taxes'!AE149</f>
        <v>7.5840017585236074E-6</v>
      </c>
      <c r="AF148">
        <f>'Pretax Fuel Prices'!AF149+'Fuel Taxes'!AF149</f>
        <v>7.2399260643750666E-6</v>
      </c>
      <c r="AG148">
        <f>'Pretax Fuel Prices'!AG149+'Fuel Taxes'!AG149</f>
        <v>6.8958503702265259E-6</v>
      </c>
      <c r="AH148">
        <f>'Pretax Fuel Prices'!AH149+'Fuel Taxes'!AH149</f>
        <v>6.5517746760779852E-6</v>
      </c>
      <c r="AI148">
        <f>'Pretax Fuel Prices'!AI149+'Fuel Taxes'!AI149</f>
        <v>6.2076989819294453E-6</v>
      </c>
      <c r="AJ148">
        <f>'Pretax Fuel Prices'!AJ149+'Fuel Taxes'!AJ149</f>
        <v>5.8636232877809046E-6</v>
      </c>
      <c r="AK148">
        <f>'Pretax Fuel Prices'!AK149+'Fuel Taxes'!AK149</f>
        <v>5.5195475936323639E-6</v>
      </c>
      <c r="AL148">
        <f>'Pretax Fuel Prices'!AL149+'Fuel Taxes'!AL149</f>
        <v>5.1754718994838232E-6</v>
      </c>
      <c r="AM148">
        <f>'Pretax Fuel Prices'!AM149+'Fuel Taxes'!AM149</f>
        <v>4.8313962053352825E-6</v>
      </c>
      <c r="AN148">
        <f>'Pretax Fuel Prices'!AN149+'Fuel Taxes'!AN149</f>
        <v>4.4873205111867417E-6</v>
      </c>
      <c r="AO148">
        <f>'Pretax Fuel Prices'!AO149+'Fuel Taxes'!AO149</f>
        <v>4.143244817038201E-6</v>
      </c>
      <c r="AP148">
        <f>'Pretax Fuel Prices'!AP149+'Fuel Taxes'!AP149</f>
        <v>3.7991691228896603E-6</v>
      </c>
      <c r="AQ148">
        <f>'Pretax Fuel Prices'!AQ149+'Fuel Taxes'!AQ149</f>
        <v>3.45509342874112E-6</v>
      </c>
      <c r="AR148">
        <f>'Pretax Fuel Prices'!AR149+'Fuel Taxes'!AR149</f>
        <v>3.1110177345925797E-6</v>
      </c>
      <c r="AS148">
        <f>'Pretax Fuel Prices'!AS149+'Fuel Taxes'!AS149</f>
        <v>2.766942040444039E-6</v>
      </c>
      <c r="AT148">
        <f>'Pretax Fuel Prices'!AT149+'Fuel Taxes'!AT149</f>
        <v>2.4228663462954987E-6</v>
      </c>
      <c r="AU148">
        <f>'Pretax Fuel Prices'!AU149+'Fuel Taxes'!AU149</f>
        <v>2.078790652146958E-6</v>
      </c>
      <c r="AV148">
        <f>'Pretax Fuel Prices'!AV149+'Fuel Taxes'!AV149</f>
        <v>1.7347149579984168E-6</v>
      </c>
      <c r="AW148">
        <f>'Pretax Fuel Prices'!AW149+'Fuel Taxes'!AW149</f>
        <v>1.3906392638498767E-6</v>
      </c>
      <c r="AX148">
        <f>'Pretax Fuel Prices'!AX149+'Fuel Taxes'!AX149</f>
        <v>1.0465635697013356E-6</v>
      </c>
      <c r="AY148">
        <f>'Pretax Fuel Prices'!AY149+'Fuel Taxes'!AY149</f>
        <v>7.024878755527952E-7</v>
      </c>
      <c r="AZ148">
        <f>'Pretax Fuel Prices'!AZ149+'Fuel Taxes'!AZ149</f>
        <v>3.5841218140425422E-7</v>
      </c>
    </row>
    <row r="149" spans="1:52" x14ac:dyDescent="0.25">
      <c r="A149" t="s">
        <v>58</v>
      </c>
      <c r="B149">
        <f>'Pretax Fuel Prices'!B150+'Fuel Taxes'!B150</f>
        <v>0</v>
      </c>
      <c r="C149">
        <f>'Pretax Fuel Prices'!C150+'Fuel Taxes'!C150</f>
        <v>0</v>
      </c>
      <c r="D149">
        <f>'Pretax Fuel Prices'!D150+'Fuel Taxes'!D150</f>
        <v>0</v>
      </c>
      <c r="E149">
        <f>'Pretax Fuel Prices'!E150+'Fuel Taxes'!E150</f>
        <v>0</v>
      </c>
      <c r="F149">
        <f>'Pretax Fuel Prices'!F150+'Fuel Taxes'!F150</f>
        <v>0</v>
      </c>
      <c r="G149">
        <f>'Pretax Fuel Prices'!G150+'Fuel Taxes'!G150</f>
        <v>0</v>
      </c>
      <c r="H149">
        <f>'Pretax Fuel Prices'!H150+'Fuel Taxes'!H150</f>
        <v>0</v>
      </c>
      <c r="I149">
        <f>'Pretax Fuel Prices'!I150+'Fuel Taxes'!I150</f>
        <v>0</v>
      </c>
      <c r="J149">
        <f>'Pretax Fuel Prices'!J150+'Fuel Taxes'!J150</f>
        <v>0</v>
      </c>
      <c r="K149">
        <f>'Pretax Fuel Prices'!K150+'Fuel Taxes'!K150</f>
        <v>0</v>
      </c>
      <c r="L149">
        <f>'Pretax Fuel Prices'!L150+'Fuel Taxes'!L150</f>
        <v>0</v>
      </c>
      <c r="M149">
        <f>'Pretax Fuel Prices'!M150+'Fuel Taxes'!M150</f>
        <v>0</v>
      </c>
      <c r="N149">
        <f>'Pretax Fuel Prices'!N150+'Fuel Taxes'!N150</f>
        <v>0</v>
      </c>
      <c r="O149">
        <f>'Pretax Fuel Prices'!O150+'Fuel Taxes'!O150</f>
        <v>0</v>
      </c>
      <c r="P149">
        <f>'Pretax Fuel Prices'!P150+'Fuel Taxes'!P150</f>
        <v>0</v>
      </c>
      <c r="Q149">
        <f>'Pretax Fuel Prices'!Q150+'Fuel Taxes'!Q150</f>
        <v>0</v>
      </c>
      <c r="R149">
        <f>'Pretax Fuel Prices'!R150+'Fuel Taxes'!R150</f>
        <v>0</v>
      </c>
      <c r="S149">
        <f>'Pretax Fuel Prices'!S150+'Fuel Taxes'!S150</f>
        <v>0</v>
      </c>
      <c r="T149">
        <f>'Pretax Fuel Prices'!T150+'Fuel Taxes'!T150</f>
        <v>0</v>
      </c>
      <c r="U149">
        <f>'Pretax Fuel Prices'!U150+'Fuel Taxes'!U150</f>
        <v>0</v>
      </c>
      <c r="V149">
        <f>'Pretax Fuel Prices'!V150+'Fuel Taxes'!V150</f>
        <v>0</v>
      </c>
      <c r="W149">
        <f>'Pretax Fuel Prices'!W150+'Fuel Taxes'!W150</f>
        <v>0</v>
      </c>
      <c r="X149">
        <f>'Pretax Fuel Prices'!X150+'Fuel Taxes'!X150</f>
        <v>0</v>
      </c>
      <c r="Y149">
        <f>'Pretax Fuel Prices'!Y150+'Fuel Taxes'!Y150</f>
        <v>0</v>
      </c>
      <c r="Z149">
        <f>'Pretax Fuel Prices'!Z150+'Fuel Taxes'!Z150</f>
        <v>0</v>
      </c>
      <c r="AA149">
        <f>'Pretax Fuel Prices'!AA150+'Fuel Taxes'!AA150</f>
        <v>0</v>
      </c>
      <c r="AB149">
        <f>'Pretax Fuel Prices'!AB150+'Fuel Taxes'!AB150</f>
        <v>0</v>
      </c>
      <c r="AC149">
        <f>'Pretax Fuel Prices'!AC150+'Fuel Taxes'!AC150</f>
        <v>0</v>
      </c>
      <c r="AD149">
        <f>'Pretax Fuel Prices'!AD150+'Fuel Taxes'!AD150</f>
        <v>0</v>
      </c>
      <c r="AE149">
        <f>'Pretax Fuel Prices'!AE150+'Fuel Taxes'!AE150</f>
        <v>0</v>
      </c>
      <c r="AF149">
        <f>'Pretax Fuel Prices'!AF150+'Fuel Taxes'!AF150</f>
        <v>0</v>
      </c>
      <c r="AG149">
        <f>'Pretax Fuel Prices'!AG150+'Fuel Taxes'!AG150</f>
        <v>0</v>
      </c>
      <c r="AH149">
        <f>'Pretax Fuel Prices'!AH150+'Fuel Taxes'!AH150</f>
        <v>0</v>
      </c>
      <c r="AI149">
        <f>'Pretax Fuel Prices'!AI150+'Fuel Taxes'!AI150</f>
        <v>0</v>
      </c>
      <c r="AJ149">
        <f>'Pretax Fuel Prices'!AJ150+'Fuel Taxes'!AJ150</f>
        <v>0</v>
      </c>
      <c r="AK149">
        <f>'Pretax Fuel Prices'!AK150+'Fuel Taxes'!AK150</f>
        <v>0</v>
      </c>
      <c r="AL149">
        <f>'Pretax Fuel Prices'!AL150+'Fuel Taxes'!AL150</f>
        <v>0</v>
      </c>
      <c r="AM149">
        <f>'Pretax Fuel Prices'!AM150+'Fuel Taxes'!AM150</f>
        <v>0</v>
      </c>
      <c r="AN149">
        <f>'Pretax Fuel Prices'!AN150+'Fuel Taxes'!AN150</f>
        <v>0</v>
      </c>
      <c r="AO149">
        <f>'Pretax Fuel Prices'!AO150+'Fuel Taxes'!AO150</f>
        <v>0</v>
      </c>
      <c r="AP149">
        <f>'Pretax Fuel Prices'!AP150+'Fuel Taxes'!AP150</f>
        <v>0</v>
      </c>
      <c r="AQ149">
        <f>'Pretax Fuel Prices'!AQ150+'Fuel Taxes'!AQ150</f>
        <v>0</v>
      </c>
      <c r="AR149">
        <f>'Pretax Fuel Prices'!AR150+'Fuel Taxes'!AR150</f>
        <v>0</v>
      </c>
      <c r="AS149">
        <f>'Pretax Fuel Prices'!AS150+'Fuel Taxes'!AS150</f>
        <v>0</v>
      </c>
      <c r="AT149">
        <f>'Pretax Fuel Prices'!AT150+'Fuel Taxes'!AT150</f>
        <v>0</v>
      </c>
      <c r="AU149">
        <f>'Pretax Fuel Prices'!AU150+'Fuel Taxes'!AU150</f>
        <v>0</v>
      </c>
      <c r="AV149">
        <f>'Pretax Fuel Prices'!AV150+'Fuel Taxes'!AV150</f>
        <v>0</v>
      </c>
      <c r="AW149">
        <f>'Pretax Fuel Prices'!AW150+'Fuel Taxes'!AW150</f>
        <v>0</v>
      </c>
      <c r="AX149">
        <f>'Pretax Fuel Prices'!AX150+'Fuel Taxes'!AX150</f>
        <v>0</v>
      </c>
      <c r="AY149">
        <f>'Pretax Fuel Prices'!AY150+'Fuel Taxes'!AY150</f>
        <v>0</v>
      </c>
      <c r="AZ149">
        <f>'Pretax Fuel Prices'!AZ150+'Fuel Taxes'!AZ150</f>
        <v>0</v>
      </c>
    </row>
    <row r="150" spans="1:52" x14ac:dyDescent="0.25">
      <c r="A150" t="s">
        <v>59</v>
      </c>
      <c r="B150">
        <f>'Pretax Fuel Prices'!B151+'Fuel Taxes'!B151</f>
        <v>7.7600766078083947E-5</v>
      </c>
      <c r="C150">
        <f>'Pretax Fuel Prices'!C151+'Fuel Taxes'!C151</f>
        <v>7.1252833465009711E-5</v>
      </c>
      <c r="D150">
        <f>'Pretax Fuel Prices'!D151+'Fuel Taxes'!D151</f>
        <v>6.4904900851937169E-5</v>
      </c>
      <c r="E150">
        <f>'Pretax Fuel Prices'!E151+'Fuel Taxes'!E151</f>
        <v>5.855696823886294E-5</v>
      </c>
      <c r="F150">
        <f>'Pretax Fuel Prices'!F151+'Fuel Taxes'!F151</f>
        <v>5.2209035625788711E-5</v>
      </c>
      <c r="G150">
        <f>'Pretax Fuel Prices'!G151+'Fuel Taxes'!G151</f>
        <v>4.5861103012714481E-5</v>
      </c>
      <c r="H150">
        <f>'Pretax Fuel Prices'!H151+'Fuel Taxes'!H151</f>
        <v>3.9513170399641933E-5</v>
      </c>
      <c r="I150">
        <f>'Pretax Fuel Prices'!I151+'Fuel Taxes'!I151</f>
        <v>3.3165237786567717E-5</v>
      </c>
      <c r="J150">
        <f>'Pretax Fuel Prices'!J151+'Fuel Taxes'!J151</f>
        <v>2.6817305173493488E-5</v>
      </c>
      <c r="K150">
        <f>'Pretax Fuel Prices'!K151+'Fuel Taxes'!K151</f>
        <v>2.0469372560420939E-5</v>
      </c>
      <c r="L150">
        <f>'Pretax Fuel Prices'!L151+'Fuel Taxes'!L151</f>
        <v>1.4121439947346712E-5</v>
      </c>
      <c r="M150">
        <f>'Pretax Fuel Prices'!M151+'Fuel Taxes'!M151</f>
        <v>1.3777364253197018E-5</v>
      </c>
      <c r="N150">
        <f>'Pretax Fuel Prices'!N151+'Fuel Taxes'!N151</f>
        <v>1.3433288559048477E-5</v>
      </c>
      <c r="O150">
        <f>'Pretax Fuel Prices'!O151+'Fuel Taxes'!O151</f>
        <v>1.3089212864899936E-5</v>
      </c>
      <c r="P150">
        <f>'Pretax Fuel Prices'!P151+'Fuel Taxes'!P151</f>
        <v>1.2745137170751397E-5</v>
      </c>
      <c r="Q150">
        <f>'Pretax Fuel Prices'!Q151+'Fuel Taxes'!Q151</f>
        <v>1.240106147660296E-5</v>
      </c>
      <c r="R150">
        <f>'Pretax Fuel Prices'!R151+'Fuel Taxes'!R151</f>
        <v>1.2056985782454419E-5</v>
      </c>
      <c r="S150">
        <f>'Pretax Fuel Prices'!S151+'Fuel Taxes'!S151</f>
        <v>1.1712910088305878E-5</v>
      </c>
      <c r="T150">
        <f>'Pretax Fuel Prices'!T151+'Fuel Taxes'!T151</f>
        <v>1.1368834394157339E-5</v>
      </c>
      <c r="U150">
        <f>'Pretax Fuel Prices'!U151+'Fuel Taxes'!U151</f>
        <v>1.1024758700008799E-5</v>
      </c>
      <c r="V150">
        <f>'Pretax Fuel Prices'!V151+'Fuel Taxes'!V151</f>
        <v>1.0680683005860363E-5</v>
      </c>
      <c r="W150">
        <f>'Pretax Fuel Prices'!W151+'Fuel Taxes'!W151</f>
        <v>1.0336607311711822E-5</v>
      </c>
      <c r="X150">
        <f>'Pretax Fuel Prices'!X151+'Fuel Taxes'!X151</f>
        <v>9.9925316175632831E-6</v>
      </c>
      <c r="Y150">
        <f>'Pretax Fuel Prices'!Y151+'Fuel Taxes'!Y151</f>
        <v>9.6484559234147441E-6</v>
      </c>
      <c r="Z150">
        <f>'Pretax Fuel Prices'!Z151+'Fuel Taxes'!Z151</f>
        <v>9.3043802292662017E-6</v>
      </c>
      <c r="AA150">
        <f>'Pretax Fuel Prices'!AA151+'Fuel Taxes'!AA151</f>
        <v>8.9603045351176627E-6</v>
      </c>
      <c r="AB150">
        <f>'Pretax Fuel Prices'!AB151+'Fuel Taxes'!AB151</f>
        <v>8.6162288409692287E-6</v>
      </c>
      <c r="AC150">
        <f>'Pretax Fuel Prices'!AC151+'Fuel Taxes'!AC151</f>
        <v>8.2721531468206879E-6</v>
      </c>
      <c r="AD150">
        <f>'Pretax Fuel Prices'!AD151+'Fuel Taxes'!AD151</f>
        <v>7.9280774526721472E-6</v>
      </c>
      <c r="AE150">
        <f>'Pretax Fuel Prices'!AE151+'Fuel Taxes'!AE151</f>
        <v>7.5840017585236074E-6</v>
      </c>
      <c r="AF150">
        <f>'Pretax Fuel Prices'!AF151+'Fuel Taxes'!AF151</f>
        <v>7.2399260643750666E-6</v>
      </c>
      <c r="AG150">
        <f>'Pretax Fuel Prices'!AG151+'Fuel Taxes'!AG151</f>
        <v>6.8958503702265259E-6</v>
      </c>
      <c r="AH150">
        <f>'Pretax Fuel Prices'!AH151+'Fuel Taxes'!AH151</f>
        <v>6.5517746760779852E-6</v>
      </c>
      <c r="AI150">
        <f>'Pretax Fuel Prices'!AI151+'Fuel Taxes'!AI151</f>
        <v>6.2076989819294453E-6</v>
      </c>
      <c r="AJ150">
        <f>'Pretax Fuel Prices'!AJ151+'Fuel Taxes'!AJ151</f>
        <v>5.8636232877809046E-6</v>
      </c>
      <c r="AK150">
        <f>'Pretax Fuel Prices'!AK151+'Fuel Taxes'!AK151</f>
        <v>5.5195475936323639E-6</v>
      </c>
      <c r="AL150">
        <f>'Pretax Fuel Prices'!AL151+'Fuel Taxes'!AL151</f>
        <v>5.1754718994838232E-6</v>
      </c>
      <c r="AM150">
        <f>'Pretax Fuel Prices'!AM151+'Fuel Taxes'!AM151</f>
        <v>4.8313962053352825E-6</v>
      </c>
      <c r="AN150">
        <f>'Pretax Fuel Prices'!AN151+'Fuel Taxes'!AN151</f>
        <v>4.4873205111867417E-6</v>
      </c>
      <c r="AO150">
        <f>'Pretax Fuel Prices'!AO151+'Fuel Taxes'!AO151</f>
        <v>4.143244817038201E-6</v>
      </c>
      <c r="AP150">
        <f>'Pretax Fuel Prices'!AP151+'Fuel Taxes'!AP151</f>
        <v>3.7991691228896603E-6</v>
      </c>
      <c r="AQ150">
        <f>'Pretax Fuel Prices'!AQ151+'Fuel Taxes'!AQ151</f>
        <v>3.45509342874112E-6</v>
      </c>
      <c r="AR150">
        <f>'Pretax Fuel Prices'!AR151+'Fuel Taxes'!AR151</f>
        <v>3.1110177345925797E-6</v>
      </c>
      <c r="AS150">
        <f>'Pretax Fuel Prices'!AS151+'Fuel Taxes'!AS151</f>
        <v>2.766942040444039E-6</v>
      </c>
      <c r="AT150">
        <f>'Pretax Fuel Prices'!AT151+'Fuel Taxes'!AT151</f>
        <v>2.4228663462954987E-6</v>
      </c>
      <c r="AU150">
        <f>'Pretax Fuel Prices'!AU151+'Fuel Taxes'!AU151</f>
        <v>2.078790652146958E-6</v>
      </c>
      <c r="AV150">
        <f>'Pretax Fuel Prices'!AV151+'Fuel Taxes'!AV151</f>
        <v>1.7347149579984168E-6</v>
      </c>
      <c r="AW150">
        <f>'Pretax Fuel Prices'!AW151+'Fuel Taxes'!AW151</f>
        <v>1.3906392638498767E-6</v>
      </c>
      <c r="AX150">
        <f>'Pretax Fuel Prices'!AX151+'Fuel Taxes'!AX151</f>
        <v>1.0465635697013356E-6</v>
      </c>
      <c r="AY150">
        <f>'Pretax Fuel Prices'!AY151+'Fuel Taxes'!AY151</f>
        <v>7.024878755527952E-7</v>
      </c>
      <c r="AZ150">
        <f>'Pretax Fuel Prices'!AZ151+'Fuel Taxes'!AZ151</f>
        <v>3.5841218140425422E-7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Z23"/>
  <sheetViews>
    <sheetView tabSelected="1" topLeftCell="AL1" workbookViewId="0">
      <selection activeCell="BE22" sqref="BE22"/>
    </sheetView>
  </sheetViews>
  <sheetFormatPr baseColWidth="10" defaultColWidth="9.140625" defaultRowHeight="15" x14ac:dyDescent="0.25"/>
  <cols>
    <col min="1" max="1" width="29.5703125" customWidth="1"/>
    <col min="2" max="2" width="9.140625" customWidth="1"/>
  </cols>
  <sheetData>
    <row r="1" spans="1:52" ht="30" x14ac:dyDescent="0.25">
      <c r="A1" s="8" t="s">
        <v>51</v>
      </c>
      <c r="B1" s="6">
        <f>'Fuel Price Data'!B2</f>
        <v>2020</v>
      </c>
      <c r="C1" s="6">
        <f>'Fuel Price Data'!C2</f>
        <v>2021</v>
      </c>
      <c r="D1" s="6">
        <f>'Fuel Price Data'!D2</f>
        <v>2022</v>
      </c>
      <c r="E1" s="6">
        <f>'Fuel Price Data'!E2</f>
        <v>2023</v>
      </c>
      <c r="F1" s="6">
        <f>'Fuel Price Data'!F2</f>
        <v>2024</v>
      </c>
      <c r="G1" s="6">
        <f>'Fuel Price Data'!G2</f>
        <v>2025</v>
      </c>
      <c r="H1" s="6">
        <f>'Fuel Price Data'!H2</f>
        <v>2026</v>
      </c>
      <c r="I1" s="6">
        <f>'Fuel Price Data'!I2</f>
        <v>2027</v>
      </c>
      <c r="J1" s="6">
        <f>'Fuel Price Data'!J2</f>
        <v>2028</v>
      </c>
      <c r="K1" s="6">
        <f>'Fuel Price Data'!K2</f>
        <v>2029</v>
      </c>
      <c r="L1" s="6">
        <f>'Fuel Price Data'!L2</f>
        <v>2030</v>
      </c>
      <c r="M1" s="6">
        <f>'Fuel Price Data'!M2</f>
        <v>2031</v>
      </c>
      <c r="N1" s="6">
        <f>'Fuel Price Data'!N2</f>
        <v>2032</v>
      </c>
      <c r="O1" s="6">
        <f>'Fuel Price Data'!O2</f>
        <v>2033</v>
      </c>
      <c r="P1" s="6">
        <f>'Fuel Price Data'!P2</f>
        <v>2034</v>
      </c>
      <c r="Q1" s="6">
        <f>'Fuel Price Data'!Q2</f>
        <v>2035</v>
      </c>
      <c r="R1" s="6">
        <f>'Fuel Price Data'!R2</f>
        <v>2036</v>
      </c>
      <c r="S1" s="6">
        <f>'Fuel Price Data'!S2</f>
        <v>2037</v>
      </c>
      <c r="T1" s="6">
        <f>'Fuel Price Data'!T2</f>
        <v>2038</v>
      </c>
      <c r="U1" s="6">
        <f>'Fuel Price Data'!U2</f>
        <v>2039</v>
      </c>
      <c r="V1" s="6">
        <f>'Fuel Price Data'!V2</f>
        <v>2040</v>
      </c>
      <c r="W1" s="6">
        <f>'Fuel Price Data'!W2</f>
        <v>2041</v>
      </c>
      <c r="X1" s="6">
        <f>'Fuel Price Data'!X2</f>
        <v>2042</v>
      </c>
      <c r="Y1" s="6">
        <f>'Fuel Price Data'!Y2</f>
        <v>2043</v>
      </c>
      <c r="Z1" s="6">
        <f>'Fuel Price Data'!Z2</f>
        <v>2044</v>
      </c>
      <c r="AA1" s="6">
        <f>'Fuel Price Data'!AA2</f>
        <v>2045</v>
      </c>
      <c r="AB1" s="6">
        <f>'Fuel Price Data'!AB2</f>
        <v>2046</v>
      </c>
      <c r="AC1" s="6">
        <f>'Fuel Price Data'!AC2</f>
        <v>2047</v>
      </c>
      <c r="AD1" s="6">
        <f>'Fuel Price Data'!AD2</f>
        <v>2048</v>
      </c>
      <c r="AE1" s="6">
        <f>'Fuel Price Data'!AE2</f>
        <v>2049</v>
      </c>
      <c r="AF1" s="6">
        <f>'Fuel Price Data'!AF2</f>
        <v>2050</v>
      </c>
      <c r="AG1" s="6">
        <f>'Fuel Price Data'!AG2</f>
        <v>2051</v>
      </c>
      <c r="AH1" s="6">
        <f>'Fuel Price Data'!AH2</f>
        <v>2052</v>
      </c>
      <c r="AI1" s="6">
        <f>'Fuel Price Data'!AI2</f>
        <v>2053</v>
      </c>
      <c r="AJ1" s="6">
        <f>'Fuel Price Data'!AJ2</f>
        <v>2054</v>
      </c>
      <c r="AK1" s="6">
        <f>'Fuel Price Data'!AK2</f>
        <v>2055</v>
      </c>
      <c r="AL1" s="6">
        <f>'Fuel Price Data'!AL2</f>
        <v>2056</v>
      </c>
      <c r="AM1" s="6">
        <f>'Fuel Price Data'!AM2</f>
        <v>2057</v>
      </c>
      <c r="AN1" s="6">
        <f>'Fuel Price Data'!AN2</f>
        <v>2058</v>
      </c>
      <c r="AO1" s="6">
        <f>'Fuel Price Data'!AO2</f>
        <v>2059</v>
      </c>
      <c r="AP1" s="6">
        <f>'Fuel Price Data'!AP2</f>
        <v>2060</v>
      </c>
      <c r="AQ1" s="6">
        <f>'Fuel Price Data'!AQ2</f>
        <v>2061</v>
      </c>
      <c r="AR1" s="6">
        <f>'Fuel Price Data'!AR2</f>
        <v>2062</v>
      </c>
      <c r="AS1" s="6">
        <f>'Fuel Price Data'!AS2</f>
        <v>2063</v>
      </c>
      <c r="AT1" s="6">
        <f>'Fuel Price Data'!AT2</f>
        <v>2064</v>
      </c>
      <c r="AU1" s="6">
        <f>'Fuel Price Data'!AU2</f>
        <v>2065</v>
      </c>
      <c r="AV1" s="6">
        <f>'Fuel Price Data'!AV2</f>
        <v>2066</v>
      </c>
      <c r="AW1" s="6">
        <f>'Fuel Price Data'!AW2</f>
        <v>2067</v>
      </c>
      <c r="AX1" s="6">
        <f>'Fuel Price Data'!AX2</f>
        <v>2068</v>
      </c>
      <c r="AY1" s="6">
        <f>'Fuel Price Data'!AY2</f>
        <v>2069</v>
      </c>
      <c r="AZ1" s="6">
        <f>'Fuel Price Data'!AZ2</f>
        <v>2070</v>
      </c>
    </row>
    <row r="2" spans="1:52" x14ac:dyDescent="0.25">
      <c r="A2" t="s">
        <v>21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</row>
    <row r="3" spans="1:52" x14ac:dyDescent="0.25">
      <c r="A3" t="s">
        <v>2</v>
      </c>
      <c r="B3" s="4">
        <f>SUMPRODUCT('Fuel Price Data'!B3:B7,'BAU Fuel Use by Sector'!$AL$3:$AL$7)/SUM('BAU Fuel Use by Sector'!$AL$3:$AL$7)</f>
        <v>1.8924251588940698E-6</v>
      </c>
      <c r="C3" s="4">
        <f>SUMPRODUCT('Fuel Price Data'!C3:C7,'BAU Fuel Use by Sector'!$AL$3:$AL$7)/SUM('BAU Fuel Use by Sector'!$AL$3:$AL$7)</f>
        <v>1.8663925808625354E-6</v>
      </c>
      <c r="D3" s="4">
        <f>SUMPRODUCT('Fuel Price Data'!D3:D7,'BAU Fuel Use by Sector'!$AL$3:$AL$7)/SUM('BAU Fuel Use by Sector'!$AL$3:$AL$7)</f>
        <v>1.8274112677514048E-6</v>
      </c>
      <c r="E3" s="4">
        <f>SUMPRODUCT('Fuel Price Data'!E3:E7,'BAU Fuel Use by Sector'!$AL$3:$AL$7)/SUM('BAU Fuel Use by Sector'!$AL$3:$AL$7)</f>
        <v>1.8071298829392645E-6</v>
      </c>
      <c r="F3" s="4">
        <f>SUMPRODUCT('Fuel Price Data'!F3:F7,'BAU Fuel Use by Sector'!$AL$3:$AL$7)/SUM('BAU Fuel Use by Sector'!$AL$3:$AL$7)</f>
        <v>1.7973806444156505E-6</v>
      </c>
      <c r="G3" s="4">
        <f>SUMPRODUCT('Fuel Price Data'!G3:G7,'BAU Fuel Use by Sector'!$AL$3:$AL$7)/SUM('BAU Fuel Use by Sector'!$AL$3:$AL$7)</f>
        <v>1.7552663639075901E-6</v>
      </c>
      <c r="H3" s="4">
        <f>SUMPRODUCT('Fuel Price Data'!H3:H7,'BAU Fuel Use by Sector'!$AL$3:$AL$7)/SUM('BAU Fuel Use by Sector'!$AL$3:$AL$7)</f>
        <v>1.7274149179357952E-6</v>
      </c>
      <c r="I3" s="4">
        <f>SUMPRODUCT('Fuel Price Data'!I3:I7,'BAU Fuel Use by Sector'!$AL$3:$AL$7)/SUM('BAU Fuel Use by Sector'!$AL$3:$AL$7)</f>
        <v>1.724275057639585E-6</v>
      </c>
      <c r="J3" s="4">
        <f>SUMPRODUCT('Fuel Price Data'!J3:J7,'BAU Fuel Use by Sector'!$AL$3:$AL$7)/SUM('BAU Fuel Use by Sector'!$AL$3:$AL$7)</f>
        <v>1.7165691338751597E-6</v>
      </c>
      <c r="K3" s="4">
        <f>SUMPRODUCT('Fuel Price Data'!K3:K7,'BAU Fuel Use by Sector'!$AL$3:$AL$7)/SUM('BAU Fuel Use by Sector'!$AL$3:$AL$7)</f>
        <v>1.7224081224794133E-6</v>
      </c>
      <c r="L3" s="4">
        <f>SUMPRODUCT('Fuel Price Data'!L3:L7,'BAU Fuel Use by Sector'!$AL$3:$AL$7)/SUM('BAU Fuel Use by Sector'!$AL$3:$AL$7)</f>
        <v>1.7216494776060262E-6</v>
      </c>
      <c r="M3" s="4">
        <f>SUMPRODUCT('Fuel Price Data'!M3:M7,'BAU Fuel Use by Sector'!$AL$3:$AL$7)/SUM('BAU Fuel Use by Sector'!$AL$3:$AL$7)</f>
        <v>1.7218990666008237E-6</v>
      </c>
      <c r="N3" s="4">
        <f>SUMPRODUCT('Fuel Price Data'!N3:N7,'BAU Fuel Use by Sector'!$AL$3:$AL$7)/SUM('BAU Fuel Use by Sector'!$AL$3:$AL$7)</f>
        <v>1.7153512334950405E-6</v>
      </c>
      <c r="O3" s="4">
        <f>SUMPRODUCT('Fuel Price Data'!O3:O7,'BAU Fuel Use by Sector'!$AL$3:$AL$7)/SUM('BAU Fuel Use by Sector'!$AL$3:$AL$7)</f>
        <v>1.7141579796959011E-6</v>
      </c>
      <c r="P3" s="4">
        <f>SUMPRODUCT('Fuel Price Data'!P3:P7,'BAU Fuel Use by Sector'!$AL$3:$AL$7)/SUM('BAU Fuel Use by Sector'!$AL$3:$AL$7)</f>
        <v>1.7104339446584036E-6</v>
      </c>
      <c r="Q3" s="4">
        <f>SUMPRODUCT('Fuel Price Data'!Q3:Q7,'BAU Fuel Use by Sector'!$AL$3:$AL$7)/SUM('BAU Fuel Use by Sector'!$AL$3:$AL$7)</f>
        <v>1.7015246877184777E-6</v>
      </c>
      <c r="R3" s="4">
        <f>SUMPRODUCT('Fuel Price Data'!R3:R7,'BAU Fuel Use by Sector'!$AL$3:$AL$7)/SUM('BAU Fuel Use by Sector'!$AL$3:$AL$7)</f>
        <v>1.6914832570221308E-6</v>
      </c>
      <c r="S3" s="4">
        <f>SUMPRODUCT('Fuel Price Data'!S3:S7,'BAU Fuel Use by Sector'!$AL$3:$AL$7)/SUM('BAU Fuel Use by Sector'!$AL$3:$AL$7)</f>
        <v>1.6906957386919399E-6</v>
      </c>
      <c r="T3" s="4">
        <f>SUMPRODUCT('Fuel Price Data'!T3:T7,'BAU Fuel Use by Sector'!$AL$3:$AL$7)/SUM('BAU Fuel Use by Sector'!$AL$3:$AL$7)</f>
        <v>1.6918586515575271E-6</v>
      </c>
      <c r="U3" s="4">
        <f>SUMPRODUCT('Fuel Price Data'!U3:U7,'BAU Fuel Use by Sector'!$AL$3:$AL$7)/SUM('BAU Fuel Use by Sector'!$AL$3:$AL$7)</f>
        <v>1.6911495516493188E-6</v>
      </c>
      <c r="V3" s="4">
        <f>SUMPRODUCT('Fuel Price Data'!V3:V7,'BAU Fuel Use by Sector'!$AL$3:$AL$7)/SUM('BAU Fuel Use by Sector'!$AL$3:$AL$7)</f>
        <v>1.6962680735601525E-6</v>
      </c>
      <c r="W3" s="4">
        <f>SUMPRODUCT('Fuel Price Data'!W3:W7,'BAU Fuel Use by Sector'!$AL$3:$AL$7)/SUM('BAU Fuel Use by Sector'!$AL$3:$AL$7)</f>
        <v>1.6947680008334817E-6</v>
      </c>
      <c r="X3" s="4">
        <f>SUMPRODUCT('Fuel Price Data'!X3:X7,'BAU Fuel Use by Sector'!$AL$3:$AL$7)/SUM('BAU Fuel Use by Sector'!$AL$3:$AL$7)</f>
        <v>1.6878784223185749E-6</v>
      </c>
      <c r="Y3" s="4">
        <f>SUMPRODUCT('Fuel Price Data'!Y3:Y7,'BAU Fuel Use by Sector'!$AL$3:$AL$7)/SUM('BAU Fuel Use by Sector'!$AL$3:$AL$7)</f>
        <v>1.680880496525548E-6</v>
      </c>
      <c r="Z3" s="4">
        <f>SUMPRODUCT('Fuel Price Data'!Z3:Z7,'BAU Fuel Use by Sector'!$AL$3:$AL$7)/SUM('BAU Fuel Use by Sector'!$AL$3:$AL$7)</f>
        <v>1.6785566347376708E-6</v>
      </c>
      <c r="AA3" s="4">
        <f>SUMPRODUCT('Fuel Price Data'!AA3:AA7,'BAU Fuel Use by Sector'!$AL$3:$AL$7)/SUM('BAU Fuel Use by Sector'!$AL$3:$AL$7)</f>
        <v>1.6779262169738057E-6</v>
      </c>
      <c r="AB3" s="4">
        <f>SUMPRODUCT('Fuel Price Data'!AB3:AB7,'BAU Fuel Use by Sector'!$AL$3:$AL$7)/SUM('BAU Fuel Use by Sector'!$AL$3:$AL$7)</f>
        <v>1.677538906841118E-6</v>
      </c>
      <c r="AC3" s="4">
        <f>SUMPRODUCT('Fuel Price Data'!AC3:AC7,'BAU Fuel Use by Sector'!$AL$3:$AL$7)/SUM('BAU Fuel Use by Sector'!$AL$3:$AL$7)</f>
        <v>1.6747843597487989E-6</v>
      </c>
      <c r="AD3" s="4">
        <f>SUMPRODUCT('Fuel Price Data'!AD3:AD7,'BAU Fuel Use by Sector'!$AL$3:$AL$7)/SUM('BAU Fuel Use by Sector'!$AL$3:$AL$7)</f>
        <v>1.6692553347889195E-6</v>
      </c>
      <c r="AE3" s="4">
        <f>SUMPRODUCT('Fuel Price Data'!AE3:AE7,'BAU Fuel Use by Sector'!$AL$3:$AL$7)/SUM('BAU Fuel Use by Sector'!$AL$3:$AL$7)</f>
        <v>1.6715143527569381E-6</v>
      </c>
      <c r="AF3" s="4">
        <f>SUMPRODUCT('Fuel Price Data'!AF3:AF7,'BAU Fuel Use by Sector'!$AL$3:$AL$7)/SUM('BAU Fuel Use by Sector'!$AL$3:$AL$7)</f>
        <v>1.6712467860957978E-6</v>
      </c>
      <c r="AG3" s="4">
        <f>SUMPRODUCT('Fuel Price Data'!AG3:AG7,'BAU Fuel Use by Sector'!$AL$3:$AL$7)/SUM('BAU Fuel Use by Sector'!$AL$3:$AL$7)</f>
        <v>1.6688889810919903E-6</v>
      </c>
      <c r="AH3" s="4">
        <f>SUMPRODUCT('Fuel Price Data'!AH3:AH7,'BAU Fuel Use by Sector'!$AL$3:$AL$7)/SUM('BAU Fuel Use by Sector'!$AL$3:$AL$7)</f>
        <v>1.6665366123441517E-6</v>
      </c>
      <c r="AI3" s="4">
        <f>SUMPRODUCT('Fuel Price Data'!AI3:AI7,'BAU Fuel Use by Sector'!$AL$3:$AL$7)/SUM('BAU Fuel Use by Sector'!$AL$3:$AL$7)</f>
        <v>1.6641842435963135E-6</v>
      </c>
      <c r="AJ3" s="4">
        <f>SUMPRODUCT('Fuel Price Data'!AJ3:AJ7,'BAU Fuel Use by Sector'!$AL$3:$AL$7)/SUM('BAU Fuel Use by Sector'!$AL$3:$AL$7)</f>
        <v>1.6618318748484751E-6</v>
      </c>
      <c r="AK3" s="4">
        <f>SUMPRODUCT('Fuel Price Data'!AK3:AK7,'BAU Fuel Use by Sector'!$AL$3:$AL$7)/SUM('BAU Fuel Use by Sector'!$AL$3:$AL$7)</f>
        <v>1.6594795061006366E-6</v>
      </c>
      <c r="AL3" s="4">
        <f>SUMPRODUCT('Fuel Price Data'!AL3:AL7,'BAU Fuel Use by Sector'!$AL$3:$AL$7)/SUM('BAU Fuel Use by Sector'!$AL$3:$AL$7)</f>
        <v>1.657127137352798E-6</v>
      </c>
      <c r="AM3" s="4">
        <f>SUMPRODUCT('Fuel Price Data'!AM3:AM7,'BAU Fuel Use by Sector'!$AL$3:$AL$7)/SUM('BAU Fuel Use by Sector'!$AL$3:$AL$7)</f>
        <v>1.6547747686049598E-6</v>
      </c>
      <c r="AN3" s="4">
        <f>SUMPRODUCT('Fuel Price Data'!AN3:AN7,'BAU Fuel Use by Sector'!$AL$3:$AL$7)/SUM('BAU Fuel Use by Sector'!$AL$3:$AL$7)</f>
        <v>1.6524223998571212E-6</v>
      </c>
      <c r="AO3" s="4">
        <f>SUMPRODUCT('Fuel Price Data'!AO3:AO7,'BAU Fuel Use by Sector'!$AL$3:$AL$7)/SUM('BAU Fuel Use by Sector'!$AL$3:$AL$7)</f>
        <v>1.6500700311092832E-6</v>
      </c>
      <c r="AP3" s="4">
        <f>SUMPRODUCT('Fuel Price Data'!AP3:AP7,'BAU Fuel Use by Sector'!$AL$3:$AL$7)/SUM('BAU Fuel Use by Sector'!$AL$3:$AL$7)</f>
        <v>1.6477176623614447E-6</v>
      </c>
      <c r="AQ3" s="4">
        <f>SUMPRODUCT('Fuel Price Data'!AQ3:AQ7,'BAU Fuel Use by Sector'!$AL$3:$AL$7)/SUM('BAU Fuel Use by Sector'!$AL$3:$AL$7)</f>
        <v>1.6453652936136065E-6</v>
      </c>
      <c r="AR3" s="4">
        <f>SUMPRODUCT('Fuel Price Data'!AR3:AR7,'BAU Fuel Use by Sector'!$AL$3:$AL$7)/SUM('BAU Fuel Use by Sector'!$AL$3:$AL$7)</f>
        <v>1.6430129248657679E-6</v>
      </c>
      <c r="AS3" s="4">
        <f>SUMPRODUCT('Fuel Price Data'!AS3:AS7,'BAU Fuel Use by Sector'!$AL$3:$AL$7)/SUM('BAU Fuel Use by Sector'!$AL$3:$AL$7)</f>
        <v>1.6406605561179297E-6</v>
      </c>
      <c r="AT3" s="4">
        <f>SUMPRODUCT('Fuel Price Data'!AT3:AT7,'BAU Fuel Use by Sector'!$AL$3:$AL$7)/SUM('BAU Fuel Use by Sector'!$AL$3:$AL$7)</f>
        <v>1.6383081873700911E-6</v>
      </c>
      <c r="AU3" s="4">
        <f>SUMPRODUCT('Fuel Price Data'!AU3:AU7,'BAU Fuel Use by Sector'!$AL$3:$AL$7)/SUM('BAU Fuel Use by Sector'!$AL$3:$AL$7)</f>
        <v>1.6359558186222532E-6</v>
      </c>
      <c r="AV3" s="4">
        <f>SUMPRODUCT('Fuel Price Data'!AV3:AV7,'BAU Fuel Use by Sector'!$AL$3:$AL$7)/SUM('BAU Fuel Use by Sector'!$AL$3:$AL$7)</f>
        <v>1.6336034498744146E-6</v>
      </c>
      <c r="AW3" s="4">
        <f>SUMPRODUCT('Fuel Price Data'!AW3:AW7,'BAU Fuel Use by Sector'!$AL$3:$AL$7)/SUM('BAU Fuel Use by Sector'!$AL$3:$AL$7)</f>
        <v>1.6312510811265764E-6</v>
      </c>
      <c r="AX3" s="4">
        <f>SUMPRODUCT('Fuel Price Data'!AX3:AX7,'BAU Fuel Use by Sector'!$AL$3:$AL$7)/SUM('BAU Fuel Use by Sector'!$AL$3:$AL$7)</f>
        <v>1.6288987123787378E-6</v>
      </c>
      <c r="AY3" s="4">
        <f>SUMPRODUCT('Fuel Price Data'!AY3:AY7,'BAU Fuel Use by Sector'!$AL$3:$AL$7)/SUM('BAU Fuel Use by Sector'!$AL$3:$AL$7)</f>
        <v>1.6265463436308995E-6</v>
      </c>
      <c r="AZ3" s="4">
        <f>SUMPRODUCT('Fuel Price Data'!AZ3:AZ7,'BAU Fuel Use by Sector'!$AL$3:$AL$7)/SUM('BAU Fuel Use by Sector'!$AL$3:$AL$7)</f>
        <v>1.6241939748830609E-6</v>
      </c>
    </row>
    <row r="4" spans="1:52" x14ac:dyDescent="0.25">
      <c r="A4" t="s">
        <v>3</v>
      </c>
      <c r="B4" s="27" cm="1">
        <f t="array" ref="B4:AF4">TRANSPOSE('Natural Gas Prices'!D91:D121)</f>
        <v>3.3640431901572894E-6</v>
      </c>
      <c r="C4" s="27">
        <v>5.58742929536906E-6</v>
      </c>
      <c r="D4" s="27">
        <v>1.0029435997859815E-5</v>
      </c>
      <c r="E4" s="27">
        <v>8.7215666205089458E-6</v>
      </c>
      <c r="F4" s="27">
        <v>6.5875872812997719E-6</v>
      </c>
      <c r="G4" s="27">
        <v>6.1442291452230091E-6</v>
      </c>
      <c r="H4" s="27">
        <v>5.8762665668182228E-6</v>
      </c>
      <c r="I4" s="27">
        <v>5.6164849369690513E-6</v>
      </c>
      <c r="J4" s="27">
        <v>5.360970220809711E-6</v>
      </c>
      <c r="K4" s="27">
        <v>5.1019666898453374E-6</v>
      </c>
      <c r="L4" s="27">
        <v>4.8507364361360788E-6</v>
      </c>
      <c r="M4" s="27">
        <v>4.9561538903538221E-6</v>
      </c>
      <c r="N4" s="27">
        <v>5.0281218417189303E-6</v>
      </c>
      <c r="O4" s="27">
        <v>5.1784883683272704E-6</v>
      </c>
      <c r="P4" s="27">
        <v>5.1713858330442802E-6</v>
      </c>
      <c r="Q4" s="27">
        <v>5.0617329653488135E-6</v>
      </c>
      <c r="R4" s="27">
        <v>5.0051713958503191E-6</v>
      </c>
      <c r="S4" s="27">
        <v>5.0048017411003118E-6</v>
      </c>
      <c r="T4" s="27">
        <v>5.0461313286506297E-6</v>
      </c>
      <c r="U4" s="27">
        <v>5.0806289668985744E-6</v>
      </c>
      <c r="V4" s="27">
        <v>5.1251665249024947E-6</v>
      </c>
      <c r="W4" s="27">
        <v>5.2027426545322138E-6</v>
      </c>
      <c r="X4" s="27">
        <v>5.2267167604682806E-6</v>
      </c>
      <c r="Y4" s="27">
        <v>5.1355798676413009E-6</v>
      </c>
      <c r="Z4" s="27">
        <v>5.0910365314944137E-6</v>
      </c>
      <c r="AA4" s="27">
        <v>4.9582629130435384E-6</v>
      </c>
      <c r="AB4" s="27">
        <v>4.8970732032561762E-6</v>
      </c>
      <c r="AC4" s="27">
        <v>4.863024929765971E-6</v>
      </c>
      <c r="AD4" s="27">
        <v>4.8552297247679382E-6</v>
      </c>
      <c r="AE4" s="27">
        <v>4.8720003704143164E-6</v>
      </c>
      <c r="AF4" s="27">
        <v>4.8820162325692083E-6</v>
      </c>
      <c r="AG4" s="4">
        <f>_xlfn.FORECAST.ETS(AG1,$B$4:$AF$4,$B$1:$AF$1)</f>
        <v>4.8214856164150621E-6</v>
      </c>
      <c r="AH4" s="4">
        <f t="shared" ref="AH4:AZ4" si="0">_xlfn.FORECAST.ETS(AH1,$B$4:$AF$4,$B$1:$AF$1)</f>
        <v>4.768057573104719E-6</v>
      </c>
      <c r="AI4" s="4">
        <f t="shared" si="0"/>
        <v>4.714629529794375E-6</v>
      </c>
      <c r="AJ4" s="4">
        <f t="shared" si="0"/>
        <v>4.6612014864840319E-6</v>
      </c>
      <c r="AK4" s="4">
        <f t="shared" si="0"/>
        <v>4.607773443173688E-6</v>
      </c>
      <c r="AL4" s="4">
        <f t="shared" si="0"/>
        <v>4.5543453998633449E-6</v>
      </c>
      <c r="AM4" s="4">
        <f t="shared" si="0"/>
        <v>4.500917356553001E-6</v>
      </c>
      <c r="AN4" s="4">
        <f t="shared" si="0"/>
        <v>4.447489313242657E-6</v>
      </c>
      <c r="AO4" s="4">
        <f t="shared" si="0"/>
        <v>4.3940612699323139E-6</v>
      </c>
      <c r="AP4" s="4">
        <f t="shared" si="0"/>
        <v>4.34063322662197E-6</v>
      </c>
      <c r="AQ4" s="4">
        <f t="shared" si="0"/>
        <v>4.2872051833116269E-6</v>
      </c>
      <c r="AR4" s="4">
        <f t="shared" si="0"/>
        <v>4.2337771400012829E-6</v>
      </c>
      <c r="AS4" s="4">
        <f t="shared" si="0"/>
        <v>4.1803490966909398E-6</v>
      </c>
      <c r="AT4" s="4">
        <f t="shared" si="0"/>
        <v>4.1269210533805959E-6</v>
      </c>
      <c r="AU4" s="4">
        <f t="shared" si="0"/>
        <v>4.0734930100702528E-6</v>
      </c>
      <c r="AV4" s="4">
        <f t="shared" si="0"/>
        <v>4.0200649667599089E-6</v>
      </c>
      <c r="AW4" s="4">
        <f t="shared" si="0"/>
        <v>3.9666369234495649E-6</v>
      </c>
      <c r="AX4" s="4">
        <f t="shared" si="0"/>
        <v>3.9132088801392218E-6</v>
      </c>
      <c r="AY4" s="4">
        <f t="shared" si="0"/>
        <v>3.8597808368288779E-6</v>
      </c>
      <c r="AZ4" s="4">
        <f t="shared" si="0"/>
        <v>3.8063527935185344E-6</v>
      </c>
    </row>
    <row r="5" spans="1:52" x14ac:dyDescent="0.25">
      <c r="A5" t="s">
        <v>4</v>
      </c>
      <c r="B5" s="4">
        <f>SUMPRODUCT('Fuel Price Data'!B23:B27,'BAU Fuel Use by Sector'!$AN$3:$AN$7)/SUM('BAU Fuel Use by Sector'!$AN$3:$AN$7)</f>
        <v>6.0866703525738859E-7</v>
      </c>
      <c r="C5" s="4">
        <f>SUMPRODUCT('Fuel Price Data'!C23:C27,'BAU Fuel Use by Sector'!$AN$3:$AN$7)/SUM('BAU Fuel Use by Sector'!$AN$3:$AN$7)</f>
        <v>6.0723236674170564E-7</v>
      </c>
      <c r="D5" s="4">
        <f>SUMPRODUCT('Fuel Price Data'!D23:D27,'BAU Fuel Use by Sector'!$AN$3:$AN$7)/SUM('BAU Fuel Use by Sector'!$AN$3:$AN$7)</f>
        <v>6.081211887736649E-7</v>
      </c>
      <c r="E5" s="4">
        <f>SUMPRODUCT('Fuel Price Data'!E23:E27,'BAU Fuel Use by Sector'!$AN$3:$AN$7)/SUM('BAU Fuel Use by Sector'!$AN$3:$AN$7)</f>
        <v>6.0989968014171304E-7</v>
      </c>
      <c r="F5" s="4">
        <f>SUMPRODUCT('Fuel Price Data'!F23:F27,'BAU Fuel Use by Sector'!$AN$3:$AN$7)/SUM('BAU Fuel Use by Sector'!$AN$3:$AN$7)</f>
        <v>6.1078850217367219E-7</v>
      </c>
      <c r="G5" s="4">
        <f>SUMPRODUCT('Fuel Price Data'!G23:G27,'BAU Fuel Use by Sector'!$AN$3:$AN$7)/SUM('BAU Fuel Use by Sector'!$AN$3:$AN$7)</f>
        <v>6.1256614623759071E-7</v>
      </c>
      <c r="H5" s="4">
        <f>SUMPRODUCT('Fuel Price Data'!H23:H27,'BAU Fuel Use by Sector'!$AN$3:$AN$7)/SUM('BAU Fuel Use by Sector'!$AN$3:$AN$7)</f>
        <v>6.1345581557367969E-7</v>
      </c>
      <c r="I5" s="4">
        <f>SUMPRODUCT('Fuel Price Data'!I23:I27,'BAU Fuel Use by Sector'!$AN$3:$AN$7)/SUM('BAU Fuel Use by Sector'!$AN$3:$AN$7)</f>
        <v>6.1523345963759811E-7</v>
      </c>
      <c r="J5" s="4">
        <f>SUMPRODUCT('Fuel Price Data'!J23:J27,'BAU Fuel Use by Sector'!$AN$3:$AN$7)/SUM('BAU Fuel Use by Sector'!$AN$3:$AN$7)</f>
        <v>6.1612228166955747E-7</v>
      </c>
      <c r="K5" s="4">
        <f>SUMPRODUCT('Fuel Price Data'!K23:K27,'BAU Fuel Use by Sector'!$AN$3:$AN$7)/SUM('BAU Fuel Use by Sector'!$AN$3:$AN$7)</f>
        <v>6.179007730376054E-7</v>
      </c>
      <c r="L5" s="4">
        <f>SUMPRODUCT('Fuel Price Data'!L23:L27,'BAU Fuel Use by Sector'!$AN$3:$AN$7)/SUM('BAU Fuel Use by Sector'!$AN$3:$AN$7)</f>
        <v>6.1967926440565353E-7</v>
      </c>
      <c r="M5" s="4">
        <f>SUMPRODUCT('Fuel Price Data'!M23:M27,'BAU Fuel Use by Sector'!$AN$3:$AN$7)/SUM('BAU Fuel Use by Sector'!$AN$3:$AN$7)</f>
        <v>6.20568086437613E-7</v>
      </c>
      <c r="N5" s="4">
        <f>SUMPRODUCT('Fuel Price Data'!N23:N27,'BAU Fuel Use by Sector'!$AN$3:$AN$7)/SUM('BAU Fuel Use by Sector'!$AN$3:$AN$7)</f>
        <v>6.2234657780566103E-7</v>
      </c>
      <c r="O5" s="4">
        <f>SUMPRODUCT('Fuel Price Data'!O23:O27,'BAU Fuel Use by Sector'!$AN$3:$AN$7)/SUM('BAU Fuel Use by Sector'!$AN$3:$AN$7)</f>
        <v>6.2412422186957977E-7</v>
      </c>
      <c r="P5" s="4">
        <f>SUMPRODUCT('Fuel Price Data'!P23:P27,'BAU Fuel Use by Sector'!$AN$3:$AN$7)/SUM('BAU Fuel Use by Sector'!$AN$3:$AN$7)</f>
        <v>6.2501304390153881E-7</v>
      </c>
      <c r="Q5" s="4">
        <f>SUMPRODUCT('Fuel Price Data'!Q23:Q27,'BAU Fuel Use by Sector'!$AN$3:$AN$7)/SUM('BAU Fuel Use by Sector'!$AN$3:$AN$7)</f>
        <v>6.2679153526958684E-7</v>
      </c>
      <c r="R5" s="4">
        <f>SUMPRODUCT('Fuel Price Data'!R23:R27,'BAU Fuel Use by Sector'!$AN$3:$AN$7)/SUM('BAU Fuel Use by Sector'!$AN$3:$AN$7)</f>
        <v>6.2857002663763508E-7</v>
      </c>
      <c r="S5" s="4">
        <f>SUMPRODUCT('Fuel Price Data'!S23:S27,'BAU Fuel Use by Sector'!$AN$3:$AN$7)/SUM('BAU Fuel Use by Sector'!$AN$3:$AN$7)</f>
        <v>6.2945884866959424E-7</v>
      </c>
      <c r="T5" s="4">
        <f>SUMPRODUCT('Fuel Price Data'!T23:T27,'BAU Fuel Use by Sector'!$AN$3:$AN$7)/SUM('BAU Fuel Use by Sector'!$AN$3:$AN$7)</f>
        <v>6.3123649273351276E-7</v>
      </c>
      <c r="U5" s="4">
        <f>SUMPRODUCT('Fuel Price Data'!U23:U27,'BAU Fuel Use by Sector'!$AN$3:$AN$7)/SUM('BAU Fuel Use by Sector'!$AN$3:$AN$7)</f>
        <v>6.3301498410156089E-7</v>
      </c>
      <c r="V5" s="4">
        <f>SUMPRODUCT('Fuel Price Data'!V23:V27,'BAU Fuel Use by Sector'!$AN$3:$AN$7)/SUM('BAU Fuel Use by Sector'!$AN$3:$AN$7)</f>
        <v>6.3479347546960903E-7</v>
      </c>
      <c r="W5" s="4">
        <f>SUMPRODUCT('Fuel Price Data'!W23:W27,'BAU Fuel Use by Sector'!$AN$3:$AN$7)/SUM('BAU Fuel Use by Sector'!$AN$3:$AN$7)</f>
        <v>6.3657111953352755E-7</v>
      </c>
      <c r="X5" s="4">
        <f>SUMPRODUCT('Fuel Price Data'!X23:X27,'BAU Fuel Use by Sector'!$AN$3:$AN$7)/SUM('BAU Fuel Use by Sector'!$AN$3:$AN$7)</f>
        <v>6.3834961090157558E-7</v>
      </c>
      <c r="Y5" s="4">
        <f>SUMPRODUCT('Fuel Price Data'!Y23:Y27,'BAU Fuel Use by Sector'!$AN$3:$AN$7)/SUM('BAU Fuel Use by Sector'!$AN$3:$AN$7)</f>
        <v>6.401272549654942E-7</v>
      </c>
      <c r="Z5" s="4">
        <f>SUMPRODUCT('Fuel Price Data'!Z23:Z27,'BAU Fuel Use by Sector'!$AN$3:$AN$7)/SUM('BAU Fuel Use by Sector'!$AN$3:$AN$7)</f>
        <v>6.4190574633354234E-7</v>
      </c>
      <c r="AA5" s="4">
        <f>SUMPRODUCT('Fuel Price Data'!AA23:AA27,'BAU Fuel Use by Sector'!$AN$3:$AN$7)/SUM('BAU Fuel Use by Sector'!$AN$3:$AN$7)</f>
        <v>6.4368423770159037E-7</v>
      </c>
      <c r="AB5" s="4">
        <f>SUMPRODUCT('Fuel Price Data'!AB23:AB27,'BAU Fuel Use by Sector'!$AN$3:$AN$7)/SUM('BAU Fuel Use by Sector'!$AN$3:$AN$7)</f>
        <v>6.45461881765509E-7</v>
      </c>
      <c r="AC5" s="4">
        <f>SUMPRODUCT('Fuel Price Data'!AC23:AC27,'BAU Fuel Use by Sector'!$AN$3:$AN$7)/SUM('BAU Fuel Use by Sector'!$AN$3:$AN$7)</f>
        <v>6.4724037313355703E-7</v>
      </c>
      <c r="AD5" s="4">
        <f>SUMPRODUCT('Fuel Price Data'!AD23:AD27,'BAU Fuel Use by Sector'!$AN$3:$AN$7)/SUM('BAU Fuel Use by Sector'!$AN$3:$AN$7)</f>
        <v>6.4901801719747565E-7</v>
      </c>
      <c r="AE5" s="4">
        <f>SUMPRODUCT('Fuel Price Data'!AE23:AE27,'BAU Fuel Use by Sector'!$AN$3:$AN$7)/SUM('BAU Fuel Use by Sector'!$AN$3:$AN$7)</f>
        <v>6.5079650856552368E-7</v>
      </c>
      <c r="AF5" s="4">
        <f>SUMPRODUCT('Fuel Price Data'!AF23:AF27,'BAU Fuel Use by Sector'!$AN$3:$AN$7)/SUM('BAU Fuel Use by Sector'!$AN$3:$AN$7)</f>
        <v>6.525741526294422E-7</v>
      </c>
      <c r="AG5" s="4">
        <f>SUMPRODUCT('Fuel Price Data'!AG23:AG27,'BAU Fuel Use by Sector'!$AN$3:$AN$7)/SUM('BAU Fuel Use by Sector'!$AN$3:$AN$7)</f>
        <v>6.5435268998467341E-7</v>
      </c>
      <c r="AH5" s="4">
        <f>SUMPRODUCT('Fuel Price Data'!AH23:AH27,'BAU Fuel Use by Sector'!$AN$3:$AN$7)/SUM('BAU Fuel Use by Sector'!$AN$3:$AN$7)</f>
        <v>6.5613108768791258E-7</v>
      </c>
      <c r="AI5" s="4">
        <f>SUMPRODUCT('Fuel Price Data'!AI23:AI27,'BAU Fuel Use by Sector'!$AN$3:$AN$7)/SUM('BAU Fuel Use by Sector'!$AN$3:$AN$7)</f>
        <v>6.5790948539115175E-7</v>
      </c>
      <c r="AJ5" s="4">
        <f>SUMPRODUCT('Fuel Price Data'!AJ23:AJ27,'BAU Fuel Use by Sector'!$AN$3:$AN$7)/SUM('BAU Fuel Use by Sector'!$AN$3:$AN$7)</f>
        <v>6.5968788309439091E-7</v>
      </c>
      <c r="AK5" s="4">
        <f>SUMPRODUCT('Fuel Price Data'!AK23:AK27,'BAU Fuel Use by Sector'!$AN$3:$AN$7)/SUM('BAU Fuel Use by Sector'!$AN$3:$AN$7)</f>
        <v>6.6146628079763008E-7</v>
      </c>
      <c r="AL5" s="4">
        <f>SUMPRODUCT('Fuel Price Data'!AL23:AL27,'BAU Fuel Use by Sector'!$AN$3:$AN$7)/SUM('BAU Fuel Use by Sector'!$AN$3:$AN$7)</f>
        <v>6.6324467850086935E-7</v>
      </c>
      <c r="AM5" s="4">
        <f>SUMPRODUCT('Fuel Price Data'!AM23:AM27,'BAU Fuel Use by Sector'!$AN$3:$AN$7)/SUM('BAU Fuel Use by Sector'!$AN$3:$AN$7)</f>
        <v>6.6502307620410841E-7</v>
      </c>
      <c r="AN5" s="4">
        <f>SUMPRODUCT('Fuel Price Data'!AN23:AN27,'BAU Fuel Use by Sector'!$AN$3:$AN$7)/SUM('BAU Fuel Use by Sector'!$AN$3:$AN$7)</f>
        <v>6.6680147390734769E-7</v>
      </c>
      <c r="AO5" s="4">
        <f>SUMPRODUCT('Fuel Price Data'!AO23:AO27,'BAU Fuel Use by Sector'!$AN$3:$AN$7)/SUM('BAU Fuel Use by Sector'!$AN$3:$AN$7)</f>
        <v>6.6857987161058685E-7</v>
      </c>
      <c r="AP5" s="4">
        <f>SUMPRODUCT('Fuel Price Data'!AP23:AP27,'BAU Fuel Use by Sector'!$AN$3:$AN$7)/SUM('BAU Fuel Use by Sector'!$AN$3:$AN$7)</f>
        <v>6.7035826931382602E-7</v>
      </c>
      <c r="AQ5" s="4">
        <f>SUMPRODUCT('Fuel Price Data'!AQ23:AQ27,'BAU Fuel Use by Sector'!$AN$3:$AN$7)/SUM('BAU Fuel Use by Sector'!$AN$3:$AN$7)</f>
        <v>6.7213666701706519E-7</v>
      </c>
      <c r="AR5" s="4">
        <f>SUMPRODUCT('Fuel Price Data'!AR23:AR27,'BAU Fuel Use by Sector'!$AN$3:$AN$7)/SUM('BAU Fuel Use by Sector'!$AN$3:$AN$7)</f>
        <v>6.7391506472030435E-7</v>
      </c>
      <c r="AS5" s="4">
        <f>SUMPRODUCT('Fuel Price Data'!AS23:AS27,'BAU Fuel Use by Sector'!$AN$3:$AN$7)/SUM('BAU Fuel Use by Sector'!$AN$3:$AN$7)</f>
        <v>6.7569346242354363E-7</v>
      </c>
      <c r="AT5" s="4">
        <f>SUMPRODUCT('Fuel Price Data'!AT23:AT27,'BAU Fuel Use by Sector'!$AN$3:$AN$7)/SUM('BAU Fuel Use by Sector'!$AN$3:$AN$7)</f>
        <v>6.7747186012678279E-7</v>
      </c>
      <c r="AU5" s="4">
        <f>SUMPRODUCT('Fuel Price Data'!AU23:AU27,'BAU Fuel Use by Sector'!$AN$3:$AN$7)/SUM('BAU Fuel Use by Sector'!$AN$3:$AN$7)</f>
        <v>6.7925025783002186E-7</v>
      </c>
      <c r="AV5" s="4">
        <f>SUMPRODUCT('Fuel Price Data'!AV23:AV27,'BAU Fuel Use by Sector'!$AN$3:$AN$7)/SUM('BAU Fuel Use by Sector'!$AN$3:$AN$7)</f>
        <v>6.8102865553326113E-7</v>
      </c>
      <c r="AW5" s="4">
        <f>SUMPRODUCT('Fuel Price Data'!AW23:AW27,'BAU Fuel Use by Sector'!$AN$3:$AN$7)/SUM('BAU Fuel Use by Sector'!$AN$3:$AN$7)</f>
        <v>6.828070532365004E-7</v>
      </c>
      <c r="AX5" s="4">
        <f>SUMPRODUCT('Fuel Price Data'!AX23:AX27,'BAU Fuel Use by Sector'!$AN$3:$AN$7)/SUM('BAU Fuel Use by Sector'!$AN$3:$AN$7)</f>
        <v>6.8458545093973946E-7</v>
      </c>
      <c r="AY5" s="4">
        <f>SUMPRODUCT('Fuel Price Data'!AY23:AY27,'BAU Fuel Use by Sector'!$AN$3:$AN$7)/SUM('BAU Fuel Use by Sector'!$AN$3:$AN$7)</f>
        <v>6.8636384864297874E-7</v>
      </c>
      <c r="AZ5" s="4">
        <f>SUMPRODUCT('Fuel Price Data'!AZ23:AZ27,'BAU Fuel Use by Sector'!$AN$3:$AN$7)/SUM('BAU Fuel Use by Sector'!$AN$3:$AN$7)</f>
        <v>6.881422463462178E-7</v>
      </c>
    </row>
    <row r="6" spans="1:52" x14ac:dyDescent="0.25">
      <c r="A6" t="s">
        <v>12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</row>
    <row r="7" spans="1:52" x14ac:dyDescent="0.25">
      <c r="A7" t="s">
        <v>13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</row>
    <row r="8" spans="1:52" x14ac:dyDescent="0.25">
      <c r="A8" t="s">
        <v>14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</row>
    <row r="9" spans="1:52" x14ac:dyDescent="0.25">
      <c r="A9" t="s">
        <v>5</v>
      </c>
      <c r="B9" s="4">
        <f>SUMPRODUCT('Fuel Price Data'!B33:B37,'BAU Fuel Use by Sector'!$AR$3:$AR$7)/SUM('BAU Fuel Use by Sector'!$AR$3:$AR$7)</f>
        <v>3.8317893838245514E-6</v>
      </c>
      <c r="C9" s="4">
        <f>SUMPRODUCT('Fuel Price Data'!C33:C37,'BAU Fuel Use by Sector'!$AR$3:$AR$7)/SUM('BAU Fuel Use by Sector'!$AR$3:$AR$7)</f>
        <v>3.8317893838245514E-6</v>
      </c>
      <c r="D9" s="4">
        <f>SUMPRODUCT('Fuel Price Data'!D33:D37,'BAU Fuel Use by Sector'!$AR$3:$AR$7)/SUM('BAU Fuel Use by Sector'!$AR$3:$AR$7)</f>
        <v>3.8317893838245514E-6</v>
      </c>
      <c r="E9" s="4">
        <f>SUMPRODUCT('Fuel Price Data'!E33:E37,'BAU Fuel Use by Sector'!$AR$3:$AR$7)/SUM('BAU Fuel Use by Sector'!$AR$3:$AR$7)</f>
        <v>3.8317893838245514E-6</v>
      </c>
      <c r="F9" s="4">
        <f>SUMPRODUCT('Fuel Price Data'!F33:F37,'BAU Fuel Use by Sector'!$AR$3:$AR$7)/SUM('BAU Fuel Use by Sector'!$AR$3:$AR$7)</f>
        <v>3.8317893838245514E-6</v>
      </c>
      <c r="G9" s="4">
        <f>SUMPRODUCT('Fuel Price Data'!G33:G37,'BAU Fuel Use by Sector'!$AR$3:$AR$7)/SUM('BAU Fuel Use by Sector'!$AR$3:$AR$7)</f>
        <v>3.8317893838245514E-6</v>
      </c>
      <c r="H9" s="4">
        <f>SUMPRODUCT('Fuel Price Data'!H33:H37,'BAU Fuel Use by Sector'!$AR$3:$AR$7)/SUM('BAU Fuel Use by Sector'!$AR$3:$AR$7)</f>
        <v>3.8317893838245514E-6</v>
      </c>
      <c r="I9" s="4">
        <f>SUMPRODUCT('Fuel Price Data'!I33:I37,'BAU Fuel Use by Sector'!$AR$3:$AR$7)/SUM('BAU Fuel Use by Sector'!$AR$3:$AR$7)</f>
        <v>3.8317893838245514E-6</v>
      </c>
      <c r="J9" s="4">
        <f>SUMPRODUCT('Fuel Price Data'!J33:J37,'BAU Fuel Use by Sector'!$AR$3:$AR$7)/SUM('BAU Fuel Use by Sector'!$AR$3:$AR$7)</f>
        <v>3.8317893838245514E-6</v>
      </c>
      <c r="K9" s="4">
        <f>SUMPRODUCT('Fuel Price Data'!K33:K37,'BAU Fuel Use by Sector'!$AR$3:$AR$7)/SUM('BAU Fuel Use by Sector'!$AR$3:$AR$7)</f>
        <v>3.8317893838245514E-6</v>
      </c>
      <c r="L9" s="4">
        <f>SUMPRODUCT('Fuel Price Data'!L33:L37,'BAU Fuel Use by Sector'!$AR$3:$AR$7)/SUM('BAU Fuel Use by Sector'!$AR$3:$AR$7)</f>
        <v>3.8317893838245514E-6</v>
      </c>
      <c r="M9" s="4">
        <f>SUMPRODUCT('Fuel Price Data'!M33:M37,'BAU Fuel Use by Sector'!$AR$3:$AR$7)/SUM('BAU Fuel Use by Sector'!$AR$3:$AR$7)</f>
        <v>3.8317893838245514E-6</v>
      </c>
      <c r="N9" s="4">
        <f>SUMPRODUCT('Fuel Price Data'!N33:N37,'BAU Fuel Use by Sector'!$AR$3:$AR$7)/SUM('BAU Fuel Use by Sector'!$AR$3:$AR$7)</f>
        <v>3.8317893838245514E-6</v>
      </c>
      <c r="O9" s="4">
        <f>SUMPRODUCT('Fuel Price Data'!O33:O37,'BAU Fuel Use by Sector'!$AR$3:$AR$7)/SUM('BAU Fuel Use by Sector'!$AR$3:$AR$7)</f>
        <v>3.8317893838245514E-6</v>
      </c>
      <c r="P9" s="4">
        <f>SUMPRODUCT('Fuel Price Data'!P33:P37,'BAU Fuel Use by Sector'!$AR$3:$AR$7)/SUM('BAU Fuel Use by Sector'!$AR$3:$AR$7)</f>
        <v>3.8317893838245514E-6</v>
      </c>
      <c r="Q9" s="4">
        <f>SUMPRODUCT('Fuel Price Data'!Q33:Q37,'BAU Fuel Use by Sector'!$AR$3:$AR$7)/SUM('BAU Fuel Use by Sector'!$AR$3:$AR$7)</f>
        <v>3.8317893838245514E-6</v>
      </c>
      <c r="R9" s="4">
        <f>SUMPRODUCT('Fuel Price Data'!R33:R37,'BAU Fuel Use by Sector'!$AR$3:$AR$7)/SUM('BAU Fuel Use by Sector'!$AR$3:$AR$7)</f>
        <v>3.8317893838245514E-6</v>
      </c>
      <c r="S9" s="4">
        <f>SUMPRODUCT('Fuel Price Data'!S33:S37,'BAU Fuel Use by Sector'!$AR$3:$AR$7)/SUM('BAU Fuel Use by Sector'!$AR$3:$AR$7)</f>
        <v>3.8317893838245514E-6</v>
      </c>
      <c r="T9" s="4">
        <f>SUMPRODUCT('Fuel Price Data'!T33:T37,'BAU Fuel Use by Sector'!$AR$3:$AR$7)/SUM('BAU Fuel Use by Sector'!$AR$3:$AR$7)</f>
        <v>3.8317893838245514E-6</v>
      </c>
      <c r="U9" s="4">
        <f>SUMPRODUCT('Fuel Price Data'!U33:U37,'BAU Fuel Use by Sector'!$AR$3:$AR$7)/SUM('BAU Fuel Use by Sector'!$AR$3:$AR$7)</f>
        <v>3.8317893838245514E-6</v>
      </c>
      <c r="V9" s="4">
        <f>SUMPRODUCT('Fuel Price Data'!V33:V37,'BAU Fuel Use by Sector'!$AR$3:$AR$7)/SUM('BAU Fuel Use by Sector'!$AR$3:$AR$7)</f>
        <v>3.8317893838245514E-6</v>
      </c>
      <c r="W9" s="4">
        <f>SUMPRODUCT('Fuel Price Data'!W33:W37,'BAU Fuel Use by Sector'!$AR$3:$AR$7)/SUM('BAU Fuel Use by Sector'!$AR$3:$AR$7)</f>
        <v>3.8317893838245514E-6</v>
      </c>
      <c r="X9" s="4">
        <f>SUMPRODUCT('Fuel Price Data'!X33:X37,'BAU Fuel Use by Sector'!$AR$3:$AR$7)/SUM('BAU Fuel Use by Sector'!$AR$3:$AR$7)</f>
        <v>3.8317893838245514E-6</v>
      </c>
      <c r="Y9" s="4">
        <f>SUMPRODUCT('Fuel Price Data'!Y33:Y37,'BAU Fuel Use by Sector'!$AR$3:$AR$7)/SUM('BAU Fuel Use by Sector'!$AR$3:$AR$7)</f>
        <v>3.8317893838245514E-6</v>
      </c>
      <c r="Z9" s="4">
        <f>SUMPRODUCT('Fuel Price Data'!Z33:Z37,'BAU Fuel Use by Sector'!$AR$3:$AR$7)/SUM('BAU Fuel Use by Sector'!$AR$3:$AR$7)</f>
        <v>3.8317893838245514E-6</v>
      </c>
      <c r="AA9" s="4">
        <f>SUMPRODUCT('Fuel Price Data'!AA33:AA37,'BAU Fuel Use by Sector'!$AR$3:$AR$7)/SUM('BAU Fuel Use by Sector'!$AR$3:$AR$7)</f>
        <v>3.8317893838245514E-6</v>
      </c>
      <c r="AB9" s="4">
        <f>SUMPRODUCT('Fuel Price Data'!AB33:AB37,'BAU Fuel Use by Sector'!$AR$3:$AR$7)/SUM('BAU Fuel Use by Sector'!$AR$3:$AR$7)</f>
        <v>3.8317893838245514E-6</v>
      </c>
      <c r="AC9" s="4">
        <f>SUMPRODUCT('Fuel Price Data'!AC33:AC37,'BAU Fuel Use by Sector'!$AR$3:$AR$7)/SUM('BAU Fuel Use by Sector'!$AR$3:$AR$7)</f>
        <v>3.8317893838245514E-6</v>
      </c>
      <c r="AD9" s="4">
        <f>SUMPRODUCT('Fuel Price Data'!AD33:AD37,'BAU Fuel Use by Sector'!$AR$3:$AR$7)/SUM('BAU Fuel Use by Sector'!$AR$3:$AR$7)</f>
        <v>3.8317893838245514E-6</v>
      </c>
      <c r="AE9" s="4">
        <f>SUMPRODUCT('Fuel Price Data'!AE33:AE37,'BAU Fuel Use by Sector'!$AR$3:$AR$7)/SUM('BAU Fuel Use by Sector'!$AR$3:$AR$7)</f>
        <v>3.8317893838245514E-6</v>
      </c>
      <c r="AF9" s="4">
        <f>SUMPRODUCT('Fuel Price Data'!AF33:AF37,'BAU Fuel Use by Sector'!$AR$3:$AR$7)/SUM('BAU Fuel Use by Sector'!$AR$3:$AR$7)</f>
        <v>3.8317893838245514E-6</v>
      </c>
      <c r="AG9" s="4">
        <f>SUMPRODUCT('Fuel Price Data'!AG33:AG37,'BAU Fuel Use by Sector'!$AR$3:$AR$7)/SUM('BAU Fuel Use by Sector'!$AR$3:$AR$7)</f>
        <v>3.8317893838245514E-6</v>
      </c>
      <c r="AH9" s="4">
        <f>SUMPRODUCT('Fuel Price Data'!AH33:AH37,'BAU Fuel Use by Sector'!$AR$3:$AR$7)/SUM('BAU Fuel Use by Sector'!$AR$3:$AR$7)</f>
        <v>3.8317893838245514E-6</v>
      </c>
      <c r="AI9" s="4">
        <f>SUMPRODUCT('Fuel Price Data'!AI33:AI37,'BAU Fuel Use by Sector'!$AR$3:$AR$7)/SUM('BAU Fuel Use by Sector'!$AR$3:$AR$7)</f>
        <v>3.8317893838245514E-6</v>
      </c>
      <c r="AJ9" s="4">
        <f>SUMPRODUCT('Fuel Price Data'!AJ33:AJ37,'BAU Fuel Use by Sector'!$AR$3:$AR$7)/SUM('BAU Fuel Use by Sector'!$AR$3:$AR$7)</f>
        <v>3.8317893838245514E-6</v>
      </c>
      <c r="AK9" s="4">
        <f>SUMPRODUCT('Fuel Price Data'!AK33:AK37,'BAU Fuel Use by Sector'!$AR$3:$AR$7)/SUM('BAU Fuel Use by Sector'!$AR$3:$AR$7)</f>
        <v>3.8317893838245514E-6</v>
      </c>
      <c r="AL9" s="4">
        <f>SUMPRODUCT('Fuel Price Data'!AL33:AL37,'BAU Fuel Use by Sector'!$AR$3:$AR$7)/SUM('BAU Fuel Use by Sector'!$AR$3:$AR$7)</f>
        <v>3.8317893838245514E-6</v>
      </c>
      <c r="AM9" s="4">
        <f>SUMPRODUCT('Fuel Price Data'!AM33:AM37,'BAU Fuel Use by Sector'!$AR$3:$AR$7)/SUM('BAU Fuel Use by Sector'!$AR$3:$AR$7)</f>
        <v>3.8317893838245514E-6</v>
      </c>
      <c r="AN9" s="4">
        <f>SUMPRODUCT('Fuel Price Data'!AN33:AN37,'BAU Fuel Use by Sector'!$AR$3:$AR$7)/SUM('BAU Fuel Use by Sector'!$AR$3:$AR$7)</f>
        <v>3.8317893838245514E-6</v>
      </c>
      <c r="AO9" s="4">
        <f>SUMPRODUCT('Fuel Price Data'!AO33:AO37,'BAU Fuel Use by Sector'!$AR$3:$AR$7)/SUM('BAU Fuel Use by Sector'!$AR$3:$AR$7)</f>
        <v>3.8317893838245514E-6</v>
      </c>
      <c r="AP9" s="4">
        <f>SUMPRODUCT('Fuel Price Data'!AP33:AP37,'BAU Fuel Use by Sector'!$AR$3:$AR$7)/SUM('BAU Fuel Use by Sector'!$AR$3:$AR$7)</f>
        <v>3.8317893838245514E-6</v>
      </c>
      <c r="AQ9" s="4">
        <f>SUMPRODUCT('Fuel Price Data'!AQ33:AQ37,'BAU Fuel Use by Sector'!$AR$3:$AR$7)/SUM('BAU Fuel Use by Sector'!$AR$3:$AR$7)</f>
        <v>3.8317893838245514E-6</v>
      </c>
      <c r="AR9" s="4">
        <f>SUMPRODUCT('Fuel Price Data'!AR33:AR37,'BAU Fuel Use by Sector'!$AR$3:$AR$7)/SUM('BAU Fuel Use by Sector'!$AR$3:$AR$7)</f>
        <v>3.8317893838245514E-6</v>
      </c>
      <c r="AS9" s="4">
        <f>SUMPRODUCT('Fuel Price Data'!AS33:AS37,'BAU Fuel Use by Sector'!$AR$3:$AR$7)/SUM('BAU Fuel Use by Sector'!$AR$3:$AR$7)</f>
        <v>3.8317893838245514E-6</v>
      </c>
      <c r="AT9" s="4">
        <f>SUMPRODUCT('Fuel Price Data'!AT33:AT37,'BAU Fuel Use by Sector'!$AR$3:$AR$7)/SUM('BAU Fuel Use by Sector'!$AR$3:$AR$7)</f>
        <v>3.8317893838245514E-6</v>
      </c>
      <c r="AU9" s="4">
        <f>SUMPRODUCT('Fuel Price Data'!AU33:AU37,'BAU Fuel Use by Sector'!$AR$3:$AR$7)/SUM('BAU Fuel Use by Sector'!$AR$3:$AR$7)</f>
        <v>3.8317893838245514E-6</v>
      </c>
      <c r="AV9" s="4">
        <f>SUMPRODUCT('Fuel Price Data'!AV33:AV37,'BAU Fuel Use by Sector'!$AR$3:$AR$7)/SUM('BAU Fuel Use by Sector'!$AR$3:$AR$7)</f>
        <v>3.8317893838245514E-6</v>
      </c>
      <c r="AW9" s="4">
        <f>SUMPRODUCT('Fuel Price Data'!AW33:AW37,'BAU Fuel Use by Sector'!$AR$3:$AR$7)/SUM('BAU Fuel Use by Sector'!$AR$3:$AR$7)</f>
        <v>3.8317893838245514E-6</v>
      </c>
      <c r="AX9" s="4">
        <f>SUMPRODUCT('Fuel Price Data'!AX33:AX37,'BAU Fuel Use by Sector'!$AR$3:$AR$7)/SUM('BAU Fuel Use by Sector'!$AR$3:$AR$7)</f>
        <v>3.8317893838245514E-6</v>
      </c>
      <c r="AY9" s="4">
        <f>SUMPRODUCT('Fuel Price Data'!AY33:AY37,'BAU Fuel Use by Sector'!$AR$3:$AR$7)/SUM('BAU Fuel Use by Sector'!$AR$3:$AR$7)</f>
        <v>3.8317893838245514E-6</v>
      </c>
      <c r="AZ9" s="4">
        <f>SUMPRODUCT('Fuel Price Data'!AZ33:AZ37,'BAU Fuel Use by Sector'!$AR$3:$AR$7)/SUM('BAU Fuel Use by Sector'!$AR$3:$AR$7)</f>
        <v>3.8317893838245514E-6</v>
      </c>
    </row>
    <row r="10" spans="1:52" x14ac:dyDescent="0.25">
      <c r="A10" t="s">
        <v>6</v>
      </c>
      <c r="B10" s="4">
        <f>SUMPRODUCT('Fuel Price Data'!B43:B47,'BAU Fuel Use by Sector'!$AS$3:$AS$7)/SUM('BAU Fuel Use by Sector'!$AS$3:$AS$7)</f>
        <v>1.6094861360251106E-5</v>
      </c>
      <c r="C10" s="4">
        <f>SUMPRODUCT('Fuel Price Data'!C43:C47,'BAU Fuel Use by Sector'!$AS$3:$AS$7)/SUM('BAU Fuel Use by Sector'!$AS$3:$AS$7)</f>
        <v>2.227982536027916E-5</v>
      </c>
      <c r="D10" s="4">
        <f>SUMPRODUCT('Fuel Price Data'!D43:D47,'BAU Fuel Use by Sector'!$AS$3:$AS$7)/SUM('BAU Fuel Use by Sector'!$AS$3:$AS$7)</f>
        <v>2.7679807958294331E-5</v>
      </c>
      <c r="E10" s="4">
        <f>SUMPRODUCT('Fuel Price Data'!E43:E47,'BAU Fuel Use by Sector'!$AS$3:$AS$7)/SUM('BAU Fuel Use by Sector'!$AS$3:$AS$7)</f>
        <v>2.5766523333354168E-5</v>
      </c>
      <c r="F10" s="4">
        <f>SUMPRODUCT('Fuel Price Data'!F43:F47,'BAU Fuel Use by Sector'!$AS$3:$AS$7)/SUM('BAU Fuel Use by Sector'!$AS$3:$AS$7)</f>
        <v>2.4432968376218707E-5</v>
      </c>
      <c r="G10" s="4">
        <f>SUMPRODUCT('Fuel Price Data'!G43:G47,'BAU Fuel Use by Sector'!$AS$3:$AS$7)/SUM('BAU Fuel Use by Sector'!$AS$3:$AS$7)</f>
        <v>2.3099413419083242E-5</v>
      </c>
      <c r="H10" s="4">
        <f>SUMPRODUCT('Fuel Price Data'!H43:H47,'BAU Fuel Use by Sector'!$AS$3:$AS$7)/SUM('BAU Fuel Use by Sector'!$AS$3:$AS$7)</f>
        <v>2.1765858461947784E-5</v>
      </c>
      <c r="I10" s="4">
        <f>SUMPRODUCT('Fuel Price Data'!I43:I47,'BAU Fuel Use by Sector'!$AS$3:$AS$7)/SUM('BAU Fuel Use by Sector'!$AS$3:$AS$7)</f>
        <v>2.0432303504812323E-5</v>
      </c>
      <c r="J10" s="4">
        <f>SUMPRODUCT('Fuel Price Data'!J43:J47,'BAU Fuel Use by Sector'!$AS$3:$AS$7)/SUM('BAU Fuel Use by Sector'!$AS$3:$AS$7)</f>
        <v>1.9098748547676859E-5</v>
      </c>
      <c r="K10" s="4">
        <f>SUMPRODUCT('Fuel Price Data'!K43:K47,'BAU Fuel Use by Sector'!$AS$3:$AS$7)/SUM('BAU Fuel Use by Sector'!$AS$3:$AS$7)</f>
        <v>1.9242083598066203E-5</v>
      </c>
      <c r="L10" s="4">
        <f>SUMPRODUCT('Fuel Price Data'!L43:L47,'BAU Fuel Use by Sector'!$AS$3:$AS$7)/SUM('BAU Fuel Use by Sector'!$AS$3:$AS$7)</f>
        <v>1.9717594912123109E-5</v>
      </c>
      <c r="M10" s="4">
        <f>SUMPRODUCT('Fuel Price Data'!M43:M47,'BAU Fuel Use by Sector'!$AS$3:$AS$7)/SUM('BAU Fuel Use by Sector'!$AS$3:$AS$7)</f>
        <v>2.0349110167915265E-5</v>
      </c>
      <c r="N10" s="4">
        <f>SUMPRODUCT('Fuel Price Data'!N43:N47,'BAU Fuel Use by Sector'!$AS$3:$AS$7)/SUM('BAU Fuel Use by Sector'!$AS$3:$AS$7)</f>
        <v>2.0555685456626195E-5</v>
      </c>
      <c r="O10" s="4">
        <f>SUMPRODUCT('Fuel Price Data'!O43:O47,'BAU Fuel Use by Sector'!$AS$3:$AS$7)/SUM('BAU Fuel Use by Sector'!$AS$3:$AS$7)</f>
        <v>2.0725959694512304E-5</v>
      </c>
      <c r="P10" s="4">
        <f>SUMPRODUCT('Fuel Price Data'!P43:P47,'BAU Fuel Use by Sector'!$AS$3:$AS$7)/SUM('BAU Fuel Use by Sector'!$AS$3:$AS$7)</f>
        <v>2.0886622114352136E-5</v>
      </c>
      <c r="Q10" s="4">
        <f>SUMPRODUCT('Fuel Price Data'!Q43:Q47,'BAU Fuel Use by Sector'!$AS$3:$AS$7)/SUM('BAU Fuel Use by Sector'!$AS$3:$AS$7)</f>
        <v>2.0965239228017855E-5</v>
      </c>
      <c r="R10" s="4">
        <f>SUMPRODUCT('Fuel Price Data'!R43:R47,'BAU Fuel Use by Sector'!$AS$3:$AS$7)/SUM('BAU Fuel Use by Sector'!$AS$3:$AS$7)</f>
        <v>2.111427748250359E-5</v>
      </c>
      <c r="S10" s="4">
        <f>SUMPRODUCT('Fuel Price Data'!S43:S47,'BAU Fuel Use by Sector'!$AS$3:$AS$7)/SUM('BAU Fuel Use by Sector'!$AS$3:$AS$7)</f>
        <v>2.1246611983378236E-5</v>
      </c>
      <c r="T10" s="4">
        <f>SUMPRODUCT('Fuel Price Data'!T43:T47,'BAU Fuel Use by Sector'!$AS$3:$AS$7)/SUM('BAU Fuel Use by Sector'!$AS$3:$AS$7)</f>
        <v>2.1479640107015535E-5</v>
      </c>
      <c r="U10" s="4">
        <f>SUMPRODUCT('Fuel Price Data'!U43:U47,'BAU Fuel Use by Sector'!$AS$3:$AS$7)/SUM('BAU Fuel Use by Sector'!$AS$3:$AS$7)</f>
        <v>2.1491016012259652E-5</v>
      </c>
      <c r="V10" s="4">
        <f>SUMPRODUCT('Fuel Price Data'!V43:V47,'BAU Fuel Use by Sector'!$AS$3:$AS$7)/SUM('BAU Fuel Use by Sector'!$AS$3:$AS$7)</f>
        <v>2.1659783743403327E-5</v>
      </c>
      <c r="W10" s="4">
        <f>SUMPRODUCT('Fuel Price Data'!W43:W47,'BAU Fuel Use by Sector'!$AS$3:$AS$7)/SUM('BAU Fuel Use by Sector'!$AS$3:$AS$7)</f>
        <v>2.1797003799889282E-5</v>
      </c>
      <c r="X10" s="4">
        <f>SUMPRODUCT('Fuel Price Data'!X43:X47,'BAU Fuel Use by Sector'!$AS$3:$AS$7)/SUM('BAU Fuel Use by Sector'!$AS$3:$AS$7)</f>
        <v>2.183173225424954E-5</v>
      </c>
      <c r="Y10" s="4">
        <f>SUMPRODUCT('Fuel Price Data'!Y43:Y47,'BAU Fuel Use by Sector'!$AS$3:$AS$7)/SUM('BAU Fuel Use by Sector'!$AS$3:$AS$7)</f>
        <v>2.2048387920190422E-5</v>
      </c>
      <c r="Z10" s="4">
        <f>SUMPRODUCT('Fuel Price Data'!Z43:Z47,'BAU Fuel Use by Sector'!$AS$3:$AS$7)/SUM('BAU Fuel Use by Sector'!$AS$3:$AS$7)</f>
        <v>2.2256889131187951E-5</v>
      </c>
      <c r="AA10" s="4">
        <f>SUMPRODUCT('Fuel Price Data'!AA43:AA47,'BAU Fuel Use by Sector'!$AS$3:$AS$7)/SUM('BAU Fuel Use by Sector'!$AS$3:$AS$7)</f>
        <v>2.2328227055076205E-5</v>
      </c>
      <c r="AB10" s="4">
        <f>SUMPRODUCT('Fuel Price Data'!AB43:AB47,'BAU Fuel Use by Sector'!$AS$3:$AS$7)/SUM('BAU Fuel Use by Sector'!$AS$3:$AS$7)</f>
        <v>2.2507032798243345E-5</v>
      </c>
      <c r="AC10" s="4">
        <f>SUMPRODUCT('Fuel Price Data'!AC43:AC47,'BAU Fuel Use by Sector'!$AS$3:$AS$7)/SUM('BAU Fuel Use by Sector'!$AS$3:$AS$7)</f>
        <v>2.2576357527519643E-5</v>
      </c>
      <c r="AD10" s="4">
        <f>SUMPRODUCT('Fuel Price Data'!AD43:AD47,'BAU Fuel Use by Sector'!$AS$3:$AS$7)/SUM('BAU Fuel Use by Sector'!$AS$3:$AS$7)</f>
        <v>2.2515685468014907E-5</v>
      </c>
      <c r="AE10" s="4">
        <f>SUMPRODUCT('Fuel Price Data'!AE43:AE47,'BAU Fuel Use by Sector'!$AS$3:$AS$7)/SUM('BAU Fuel Use by Sector'!$AS$3:$AS$7)</f>
        <v>2.2529005936236478E-5</v>
      </c>
      <c r="AF10" s="4">
        <f>SUMPRODUCT('Fuel Price Data'!AF43:AF47,'BAU Fuel Use by Sector'!$AS$3:$AS$7)/SUM('BAU Fuel Use by Sector'!$AS$3:$AS$7)</f>
        <v>2.2524595718241866E-5</v>
      </c>
      <c r="AG10" s="4">
        <f>SUMPRODUCT('Fuel Price Data'!AG43:AG47,'BAU Fuel Use by Sector'!$AS$3:$AS$7)/SUM('BAU Fuel Use by Sector'!$AS$3:$AS$7)</f>
        <v>2.2609296632438413E-5</v>
      </c>
      <c r="AH10" s="4">
        <f>SUMPRODUCT('Fuel Price Data'!AH43:AH47,'BAU Fuel Use by Sector'!$AS$3:$AS$7)/SUM('BAU Fuel Use by Sector'!$AS$3:$AS$7)</f>
        <v>2.2693799779904685E-5</v>
      </c>
      <c r="AI10" s="4">
        <f>SUMPRODUCT('Fuel Price Data'!AI43:AI47,'BAU Fuel Use by Sector'!$AS$3:$AS$7)/SUM('BAU Fuel Use by Sector'!$AS$3:$AS$7)</f>
        <v>2.277830292737096E-5</v>
      </c>
      <c r="AJ10" s="4">
        <f>SUMPRODUCT('Fuel Price Data'!AJ43:AJ47,'BAU Fuel Use by Sector'!$AS$3:$AS$7)/SUM('BAU Fuel Use by Sector'!$AS$3:$AS$7)</f>
        <v>2.2862806074837232E-5</v>
      </c>
      <c r="AK10" s="4">
        <f>SUMPRODUCT('Fuel Price Data'!AK43:AK47,'BAU Fuel Use by Sector'!$AS$3:$AS$7)/SUM('BAU Fuel Use by Sector'!$AS$3:$AS$7)</f>
        <v>2.294730922230351E-5</v>
      </c>
      <c r="AL10" s="4">
        <f>SUMPRODUCT('Fuel Price Data'!AL43:AL47,'BAU Fuel Use by Sector'!$AS$3:$AS$7)/SUM('BAU Fuel Use by Sector'!$AS$3:$AS$7)</f>
        <v>2.3031812369769782E-5</v>
      </c>
      <c r="AM10" s="4">
        <f>SUMPRODUCT('Fuel Price Data'!AM43:AM47,'BAU Fuel Use by Sector'!$AS$3:$AS$7)/SUM('BAU Fuel Use by Sector'!$AS$3:$AS$7)</f>
        <v>2.3116315517236057E-5</v>
      </c>
      <c r="AN10" s="4">
        <f>SUMPRODUCT('Fuel Price Data'!AN43:AN47,'BAU Fuel Use by Sector'!$AS$3:$AS$7)/SUM('BAU Fuel Use by Sector'!$AS$3:$AS$7)</f>
        <v>2.3200818664702328E-5</v>
      </c>
      <c r="AO10" s="4">
        <f>SUMPRODUCT('Fuel Price Data'!AO43:AO47,'BAU Fuel Use by Sector'!$AS$3:$AS$7)/SUM('BAU Fuel Use by Sector'!$AS$3:$AS$7)</f>
        <v>2.3285321812168607E-5</v>
      </c>
      <c r="AP10" s="4">
        <f>SUMPRODUCT('Fuel Price Data'!AP43:AP47,'BAU Fuel Use by Sector'!$AS$3:$AS$7)/SUM('BAU Fuel Use by Sector'!$AS$3:$AS$7)</f>
        <v>2.3369824959634878E-5</v>
      </c>
      <c r="AQ10" s="4">
        <f>SUMPRODUCT('Fuel Price Data'!AQ43:AQ47,'BAU Fuel Use by Sector'!$AS$3:$AS$7)/SUM('BAU Fuel Use by Sector'!$AS$3:$AS$7)</f>
        <v>2.345432810710116E-5</v>
      </c>
      <c r="AR10" s="4">
        <f>SUMPRODUCT('Fuel Price Data'!AR43:AR47,'BAU Fuel Use by Sector'!$AS$3:$AS$7)/SUM('BAU Fuel Use by Sector'!$AS$3:$AS$7)</f>
        <v>2.3538831254567425E-5</v>
      </c>
      <c r="AS10" s="4">
        <f>SUMPRODUCT('Fuel Price Data'!AS43:AS47,'BAU Fuel Use by Sector'!$AS$3:$AS$7)/SUM('BAU Fuel Use by Sector'!$AS$3:$AS$7)</f>
        <v>2.3623334402033703E-5</v>
      </c>
      <c r="AT10" s="4">
        <f>SUMPRODUCT('Fuel Price Data'!AT43:AT47,'BAU Fuel Use by Sector'!$AS$3:$AS$7)/SUM('BAU Fuel Use by Sector'!$AS$3:$AS$7)</f>
        <v>2.3707837549499978E-5</v>
      </c>
      <c r="AU10" s="4">
        <f>SUMPRODUCT('Fuel Price Data'!AU43:AU47,'BAU Fuel Use by Sector'!$AS$3:$AS$7)/SUM('BAU Fuel Use by Sector'!$AS$3:$AS$7)</f>
        <v>2.379234069696625E-5</v>
      </c>
      <c r="AV10" s="4">
        <f>SUMPRODUCT('Fuel Price Data'!AV43:AV47,'BAU Fuel Use by Sector'!$AS$3:$AS$7)/SUM('BAU Fuel Use by Sector'!$AS$3:$AS$7)</f>
        <v>2.3876843844432528E-5</v>
      </c>
      <c r="AW10" s="4">
        <f>SUMPRODUCT('Fuel Price Data'!AW43:AW47,'BAU Fuel Use by Sector'!$AS$3:$AS$7)/SUM('BAU Fuel Use by Sector'!$AS$3:$AS$7)</f>
        <v>2.39613469918988E-5</v>
      </c>
      <c r="AX10" s="4">
        <f>SUMPRODUCT('Fuel Price Data'!AX43:AX47,'BAU Fuel Use by Sector'!$AS$3:$AS$7)/SUM('BAU Fuel Use by Sector'!$AS$3:$AS$7)</f>
        <v>2.4045850139365075E-5</v>
      </c>
      <c r="AY10" s="4">
        <f>SUMPRODUCT('Fuel Price Data'!AY43:AY47,'BAU Fuel Use by Sector'!$AS$3:$AS$7)/SUM('BAU Fuel Use by Sector'!$AS$3:$AS$7)</f>
        <v>2.4130353286831346E-5</v>
      </c>
      <c r="AZ10" s="4">
        <f>SUMPRODUCT('Fuel Price Data'!AZ43:AZ47,'BAU Fuel Use by Sector'!$AS$3:$AS$7)/SUM('BAU Fuel Use by Sector'!$AS$3:$AS$7)</f>
        <v>2.4214856434297625E-5</v>
      </c>
    </row>
    <row r="11" spans="1:52" x14ac:dyDescent="0.25">
      <c r="A11" t="s">
        <v>7</v>
      </c>
      <c r="B11" s="4">
        <f>SUMPRODUCT('Fuel Price Data'!B53:B57,'BAU Fuel Use by Sector'!$AT$3:$AT$7)/SUM('BAU Fuel Use by Sector'!$AT$3:$AT$7)</f>
        <v>1.5591409486992275E-5</v>
      </c>
      <c r="C11" s="4">
        <f>SUMPRODUCT('Fuel Price Data'!C53:C57,'BAU Fuel Use by Sector'!$AT$3:$AT$7)/SUM('BAU Fuel Use by Sector'!$AT$3:$AT$7)</f>
        <v>1.9619935025452246E-5</v>
      </c>
      <c r="D11" s="4">
        <f>SUMPRODUCT('Fuel Price Data'!D53:D57,'BAU Fuel Use by Sector'!$AT$3:$AT$7)/SUM('BAU Fuel Use by Sector'!$AT$3:$AT$7)</f>
        <v>2.8721086274235462E-5</v>
      </c>
      <c r="E11" s="4">
        <f>SUMPRODUCT('Fuel Price Data'!E53:E57,'BAU Fuel Use by Sector'!$AT$3:$AT$7)/SUM('BAU Fuel Use by Sector'!$AT$3:$AT$7)</f>
        <v>2.451787282617029E-5</v>
      </c>
      <c r="F11" s="4">
        <f>SUMPRODUCT('Fuel Price Data'!F53:F57,'BAU Fuel Use by Sector'!$AT$3:$AT$7)/SUM('BAU Fuel Use by Sector'!$AT$3:$AT$7)</f>
        <v>2.3357168796003505E-5</v>
      </c>
      <c r="G11" s="4">
        <f>SUMPRODUCT('Fuel Price Data'!G53:G57,'BAU Fuel Use by Sector'!$AT$3:$AT$7)/SUM('BAU Fuel Use by Sector'!$AT$3:$AT$7)</f>
        <v>2.2196464765836716E-5</v>
      </c>
      <c r="H11" s="4">
        <f>SUMPRODUCT('Fuel Price Data'!H53:H57,'BAU Fuel Use by Sector'!$AT$3:$AT$7)/SUM('BAU Fuel Use by Sector'!$AT$3:$AT$7)</f>
        <v>2.1035760735669924E-5</v>
      </c>
      <c r="I11" s="4">
        <f>SUMPRODUCT('Fuel Price Data'!I53:I57,'BAU Fuel Use by Sector'!$AT$3:$AT$7)/SUM('BAU Fuel Use by Sector'!$AT$3:$AT$7)</f>
        <v>1.9875056705503139E-5</v>
      </c>
      <c r="J11" s="4">
        <f>SUMPRODUCT('Fuel Price Data'!J53:J57,'BAU Fuel Use by Sector'!$AT$3:$AT$7)/SUM('BAU Fuel Use by Sector'!$AT$3:$AT$7)</f>
        <v>1.8714352675336347E-5</v>
      </c>
      <c r="K11" s="4">
        <f>SUMPRODUCT('Fuel Price Data'!K53:K57,'BAU Fuel Use by Sector'!$AT$3:$AT$7)/SUM('BAU Fuel Use by Sector'!$AT$3:$AT$7)</f>
        <v>1.882438511127454E-5</v>
      </c>
      <c r="L11" s="4">
        <f>SUMPRODUCT('Fuel Price Data'!L53:L57,'BAU Fuel Use by Sector'!$AT$3:$AT$7)/SUM('BAU Fuel Use by Sector'!$AT$3:$AT$7)</f>
        <v>1.8795177302666176E-5</v>
      </c>
      <c r="M11" s="4">
        <f>SUMPRODUCT('Fuel Price Data'!M53:M57,'BAU Fuel Use by Sector'!$AT$3:$AT$7)/SUM('BAU Fuel Use by Sector'!$AT$3:$AT$7)</f>
        <v>1.922543062003265E-5</v>
      </c>
      <c r="N11" s="4">
        <f>SUMPRODUCT('Fuel Price Data'!N53:N57,'BAU Fuel Use by Sector'!$AT$3:$AT$7)/SUM('BAU Fuel Use by Sector'!$AT$3:$AT$7)</f>
        <v>1.9311272299543494E-5</v>
      </c>
      <c r="O11" s="4">
        <f>SUMPRODUCT('Fuel Price Data'!O53:O57,'BAU Fuel Use by Sector'!$AT$3:$AT$7)/SUM('BAU Fuel Use by Sector'!$AT$3:$AT$7)</f>
        <v>1.9407338365656226E-5</v>
      </c>
      <c r="P11" s="4">
        <f>SUMPRODUCT('Fuel Price Data'!P53:P57,'BAU Fuel Use by Sector'!$AT$3:$AT$7)/SUM('BAU Fuel Use by Sector'!$AT$3:$AT$7)</f>
        <v>1.9444803591988784E-5</v>
      </c>
      <c r="Q11" s="4">
        <f>SUMPRODUCT('Fuel Price Data'!Q53:Q57,'BAU Fuel Use by Sector'!$AT$3:$AT$7)/SUM('BAU Fuel Use by Sector'!$AT$3:$AT$7)</f>
        <v>1.9527995231079695E-5</v>
      </c>
      <c r="R11" s="4">
        <f>SUMPRODUCT('Fuel Price Data'!R53:R57,'BAU Fuel Use by Sector'!$AT$3:$AT$7)/SUM('BAU Fuel Use by Sector'!$AT$3:$AT$7)</f>
        <v>1.9680581030430852E-5</v>
      </c>
      <c r="S11" s="4">
        <f>SUMPRODUCT('Fuel Price Data'!S53:S57,'BAU Fuel Use by Sector'!$AT$3:$AT$7)/SUM('BAU Fuel Use by Sector'!$AT$3:$AT$7)</f>
        <v>1.9857475827415148E-5</v>
      </c>
      <c r="T11" s="4">
        <f>SUMPRODUCT('Fuel Price Data'!T53:T57,'BAU Fuel Use by Sector'!$AT$3:$AT$7)/SUM('BAU Fuel Use by Sector'!$AT$3:$AT$7)</f>
        <v>1.9970946299004119E-5</v>
      </c>
      <c r="U11" s="4">
        <f>SUMPRODUCT('Fuel Price Data'!U53:U57,'BAU Fuel Use by Sector'!$AT$3:$AT$7)/SUM('BAU Fuel Use by Sector'!$AT$3:$AT$7)</f>
        <v>2.0040620584052352E-5</v>
      </c>
      <c r="V11" s="4">
        <f>SUMPRODUCT('Fuel Price Data'!V53:V57,'BAU Fuel Use by Sector'!$AT$3:$AT$7)/SUM('BAU Fuel Use by Sector'!$AT$3:$AT$7)</f>
        <v>2.021461725359595E-5</v>
      </c>
      <c r="W11" s="4">
        <f>SUMPRODUCT('Fuel Price Data'!W53:W57,'BAU Fuel Use by Sector'!$AT$3:$AT$7)/SUM('BAU Fuel Use by Sector'!$AT$3:$AT$7)</f>
        <v>2.0309946954771875E-5</v>
      </c>
      <c r="X11" s="4">
        <f>SUMPRODUCT('Fuel Price Data'!X53:X57,'BAU Fuel Use by Sector'!$AT$3:$AT$7)/SUM('BAU Fuel Use by Sector'!$AT$3:$AT$7)</f>
        <v>2.0322299759788626E-5</v>
      </c>
      <c r="Y11" s="4">
        <f>SUMPRODUCT('Fuel Price Data'!Y53:Y57,'BAU Fuel Use by Sector'!$AT$3:$AT$7)/SUM('BAU Fuel Use by Sector'!$AT$3:$AT$7)</f>
        <v>2.0540227368406539E-5</v>
      </c>
      <c r="Z11" s="4">
        <f>SUMPRODUCT('Fuel Price Data'!Z53:Z57,'BAU Fuel Use by Sector'!$AT$3:$AT$7)/SUM('BAU Fuel Use by Sector'!$AT$3:$AT$7)</f>
        <v>2.0780113973790384E-5</v>
      </c>
      <c r="AA11" s="4">
        <f>SUMPRODUCT('Fuel Price Data'!AA53:AA57,'BAU Fuel Use by Sector'!$AT$3:$AT$7)/SUM('BAU Fuel Use by Sector'!$AT$3:$AT$7)</f>
        <v>2.0868874762694644E-5</v>
      </c>
      <c r="AB11" s="4">
        <f>SUMPRODUCT('Fuel Price Data'!AB53:AB57,'BAU Fuel Use by Sector'!$AT$3:$AT$7)/SUM('BAU Fuel Use by Sector'!$AT$3:$AT$7)</f>
        <v>2.1026144039739007E-5</v>
      </c>
      <c r="AC11" s="4">
        <f>SUMPRODUCT('Fuel Price Data'!AC53:AC57,'BAU Fuel Use by Sector'!$AT$3:$AT$7)/SUM('BAU Fuel Use by Sector'!$AT$3:$AT$7)</f>
        <v>2.107300201883301E-5</v>
      </c>
      <c r="AD11" s="4">
        <f>SUMPRODUCT('Fuel Price Data'!AD53:AD57,'BAU Fuel Use by Sector'!$AT$3:$AT$7)/SUM('BAU Fuel Use by Sector'!$AT$3:$AT$7)</f>
        <v>2.1028712295319908E-5</v>
      </c>
      <c r="AE11" s="4">
        <f>SUMPRODUCT('Fuel Price Data'!AE53:AE57,'BAU Fuel Use by Sector'!$AT$3:$AT$7)/SUM('BAU Fuel Use by Sector'!$AT$3:$AT$7)</f>
        <v>2.1011352632479002E-5</v>
      </c>
      <c r="AF11" s="4">
        <f>SUMPRODUCT('Fuel Price Data'!AF53:AF57,'BAU Fuel Use by Sector'!$AT$3:$AT$7)/SUM('BAU Fuel Use by Sector'!$AT$3:$AT$7)</f>
        <v>2.0957195323023498E-5</v>
      </c>
      <c r="AG11" s="4">
        <f>SUMPRODUCT('Fuel Price Data'!AG53:AG57,'BAU Fuel Use by Sector'!$AT$3:$AT$7)/SUM('BAU Fuel Use by Sector'!$AT$3:$AT$7)</f>
        <v>2.0950354578239909E-5</v>
      </c>
      <c r="AH11" s="4">
        <f>SUMPRODUCT('Fuel Price Data'!AH53:AH57,'BAU Fuel Use by Sector'!$AT$3:$AT$7)/SUM('BAU Fuel Use by Sector'!$AT$3:$AT$7)</f>
        <v>2.0939128900222887E-5</v>
      </c>
      <c r="AI11" s="4">
        <f>SUMPRODUCT('Fuel Price Data'!AI53:AI57,'BAU Fuel Use by Sector'!$AT$3:$AT$7)/SUM('BAU Fuel Use by Sector'!$AT$3:$AT$7)</f>
        <v>2.0927903222205882E-5</v>
      </c>
      <c r="AJ11" s="4">
        <f>SUMPRODUCT('Fuel Price Data'!AJ53:AJ57,'BAU Fuel Use by Sector'!$AT$3:$AT$7)/SUM('BAU Fuel Use by Sector'!$AT$3:$AT$7)</f>
        <v>2.091667754418887E-5</v>
      </c>
      <c r="AK11" s="4">
        <f>SUMPRODUCT('Fuel Price Data'!AK53:AK57,'BAU Fuel Use by Sector'!$AT$3:$AT$7)/SUM('BAU Fuel Use by Sector'!$AT$3:$AT$7)</f>
        <v>2.0905451866171854E-5</v>
      </c>
      <c r="AL11" s="4">
        <f>SUMPRODUCT('Fuel Price Data'!AL53:AL57,'BAU Fuel Use by Sector'!$AT$3:$AT$7)/SUM('BAU Fuel Use by Sector'!$AT$3:$AT$7)</f>
        <v>2.0894226188154842E-5</v>
      </c>
      <c r="AM11" s="4">
        <f>SUMPRODUCT('Fuel Price Data'!AM53:AM57,'BAU Fuel Use by Sector'!$AT$3:$AT$7)/SUM('BAU Fuel Use by Sector'!$AT$3:$AT$7)</f>
        <v>2.0883000510137837E-5</v>
      </c>
      <c r="AN11" s="4">
        <f>SUMPRODUCT('Fuel Price Data'!AN53:AN57,'BAU Fuel Use by Sector'!$AT$3:$AT$7)/SUM('BAU Fuel Use by Sector'!$AT$3:$AT$7)</f>
        <v>2.0871774832120818E-5</v>
      </c>
      <c r="AO11" s="4">
        <f>SUMPRODUCT('Fuel Price Data'!AO53:AO57,'BAU Fuel Use by Sector'!$AT$3:$AT$7)/SUM('BAU Fuel Use by Sector'!$AT$3:$AT$7)</f>
        <v>2.0860549154103806E-5</v>
      </c>
      <c r="AP11" s="4">
        <f>SUMPRODUCT('Fuel Price Data'!AP53:AP57,'BAU Fuel Use by Sector'!$AT$3:$AT$7)/SUM('BAU Fuel Use by Sector'!$AT$3:$AT$7)</f>
        <v>2.0849323476086794E-5</v>
      </c>
      <c r="AQ11" s="4">
        <f>SUMPRODUCT('Fuel Price Data'!AQ53:AQ57,'BAU Fuel Use by Sector'!$AT$3:$AT$7)/SUM('BAU Fuel Use by Sector'!$AT$3:$AT$7)</f>
        <v>2.0838097798069786E-5</v>
      </c>
      <c r="AR11" s="4">
        <f>SUMPRODUCT('Fuel Price Data'!AR53:AR57,'BAU Fuel Use by Sector'!$AT$3:$AT$7)/SUM('BAU Fuel Use by Sector'!$AT$3:$AT$7)</f>
        <v>2.0826872120052767E-5</v>
      </c>
      <c r="AS11" s="4">
        <f>SUMPRODUCT('Fuel Price Data'!AS53:AS57,'BAU Fuel Use by Sector'!$AT$3:$AT$7)/SUM('BAU Fuel Use by Sector'!$AT$3:$AT$7)</f>
        <v>2.0815646442035762E-5</v>
      </c>
      <c r="AT11" s="4">
        <f>SUMPRODUCT('Fuel Price Data'!AT53:AT57,'BAU Fuel Use by Sector'!$AT$3:$AT$7)/SUM('BAU Fuel Use by Sector'!$AT$3:$AT$7)</f>
        <v>2.0804420764018746E-5</v>
      </c>
      <c r="AU11" s="4">
        <f>SUMPRODUCT('Fuel Price Data'!AU53:AU57,'BAU Fuel Use by Sector'!$AT$3:$AT$7)/SUM('BAU Fuel Use by Sector'!$AT$3:$AT$7)</f>
        <v>2.0793195086001731E-5</v>
      </c>
      <c r="AV11" s="4">
        <f>SUMPRODUCT('Fuel Price Data'!AV53:AV57,'BAU Fuel Use by Sector'!$AT$3:$AT$7)/SUM('BAU Fuel Use by Sector'!$AT$3:$AT$7)</f>
        <v>2.0781969407984722E-5</v>
      </c>
      <c r="AW11" s="4">
        <f>SUMPRODUCT('Fuel Price Data'!AW53:AW57,'BAU Fuel Use by Sector'!$AT$3:$AT$7)/SUM('BAU Fuel Use by Sector'!$AT$3:$AT$7)</f>
        <v>2.077074372996771E-5</v>
      </c>
      <c r="AX11" s="4">
        <f>SUMPRODUCT('Fuel Price Data'!AX53:AX57,'BAU Fuel Use by Sector'!$AT$3:$AT$7)/SUM('BAU Fuel Use by Sector'!$AT$3:$AT$7)</f>
        <v>2.0759518051950698E-5</v>
      </c>
      <c r="AY11" s="4">
        <f>SUMPRODUCT('Fuel Price Data'!AY53:AY57,'BAU Fuel Use by Sector'!$AT$3:$AT$7)/SUM('BAU Fuel Use by Sector'!$AT$3:$AT$7)</f>
        <v>2.0748292373933683E-5</v>
      </c>
      <c r="AZ11" s="4">
        <f>SUMPRODUCT('Fuel Price Data'!AZ53:AZ57,'BAU Fuel Use by Sector'!$AT$3:$AT$7)/SUM('BAU Fuel Use by Sector'!$AT$3:$AT$7)</f>
        <v>2.0737066695916674E-5</v>
      </c>
    </row>
    <row r="12" spans="1:52" x14ac:dyDescent="0.25">
      <c r="A12" t="s">
        <v>8</v>
      </c>
      <c r="B12" s="4">
        <f>SUMPRODUCT('Fuel Price Data'!B63:B67,'BAU Fuel Use by Sector'!$AU$3:$AU$7)/SUM('BAU Fuel Use by Sector'!$AU$3:$AU$7)</f>
        <v>1.8683067927182387E-5</v>
      </c>
      <c r="C12" s="4">
        <f>SUMPRODUCT('Fuel Price Data'!C63:C67,'BAU Fuel Use by Sector'!$AU$3:$AU$7)/SUM('BAU Fuel Use by Sector'!$AU$3:$AU$7)</f>
        <v>2.1771832936111003E-5</v>
      </c>
      <c r="D12" s="4">
        <f>SUMPRODUCT('Fuel Price Data'!D63:D67,'BAU Fuel Use by Sector'!$AU$3:$AU$7)/SUM('BAU Fuel Use by Sector'!$AU$3:$AU$7)</f>
        <v>2.1766218698948214E-5</v>
      </c>
      <c r="E12" s="4">
        <f>SUMPRODUCT('Fuel Price Data'!E63:E67,'BAU Fuel Use by Sector'!$AU$3:$AU$7)/SUM('BAU Fuel Use by Sector'!$AU$3:$AU$7)</f>
        <v>2.1891300276473406E-5</v>
      </c>
      <c r="F12" s="4">
        <f>SUMPRODUCT('Fuel Price Data'!F63:F67,'BAU Fuel Use by Sector'!$AU$3:$AU$7)/SUM('BAU Fuel Use by Sector'!$AU$3:$AU$7)</f>
        <v>2.1701422810244675E-5</v>
      </c>
      <c r="G12" s="4">
        <f>SUMPRODUCT('Fuel Price Data'!G63:G67,'BAU Fuel Use by Sector'!$AU$3:$AU$7)/SUM('BAU Fuel Use by Sector'!$AU$3:$AU$7)</f>
        <v>2.1442532422659328E-5</v>
      </c>
      <c r="H12" s="4">
        <f>SUMPRODUCT('Fuel Price Data'!H63:H67,'BAU Fuel Use by Sector'!$AU$3:$AU$7)/SUM('BAU Fuel Use by Sector'!$AU$3:$AU$7)</f>
        <v>2.1682626215433441E-5</v>
      </c>
      <c r="I12" s="4">
        <f>SUMPRODUCT('Fuel Price Data'!I63:I67,'BAU Fuel Use by Sector'!$AU$3:$AU$7)/SUM('BAU Fuel Use by Sector'!$AU$3:$AU$7)</f>
        <v>2.1961814620747681E-5</v>
      </c>
      <c r="J12" s="4">
        <f>SUMPRODUCT('Fuel Price Data'!J63:J67,'BAU Fuel Use by Sector'!$AU$3:$AU$7)/SUM('BAU Fuel Use by Sector'!$AU$3:$AU$7)</f>
        <v>2.2232382553847283E-5</v>
      </c>
      <c r="K12" s="4">
        <f>SUMPRODUCT('Fuel Price Data'!K63:K67,'BAU Fuel Use by Sector'!$AU$3:$AU$7)/SUM('BAU Fuel Use by Sector'!$AU$3:$AU$7)</f>
        <v>2.2428669875816509E-5</v>
      </c>
      <c r="L12" s="4">
        <f>SUMPRODUCT('Fuel Price Data'!L63:L67,'BAU Fuel Use by Sector'!$AU$3:$AU$7)/SUM('BAU Fuel Use by Sector'!$AU$3:$AU$7)</f>
        <v>2.3013385982617997E-5</v>
      </c>
      <c r="M12" s="4">
        <f>SUMPRODUCT('Fuel Price Data'!M63:M67,'BAU Fuel Use by Sector'!$AU$3:$AU$7)/SUM('BAU Fuel Use by Sector'!$AU$3:$AU$7)</f>
        <v>2.3637559348127092E-5</v>
      </c>
      <c r="N12" s="4">
        <f>SUMPRODUCT('Fuel Price Data'!N63:N67,'BAU Fuel Use by Sector'!$AU$3:$AU$7)/SUM('BAU Fuel Use by Sector'!$AU$3:$AU$7)</f>
        <v>2.3943622545824263E-5</v>
      </c>
      <c r="O12" s="4">
        <f>SUMPRODUCT('Fuel Price Data'!O63:O67,'BAU Fuel Use by Sector'!$AU$3:$AU$7)/SUM('BAU Fuel Use by Sector'!$AU$3:$AU$7)</f>
        <v>2.4084837641281317E-5</v>
      </c>
      <c r="P12" s="4">
        <f>SUMPRODUCT('Fuel Price Data'!P63:P67,'BAU Fuel Use by Sector'!$AU$3:$AU$7)/SUM('BAU Fuel Use by Sector'!$AU$3:$AU$7)</f>
        <v>2.448968463823301E-5</v>
      </c>
      <c r="Q12" s="4">
        <f>SUMPRODUCT('Fuel Price Data'!Q63:Q67,'BAU Fuel Use by Sector'!$AU$3:$AU$7)/SUM('BAU Fuel Use by Sector'!$AU$3:$AU$7)</f>
        <v>2.4635355706107683E-5</v>
      </c>
      <c r="R12" s="4">
        <f>SUMPRODUCT('Fuel Price Data'!R63:R67,'BAU Fuel Use by Sector'!$AU$3:$AU$7)/SUM('BAU Fuel Use by Sector'!$AU$3:$AU$7)</f>
        <v>2.4670563734605298E-5</v>
      </c>
      <c r="S12" s="4">
        <f>SUMPRODUCT('Fuel Price Data'!S63:S67,'BAU Fuel Use by Sector'!$AU$3:$AU$7)/SUM('BAU Fuel Use by Sector'!$AU$3:$AU$7)</f>
        <v>2.4784404128242974E-5</v>
      </c>
      <c r="T12" s="4">
        <f>SUMPRODUCT('Fuel Price Data'!T63:T67,'BAU Fuel Use by Sector'!$AU$3:$AU$7)/SUM('BAU Fuel Use by Sector'!$AU$3:$AU$7)</f>
        <v>2.5103267549426133E-5</v>
      </c>
      <c r="U12" s="4">
        <f>SUMPRODUCT('Fuel Price Data'!U63:U67,'BAU Fuel Use by Sector'!$AU$3:$AU$7)/SUM('BAU Fuel Use by Sector'!$AU$3:$AU$7)</f>
        <v>2.5094315781296816E-5</v>
      </c>
      <c r="V12" s="4">
        <f>SUMPRODUCT('Fuel Price Data'!V63:V67,'BAU Fuel Use by Sector'!$AU$3:$AU$7)/SUM('BAU Fuel Use by Sector'!$AU$3:$AU$7)</f>
        <v>2.5291750353057536E-5</v>
      </c>
      <c r="W12" s="4">
        <f>SUMPRODUCT('Fuel Price Data'!W63:W67,'BAU Fuel Use by Sector'!$AU$3:$AU$7)/SUM('BAU Fuel Use by Sector'!$AU$3:$AU$7)</f>
        <v>2.5473037002716156E-5</v>
      </c>
      <c r="X12" s="4">
        <f>SUMPRODUCT('Fuel Price Data'!X63:X67,'BAU Fuel Use by Sector'!$AU$3:$AU$7)/SUM('BAU Fuel Use by Sector'!$AU$3:$AU$7)</f>
        <v>2.5489487412392507E-5</v>
      </c>
      <c r="Y12" s="4">
        <f>SUMPRODUCT('Fuel Price Data'!Y63:Y67,'BAU Fuel Use by Sector'!$AU$3:$AU$7)/SUM('BAU Fuel Use by Sector'!$AU$3:$AU$7)</f>
        <v>2.5737881396420257E-5</v>
      </c>
      <c r="Z12" s="4">
        <f>SUMPRODUCT('Fuel Price Data'!Z63:Z67,'BAU Fuel Use by Sector'!$AU$3:$AU$7)/SUM('BAU Fuel Use by Sector'!$AU$3:$AU$7)</f>
        <v>2.5988377541993575E-5</v>
      </c>
      <c r="AA12" s="4">
        <f>SUMPRODUCT('Fuel Price Data'!AA63:AA67,'BAU Fuel Use by Sector'!$AU$3:$AU$7)/SUM('BAU Fuel Use by Sector'!$AU$3:$AU$7)</f>
        <v>2.6076020139247887E-5</v>
      </c>
      <c r="AB12" s="4">
        <f>SUMPRODUCT('Fuel Price Data'!AB63:AB67,'BAU Fuel Use by Sector'!$AU$3:$AU$7)/SUM('BAU Fuel Use by Sector'!$AU$3:$AU$7)</f>
        <v>2.6299400010761328E-5</v>
      </c>
      <c r="AC12" s="4">
        <f>SUMPRODUCT('Fuel Price Data'!AC63:AC67,'BAU Fuel Use by Sector'!$AU$3:$AU$7)/SUM('BAU Fuel Use by Sector'!$AU$3:$AU$7)</f>
        <v>2.6389554017455804E-5</v>
      </c>
      <c r="AD12" s="4">
        <f>SUMPRODUCT('Fuel Price Data'!AD63:AD67,'BAU Fuel Use by Sector'!$AU$3:$AU$7)/SUM('BAU Fuel Use by Sector'!$AU$3:$AU$7)</f>
        <v>2.632414044404177E-5</v>
      </c>
      <c r="AE12" s="4">
        <f>SUMPRODUCT('Fuel Price Data'!AE63:AE67,'BAU Fuel Use by Sector'!$AU$3:$AU$7)/SUM('BAU Fuel Use by Sector'!$AU$3:$AU$7)</f>
        <v>2.6349594307399339E-5</v>
      </c>
      <c r="AF12" s="4">
        <f>SUMPRODUCT('Fuel Price Data'!AF63:AF67,'BAU Fuel Use by Sector'!$AU$3:$AU$7)/SUM('BAU Fuel Use by Sector'!$AU$3:$AU$7)</f>
        <v>2.6346966817293421E-5</v>
      </c>
      <c r="AG12" s="4">
        <f>SUMPRODUCT('Fuel Price Data'!AG63:AG67,'BAU Fuel Use by Sector'!$AU$3:$AU$7)/SUM('BAU Fuel Use by Sector'!$AU$3:$AU$7)</f>
        <v>2.6423210134856602E-5</v>
      </c>
      <c r="AH12" s="4">
        <f>SUMPRODUCT('Fuel Price Data'!AH63:AH67,'BAU Fuel Use by Sector'!$AU$3:$AU$7)/SUM('BAU Fuel Use by Sector'!$AU$3:$AU$7)</f>
        <v>2.6495932876820852E-5</v>
      </c>
      <c r="AI12" s="4">
        <f>SUMPRODUCT('Fuel Price Data'!AI63:AI67,'BAU Fuel Use by Sector'!$AU$3:$AU$7)/SUM('BAU Fuel Use by Sector'!$AU$3:$AU$7)</f>
        <v>2.6568655618785095E-5</v>
      </c>
      <c r="AJ12" s="4">
        <f>SUMPRODUCT('Fuel Price Data'!AJ63:AJ67,'BAU Fuel Use by Sector'!$AU$3:$AU$7)/SUM('BAU Fuel Use by Sector'!$AU$3:$AU$7)</f>
        <v>2.6641378360749339E-5</v>
      </c>
      <c r="AK12" s="4">
        <f>SUMPRODUCT('Fuel Price Data'!AK63:AK67,'BAU Fuel Use by Sector'!$AU$3:$AU$7)/SUM('BAU Fuel Use by Sector'!$AU$3:$AU$7)</f>
        <v>2.6714101102713582E-5</v>
      </c>
      <c r="AL12" s="4">
        <f>SUMPRODUCT('Fuel Price Data'!AL63:AL67,'BAU Fuel Use by Sector'!$AU$3:$AU$7)/SUM('BAU Fuel Use by Sector'!$AU$3:$AU$7)</f>
        <v>2.6786823844677832E-5</v>
      </c>
      <c r="AM12" s="4">
        <f>SUMPRODUCT('Fuel Price Data'!AM63:AM67,'BAU Fuel Use by Sector'!$AU$3:$AU$7)/SUM('BAU Fuel Use by Sector'!$AU$3:$AU$7)</f>
        <v>2.6859546586642078E-5</v>
      </c>
      <c r="AN12" s="4">
        <f>SUMPRODUCT('Fuel Price Data'!AN63:AN67,'BAU Fuel Use by Sector'!$AU$3:$AU$7)/SUM('BAU Fuel Use by Sector'!$AU$3:$AU$7)</f>
        <v>2.6932269328606322E-5</v>
      </c>
      <c r="AO12" s="4">
        <f>SUMPRODUCT('Fuel Price Data'!AO63:AO67,'BAU Fuel Use by Sector'!$AU$3:$AU$7)/SUM('BAU Fuel Use by Sector'!$AU$3:$AU$7)</f>
        <v>2.7004992070570572E-5</v>
      </c>
      <c r="AP12" s="4">
        <f>SUMPRODUCT('Fuel Price Data'!AP63:AP67,'BAU Fuel Use by Sector'!$AU$3:$AU$7)/SUM('BAU Fuel Use by Sector'!$AU$3:$AU$7)</f>
        <v>2.7077714812534815E-5</v>
      </c>
      <c r="AQ12" s="4">
        <f>SUMPRODUCT('Fuel Price Data'!AQ63:AQ67,'BAU Fuel Use by Sector'!$AU$3:$AU$7)/SUM('BAU Fuel Use by Sector'!$AU$3:$AU$7)</f>
        <v>2.7150437554499058E-5</v>
      </c>
      <c r="AR12" s="4">
        <f>SUMPRODUCT('Fuel Price Data'!AR63:AR67,'BAU Fuel Use by Sector'!$AU$3:$AU$7)/SUM('BAU Fuel Use by Sector'!$AU$3:$AU$7)</f>
        <v>2.7223160296463305E-5</v>
      </c>
      <c r="AS12" s="4">
        <f>SUMPRODUCT('Fuel Price Data'!AS63:AS67,'BAU Fuel Use by Sector'!$AU$3:$AU$7)/SUM('BAU Fuel Use by Sector'!$AU$3:$AU$7)</f>
        <v>2.7295883038427551E-5</v>
      </c>
      <c r="AT12" s="4">
        <f>SUMPRODUCT('Fuel Price Data'!AT63:AT67,'BAU Fuel Use by Sector'!$AU$3:$AU$7)/SUM('BAU Fuel Use by Sector'!$AU$3:$AU$7)</f>
        <v>2.7368605780391798E-5</v>
      </c>
      <c r="AU12" s="4">
        <f>SUMPRODUCT('Fuel Price Data'!AU63:AU67,'BAU Fuel Use by Sector'!$AU$3:$AU$7)/SUM('BAU Fuel Use by Sector'!$AU$3:$AU$7)</f>
        <v>2.7441328522356041E-5</v>
      </c>
      <c r="AV12" s="4">
        <f>SUMPRODUCT('Fuel Price Data'!AV63:AV67,'BAU Fuel Use by Sector'!$AU$3:$AU$7)/SUM('BAU Fuel Use by Sector'!$AU$3:$AU$7)</f>
        <v>2.7514051264320284E-5</v>
      </c>
      <c r="AW12" s="4">
        <f>SUMPRODUCT('Fuel Price Data'!AW63:AW67,'BAU Fuel Use by Sector'!$AU$3:$AU$7)/SUM('BAU Fuel Use by Sector'!$AU$3:$AU$7)</f>
        <v>2.7586774006284534E-5</v>
      </c>
      <c r="AX12" s="4">
        <f>SUMPRODUCT('Fuel Price Data'!AX63:AX67,'BAU Fuel Use by Sector'!$AU$3:$AU$7)/SUM('BAU Fuel Use by Sector'!$AU$3:$AU$7)</f>
        <v>2.7659496748248777E-5</v>
      </c>
      <c r="AY12" s="4">
        <f>SUMPRODUCT('Fuel Price Data'!AY63:AY67,'BAU Fuel Use by Sector'!$AU$3:$AU$7)/SUM('BAU Fuel Use by Sector'!$AU$3:$AU$7)</f>
        <v>2.7732219490213024E-5</v>
      </c>
      <c r="AZ12" s="4">
        <f>SUMPRODUCT('Fuel Price Data'!AZ63:AZ67,'BAU Fuel Use by Sector'!$AU$3:$AU$7)/SUM('BAU Fuel Use by Sector'!$AU$3:$AU$7)</f>
        <v>2.7804942232177271E-5</v>
      </c>
    </row>
    <row r="13" spans="1:52" x14ac:dyDescent="0.25">
      <c r="A13" t="s">
        <v>9</v>
      </c>
      <c r="B13" s="4">
        <f>SUMPRODUCT('Fuel Price Data'!B73:B77,'BAU Fuel Use by Sector'!$AV$3:$AV$7)/SUM('BAU Fuel Use by Sector'!$AV$3:$AV$7)</f>
        <v>1.7893022244031361E-5</v>
      </c>
      <c r="C13" s="4">
        <f>SUMPRODUCT('Fuel Price Data'!C73:C77,'BAU Fuel Use by Sector'!$AV$3:$AV$7)/SUM('BAU Fuel Use by Sector'!$AV$3:$AV$7)</f>
        <v>1.7838467224886931E-5</v>
      </c>
      <c r="D13" s="4">
        <f>SUMPRODUCT('Fuel Price Data'!D73:D77,'BAU Fuel Use by Sector'!$AV$3:$AV$7)/SUM('BAU Fuel Use by Sector'!$AV$3:$AV$7)</f>
        <v>1.8592756624233452E-5</v>
      </c>
      <c r="E13" s="4">
        <f>SUMPRODUCT('Fuel Price Data'!E73:E77,'BAU Fuel Use by Sector'!$AV$3:$AV$7)/SUM('BAU Fuel Use by Sector'!$AV$3:$AV$7)</f>
        <v>2.0132598274999515E-5</v>
      </c>
      <c r="F13" s="4">
        <f>SUMPRODUCT('Fuel Price Data'!F73:F77,'BAU Fuel Use by Sector'!$AV$3:$AV$7)/SUM('BAU Fuel Use by Sector'!$AV$3:$AV$7)</f>
        <v>2.0790355015795156E-5</v>
      </c>
      <c r="G13" s="4">
        <f>SUMPRODUCT('Fuel Price Data'!G73:G77,'BAU Fuel Use by Sector'!$AV$3:$AV$7)/SUM('BAU Fuel Use by Sector'!$AV$3:$AV$7)</f>
        <v>2.1267480317610926E-5</v>
      </c>
      <c r="H13" s="4">
        <f>SUMPRODUCT('Fuel Price Data'!H73:H77,'BAU Fuel Use by Sector'!$AV$3:$AV$7)/SUM('BAU Fuel Use by Sector'!$AV$3:$AV$7)</f>
        <v>2.1682402061765727E-5</v>
      </c>
      <c r="I13" s="4">
        <f>SUMPRODUCT('Fuel Price Data'!I73:I77,'BAU Fuel Use by Sector'!$AV$3:$AV$7)/SUM('BAU Fuel Use by Sector'!$AV$3:$AV$7)</f>
        <v>2.2055863553293128E-5</v>
      </c>
      <c r="J13" s="4">
        <f>SUMPRODUCT('Fuel Price Data'!J73:J77,'BAU Fuel Use by Sector'!$AV$3:$AV$7)/SUM('BAU Fuel Use by Sector'!$AV$3:$AV$7)</f>
        <v>2.2424448918478451E-5</v>
      </c>
      <c r="K13" s="4">
        <f>SUMPRODUCT('Fuel Price Data'!K73:K77,'BAU Fuel Use by Sector'!$AV$3:$AV$7)/SUM('BAU Fuel Use by Sector'!$AV$3:$AV$7)</f>
        <v>2.2643761364500976E-5</v>
      </c>
      <c r="L13" s="4">
        <f>SUMPRODUCT('Fuel Price Data'!L73:L77,'BAU Fuel Use by Sector'!$AV$3:$AV$7)/SUM('BAU Fuel Use by Sector'!$AV$3:$AV$7)</f>
        <v>2.3377231315099294E-5</v>
      </c>
      <c r="M13" s="4">
        <f>SUMPRODUCT('Fuel Price Data'!M73:M77,'BAU Fuel Use by Sector'!$AV$3:$AV$7)/SUM('BAU Fuel Use by Sector'!$AV$3:$AV$7)</f>
        <v>2.3623573803621416E-5</v>
      </c>
      <c r="N13" s="4">
        <f>SUMPRODUCT('Fuel Price Data'!N73:N77,'BAU Fuel Use by Sector'!$AV$3:$AV$7)/SUM('BAU Fuel Use by Sector'!$AV$3:$AV$7)</f>
        <v>2.391132187748864E-5</v>
      </c>
      <c r="O13" s="4">
        <f>SUMPRODUCT('Fuel Price Data'!O73:O77,'BAU Fuel Use by Sector'!$AV$3:$AV$7)/SUM('BAU Fuel Use by Sector'!$AV$3:$AV$7)</f>
        <v>2.4041885895481124E-5</v>
      </c>
      <c r="P13" s="4">
        <f>SUMPRODUCT('Fuel Price Data'!P73:P77,'BAU Fuel Use by Sector'!$AV$3:$AV$7)/SUM('BAU Fuel Use by Sector'!$AV$3:$AV$7)</f>
        <v>2.4140783890193536E-5</v>
      </c>
      <c r="Q13" s="4">
        <f>SUMPRODUCT('Fuel Price Data'!Q73:Q77,'BAU Fuel Use by Sector'!$AV$3:$AV$7)/SUM('BAU Fuel Use by Sector'!$AV$3:$AV$7)</f>
        <v>2.4267696914688657E-5</v>
      </c>
      <c r="R13" s="4">
        <f>SUMPRODUCT('Fuel Price Data'!R73:R77,'BAU Fuel Use by Sector'!$AV$3:$AV$7)/SUM('BAU Fuel Use by Sector'!$AV$3:$AV$7)</f>
        <v>2.4319657190326141E-5</v>
      </c>
      <c r="S13" s="4">
        <f>SUMPRODUCT('Fuel Price Data'!S73:S77,'BAU Fuel Use by Sector'!$AV$3:$AV$7)/SUM('BAU Fuel Use by Sector'!$AV$3:$AV$7)</f>
        <v>2.4577208424125468E-5</v>
      </c>
      <c r="T13" s="4">
        <f>SUMPRODUCT('Fuel Price Data'!T73:T77,'BAU Fuel Use by Sector'!$AV$3:$AV$7)/SUM('BAU Fuel Use by Sector'!$AV$3:$AV$7)</f>
        <v>2.4764312078850662E-5</v>
      </c>
      <c r="U13" s="4">
        <f>SUMPRODUCT('Fuel Price Data'!U73:U77,'BAU Fuel Use by Sector'!$AV$3:$AV$7)/SUM('BAU Fuel Use by Sector'!$AV$3:$AV$7)</f>
        <v>2.4762620321703351E-5</v>
      </c>
      <c r="V13" s="4">
        <f>SUMPRODUCT('Fuel Price Data'!V73:V77,'BAU Fuel Use by Sector'!$AV$3:$AV$7)/SUM('BAU Fuel Use by Sector'!$AV$3:$AV$7)</f>
        <v>2.5138435434974629E-5</v>
      </c>
      <c r="W13" s="4">
        <f>SUMPRODUCT('Fuel Price Data'!W73:W77,'BAU Fuel Use by Sector'!$AV$3:$AV$7)/SUM('BAU Fuel Use by Sector'!$AV$3:$AV$7)</f>
        <v>2.5362116382574875E-5</v>
      </c>
      <c r="X13" s="4">
        <f>SUMPRODUCT('Fuel Price Data'!X73:X77,'BAU Fuel Use by Sector'!$AV$3:$AV$7)/SUM('BAU Fuel Use by Sector'!$AV$3:$AV$7)</f>
        <v>2.5496620349699816E-5</v>
      </c>
      <c r="Y13" s="4">
        <f>SUMPRODUCT('Fuel Price Data'!Y73:Y77,'BAU Fuel Use by Sector'!$AV$3:$AV$7)/SUM('BAU Fuel Use by Sector'!$AV$3:$AV$7)</f>
        <v>2.5735920520818198E-5</v>
      </c>
      <c r="Z13" s="4">
        <f>SUMPRODUCT('Fuel Price Data'!Z73:Z77,'BAU Fuel Use by Sector'!$AV$3:$AV$7)/SUM('BAU Fuel Use by Sector'!$AV$3:$AV$7)</f>
        <v>2.5791717268232321E-5</v>
      </c>
      <c r="AA13" s="4">
        <f>SUMPRODUCT('Fuel Price Data'!AA73:AA77,'BAU Fuel Use by Sector'!$AV$3:$AV$7)/SUM('BAU Fuel Use by Sector'!$AV$3:$AV$7)</f>
        <v>2.5749312052582061E-5</v>
      </c>
      <c r="AB13" s="4">
        <f>SUMPRODUCT('Fuel Price Data'!AB73:AB77,'BAU Fuel Use by Sector'!$AV$3:$AV$7)/SUM('BAU Fuel Use by Sector'!$AV$3:$AV$7)</f>
        <v>2.6045766867359177E-5</v>
      </c>
      <c r="AC13" s="4">
        <f>SUMPRODUCT('Fuel Price Data'!AC73:AC77,'BAU Fuel Use by Sector'!$AV$3:$AV$7)/SUM('BAU Fuel Use by Sector'!$AV$3:$AV$7)</f>
        <v>2.615305433750376E-5</v>
      </c>
      <c r="AD13" s="4">
        <f>SUMPRODUCT('Fuel Price Data'!AD73:AD77,'BAU Fuel Use by Sector'!$AV$3:$AV$7)/SUM('BAU Fuel Use by Sector'!$AV$3:$AV$7)</f>
        <v>2.6165674670106414E-5</v>
      </c>
      <c r="AE13" s="4">
        <f>SUMPRODUCT('Fuel Price Data'!AE73:AE77,'BAU Fuel Use by Sector'!$AV$3:$AV$7)/SUM('BAU Fuel Use by Sector'!$AV$3:$AV$7)</f>
        <v>2.628560004448011E-5</v>
      </c>
      <c r="AF13" s="4">
        <f>SUMPRODUCT('Fuel Price Data'!AF73:AF77,'BAU Fuel Use by Sector'!$AV$3:$AV$7)/SUM('BAU Fuel Use by Sector'!$AV$3:$AV$7)</f>
        <v>2.625935584416377E-5</v>
      </c>
      <c r="AG13" s="4">
        <f>SUMPRODUCT('Fuel Price Data'!AG73:AG77,'BAU Fuel Use by Sector'!$AV$3:$AV$7)/SUM('BAU Fuel Use by Sector'!$AV$3:$AV$7)</f>
        <v>2.6399850592633975E-5</v>
      </c>
      <c r="AH13" s="4">
        <f>SUMPRODUCT('Fuel Price Data'!AH73:AH77,'BAU Fuel Use by Sector'!$AV$3:$AV$7)/SUM('BAU Fuel Use by Sector'!$AV$3:$AV$7)</f>
        <v>2.6494450537424585E-5</v>
      </c>
      <c r="AI13" s="4">
        <f>SUMPRODUCT('Fuel Price Data'!AI73:AI77,'BAU Fuel Use by Sector'!$AV$3:$AV$7)/SUM('BAU Fuel Use by Sector'!$AV$3:$AV$7)</f>
        <v>2.6589050482215195E-5</v>
      </c>
      <c r="AJ13" s="4">
        <f>SUMPRODUCT('Fuel Price Data'!AJ73:AJ77,'BAU Fuel Use by Sector'!$AV$3:$AV$7)/SUM('BAU Fuel Use by Sector'!$AV$3:$AV$7)</f>
        <v>2.6683650427005802E-5</v>
      </c>
      <c r="AK13" s="4">
        <f>SUMPRODUCT('Fuel Price Data'!AK73:AK77,'BAU Fuel Use by Sector'!$AV$3:$AV$7)/SUM('BAU Fuel Use by Sector'!$AV$3:$AV$7)</f>
        <v>2.6778250371796409E-5</v>
      </c>
      <c r="AL13" s="4">
        <f>SUMPRODUCT('Fuel Price Data'!AL73:AL77,'BAU Fuel Use by Sector'!$AV$3:$AV$7)/SUM('BAU Fuel Use by Sector'!$AV$3:$AV$7)</f>
        <v>2.6872850316587015E-5</v>
      </c>
      <c r="AM13" s="4">
        <f>SUMPRODUCT('Fuel Price Data'!AM73:AM77,'BAU Fuel Use by Sector'!$AV$3:$AV$7)/SUM('BAU Fuel Use by Sector'!$AV$3:$AV$7)</f>
        <v>2.6967450261377626E-5</v>
      </c>
      <c r="AN13" s="4">
        <f>SUMPRODUCT('Fuel Price Data'!AN73:AN77,'BAU Fuel Use by Sector'!$AV$3:$AV$7)/SUM('BAU Fuel Use by Sector'!$AV$3:$AV$7)</f>
        <v>2.7062050206168236E-5</v>
      </c>
      <c r="AO13" s="4">
        <f>SUMPRODUCT('Fuel Price Data'!AO73:AO77,'BAU Fuel Use by Sector'!$AV$3:$AV$7)/SUM('BAU Fuel Use by Sector'!$AV$3:$AV$7)</f>
        <v>2.7156650150958842E-5</v>
      </c>
      <c r="AP13" s="4">
        <f>SUMPRODUCT('Fuel Price Data'!AP73:AP77,'BAU Fuel Use by Sector'!$AV$3:$AV$7)/SUM('BAU Fuel Use by Sector'!$AV$3:$AV$7)</f>
        <v>2.7251250095749452E-5</v>
      </c>
      <c r="AQ13" s="4">
        <f>SUMPRODUCT('Fuel Price Data'!AQ73:AQ77,'BAU Fuel Use by Sector'!$AV$3:$AV$7)/SUM('BAU Fuel Use by Sector'!$AV$3:$AV$7)</f>
        <v>2.7345850040540066E-5</v>
      </c>
      <c r="AR13" s="4">
        <f>SUMPRODUCT('Fuel Price Data'!AR73:AR77,'BAU Fuel Use by Sector'!$AV$3:$AV$7)/SUM('BAU Fuel Use by Sector'!$AV$3:$AV$7)</f>
        <v>2.7440449985330669E-5</v>
      </c>
      <c r="AS13" s="4">
        <f>SUMPRODUCT('Fuel Price Data'!AS73:AS77,'BAU Fuel Use by Sector'!$AV$3:$AV$7)/SUM('BAU Fuel Use by Sector'!$AV$3:$AV$7)</f>
        <v>2.7535049930121276E-5</v>
      </c>
      <c r="AT13" s="4">
        <f>SUMPRODUCT('Fuel Price Data'!AT73:AT77,'BAU Fuel Use by Sector'!$AV$3:$AV$7)/SUM('BAU Fuel Use by Sector'!$AV$3:$AV$7)</f>
        <v>2.7629649874911883E-5</v>
      </c>
      <c r="AU13" s="4">
        <f>SUMPRODUCT('Fuel Price Data'!AU73:AU77,'BAU Fuel Use by Sector'!$AV$3:$AV$7)/SUM('BAU Fuel Use by Sector'!$AV$3:$AV$7)</f>
        <v>2.7724249819702496E-5</v>
      </c>
      <c r="AV13" s="4">
        <f>SUMPRODUCT('Fuel Price Data'!AV73:AV77,'BAU Fuel Use by Sector'!$AV$3:$AV$7)/SUM('BAU Fuel Use by Sector'!$AV$3:$AV$7)</f>
        <v>2.7818849764493099E-5</v>
      </c>
      <c r="AW13" s="4">
        <f>SUMPRODUCT('Fuel Price Data'!AW73:AW77,'BAU Fuel Use by Sector'!$AV$3:$AV$7)/SUM('BAU Fuel Use by Sector'!$AV$3:$AV$7)</f>
        <v>2.7913449709283713E-5</v>
      </c>
      <c r="AX13" s="4">
        <f>SUMPRODUCT('Fuel Price Data'!AX73:AX77,'BAU Fuel Use by Sector'!$AV$3:$AV$7)/SUM('BAU Fuel Use by Sector'!$AV$3:$AV$7)</f>
        <v>2.800804965407432E-5</v>
      </c>
      <c r="AY13" s="4">
        <f>SUMPRODUCT('Fuel Price Data'!AY73:AY77,'BAU Fuel Use by Sector'!$AV$3:$AV$7)/SUM('BAU Fuel Use by Sector'!$AV$3:$AV$7)</f>
        <v>2.8102649598864923E-5</v>
      </c>
      <c r="AZ13" s="4">
        <f>SUMPRODUCT('Fuel Price Data'!AZ73:AZ77,'BAU Fuel Use by Sector'!$AV$3:$AV$7)/SUM('BAU Fuel Use by Sector'!$AV$3:$AV$7)</f>
        <v>2.8197249543655536E-5</v>
      </c>
    </row>
    <row r="14" spans="1:52" x14ac:dyDescent="0.25">
      <c r="A14" t="s">
        <v>10</v>
      </c>
      <c r="B14" s="4">
        <f>SUMPRODUCT('Fuel Price Data'!B83:B87,'BAU Fuel Use by Sector'!$AW$3:$AW$7)/SUM('BAU Fuel Use by Sector'!$AW$3:$AW$7)</f>
        <v>8.2402408832182343E-6</v>
      </c>
      <c r="C14" s="4">
        <f>SUMPRODUCT('Fuel Price Data'!C83:C87,'BAU Fuel Use by Sector'!$AW$3:$AW$7)/SUM('BAU Fuel Use by Sector'!$AW$3:$AW$7)</f>
        <v>1.2255974215131284E-5</v>
      </c>
      <c r="D14" s="4">
        <f>SUMPRODUCT('Fuel Price Data'!D83:D87,'BAU Fuel Use by Sector'!$AW$3:$AW$7)/SUM('BAU Fuel Use by Sector'!$AW$3:$AW$7)</f>
        <v>2.2066075345013406E-5</v>
      </c>
      <c r="E14" s="4">
        <f>SUMPRODUCT('Fuel Price Data'!E83:E87,'BAU Fuel Use by Sector'!$AW$3:$AW$7)/SUM('BAU Fuel Use by Sector'!$AW$3:$AW$7)</f>
        <v>1.7657019153600988E-5</v>
      </c>
      <c r="F14" s="4">
        <f>SUMPRODUCT('Fuel Price Data'!F83:F87,'BAU Fuel Use by Sector'!$AW$3:$AW$7)/SUM('BAU Fuel Use by Sector'!$AW$3:$AW$7)</f>
        <v>1.6884785810883153E-5</v>
      </c>
      <c r="G14" s="4">
        <f>SUMPRODUCT('Fuel Price Data'!G83:G87,'BAU Fuel Use by Sector'!$AW$3:$AW$7)/SUM('BAU Fuel Use by Sector'!$AW$3:$AW$7)</f>
        <v>1.6112552468165316E-5</v>
      </c>
      <c r="H14" s="4">
        <f>SUMPRODUCT('Fuel Price Data'!H83:H87,'BAU Fuel Use by Sector'!$AW$3:$AW$7)/SUM('BAU Fuel Use by Sector'!$AW$3:$AW$7)</f>
        <v>1.5340319125447478E-5</v>
      </c>
      <c r="I14" s="4">
        <f>SUMPRODUCT('Fuel Price Data'!I83:I87,'BAU Fuel Use by Sector'!$AW$3:$AW$7)/SUM('BAU Fuel Use by Sector'!$AW$3:$AW$7)</f>
        <v>1.4568085782729642E-5</v>
      </c>
      <c r="J14" s="4">
        <f>SUMPRODUCT('Fuel Price Data'!J83:J87,'BAU Fuel Use by Sector'!$AW$3:$AW$7)/SUM('BAU Fuel Use by Sector'!$AW$3:$AW$7)</f>
        <v>1.3795852440011805E-5</v>
      </c>
      <c r="K14" s="4">
        <f>SUMPRODUCT('Fuel Price Data'!K83:K87,'BAU Fuel Use by Sector'!$AW$3:$AW$7)/SUM('BAU Fuel Use by Sector'!$AW$3:$AW$7)</f>
        <v>1.3939162071277261E-5</v>
      </c>
      <c r="L14" s="4">
        <f>SUMPRODUCT('Fuel Price Data'!L83:L87,'BAU Fuel Use by Sector'!$AW$3:$AW$7)/SUM('BAU Fuel Use by Sector'!$AW$3:$AW$7)</f>
        <v>1.3890819134162453E-5</v>
      </c>
      <c r="M14" s="4">
        <f>SUMPRODUCT('Fuel Price Data'!M83:M87,'BAU Fuel Use by Sector'!$AW$3:$AW$7)/SUM('BAU Fuel Use by Sector'!$AW$3:$AW$7)</f>
        <v>1.4302081070679405E-5</v>
      </c>
      <c r="N14" s="4">
        <f>SUMPRODUCT('Fuel Price Data'!N83:N87,'BAU Fuel Use by Sector'!$AW$3:$AW$7)/SUM('BAU Fuel Use by Sector'!$AW$3:$AW$7)</f>
        <v>1.4458083317806396E-5</v>
      </c>
      <c r="O14" s="4">
        <f>SUMPRODUCT('Fuel Price Data'!O83:O87,'BAU Fuel Use by Sector'!$AW$3:$AW$7)/SUM('BAU Fuel Use by Sector'!$AW$3:$AW$7)</f>
        <v>1.4552284896328007E-5</v>
      </c>
      <c r="P14" s="4">
        <f>SUMPRODUCT('Fuel Price Data'!P83:P87,'BAU Fuel Use by Sector'!$AW$3:$AW$7)/SUM('BAU Fuel Use by Sector'!$AW$3:$AW$7)</f>
        <v>1.4695461500845112E-5</v>
      </c>
      <c r="Q14" s="4">
        <f>SUMPRODUCT('Fuel Price Data'!Q83:Q87,'BAU Fuel Use by Sector'!$AW$3:$AW$7)/SUM('BAU Fuel Use by Sector'!$AW$3:$AW$7)</f>
        <v>1.4790573084001917E-5</v>
      </c>
      <c r="R14" s="4">
        <f>SUMPRODUCT('Fuel Price Data'!R83:R87,'BAU Fuel Use by Sector'!$AW$3:$AW$7)/SUM('BAU Fuel Use by Sector'!$AW$3:$AW$7)</f>
        <v>1.4957511485529762E-5</v>
      </c>
      <c r="S14" s="4">
        <f>SUMPRODUCT('Fuel Price Data'!S83:S87,'BAU Fuel Use by Sector'!$AW$3:$AW$7)/SUM('BAU Fuel Use by Sector'!$AW$3:$AW$7)</f>
        <v>1.5175163581127059E-5</v>
      </c>
      <c r="T14" s="4">
        <f>SUMPRODUCT('Fuel Price Data'!T83:T87,'BAU Fuel Use by Sector'!$AW$3:$AW$7)/SUM('BAU Fuel Use by Sector'!$AW$3:$AW$7)</f>
        <v>1.5327129271380592E-5</v>
      </c>
      <c r="U14" s="4">
        <f>SUMPRODUCT('Fuel Price Data'!U83:U87,'BAU Fuel Use by Sector'!$AW$3:$AW$7)/SUM('BAU Fuel Use by Sector'!$AW$3:$AW$7)</f>
        <v>1.5415203146436875E-5</v>
      </c>
      <c r="V14" s="4">
        <f>SUMPRODUCT('Fuel Price Data'!V83:V87,'BAU Fuel Use by Sector'!$AW$3:$AW$7)/SUM('BAU Fuel Use by Sector'!$AW$3:$AW$7)</f>
        <v>1.5573919308690995E-5</v>
      </c>
      <c r="W14" s="4">
        <f>SUMPRODUCT('Fuel Price Data'!W83:W87,'BAU Fuel Use by Sector'!$AW$3:$AW$7)/SUM('BAU Fuel Use by Sector'!$AW$3:$AW$7)</f>
        <v>1.5694389009838725E-5</v>
      </c>
      <c r="X14" s="4">
        <f>SUMPRODUCT('Fuel Price Data'!X83:X87,'BAU Fuel Use by Sector'!$AW$3:$AW$7)/SUM('BAU Fuel Use by Sector'!$AW$3:$AW$7)</f>
        <v>1.5729087808554452E-5</v>
      </c>
      <c r="Y14" s="4">
        <f>SUMPRODUCT('Fuel Price Data'!Y83:Y87,'BAU Fuel Use by Sector'!$AW$3:$AW$7)/SUM('BAU Fuel Use by Sector'!$AW$3:$AW$7)</f>
        <v>1.5976199821434106E-5</v>
      </c>
      <c r="Z14" s="4">
        <f>SUMPRODUCT('Fuel Price Data'!Z83:Z87,'BAU Fuel Use by Sector'!$AW$3:$AW$7)/SUM('BAU Fuel Use by Sector'!$AW$3:$AW$7)</f>
        <v>1.6239930857511899E-5</v>
      </c>
      <c r="AA14" s="4">
        <f>SUMPRODUCT('Fuel Price Data'!AA83:AA87,'BAU Fuel Use by Sector'!$AW$3:$AW$7)/SUM('BAU Fuel Use by Sector'!$AW$3:$AW$7)</f>
        <v>1.6332129409071114E-5</v>
      </c>
      <c r="AB14" s="4">
        <f>SUMPRODUCT('Fuel Price Data'!AB83:AB87,'BAU Fuel Use by Sector'!$AW$3:$AW$7)/SUM('BAU Fuel Use by Sector'!$AW$3:$AW$7)</f>
        <v>1.6509579465630875E-5</v>
      </c>
      <c r="AC14" s="4">
        <f>SUMPRODUCT('Fuel Price Data'!AC83:AC87,'BAU Fuel Use by Sector'!$AW$3:$AW$7)/SUM('BAU Fuel Use by Sector'!$AW$3:$AW$7)</f>
        <v>1.6587051871417496E-5</v>
      </c>
      <c r="AD14" s="4">
        <f>SUMPRODUCT('Fuel Price Data'!AD83:AD87,'BAU Fuel Use by Sector'!$AW$3:$AW$7)/SUM('BAU Fuel Use by Sector'!$AW$3:$AW$7)</f>
        <v>1.6563312951618257E-5</v>
      </c>
      <c r="AE14" s="4">
        <f>SUMPRODUCT('Fuel Price Data'!AE83:AE87,'BAU Fuel Use by Sector'!$AW$3:$AW$7)/SUM('BAU Fuel Use by Sector'!$AW$3:$AW$7)</f>
        <v>1.659851504898697E-5</v>
      </c>
      <c r="AF14" s="4">
        <f>SUMPRODUCT('Fuel Price Data'!AF83:AF87,'BAU Fuel Use by Sector'!$AW$3:$AW$7)/SUM('BAU Fuel Use by Sector'!$AW$3:$AW$7)</f>
        <v>1.6549241771937848E-5</v>
      </c>
      <c r="AG14" s="4">
        <f>SUMPRODUCT('Fuel Price Data'!AG83:AG87,'BAU Fuel Use by Sector'!$AW$3:$AW$7)/SUM('BAU Fuel Use by Sector'!$AW$3:$AW$7)</f>
        <v>1.6632962704276262E-5</v>
      </c>
      <c r="AH14" s="4">
        <f>SUMPRODUCT('Fuel Price Data'!AH83:AH87,'BAU Fuel Use by Sector'!$AW$3:$AW$7)/SUM('BAU Fuel Use by Sector'!$AW$3:$AW$7)</f>
        <v>1.6704168019353426E-5</v>
      </c>
      <c r="AI14" s="4">
        <f>SUMPRODUCT('Fuel Price Data'!AI83:AI87,'BAU Fuel Use by Sector'!$AW$3:$AW$7)/SUM('BAU Fuel Use by Sector'!$AW$3:$AW$7)</f>
        <v>1.6775373334430595E-5</v>
      </c>
      <c r="AJ14" s="4">
        <f>SUMPRODUCT('Fuel Price Data'!AJ83:AJ87,'BAU Fuel Use by Sector'!$AW$3:$AW$7)/SUM('BAU Fuel Use by Sector'!$AW$3:$AW$7)</f>
        <v>1.6846578649507763E-5</v>
      </c>
      <c r="AK14" s="4">
        <f>SUMPRODUCT('Fuel Price Data'!AK83:AK87,'BAU Fuel Use by Sector'!$AW$3:$AW$7)/SUM('BAU Fuel Use by Sector'!$AW$3:$AW$7)</f>
        <v>1.6917783964584928E-5</v>
      </c>
      <c r="AL14" s="4">
        <f>SUMPRODUCT('Fuel Price Data'!AL83:AL87,'BAU Fuel Use by Sector'!$AW$3:$AW$7)/SUM('BAU Fuel Use by Sector'!$AW$3:$AW$7)</f>
        <v>1.6988989279662096E-5</v>
      </c>
      <c r="AM14" s="4">
        <f>SUMPRODUCT('Fuel Price Data'!AM83:AM87,'BAU Fuel Use by Sector'!$AW$3:$AW$7)/SUM('BAU Fuel Use by Sector'!$AW$3:$AW$7)</f>
        <v>1.7060194594739261E-5</v>
      </c>
      <c r="AN14" s="4">
        <f>SUMPRODUCT('Fuel Price Data'!AN83:AN87,'BAU Fuel Use by Sector'!$AW$3:$AW$7)/SUM('BAU Fuel Use by Sector'!$AW$3:$AW$7)</f>
        <v>1.7131399909816429E-5</v>
      </c>
      <c r="AO14" s="4">
        <f>SUMPRODUCT('Fuel Price Data'!AO83:AO87,'BAU Fuel Use by Sector'!$AW$3:$AW$7)/SUM('BAU Fuel Use by Sector'!$AW$3:$AW$7)</f>
        <v>1.7202605224893597E-5</v>
      </c>
      <c r="AP14" s="4">
        <f>SUMPRODUCT('Fuel Price Data'!AP83:AP87,'BAU Fuel Use by Sector'!$AW$3:$AW$7)/SUM('BAU Fuel Use by Sector'!$AW$3:$AW$7)</f>
        <v>1.7273810539970762E-5</v>
      </c>
      <c r="AQ14" s="4">
        <f>SUMPRODUCT('Fuel Price Data'!AQ83:AQ87,'BAU Fuel Use by Sector'!$AW$3:$AW$7)/SUM('BAU Fuel Use by Sector'!$AW$3:$AW$7)</f>
        <v>1.7345015855047931E-5</v>
      </c>
      <c r="AR14" s="4">
        <f>SUMPRODUCT('Fuel Price Data'!AR83:AR87,'BAU Fuel Use by Sector'!$AW$3:$AW$7)/SUM('BAU Fuel Use by Sector'!$AW$3:$AW$7)</f>
        <v>1.7416221170125095E-5</v>
      </c>
      <c r="AS14" s="4">
        <f>SUMPRODUCT('Fuel Price Data'!AS83:AS87,'BAU Fuel Use by Sector'!$AW$3:$AW$7)/SUM('BAU Fuel Use by Sector'!$AW$3:$AW$7)</f>
        <v>1.7487426485202264E-5</v>
      </c>
      <c r="AT14" s="4">
        <f>SUMPRODUCT('Fuel Price Data'!AT83:AT87,'BAU Fuel Use by Sector'!$AW$3:$AW$7)/SUM('BAU Fuel Use by Sector'!$AW$3:$AW$7)</f>
        <v>1.7558631800279429E-5</v>
      </c>
      <c r="AU14" s="4">
        <f>SUMPRODUCT('Fuel Price Data'!AU83:AU87,'BAU Fuel Use by Sector'!$AW$3:$AW$7)/SUM('BAU Fuel Use by Sector'!$AW$3:$AW$7)</f>
        <v>1.7629837115356597E-5</v>
      </c>
      <c r="AV14" s="4">
        <f>SUMPRODUCT('Fuel Price Data'!AV83:AV87,'BAU Fuel Use by Sector'!$AW$3:$AW$7)/SUM('BAU Fuel Use by Sector'!$AW$3:$AW$7)</f>
        <v>1.7701042430433765E-5</v>
      </c>
      <c r="AW14" s="4">
        <f>SUMPRODUCT('Fuel Price Data'!AW83:AW87,'BAU Fuel Use by Sector'!$AW$3:$AW$7)/SUM('BAU Fuel Use by Sector'!$AW$3:$AW$7)</f>
        <v>1.777224774551093E-5</v>
      </c>
      <c r="AX14" s="4">
        <f>SUMPRODUCT('Fuel Price Data'!AX83:AX87,'BAU Fuel Use by Sector'!$AW$3:$AW$7)/SUM('BAU Fuel Use by Sector'!$AW$3:$AW$7)</f>
        <v>1.7843453060588098E-5</v>
      </c>
      <c r="AY14" s="4">
        <f>SUMPRODUCT('Fuel Price Data'!AY83:AY87,'BAU Fuel Use by Sector'!$AW$3:$AW$7)/SUM('BAU Fuel Use by Sector'!$AW$3:$AW$7)</f>
        <v>1.7914658375665263E-5</v>
      </c>
      <c r="AZ14" s="4">
        <f>SUMPRODUCT('Fuel Price Data'!AZ83:AZ87,'BAU Fuel Use by Sector'!$AW$3:$AW$7)/SUM('BAU Fuel Use by Sector'!$AW$3:$AW$7)</f>
        <v>1.7985863690742431E-5</v>
      </c>
    </row>
    <row r="15" spans="1:52" x14ac:dyDescent="0.25">
      <c r="A15" t="s">
        <v>20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</row>
    <row r="16" spans="1:52" x14ac:dyDescent="0.25">
      <c r="A16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</row>
    <row r="17" spans="1:52" x14ac:dyDescent="0.25">
      <c r="A17" t="s">
        <v>11</v>
      </c>
      <c r="B17" s="4">
        <f>SUMPRODUCT('Fuel Price Data'!B93:B97,'BAU Fuel Use by Sector'!$AZ$3:$AZ$7)/SUM('BAU Fuel Use by Sector'!$AZ$3:$AZ$7)</f>
        <v>1.6033945228538147E-6</v>
      </c>
      <c r="C17" s="4">
        <f>SUMPRODUCT('Fuel Price Data'!C93:C97,'BAU Fuel Use by Sector'!$AZ$3:$AZ$7)/SUM('BAU Fuel Use by Sector'!$AZ$3:$AZ$7)</f>
        <v>1.6047709638441597E-6</v>
      </c>
      <c r="D17" s="4">
        <f>SUMPRODUCT('Fuel Price Data'!D93:D97,'BAU Fuel Use by Sector'!$AZ$3:$AZ$7)/SUM('BAU Fuel Use by Sector'!$AZ$3:$AZ$7)</f>
        <v>1.5830184176916275E-6</v>
      </c>
      <c r="E17" s="4">
        <f>SUMPRODUCT('Fuel Price Data'!E93:E97,'BAU Fuel Use by Sector'!$AZ$3:$AZ$7)/SUM('BAU Fuel Use by Sector'!$AZ$3:$AZ$7)</f>
        <v>1.5696186745298908E-6</v>
      </c>
      <c r="F17" s="4">
        <f>SUMPRODUCT('Fuel Price Data'!F93:F97,'BAU Fuel Use by Sector'!$AZ$3:$AZ$7)/SUM('BAU Fuel Use by Sector'!$AZ$3:$AZ$7)</f>
        <v>1.56891740726348E-6</v>
      </c>
      <c r="G17" s="4">
        <f>SUMPRODUCT('Fuel Price Data'!G93:G97,'BAU Fuel Use by Sector'!$AZ$3:$AZ$7)/SUM('BAU Fuel Use by Sector'!$AZ$3:$AZ$7)</f>
        <v>1.5302580015645813E-6</v>
      </c>
      <c r="H17" s="4">
        <f>SUMPRODUCT('Fuel Price Data'!H93:H97,'BAU Fuel Use by Sector'!$AZ$3:$AZ$7)/SUM('BAU Fuel Use by Sector'!$AZ$3:$AZ$7)</f>
        <v>1.5049679169769298E-6</v>
      </c>
      <c r="I17" s="4">
        <f>SUMPRODUCT('Fuel Price Data'!I93:I97,'BAU Fuel Use by Sector'!$AZ$3:$AZ$7)/SUM('BAU Fuel Use by Sector'!$AZ$3:$AZ$7)</f>
        <v>1.5038618024232364E-6</v>
      </c>
      <c r="J17" s="4">
        <f>SUMPRODUCT('Fuel Price Data'!J93:J97,'BAU Fuel Use by Sector'!$AZ$3:$AZ$7)/SUM('BAU Fuel Use by Sector'!$AZ$3:$AZ$7)</f>
        <v>1.4959107265094171E-6</v>
      </c>
      <c r="K17" s="4">
        <f>SUMPRODUCT('Fuel Price Data'!K93:K97,'BAU Fuel Use by Sector'!$AZ$3:$AZ$7)/SUM('BAU Fuel Use by Sector'!$AZ$3:$AZ$7)</f>
        <v>1.5015434861654255E-6</v>
      </c>
      <c r="L17" s="4">
        <f>SUMPRODUCT('Fuel Price Data'!L93:L97,'BAU Fuel Use by Sector'!$AZ$3:$AZ$7)/SUM('BAU Fuel Use by Sector'!$AZ$3:$AZ$7)</f>
        <v>1.4992961546920895E-6</v>
      </c>
      <c r="M17" s="4">
        <f>SUMPRODUCT('Fuel Price Data'!M93:M97,'BAU Fuel Use by Sector'!$AZ$3:$AZ$7)/SUM('BAU Fuel Use by Sector'!$AZ$3:$AZ$7)</f>
        <v>1.4983249892341574E-6</v>
      </c>
      <c r="N17" s="4">
        <f>SUMPRODUCT('Fuel Price Data'!N93:N97,'BAU Fuel Use by Sector'!$AZ$3:$AZ$7)/SUM('BAU Fuel Use by Sector'!$AZ$3:$AZ$7)</f>
        <v>1.4896141421106784E-6</v>
      </c>
      <c r="O17" s="4">
        <f>SUMPRODUCT('Fuel Price Data'!O93:O97,'BAU Fuel Use by Sector'!$AZ$3:$AZ$7)/SUM('BAU Fuel Use by Sector'!$AZ$3:$AZ$7)</f>
        <v>1.4868777176717817E-6</v>
      </c>
      <c r="P17" s="4">
        <f>SUMPRODUCT('Fuel Price Data'!P93:P97,'BAU Fuel Use by Sector'!$AZ$3:$AZ$7)/SUM('BAU Fuel Use by Sector'!$AZ$3:$AZ$7)</f>
        <v>1.4814852142093824E-6</v>
      </c>
      <c r="Q17" s="4">
        <f>SUMPRODUCT('Fuel Price Data'!Q93:Q97,'BAU Fuel Use by Sector'!$AZ$3:$AZ$7)/SUM('BAU Fuel Use by Sector'!$AZ$3:$AZ$7)</f>
        <v>1.470845297063842E-6</v>
      </c>
      <c r="R17" s="4">
        <f>SUMPRODUCT('Fuel Price Data'!R93:R97,'BAU Fuel Use by Sector'!$AZ$3:$AZ$7)/SUM('BAU Fuel Use by Sector'!$AZ$3:$AZ$7)</f>
        <v>1.4589650963214244E-6</v>
      </c>
      <c r="S17" s="4">
        <f>SUMPRODUCT('Fuel Price Data'!S93:S97,'BAU Fuel Use by Sector'!$AZ$3:$AZ$7)/SUM('BAU Fuel Use by Sector'!$AZ$3:$AZ$7)</f>
        <v>1.456481408917363E-6</v>
      </c>
      <c r="T17" s="4">
        <f>SUMPRODUCT('Fuel Price Data'!T93:T97,'BAU Fuel Use by Sector'!$AZ$3:$AZ$7)/SUM('BAU Fuel Use by Sector'!$AZ$3:$AZ$7)</f>
        <v>1.4559556534806991E-6</v>
      </c>
      <c r="U17" s="4">
        <f>SUMPRODUCT('Fuel Price Data'!U93:U97,'BAU Fuel Use by Sector'!$AZ$3:$AZ$7)/SUM('BAU Fuel Use by Sector'!$AZ$3:$AZ$7)</f>
        <v>1.4538908543102995E-6</v>
      </c>
      <c r="V17" s="4">
        <f>SUMPRODUCT('Fuel Price Data'!V93:V97,'BAU Fuel Use by Sector'!$AZ$3:$AZ$7)/SUM('BAU Fuel Use by Sector'!$AZ$3:$AZ$7)</f>
        <v>1.4577762961946061E-6</v>
      </c>
      <c r="W17" s="4">
        <f>SUMPRODUCT('Fuel Price Data'!W93:W97,'BAU Fuel Use by Sector'!$AZ$3:$AZ$7)/SUM('BAU Fuel Use by Sector'!$AZ$3:$AZ$7)</f>
        <v>1.4545297173705781E-6</v>
      </c>
      <c r="X17" s="4">
        <f>SUMPRODUCT('Fuel Price Data'!X93:X97,'BAU Fuel Use by Sector'!$AZ$3:$AZ$7)/SUM('BAU Fuel Use by Sector'!$AZ$3:$AZ$7)</f>
        <v>1.4461792545375131E-6</v>
      </c>
      <c r="Y17" s="4">
        <f>SUMPRODUCT('Fuel Price Data'!Y93:Y97,'BAU Fuel Use by Sector'!$AZ$3:$AZ$7)/SUM('BAU Fuel Use by Sector'!$AZ$3:$AZ$7)</f>
        <v>1.4373631003161864E-6</v>
      </c>
      <c r="Z17" s="4">
        <f>SUMPRODUCT('Fuel Price Data'!Z93:Z97,'BAU Fuel Use by Sector'!$AZ$3:$AZ$7)/SUM('BAU Fuel Use by Sector'!$AZ$3:$AZ$7)</f>
        <v>1.4332389623434244E-6</v>
      </c>
      <c r="AA17" s="4">
        <f>SUMPRODUCT('Fuel Price Data'!AA93:AA97,'BAU Fuel Use by Sector'!$AZ$3:$AZ$7)/SUM('BAU Fuel Use by Sector'!$AZ$3:$AZ$7)</f>
        <v>1.4308418607753714E-6</v>
      </c>
      <c r="AB17" s="4">
        <f>SUMPRODUCT('Fuel Price Data'!AB93:AB97,'BAU Fuel Use by Sector'!$AZ$3:$AZ$7)/SUM('BAU Fuel Use by Sector'!$AZ$3:$AZ$7)</f>
        <v>1.4286343119834444E-6</v>
      </c>
      <c r="AC17" s="4">
        <f>SUMPRODUCT('Fuel Price Data'!AC93:AC97,'BAU Fuel Use by Sector'!$AZ$3:$AZ$7)/SUM('BAU Fuel Use by Sector'!$AZ$3:$AZ$7)</f>
        <v>1.4243432427592787E-6</v>
      </c>
      <c r="AD17" s="4">
        <f>SUMPRODUCT('Fuel Price Data'!AD93:AD97,'BAU Fuel Use by Sector'!$AZ$3:$AZ$7)/SUM('BAU Fuel Use by Sector'!$AZ$3:$AZ$7)</f>
        <v>1.4176285501794543E-6</v>
      </c>
      <c r="AE17" s="4">
        <f>SUMPRODUCT('Fuel Price Data'!AE93:AE97,'BAU Fuel Use by Sector'!$AZ$3:$AZ$7)/SUM('BAU Fuel Use by Sector'!$AZ$3:$AZ$7)</f>
        <v>1.4186589996332123E-6</v>
      </c>
      <c r="AF17" s="4">
        <f>SUMPRODUCT('Fuel Price Data'!AF93:AF97,'BAU Fuel Use by Sector'!$AZ$3:$AZ$7)/SUM('BAU Fuel Use by Sector'!$AZ$3:$AZ$7)</f>
        <v>1.4165450571504839E-6</v>
      </c>
      <c r="AG17" s="4">
        <f>SUMPRODUCT('Fuel Price Data'!AG93:AG97,'BAU Fuel Use by Sector'!$AZ$3:$AZ$7)/SUM('BAU Fuel Use by Sector'!$AZ$3:$AZ$7)</f>
        <v>1.4123862623883809E-6</v>
      </c>
      <c r="AH17" s="4">
        <f>SUMPRODUCT('Fuel Price Data'!AH93:AH97,'BAU Fuel Use by Sector'!$AZ$3:$AZ$7)/SUM('BAU Fuel Use by Sector'!$AZ$3:$AZ$7)</f>
        <v>1.4082320232254123E-6</v>
      </c>
      <c r="AI17" s="4">
        <f>SUMPRODUCT('Fuel Price Data'!AI93:AI97,'BAU Fuel Use by Sector'!$AZ$3:$AZ$7)/SUM('BAU Fuel Use by Sector'!$AZ$3:$AZ$7)</f>
        <v>1.4040777840624438E-6</v>
      </c>
      <c r="AJ17" s="4">
        <f>SUMPRODUCT('Fuel Price Data'!AJ93:AJ97,'BAU Fuel Use by Sector'!$AZ$3:$AZ$7)/SUM('BAU Fuel Use by Sector'!$AZ$3:$AZ$7)</f>
        <v>1.3999235448994753E-6</v>
      </c>
      <c r="AK17" s="4">
        <f>SUMPRODUCT('Fuel Price Data'!AK93:AK97,'BAU Fuel Use by Sector'!$AZ$3:$AZ$7)/SUM('BAU Fuel Use by Sector'!$AZ$3:$AZ$7)</f>
        <v>1.3957693057365068E-6</v>
      </c>
      <c r="AL17" s="4">
        <f>SUMPRODUCT('Fuel Price Data'!AL93:AL97,'BAU Fuel Use by Sector'!$AZ$3:$AZ$7)/SUM('BAU Fuel Use by Sector'!$AZ$3:$AZ$7)</f>
        <v>1.3916150665735385E-6</v>
      </c>
      <c r="AM17" s="4">
        <f>SUMPRODUCT('Fuel Price Data'!AM93:AM97,'BAU Fuel Use by Sector'!$AZ$3:$AZ$7)/SUM('BAU Fuel Use by Sector'!$AZ$3:$AZ$7)</f>
        <v>1.3874608274105702E-6</v>
      </c>
      <c r="AN17" s="4">
        <f>SUMPRODUCT('Fuel Price Data'!AN93:AN97,'BAU Fuel Use by Sector'!$AZ$3:$AZ$7)/SUM('BAU Fuel Use by Sector'!$AZ$3:$AZ$7)</f>
        <v>1.3833065882476016E-6</v>
      </c>
      <c r="AO17" s="4">
        <f>SUMPRODUCT('Fuel Price Data'!AO93:AO97,'BAU Fuel Use by Sector'!$AZ$3:$AZ$7)/SUM('BAU Fuel Use by Sector'!$AZ$3:$AZ$7)</f>
        <v>1.3791523490846331E-6</v>
      </c>
      <c r="AP17" s="4">
        <f>SUMPRODUCT('Fuel Price Data'!AP93:AP97,'BAU Fuel Use by Sector'!$AZ$3:$AZ$7)/SUM('BAU Fuel Use by Sector'!$AZ$3:$AZ$7)</f>
        <v>1.3749981099216646E-6</v>
      </c>
      <c r="AQ17" s="4">
        <f>SUMPRODUCT('Fuel Price Data'!AQ93:AQ97,'BAU Fuel Use by Sector'!$AZ$3:$AZ$7)/SUM('BAU Fuel Use by Sector'!$AZ$3:$AZ$7)</f>
        <v>1.3708438707586961E-6</v>
      </c>
      <c r="AR17" s="4">
        <f>SUMPRODUCT('Fuel Price Data'!AR93:AR97,'BAU Fuel Use by Sector'!$AZ$3:$AZ$7)/SUM('BAU Fuel Use by Sector'!$AZ$3:$AZ$7)</f>
        <v>1.3666896315957278E-6</v>
      </c>
      <c r="AS17" s="4">
        <f>SUMPRODUCT('Fuel Price Data'!AS93:AS97,'BAU Fuel Use by Sector'!$AZ$3:$AZ$7)/SUM('BAU Fuel Use by Sector'!$AZ$3:$AZ$7)</f>
        <v>1.3625353924327592E-6</v>
      </c>
      <c r="AT17" s="4">
        <f>SUMPRODUCT('Fuel Price Data'!AT93:AT97,'BAU Fuel Use by Sector'!$AZ$3:$AZ$7)/SUM('BAU Fuel Use by Sector'!$AZ$3:$AZ$7)</f>
        <v>1.3583811532697907E-6</v>
      </c>
      <c r="AU17" s="4">
        <f>SUMPRODUCT('Fuel Price Data'!AU93:AU97,'BAU Fuel Use by Sector'!$AZ$3:$AZ$7)/SUM('BAU Fuel Use by Sector'!$AZ$3:$AZ$7)</f>
        <v>1.3542269141068222E-6</v>
      </c>
      <c r="AV17" s="4">
        <f>SUMPRODUCT('Fuel Price Data'!AV93:AV97,'BAU Fuel Use by Sector'!$AZ$3:$AZ$7)/SUM('BAU Fuel Use by Sector'!$AZ$3:$AZ$7)</f>
        <v>1.3500726749438537E-6</v>
      </c>
      <c r="AW17" s="4">
        <f>SUMPRODUCT('Fuel Price Data'!AW93:AW97,'BAU Fuel Use by Sector'!$AZ$3:$AZ$7)/SUM('BAU Fuel Use by Sector'!$AZ$3:$AZ$7)</f>
        <v>1.3459184357808854E-6</v>
      </c>
      <c r="AX17" s="4">
        <f>SUMPRODUCT('Fuel Price Data'!AX93:AX97,'BAU Fuel Use by Sector'!$AZ$3:$AZ$7)/SUM('BAU Fuel Use by Sector'!$AZ$3:$AZ$7)</f>
        <v>1.341764196617917E-6</v>
      </c>
      <c r="AY17" s="4">
        <f>SUMPRODUCT('Fuel Price Data'!AY93:AY97,'BAU Fuel Use by Sector'!$AZ$3:$AZ$7)/SUM('BAU Fuel Use by Sector'!$AZ$3:$AZ$7)</f>
        <v>1.3376099574549485E-6</v>
      </c>
      <c r="AZ17" s="4">
        <f>SUMPRODUCT('Fuel Price Data'!AZ93:AZ97,'BAU Fuel Use by Sector'!$AZ$3:$AZ$7)/SUM('BAU Fuel Use by Sector'!$AZ$3:$AZ$7)</f>
        <v>1.33345571829198E-6</v>
      </c>
    </row>
    <row r="18" spans="1:52" x14ac:dyDescent="0.25">
      <c r="A18" t="s">
        <v>41</v>
      </c>
      <c r="B18" s="4">
        <f>SUMPRODUCT('Fuel Price Data'!B103:B107,'BAU Fuel Use by Sector'!$BA$3:$BA$7)/SUM('BAU Fuel Use by Sector'!$BA$3:$BA$7)</f>
        <v>5.8032702844488082E-6</v>
      </c>
      <c r="C18" s="4">
        <f>SUMPRODUCT('Fuel Price Data'!C103:C107,'BAU Fuel Use by Sector'!$BA$3:$BA$7)/SUM('BAU Fuel Use by Sector'!$BA$3:$BA$7)</f>
        <v>1.010572034981499E-5</v>
      </c>
      <c r="D18" s="4">
        <f>SUMPRODUCT('Fuel Price Data'!D103:D107,'BAU Fuel Use by Sector'!$BA$3:$BA$7)/SUM('BAU Fuel Use by Sector'!$BA$3:$BA$7)</f>
        <v>1.4548918609468291E-5</v>
      </c>
      <c r="E18" s="4">
        <f>SUMPRODUCT('Fuel Price Data'!E103:E107,'BAU Fuel Use by Sector'!$BA$3:$BA$7)/SUM('BAU Fuel Use by Sector'!$BA$3:$BA$7)</f>
        <v>1.3814064879295553E-5</v>
      </c>
      <c r="F18" s="4">
        <f>SUMPRODUCT('Fuel Price Data'!F103:F107,'BAU Fuel Use by Sector'!$BA$3:$BA$7)/SUM('BAU Fuel Use by Sector'!$BA$3:$BA$7)</f>
        <v>1.3102705815542782E-5</v>
      </c>
      <c r="G18" s="4">
        <f>SUMPRODUCT('Fuel Price Data'!G103:G107,'BAU Fuel Use by Sector'!$BA$3:$BA$7)/SUM('BAU Fuel Use by Sector'!$BA$3:$BA$7)</f>
        <v>1.239134675179001E-5</v>
      </c>
      <c r="H18" s="4">
        <f>SUMPRODUCT('Fuel Price Data'!H103:H107,'BAU Fuel Use by Sector'!$BA$3:$BA$7)/SUM('BAU Fuel Use by Sector'!$BA$3:$BA$7)</f>
        <v>1.1679987688037241E-5</v>
      </c>
      <c r="I18" s="4">
        <f>SUMPRODUCT('Fuel Price Data'!I103:I107,'BAU Fuel Use by Sector'!$BA$3:$BA$7)/SUM('BAU Fuel Use by Sector'!$BA$3:$BA$7)</f>
        <v>1.096862862428447E-5</v>
      </c>
      <c r="J18" s="4">
        <f>SUMPRODUCT('Fuel Price Data'!J103:J107,'BAU Fuel Use by Sector'!$BA$3:$BA$7)/SUM('BAU Fuel Use by Sector'!$BA$3:$BA$7)</f>
        <v>1.0257269560531699E-5</v>
      </c>
      <c r="K18" s="4">
        <f>SUMPRODUCT('Fuel Price Data'!K103:K107,'BAU Fuel Use by Sector'!$BA$3:$BA$7)/SUM('BAU Fuel Use by Sector'!$BA$3:$BA$7)</f>
        <v>1.0408034285260253E-5</v>
      </c>
      <c r="L18" s="4">
        <f>SUMPRODUCT('Fuel Price Data'!L103:L107,'BAU Fuel Use by Sector'!$BA$3:$BA$7)/SUM('BAU Fuel Use by Sector'!$BA$3:$BA$7)</f>
        <v>1.0568057722521E-5</v>
      </c>
      <c r="M18" s="4">
        <f>SUMPRODUCT('Fuel Price Data'!M103:M107,'BAU Fuel Use by Sector'!$BA$3:$BA$7)/SUM('BAU Fuel Use by Sector'!$BA$3:$BA$7)</f>
        <v>1.0789191951557296E-5</v>
      </c>
      <c r="N18" s="4">
        <f>SUMPRODUCT('Fuel Price Data'!N103:N107,'BAU Fuel Use by Sector'!$BA$3:$BA$7)/SUM('BAU Fuel Use by Sector'!$BA$3:$BA$7)</f>
        <v>1.0962604245994597E-5</v>
      </c>
      <c r="O18" s="4">
        <f>SUMPRODUCT('Fuel Price Data'!O103:O107,'BAU Fuel Use by Sector'!$BA$3:$BA$7)/SUM('BAU Fuel Use by Sector'!$BA$3:$BA$7)</f>
        <v>1.1079859048003297E-5</v>
      </c>
      <c r="P18" s="4">
        <f>SUMPRODUCT('Fuel Price Data'!P103:P107,'BAU Fuel Use by Sector'!$BA$3:$BA$7)/SUM('BAU Fuel Use by Sector'!$BA$3:$BA$7)</f>
        <v>1.1139624583353451E-5</v>
      </c>
      <c r="Q18" s="4">
        <f>SUMPRODUCT('Fuel Price Data'!Q103:Q107,'BAU Fuel Use by Sector'!$BA$3:$BA$7)/SUM('BAU Fuel Use by Sector'!$BA$3:$BA$7)</f>
        <v>1.1245470781201217E-5</v>
      </c>
      <c r="R18" s="4">
        <f>SUMPRODUCT('Fuel Price Data'!R103:R107,'BAU Fuel Use by Sector'!$BA$3:$BA$7)/SUM('BAU Fuel Use by Sector'!$BA$3:$BA$7)</f>
        <v>1.1425356603639762E-5</v>
      </c>
      <c r="S18" s="4">
        <f>SUMPRODUCT('Fuel Price Data'!S103:S107,'BAU Fuel Use by Sector'!$BA$3:$BA$7)/SUM('BAU Fuel Use by Sector'!$BA$3:$BA$7)</f>
        <v>1.1557046984922532E-5</v>
      </c>
      <c r="T18" s="4">
        <f>SUMPRODUCT('Fuel Price Data'!T103:T107,'BAU Fuel Use by Sector'!$BA$3:$BA$7)/SUM('BAU Fuel Use by Sector'!$BA$3:$BA$7)</f>
        <v>1.1709809000606015E-5</v>
      </c>
      <c r="U18" s="4">
        <f>SUMPRODUCT('Fuel Price Data'!U103:U107,'BAU Fuel Use by Sector'!$BA$3:$BA$7)/SUM('BAU Fuel Use by Sector'!$BA$3:$BA$7)</f>
        <v>1.1748037247266352E-5</v>
      </c>
      <c r="V18" s="4">
        <f>SUMPRODUCT('Fuel Price Data'!V103:V107,'BAU Fuel Use by Sector'!$BA$3:$BA$7)/SUM('BAU Fuel Use by Sector'!$BA$3:$BA$7)</f>
        <v>1.1971575603617068E-5</v>
      </c>
      <c r="W18" s="4">
        <f>SUMPRODUCT('Fuel Price Data'!W103:W107,'BAU Fuel Use by Sector'!$BA$3:$BA$7)/SUM('BAU Fuel Use by Sector'!$BA$3:$BA$7)</f>
        <v>1.2108322993442573E-5</v>
      </c>
      <c r="X18" s="4">
        <f>SUMPRODUCT('Fuel Price Data'!X103:X107,'BAU Fuel Use by Sector'!$BA$3:$BA$7)/SUM('BAU Fuel Use by Sector'!$BA$3:$BA$7)</f>
        <v>1.2166028123384357E-5</v>
      </c>
      <c r="Y18" s="4">
        <f>SUMPRODUCT('Fuel Price Data'!Y103:Y107,'BAU Fuel Use by Sector'!$BA$3:$BA$7)/SUM('BAU Fuel Use by Sector'!$BA$3:$BA$7)</f>
        <v>1.2377163304386512E-5</v>
      </c>
      <c r="Z18" s="4">
        <f>SUMPRODUCT('Fuel Price Data'!Z103:Z107,'BAU Fuel Use by Sector'!$BA$3:$BA$7)/SUM('BAU Fuel Use by Sector'!$BA$3:$BA$7)</f>
        <v>1.2631320319234431E-5</v>
      </c>
      <c r="AA18" s="4">
        <f>SUMPRODUCT('Fuel Price Data'!AA103:AA107,'BAU Fuel Use by Sector'!$BA$3:$BA$7)/SUM('BAU Fuel Use by Sector'!$BA$3:$BA$7)</f>
        <v>1.2700802369138198E-5</v>
      </c>
      <c r="AB18" s="4">
        <f>SUMPRODUCT('Fuel Price Data'!AB103:AB107,'BAU Fuel Use by Sector'!$BA$3:$BA$7)/SUM('BAU Fuel Use by Sector'!$BA$3:$BA$7)</f>
        <v>1.2885034347660337E-5</v>
      </c>
      <c r="AC18" s="4">
        <f>SUMPRODUCT('Fuel Price Data'!AC103:AC107,'BAU Fuel Use by Sector'!$BA$3:$BA$7)/SUM('BAU Fuel Use by Sector'!$BA$3:$BA$7)</f>
        <v>1.2877523135077211E-5</v>
      </c>
      <c r="AD18" s="4">
        <f>SUMPRODUCT('Fuel Price Data'!AD103:AD107,'BAU Fuel Use by Sector'!$BA$3:$BA$7)/SUM('BAU Fuel Use by Sector'!$BA$3:$BA$7)</f>
        <v>1.2895332818958327E-5</v>
      </c>
      <c r="AE18" s="4">
        <f>SUMPRODUCT('Fuel Price Data'!AE103:AE107,'BAU Fuel Use by Sector'!$BA$3:$BA$7)/SUM('BAU Fuel Use by Sector'!$BA$3:$BA$7)</f>
        <v>1.2940666330778265E-5</v>
      </c>
      <c r="AF18" s="4">
        <f>SUMPRODUCT('Fuel Price Data'!AF103:AF107,'BAU Fuel Use by Sector'!$BA$3:$BA$7)/SUM('BAU Fuel Use by Sector'!$BA$3:$BA$7)</f>
        <v>1.2899894838325157E-5</v>
      </c>
      <c r="AG18" s="4">
        <f>SUMPRODUCT('Fuel Price Data'!AG103:AG107,'BAU Fuel Use by Sector'!$BA$3:$BA$7)/SUM('BAU Fuel Use by Sector'!$BA$3:$BA$7)</f>
        <v>1.2997822325031527E-5</v>
      </c>
      <c r="AH18" s="4">
        <f>SUMPRODUCT('Fuel Price Data'!AH103:AH107,'BAU Fuel Use by Sector'!$BA$3:$BA$7)/SUM('BAU Fuel Use by Sector'!$BA$3:$BA$7)</f>
        <v>1.3095442282746986E-5</v>
      </c>
      <c r="AI18" s="4">
        <f>SUMPRODUCT('Fuel Price Data'!AI103:AI107,'BAU Fuel Use by Sector'!$BA$3:$BA$7)/SUM('BAU Fuel Use by Sector'!$BA$3:$BA$7)</f>
        <v>1.3193062240462445E-5</v>
      </c>
      <c r="AJ18" s="4">
        <f>SUMPRODUCT('Fuel Price Data'!AJ103:AJ107,'BAU Fuel Use by Sector'!$BA$3:$BA$7)/SUM('BAU Fuel Use by Sector'!$BA$3:$BA$7)</f>
        <v>1.3290682198177904E-5</v>
      </c>
      <c r="AK18" s="4">
        <f>SUMPRODUCT('Fuel Price Data'!AK103:AK107,'BAU Fuel Use by Sector'!$BA$3:$BA$7)/SUM('BAU Fuel Use by Sector'!$BA$3:$BA$7)</f>
        <v>1.3388302155893362E-5</v>
      </c>
      <c r="AL18" s="4">
        <f>SUMPRODUCT('Fuel Price Data'!AL103:AL107,'BAU Fuel Use by Sector'!$BA$3:$BA$7)/SUM('BAU Fuel Use by Sector'!$BA$3:$BA$7)</f>
        <v>1.3485922113608822E-5</v>
      </c>
      <c r="AM18" s="4">
        <f>SUMPRODUCT('Fuel Price Data'!AM103:AM107,'BAU Fuel Use by Sector'!$BA$3:$BA$7)/SUM('BAU Fuel Use by Sector'!$BA$3:$BA$7)</f>
        <v>1.358354207132428E-5</v>
      </c>
      <c r="AN18" s="4">
        <f>SUMPRODUCT('Fuel Price Data'!AN103:AN107,'BAU Fuel Use by Sector'!$BA$3:$BA$7)/SUM('BAU Fuel Use by Sector'!$BA$3:$BA$7)</f>
        <v>1.3681162029039738E-5</v>
      </c>
      <c r="AO18" s="4">
        <f>SUMPRODUCT('Fuel Price Data'!AO103:AO107,'BAU Fuel Use by Sector'!$BA$3:$BA$7)/SUM('BAU Fuel Use by Sector'!$BA$3:$BA$7)</f>
        <v>1.3778781986755198E-5</v>
      </c>
      <c r="AP18" s="4">
        <f>SUMPRODUCT('Fuel Price Data'!AP103:AP107,'BAU Fuel Use by Sector'!$BA$3:$BA$7)/SUM('BAU Fuel Use by Sector'!$BA$3:$BA$7)</f>
        <v>1.3876401944470656E-5</v>
      </c>
      <c r="AQ18" s="4">
        <f>SUMPRODUCT('Fuel Price Data'!AQ103:AQ107,'BAU Fuel Use by Sector'!$BA$3:$BA$7)/SUM('BAU Fuel Use by Sector'!$BA$3:$BA$7)</f>
        <v>1.3974021902186115E-5</v>
      </c>
      <c r="AR18" s="4">
        <f>SUMPRODUCT('Fuel Price Data'!AR103:AR107,'BAU Fuel Use by Sector'!$BA$3:$BA$7)/SUM('BAU Fuel Use by Sector'!$BA$3:$BA$7)</f>
        <v>1.4071641859901573E-5</v>
      </c>
      <c r="AS18" s="4">
        <f>SUMPRODUCT('Fuel Price Data'!AS103:AS107,'BAU Fuel Use by Sector'!$BA$3:$BA$7)/SUM('BAU Fuel Use by Sector'!$BA$3:$BA$7)</f>
        <v>1.4169261817617033E-5</v>
      </c>
      <c r="AT18" s="4">
        <f>SUMPRODUCT('Fuel Price Data'!AT103:AT107,'BAU Fuel Use by Sector'!$BA$3:$BA$7)/SUM('BAU Fuel Use by Sector'!$BA$3:$BA$7)</f>
        <v>1.4266881775332491E-5</v>
      </c>
      <c r="AU18" s="4">
        <f>SUMPRODUCT('Fuel Price Data'!AU103:AU107,'BAU Fuel Use by Sector'!$BA$3:$BA$7)/SUM('BAU Fuel Use by Sector'!$BA$3:$BA$7)</f>
        <v>1.4364501733047951E-5</v>
      </c>
      <c r="AV18" s="4">
        <f>SUMPRODUCT('Fuel Price Data'!AV103:AV107,'BAU Fuel Use by Sector'!$BA$3:$BA$7)/SUM('BAU Fuel Use by Sector'!$BA$3:$BA$7)</f>
        <v>1.4462121690763409E-5</v>
      </c>
      <c r="AW18" s="4">
        <f>SUMPRODUCT('Fuel Price Data'!AW103:AW107,'BAU Fuel Use by Sector'!$BA$3:$BA$7)/SUM('BAU Fuel Use by Sector'!$BA$3:$BA$7)</f>
        <v>1.4559741648478868E-5</v>
      </c>
      <c r="AX18" s="4">
        <f>SUMPRODUCT('Fuel Price Data'!AX103:AX107,'BAU Fuel Use by Sector'!$BA$3:$BA$7)/SUM('BAU Fuel Use by Sector'!$BA$3:$BA$7)</f>
        <v>1.4657361606194326E-5</v>
      </c>
      <c r="AY18" s="4">
        <f>SUMPRODUCT('Fuel Price Data'!AY103:AY107,'BAU Fuel Use by Sector'!$BA$3:$BA$7)/SUM('BAU Fuel Use by Sector'!$BA$3:$BA$7)</f>
        <v>1.4754981563909786E-5</v>
      </c>
      <c r="AZ18" s="4">
        <f>SUMPRODUCT('Fuel Price Data'!AZ103:AZ107,'BAU Fuel Use by Sector'!$BA$3:$BA$7)/SUM('BAU Fuel Use by Sector'!$BA$3:$BA$7)</f>
        <v>1.4852601521625244E-5</v>
      </c>
    </row>
    <row r="19" spans="1:52" x14ac:dyDescent="0.25">
      <c r="A19" t="s">
        <v>42</v>
      </c>
      <c r="B19" s="4">
        <f>'Fuel Price Data'!B113</f>
        <v>1.4927235207542256E-5</v>
      </c>
      <c r="C19" s="4">
        <f>'Fuel Price Data'!C113</f>
        <v>1.835315804206015E-5</v>
      </c>
      <c r="D19" s="4">
        <f>'Fuel Price Data'!D113</f>
        <v>2.6795610741407819E-5</v>
      </c>
      <c r="E19" s="4">
        <f>'Fuel Price Data'!E113</f>
        <v>2.3369687906889925E-5</v>
      </c>
      <c r="F19" s="4">
        <f>'Fuel Price Data'!F113</f>
        <v>2.117401763410256E-5</v>
      </c>
      <c r="G19" s="4">
        <f>'Fuel Price Data'!G113</f>
        <v>1.8978347361315195E-5</v>
      </c>
      <c r="H19" s="4">
        <f>'Fuel Price Data'!H113</f>
        <v>1.678267708852783E-5</v>
      </c>
      <c r="I19" s="4">
        <f>'Fuel Price Data'!I113</f>
        <v>1.4587006815740463E-5</v>
      </c>
      <c r="J19" s="4">
        <f>'Fuel Price Data'!J113</f>
        <v>1.2391336542953093E-5</v>
      </c>
      <c r="K19" s="4">
        <f>'Fuel Price Data'!K113</f>
        <v>1.2477675986456064E-5</v>
      </c>
      <c r="L19" s="4">
        <f>'Fuel Price Data'!L113</f>
        <v>1.2579748173037605E-5</v>
      </c>
      <c r="M19" s="4">
        <f>'Fuel Price Data'!M113</f>
        <v>1.2772463260796397E-5</v>
      </c>
      <c r="N19" s="4">
        <f>'Fuel Price Data'!N113</f>
        <v>1.2863922115850461E-5</v>
      </c>
      <c r="O19" s="4">
        <f>'Fuel Price Data'!O113</f>
        <v>1.2974373292969698E-5</v>
      </c>
      <c r="P19" s="4">
        <f>'Fuel Price Data'!P113</f>
        <v>1.2986282999815475E-5</v>
      </c>
      <c r="Q19" s="4">
        <f>'Fuel Price Data'!Q113</f>
        <v>1.3015132858124513E-5</v>
      </c>
      <c r="R19" s="4">
        <f>'Fuel Price Data'!R113</f>
        <v>1.3002682571244048E-5</v>
      </c>
      <c r="S19" s="4">
        <f>'Fuel Price Data'!S113</f>
        <v>1.3031510399645716E-5</v>
      </c>
      <c r="T19" s="4">
        <f>'Fuel Price Data'!T113</f>
        <v>1.3191422955330845E-5</v>
      </c>
      <c r="U19" s="4">
        <f>'Fuel Price Data'!U113</f>
        <v>1.3147735107104103E-5</v>
      </c>
      <c r="V19" s="4">
        <f>'Fuel Price Data'!V113</f>
        <v>1.3424564617721518E-5</v>
      </c>
      <c r="W19" s="4">
        <f>'Fuel Price Data'!W113</f>
        <v>1.3535538581488725E-5</v>
      </c>
      <c r="X19" s="4">
        <f>'Fuel Price Data'!X113</f>
        <v>1.360756621093848E-5</v>
      </c>
      <c r="Y19" s="4">
        <f>'Fuel Price Data'!Y113</f>
        <v>1.3866842969206922E-5</v>
      </c>
      <c r="Z19" s="4">
        <f>'Fuel Price Data'!Z113</f>
        <v>1.4050525794944086E-5</v>
      </c>
      <c r="AA19" s="4">
        <f>'Fuel Price Data'!AA113</f>
        <v>1.413115017209285E-5</v>
      </c>
      <c r="AB19" s="4">
        <f>'Fuel Price Data'!AB113</f>
        <v>1.4257588283529538E-5</v>
      </c>
      <c r="AC19" s="4">
        <f>'Fuel Price Data'!AC113</f>
        <v>1.4303693490438054E-5</v>
      </c>
      <c r="AD19" s="4">
        <f>'Fuel Price Data'!AD113</f>
        <v>1.427933264940768E-5</v>
      </c>
      <c r="AE19" s="4">
        <f>'Fuel Price Data'!AE113</f>
        <v>1.4307708017404141E-5</v>
      </c>
      <c r="AF19" s="4">
        <f>'Fuel Price Data'!AF113</f>
        <v>1.4275271520714466E-5</v>
      </c>
      <c r="AG19" s="4">
        <f>'Fuel Price Data'!AG113</f>
        <v>1.4553254224291295E-5</v>
      </c>
      <c r="AH19" s="4">
        <f>'Fuel Price Data'!AH113</f>
        <v>1.4647116840562957E-5</v>
      </c>
      <c r="AI19" s="4">
        <f>'Fuel Price Data'!AI113</f>
        <v>1.4740979456834617E-5</v>
      </c>
      <c r="AJ19" s="4">
        <f>'Fuel Price Data'!AJ113</f>
        <v>1.4834842073106279E-5</v>
      </c>
      <c r="AK19" s="4">
        <f>'Fuel Price Data'!AK113</f>
        <v>1.4928704689377941E-5</v>
      </c>
      <c r="AL19" s="4">
        <f>'Fuel Price Data'!AL113</f>
        <v>1.5022567305649603E-5</v>
      </c>
      <c r="AM19" s="4">
        <f>'Fuel Price Data'!AM113</f>
        <v>1.5116429921921264E-5</v>
      </c>
      <c r="AN19" s="4">
        <f>'Fuel Price Data'!AN113</f>
        <v>1.5210292538192926E-5</v>
      </c>
      <c r="AO19" s="4">
        <f>'Fuel Price Data'!AO113</f>
        <v>1.5304155154464588E-5</v>
      </c>
      <c r="AP19" s="4">
        <f>'Fuel Price Data'!AP113</f>
        <v>1.5398017770736248E-5</v>
      </c>
      <c r="AQ19" s="4">
        <f>'Fuel Price Data'!AQ113</f>
        <v>1.5491880387007912E-5</v>
      </c>
      <c r="AR19" s="4">
        <f>'Fuel Price Data'!AR113</f>
        <v>1.5585743003279572E-5</v>
      </c>
      <c r="AS19" s="4">
        <f>'Fuel Price Data'!AS113</f>
        <v>1.5679605619551236E-5</v>
      </c>
      <c r="AT19" s="4">
        <f>'Fuel Price Data'!AT113</f>
        <v>1.5773468235822897E-5</v>
      </c>
      <c r="AU19" s="4">
        <f>'Fuel Price Data'!AU113</f>
        <v>1.5867330852094557E-5</v>
      </c>
      <c r="AV19" s="4">
        <f>'Fuel Price Data'!AV113</f>
        <v>1.5961193468366221E-5</v>
      </c>
      <c r="AW19" s="4">
        <f>'Fuel Price Data'!AW113</f>
        <v>1.6055056084637881E-5</v>
      </c>
      <c r="AX19" s="4">
        <f>'Fuel Price Data'!AX113</f>
        <v>1.6148918700909542E-5</v>
      </c>
      <c r="AY19" s="4">
        <f>'Fuel Price Data'!AY113</f>
        <v>1.6242781317181205E-5</v>
      </c>
      <c r="AZ19" s="4">
        <f>'Fuel Price Data'!AZ113</f>
        <v>1.6336643933452866E-5</v>
      </c>
    </row>
    <row r="20" spans="1:52" x14ac:dyDescent="0.25">
      <c r="A20" t="s">
        <v>43</v>
      </c>
      <c r="B20" s="4">
        <f>SUMPRODUCT('Fuel Price Data'!B123:B127,'BAU Fuel Use by Sector'!$BC$3:$BC$7)/SUM('BAU Fuel Use by Sector'!$BC$3:$BC$7)</f>
        <v>8.9906755951749935E-6</v>
      </c>
      <c r="C20" s="4">
        <f>SUMPRODUCT('Fuel Price Data'!C123:C127,'BAU Fuel Use by Sector'!$BC$3:$BC$7)/SUM('BAU Fuel Use by Sector'!$BC$3:$BC$7)</f>
        <v>1.3425371358507158E-5</v>
      </c>
      <c r="D20" s="4">
        <f>SUMPRODUCT('Fuel Price Data'!D123:D127,'BAU Fuel Use by Sector'!$BC$3:$BC$7)/SUM('BAU Fuel Use by Sector'!$BC$3:$BC$7)</f>
        <v>1.4285977998339471E-5</v>
      </c>
      <c r="E20" s="4">
        <f>SUMPRODUCT('Fuel Price Data'!E123:E127,'BAU Fuel Use by Sector'!$BC$3:$BC$7)/SUM('BAU Fuel Use by Sector'!$BC$3:$BC$7)</f>
        <v>1.3032373867499852E-5</v>
      </c>
      <c r="F20" s="4">
        <f>SUMPRODUCT('Fuel Price Data'!F123:F127,'BAU Fuel Use by Sector'!$BC$3:$BC$7)/SUM('BAU Fuel Use by Sector'!$BC$3:$BC$7)</f>
        <v>1.3018596003876792E-5</v>
      </c>
      <c r="G20" s="4">
        <f>SUMPRODUCT('Fuel Price Data'!G123:G127,'BAU Fuel Use by Sector'!$BC$3:$BC$7)/SUM('BAU Fuel Use by Sector'!$BC$3:$BC$7)</f>
        <v>1.2925747947487252E-5</v>
      </c>
      <c r="H20" s="4">
        <f>SUMPRODUCT('Fuel Price Data'!H123:H127,'BAU Fuel Use by Sector'!$BC$3:$BC$7)/SUM('BAU Fuel Use by Sector'!$BC$3:$BC$7)</f>
        <v>1.3040970467583861E-5</v>
      </c>
      <c r="I20" s="4">
        <f>SUMPRODUCT('Fuel Price Data'!I123:I127,'BAU Fuel Use by Sector'!$BC$3:$BC$7)/SUM('BAU Fuel Use by Sector'!$BC$3:$BC$7)</f>
        <v>1.3370528201193539E-5</v>
      </c>
      <c r="J20" s="4">
        <f>SUMPRODUCT('Fuel Price Data'!J123:J127,'BAU Fuel Use by Sector'!$BC$3:$BC$7)/SUM('BAU Fuel Use by Sector'!$BC$3:$BC$7)</f>
        <v>1.3841616745687055E-5</v>
      </c>
      <c r="K20" s="4">
        <f>SUMPRODUCT('Fuel Price Data'!K123:K127,'BAU Fuel Use by Sector'!$BC$3:$BC$7)/SUM('BAU Fuel Use by Sector'!$BC$3:$BC$7)</f>
        <v>1.4176268046573859E-5</v>
      </c>
      <c r="L20" s="4">
        <f>SUMPRODUCT('Fuel Price Data'!L123:L127,'BAU Fuel Use by Sector'!$BC$3:$BC$7)/SUM('BAU Fuel Use by Sector'!$BC$3:$BC$7)</f>
        <v>1.4526845458335289E-5</v>
      </c>
      <c r="M20" s="4">
        <f>SUMPRODUCT('Fuel Price Data'!M123:M127,'BAU Fuel Use by Sector'!$BC$3:$BC$7)/SUM('BAU Fuel Use by Sector'!$BC$3:$BC$7)</f>
        <v>1.490654523876997E-5</v>
      </c>
      <c r="N20" s="4">
        <f>SUMPRODUCT('Fuel Price Data'!N123:N127,'BAU Fuel Use by Sector'!$BC$3:$BC$7)/SUM('BAU Fuel Use by Sector'!$BC$3:$BC$7)</f>
        <v>1.5173419005679896E-5</v>
      </c>
      <c r="O20" s="4">
        <f>SUMPRODUCT('Fuel Price Data'!O123:O127,'BAU Fuel Use by Sector'!$BC$3:$BC$7)/SUM('BAU Fuel Use by Sector'!$BC$3:$BC$7)</f>
        <v>1.5437536248051658E-5</v>
      </c>
      <c r="P20" s="4">
        <f>SUMPRODUCT('Fuel Price Data'!P123:P127,'BAU Fuel Use by Sector'!$BC$3:$BC$7)/SUM('BAU Fuel Use by Sector'!$BC$3:$BC$7)</f>
        <v>1.5602624661703302E-5</v>
      </c>
      <c r="Q20" s="4">
        <f>SUMPRODUCT('Fuel Price Data'!Q123:Q127,'BAU Fuel Use by Sector'!$BC$3:$BC$7)/SUM('BAU Fuel Use by Sector'!$BC$3:$BC$7)</f>
        <v>1.5717943275531373E-5</v>
      </c>
      <c r="R20" s="4">
        <f>SUMPRODUCT('Fuel Price Data'!R123:R127,'BAU Fuel Use by Sector'!$BC$3:$BC$7)/SUM('BAU Fuel Use by Sector'!$BC$3:$BC$7)</f>
        <v>1.5861663051877159E-5</v>
      </c>
      <c r="S20" s="4">
        <f>SUMPRODUCT('Fuel Price Data'!S123:S127,'BAU Fuel Use by Sector'!$BC$3:$BC$7)/SUM('BAU Fuel Use by Sector'!$BC$3:$BC$7)</f>
        <v>1.6040142460657585E-5</v>
      </c>
      <c r="T20" s="4">
        <f>SUMPRODUCT('Fuel Price Data'!T123:T127,'BAU Fuel Use by Sector'!$BC$3:$BC$7)/SUM('BAU Fuel Use by Sector'!$BC$3:$BC$7)</f>
        <v>1.6206648383869971E-5</v>
      </c>
      <c r="U20" s="4">
        <f>SUMPRODUCT('Fuel Price Data'!U123:U127,'BAU Fuel Use by Sector'!$BC$3:$BC$7)/SUM('BAU Fuel Use by Sector'!$BC$3:$BC$7)</f>
        <v>1.6298049671605047E-5</v>
      </c>
      <c r="V20" s="4">
        <f>SUMPRODUCT('Fuel Price Data'!V123:V127,'BAU Fuel Use by Sector'!$BC$3:$BC$7)/SUM('BAU Fuel Use by Sector'!$BC$3:$BC$7)</f>
        <v>1.6552708574517905E-5</v>
      </c>
      <c r="W20" s="4">
        <f>SUMPRODUCT('Fuel Price Data'!W123:W127,'BAU Fuel Use by Sector'!$BC$3:$BC$7)/SUM('BAU Fuel Use by Sector'!$BC$3:$BC$7)</f>
        <v>1.6717440760062304E-5</v>
      </c>
      <c r="X20" s="4">
        <f>SUMPRODUCT('Fuel Price Data'!X123:X127,'BAU Fuel Use by Sector'!$BC$3:$BC$7)/SUM('BAU Fuel Use by Sector'!$BC$3:$BC$7)</f>
        <v>1.6750250148612088E-5</v>
      </c>
      <c r="Y20" s="4">
        <f>SUMPRODUCT('Fuel Price Data'!Y123:Y127,'BAU Fuel Use by Sector'!$BC$3:$BC$7)/SUM('BAU Fuel Use by Sector'!$BC$3:$BC$7)</f>
        <v>1.6912143905745247E-5</v>
      </c>
      <c r="Z20" s="4">
        <f>SUMPRODUCT('Fuel Price Data'!Z123:Z127,'BAU Fuel Use by Sector'!$BC$3:$BC$7)/SUM('BAU Fuel Use by Sector'!$BC$3:$BC$7)</f>
        <v>1.710860516936325E-5</v>
      </c>
      <c r="AA20" s="4">
        <f>SUMPRODUCT('Fuel Price Data'!AA123:AA127,'BAU Fuel Use by Sector'!$BC$3:$BC$7)/SUM('BAU Fuel Use by Sector'!$BC$3:$BC$7)</f>
        <v>1.7153946625755125E-5</v>
      </c>
      <c r="AB20" s="4">
        <f>SUMPRODUCT('Fuel Price Data'!AB123:AB127,'BAU Fuel Use by Sector'!$BC$3:$BC$7)/SUM('BAU Fuel Use by Sector'!$BC$3:$BC$7)</f>
        <v>1.7254979305362424E-5</v>
      </c>
      <c r="AC20" s="4">
        <f>SUMPRODUCT('Fuel Price Data'!AC123:AC127,'BAU Fuel Use by Sector'!$BC$3:$BC$7)/SUM('BAU Fuel Use by Sector'!$BC$3:$BC$7)</f>
        <v>1.7326387817029412E-5</v>
      </c>
      <c r="AD20" s="4">
        <f>SUMPRODUCT('Fuel Price Data'!AD123:AD127,'BAU Fuel Use by Sector'!$BC$3:$BC$7)/SUM('BAU Fuel Use by Sector'!$BC$3:$BC$7)</f>
        <v>1.7366386206428318E-5</v>
      </c>
      <c r="AE20" s="4">
        <f>SUMPRODUCT('Fuel Price Data'!AE123:AE127,'BAU Fuel Use by Sector'!$BC$3:$BC$7)/SUM('BAU Fuel Use by Sector'!$BC$3:$BC$7)</f>
        <v>1.7354879304465706E-5</v>
      </c>
      <c r="AF20" s="4">
        <f>SUMPRODUCT('Fuel Price Data'!AF123:AF127,'BAU Fuel Use by Sector'!$BC$3:$BC$7)/SUM('BAU Fuel Use by Sector'!$BC$3:$BC$7)</f>
        <v>1.7336630480860704E-5</v>
      </c>
      <c r="AG20" s="4">
        <f>SUMPRODUCT('Fuel Price Data'!AG123:AG127,'BAU Fuel Use by Sector'!$BC$3:$BC$7)/SUM('BAU Fuel Use by Sector'!$BC$3:$BC$7)</f>
        <v>1.7477371460665889E-5</v>
      </c>
      <c r="AH20" s="4">
        <f>SUMPRODUCT('Fuel Price Data'!AH123:AH127,'BAU Fuel Use by Sector'!$BC$3:$BC$7)/SUM('BAU Fuel Use by Sector'!$BC$3:$BC$7)</f>
        <v>1.7532024738674458E-5</v>
      </c>
      <c r="AI20" s="4">
        <f>SUMPRODUCT('Fuel Price Data'!AI123:AI127,'BAU Fuel Use by Sector'!$BC$3:$BC$7)/SUM('BAU Fuel Use by Sector'!$BC$3:$BC$7)</f>
        <v>1.7586678016683024E-5</v>
      </c>
      <c r="AJ20" s="4">
        <f>SUMPRODUCT('Fuel Price Data'!AJ123:AJ127,'BAU Fuel Use by Sector'!$BC$3:$BC$7)/SUM('BAU Fuel Use by Sector'!$BC$3:$BC$7)</f>
        <v>1.7641331294691593E-5</v>
      </c>
      <c r="AK20" s="4">
        <f>SUMPRODUCT('Fuel Price Data'!AK123:AK127,'BAU Fuel Use by Sector'!$BC$3:$BC$7)/SUM('BAU Fuel Use by Sector'!$BC$3:$BC$7)</f>
        <v>1.7695984572700159E-5</v>
      </c>
      <c r="AL20" s="4">
        <f>SUMPRODUCT('Fuel Price Data'!AL123:AL127,'BAU Fuel Use by Sector'!$BC$3:$BC$7)/SUM('BAU Fuel Use by Sector'!$BC$3:$BC$7)</f>
        <v>1.7750637850708728E-5</v>
      </c>
      <c r="AM20" s="4">
        <f>SUMPRODUCT('Fuel Price Data'!AM123:AM127,'BAU Fuel Use by Sector'!$BC$3:$BC$7)/SUM('BAU Fuel Use by Sector'!$BC$3:$BC$7)</f>
        <v>1.7805291128717298E-5</v>
      </c>
      <c r="AN20" s="4">
        <f>SUMPRODUCT('Fuel Price Data'!AN123:AN127,'BAU Fuel Use by Sector'!$BC$3:$BC$7)/SUM('BAU Fuel Use by Sector'!$BC$3:$BC$7)</f>
        <v>1.7859944406725867E-5</v>
      </c>
      <c r="AO20" s="4">
        <f>SUMPRODUCT('Fuel Price Data'!AO123:AO127,'BAU Fuel Use by Sector'!$BC$3:$BC$7)/SUM('BAU Fuel Use by Sector'!$BC$3:$BC$7)</f>
        <v>1.7914597684734439E-5</v>
      </c>
      <c r="AP20" s="4">
        <f>SUMPRODUCT('Fuel Price Data'!AP123:AP127,'BAU Fuel Use by Sector'!$BC$3:$BC$7)/SUM('BAU Fuel Use by Sector'!$BC$3:$BC$7)</f>
        <v>1.7969250962743005E-5</v>
      </c>
      <c r="AQ20" s="4">
        <f>SUMPRODUCT('Fuel Price Data'!AQ123:AQ127,'BAU Fuel Use by Sector'!$BC$3:$BC$7)/SUM('BAU Fuel Use by Sector'!$BC$3:$BC$7)</f>
        <v>1.8023904240751571E-5</v>
      </c>
      <c r="AR20" s="4">
        <f>SUMPRODUCT('Fuel Price Data'!AR123:AR127,'BAU Fuel Use by Sector'!$BC$3:$BC$7)/SUM('BAU Fuel Use by Sector'!$BC$3:$BC$7)</f>
        <v>1.8078557518760144E-5</v>
      </c>
      <c r="AS20" s="4">
        <f>SUMPRODUCT('Fuel Price Data'!AS123:AS127,'BAU Fuel Use by Sector'!$BC$3:$BC$7)/SUM('BAU Fuel Use by Sector'!$BC$3:$BC$7)</f>
        <v>1.8133210796768713E-5</v>
      </c>
      <c r="AT20" s="4">
        <f>SUMPRODUCT('Fuel Price Data'!AT123:AT127,'BAU Fuel Use by Sector'!$BC$3:$BC$7)/SUM('BAU Fuel Use by Sector'!$BC$3:$BC$7)</f>
        <v>1.8187864074777279E-5</v>
      </c>
      <c r="AU20" s="4">
        <f>SUMPRODUCT('Fuel Price Data'!AU123:AU127,'BAU Fuel Use by Sector'!$BC$3:$BC$7)/SUM('BAU Fuel Use by Sector'!$BC$3:$BC$7)</f>
        <v>1.8242517352785848E-5</v>
      </c>
      <c r="AV20" s="4">
        <f>SUMPRODUCT('Fuel Price Data'!AV123:AV127,'BAU Fuel Use by Sector'!$BC$3:$BC$7)/SUM('BAU Fuel Use by Sector'!$BC$3:$BC$7)</f>
        <v>1.8297170630794421E-5</v>
      </c>
      <c r="AW20" s="4">
        <f>SUMPRODUCT('Fuel Price Data'!AW123:AW127,'BAU Fuel Use by Sector'!$BC$3:$BC$7)/SUM('BAU Fuel Use by Sector'!$BC$3:$BC$7)</f>
        <v>1.8351823908802986E-5</v>
      </c>
      <c r="AX20" s="4">
        <f>SUMPRODUCT('Fuel Price Data'!AX123:AX127,'BAU Fuel Use by Sector'!$BC$3:$BC$7)/SUM('BAU Fuel Use by Sector'!$BC$3:$BC$7)</f>
        <v>1.8406477186811552E-5</v>
      </c>
      <c r="AY20" s="4">
        <f>SUMPRODUCT('Fuel Price Data'!AY123:AY127,'BAU Fuel Use by Sector'!$BC$3:$BC$7)/SUM('BAU Fuel Use by Sector'!$BC$3:$BC$7)</f>
        <v>1.8461130464820125E-5</v>
      </c>
      <c r="AZ20" s="4">
        <f>SUMPRODUCT('Fuel Price Data'!AZ123:AZ127,'BAU Fuel Use by Sector'!$BC$3:$BC$7)/SUM('BAU Fuel Use by Sector'!$BC$3:$BC$7)</f>
        <v>1.8515783742828694E-5</v>
      </c>
    </row>
    <row r="21" spans="1:52" x14ac:dyDescent="0.25">
      <c r="A21" t="s">
        <v>44</v>
      </c>
      <c r="B21">
        <f>SUMPRODUCT('Fuel Price Data'!B133:B137,'BAU Fuel Use by Sector'!$BD$3:$BD$7)/SUM('BAU Fuel Use by Sector'!$BD$3:$BD$7)</f>
        <v>0</v>
      </c>
      <c r="C21">
        <f>SUMPRODUCT('Fuel Price Data'!C133:C137,'BAU Fuel Use by Sector'!$BD$3:$BD$7)/SUM('BAU Fuel Use by Sector'!$BD$3:$BD$7)</f>
        <v>0</v>
      </c>
      <c r="D21">
        <f>SUMPRODUCT('Fuel Price Data'!D133:D137,'BAU Fuel Use by Sector'!$BD$3:$BD$7)/SUM('BAU Fuel Use by Sector'!$BD$3:$BD$7)</f>
        <v>0</v>
      </c>
      <c r="E21">
        <f>SUMPRODUCT('Fuel Price Data'!E133:E137,'BAU Fuel Use by Sector'!$BD$3:$BD$7)/SUM('BAU Fuel Use by Sector'!$BD$3:$BD$7)</f>
        <v>0</v>
      </c>
      <c r="F21">
        <f>SUMPRODUCT('Fuel Price Data'!F133:F137,'BAU Fuel Use by Sector'!$BD$3:$BD$7)/SUM('BAU Fuel Use by Sector'!$BD$3:$BD$7)</f>
        <v>0</v>
      </c>
      <c r="G21">
        <f>SUMPRODUCT('Fuel Price Data'!G133:G137,'BAU Fuel Use by Sector'!$BD$3:$BD$7)/SUM('BAU Fuel Use by Sector'!$BD$3:$BD$7)</f>
        <v>0</v>
      </c>
      <c r="H21">
        <f>SUMPRODUCT('Fuel Price Data'!H133:H137,'BAU Fuel Use by Sector'!$BD$3:$BD$7)/SUM('BAU Fuel Use by Sector'!$BD$3:$BD$7)</f>
        <v>0</v>
      </c>
      <c r="I21">
        <f>SUMPRODUCT('Fuel Price Data'!I133:I137,'BAU Fuel Use by Sector'!$BD$3:$BD$7)/SUM('BAU Fuel Use by Sector'!$BD$3:$BD$7)</f>
        <v>0</v>
      </c>
      <c r="J21">
        <f>SUMPRODUCT('Fuel Price Data'!J133:J137,'BAU Fuel Use by Sector'!$BD$3:$BD$7)/SUM('BAU Fuel Use by Sector'!$BD$3:$BD$7)</f>
        <v>0</v>
      </c>
      <c r="K21">
        <f>SUMPRODUCT('Fuel Price Data'!K133:K137,'BAU Fuel Use by Sector'!$BD$3:$BD$7)/SUM('BAU Fuel Use by Sector'!$BD$3:$BD$7)</f>
        <v>0</v>
      </c>
      <c r="L21">
        <f>SUMPRODUCT('Fuel Price Data'!L133:L137,'BAU Fuel Use by Sector'!$BD$3:$BD$7)/SUM('BAU Fuel Use by Sector'!$BD$3:$BD$7)</f>
        <v>0</v>
      </c>
      <c r="M21">
        <f>SUMPRODUCT('Fuel Price Data'!M133:M137,'BAU Fuel Use by Sector'!$BD$3:$BD$7)/SUM('BAU Fuel Use by Sector'!$BD$3:$BD$7)</f>
        <v>0</v>
      </c>
      <c r="N21">
        <f>SUMPRODUCT('Fuel Price Data'!N133:N137,'BAU Fuel Use by Sector'!$BD$3:$BD$7)/SUM('BAU Fuel Use by Sector'!$BD$3:$BD$7)</f>
        <v>0</v>
      </c>
      <c r="O21">
        <f>SUMPRODUCT('Fuel Price Data'!O133:O137,'BAU Fuel Use by Sector'!$BD$3:$BD$7)/SUM('BAU Fuel Use by Sector'!$BD$3:$BD$7)</f>
        <v>0</v>
      </c>
      <c r="P21">
        <f>SUMPRODUCT('Fuel Price Data'!P133:P137,'BAU Fuel Use by Sector'!$BD$3:$BD$7)/SUM('BAU Fuel Use by Sector'!$BD$3:$BD$7)</f>
        <v>0</v>
      </c>
      <c r="Q21">
        <f>SUMPRODUCT('Fuel Price Data'!Q133:Q137,'BAU Fuel Use by Sector'!$BD$3:$BD$7)/SUM('BAU Fuel Use by Sector'!$BD$3:$BD$7)</f>
        <v>0</v>
      </c>
      <c r="R21">
        <f>SUMPRODUCT('Fuel Price Data'!R133:R137,'BAU Fuel Use by Sector'!$BD$3:$BD$7)/SUM('BAU Fuel Use by Sector'!$BD$3:$BD$7)</f>
        <v>0</v>
      </c>
      <c r="S21">
        <f>SUMPRODUCT('Fuel Price Data'!S133:S137,'BAU Fuel Use by Sector'!$BD$3:$BD$7)/SUM('BAU Fuel Use by Sector'!$BD$3:$BD$7)</f>
        <v>0</v>
      </c>
      <c r="T21">
        <f>SUMPRODUCT('Fuel Price Data'!T133:T137,'BAU Fuel Use by Sector'!$BD$3:$BD$7)/SUM('BAU Fuel Use by Sector'!$BD$3:$BD$7)</f>
        <v>0</v>
      </c>
      <c r="U21">
        <f>SUMPRODUCT('Fuel Price Data'!U133:U137,'BAU Fuel Use by Sector'!$BD$3:$BD$7)/SUM('BAU Fuel Use by Sector'!$BD$3:$BD$7)</f>
        <v>0</v>
      </c>
      <c r="V21">
        <f>SUMPRODUCT('Fuel Price Data'!V133:V137,'BAU Fuel Use by Sector'!$BD$3:$BD$7)/SUM('BAU Fuel Use by Sector'!$BD$3:$BD$7)</f>
        <v>0</v>
      </c>
      <c r="W21">
        <f>SUMPRODUCT('Fuel Price Data'!W133:W137,'BAU Fuel Use by Sector'!$BD$3:$BD$7)/SUM('BAU Fuel Use by Sector'!$BD$3:$BD$7)</f>
        <v>0</v>
      </c>
      <c r="X21">
        <f>SUMPRODUCT('Fuel Price Data'!X133:X137,'BAU Fuel Use by Sector'!$BD$3:$BD$7)/SUM('BAU Fuel Use by Sector'!$BD$3:$BD$7)</f>
        <v>0</v>
      </c>
      <c r="Y21">
        <f>SUMPRODUCT('Fuel Price Data'!Y133:Y137,'BAU Fuel Use by Sector'!$BD$3:$BD$7)/SUM('BAU Fuel Use by Sector'!$BD$3:$BD$7)</f>
        <v>0</v>
      </c>
      <c r="Z21">
        <f>SUMPRODUCT('Fuel Price Data'!Z133:Z137,'BAU Fuel Use by Sector'!$BD$3:$BD$7)/SUM('BAU Fuel Use by Sector'!$BD$3:$BD$7)</f>
        <v>0</v>
      </c>
      <c r="AA21">
        <f>SUMPRODUCT('Fuel Price Data'!AA133:AA137,'BAU Fuel Use by Sector'!$BD$3:$BD$7)/SUM('BAU Fuel Use by Sector'!$BD$3:$BD$7)</f>
        <v>0</v>
      </c>
      <c r="AB21">
        <f>SUMPRODUCT('Fuel Price Data'!AB133:AB137,'BAU Fuel Use by Sector'!$BD$3:$BD$7)/SUM('BAU Fuel Use by Sector'!$BD$3:$BD$7)</f>
        <v>0</v>
      </c>
      <c r="AC21">
        <f>SUMPRODUCT('Fuel Price Data'!AC133:AC137,'BAU Fuel Use by Sector'!$BD$3:$BD$7)/SUM('BAU Fuel Use by Sector'!$BD$3:$BD$7)</f>
        <v>0</v>
      </c>
      <c r="AD21">
        <f>SUMPRODUCT('Fuel Price Data'!AD133:AD137,'BAU Fuel Use by Sector'!$BD$3:$BD$7)/SUM('BAU Fuel Use by Sector'!$BD$3:$BD$7)</f>
        <v>0</v>
      </c>
      <c r="AE21">
        <f>SUMPRODUCT('Fuel Price Data'!AE133:AE137,'BAU Fuel Use by Sector'!$BD$3:$BD$7)/SUM('BAU Fuel Use by Sector'!$BD$3:$BD$7)</f>
        <v>0</v>
      </c>
      <c r="AF21">
        <f>SUMPRODUCT('Fuel Price Data'!AF133:AF137,'BAU Fuel Use by Sector'!$BD$3:$BD$7)/SUM('BAU Fuel Use by Sector'!$BD$3:$BD$7)</f>
        <v>0</v>
      </c>
      <c r="AG21">
        <f>SUMPRODUCT('Fuel Price Data'!AG133:AG137,'BAU Fuel Use by Sector'!$BD$3:$BD$7)/SUM('BAU Fuel Use by Sector'!$BD$3:$BD$7)</f>
        <v>0</v>
      </c>
      <c r="AH21">
        <f>SUMPRODUCT('Fuel Price Data'!AH133:AH137,'BAU Fuel Use by Sector'!$BD$3:$BD$7)/SUM('BAU Fuel Use by Sector'!$BD$3:$BD$7)</f>
        <v>0</v>
      </c>
      <c r="AI21">
        <f>SUMPRODUCT('Fuel Price Data'!AI133:AI137,'BAU Fuel Use by Sector'!$BD$3:$BD$7)/SUM('BAU Fuel Use by Sector'!$BD$3:$BD$7)</f>
        <v>0</v>
      </c>
      <c r="AJ21">
        <f>SUMPRODUCT('Fuel Price Data'!AJ133:AJ137,'BAU Fuel Use by Sector'!$BD$3:$BD$7)/SUM('BAU Fuel Use by Sector'!$BD$3:$BD$7)</f>
        <v>0</v>
      </c>
      <c r="AK21">
        <f>SUMPRODUCT('Fuel Price Data'!AK133:AK137,'BAU Fuel Use by Sector'!$BD$3:$BD$7)/SUM('BAU Fuel Use by Sector'!$BD$3:$BD$7)</f>
        <v>0</v>
      </c>
      <c r="AL21">
        <f>SUMPRODUCT('Fuel Price Data'!AL133:AL137,'BAU Fuel Use by Sector'!$BD$3:$BD$7)/SUM('BAU Fuel Use by Sector'!$BD$3:$BD$7)</f>
        <v>0</v>
      </c>
      <c r="AM21">
        <f>SUMPRODUCT('Fuel Price Data'!AM133:AM137,'BAU Fuel Use by Sector'!$BD$3:$BD$7)/SUM('BAU Fuel Use by Sector'!$BD$3:$BD$7)</f>
        <v>0</v>
      </c>
      <c r="AN21">
        <f>SUMPRODUCT('Fuel Price Data'!AN133:AN137,'BAU Fuel Use by Sector'!$BD$3:$BD$7)/SUM('BAU Fuel Use by Sector'!$BD$3:$BD$7)</f>
        <v>0</v>
      </c>
      <c r="AO21">
        <f>SUMPRODUCT('Fuel Price Data'!AO133:AO137,'BAU Fuel Use by Sector'!$BD$3:$BD$7)/SUM('BAU Fuel Use by Sector'!$BD$3:$BD$7)</f>
        <v>0</v>
      </c>
      <c r="AP21">
        <f>SUMPRODUCT('Fuel Price Data'!AP133:AP137,'BAU Fuel Use by Sector'!$BD$3:$BD$7)/SUM('BAU Fuel Use by Sector'!$BD$3:$BD$7)</f>
        <v>0</v>
      </c>
      <c r="AQ21">
        <f>SUMPRODUCT('Fuel Price Data'!AQ133:AQ137,'BAU Fuel Use by Sector'!$BD$3:$BD$7)/SUM('BAU Fuel Use by Sector'!$BD$3:$BD$7)</f>
        <v>0</v>
      </c>
      <c r="AR21">
        <f>SUMPRODUCT('Fuel Price Data'!AR133:AR137,'BAU Fuel Use by Sector'!$BD$3:$BD$7)/SUM('BAU Fuel Use by Sector'!$BD$3:$BD$7)</f>
        <v>0</v>
      </c>
      <c r="AS21">
        <f>SUMPRODUCT('Fuel Price Data'!AS133:AS137,'BAU Fuel Use by Sector'!$BD$3:$BD$7)/SUM('BAU Fuel Use by Sector'!$BD$3:$BD$7)</f>
        <v>0</v>
      </c>
      <c r="AT21">
        <f>SUMPRODUCT('Fuel Price Data'!AT133:AT137,'BAU Fuel Use by Sector'!$BD$3:$BD$7)/SUM('BAU Fuel Use by Sector'!$BD$3:$BD$7)</f>
        <v>0</v>
      </c>
      <c r="AU21">
        <f>SUMPRODUCT('Fuel Price Data'!AU133:AU137,'BAU Fuel Use by Sector'!$BD$3:$BD$7)/SUM('BAU Fuel Use by Sector'!$BD$3:$BD$7)</f>
        <v>0</v>
      </c>
      <c r="AV21">
        <f>SUMPRODUCT('Fuel Price Data'!AV133:AV137,'BAU Fuel Use by Sector'!$BD$3:$BD$7)/SUM('BAU Fuel Use by Sector'!$BD$3:$BD$7)</f>
        <v>0</v>
      </c>
      <c r="AW21">
        <f>SUMPRODUCT('Fuel Price Data'!AW133:AW137,'BAU Fuel Use by Sector'!$BD$3:$BD$7)/SUM('BAU Fuel Use by Sector'!$BD$3:$BD$7)</f>
        <v>0</v>
      </c>
      <c r="AX21">
        <f>SUMPRODUCT('Fuel Price Data'!AX133:AX137,'BAU Fuel Use by Sector'!$BD$3:$BD$7)/SUM('BAU Fuel Use by Sector'!$BD$3:$BD$7)</f>
        <v>0</v>
      </c>
      <c r="AY21">
        <f>SUMPRODUCT('Fuel Price Data'!AY133:AY137,'BAU Fuel Use by Sector'!$BD$3:$BD$7)/SUM('BAU Fuel Use by Sector'!$BD$3:$BD$7)</f>
        <v>0</v>
      </c>
      <c r="AZ21">
        <f>SUMPRODUCT('Fuel Price Data'!AZ133:AZ137,'BAU Fuel Use by Sector'!$BD$3:$BD$7)/SUM('BAU Fuel Use by Sector'!$BD$3:$BD$7)</f>
        <v>0</v>
      </c>
    </row>
    <row r="22" spans="1:52" x14ac:dyDescent="0.25">
      <c r="A22" t="s">
        <v>45</v>
      </c>
      <c r="B22" s="4">
        <f>SUMPRODUCT('Fuel Price Data'!B143:B147,'BAU Fuel Use by Sector'!$BE$3:$BE$7)/SUM('BAU Fuel Use by Sector'!$BE$3:$BE$7)</f>
        <v>7.7600766078083947E-5</v>
      </c>
      <c r="C22" s="4">
        <f>SUMPRODUCT('Fuel Price Data'!C143:C147,'BAU Fuel Use by Sector'!$BE$3:$BE$7)/SUM('BAU Fuel Use by Sector'!$BE$3:$BE$7)</f>
        <v>7.1252833465009711E-5</v>
      </c>
      <c r="D22" s="4">
        <f>SUMPRODUCT('Fuel Price Data'!D143:D147,'BAU Fuel Use by Sector'!$BE$3:$BE$7)/SUM('BAU Fuel Use by Sector'!$BE$3:$BE$7)</f>
        <v>6.4904900851937169E-5</v>
      </c>
      <c r="E22" s="4">
        <f>SUMPRODUCT('Fuel Price Data'!E143:E147,'BAU Fuel Use by Sector'!$BE$3:$BE$7)/SUM('BAU Fuel Use by Sector'!$BE$3:$BE$7)</f>
        <v>5.8556968238862933E-5</v>
      </c>
      <c r="F22" s="4">
        <f>SUMPRODUCT('Fuel Price Data'!F143:F147,'BAU Fuel Use by Sector'!$BE$3:$BE$7)/SUM('BAU Fuel Use by Sector'!$BE$3:$BE$7)</f>
        <v>5.2209035625788711E-5</v>
      </c>
      <c r="G22" s="4">
        <f>SUMPRODUCT('Fuel Price Data'!G143:G147,'BAU Fuel Use by Sector'!$BE$3:$BE$7)/SUM('BAU Fuel Use by Sector'!$BE$3:$BE$7)</f>
        <v>4.5861103012714481E-5</v>
      </c>
      <c r="H22" s="4">
        <f>SUMPRODUCT('Fuel Price Data'!H143:H147,'BAU Fuel Use by Sector'!$BE$3:$BE$7)/SUM('BAU Fuel Use by Sector'!$BE$3:$BE$7)</f>
        <v>3.9513170399641933E-5</v>
      </c>
      <c r="I22" s="4">
        <f>SUMPRODUCT('Fuel Price Data'!I143:I147,'BAU Fuel Use by Sector'!$BE$3:$BE$7)/SUM('BAU Fuel Use by Sector'!$BE$3:$BE$7)</f>
        <v>3.3165237786567717E-5</v>
      </c>
      <c r="J22" s="4">
        <f>SUMPRODUCT('Fuel Price Data'!J143:J147,'BAU Fuel Use by Sector'!$BE$3:$BE$7)/SUM('BAU Fuel Use by Sector'!$BE$3:$BE$7)</f>
        <v>2.6817305173493488E-5</v>
      </c>
      <c r="K22" s="4">
        <f>SUMPRODUCT('Fuel Price Data'!K143:K147,'BAU Fuel Use by Sector'!$BE$3:$BE$7)/SUM('BAU Fuel Use by Sector'!$BE$3:$BE$7)</f>
        <v>2.0469372560420939E-5</v>
      </c>
      <c r="L22" s="4">
        <f>SUMPRODUCT('Fuel Price Data'!L143:L147,'BAU Fuel Use by Sector'!$BE$3:$BE$7)/SUM('BAU Fuel Use by Sector'!$BE$3:$BE$7)</f>
        <v>1.4121439947346714E-5</v>
      </c>
      <c r="M22" s="4">
        <f>SUMPRODUCT('Fuel Price Data'!M143:M147,'BAU Fuel Use by Sector'!$BE$3:$BE$7)/SUM('BAU Fuel Use by Sector'!$BE$3:$BE$7)</f>
        <v>1.3777364253197018E-5</v>
      </c>
      <c r="N22" s="4">
        <f>SUMPRODUCT('Fuel Price Data'!N143:N147,'BAU Fuel Use by Sector'!$BE$3:$BE$7)/SUM('BAU Fuel Use by Sector'!$BE$3:$BE$7)</f>
        <v>1.3433288559048477E-5</v>
      </c>
      <c r="O22" s="4">
        <f>SUMPRODUCT('Fuel Price Data'!O143:O147,'BAU Fuel Use by Sector'!$BE$3:$BE$7)/SUM('BAU Fuel Use by Sector'!$BE$3:$BE$7)</f>
        <v>1.3089212864899936E-5</v>
      </c>
      <c r="P22" s="4">
        <f>SUMPRODUCT('Fuel Price Data'!P143:P147,'BAU Fuel Use by Sector'!$BE$3:$BE$7)/SUM('BAU Fuel Use by Sector'!$BE$3:$BE$7)</f>
        <v>1.2745137170751397E-5</v>
      </c>
      <c r="Q22" s="4">
        <f>SUMPRODUCT('Fuel Price Data'!Q143:Q147,'BAU Fuel Use by Sector'!$BE$3:$BE$7)/SUM('BAU Fuel Use by Sector'!$BE$3:$BE$7)</f>
        <v>1.240106147660296E-5</v>
      </c>
      <c r="R22" s="4">
        <f>SUMPRODUCT('Fuel Price Data'!R143:R147,'BAU Fuel Use by Sector'!$BE$3:$BE$7)/SUM('BAU Fuel Use by Sector'!$BE$3:$BE$7)</f>
        <v>1.2056985782454419E-5</v>
      </c>
      <c r="S22" s="4">
        <f>SUMPRODUCT('Fuel Price Data'!S143:S147,'BAU Fuel Use by Sector'!$BE$3:$BE$7)/SUM('BAU Fuel Use by Sector'!$BE$3:$BE$7)</f>
        <v>1.1712910088305878E-5</v>
      </c>
      <c r="T22" s="4">
        <f>SUMPRODUCT('Fuel Price Data'!T143:T147,'BAU Fuel Use by Sector'!$BE$3:$BE$7)/SUM('BAU Fuel Use by Sector'!$BE$3:$BE$7)</f>
        <v>1.1368834394157339E-5</v>
      </c>
      <c r="U22" s="4">
        <f>SUMPRODUCT('Fuel Price Data'!U143:U147,'BAU Fuel Use by Sector'!$BE$3:$BE$7)/SUM('BAU Fuel Use by Sector'!$BE$3:$BE$7)</f>
        <v>1.1024758700008799E-5</v>
      </c>
      <c r="V22" s="4">
        <f>SUMPRODUCT('Fuel Price Data'!V143:V147,'BAU Fuel Use by Sector'!$BE$3:$BE$7)/SUM('BAU Fuel Use by Sector'!$BE$3:$BE$7)</f>
        <v>1.0680683005860363E-5</v>
      </c>
      <c r="W22" s="4">
        <f>SUMPRODUCT('Fuel Price Data'!W143:W147,'BAU Fuel Use by Sector'!$BE$3:$BE$7)/SUM('BAU Fuel Use by Sector'!$BE$3:$BE$7)</f>
        <v>1.0336607311711822E-5</v>
      </c>
      <c r="X22" s="4">
        <f>SUMPRODUCT('Fuel Price Data'!X143:X147,'BAU Fuel Use by Sector'!$BE$3:$BE$7)/SUM('BAU Fuel Use by Sector'!$BE$3:$BE$7)</f>
        <v>9.9925316175632831E-6</v>
      </c>
      <c r="Y22" s="4">
        <f>SUMPRODUCT('Fuel Price Data'!Y143:Y147,'BAU Fuel Use by Sector'!$BE$3:$BE$7)/SUM('BAU Fuel Use by Sector'!$BE$3:$BE$7)</f>
        <v>9.6484559234147441E-6</v>
      </c>
      <c r="Z22" s="4">
        <f>SUMPRODUCT('Fuel Price Data'!Z143:Z147,'BAU Fuel Use by Sector'!$BE$3:$BE$7)/SUM('BAU Fuel Use by Sector'!$BE$3:$BE$7)</f>
        <v>9.3043802292662017E-6</v>
      </c>
      <c r="AA22" s="4">
        <f>SUMPRODUCT('Fuel Price Data'!AA143:AA147,'BAU Fuel Use by Sector'!$BE$3:$BE$7)/SUM('BAU Fuel Use by Sector'!$BE$3:$BE$7)</f>
        <v>8.9603045351176627E-6</v>
      </c>
      <c r="AB22" s="4">
        <f>SUMPRODUCT('Fuel Price Data'!AB143:AB147,'BAU Fuel Use by Sector'!$BE$3:$BE$7)/SUM('BAU Fuel Use by Sector'!$BE$3:$BE$7)</f>
        <v>8.6162288409692287E-6</v>
      </c>
      <c r="AC22" s="4">
        <f>SUMPRODUCT('Fuel Price Data'!AC143:AC147,'BAU Fuel Use by Sector'!$BE$3:$BE$7)/SUM('BAU Fuel Use by Sector'!$BE$3:$BE$7)</f>
        <v>8.2721531468206879E-6</v>
      </c>
      <c r="AD22" s="4">
        <f>SUMPRODUCT('Fuel Price Data'!AD143:AD147,'BAU Fuel Use by Sector'!$BE$3:$BE$7)/SUM('BAU Fuel Use by Sector'!$BE$3:$BE$7)</f>
        <v>7.9280774526721472E-6</v>
      </c>
      <c r="AE22" s="4">
        <f>SUMPRODUCT('Fuel Price Data'!AE143:AE147,'BAU Fuel Use by Sector'!$BE$3:$BE$7)/SUM('BAU Fuel Use by Sector'!$BE$3:$BE$7)</f>
        <v>7.5840017585236082E-6</v>
      </c>
      <c r="AF22" s="4">
        <f>SUMPRODUCT('Fuel Price Data'!AF143:AF147,'BAU Fuel Use by Sector'!$BE$3:$BE$7)/SUM('BAU Fuel Use by Sector'!$BE$3:$BE$7)</f>
        <v>7.2399260643750666E-6</v>
      </c>
      <c r="AG22" s="4">
        <f>SUMPRODUCT('Fuel Price Data'!AG143:AG147,'BAU Fuel Use by Sector'!$BE$3:$BE$7)/SUM('BAU Fuel Use by Sector'!$BE$3:$BE$7)</f>
        <v>6.8958503702265259E-6</v>
      </c>
      <c r="AH22" s="4">
        <f>SUMPRODUCT('Fuel Price Data'!AH143:AH147,'BAU Fuel Use by Sector'!$BE$3:$BE$7)/SUM('BAU Fuel Use by Sector'!$BE$3:$BE$7)</f>
        <v>6.5517746760779852E-6</v>
      </c>
      <c r="AI22" s="4">
        <f>SUMPRODUCT('Fuel Price Data'!AI143:AI147,'BAU Fuel Use by Sector'!$BE$3:$BE$7)/SUM('BAU Fuel Use by Sector'!$BE$3:$BE$7)</f>
        <v>6.2076989819294453E-6</v>
      </c>
      <c r="AJ22" s="4">
        <f>SUMPRODUCT('Fuel Price Data'!AJ143:AJ147,'BAU Fuel Use by Sector'!$BE$3:$BE$7)/SUM('BAU Fuel Use by Sector'!$BE$3:$BE$7)</f>
        <v>5.8636232877809046E-6</v>
      </c>
      <c r="AK22" s="4">
        <f>SUMPRODUCT('Fuel Price Data'!AK143:AK147,'BAU Fuel Use by Sector'!$BE$3:$BE$7)/SUM('BAU Fuel Use by Sector'!$BE$3:$BE$7)</f>
        <v>5.5195475936323639E-6</v>
      </c>
      <c r="AL22" s="4">
        <f>SUMPRODUCT('Fuel Price Data'!AL143:AL147,'BAU Fuel Use by Sector'!$BE$3:$BE$7)/SUM('BAU Fuel Use by Sector'!$BE$3:$BE$7)</f>
        <v>5.1754718994838232E-6</v>
      </c>
      <c r="AM22" s="4">
        <f>SUMPRODUCT('Fuel Price Data'!AM143:AM147,'BAU Fuel Use by Sector'!$BE$3:$BE$7)/SUM('BAU Fuel Use by Sector'!$BE$3:$BE$7)</f>
        <v>4.8313962053352825E-6</v>
      </c>
      <c r="AN22" s="4">
        <f>SUMPRODUCT('Fuel Price Data'!AN143:AN147,'BAU Fuel Use by Sector'!$BE$3:$BE$7)/SUM('BAU Fuel Use by Sector'!$BE$3:$BE$7)</f>
        <v>4.4873205111867417E-6</v>
      </c>
      <c r="AO22" s="4">
        <f>SUMPRODUCT('Fuel Price Data'!AO143:AO147,'BAU Fuel Use by Sector'!$BE$3:$BE$7)/SUM('BAU Fuel Use by Sector'!$BE$3:$BE$7)</f>
        <v>4.143244817038201E-6</v>
      </c>
      <c r="AP22" s="4">
        <f>SUMPRODUCT('Fuel Price Data'!AP143:AP147,'BAU Fuel Use by Sector'!$BE$3:$BE$7)/SUM('BAU Fuel Use by Sector'!$BE$3:$BE$7)</f>
        <v>3.7991691228896607E-6</v>
      </c>
      <c r="AQ22" s="4">
        <f>SUMPRODUCT('Fuel Price Data'!AQ143:AQ147,'BAU Fuel Use by Sector'!$BE$3:$BE$7)/SUM('BAU Fuel Use by Sector'!$BE$3:$BE$7)</f>
        <v>3.4550934287411196E-6</v>
      </c>
      <c r="AR22" s="4">
        <f>SUMPRODUCT('Fuel Price Data'!AR143:AR147,'BAU Fuel Use by Sector'!$BE$3:$BE$7)/SUM('BAU Fuel Use by Sector'!$BE$3:$BE$7)</f>
        <v>3.1110177345925797E-6</v>
      </c>
      <c r="AS22" s="4">
        <f>SUMPRODUCT('Fuel Price Data'!AS143:AS147,'BAU Fuel Use by Sector'!$BE$3:$BE$7)/SUM('BAU Fuel Use by Sector'!$BE$3:$BE$7)</f>
        <v>2.7669420404440386E-6</v>
      </c>
      <c r="AT22" s="4">
        <f>SUMPRODUCT('Fuel Price Data'!AT143:AT147,'BAU Fuel Use by Sector'!$BE$3:$BE$7)/SUM('BAU Fuel Use by Sector'!$BE$3:$BE$7)</f>
        <v>2.4228663462954987E-6</v>
      </c>
      <c r="AU22" s="4">
        <f>SUMPRODUCT('Fuel Price Data'!AU143:AU147,'BAU Fuel Use by Sector'!$BE$3:$BE$7)/SUM('BAU Fuel Use by Sector'!$BE$3:$BE$7)</f>
        <v>2.078790652146958E-6</v>
      </c>
      <c r="AV22" s="4">
        <f>SUMPRODUCT('Fuel Price Data'!AV143:AV147,'BAU Fuel Use by Sector'!$BE$3:$BE$7)/SUM('BAU Fuel Use by Sector'!$BE$3:$BE$7)</f>
        <v>1.7347149579984168E-6</v>
      </c>
      <c r="AW22" s="4">
        <f>SUMPRODUCT('Fuel Price Data'!AW143:AW147,'BAU Fuel Use by Sector'!$BE$3:$BE$7)/SUM('BAU Fuel Use by Sector'!$BE$3:$BE$7)</f>
        <v>1.390639263849877E-6</v>
      </c>
      <c r="AX22" s="4">
        <f>SUMPRODUCT('Fuel Price Data'!AX143:AX147,'BAU Fuel Use by Sector'!$BE$3:$BE$7)/SUM('BAU Fuel Use by Sector'!$BE$3:$BE$7)</f>
        <v>1.0465635697013356E-6</v>
      </c>
      <c r="AY22" s="4">
        <f>SUMPRODUCT('Fuel Price Data'!AY143:AY147,'BAU Fuel Use by Sector'!$BE$3:$BE$7)/SUM('BAU Fuel Use by Sector'!$BE$3:$BE$7)</f>
        <v>7.024878755527952E-7</v>
      </c>
      <c r="AZ22" s="4">
        <f>SUMPRODUCT('Fuel Price Data'!AZ143:AZ147,'BAU Fuel Use by Sector'!$BE$3:$BE$7)/SUM('BAU Fuel Use by Sector'!$BE$3:$BE$7)</f>
        <v>3.5841218140425422E-7</v>
      </c>
    </row>
    <row r="23" spans="1:52" x14ac:dyDescent="0.25">
      <c r="B23" s="4"/>
    </row>
  </sheetData>
  <pageMargins left="0.7" right="0.7" top="0.75" bottom="0.75" header="0.3" footer="0.3"/>
  <pageSetup orientation="portrait" r:id="rId1"/>
  <ignoredErrors>
    <ignoredError sqref="B6:AF8 B15:AF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About</vt:lpstr>
      <vt:lpstr>AEO21 Table13</vt:lpstr>
      <vt:lpstr>AEO22 Table13</vt:lpstr>
      <vt:lpstr>AEO21 Table60</vt:lpstr>
      <vt:lpstr>AEO22 Table60</vt:lpstr>
      <vt:lpstr>Historical Monthly Gas Cons</vt:lpstr>
      <vt:lpstr>EIA Henry Hub Nat Gas Spot</vt:lpstr>
      <vt:lpstr>NG Sector Price Historicals</vt:lpstr>
      <vt:lpstr>NG Calcs</vt:lpstr>
      <vt:lpstr>Natural Gas Prices</vt:lpstr>
      <vt:lpstr>Pretax Fuel Prices</vt:lpstr>
      <vt:lpstr>Fuel Taxes</vt:lpstr>
      <vt:lpstr>BAU Fuel Use by Sector</vt:lpstr>
      <vt:lpstr>Fuel Price Data</vt:lpstr>
      <vt:lpstr>IMFPbFT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Saidou Sy</cp:lastModifiedBy>
  <dcterms:created xsi:type="dcterms:W3CDTF">2019-05-15T20:03:57Z</dcterms:created>
  <dcterms:modified xsi:type="dcterms:W3CDTF">2025-11-14T11:28:28Z</dcterms:modified>
</cp:coreProperties>
</file>