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ido\OneDrive\Documents\eps-brazil-cpl\InputData\io-model\GaHEbIC\"/>
    </mc:Choice>
  </mc:AlternateContent>
  <bookViews>
    <workbookView xWindow="5610" yWindow="3870" windowWidth="17280" windowHeight="9900" firstSheet="3" activeTab="6"/>
  </bookViews>
  <sheets>
    <sheet name="About" sheetId="1" r:id="rId1"/>
    <sheet name="OECD TTL" sheetId="7" r:id="rId2"/>
    <sheet name="SCNtoISIC" sheetId="12" r:id="rId3"/>
    <sheet name="DLIM IBGE Use Table" sheetId="11" r:id="rId4"/>
    <sheet name="Split ISIC Code Shares" sheetId="9" r:id="rId5"/>
    <sheet name="GaHEbIC-government" sheetId="2" r:id="rId6"/>
    <sheet name="GaHEbIC-household" sheetId="10" r:id="rId7"/>
  </sheets>
  <externalReferences>
    <externalReference r:id="rId8"/>
  </externalReferences>
  <calcPr calcId="152511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9" l="1"/>
  <c r="L7" i="9"/>
  <c r="M6" i="9"/>
  <c r="L6" i="9"/>
  <c r="K7" i="9"/>
  <c r="K6" i="9"/>
  <c r="J7" i="9"/>
  <c r="I7" i="9"/>
  <c r="J6" i="9"/>
  <c r="I6" i="9"/>
  <c r="H7" i="9"/>
  <c r="G7" i="9"/>
  <c r="H6" i="9"/>
  <c r="G6" i="9"/>
  <c r="F7" i="9"/>
  <c r="E7" i="9"/>
  <c r="F6" i="9"/>
  <c r="E6" i="9"/>
  <c r="D7" i="9"/>
  <c r="C7" i="9"/>
  <c r="D6" i="9"/>
  <c r="C6" i="9"/>
  <c r="M4" i="9" a="1"/>
  <c r="M4" i="9" s="1"/>
  <c r="L4" i="9" a="1"/>
  <c r="L4" i="9" s="1"/>
  <c r="K4" i="9" a="1"/>
  <c r="K4" i="9" s="1"/>
  <c r="J4" i="9" a="1"/>
  <c r="J4" i="9" s="1"/>
  <c r="I4" i="9" a="1"/>
  <c r="I4" i="9" s="1"/>
  <c r="H4" i="9" a="1"/>
  <c r="H4" i="9" s="1"/>
  <c r="G4" i="9" a="1"/>
  <c r="G4" i="9" s="1"/>
  <c r="F4" i="9" a="1"/>
  <c r="F4" i="9" s="1"/>
  <c r="E4" i="9" a="1"/>
  <c r="E4" i="9" s="1"/>
  <c r="D4" i="9" a="1"/>
  <c r="D4" i="9" s="1"/>
  <c r="M3" i="9" a="1"/>
  <c r="M3" i="9" s="1"/>
  <c r="L3" i="9" a="1"/>
  <c r="L3" i="9" s="1"/>
  <c r="K3" i="9" a="1"/>
  <c r="K3" i="9" s="1"/>
  <c r="J3" i="9" a="1"/>
  <c r="J3" i="9" s="1"/>
  <c r="I3" i="9" a="1"/>
  <c r="I3" i="9" s="1"/>
  <c r="H3" i="9" a="1"/>
  <c r="H3" i="9" s="1"/>
  <c r="G3" i="9" a="1"/>
  <c r="G3" i="9" s="1"/>
  <c r="F3" i="9" a="1"/>
  <c r="F3" i="9" s="1"/>
  <c r="E3" i="9" a="1"/>
  <c r="E3" i="9" s="1"/>
  <c r="D3" i="9" a="1"/>
  <c r="D3" i="9" s="1"/>
  <c r="C3" i="9" a="1"/>
  <c r="C3" i="9" s="1"/>
  <c r="C4" i="9" a="1"/>
  <c r="C4" i="9" s="1"/>
  <c r="C134" i="11" l="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C7" i="11"/>
  <c r="B7" i="11"/>
  <c r="BH6" i="11" l="1"/>
  <c r="BG6" i="11"/>
  <c r="BF6" i="11"/>
  <c r="BE6" i="11"/>
  <c r="AR6" i="11"/>
  <c r="AQ6" i="11"/>
  <c r="AP6" i="11"/>
  <c r="AO6" i="11"/>
  <c r="AB6" i="11"/>
  <c r="AA6" i="11"/>
  <c r="Z6" i="11"/>
  <c r="Y6" i="11"/>
  <c r="L6" i="11"/>
  <c r="K6" i="11"/>
  <c r="J6" i="11"/>
  <c r="I6" i="11"/>
  <c r="BT5" i="11"/>
  <c r="BT6" i="11" s="1"/>
  <c r="BS5" i="11"/>
  <c r="BS6" i="11" s="1"/>
  <c r="BR5" i="11"/>
  <c r="BR6" i="11" s="1"/>
  <c r="BQ5" i="11"/>
  <c r="BQ6" i="11" s="1"/>
  <c r="BP5" i="11"/>
  <c r="BP6" i="11" s="1"/>
  <c r="BO5" i="11"/>
  <c r="BO6" i="11" s="1"/>
  <c r="BN5" i="11"/>
  <c r="BN6" i="11" s="1"/>
  <c r="BM5" i="11"/>
  <c r="BM6" i="11" s="1"/>
  <c r="BL5" i="11"/>
  <c r="BL6" i="11" s="1"/>
  <c r="BK5" i="11"/>
  <c r="BK6" i="11" s="1"/>
  <c r="BJ5" i="11"/>
  <c r="BJ6" i="11" s="1"/>
  <c r="BI5" i="11"/>
  <c r="BI6" i="11" s="1"/>
  <c r="BH5" i="11"/>
  <c r="BG5" i="11"/>
  <c r="BF5" i="11"/>
  <c r="BE5" i="11"/>
  <c r="BD5" i="11"/>
  <c r="BD6" i="11" s="1"/>
  <c r="BC5" i="11"/>
  <c r="BC6" i="11" s="1"/>
  <c r="BB5" i="11"/>
  <c r="BB6" i="11" s="1"/>
  <c r="BA5" i="11"/>
  <c r="BA6" i="11" s="1"/>
  <c r="AZ5" i="11"/>
  <c r="AZ6" i="11" s="1"/>
  <c r="AY5" i="11"/>
  <c r="AY6" i="11" s="1"/>
  <c r="AX5" i="11"/>
  <c r="AX6" i="11" s="1"/>
  <c r="AW5" i="11"/>
  <c r="AW6" i="11" s="1"/>
  <c r="AV5" i="11"/>
  <c r="AV6" i="11" s="1"/>
  <c r="AU5" i="11"/>
  <c r="AU6" i="11" s="1"/>
  <c r="AT5" i="11"/>
  <c r="AT6" i="11" s="1"/>
  <c r="AS5" i="11"/>
  <c r="AS6" i="11" s="1"/>
  <c r="AR5" i="11"/>
  <c r="AQ5" i="11"/>
  <c r="AP5" i="11"/>
  <c r="AO5" i="11"/>
  <c r="AN5" i="11"/>
  <c r="AN6" i="11" s="1"/>
  <c r="AM5" i="11"/>
  <c r="AM6" i="11" s="1"/>
  <c r="AL5" i="11"/>
  <c r="AL6" i="11" s="1"/>
  <c r="AK5" i="11"/>
  <c r="AK6" i="11" s="1"/>
  <c r="AJ5" i="11"/>
  <c r="AJ6" i="11" s="1"/>
  <c r="AI5" i="11"/>
  <c r="AI6" i="11" s="1"/>
  <c r="AH5" i="11"/>
  <c r="AH6" i="11" s="1"/>
  <c r="AG5" i="11"/>
  <c r="AG6" i="11" s="1"/>
  <c r="AF5" i="11"/>
  <c r="AF6" i="11" s="1"/>
  <c r="AE5" i="11"/>
  <c r="AE6" i="11" s="1"/>
  <c r="AD5" i="11"/>
  <c r="AD6" i="11" s="1"/>
  <c r="AC5" i="11"/>
  <c r="AC6" i="11" s="1"/>
  <c r="AB5" i="11"/>
  <c r="AA5" i="11"/>
  <c r="Z5" i="11"/>
  <c r="Y5" i="11"/>
  <c r="X5" i="11"/>
  <c r="X6" i="11" s="1"/>
  <c r="W5" i="11"/>
  <c r="W6" i="11" s="1"/>
  <c r="V5" i="11"/>
  <c r="V6" i="11" s="1"/>
  <c r="U5" i="11"/>
  <c r="U6" i="11" s="1"/>
  <c r="T5" i="11"/>
  <c r="T6" i="11" s="1"/>
  <c r="S5" i="11"/>
  <c r="S6" i="11" s="1"/>
  <c r="R5" i="11"/>
  <c r="R6" i="11" s="1"/>
  <c r="Q5" i="11"/>
  <c r="Q6" i="11" s="1"/>
  <c r="P5" i="11"/>
  <c r="P6" i="11" s="1"/>
  <c r="O5" i="11"/>
  <c r="O6" i="11" s="1"/>
  <c r="N5" i="11"/>
  <c r="N6" i="11" s="1"/>
  <c r="M5" i="11"/>
  <c r="M6" i="11" s="1"/>
  <c r="L5" i="11"/>
  <c r="K5" i="11"/>
  <c r="J5" i="11"/>
  <c r="I5" i="11"/>
  <c r="H5" i="11"/>
  <c r="H6" i="11" s="1"/>
  <c r="G5" i="11"/>
  <c r="G6" i="11" s="1"/>
  <c r="F5" i="11"/>
  <c r="F6" i="11" s="1"/>
  <c r="E5" i="11"/>
  <c r="E6" i="11" s="1"/>
  <c r="AC2" i="10" l="1" a="1"/>
  <c r="AE2" i="10" s="1"/>
  <c r="S2" i="10" a="1"/>
  <c r="U2" i="10" s="1"/>
  <c r="N2" i="10"/>
  <c r="Q2" i="2"/>
  <c r="AC2" i="2" a="1"/>
  <c r="AE2" i="2" s="1"/>
  <c r="S2" i="2" a="1"/>
  <c r="S2" i="2" s="1"/>
  <c r="N2" i="2"/>
  <c r="Q2" i="10"/>
  <c r="R2" i="10"/>
  <c r="O2" i="10"/>
  <c r="P2" i="10"/>
  <c r="Z2" i="10" a="1"/>
  <c r="Z2" i="10" s="1"/>
  <c r="AA2" i="10" a="1"/>
  <c r="AA2" i="10" s="1"/>
  <c r="AB2" i="10" a="1"/>
  <c r="AB2" i="10" s="1"/>
  <c r="O2" i="2"/>
  <c r="P2" i="2"/>
  <c r="R2" i="2"/>
  <c r="AB2" i="2"/>
  <c r="AA2" i="2"/>
  <c r="Z2" i="2" l="1"/>
  <c r="AQ2" i="10"/>
  <c r="AI2" i="10"/>
  <c r="AL2" i="10"/>
  <c r="AD2" i="10"/>
  <c r="AK2" i="10"/>
  <c r="AC2" i="10"/>
  <c r="AJ2" i="10"/>
  <c r="AP2" i="10"/>
  <c r="AH2" i="10"/>
  <c r="AO2" i="10"/>
  <c r="AG2" i="10"/>
  <c r="AN2" i="10"/>
  <c r="AF2" i="10"/>
  <c r="AM2" i="10"/>
  <c r="Y2" i="10"/>
  <c r="T2" i="10"/>
  <c r="S2" i="10"/>
  <c r="X2" i="10"/>
  <c r="W2" i="10"/>
  <c r="V2" i="10"/>
  <c r="AQ2" i="2"/>
  <c r="AI2" i="2"/>
  <c r="AL2" i="2"/>
  <c r="AD2" i="2"/>
  <c r="AK2" i="2"/>
  <c r="AC2" i="2"/>
  <c r="AJ2" i="2"/>
  <c r="AP2" i="2"/>
  <c r="AH2" i="2"/>
  <c r="AO2" i="2"/>
  <c r="AG2" i="2"/>
  <c r="AN2" i="2"/>
  <c r="AF2" i="2"/>
  <c r="AM2" i="2"/>
  <c r="Y2" i="2"/>
  <c r="X2" i="2"/>
  <c r="V2" i="2"/>
  <c r="U2" i="2"/>
  <c r="W2" i="2"/>
  <c r="T2" i="2"/>
  <c r="E2" i="10" l="1" a="1"/>
  <c r="G2" i="10" s="1"/>
  <c r="B2" i="10"/>
  <c r="E2" i="2" a="1"/>
  <c r="G2" i="2" s="1"/>
  <c r="B2" i="2"/>
  <c r="F2" i="10" l="1"/>
  <c r="E2" i="10"/>
  <c r="K2" i="10"/>
  <c r="J2" i="10"/>
  <c r="I2" i="10"/>
  <c r="H2" i="10"/>
  <c r="F2" i="2"/>
  <c r="E2" i="2"/>
  <c r="K2" i="2"/>
  <c r="J2" i="2"/>
  <c r="I2" i="2"/>
  <c r="H2" i="2"/>
  <c r="C2" i="10"/>
  <c r="C2" i="2"/>
  <c r="D2" i="2"/>
  <c r="D2" i="10"/>
  <c r="M2" i="2" l="1"/>
  <c r="L2" i="2"/>
  <c r="M2" i="10"/>
  <c r="L2" i="10"/>
  <c r="A1" i="7"/>
</calcChain>
</file>

<file path=xl/comments1.xml><?xml version="1.0" encoding="utf-8"?>
<comments xmlns="http://schemas.openxmlformats.org/spreadsheetml/2006/main">
  <authors>
    <author>tc={2BB04843-C31A-4719-A8C6-1488F5C27C6C}</author>
    <author>tc={67EC75E6-3569-4408-A62A-26D8C17DF10B}</author>
    <author>tc={25A2547A-DCE2-4031-A903-F6D323155972}</author>
    <author>tc={20A7FF29-C961-4EF5-9A80-DF71D45F57F1}</author>
  </authors>
  <commentList>
    <comment ref="C44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SCN 3510</t>
        </r>
      </text>
    </comment>
    <comment ref="C45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SCN 3520</t>
        </r>
      </text>
    </comment>
    <comment ref="H92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SCN 3510</t>
        </r>
      </text>
    </comment>
    <comment ref="H93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SCN 3520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<sst xmlns="http://schemas.openxmlformats.org/spreadsheetml/2006/main" count="1077" uniqueCount="527">
  <si>
    <t>GaHEbIC Government and Household Expenditures by ISIC Code</t>
  </si>
  <si>
    <t>Source:</t>
  </si>
  <si>
    <t>Most Industries</t>
  </si>
  <si>
    <t>OECD</t>
  </si>
  <si>
    <t>Input-Output Tables 2018 Edition (ISIC Rev. 4)</t>
  </si>
  <si>
    <t>https://stats.oecd.org/Index.aspx?DataSetCode=IOTS#</t>
  </si>
  <si>
    <t>Variable: TTL</t>
  </si>
  <si>
    <t>ISIC Code Splits</t>
  </si>
  <si>
    <t>see variable io-model/DLIM</t>
  </si>
  <si>
    <t>Notes</t>
  </si>
  <si>
    <t>To split certain ISIC codes grouped by the OECD,</t>
  </si>
  <si>
    <t>we use data from DLIM on government and household expenditures to apportion the</t>
  </si>
  <si>
    <t>OECD's total values in ISIC 20T21 into the split ISIC codes.</t>
  </si>
  <si>
    <t>If you are updating this variable for a new region, update io-model/DLIM first, then</t>
  </si>
  <si>
    <t>update this variable.  Data from DLIM is in the tab beginning with "DLIM".</t>
  </si>
  <si>
    <t>We convert 2015 USD to 2012 USD with the following conversion factor:</t>
  </si>
  <si>
    <t>2012 USD per 2015 USD</t>
  </si>
  <si>
    <t>Sorry, the query is too large to fit into the Excel cell. You will not be able to update your table with the .Stat Populator.</t>
  </si>
  <si>
    <t>Dataset: Input-Output Tables 2018 edition</t>
  </si>
  <si>
    <t>Variable</t>
  </si>
  <si>
    <t>TTL: Total</t>
  </si>
  <si>
    <t>Country</t>
  </si>
  <si>
    <t>BRA: Brazil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</si>
  <si>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</si>
  <si>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</si>
  <si>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</si>
  <si>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</si>
  <si>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</si>
  <si>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</si>
  <si>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</si>
  <si>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</si>
  <si>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</si>
  <si>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</si>
  <si>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</si>
  <si>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</si>
  <si>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</si>
  <si>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</si>
  <si>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</si>
  <si>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</si>
  <si>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</si>
  <si>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</si>
  <si>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</si>
  <si>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</si>
  <si>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</si>
  <si>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</si>
  <si>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</si>
  <si>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</si>
  <si>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</si>
  <si>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</si>
  <si>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</si>
  <si>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</si>
  <si>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</si>
  <si>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</si>
  <si>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</si>
  <si>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</si>
  <si>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</si>
  <si>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</si>
  <si>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</si>
  <si>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</si>
  <si>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</si>
  <si>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</si>
  <si>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</si>
  <si>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</si>
  <si>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</si>
  <si>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</si>
  <si>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</si>
  <si>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</si>
  <si>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</si>
  <si>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</si>
  <si>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</si>
  <si>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</si>
  <si>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</si>
  <si>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</si>
  <si>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</si>
  <si>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/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</si>
  <si>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</si>
  <si>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</si>
  <si>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</si>
  <si>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</si>
  <si>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</si>
  <si>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</si>
  <si>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</si>
  <si>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</si>
  <si>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</si>
  <si>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</si>
  <si>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</si>
  <si>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</si>
  <si>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</si>
  <si>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</si>
  <si>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</si>
  <si>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</si>
  <si>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</si>
  <si>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</si>
  <si>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</si>
  <si>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</si>
  <si>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</si>
  <si>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</si>
  <si>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</si>
  <si>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</si>
  <si>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</si>
  <si>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</si>
  <si>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</si>
  <si>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</si>
  <si>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</si>
  <si>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</si>
  <si>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</si>
  <si>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</si>
  <si>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</si>
  <si>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</si>
  <si>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</si>
  <si>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</si>
  <si>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</si>
  <si>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</si>
  <si>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</si>
  <si>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</si>
  <si>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</si>
  <si>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Data extracted on 15 May 2024 14:54 UTC (GMT) from OECD.Stat</t>
  </si>
  <si>
    <t>SCN67</t>
  </si>
  <si>
    <t>Descrição do produto</t>
  </si>
  <si>
    <t>ISIC Code</t>
  </si>
  <si>
    <t>Meaning</t>
  </si>
  <si>
    <t>SCN128</t>
  </si>
  <si>
    <t>Agricultura, inclusive o apoio à agricultura e a pós-colheita</t>
  </si>
  <si>
    <t>ISIC 01T03</t>
  </si>
  <si>
    <t>01T03: Agriculture, forestry and fishing</t>
  </si>
  <si>
    <t>Arroz, trigo e outros cereais</t>
  </si>
  <si>
    <t>Agriculture, forestry and fishing</t>
  </si>
  <si>
    <t>Pecuária, inclusive o apoio à pecuária</t>
  </si>
  <si>
    <t>Milho em grão</t>
  </si>
  <si>
    <t>Produção florestal; pesca e aquicultura</t>
  </si>
  <si>
    <t>Algodão herbáceo, outras fibras da lav. temporária</t>
  </si>
  <si>
    <t>Extração de carvão mineral e de minerais não metálicos</t>
  </si>
  <si>
    <t>ISIC 05</t>
  </si>
  <si>
    <t>05: Coal mining</t>
  </si>
  <si>
    <t>Cana-de-açúcar</t>
  </si>
  <si>
    <t>Extração de petróleo e gás, inclusive as atividades de apoio</t>
  </si>
  <si>
    <t>ISIC 06</t>
  </si>
  <si>
    <t>06: Oil and gas extraction</t>
  </si>
  <si>
    <t>Soja  em grão</t>
  </si>
  <si>
    <t>Extração de minério de ferro, inclusive beneficiamentos e a aglomeração</t>
  </si>
  <si>
    <t>ISIC 07T08</t>
  </si>
  <si>
    <t>07T08: Mining and quarrying of non-energy producing products</t>
  </si>
  <si>
    <t>Outros produtos e serviços da lavoura temporária</t>
  </si>
  <si>
    <t>Extração de minerais metálicos não ferrosos, inclusive beneficiamentos</t>
  </si>
  <si>
    <t>ISIC 09</t>
  </si>
  <si>
    <t>09: Mining support service activities</t>
  </si>
  <si>
    <t>Laranja</t>
  </si>
  <si>
    <t>Abate e produtos de carne, inclusive os produtos do laticínio e da pesca</t>
  </si>
  <si>
    <t>ISIC 10T12</t>
  </si>
  <si>
    <t>10T12: Food products, beverages and tobacco</t>
  </si>
  <si>
    <t>Café em grão</t>
  </si>
  <si>
    <t>Fabricação e refino de açúcar</t>
  </si>
  <si>
    <t>Outros produtos da lavoura permanente</t>
  </si>
  <si>
    <t>Outros produtos alimentares</t>
  </si>
  <si>
    <t>Bovinos e outros animais vivos, prods. animal, caça e serv.</t>
  </si>
  <si>
    <t>Fabricação de bebidas</t>
  </si>
  <si>
    <t>Leite de vaca e de outros animais</t>
  </si>
  <si>
    <t>Fabricação de produtos do fumo</t>
  </si>
  <si>
    <t>Suínos</t>
  </si>
  <si>
    <t>Fabricação de produtos têxteis</t>
  </si>
  <si>
    <t>ISIC 13T15</t>
  </si>
  <si>
    <t>13T15: Textiles, wearing apparel, leather and related products</t>
  </si>
  <si>
    <t>Aves e ovos</t>
  </si>
  <si>
    <t>Confecção de artefatos do vestuário e acessórios</t>
  </si>
  <si>
    <t>Produtos da exploração florestal e da silvicultura</t>
  </si>
  <si>
    <t>Fabricação de calçados e de artefatos de couro</t>
  </si>
  <si>
    <t>Pesca e aquicultura (peixe, crustáceos e moluscos)</t>
  </si>
  <si>
    <t>Fabricação de produtos da madeira</t>
  </si>
  <si>
    <t>ISIC 16</t>
  </si>
  <si>
    <t>16: Wood and of products of wood and cork (except furniture)</t>
  </si>
  <si>
    <t>Carvão mineral</t>
  </si>
  <si>
    <t>Coal mining</t>
  </si>
  <si>
    <t>Fabricação de celulose, papel e produtos de papel</t>
  </si>
  <si>
    <t>ISIC 17T18</t>
  </si>
  <si>
    <t>17T18: Paper products and printing</t>
  </si>
  <si>
    <t>Minerais não-metálicos</t>
  </si>
  <si>
    <t>Impressão e reprodução de gravações</t>
  </si>
  <si>
    <t>Petróleo, gás natural e serviços de apoio</t>
  </si>
  <si>
    <t>Oil and gas extraction</t>
  </si>
  <si>
    <t>Refino de petróleo e coquerias</t>
  </si>
  <si>
    <t>ISIC 19</t>
  </si>
  <si>
    <t>19: Coke and refined petroleum products</t>
  </si>
  <si>
    <t>Minério de ferro</t>
  </si>
  <si>
    <t>Mining and quarrying of non-energy producing products</t>
  </si>
  <si>
    <t>Fabricação de biocombustíveis</t>
  </si>
  <si>
    <t>Minerais metálicos não-ferrosos</t>
  </si>
  <si>
    <t>Mining support service activities</t>
  </si>
  <si>
    <t>Fabricação de químicos orgânicos e inorgânicos, resinas e elastômeros</t>
  </si>
  <si>
    <t>ISIC 20</t>
  </si>
  <si>
    <t>20: Chemicals</t>
  </si>
  <si>
    <t>Carne de bovinos e outros prod. de carne</t>
  </si>
  <si>
    <t>Food products, beverages and tobacco</t>
  </si>
  <si>
    <t>Fabricação de defensivos, desinfestantes, tintas e químicos diversos</t>
  </si>
  <si>
    <t>Carne de suíno</t>
  </si>
  <si>
    <t>Fabricação de produtos de limpeza, cosméticos/perfumaria e higiene pessoal</t>
  </si>
  <si>
    <t>Carne de aves</t>
  </si>
  <si>
    <t>Fabricação de produtos farmoquímicos e farmacêuticos</t>
  </si>
  <si>
    <t>ISIC 21</t>
  </si>
  <si>
    <t>21: Pharmaceuticals</t>
  </si>
  <si>
    <t>Pescado industrializado</t>
  </si>
  <si>
    <t>Fabricação de produtos de borracha e de material plástico</t>
  </si>
  <si>
    <t>ISIC 22</t>
  </si>
  <si>
    <t>22: Rubber and plastics products</t>
  </si>
  <si>
    <t>Leite resfriado, esterilizado e pasteurizado</t>
  </si>
  <si>
    <t>Fabricação de produtos de minerais não metálicos</t>
  </si>
  <si>
    <t>x</t>
  </si>
  <si>
    <t>Outros produtos do laticínio</t>
  </si>
  <si>
    <t>Cimento / Artefatos de cimento, gesso e semelhantes</t>
  </si>
  <si>
    <t>ISIC 239</t>
  </si>
  <si>
    <t>239: Cement and other nometallic minerals</t>
  </si>
  <si>
    <t>Açúcar</t>
  </si>
  <si>
    <t>Vidros, cerâmicos e outros prod. de minerais não-metálicos</t>
  </si>
  <si>
    <t>ISIC 231</t>
  </si>
  <si>
    <t>231: Glass</t>
  </si>
  <si>
    <t>Conservas de frutas, legumes, outros vegetais e sucos de frutas</t>
  </si>
  <si>
    <t>Produção de ferro gusa/ferroligas, siderurgia e tubos de aço sem costura</t>
  </si>
  <si>
    <t>ISIC 241</t>
  </si>
  <si>
    <t>241: Iron and steel</t>
  </si>
  <si>
    <t>Óleos e gorduras vegetais e animais</t>
  </si>
  <si>
    <t>Metalurgia de metais não ferosos e a fundição de metais</t>
  </si>
  <si>
    <t>ISIC 242</t>
  </si>
  <si>
    <t>242: Other metals</t>
  </si>
  <si>
    <t>Café beneficiado</t>
  </si>
  <si>
    <t>Fabricação de produtos de metal, exceto máquinas e equipamentos</t>
  </si>
  <si>
    <t>ISIC 25</t>
  </si>
  <si>
    <t>25: Fabricated metal products, except machinery and equipment</t>
  </si>
  <si>
    <t>Arroz beneficiado e produtos derivados do arroz</t>
  </si>
  <si>
    <t>Fabricação de equipamentos de informática, produtos eletrônicos e ópticos</t>
  </si>
  <si>
    <t>ISIC 26</t>
  </si>
  <si>
    <t>26: Computer, electronic and optical products</t>
  </si>
  <si>
    <t>Produtos derivados do trigo, mandioca ou milho</t>
  </si>
  <si>
    <t>Fabricação de máquinas e equipamentos elétricos</t>
  </si>
  <si>
    <t>ISIC 27</t>
  </si>
  <si>
    <t>27: Electrical equipment</t>
  </si>
  <si>
    <t>Rações balanceadas para animais</t>
  </si>
  <si>
    <t>Fabricação de máquinas e equipamentos mecânicos</t>
  </si>
  <si>
    <t>ISIC 28</t>
  </si>
  <si>
    <t>28: Machinery and equipment n.e.c.</t>
  </si>
  <si>
    <t>Fabricação de automóveis, caminhões e ônibus, exceto peças</t>
  </si>
  <si>
    <t>ISIC 29</t>
  </si>
  <si>
    <t>29: Motor vehicles, trailers and semi-trailers</t>
  </si>
  <si>
    <t>Bebidas</t>
  </si>
  <si>
    <t>Fabricação de peças e acessórios para veículos automotores</t>
  </si>
  <si>
    <t>Produtos do fumo</t>
  </si>
  <si>
    <t>Fabricação de outros equipamentos de transporte, exceto veículos automotores</t>
  </si>
  <si>
    <t>ISIC 30</t>
  </si>
  <si>
    <t>30: Other transport equipment</t>
  </si>
  <si>
    <t>Fios e fibras têxteis beneficiadas</t>
  </si>
  <si>
    <t>Textiles, wearing apparel, leather and related products</t>
  </si>
  <si>
    <t>Fabricação de móveis e de produtos de indústrias diversas</t>
  </si>
  <si>
    <t>Tecidos</t>
  </si>
  <si>
    <t>Manutenção, reparação e instalação de máquinas e equipamentos</t>
  </si>
  <si>
    <t>ISIC 31T33</t>
  </si>
  <si>
    <t>31T33: Other manufacturing; repair and installation of machinery and equipment</t>
  </si>
  <si>
    <t>Art. têxteis de uso doméstico e outros têxteis</t>
  </si>
  <si>
    <t>Energia elétrica, gás natural e outras utilidades</t>
  </si>
  <si>
    <t>Artigos do vestuário e acessórios</t>
  </si>
  <si>
    <t>Transmissão de energia elétrica</t>
  </si>
  <si>
    <t>ISIC 351</t>
  </si>
  <si>
    <t>351: Electricity generation and distribution</t>
  </si>
  <si>
    <t>Calçados e artefatos de couro</t>
  </si>
  <si>
    <t>Produção de gás; processamento de gás natural; distribuição de combustíveis gasosos por redes urbanas</t>
  </si>
  <si>
    <t>ISIC 352T353</t>
  </si>
  <si>
    <t>352T353: Energy pipelines and gas processing</t>
  </si>
  <si>
    <t>Produtos de madeira, exclusive móveis</t>
  </si>
  <si>
    <t>Wood and of products of wood and cork (except furniture)</t>
  </si>
  <si>
    <t>Água, esgoto e gestão de resíduos</t>
  </si>
  <si>
    <t>ISIC 36T39</t>
  </si>
  <si>
    <t>36T39: Water and waste</t>
  </si>
  <si>
    <t>Celulose</t>
  </si>
  <si>
    <t>Construção</t>
  </si>
  <si>
    <t>ISIC 41T43</t>
  </si>
  <si>
    <t>41T43: Construction</t>
  </si>
  <si>
    <t>Papel, papelão, embalagens e artefatos de papel</t>
  </si>
  <si>
    <t>Paper products and printing</t>
  </si>
  <si>
    <t>Comércio por atacado e varejo</t>
  </si>
  <si>
    <t>ISIC 45T47</t>
  </si>
  <si>
    <t>45T47: Wholesale and retail trade; repair of motor vehicles</t>
  </si>
  <si>
    <t>Serviços de impressão e reprodução</t>
  </si>
  <si>
    <t>Transporte terrestre</t>
  </si>
  <si>
    <t>ISIC 49T53</t>
  </si>
  <si>
    <t>49T53: Transportation and storage</t>
  </si>
  <si>
    <t>Combustíveis para aviação</t>
  </si>
  <si>
    <t>Coke and refined petroleum products</t>
  </si>
  <si>
    <t>Transporte aquaviário</t>
  </si>
  <si>
    <t>Gasoálcool</t>
  </si>
  <si>
    <t>Transporte aéreo</t>
  </si>
  <si>
    <t>Naftas para petroquímica</t>
  </si>
  <si>
    <t>Armazenamento, atividades auxiliares dos transportes e correio</t>
  </si>
  <si>
    <t xml:space="preserve">Óleo combustível  </t>
  </si>
  <si>
    <t>Alojamento</t>
  </si>
  <si>
    <t>ISIC 55T56</t>
  </si>
  <si>
    <t>55T56: Accomodation and food services</t>
  </si>
  <si>
    <t>Diesel - biodiesel</t>
  </si>
  <si>
    <t>Alimentação</t>
  </si>
  <si>
    <t>Outros produtos do refino do petróleo</t>
  </si>
  <si>
    <t>Edição e edição integrada à impressão</t>
  </si>
  <si>
    <t>ISIC 58T60</t>
  </si>
  <si>
    <t>58T60: Publishing, audiovisual and broadcasting activities</t>
  </si>
  <si>
    <t>Etanol e outros biocombustíveis</t>
  </si>
  <si>
    <t>ISIC does not have a group for biofuels</t>
  </si>
  <si>
    <t>Atividades de televisão, rádio, cinema e  gravação/edição de som e imagem</t>
  </si>
  <si>
    <t>Produtos químicos inorgânicos</t>
  </si>
  <si>
    <t>Chemicals</t>
  </si>
  <si>
    <t>Telecomunicações</t>
  </si>
  <si>
    <t>ISIC 61</t>
  </si>
  <si>
    <t>61: Telecommunications</t>
  </si>
  <si>
    <t>Adubos e fertilizantes</t>
  </si>
  <si>
    <t>Desenvolvimento de sistemas e outros serviços de informação</t>
  </si>
  <si>
    <t>ISIC 62T63</t>
  </si>
  <si>
    <t>62T63: IT and other information services</t>
  </si>
  <si>
    <t>Produtos químicos orgânicos</t>
  </si>
  <si>
    <t>Intermediação financeira, seguros e previdência complementar</t>
  </si>
  <si>
    <t>ISIC 64T66</t>
  </si>
  <si>
    <t>64T66: Financial and insurance activities</t>
  </si>
  <si>
    <t>Resinas,elastômeros e fibras artif. e sintéticas</t>
  </si>
  <si>
    <t>Atividades imobiliárias</t>
  </si>
  <si>
    <t>ISIC 68</t>
  </si>
  <si>
    <t>68: Real estate activities</t>
  </si>
  <si>
    <t>Defensivos agrícolas e desinfestantes domissanitários</t>
  </si>
  <si>
    <t xml:space="preserve">Atividades jurídicas, contábeis, consultoria e sedes de empresas </t>
  </si>
  <si>
    <t>ISIC 69T82</t>
  </si>
  <si>
    <t>69T82: Other business sector services</t>
  </si>
  <si>
    <t xml:space="preserve">Produtos químicos diversos </t>
  </si>
  <si>
    <t>Serviços de arquitetura, engenharia, testes/análises técnicas e P &amp; D</t>
  </si>
  <si>
    <t>Tintas, vernizes, esmaltes e lacas</t>
  </si>
  <si>
    <t>Outras atividades profissionais, científicas e técnicas</t>
  </si>
  <si>
    <t>Perfumaria, sabões e artigos de limpeza</t>
  </si>
  <si>
    <t>Aluguéis não imobiliários e gestão de ativos de propriedade intelectual</t>
  </si>
  <si>
    <t>Produtos farmacêuticos</t>
  </si>
  <si>
    <t>Pharmaceuticals</t>
  </si>
  <si>
    <t>Outras atividades administrativas e serviços complementares</t>
  </si>
  <si>
    <t>Artigos de borracha</t>
  </si>
  <si>
    <t>Rubber and plastics products</t>
  </si>
  <si>
    <t>Atividades de vigilância, segurança e investigação</t>
  </si>
  <si>
    <t>Artigos de plástico</t>
  </si>
  <si>
    <t>Administração pública, defesa e seguridade social</t>
  </si>
  <si>
    <t>ISIC 84</t>
  </si>
  <si>
    <t>84: Public administration and defence; compulsory social security</t>
  </si>
  <si>
    <t>Cimento</t>
  </si>
  <si>
    <t>Cement and other nometallic minerals</t>
  </si>
  <si>
    <t>Educação pública</t>
  </si>
  <si>
    <t>ISIC 85</t>
  </si>
  <si>
    <t>85: Education</t>
  </si>
  <si>
    <t>Artefatos de cimento, gesso e semelhantes</t>
  </si>
  <si>
    <t>Educação privada</t>
  </si>
  <si>
    <t>Glass</t>
  </si>
  <si>
    <t>Saúde pública</t>
  </si>
  <si>
    <t>ISIC 86T88</t>
  </si>
  <si>
    <t>86T88: Human health and social work</t>
  </si>
  <si>
    <t>Ferro-gusa e ferroligas</t>
  </si>
  <si>
    <t>Iron and steel</t>
  </si>
  <si>
    <t>Saúde privada</t>
  </si>
  <si>
    <t>Semi-acabacados, laminados planos, longos e tubos de aço</t>
  </si>
  <si>
    <t>Atividades artísticas, criativas e de espetáculos</t>
  </si>
  <si>
    <t>ISIC 90T96</t>
  </si>
  <si>
    <t>90T96: Arts, entertainment, recreation and other service activities</t>
  </si>
  <si>
    <t>Produtos da metalurgia de metais não-ferrosos</t>
  </si>
  <si>
    <t>Other metals</t>
  </si>
  <si>
    <t>Organizações associativas e outros serviços pessoais</t>
  </si>
  <si>
    <t>Peças fundidas de aço e de metais não ferrosos</t>
  </si>
  <si>
    <t>Serviços domésticos</t>
  </si>
  <si>
    <t>ISIC 97T98</t>
  </si>
  <si>
    <t>97T98: Private households with employed persons</t>
  </si>
  <si>
    <t>Produtos de metal, excl. máquinas e equipamentos</t>
  </si>
  <si>
    <t>Fabricated metal products, except machinery and equipment</t>
  </si>
  <si>
    <t>Componentes eletrônicos</t>
  </si>
  <si>
    <t>Computer, electronic and optical products</t>
  </si>
  <si>
    <t>Máquinas para escritório e equip. de informática</t>
  </si>
  <si>
    <t>Material eletrônico e equip. de comunicações</t>
  </si>
  <si>
    <t>Equip. de medida, teste e controle, ópticos e eletromédicos</t>
  </si>
  <si>
    <t>Máquinas, aparelhos e materiais elétricos</t>
  </si>
  <si>
    <t>Electrical equipment</t>
  </si>
  <si>
    <t>Eletrodomésticos</t>
  </si>
  <si>
    <t>Tratores e outras máquinas agrícolas</t>
  </si>
  <si>
    <t>Machinery and equipment n.e.c.</t>
  </si>
  <si>
    <t>Máquinas para a extração mineral e a construção</t>
  </si>
  <si>
    <t>Outras máquinas e equipamentos mecânicos</t>
  </si>
  <si>
    <t>Automóveis, camionetas e utilitários</t>
  </si>
  <si>
    <t>Motor vehicles, trailers and semi-trailers</t>
  </si>
  <si>
    <t>Caminhões e ônibus, incl. cabines, carrocerias e reboques</t>
  </si>
  <si>
    <t>Peças e acessórios para veículos automotores</t>
  </si>
  <si>
    <t>Aeronaves, embarcações e outros equipamentos de transporte</t>
  </si>
  <si>
    <t>Other transport equipment</t>
  </si>
  <si>
    <t>Móveis</t>
  </si>
  <si>
    <t>Produtos de industrias diversas</t>
  </si>
  <si>
    <t>Other manufacturing; repair and installation of machinery and equipment</t>
  </si>
  <si>
    <t>Eletricidade, gás e outras utilidades</t>
  </si>
  <si>
    <t>Electricity generation and distribution</t>
  </si>
  <si>
    <t>Energy pipelines and gas processing</t>
  </si>
  <si>
    <t>Água, esgoto, reciclagem e gestão de resíduos</t>
  </si>
  <si>
    <t>Water and waste</t>
  </si>
  <si>
    <t>Edificações</t>
  </si>
  <si>
    <t>Construction</t>
  </si>
  <si>
    <t>Obras de infra-estrutura</t>
  </si>
  <si>
    <t>Serviços especializados para construção</t>
  </si>
  <si>
    <t>Comércio e reparação de veículos</t>
  </si>
  <si>
    <t>Wholesale and retail trade; repair of motor vehicles</t>
  </si>
  <si>
    <t>Comércio por atacado e a varejo, exceto veículos automotores</t>
  </si>
  <si>
    <t>Transporte terrestre de carga</t>
  </si>
  <si>
    <t>Transporte terrestre de passageiros</t>
  </si>
  <si>
    <t>Transportation and storage</t>
  </si>
  <si>
    <t>Armazenamento e serviços auxiliares aos transportes</t>
  </si>
  <si>
    <t>Correio e outros serviços de entrega</t>
  </si>
  <si>
    <t>Serviços de alojamento em hotéis e similares</t>
  </si>
  <si>
    <t>Accomodation and food services</t>
  </si>
  <si>
    <t>Serviços  de alimentação</t>
  </si>
  <si>
    <t>Publishing, audiovisual and broadcasting activities</t>
  </si>
  <si>
    <t>Livros, jornais e revistas</t>
  </si>
  <si>
    <t>Serviços cinematográficos, música, rádio e televisão</t>
  </si>
  <si>
    <t>Telecomunicações, TV por assinatura e outros serv. relacionados</t>
  </si>
  <si>
    <t>Telecommunications</t>
  </si>
  <si>
    <t>IT and other information services</t>
  </si>
  <si>
    <t>Financial and insurance activities</t>
  </si>
  <si>
    <t>Aluguel efetivo e serviços imobiliários</t>
  </si>
  <si>
    <t>Real estate activities</t>
  </si>
  <si>
    <t>Aluguel imputado</t>
  </si>
  <si>
    <t>Serviços jurídicos, contabilidade e consultoria</t>
  </si>
  <si>
    <t>Other business sector services</t>
  </si>
  <si>
    <t>Pesquisa e desenvolvimento</t>
  </si>
  <si>
    <t>Serviços de arquitetura e engenharia</t>
  </si>
  <si>
    <t>Publicidade e outros serviços técnicos</t>
  </si>
  <si>
    <t>Aluguéis não-imob. e gestão de ativos de propriedade intelectual</t>
  </si>
  <si>
    <t>Condomínios e serviços para edifícios</t>
  </si>
  <si>
    <t>Outros serviços administrativos</t>
  </si>
  <si>
    <t>Serviços de vigilância, segurança e investigação</t>
  </si>
  <si>
    <t>Serviços coletivos da administração pública</t>
  </si>
  <si>
    <t>Public administration and defence; compulsory social security</t>
  </si>
  <si>
    <t>Serviços de previdência e assistência social</t>
  </si>
  <si>
    <t>Education</t>
  </si>
  <si>
    <t>Human health and social work</t>
  </si>
  <si>
    <t>Serviços de artes, cultura, esporte e recreação</t>
  </si>
  <si>
    <t>Arts, entertainment, recreation and other service activities</t>
  </si>
  <si>
    <t>Organizações patronais, sindicais e outros serviços associativos</t>
  </si>
  <si>
    <t>Manutenção de computadores, telefones e objetos domésticos</t>
  </si>
  <si>
    <t>Serviços pessoais</t>
  </si>
  <si>
    <t>Private households with employed persons</t>
  </si>
  <si>
    <t>Tabela 2 - Usos de bens e serviços - 2012</t>
  </si>
  <si>
    <t>Código
do
produto</t>
  </si>
  <si>
    <t>Consumo intermediário das atividades  (valores correntes em 1 000 000 R$)</t>
  </si>
  <si>
    <t>0191
Agricultura, inclusive o apoio à agricultura e a pós-colheita</t>
  </si>
  <si>
    <t>0192
Pecuária, inclusive o apoio à pecuária</t>
  </si>
  <si>
    <t>0280
Produção florestal; pesca e aquicultura</t>
  </si>
  <si>
    <t>0580
Extração de carvão mineral e de minerais não-metálicos</t>
  </si>
  <si>
    <t>0680
Extração de petróleo e gás, inclusive as atividades de apoio</t>
  </si>
  <si>
    <t>0791
Extração de minério de ferro, inclusive beneficiamentos e a aglomeração</t>
  </si>
  <si>
    <t>0792
Extração de minerais metálicos não-ferrosos, inclusive beneficiamentos</t>
  </si>
  <si>
    <t>1091
Abate e produtos de carne, inclusive os produtos do laticínio e da pesca</t>
  </si>
  <si>
    <t>1092
Fabricação e refino de açúcar</t>
  </si>
  <si>
    <t>1093
Outros produtos alimentares</t>
  </si>
  <si>
    <t>1100
Fabricação de bebidas</t>
  </si>
  <si>
    <t>1200
Fabricação de produtos do fumo</t>
  </si>
  <si>
    <t>1300
Fabricação de produtos têxteis</t>
  </si>
  <si>
    <t>1400
Confecção de artefatos do vestuário e acessórios</t>
  </si>
  <si>
    <t>1500
Fabricação de calçados e de artefatos de couro</t>
  </si>
  <si>
    <t>1600
Fabricação de produtos da madeira</t>
  </si>
  <si>
    <t>1700
Fabricação de celulose, papel e produtos de papel</t>
  </si>
  <si>
    <t>1800
Impressão e reprodução de gravações</t>
  </si>
  <si>
    <t>1991
Refino de petróleo e coquerias</t>
  </si>
  <si>
    <t>1992
Fabricação de biocombustíveis</t>
  </si>
  <si>
    <t>2091
Fabricação de químicos orgânicos e inorgânicos, resinas e elastômeros</t>
  </si>
  <si>
    <t>2092
Fabricação de defensivos, desinfestantes, tintas e químicos diversos</t>
  </si>
  <si>
    <t>2093
Fabricação de produtos de limpeza, cosméticos/perfumaria e higiene pessoal</t>
  </si>
  <si>
    <t>2100
Fabricação de produtos farmoquímicos e farmacêuticos</t>
  </si>
  <si>
    <t>2200
Fabricação de produtos de borracha e de material plástico</t>
  </si>
  <si>
    <t>2300
Fabricação de produtos de minerais não-metálicos</t>
  </si>
  <si>
    <t>2491
Produção de ferro-gusa/ferroligas, siderurgia e tubos de aço sem costura</t>
  </si>
  <si>
    <t>2492
Metalurgia de metais não-ferrosos e a fundição de metais</t>
  </si>
  <si>
    <t>2500
Fabricação de produtos de metal, exceto máquinas e equipamentos</t>
  </si>
  <si>
    <t>2600
Fabricação de equipamentos de informática, produtos eletrônicos e ópticos</t>
  </si>
  <si>
    <t>2700
Fabricação de máquinas e equipamentos elétricos</t>
  </si>
  <si>
    <t>2800
Fabricação de máquinas e equipamentos mecânicos</t>
  </si>
  <si>
    <t>2991
Fabricação de automóveis, caminhões e ônibus, exceto peças</t>
  </si>
  <si>
    <t>2992
Fabricação de peças e acessórios para veículos automotores</t>
  </si>
  <si>
    <t>3000
Fabricação de outros equipamentos de transporte, exceto veículos automotores</t>
  </si>
  <si>
    <t>3180
Fabricação de móveis e de produtos de indústrias diversas</t>
  </si>
  <si>
    <t>3300
Manutenção, reparação e instalação de máquinas e equipamentos</t>
  </si>
  <si>
    <t>3500
Energia elétrica, gás natural e outras utilidades</t>
  </si>
  <si>
    <t>3680
Água, esgoto e gestão de resíduos</t>
  </si>
  <si>
    <t>4180
Construção</t>
  </si>
  <si>
    <t>4500
Comércio e reparação de veículos automotores e motocicletas</t>
  </si>
  <si>
    <t>4680
Comércio por atacado e a varejo, exceto veículos automotores</t>
  </si>
  <si>
    <t>4900
Transporte terrestre</t>
  </si>
  <si>
    <t>5000
Transporte aquaviário</t>
  </si>
  <si>
    <t>5100
Transporte aéreo</t>
  </si>
  <si>
    <t>5280
Armazenamento, atividades auxiliares dos transportes e correio</t>
  </si>
  <si>
    <t>5500
Alojamento</t>
  </si>
  <si>
    <t>5600
Alimentação</t>
  </si>
  <si>
    <t>5800
Edição e edição integrada à impressão</t>
  </si>
  <si>
    <t>5980
Atividades de televisão, rádio, cinema e  gravação/edição de som e imagem</t>
  </si>
  <si>
    <t>6100
Telecomunicações</t>
  </si>
  <si>
    <t>6280
Desenvolvimento de sistemas e outros serviços de informação</t>
  </si>
  <si>
    <t>6480
Intermediação financeira, seguros e previdência complementar</t>
  </si>
  <si>
    <t>6800
Atividades imobiliárias</t>
  </si>
  <si>
    <t xml:space="preserve">6980
Atividades jurídicas, contábeis, consultoria e sedes de empresas </t>
  </si>
  <si>
    <t>7180
Serviços de arquitetura, engenharia, testes/análises técnicas e P &amp; D</t>
  </si>
  <si>
    <t>7380
Outras atividades profissionais, científicas e técnicas</t>
  </si>
  <si>
    <t>7700
Aluguéis não-imobiliários e gestão de ativos de propriedade intelectual</t>
  </si>
  <si>
    <t>7880
Outras atividades administrativas e serviços complementares</t>
  </si>
  <si>
    <t>8000
Atividades de vigilância, segurança e investigação</t>
  </si>
  <si>
    <t>8400
Administração pública, defesa e seguridade social</t>
  </si>
  <si>
    <t>8591
Educação pública</t>
  </si>
  <si>
    <t>8592
Educação privada</t>
  </si>
  <si>
    <t>8691
Saúde pública</t>
  </si>
  <si>
    <t>8692
Saúde privada</t>
  </si>
  <si>
    <t>9080
Atividades artísticas, criativas e de espetáculos</t>
  </si>
  <si>
    <t>9480
Organizações associativas e outros serviços pessoais</t>
  </si>
  <si>
    <t>9700
Serviços domésticos</t>
  </si>
  <si>
    <t>Total
do produto</t>
  </si>
  <si>
    <t>Exportação
de bens e
serviços (1)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</si>
  <si>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</si>
  <si>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</si>
  <si>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</si>
  <si>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</si>
  <si>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</si>
  <si>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</si>
  <si>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</si>
  <si>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Matching ISIC Code</t>
  </si>
  <si>
    <t>Total</t>
  </si>
  <si>
    <t>Cement and Other Nometallic Minerals</t>
  </si>
  <si>
    <t>Government</t>
  </si>
  <si>
    <t>million USD</t>
  </si>
  <si>
    <t>Households</t>
  </si>
  <si>
    <t>percent</t>
  </si>
  <si>
    <t>Unit: USD</t>
  </si>
  <si>
    <t>Government Expenditures</t>
  </si>
  <si>
    <t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</si>
</sst>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#,##0.0_ ;\-#,##0.0\ "/>
    <numFmt numFmtId="165" formatCode="0.000"/>
    <numFmt numFmtId="166" formatCode="#\ ###\ ###\ ##0;\ \(\-\)\ ###\ ###\ ##0"/>
    <numFmt numFmtId="167" formatCode="0000"/>
    <numFmt numFmtId="168" formatCode="00000"/>
    <numFmt numFmtId="169" formatCode="#"/>
  </numFmts>
  <fonts count="28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indexed="8"/>
      <name val="Arial"/>
      <family val="2"/>
    </font>
    <font>
      <b/>
      <sz val="9"/>
      <color theme="1"/>
      <name val="Calibri"/>
      <family val="2"/>
    </font>
    <font>
      <b/>
      <sz val="9"/>
      <name val="Univers"/>
      <family val="2"/>
    </font>
    <font>
      <sz val="9"/>
      <name val="Univers"/>
      <family val="2"/>
    </font>
    <font>
      <sz val="10"/>
      <name val="Univers"/>
      <family val="2"/>
    </font>
    <font>
      <sz val="6"/>
      <name val="Univers"/>
      <family val="2"/>
    </font>
    <font>
      <sz val="8"/>
      <name val="Univers"/>
      <family val="2"/>
    </font>
    <font>
      <sz val="6"/>
      <color indexed="8"/>
      <name val="Univers"/>
      <family val="2"/>
    </font>
    <font>
      <b/>
      <sz val="6"/>
      <name val="Univers"/>
      <family val="2"/>
    </font>
    <font>
      <b/>
      <sz val="10"/>
      <name val="Univers"/>
      <family val="2"/>
    </font>
    <font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43" fontId="16" fillId="0" borderId="0" applyFont="0" applyFill="0" applyBorder="0" applyAlignment="0" applyProtection="0"/>
    <xf numFmtId="0" fontId="1" fillId="0" borderId="0"/>
  </cellStyleXfs>
  <cellXfs count="9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/>
    <xf numFmtId="0" fontId="0" fillId="0" borderId="0" xfId="0" applyAlignment="1">
      <alignment horizontal="right"/>
    </xf>
    <xf numFmtId="0" fontId="5" fillId="0" borderId="1" xfId="2" applyFont="1" applyBorder="1"/>
    <xf numFmtId="0" fontId="4" fillId="0" borderId="0" xfId="2"/>
    <xf numFmtId="0" fontId="6" fillId="0" borderId="1" xfId="2" applyFont="1" applyBorder="1" applyAlignment="1">
      <alignment horizontal="left" wrapText="1"/>
    </xf>
    <xf numFmtId="0" fontId="9" fillId="3" borderId="1" xfId="2" applyFont="1" applyFill="1" applyBorder="1" applyAlignment="1">
      <alignment horizontal="center" vertical="top" wrapText="1"/>
    </xf>
    <xf numFmtId="0" fontId="10" fillId="4" borderId="1" xfId="2" applyFont="1" applyFill="1" applyBorder="1" applyAlignment="1">
      <alignment wrapText="1"/>
    </xf>
    <xf numFmtId="0" fontId="11" fillId="5" borderId="1" xfId="2" applyFont="1" applyFill="1" applyBorder="1" applyAlignment="1">
      <alignment horizontal="center"/>
    </xf>
    <xf numFmtId="0" fontId="12" fillId="4" borderId="1" xfId="2" applyFont="1" applyFill="1" applyBorder="1" applyAlignment="1">
      <alignment vertical="top" wrapText="1"/>
    </xf>
    <xf numFmtId="164" fontId="5" fillId="0" borderId="1" xfId="2" applyNumberFormat="1" applyFont="1" applyBorder="1" applyAlignment="1">
      <alignment horizontal="right"/>
    </xf>
    <xf numFmtId="164" fontId="5" fillId="6" borderId="1" xfId="2" applyNumberFormat="1" applyFont="1" applyFill="1" applyBorder="1" applyAlignment="1">
      <alignment horizontal="right"/>
    </xf>
    <xf numFmtId="0" fontId="13" fillId="0" borderId="0" xfId="2" applyFont="1" applyAlignment="1">
      <alignment horizontal="left"/>
    </xf>
    <xf numFmtId="0" fontId="14" fillId="0" borderId="0" xfId="0" applyFont="1" applyAlignment="1">
      <alignment horizontal="left"/>
    </xf>
    <xf numFmtId="165" fontId="0" fillId="0" borderId="0" xfId="0" applyNumberFormat="1"/>
    <xf numFmtId="0" fontId="2" fillId="7" borderId="0" xfId="0" applyFont="1" applyFill="1"/>
    <xf numFmtId="0" fontId="1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7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2" fillId="7" borderId="0" xfId="0" applyFont="1" applyFill="1" applyAlignment="1">
      <alignment horizontal="left" wrapText="1"/>
    </xf>
    <xf numFmtId="0" fontId="0" fillId="8" borderId="6" xfId="0" applyFill="1" applyBorder="1" applyAlignment="1">
      <alignment horizontal="right"/>
    </xf>
    <xf numFmtId="0" fontId="0" fillId="8" borderId="7" xfId="0" applyFill="1" applyBorder="1" applyAlignment="1">
      <alignment horizontal="right"/>
    </xf>
    <xf numFmtId="0" fontId="0" fillId="8" borderId="8" xfId="0" applyFill="1" applyBorder="1" applyAlignment="1">
      <alignment horizontal="right"/>
    </xf>
    <xf numFmtId="0" fontId="19" fillId="0" borderId="0" xfId="2" applyFont="1" applyAlignment="1">
      <alignment horizontal="centerContinuous"/>
    </xf>
    <xf numFmtId="0" fontId="20" fillId="0" borderId="0" xfId="2" applyFont="1"/>
    <xf numFmtId="0" fontId="20" fillId="0" borderId="0" xfId="2" applyFont="1" applyAlignment="1">
      <alignment horizontal="centerContinuous"/>
    </xf>
    <xf numFmtId="0" fontId="21" fillId="0" borderId="0" xfId="2" applyFont="1"/>
    <xf numFmtId="0" fontId="21" fillId="0" borderId="0" xfId="2" quotePrefix="1" applyFont="1"/>
    <xf numFmtId="166" fontId="22" fillId="0" borderId="0" xfId="2" applyNumberFormat="1" applyFont="1"/>
    <xf numFmtId="0" fontId="22" fillId="0" borderId="0" xfId="2" applyFont="1" applyAlignment="1">
      <alignment horizontal="right"/>
    </xf>
    <xf numFmtId="0" fontId="22" fillId="0" borderId="12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left" vertical="center"/>
    </xf>
    <xf numFmtId="0" fontId="22" fillId="0" borderId="14" xfId="2" applyFont="1" applyBorder="1" applyAlignment="1">
      <alignment horizontal="left" vertical="center"/>
    </xf>
    <xf numFmtId="0" fontId="22" fillId="0" borderId="14" xfId="2" applyFont="1" applyBorder="1" applyAlignment="1">
      <alignment horizontal="centerContinuous" vertical="center"/>
    </xf>
    <xf numFmtId="0" fontId="23" fillId="0" borderId="14" xfId="2" applyFont="1" applyBorder="1" applyAlignment="1">
      <alignment horizontal="centerContinuous" vertical="center"/>
    </xf>
    <xf numFmtId="0" fontId="23" fillId="0" borderId="12" xfId="2" applyFont="1" applyBorder="1" applyAlignment="1">
      <alignment horizontal="centerContinuous" vertical="center"/>
    </xf>
    <xf numFmtId="0" fontId="4" fillId="0" borderId="12" xfId="2" applyBorder="1" applyAlignment="1">
      <alignment horizontal="center" vertical="center" wrapText="1"/>
    </xf>
    <xf numFmtId="0" fontId="22" fillId="0" borderId="13" xfId="2" applyFont="1" applyBorder="1" applyAlignment="1">
      <alignment horizontal="center" vertical="center" wrapText="1"/>
    </xf>
    <xf numFmtId="0" fontId="22" fillId="0" borderId="15" xfId="2" applyFont="1" applyBorder="1" applyAlignment="1">
      <alignment horizontal="center" vertical="center" wrapText="1"/>
    </xf>
    <xf numFmtId="0" fontId="4" fillId="0" borderId="0" xfId="2" applyAlignment="1">
      <alignment horizontal="center" vertical="center" wrapText="1"/>
    </xf>
    <xf numFmtId="0" fontId="22" fillId="0" borderId="0" xfId="2" applyFont="1" applyAlignment="1">
      <alignment horizontal="center" vertical="center" wrapText="1"/>
    </xf>
    <xf numFmtId="0" fontId="24" fillId="8" borderId="5" xfId="5" applyFont="1" applyFill="1" applyBorder="1" applyAlignment="1">
      <alignment horizontal="left"/>
    </xf>
    <xf numFmtId="0" fontId="24" fillId="8" borderId="5" xfId="5" applyFont="1" applyFill="1" applyBorder="1" applyAlignment="1">
      <alignment horizontal="right"/>
    </xf>
    <xf numFmtId="167" fontId="22" fillId="8" borderId="13" xfId="2" applyNumberFormat="1" applyFont="1" applyFill="1" applyBorder="1" applyAlignment="1">
      <alignment horizontal="center"/>
    </xf>
    <xf numFmtId="168" fontId="22" fillId="9" borderId="0" xfId="2" applyNumberFormat="1" applyFont="1" applyFill="1" applyAlignment="1">
      <alignment horizontal="center"/>
    </xf>
    <xf numFmtId="167" fontId="22" fillId="8" borderId="0" xfId="2" applyNumberFormat="1" applyFont="1" applyFill="1" applyAlignment="1">
      <alignment horizontal="center"/>
    </xf>
    <xf numFmtId="167" fontId="22" fillId="8" borderId="0" xfId="2" applyNumberFormat="1" applyFont="1" applyFill="1"/>
    <xf numFmtId="0" fontId="22" fillId="9" borderId="0" xfId="2" applyFont="1" applyFill="1"/>
    <xf numFmtId="166" fontId="22" fillId="9" borderId="0" xfId="2" applyNumberFormat="1" applyFont="1" applyFill="1"/>
    <xf numFmtId="168" fontId="22" fillId="0" borderId="0" xfId="2" applyNumberFormat="1" applyFont="1" applyAlignment="1">
      <alignment horizontal="center"/>
    </xf>
    <xf numFmtId="0" fontId="22" fillId="0" borderId="0" xfId="2" applyFont="1"/>
    <xf numFmtId="0" fontId="22" fillId="0" borderId="0" xfId="2" applyFont="1" applyAlignment="1">
      <alignment horizontal="left"/>
    </xf>
    <xf numFmtId="169" fontId="22" fillId="0" borderId="0" xfId="2" applyNumberFormat="1" applyFont="1"/>
    <xf numFmtId="0" fontId="25" fillId="0" borderId="0" xfId="2" applyFont="1" applyAlignment="1">
      <alignment horizontal="center"/>
    </xf>
    <xf numFmtId="0" fontId="25" fillId="0" borderId="0" xfId="2" applyFont="1"/>
    <xf numFmtId="166" fontId="25" fillId="0" borderId="0" xfId="2" applyNumberFormat="1" applyFont="1"/>
    <xf numFmtId="0" fontId="26" fillId="0" borderId="0" xfId="2" applyFont="1"/>
    <xf numFmtId="0" fontId="21" fillId="0" borderId="0" xfId="2" applyFont="1" applyAlignment="1">
      <alignment horizontal="center"/>
    </xf>
    <xf numFmtId="0" fontId="1" fillId="0" borderId="0" xfId="8" applyAlignment="1">
      <alignment horizontal="center" vertical="center"/>
    </xf>
    <xf numFmtId="0" fontId="1" fillId="0" borderId="0" xfId="8" applyAlignment="1">
      <alignment vertical="center"/>
    </xf>
    <xf numFmtId="0" fontId="27" fillId="0" borderId="0" xfId="2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7" fillId="0" borderId="0" xfId="2" applyFont="1" applyAlignment="1">
      <alignment horizontal="center" vertical="center" wrapText="1"/>
    </xf>
    <xf numFmtId="0" fontId="18" fillId="7" borderId="0" xfId="3" applyFont="1" applyFill="1" applyAlignment="1">
      <alignment horizontal="center" vertical="center"/>
    </xf>
    <xf numFmtId="0" fontId="18" fillId="0" borderId="0" xfId="3" applyFont="1" applyAlignment="1">
      <alignment vertical="center"/>
    </xf>
    <xf numFmtId="167" fontId="27" fillId="0" borderId="0" xfId="2" applyNumberFormat="1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168" fontId="27" fillId="0" borderId="0" xfId="2" applyNumberFormat="1" applyFont="1" applyAlignment="1">
      <alignment horizontal="center" vertical="center"/>
    </xf>
    <xf numFmtId="167" fontId="27" fillId="10" borderId="0" xfId="2" applyNumberFormat="1" applyFont="1" applyFill="1" applyAlignment="1">
      <alignment horizontal="center" vertical="center"/>
    </xf>
    <xf numFmtId="0" fontId="1" fillId="10" borderId="0" xfId="8" applyFill="1" applyAlignment="1">
      <alignment vertical="center"/>
    </xf>
    <xf numFmtId="0" fontId="1" fillId="10" borderId="0" xfId="8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vertical="center"/>
    </xf>
    <xf numFmtId="168" fontId="27" fillId="10" borderId="0" xfId="2" applyNumberFormat="1" applyFont="1" applyFill="1" applyAlignment="1">
      <alignment horizontal="center" vertical="center"/>
    </xf>
    <xf numFmtId="0" fontId="1" fillId="0" borderId="0" xfId="8" quotePrefix="1" applyAlignment="1">
      <alignment horizontal="center" vertical="center"/>
    </xf>
    <xf numFmtId="11" fontId="0" fillId="0" borderId="0" xfId="0" applyNumberFormat="1"/>
    <xf numFmtId="11" fontId="0" fillId="8" borderId="9" xfId="0" applyNumberFormat="1" applyFill="1" applyBorder="1"/>
    <xf numFmtId="11" fontId="0" fillId="8" borderId="10" xfId="0" applyNumberFormat="1" applyFill="1" applyBorder="1"/>
    <xf numFmtId="11" fontId="0" fillId="8" borderId="11" xfId="0" applyNumberFormat="1" applyFill="1" applyBorder="1"/>
    <xf numFmtId="0" fontId="7" fillId="2" borderId="2" xfId="2" applyFont="1" applyFill="1" applyBorder="1" applyAlignment="1">
      <alignment horizontal="right" vertical="top" wrapText="1"/>
    </xf>
    <xf numFmtId="0" fontId="7" fillId="2" borderId="3" xfId="2" applyFont="1" applyFill="1" applyBorder="1" applyAlignment="1">
      <alignment horizontal="right" vertical="top" wrapText="1"/>
    </xf>
    <xf numFmtId="0" fontId="9" fillId="2" borderId="2" xfId="2" applyFont="1" applyFill="1" applyBorder="1" applyAlignment="1">
      <alignment vertical="top" wrapText="1"/>
    </xf>
    <xf numFmtId="0" fontId="9" fillId="2" borderId="4" xfId="2" applyFont="1" applyFill="1" applyBorder="1" applyAlignment="1">
      <alignment vertical="top" wrapText="1"/>
    </xf>
    <xf numFmtId="0" fontId="9" fillId="2" borderId="3" xfId="2" applyFont="1" applyFill="1" applyBorder="1" applyAlignment="1">
      <alignment vertical="top" wrapText="1"/>
    </xf>
    <xf numFmtId="0" fontId="7" fillId="3" borderId="2" xfId="2" applyFont="1" applyFill="1" applyBorder="1" applyAlignment="1">
      <alignment horizontal="right" vertical="center" wrapText="1"/>
    </xf>
    <xf numFmtId="0" fontId="7" fillId="3" borderId="3" xfId="2" applyFont="1" applyFill="1" applyBorder="1" applyAlignment="1">
      <alignment horizontal="right" vertical="center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22" fillId="0" borderId="12" xfId="2" applyFont="1" applyBorder="1" applyAlignment="1">
      <alignment horizontal="center" vertical="center" wrapText="1"/>
    </xf>
    <xf numFmtId="0" fontId="4" fillId="0" borderId="12" xfId="2" applyBorder="1" applyAlignment="1">
      <alignment horizontal="center" vertical="center" wrapText="1"/>
    </xf>
    <xf numFmtId="0" fontId="22" fillId="0" borderId="13" xfId="2" applyFont="1" applyBorder="1" applyAlignment="1">
      <alignment horizontal="center" vertical="center" wrapText="1"/>
    </xf>
    <xf numFmtId="0" fontId="4" fillId="0" borderId="13" xfId="2" applyBorder="1" applyAlignment="1">
      <alignment horizontal="center" vertical="center" wrapText="1"/>
    </xf>
  </cellXfs>
  <cellStyles count="9">
    <cellStyle name="Comma 2" xfId="7"/>
    <cellStyle name="Lien hypertexte" xfId="1" builtinId="8"/>
    <cellStyle name="Normal" xfId="0" builtinId="0"/>
    <cellStyle name="Normal 2" xfId="2"/>
    <cellStyle name="Normal 2 2" xfId="4"/>
    <cellStyle name="Normal 3" xfId="3"/>
    <cellStyle name="Normal 4 2 2" xfId="6"/>
    <cellStyle name="Normal 5" xfId="8"/>
    <cellStyle name="Normal_Sheet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igu/Documents/_swj/_Talanoa/CPSA%20Fletcher/dados/InputData%20(BR)%202024/d14%20io-model/FoGPbEaIC/Frac%20of%20Goods%20Purchased%20by%20Entity%20and%20ISIC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Industry Category ISIC Code Map"/>
      <sheetName val="SCNtoISIC"/>
      <sheetName val="DLIM IBGE Use Table"/>
      <sheetName val="FoGPbEaIC-isic"/>
      <sheetName val="FoGPbEaIC-entity"/>
    </sheetNames>
    <sheetDataSet>
      <sheetData sheetId="0" refreshError="1"/>
      <sheetData sheetId="1"/>
      <sheetData sheetId="2">
        <row r="3">
          <cell r="B3" t="str">
            <v>SCN67</v>
          </cell>
          <cell r="D3" t="str">
            <v>ISIC Code</v>
          </cell>
        </row>
        <row r="4">
          <cell r="B4">
            <v>191</v>
          </cell>
          <cell r="D4" t="str">
            <v>ISIC 01T03</v>
          </cell>
        </row>
        <row r="5">
          <cell r="B5">
            <v>192</v>
          </cell>
          <cell r="D5" t="str">
            <v>ISIC 01T03</v>
          </cell>
        </row>
        <row r="6">
          <cell r="B6">
            <v>280</v>
          </cell>
          <cell r="D6" t="str">
            <v>ISIC 01T03</v>
          </cell>
        </row>
        <row r="7">
          <cell r="B7">
            <v>580</v>
          </cell>
          <cell r="D7" t="str">
            <v>ISIC 05</v>
          </cell>
        </row>
        <row r="8">
          <cell r="B8">
            <v>680</v>
          </cell>
          <cell r="D8" t="str">
            <v>ISIC 06</v>
          </cell>
        </row>
        <row r="9">
          <cell r="B9">
            <v>791</v>
          </cell>
          <cell r="D9" t="str">
            <v>ISIC 07T08</v>
          </cell>
        </row>
        <row r="10">
          <cell r="B10">
            <v>792</v>
          </cell>
          <cell r="D10" t="str">
            <v>ISIC 09</v>
          </cell>
        </row>
        <row r="11">
          <cell r="B11">
            <v>1091</v>
          </cell>
          <cell r="D11" t="str">
            <v>ISIC 10T12</v>
          </cell>
        </row>
        <row r="12">
          <cell r="B12">
            <v>1092</v>
          </cell>
          <cell r="D12" t="str">
            <v>ISIC 10T12</v>
          </cell>
        </row>
        <row r="13">
          <cell r="B13">
            <v>1093</v>
          </cell>
          <cell r="D13" t="str">
            <v>ISIC 10T12</v>
          </cell>
        </row>
        <row r="14">
          <cell r="B14">
            <v>1100</v>
          </cell>
          <cell r="D14" t="str">
            <v>ISIC 10T12</v>
          </cell>
        </row>
        <row r="15">
          <cell r="B15">
            <v>1200</v>
          </cell>
          <cell r="D15" t="str">
            <v>ISIC 10T12</v>
          </cell>
        </row>
        <row r="16">
          <cell r="B16">
            <v>1300</v>
          </cell>
          <cell r="D16" t="str">
            <v>ISIC 13T15</v>
          </cell>
        </row>
        <row r="17">
          <cell r="B17">
            <v>1400</v>
          </cell>
          <cell r="D17" t="str">
            <v>ISIC 13T15</v>
          </cell>
        </row>
        <row r="18">
          <cell r="B18">
            <v>1500</v>
          </cell>
          <cell r="D18" t="str">
            <v>ISIC 13T15</v>
          </cell>
        </row>
        <row r="19">
          <cell r="B19">
            <v>1600</v>
          </cell>
          <cell r="D19" t="str">
            <v>ISIC 16</v>
          </cell>
        </row>
        <row r="20">
          <cell r="B20">
            <v>1700</v>
          </cell>
          <cell r="D20" t="str">
            <v>ISIC 17T18</v>
          </cell>
        </row>
        <row r="21">
          <cell r="B21">
            <v>1800</v>
          </cell>
          <cell r="D21" t="str">
            <v>ISIC 17T18</v>
          </cell>
        </row>
        <row r="22">
          <cell r="B22">
            <v>1991</v>
          </cell>
          <cell r="D22" t="str">
            <v>ISIC 19</v>
          </cell>
        </row>
        <row r="23">
          <cell r="B23">
            <v>1992</v>
          </cell>
          <cell r="D23" t="str">
            <v>ISIC 19</v>
          </cell>
        </row>
        <row r="24">
          <cell r="B24">
            <v>2091</v>
          </cell>
          <cell r="D24" t="str">
            <v>ISIC 20</v>
          </cell>
        </row>
        <row r="25">
          <cell r="B25">
            <v>2092</v>
          </cell>
          <cell r="D25" t="str">
            <v>ISIC 20</v>
          </cell>
        </row>
        <row r="26">
          <cell r="B26">
            <v>2093</v>
          </cell>
          <cell r="D26" t="str">
            <v>ISIC 20</v>
          </cell>
        </row>
        <row r="27">
          <cell r="B27">
            <v>2100</v>
          </cell>
          <cell r="D27" t="str">
            <v>ISIC 21</v>
          </cell>
        </row>
        <row r="28">
          <cell r="B28">
            <v>2200</v>
          </cell>
          <cell r="D28" t="str">
            <v>ISIC 22</v>
          </cell>
        </row>
        <row r="29">
          <cell r="B29">
            <v>2300</v>
          </cell>
          <cell r="D29" t="str">
            <v>x</v>
          </cell>
        </row>
        <row r="30">
          <cell r="B30">
            <v>2310</v>
          </cell>
          <cell r="D30" t="str">
            <v>ISIC 239</v>
          </cell>
        </row>
        <row r="31">
          <cell r="B31">
            <v>2320</v>
          </cell>
          <cell r="D31" t="str">
            <v>ISIC 231</v>
          </cell>
        </row>
        <row r="32">
          <cell r="B32">
            <v>2491</v>
          </cell>
          <cell r="D32" t="str">
            <v>ISIC 241</v>
          </cell>
        </row>
        <row r="33">
          <cell r="B33">
            <v>2492</v>
          </cell>
          <cell r="D33" t="str">
            <v>ISIC 242</v>
          </cell>
        </row>
        <row r="34">
          <cell r="B34">
            <v>2500</v>
          </cell>
          <cell r="D34" t="str">
            <v>ISIC 25</v>
          </cell>
        </row>
        <row r="35">
          <cell r="B35">
            <v>2600</v>
          </cell>
          <cell r="D35" t="str">
            <v>ISIC 26</v>
          </cell>
        </row>
        <row r="36">
          <cell r="B36">
            <v>2700</v>
          </cell>
          <cell r="D36" t="str">
            <v>ISIC 27</v>
          </cell>
        </row>
        <row r="37">
          <cell r="B37">
            <v>2800</v>
          </cell>
          <cell r="D37" t="str">
            <v>ISIC 28</v>
          </cell>
        </row>
        <row r="38">
          <cell r="B38">
            <v>2991</v>
          </cell>
          <cell r="D38" t="str">
            <v>ISIC 29</v>
          </cell>
        </row>
        <row r="39">
          <cell r="B39">
            <v>2992</v>
          </cell>
          <cell r="D39" t="str">
            <v>ISIC 29</v>
          </cell>
        </row>
        <row r="40">
          <cell r="B40">
            <v>3000</v>
          </cell>
          <cell r="D40" t="str">
            <v>ISIC 30</v>
          </cell>
        </row>
        <row r="41">
          <cell r="B41">
            <v>3180</v>
          </cell>
          <cell r="D41" t="str">
            <v>ISIC 30</v>
          </cell>
        </row>
        <row r="42">
          <cell r="B42">
            <v>3300</v>
          </cell>
          <cell r="D42" t="str">
            <v>ISIC 31T33</v>
          </cell>
        </row>
        <row r="43">
          <cell r="B43">
            <v>3500</v>
          </cell>
          <cell r="D43" t="str">
            <v>x</v>
          </cell>
        </row>
        <row r="44">
          <cell r="B44">
            <v>3510</v>
          </cell>
          <cell r="D44" t="str">
            <v>ISIC 351</v>
          </cell>
        </row>
        <row r="45">
          <cell r="B45">
            <v>3520</v>
          </cell>
          <cell r="D45" t="str">
            <v>ISIC 352T353</v>
          </cell>
        </row>
        <row r="46">
          <cell r="B46">
            <v>3680</v>
          </cell>
          <cell r="D46" t="str">
            <v>ISIC 36T39</v>
          </cell>
        </row>
        <row r="47">
          <cell r="B47">
            <v>4180</v>
          </cell>
          <cell r="D47" t="str">
            <v>ISIC 41T43</v>
          </cell>
        </row>
        <row r="48">
          <cell r="B48">
            <v>4580</v>
          </cell>
          <cell r="D48" t="str">
            <v>ISIC 45T47</v>
          </cell>
        </row>
        <row r="49">
          <cell r="B49">
            <v>4900</v>
          </cell>
          <cell r="D49" t="str">
            <v>ISIC 49T53</v>
          </cell>
        </row>
        <row r="50">
          <cell r="B50">
            <v>5000</v>
          </cell>
          <cell r="D50" t="str">
            <v>ISIC 49T53</v>
          </cell>
        </row>
        <row r="51">
          <cell r="B51">
            <v>5100</v>
          </cell>
          <cell r="D51" t="str">
            <v>ISIC 49T53</v>
          </cell>
        </row>
        <row r="52">
          <cell r="B52">
            <v>5280</v>
          </cell>
          <cell r="D52" t="str">
            <v>ISIC 49T53</v>
          </cell>
        </row>
        <row r="53">
          <cell r="B53">
            <v>5500</v>
          </cell>
          <cell r="D53" t="str">
            <v>ISIC 55T56</v>
          </cell>
        </row>
        <row r="54">
          <cell r="B54">
            <v>5600</v>
          </cell>
          <cell r="D54" t="str">
            <v>ISIC 55T56</v>
          </cell>
        </row>
        <row r="55">
          <cell r="B55">
            <v>5800</v>
          </cell>
          <cell r="D55" t="str">
            <v>ISIC 58T60</v>
          </cell>
        </row>
        <row r="56">
          <cell r="B56">
            <v>5980</v>
          </cell>
          <cell r="D56" t="str">
            <v>ISIC 58T60</v>
          </cell>
        </row>
        <row r="57">
          <cell r="B57">
            <v>6100</v>
          </cell>
          <cell r="D57" t="str">
            <v>ISIC 61</v>
          </cell>
        </row>
        <row r="58">
          <cell r="B58">
            <v>6280</v>
          </cell>
          <cell r="D58" t="str">
            <v>ISIC 62T63</v>
          </cell>
        </row>
        <row r="59">
          <cell r="B59">
            <v>6480</v>
          </cell>
          <cell r="D59" t="str">
            <v>ISIC 64T66</v>
          </cell>
        </row>
        <row r="60">
          <cell r="B60">
            <v>6800</v>
          </cell>
          <cell r="D60" t="str">
            <v>ISIC 68</v>
          </cell>
        </row>
        <row r="61">
          <cell r="B61">
            <v>6980</v>
          </cell>
          <cell r="D61" t="str">
            <v>ISIC 69T82</v>
          </cell>
        </row>
        <row r="62">
          <cell r="B62">
            <v>7180</v>
          </cell>
          <cell r="D62" t="str">
            <v>ISIC 69T82</v>
          </cell>
        </row>
        <row r="63">
          <cell r="B63">
            <v>7380</v>
          </cell>
          <cell r="D63" t="str">
            <v>ISIC 69T82</v>
          </cell>
        </row>
        <row r="64">
          <cell r="B64">
            <v>7700</v>
          </cell>
          <cell r="D64" t="str">
            <v>ISIC 69T82</v>
          </cell>
        </row>
        <row r="65">
          <cell r="B65">
            <v>7880</v>
          </cell>
          <cell r="D65" t="str">
            <v>ISIC 69T82</v>
          </cell>
        </row>
        <row r="66">
          <cell r="B66">
            <v>8000</v>
          </cell>
          <cell r="D66" t="str">
            <v>ISIC 69T82</v>
          </cell>
        </row>
        <row r="67">
          <cell r="B67">
            <v>8400</v>
          </cell>
          <cell r="D67" t="str">
            <v>ISIC 84</v>
          </cell>
        </row>
        <row r="68">
          <cell r="B68">
            <v>8591</v>
          </cell>
          <cell r="D68" t="str">
            <v>ISIC 85</v>
          </cell>
        </row>
        <row r="69">
          <cell r="B69">
            <v>8592</v>
          </cell>
          <cell r="D69" t="str">
            <v>ISIC 85</v>
          </cell>
        </row>
        <row r="70">
          <cell r="B70">
            <v>8691</v>
          </cell>
          <cell r="D70" t="str">
            <v>ISIC 86T88</v>
          </cell>
        </row>
        <row r="71">
          <cell r="B71">
            <v>8692</v>
          </cell>
          <cell r="D71" t="str">
            <v>ISIC 86T88</v>
          </cell>
        </row>
        <row r="72">
          <cell r="B72">
            <v>9080</v>
          </cell>
          <cell r="D72" t="str">
            <v>ISIC 90T96</v>
          </cell>
        </row>
        <row r="73">
          <cell r="B73">
            <v>9480</v>
          </cell>
          <cell r="D73" t="str">
            <v>ISIC 90T96</v>
          </cell>
        </row>
        <row r="74">
          <cell r="B74">
            <v>9700</v>
          </cell>
          <cell r="D74" t="str">
            <v>ISIC 97T98</v>
          </cell>
        </row>
      </sheetData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igueo Watanabe Jr" id="{490CE9BA-0C87-49A2-9B3D-E6500D38847C}" userId="f0a63f07fa30653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4" dT="2024-06-26T12:20:59.42" personId="{490CE9BA-0C87-49A2-9B3D-E6500D38847C}" id="{2BB04843-C31A-4719-A8C6-1488F5C27C6C}">
    <text>SCN 3510</text>
  </threadedComment>
  <threadedComment ref="C45" dT="2024-06-26T12:21:13.68" personId="{490CE9BA-0C87-49A2-9B3D-E6500D38847C}" id="{67EC75E6-3569-4408-A62A-26D8C17DF10B}">
    <text>SCN 3520</text>
  </threadedComment>
  <threadedComment ref="H92" dT="2024-06-26T12:20:59.42" personId="{490CE9BA-0C87-49A2-9B3D-E6500D38847C}" id="{25A2547A-DCE2-4031-A903-F6D323155972}">
    <text>SCN 3510</text>
  </threadedComment>
  <threadedComment ref="H93" dT="2024-06-26T12:21:13.68" personId="{490CE9BA-0C87-49A2-9B3D-E6500D38847C}" id="{20A7FF29-C961-4EF5-9A80-DF71D45F57F1}">
    <text>SCN 3520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IO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opLeftCell="A7" workbookViewId="0">
      <selection activeCell="A22" sqref="A22"/>
    </sheetView>
  </sheetViews>
  <sheetFormatPr baseColWidth="10" defaultColWidth="9.140625" defaultRowHeight="15"/>
  <cols>
    <col min="2" max="2" width="77.5703125" customWidth="1"/>
  </cols>
  <sheetData>
    <row r="1" spans="1:2">
      <c r="A1" s="1" t="s">
        <v>0</v>
      </c>
    </row>
    <row r="3" spans="1:2">
      <c r="A3" s="1" t="s">
        <v>1</v>
      </c>
      <c r="B3" s="17" t="s">
        <v>2</v>
      </c>
    </row>
    <row r="4" spans="1:2">
      <c r="B4" t="s">
        <v>3</v>
      </c>
    </row>
    <row r="5" spans="1:2">
      <c r="B5" s="2">
        <v>2018</v>
      </c>
    </row>
    <row r="6" spans="1:2">
      <c r="B6" t="s">
        <v>4</v>
      </c>
    </row>
    <row r="7" spans="1:2">
      <c r="B7" s="3" t="s">
        <v>5</v>
      </c>
    </row>
    <row r="8" spans="1:2">
      <c r="B8" t="s">
        <v>6</v>
      </c>
    </row>
    <row r="10" spans="1:2">
      <c r="B10" s="17" t="s">
        <v>7</v>
      </c>
    </row>
    <row r="11" spans="1:2">
      <c r="B11" s="18" t="s">
        <v>8</v>
      </c>
    </row>
    <row r="13" spans="1:2">
      <c r="A13" s="1" t="s">
        <v>9</v>
      </c>
    </row>
    <row r="14" spans="1:2">
      <c r="A14" t="s">
        <v>10</v>
      </c>
    </row>
    <row r="15" spans="1:2">
      <c r="A15" t="s">
        <v>11</v>
      </c>
    </row>
    <row r="16" spans="1:2">
      <c r="A16" t="s">
        <v>12</v>
      </c>
    </row>
    <row r="18" spans="1:2">
      <c r="A18" s="18" t="s">
        <v>13</v>
      </c>
    </row>
    <row r="19" spans="1:2">
      <c r="A19" s="18" t="s">
        <v>14</v>
      </c>
    </row>
    <row r="21" spans="1:2">
      <c r="A21" t="s">
        <v>15</v>
      </c>
    </row>
    <row r="22" spans="1:2">
      <c r="A22" s="16">
        <v>0.9686815713640794</v>
      </c>
      <c r="B22" t="s">
        <v>16</v>
      </c>
    </row>
  </sheetData>
  <hyperlinks>
    <hyperlink ref="B7" r:id="rId1" display="https://stats.oecd.org/Index.aspx?DataSetCode=IOTS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"/>
  <sheetViews>
    <sheetView showGridLines="0" topLeftCell="A34" workbookViewId="0">
      <selection activeCell="A30" sqref="A30"/>
    </sheetView>
  </sheetViews>
  <sheetFormatPr baseColWidth="10" defaultColWidth="9.140625" defaultRowHeight="12.75"/>
  <cols>
    <col min="1" max="1" width="27.42578125" style="6" customWidth="1"/>
    <col min="2" max="2" width="2.42578125" style="6" customWidth="1"/>
    <col min="3" max="23" width="9.28515625" style="6" bestFit="1" customWidth="1"/>
    <col min="24" max="26" width="9.5703125" style="6" bestFit="1" customWidth="1"/>
    <col min="27" max="30" width="9.28515625" style="6" bestFit="1" customWidth="1"/>
    <col min="31" max="36" width="9.5703125" style="6" bestFit="1" customWidth="1"/>
    <col min="37" max="38" width="9.28515625" style="6" bestFit="1" customWidth="1"/>
    <col min="39" max="39" width="10.42578125" style="6" bestFit="1" customWidth="1"/>
    <col min="40" max="40" width="9.28515625" style="6" bestFit="1" customWidth="1"/>
    <col min="41" max="42" width="9.5703125" style="6" bestFit="1" customWidth="1"/>
    <col min="43" max="45" width="9.28515625" style="6" bestFit="1" customWidth="1"/>
    <col min="46" max="46" width="9.5703125" style="6" bestFit="1" customWidth="1"/>
    <col min="47" max="47" width="10.140625" style="6" bestFit="1" customWidth="1"/>
    <col min="48" max="16384" width="9.140625" style="6"/>
  </cols>
  <sheetData>
    <row r="1" spans="1:47" hidden="1">
      <c r="A1" s="5" t="e">
        <f ca="1">DotStatQuery(B1)</f>
        <v>#NAME?</v>
      </c>
      <c r="B1" s="5" t="s">
        <v>17</v>
      </c>
    </row>
    <row r="2" spans="1:47" ht="23.25">
      <c r="A2" s="7" t="s">
        <v>18</v>
      </c>
    </row>
    <row r="3" spans="1:47">
      <c r="A3" s="85" t="s">
        <v>19</v>
      </c>
      <c r="B3" s="86"/>
      <c r="C3" s="92" t="s">
        <v>20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4"/>
    </row>
    <row r="4" spans="1:47">
      <c r="A4" s="85" t="s">
        <v>21</v>
      </c>
      <c r="B4" s="86"/>
      <c r="C4" s="87" t="s">
        <v>22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9"/>
    </row>
    <row r="5" spans="1:47">
      <c r="A5" s="85" t="s">
        <v>23</v>
      </c>
      <c r="B5" s="86"/>
      <c r="C5" s="87" t="s">
        <v>24</v>
      </c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9"/>
    </row>
    <row r="6" spans="1:47">
      <c r="A6" s="85" t="s">
        <v>25</v>
      </c>
      <c r="B6" s="86"/>
      <c r="C6" s="87" t="s">
        <v>26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9"/>
    </row>
    <row r="7" spans="1:47" ht="126">
      <c r="A7" s="90" t="s">
        <v>27</v>
      </c>
      <c r="B7" s="91"/>
      <c r="C7" s="8" t="s">
        <v>28</v>
      </c>
      <c r="D7" s="8" t="s">
        <v>29</v>
      </c>
      <c r="E7" s="8" t="s">
        <v>30</v>
      </c>
      <c r="F7" s="8" t="s">
        <v>31</v>
      </c>
      <c r="G7" s="8" t="s">
        <v>32</v>
      </c>
      <c r="H7" s="8" t="s">
        <v>33</v>
      </c>
      <c r="I7" s="8" t="s">
        <v>34</v>
      </c>
      <c r="J7" s="8" t="s">
        <v>35</v>
      </c>
      <c r="K7" s="8" t="s">
        <v>36</v>
      </c>
      <c r="L7" s="8" t="s">
        <v>37</v>
      </c>
      <c r="M7" s="8" t="s">
        <v>38</v>
      </c>
      <c r="N7" s="8" t="s">
        <v>39</v>
      </c>
      <c r="O7" s="8" t="s">
        <v>40</v>
      </c>
      <c r="P7" s="8" t="s">
        <v>41</v>
      </c>
      <c r="Q7" s="8" t="s">
        <v>42</v>
      </c>
      <c r="R7" s="8" t="s">
        <v>43</v>
      </c>
      <c r="S7" s="8" t="s">
        <v>44</v>
      </c>
      <c r="T7" s="8" t="s">
        <v>45</v>
      </c>
      <c r="U7" s="8" t="s">
        <v>46</v>
      </c>
      <c r="V7" s="8" t="s">
        <v>47</v>
      </c>
      <c r="W7" s="8" t="s">
        <v>48</v>
      </c>
      <c r="X7" s="8" t="s">
        <v>49</v>
      </c>
      <c r="Y7" s="8" t="s">
        <v>50</v>
      </c>
      <c r="Z7" s="8" t="s">
        <v>51</v>
      </c>
      <c r="AA7" s="8" t="s">
        <v>52</v>
      </c>
      <c r="AB7" s="8" t="s">
        <v>53</v>
      </c>
      <c r="AC7" s="8" t="s">
        <v>54</v>
      </c>
      <c r="AD7" s="8" t="s">
        <v>55</v>
      </c>
      <c r="AE7" s="8" t="s">
        <v>56</v>
      </c>
      <c r="AF7" s="8" t="s">
        <v>57</v>
      </c>
      <c r="AG7" s="8" t="s">
        <v>58</v>
      </c>
      <c r="AH7" s="8" t="s">
        <v>59</v>
      </c>
      <c r="AI7" s="8" t="s">
        <v>60</v>
      </c>
      <c r="AJ7" s="8" t="s">
        <v>61</v>
      </c>
      <c r="AK7" s="8" t="s">
        <v>62</v>
      </c>
      <c r="AL7" s="8" t="s">
        <v>63</v>
      </c>
      <c r="AM7" s="8" t="s">
        <v>64</v>
      </c>
      <c r="AN7" s="8" t="s">
        <v>65</v>
      </c>
      <c r="AO7" s="8" t="s">
        <v>66</v>
      </c>
      <c r="AP7" s="8" t="s">
        <v>67</v>
      </c>
      <c r="AQ7" s="8" t="s">
        <v>68</v>
      </c>
      <c r="AR7" s="8" t="s">
        <v>69</v>
      </c>
      <c r="AS7" s="8" t="s">
        <v>70</v>
      </c>
      <c r="AT7" s="8" t="s">
        <v>71</v>
      </c>
      <c r="AU7" s="8" t="s">
        <v>72</v>
      </c>
    </row>
    <row r="8" spans="1:47" ht="13.5">
      <c r="A8" s="9" t="s">
        <v>73</v>
      </c>
      <c r="B8" s="10" t="s">
        <v>74</v>
      </c>
      <c r="C8" s="10" t="s">
        <v>74</v>
      </c>
      <c r="D8" s="10" t="s">
        <v>74</v>
      </c>
      <c r="E8" s="10" t="s">
        <v>74</v>
      </c>
      <c r="F8" s="10" t="s">
        <v>74</v>
      </c>
      <c r="G8" s="10" t="s">
        <v>74</v>
      </c>
      <c r="H8" s="10" t="s">
        <v>74</v>
      </c>
      <c r="I8" s="10" t="s">
        <v>74</v>
      </c>
      <c r="J8" s="10" t="s">
        <v>74</v>
      </c>
      <c r="K8" s="10" t="s">
        <v>74</v>
      </c>
      <c r="L8" s="10" t="s">
        <v>74</v>
      </c>
      <c r="M8" s="10" t="s">
        <v>74</v>
      </c>
      <c r="N8" s="10" t="s">
        <v>74</v>
      </c>
      <c r="O8" s="10" t="s">
        <v>74</v>
      </c>
      <c r="P8" s="10" t="s">
        <v>74</v>
      </c>
      <c r="Q8" s="10" t="s">
        <v>74</v>
      </c>
      <c r="R8" s="10" t="s">
        <v>74</v>
      </c>
      <c r="S8" s="10" t="s">
        <v>74</v>
      </c>
      <c r="T8" s="10" t="s">
        <v>74</v>
      </c>
      <c r="U8" s="10" t="s">
        <v>74</v>
      </c>
      <c r="V8" s="10" t="s">
        <v>74</v>
      </c>
      <c r="W8" s="10" t="s">
        <v>74</v>
      </c>
      <c r="X8" s="10" t="s">
        <v>74</v>
      </c>
      <c r="Y8" s="10" t="s">
        <v>74</v>
      </c>
      <c r="Z8" s="10" t="s">
        <v>74</v>
      </c>
      <c r="AA8" s="10" t="s">
        <v>74</v>
      </c>
      <c r="AB8" s="10" t="s">
        <v>74</v>
      </c>
      <c r="AC8" s="10" t="s">
        <v>74</v>
      </c>
      <c r="AD8" s="10" t="s">
        <v>74</v>
      </c>
      <c r="AE8" s="10" t="s">
        <v>74</v>
      </c>
      <c r="AF8" s="10" t="s">
        <v>74</v>
      </c>
      <c r="AG8" s="10" t="s">
        <v>74</v>
      </c>
      <c r="AH8" s="10" t="s">
        <v>74</v>
      </c>
      <c r="AI8" s="10" t="s">
        <v>74</v>
      </c>
      <c r="AJ8" s="10" t="s">
        <v>74</v>
      </c>
      <c r="AK8" s="10" t="s">
        <v>74</v>
      </c>
      <c r="AL8" s="10" t="s">
        <v>74</v>
      </c>
      <c r="AM8" s="10" t="s">
        <v>74</v>
      </c>
      <c r="AN8" s="10" t="s">
        <v>74</v>
      </c>
      <c r="AO8" s="10" t="s">
        <v>74</v>
      </c>
      <c r="AP8" s="10" t="s">
        <v>74</v>
      </c>
      <c r="AQ8" s="10" t="s">
        <v>74</v>
      </c>
      <c r="AR8" s="10" t="s">
        <v>74</v>
      </c>
      <c r="AS8" s="10" t="s">
        <v>74</v>
      </c>
      <c r="AT8" s="10" t="s">
        <v>74</v>
      </c>
      <c r="AU8" s="10" t="s">
        <v>74</v>
      </c>
    </row>
    <row r="9" spans="1:47" ht="21">
      <c r="A9" s="11" t="s">
        <v>75</v>
      </c>
      <c r="B9" s="10" t="s">
        <v>74</v>
      </c>
      <c r="C9" s="12">
        <v>6071.2</v>
      </c>
      <c r="D9" s="12">
        <v>22.9</v>
      </c>
      <c r="E9" s="12">
        <v>12.6</v>
      </c>
      <c r="F9" s="12">
        <v>5.4</v>
      </c>
      <c r="G9" s="12">
        <v>54628.4</v>
      </c>
      <c r="H9" s="12">
        <v>1070.9000000000001</v>
      </c>
      <c r="I9" s="12">
        <v>950.5</v>
      </c>
      <c r="J9" s="12">
        <v>1220.4000000000001</v>
      </c>
      <c r="K9" s="12">
        <v>3732.1</v>
      </c>
      <c r="L9" s="12">
        <v>116.1</v>
      </c>
      <c r="M9" s="12">
        <v>376.9</v>
      </c>
      <c r="N9" s="12">
        <v>55</v>
      </c>
      <c r="O9" s="12">
        <v>271.2</v>
      </c>
      <c r="P9" s="12">
        <v>7.4</v>
      </c>
      <c r="Q9" s="12">
        <v>1.9</v>
      </c>
      <c r="R9" s="12">
        <v>1.6</v>
      </c>
      <c r="S9" s="12">
        <v>2.6</v>
      </c>
      <c r="T9" s="12">
        <v>17</v>
      </c>
      <c r="U9" s="12">
        <v>4.9000000000000004</v>
      </c>
      <c r="V9" s="12">
        <v>15.4</v>
      </c>
      <c r="W9" s="12">
        <v>16.5</v>
      </c>
      <c r="X9" s="12">
        <v>420</v>
      </c>
      <c r="Y9" s="12">
        <v>820.1</v>
      </c>
      <c r="Z9" s="12">
        <v>24.6</v>
      </c>
      <c r="AA9" s="12">
        <v>1503.9</v>
      </c>
      <c r="AB9" s="12">
        <v>3.6</v>
      </c>
      <c r="AC9" s="12">
        <v>19.5</v>
      </c>
      <c r="AD9" s="12">
        <v>5.6</v>
      </c>
      <c r="AE9" s="12">
        <v>25.7</v>
      </c>
      <c r="AF9" s="12">
        <v>52</v>
      </c>
      <c r="AG9" s="12">
        <v>88.9</v>
      </c>
      <c r="AH9" s="12">
        <v>360.6</v>
      </c>
      <c r="AI9" s="12">
        <v>254.5</v>
      </c>
      <c r="AJ9" s="12">
        <v>170.5</v>
      </c>
      <c r="AK9" s="12">
        <v>156</v>
      </c>
      <c r="AL9" s="12">
        <v>0</v>
      </c>
      <c r="AM9" s="12">
        <v>35490.9</v>
      </c>
      <c r="AN9" s="12">
        <v>0</v>
      </c>
      <c r="AO9" s="12">
        <v>2021.7</v>
      </c>
      <c r="AP9" s="12">
        <v>5117.2</v>
      </c>
      <c r="AQ9" s="12">
        <v>-280.5</v>
      </c>
      <c r="AR9" s="12">
        <v>150.19999999999999</v>
      </c>
      <c r="AS9" s="12">
        <v>17.399999999999999</v>
      </c>
      <c r="AT9" s="12">
        <v>34291.800000000003</v>
      </c>
      <c r="AU9" s="12">
        <v>-3343.4</v>
      </c>
    </row>
    <row r="10" spans="1:47" ht="31.5">
      <c r="A10" s="11" t="s">
        <v>76</v>
      </c>
      <c r="B10" s="10" t="s">
        <v>74</v>
      </c>
      <c r="C10" s="13">
        <v>35.200000000000003</v>
      </c>
      <c r="D10" s="13">
        <v>3165.2</v>
      </c>
      <c r="E10" s="13">
        <v>72.900000000000006</v>
      </c>
      <c r="F10" s="13">
        <v>283.8</v>
      </c>
      <c r="G10" s="13">
        <v>439.3</v>
      </c>
      <c r="H10" s="13">
        <v>57.8</v>
      </c>
      <c r="I10" s="13">
        <v>17.3</v>
      </c>
      <c r="J10" s="13">
        <v>268.7</v>
      </c>
      <c r="K10" s="13">
        <v>32198.400000000001</v>
      </c>
      <c r="L10" s="13">
        <v>855.8</v>
      </c>
      <c r="M10" s="13">
        <v>35.9</v>
      </c>
      <c r="N10" s="13">
        <v>233.3</v>
      </c>
      <c r="O10" s="13">
        <v>1547.6</v>
      </c>
      <c r="P10" s="13">
        <v>152.19999999999999</v>
      </c>
      <c r="Q10" s="13">
        <v>1.2</v>
      </c>
      <c r="R10" s="13">
        <v>10.199999999999999</v>
      </c>
      <c r="S10" s="13">
        <v>11.8</v>
      </c>
      <c r="T10" s="13">
        <v>112.3</v>
      </c>
      <c r="U10" s="13">
        <v>13.9</v>
      </c>
      <c r="V10" s="13">
        <v>3.6</v>
      </c>
      <c r="W10" s="13">
        <v>4544.1000000000004</v>
      </c>
      <c r="X10" s="13">
        <v>241</v>
      </c>
      <c r="Y10" s="13">
        <v>260.3</v>
      </c>
      <c r="Z10" s="13">
        <v>138.4</v>
      </c>
      <c r="AA10" s="13">
        <v>6.9</v>
      </c>
      <c r="AB10" s="13">
        <v>2.1</v>
      </c>
      <c r="AC10" s="13">
        <v>20</v>
      </c>
      <c r="AD10" s="13">
        <v>4.4000000000000004</v>
      </c>
      <c r="AE10" s="13">
        <v>45.9</v>
      </c>
      <c r="AF10" s="13">
        <v>82.2</v>
      </c>
      <c r="AG10" s="13">
        <v>80.7</v>
      </c>
      <c r="AH10" s="13">
        <v>75</v>
      </c>
      <c r="AI10" s="13">
        <v>12.5</v>
      </c>
      <c r="AJ10" s="13">
        <v>199.1</v>
      </c>
      <c r="AK10" s="13">
        <v>150.6</v>
      </c>
      <c r="AL10" s="13">
        <v>0</v>
      </c>
      <c r="AM10" s="13">
        <v>161.6</v>
      </c>
      <c r="AN10" s="13">
        <v>0</v>
      </c>
      <c r="AO10" s="13">
        <v>32.700000000000003</v>
      </c>
      <c r="AP10" s="13">
        <v>4254.8</v>
      </c>
      <c r="AQ10" s="13">
        <v>-228.8</v>
      </c>
      <c r="AR10" s="13">
        <v>6.4</v>
      </c>
      <c r="AS10" s="13">
        <v>0.2</v>
      </c>
      <c r="AT10" s="13">
        <v>11513.1</v>
      </c>
      <c r="AU10" s="13">
        <v>-13509.9</v>
      </c>
    </row>
    <row r="11" spans="1:47" ht="31.5">
      <c r="A11" s="11" t="s">
        <v>77</v>
      </c>
      <c r="B11" s="10" t="s">
        <v>74</v>
      </c>
      <c r="C11" s="12">
        <v>148.4</v>
      </c>
      <c r="D11" s="12">
        <v>134.80000000000001</v>
      </c>
      <c r="E11" s="12">
        <v>774.1</v>
      </c>
      <c r="F11" s="12">
        <v>24.4</v>
      </c>
      <c r="G11" s="12">
        <v>141.5</v>
      </c>
      <c r="H11" s="12">
        <v>4.0999999999999996</v>
      </c>
      <c r="I11" s="12">
        <v>0.7</v>
      </c>
      <c r="J11" s="12">
        <v>18.5</v>
      </c>
      <c r="K11" s="12">
        <v>66.900000000000006</v>
      </c>
      <c r="L11" s="12">
        <v>1065.0999999999999</v>
      </c>
      <c r="M11" s="12">
        <v>12.7</v>
      </c>
      <c r="N11" s="12">
        <v>1577.5</v>
      </c>
      <c r="O11" s="12">
        <v>6004.1</v>
      </c>
      <c r="P11" s="12">
        <v>79.900000000000006</v>
      </c>
      <c r="Q11" s="12">
        <v>5.5</v>
      </c>
      <c r="R11" s="12">
        <v>196.1</v>
      </c>
      <c r="S11" s="12">
        <v>33.4</v>
      </c>
      <c r="T11" s="12">
        <v>118.3</v>
      </c>
      <c r="U11" s="12">
        <v>22</v>
      </c>
      <c r="V11" s="12">
        <v>84.1</v>
      </c>
      <c r="W11" s="12">
        <v>34.6</v>
      </c>
      <c r="X11" s="12">
        <v>1914.2</v>
      </c>
      <c r="Y11" s="12">
        <v>60.7</v>
      </c>
      <c r="Z11" s="12">
        <v>17.100000000000001</v>
      </c>
      <c r="AA11" s="12">
        <v>3</v>
      </c>
      <c r="AB11" s="12">
        <v>0.3</v>
      </c>
      <c r="AC11" s="12">
        <v>0.7</v>
      </c>
      <c r="AD11" s="12">
        <v>0.5</v>
      </c>
      <c r="AE11" s="12">
        <v>6.2</v>
      </c>
      <c r="AF11" s="12">
        <v>30.5</v>
      </c>
      <c r="AG11" s="12">
        <v>12.9</v>
      </c>
      <c r="AH11" s="12">
        <v>80.599999999999994</v>
      </c>
      <c r="AI11" s="12">
        <v>6</v>
      </c>
      <c r="AJ11" s="12">
        <v>7.9</v>
      </c>
      <c r="AK11" s="12">
        <v>23.6</v>
      </c>
      <c r="AL11" s="12">
        <v>0</v>
      </c>
      <c r="AM11" s="12">
        <v>86.6</v>
      </c>
      <c r="AN11" s="12">
        <v>0</v>
      </c>
      <c r="AO11" s="12">
        <v>3.6</v>
      </c>
      <c r="AP11" s="12">
        <v>68.900000000000006</v>
      </c>
      <c r="AQ11" s="12">
        <v>-49.2</v>
      </c>
      <c r="AR11" s="12">
        <v>1.1000000000000001</v>
      </c>
      <c r="AS11" s="12">
        <v>0</v>
      </c>
      <c r="AT11" s="12">
        <v>15903.2</v>
      </c>
      <c r="AU11" s="12">
        <v>-2324.1</v>
      </c>
    </row>
    <row r="12" spans="1:47" ht="21">
      <c r="A12" s="11" t="s">
        <v>78</v>
      </c>
      <c r="B12" s="10" t="s">
        <v>74</v>
      </c>
      <c r="C12" s="13">
        <v>390.2</v>
      </c>
      <c r="D12" s="13">
        <v>1981.2</v>
      </c>
      <c r="E12" s="13">
        <v>412.9</v>
      </c>
      <c r="F12" s="13">
        <v>281.3</v>
      </c>
      <c r="G12" s="13">
        <v>96.6</v>
      </c>
      <c r="H12" s="13">
        <v>0</v>
      </c>
      <c r="I12" s="13">
        <v>2.6</v>
      </c>
      <c r="J12" s="13">
        <v>22.8</v>
      </c>
      <c r="K12" s="13">
        <v>67.599999999999994</v>
      </c>
      <c r="L12" s="13">
        <v>28.6</v>
      </c>
      <c r="M12" s="13">
        <v>29.1</v>
      </c>
      <c r="N12" s="13">
        <v>15</v>
      </c>
      <c r="O12" s="13">
        <v>6.5</v>
      </c>
      <c r="P12" s="13">
        <v>0.7</v>
      </c>
      <c r="Q12" s="13">
        <v>0</v>
      </c>
      <c r="R12" s="13">
        <v>0.1</v>
      </c>
      <c r="S12" s="13">
        <v>13.2</v>
      </c>
      <c r="T12" s="13">
        <v>0.5</v>
      </c>
      <c r="U12" s="13">
        <v>0.1</v>
      </c>
      <c r="V12" s="13">
        <v>6.9</v>
      </c>
      <c r="W12" s="13">
        <v>166.7</v>
      </c>
      <c r="X12" s="13">
        <v>439.9</v>
      </c>
      <c r="Y12" s="13">
        <v>0.8</v>
      </c>
      <c r="Z12" s="13">
        <v>14.5</v>
      </c>
      <c r="AA12" s="13">
        <v>0.1</v>
      </c>
      <c r="AB12" s="13">
        <v>0</v>
      </c>
      <c r="AC12" s="13">
        <v>0</v>
      </c>
      <c r="AD12" s="13">
        <v>0.1</v>
      </c>
      <c r="AE12" s="13">
        <v>0.2</v>
      </c>
      <c r="AF12" s="13">
        <v>0</v>
      </c>
      <c r="AG12" s="13">
        <v>9.4</v>
      </c>
      <c r="AH12" s="13">
        <v>53.2</v>
      </c>
      <c r="AI12" s="13">
        <v>17.899999999999999</v>
      </c>
      <c r="AJ12" s="13">
        <v>0.5</v>
      </c>
      <c r="AK12" s="13">
        <v>0.5</v>
      </c>
      <c r="AL12" s="13">
        <v>0</v>
      </c>
      <c r="AM12" s="13">
        <v>0.4</v>
      </c>
      <c r="AN12" s="13">
        <v>0</v>
      </c>
      <c r="AO12" s="13">
        <v>781.8</v>
      </c>
      <c r="AP12" s="13">
        <v>0.7</v>
      </c>
      <c r="AQ12" s="13">
        <v>0.5</v>
      </c>
      <c r="AR12" s="13">
        <v>0.2</v>
      </c>
      <c r="AS12" s="13">
        <v>0</v>
      </c>
      <c r="AT12" s="13">
        <v>62.1</v>
      </c>
      <c r="AU12" s="13">
        <v>-73.5</v>
      </c>
    </row>
    <row r="13" spans="1:47" ht="21">
      <c r="A13" s="11" t="s">
        <v>79</v>
      </c>
      <c r="B13" s="10" t="s">
        <v>74</v>
      </c>
      <c r="C13" s="12">
        <v>4743.3</v>
      </c>
      <c r="D13" s="12">
        <v>149.80000000000001</v>
      </c>
      <c r="E13" s="12">
        <v>51.6</v>
      </c>
      <c r="F13" s="12">
        <v>7.4</v>
      </c>
      <c r="G13" s="12">
        <v>27878.5</v>
      </c>
      <c r="H13" s="12">
        <v>668.7</v>
      </c>
      <c r="I13" s="12">
        <v>34</v>
      </c>
      <c r="J13" s="12">
        <v>335.2</v>
      </c>
      <c r="K13" s="12">
        <v>1174.7</v>
      </c>
      <c r="L13" s="12">
        <v>3015</v>
      </c>
      <c r="M13" s="12">
        <v>451.2</v>
      </c>
      <c r="N13" s="12">
        <v>114.2</v>
      </c>
      <c r="O13" s="12">
        <v>97.4</v>
      </c>
      <c r="P13" s="12">
        <v>98.3</v>
      </c>
      <c r="Q13" s="12">
        <v>40.5</v>
      </c>
      <c r="R13" s="12">
        <v>87.7</v>
      </c>
      <c r="S13" s="12">
        <v>59.5</v>
      </c>
      <c r="T13" s="12">
        <v>93.1</v>
      </c>
      <c r="U13" s="12">
        <v>33.299999999999997</v>
      </c>
      <c r="V13" s="12">
        <v>122.2</v>
      </c>
      <c r="W13" s="12">
        <v>85.3</v>
      </c>
      <c r="X13" s="12">
        <v>290.89999999999998</v>
      </c>
      <c r="Y13" s="12">
        <v>1161.8</v>
      </c>
      <c r="Z13" s="12">
        <v>160.4</v>
      </c>
      <c r="AA13" s="12">
        <v>14989</v>
      </c>
      <c r="AB13" s="12">
        <v>28</v>
      </c>
      <c r="AC13" s="12">
        <v>60.4</v>
      </c>
      <c r="AD13" s="12">
        <v>33.9</v>
      </c>
      <c r="AE13" s="12">
        <v>96.7</v>
      </c>
      <c r="AF13" s="12">
        <v>34.799999999999997</v>
      </c>
      <c r="AG13" s="12">
        <v>228.4</v>
      </c>
      <c r="AH13" s="12">
        <v>991.2</v>
      </c>
      <c r="AI13" s="12">
        <v>994.4</v>
      </c>
      <c r="AJ13" s="12">
        <v>936.3</v>
      </c>
      <c r="AK13" s="12">
        <v>468.5</v>
      </c>
      <c r="AL13" s="12">
        <v>0</v>
      </c>
      <c r="AM13" s="12">
        <v>110403.4</v>
      </c>
      <c r="AN13" s="12">
        <v>0.3</v>
      </c>
      <c r="AO13" s="12">
        <v>1487.2</v>
      </c>
      <c r="AP13" s="12">
        <v>372.6</v>
      </c>
      <c r="AQ13" s="12">
        <v>109.8</v>
      </c>
      <c r="AR13" s="12">
        <v>583.79999999999995</v>
      </c>
      <c r="AS13" s="12">
        <v>53.8</v>
      </c>
      <c r="AT13" s="12">
        <v>30575.3</v>
      </c>
      <c r="AU13" s="12">
        <v>-7327.9</v>
      </c>
    </row>
    <row r="14" spans="1:47" ht="31.5">
      <c r="A14" s="11" t="s">
        <v>80</v>
      </c>
      <c r="B14" s="10" t="s">
        <v>74</v>
      </c>
      <c r="C14" s="13">
        <v>228.6</v>
      </c>
      <c r="D14" s="13">
        <v>38.4</v>
      </c>
      <c r="E14" s="13">
        <v>10.7</v>
      </c>
      <c r="F14" s="13">
        <v>6.9</v>
      </c>
      <c r="G14" s="13">
        <v>164</v>
      </c>
      <c r="H14" s="13">
        <v>10509.7</v>
      </c>
      <c r="I14" s="13">
        <v>3.1</v>
      </c>
      <c r="J14" s="13">
        <v>108.6</v>
      </c>
      <c r="K14" s="13">
        <v>30.3</v>
      </c>
      <c r="L14" s="13">
        <v>167.6</v>
      </c>
      <c r="M14" s="13">
        <v>151.19999999999999</v>
      </c>
      <c r="N14" s="13">
        <v>16.5</v>
      </c>
      <c r="O14" s="13">
        <v>11.2</v>
      </c>
      <c r="P14" s="13">
        <v>55.8</v>
      </c>
      <c r="Q14" s="13">
        <v>7.8</v>
      </c>
      <c r="R14" s="13">
        <v>12.7</v>
      </c>
      <c r="S14" s="13">
        <v>15.3</v>
      </c>
      <c r="T14" s="13">
        <v>374.8</v>
      </c>
      <c r="U14" s="13">
        <v>65.900000000000006</v>
      </c>
      <c r="V14" s="13">
        <v>389.3</v>
      </c>
      <c r="W14" s="13">
        <v>130.19999999999999</v>
      </c>
      <c r="X14" s="13">
        <v>216.5</v>
      </c>
      <c r="Y14" s="13">
        <v>650.20000000000005</v>
      </c>
      <c r="Z14" s="13">
        <v>75.8</v>
      </c>
      <c r="AA14" s="13">
        <v>112.6</v>
      </c>
      <c r="AB14" s="13">
        <v>23.9</v>
      </c>
      <c r="AC14" s="13">
        <v>9.3000000000000007</v>
      </c>
      <c r="AD14" s="13">
        <v>5.3</v>
      </c>
      <c r="AE14" s="13">
        <v>82.5</v>
      </c>
      <c r="AF14" s="13">
        <v>7.7</v>
      </c>
      <c r="AG14" s="13">
        <v>100.3</v>
      </c>
      <c r="AH14" s="13">
        <v>238</v>
      </c>
      <c r="AI14" s="13">
        <v>75.7</v>
      </c>
      <c r="AJ14" s="13">
        <v>323.39999999999998</v>
      </c>
      <c r="AK14" s="13">
        <v>261.60000000000002</v>
      </c>
      <c r="AL14" s="13">
        <v>0</v>
      </c>
      <c r="AM14" s="13">
        <v>33181.699999999997</v>
      </c>
      <c r="AN14" s="13">
        <v>0</v>
      </c>
      <c r="AO14" s="13">
        <v>176.4</v>
      </c>
      <c r="AP14" s="13">
        <v>151</v>
      </c>
      <c r="AQ14" s="13">
        <v>12.1</v>
      </c>
      <c r="AR14" s="13">
        <v>213.7</v>
      </c>
      <c r="AS14" s="13">
        <v>31.1</v>
      </c>
      <c r="AT14" s="13">
        <v>3595.2</v>
      </c>
      <c r="AU14" s="13">
        <v>-7272.9</v>
      </c>
    </row>
    <row r="15" spans="1:47" ht="31.5">
      <c r="A15" s="11" t="s">
        <v>81</v>
      </c>
      <c r="B15" s="10" t="s">
        <v>74</v>
      </c>
      <c r="C15" s="12">
        <v>227.7</v>
      </c>
      <c r="D15" s="12">
        <v>2.6</v>
      </c>
      <c r="E15" s="12">
        <v>12.4</v>
      </c>
      <c r="F15" s="12">
        <v>6.4</v>
      </c>
      <c r="G15" s="12">
        <v>139.9</v>
      </c>
      <c r="H15" s="12">
        <v>10.3</v>
      </c>
      <c r="I15" s="12">
        <v>921.6</v>
      </c>
      <c r="J15" s="12">
        <v>114.9</v>
      </c>
      <c r="K15" s="12">
        <v>1.8</v>
      </c>
      <c r="L15" s="12">
        <v>24.1</v>
      </c>
      <c r="M15" s="12">
        <v>6.6</v>
      </c>
      <c r="N15" s="12">
        <v>12.4</v>
      </c>
      <c r="O15" s="12">
        <v>10.9</v>
      </c>
      <c r="P15" s="12">
        <v>66.3</v>
      </c>
      <c r="Q15" s="12">
        <v>2.4</v>
      </c>
      <c r="R15" s="12">
        <v>2.8</v>
      </c>
      <c r="S15" s="12">
        <v>79.400000000000006</v>
      </c>
      <c r="T15" s="12">
        <v>68.5</v>
      </c>
      <c r="U15" s="12">
        <v>48</v>
      </c>
      <c r="V15" s="12">
        <v>1515.3</v>
      </c>
      <c r="W15" s="12">
        <v>114.7</v>
      </c>
      <c r="X15" s="12">
        <v>1317.5</v>
      </c>
      <c r="Y15" s="12">
        <v>246.9</v>
      </c>
      <c r="Z15" s="12">
        <v>34.799999999999997</v>
      </c>
      <c r="AA15" s="12">
        <v>5.6</v>
      </c>
      <c r="AB15" s="12">
        <v>21.3</v>
      </c>
      <c r="AC15" s="12">
        <v>3.5</v>
      </c>
      <c r="AD15" s="12">
        <v>2</v>
      </c>
      <c r="AE15" s="12">
        <v>22.8</v>
      </c>
      <c r="AF15" s="12">
        <v>233.6</v>
      </c>
      <c r="AG15" s="12">
        <v>70.900000000000006</v>
      </c>
      <c r="AH15" s="12">
        <v>80.3</v>
      </c>
      <c r="AI15" s="12">
        <v>13</v>
      </c>
      <c r="AJ15" s="12">
        <v>28.2</v>
      </c>
      <c r="AK15" s="12">
        <v>112.8</v>
      </c>
      <c r="AL15" s="12">
        <v>0</v>
      </c>
      <c r="AM15" s="12">
        <v>629.29999999999995</v>
      </c>
      <c r="AN15" s="12">
        <v>0</v>
      </c>
      <c r="AO15" s="12">
        <v>24.3</v>
      </c>
      <c r="AP15" s="12">
        <v>66.099999999999994</v>
      </c>
      <c r="AQ15" s="12">
        <v>7.1</v>
      </c>
      <c r="AR15" s="12">
        <v>18.7</v>
      </c>
      <c r="AS15" s="12">
        <v>2.1</v>
      </c>
      <c r="AT15" s="12">
        <v>1946.9</v>
      </c>
      <c r="AU15" s="12">
        <v>-231.7</v>
      </c>
    </row>
    <row r="16" spans="1:47" ht="21">
      <c r="A16" s="11" t="s">
        <v>82</v>
      </c>
      <c r="B16" s="10" t="s">
        <v>74</v>
      </c>
      <c r="C16" s="13">
        <v>188.1</v>
      </c>
      <c r="D16" s="13">
        <v>20.7</v>
      </c>
      <c r="E16" s="13">
        <v>66.3</v>
      </c>
      <c r="F16" s="13">
        <v>5.3</v>
      </c>
      <c r="G16" s="13">
        <v>2522</v>
      </c>
      <c r="H16" s="13">
        <v>454.3</v>
      </c>
      <c r="I16" s="13">
        <v>219.3</v>
      </c>
      <c r="J16" s="13">
        <v>4083.1</v>
      </c>
      <c r="K16" s="13">
        <v>58.6</v>
      </c>
      <c r="L16" s="13">
        <v>898.6</v>
      </c>
      <c r="M16" s="13">
        <v>553.29999999999995</v>
      </c>
      <c r="N16" s="13">
        <v>536.1</v>
      </c>
      <c r="O16" s="13">
        <v>28.2</v>
      </c>
      <c r="P16" s="13">
        <v>389.4</v>
      </c>
      <c r="Q16" s="13">
        <v>372.5</v>
      </c>
      <c r="R16" s="13">
        <v>121.6</v>
      </c>
      <c r="S16" s="13">
        <v>80.400000000000006</v>
      </c>
      <c r="T16" s="13">
        <v>324.2</v>
      </c>
      <c r="U16" s="13">
        <v>32.700000000000003</v>
      </c>
      <c r="V16" s="13">
        <v>302.39999999999998</v>
      </c>
      <c r="W16" s="13">
        <v>180.4</v>
      </c>
      <c r="X16" s="13">
        <v>153.19999999999999</v>
      </c>
      <c r="Y16" s="13">
        <v>1780.9</v>
      </c>
      <c r="Z16" s="13">
        <v>253.2</v>
      </c>
      <c r="AA16" s="13">
        <v>293.10000000000002</v>
      </c>
      <c r="AB16" s="13">
        <v>882.7</v>
      </c>
      <c r="AC16" s="13">
        <v>278.2</v>
      </c>
      <c r="AD16" s="13">
        <v>274.3</v>
      </c>
      <c r="AE16" s="13">
        <v>850.9</v>
      </c>
      <c r="AF16" s="13">
        <v>81.5</v>
      </c>
      <c r="AG16" s="13">
        <v>1398.7</v>
      </c>
      <c r="AH16" s="13">
        <v>1180.5999999999999</v>
      </c>
      <c r="AI16" s="13">
        <v>452.2</v>
      </c>
      <c r="AJ16" s="13">
        <v>532.1</v>
      </c>
      <c r="AK16" s="13">
        <v>634.6</v>
      </c>
      <c r="AL16" s="13">
        <v>0</v>
      </c>
      <c r="AM16" s="13">
        <v>3926.1</v>
      </c>
      <c r="AN16" s="13">
        <v>0.1</v>
      </c>
      <c r="AO16" s="13">
        <v>89.5</v>
      </c>
      <c r="AP16" s="13">
        <v>232.6</v>
      </c>
      <c r="AQ16" s="13">
        <v>-2.9</v>
      </c>
      <c r="AR16" s="13">
        <v>80.900000000000006</v>
      </c>
      <c r="AS16" s="13">
        <v>5.5</v>
      </c>
      <c r="AT16" s="13">
        <v>6840.4</v>
      </c>
      <c r="AU16" s="13">
        <v>-1455.7</v>
      </c>
    </row>
    <row r="17" spans="1:47" ht="21">
      <c r="A17" s="11" t="s">
        <v>83</v>
      </c>
      <c r="B17" s="10" t="s">
        <v>74</v>
      </c>
      <c r="C17" s="12">
        <v>5688.7</v>
      </c>
      <c r="D17" s="12">
        <v>827.5</v>
      </c>
      <c r="E17" s="12">
        <v>1510.3</v>
      </c>
      <c r="F17" s="12">
        <v>143.9</v>
      </c>
      <c r="G17" s="12">
        <v>2877.5</v>
      </c>
      <c r="H17" s="12">
        <v>364.4</v>
      </c>
      <c r="I17" s="12">
        <v>109.2</v>
      </c>
      <c r="J17" s="12">
        <v>672</v>
      </c>
      <c r="K17" s="12">
        <v>33940.1</v>
      </c>
      <c r="L17" s="12">
        <v>8081.3</v>
      </c>
      <c r="M17" s="12">
        <v>1029</v>
      </c>
      <c r="N17" s="12">
        <v>1292.0999999999999</v>
      </c>
      <c r="O17" s="12">
        <v>1540.9</v>
      </c>
      <c r="P17" s="12">
        <v>215.2</v>
      </c>
      <c r="Q17" s="12">
        <v>69.3</v>
      </c>
      <c r="R17" s="12">
        <v>320.10000000000002</v>
      </c>
      <c r="S17" s="12">
        <v>147.6</v>
      </c>
      <c r="T17" s="12">
        <v>502.1</v>
      </c>
      <c r="U17" s="12">
        <v>114.9</v>
      </c>
      <c r="V17" s="12">
        <v>269.7</v>
      </c>
      <c r="W17" s="12">
        <v>1787.7</v>
      </c>
      <c r="X17" s="12">
        <v>2515.1999999999998</v>
      </c>
      <c r="Y17" s="12">
        <v>2028.1</v>
      </c>
      <c r="Z17" s="12">
        <v>21335</v>
      </c>
      <c r="AA17" s="12">
        <v>463.2</v>
      </c>
      <c r="AB17" s="12">
        <v>29.2</v>
      </c>
      <c r="AC17" s="12">
        <v>36.4</v>
      </c>
      <c r="AD17" s="12">
        <v>38.299999999999997</v>
      </c>
      <c r="AE17" s="12">
        <v>419.7</v>
      </c>
      <c r="AF17" s="12">
        <v>148.69999999999999</v>
      </c>
      <c r="AG17" s="12">
        <v>742.5</v>
      </c>
      <c r="AH17" s="12">
        <v>1617.5</v>
      </c>
      <c r="AI17" s="12">
        <v>182.7</v>
      </c>
      <c r="AJ17" s="12">
        <v>614.9</v>
      </c>
      <c r="AK17" s="12">
        <v>473.1</v>
      </c>
      <c r="AL17" s="12">
        <v>0</v>
      </c>
      <c r="AM17" s="12">
        <v>24668</v>
      </c>
      <c r="AN17" s="12">
        <v>0</v>
      </c>
      <c r="AO17" s="12">
        <v>38.700000000000003</v>
      </c>
      <c r="AP17" s="12">
        <v>25.1</v>
      </c>
      <c r="AQ17" s="12">
        <v>44.1</v>
      </c>
      <c r="AR17" s="12">
        <v>186.4</v>
      </c>
      <c r="AS17" s="12">
        <v>15.6</v>
      </c>
      <c r="AT17" s="12">
        <v>4745.1000000000004</v>
      </c>
      <c r="AU17" s="12">
        <v>-8905.2000000000007</v>
      </c>
    </row>
    <row r="18" spans="1:47" ht="21">
      <c r="A18" s="11" t="s">
        <v>84</v>
      </c>
      <c r="B18" s="10" t="s">
        <v>74</v>
      </c>
      <c r="C18" s="13">
        <v>19057.5</v>
      </c>
      <c r="D18" s="13">
        <v>1385.4</v>
      </c>
      <c r="E18" s="13">
        <v>418.3</v>
      </c>
      <c r="F18" s="13">
        <v>50.4</v>
      </c>
      <c r="G18" s="13">
        <v>2524.5</v>
      </c>
      <c r="H18" s="13">
        <v>2288.6999999999998</v>
      </c>
      <c r="I18" s="13">
        <v>422.4</v>
      </c>
      <c r="J18" s="13">
        <v>2499</v>
      </c>
      <c r="K18" s="13">
        <v>6057.7</v>
      </c>
      <c r="L18" s="13">
        <v>29472.799999999999</v>
      </c>
      <c r="M18" s="13">
        <v>6115.7</v>
      </c>
      <c r="N18" s="13">
        <v>1452.5</v>
      </c>
      <c r="O18" s="13">
        <v>1014</v>
      </c>
      <c r="P18" s="13">
        <v>997.2</v>
      </c>
      <c r="Q18" s="13">
        <v>207.7</v>
      </c>
      <c r="R18" s="13">
        <v>1029.4000000000001</v>
      </c>
      <c r="S18" s="13">
        <v>215.2</v>
      </c>
      <c r="T18" s="13">
        <v>849.5</v>
      </c>
      <c r="U18" s="13">
        <v>207.3</v>
      </c>
      <c r="V18" s="13">
        <v>1179.2</v>
      </c>
      <c r="W18" s="13">
        <v>280.2</v>
      </c>
      <c r="X18" s="13">
        <v>2741.7</v>
      </c>
      <c r="Y18" s="13">
        <v>1212.3</v>
      </c>
      <c r="Z18" s="13">
        <v>740.2</v>
      </c>
      <c r="AA18" s="13">
        <v>124.3</v>
      </c>
      <c r="AB18" s="13">
        <v>99.4</v>
      </c>
      <c r="AC18" s="13">
        <v>82.1</v>
      </c>
      <c r="AD18" s="13">
        <v>31.6</v>
      </c>
      <c r="AE18" s="13">
        <v>181.1</v>
      </c>
      <c r="AF18" s="13">
        <v>180</v>
      </c>
      <c r="AG18" s="13">
        <v>565.1</v>
      </c>
      <c r="AH18" s="13">
        <v>553.1</v>
      </c>
      <c r="AI18" s="13">
        <v>329.5</v>
      </c>
      <c r="AJ18" s="13">
        <v>1797.3</v>
      </c>
      <c r="AK18" s="13">
        <v>558.70000000000005</v>
      </c>
      <c r="AL18" s="13">
        <v>0</v>
      </c>
      <c r="AM18" s="13">
        <v>33283.1</v>
      </c>
      <c r="AN18" s="13">
        <v>0.3</v>
      </c>
      <c r="AO18" s="13">
        <v>10168.299999999999</v>
      </c>
      <c r="AP18" s="13">
        <v>1088.4000000000001</v>
      </c>
      <c r="AQ18" s="13">
        <v>27.5</v>
      </c>
      <c r="AR18" s="13">
        <v>144.19999999999999</v>
      </c>
      <c r="AS18" s="13">
        <v>10.6</v>
      </c>
      <c r="AT18" s="13">
        <v>8173.9</v>
      </c>
      <c r="AU18" s="13">
        <v>-30495.7</v>
      </c>
    </row>
    <row r="19" spans="1:47" ht="21">
      <c r="A19" s="11" t="s">
        <v>85</v>
      </c>
      <c r="B19" s="10" t="s">
        <v>74</v>
      </c>
      <c r="C19" s="12">
        <v>316.89999999999998</v>
      </c>
      <c r="D19" s="12">
        <v>46.8</v>
      </c>
      <c r="E19" s="12">
        <v>216.1</v>
      </c>
      <c r="F19" s="12">
        <v>31</v>
      </c>
      <c r="G19" s="12">
        <v>4089.3</v>
      </c>
      <c r="H19" s="12">
        <v>357.3</v>
      </c>
      <c r="I19" s="12">
        <v>63.5</v>
      </c>
      <c r="J19" s="12">
        <v>465.7</v>
      </c>
      <c r="K19" s="12">
        <v>59.6</v>
      </c>
      <c r="L19" s="12">
        <v>1359.2</v>
      </c>
      <c r="M19" s="12">
        <v>4231.3999999999996</v>
      </c>
      <c r="N19" s="12">
        <v>624.20000000000005</v>
      </c>
      <c r="O19" s="12">
        <v>178.3</v>
      </c>
      <c r="P19" s="12">
        <v>244.5</v>
      </c>
      <c r="Q19" s="12">
        <v>372.3</v>
      </c>
      <c r="R19" s="12">
        <v>598.79999999999995</v>
      </c>
      <c r="S19" s="12">
        <v>629</v>
      </c>
      <c r="T19" s="12">
        <v>3840</v>
      </c>
      <c r="U19" s="12">
        <v>259.5</v>
      </c>
      <c r="V19" s="12">
        <v>1055.7</v>
      </c>
      <c r="W19" s="12">
        <v>166.9</v>
      </c>
      <c r="X19" s="12">
        <v>3479.3</v>
      </c>
      <c r="Y19" s="12">
        <v>1502.1</v>
      </c>
      <c r="Z19" s="12">
        <v>2097.6999999999998</v>
      </c>
      <c r="AA19" s="12">
        <v>110.2</v>
      </c>
      <c r="AB19" s="12">
        <v>7.2</v>
      </c>
      <c r="AC19" s="12">
        <v>11.5</v>
      </c>
      <c r="AD19" s="12">
        <v>7.9</v>
      </c>
      <c r="AE19" s="12">
        <v>115</v>
      </c>
      <c r="AF19" s="12">
        <v>81.099999999999994</v>
      </c>
      <c r="AG19" s="12">
        <v>395.5</v>
      </c>
      <c r="AH19" s="12">
        <v>315.8</v>
      </c>
      <c r="AI19" s="12">
        <v>77.7</v>
      </c>
      <c r="AJ19" s="12">
        <v>335.8</v>
      </c>
      <c r="AK19" s="12">
        <v>204.9</v>
      </c>
      <c r="AL19" s="12">
        <v>0</v>
      </c>
      <c r="AM19" s="12">
        <v>4315.3</v>
      </c>
      <c r="AN19" s="12">
        <v>0</v>
      </c>
      <c r="AO19" s="12">
        <v>70.900000000000006</v>
      </c>
      <c r="AP19" s="12">
        <v>440</v>
      </c>
      <c r="AQ19" s="12">
        <v>5.2</v>
      </c>
      <c r="AR19" s="12">
        <v>6</v>
      </c>
      <c r="AS19" s="12">
        <v>1</v>
      </c>
      <c r="AT19" s="12">
        <v>2440.1</v>
      </c>
      <c r="AU19" s="12">
        <v>-4614.6000000000004</v>
      </c>
    </row>
    <row r="20" spans="1:47" ht="21">
      <c r="A20" s="11" t="s">
        <v>86</v>
      </c>
      <c r="B20" s="10" t="s">
        <v>74</v>
      </c>
      <c r="C20" s="13">
        <v>1582.3</v>
      </c>
      <c r="D20" s="13">
        <v>34.6</v>
      </c>
      <c r="E20" s="13">
        <v>110.2</v>
      </c>
      <c r="F20" s="13">
        <v>23.8</v>
      </c>
      <c r="G20" s="13">
        <v>1128.5</v>
      </c>
      <c r="H20" s="13">
        <v>32.6</v>
      </c>
      <c r="I20" s="13">
        <v>2.2000000000000002</v>
      </c>
      <c r="J20" s="13">
        <v>72.599999999999994</v>
      </c>
      <c r="K20" s="13">
        <v>46.4</v>
      </c>
      <c r="L20" s="13">
        <v>469</v>
      </c>
      <c r="M20" s="13">
        <v>145.9</v>
      </c>
      <c r="N20" s="13">
        <v>2812.8</v>
      </c>
      <c r="O20" s="13">
        <v>138.4</v>
      </c>
      <c r="P20" s="13">
        <v>65</v>
      </c>
      <c r="Q20" s="13">
        <v>8.1</v>
      </c>
      <c r="R20" s="13">
        <v>103.6</v>
      </c>
      <c r="S20" s="13">
        <v>110.9</v>
      </c>
      <c r="T20" s="13">
        <v>753.8</v>
      </c>
      <c r="U20" s="13">
        <v>66.099999999999994</v>
      </c>
      <c r="V20" s="13">
        <v>230.1</v>
      </c>
      <c r="W20" s="13">
        <v>527.20000000000005</v>
      </c>
      <c r="X20" s="13">
        <v>15760.3</v>
      </c>
      <c r="Y20" s="13">
        <v>387.1</v>
      </c>
      <c r="Z20" s="13">
        <v>80.5</v>
      </c>
      <c r="AA20" s="13">
        <v>187.1</v>
      </c>
      <c r="AB20" s="13">
        <v>2.8</v>
      </c>
      <c r="AC20" s="13">
        <v>7.7</v>
      </c>
      <c r="AD20" s="13">
        <v>4.2</v>
      </c>
      <c r="AE20" s="13">
        <v>52.6</v>
      </c>
      <c r="AF20" s="13">
        <v>156.9</v>
      </c>
      <c r="AG20" s="13">
        <v>90.7</v>
      </c>
      <c r="AH20" s="13">
        <v>202.5</v>
      </c>
      <c r="AI20" s="13">
        <v>58.2</v>
      </c>
      <c r="AJ20" s="13">
        <v>153.19999999999999</v>
      </c>
      <c r="AK20" s="13">
        <v>110.2</v>
      </c>
      <c r="AL20" s="13">
        <v>0</v>
      </c>
      <c r="AM20" s="13">
        <v>1092.2</v>
      </c>
      <c r="AN20" s="13">
        <v>0</v>
      </c>
      <c r="AO20" s="13">
        <v>49.3</v>
      </c>
      <c r="AP20" s="13">
        <v>139.30000000000001</v>
      </c>
      <c r="AQ20" s="13">
        <v>16.5</v>
      </c>
      <c r="AR20" s="13">
        <v>2.6</v>
      </c>
      <c r="AS20" s="13">
        <v>0.5</v>
      </c>
      <c r="AT20" s="13">
        <v>2037.5</v>
      </c>
      <c r="AU20" s="13">
        <v>-1954.8</v>
      </c>
    </row>
    <row r="21" spans="1:47" ht="21">
      <c r="A21" s="11" t="s">
        <v>87</v>
      </c>
      <c r="B21" s="10" t="s">
        <v>74</v>
      </c>
      <c r="C21" s="12">
        <v>235.5</v>
      </c>
      <c r="D21" s="12">
        <v>355.3</v>
      </c>
      <c r="E21" s="12">
        <v>100.7</v>
      </c>
      <c r="F21" s="12">
        <v>128</v>
      </c>
      <c r="G21" s="12">
        <v>442.4</v>
      </c>
      <c r="H21" s="12">
        <v>21.8</v>
      </c>
      <c r="I21" s="12">
        <v>8.4</v>
      </c>
      <c r="J21" s="12">
        <v>190.8</v>
      </c>
      <c r="K21" s="12">
        <v>35.5</v>
      </c>
      <c r="L21" s="12">
        <v>237.4</v>
      </c>
      <c r="M21" s="12">
        <v>223.5</v>
      </c>
      <c r="N21" s="12">
        <v>248.9</v>
      </c>
      <c r="O21" s="12">
        <v>6350.5</v>
      </c>
      <c r="P21" s="12">
        <v>5558.1</v>
      </c>
      <c r="Q21" s="12">
        <v>81.7</v>
      </c>
      <c r="R21" s="12">
        <v>2888</v>
      </c>
      <c r="S21" s="12">
        <v>2563.8000000000002</v>
      </c>
      <c r="T21" s="12">
        <v>5437</v>
      </c>
      <c r="U21" s="12">
        <v>1086.9000000000001</v>
      </c>
      <c r="V21" s="12">
        <v>1610.5</v>
      </c>
      <c r="W21" s="12">
        <v>229.1</v>
      </c>
      <c r="X21" s="12">
        <v>5213.5</v>
      </c>
      <c r="Y21" s="12">
        <v>415.1</v>
      </c>
      <c r="Z21" s="12">
        <v>95.4</v>
      </c>
      <c r="AA21" s="12">
        <v>45.4</v>
      </c>
      <c r="AB21" s="12">
        <v>5</v>
      </c>
      <c r="AC21" s="12">
        <v>17</v>
      </c>
      <c r="AD21" s="12">
        <v>12</v>
      </c>
      <c r="AE21" s="12">
        <v>67.2</v>
      </c>
      <c r="AF21" s="12">
        <v>44.7</v>
      </c>
      <c r="AG21" s="12">
        <v>147.6</v>
      </c>
      <c r="AH21" s="12">
        <v>124.3</v>
      </c>
      <c r="AI21" s="12">
        <v>44</v>
      </c>
      <c r="AJ21" s="12">
        <v>88.4</v>
      </c>
      <c r="AK21" s="12">
        <v>114.2</v>
      </c>
      <c r="AL21" s="12">
        <v>0</v>
      </c>
      <c r="AM21" s="12">
        <v>989.3</v>
      </c>
      <c r="AN21" s="12">
        <v>0</v>
      </c>
      <c r="AO21" s="12">
        <v>151.5</v>
      </c>
      <c r="AP21" s="12">
        <v>549.79999999999995</v>
      </c>
      <c r="AQ21" s="12">
        <v>33.299999999999997</v>
      </c>
      <c r="AR21" s="12">
        <v>3.5</v>
      </c>
      <c r="AS21" s="12">
        <v>1.4</v>
      </c>
      <c r="AT21" s="12">
        <v>17571.099999999999</v>
      </c>
      <c r="AU21" s="12">
        <v>-5732.7</v>
      </c>
    </row>
    <row r="22" spans="1:47" ht="31.5">
      <c r="A22" s="11" t="s">
        <v>88</v>
      </c>
      <c r="B22" s="10" t="s">
        <v>74</v>
      </c>
      <c r="C22" s="13">
        <v>319.89999999999998</v>
      </c>
      <c r="D22" s="13">
        <v>321.8</v>
      </c>
      <c r="E22" s="13">
        <v>313.89999999999998</v>
      </c>
      <c r="F22" s="13">
        <v>59.6</v>
      </c>
      <c r="G22" s="13">
        <v>2504.1</v>
      </c>
      <c r="H22" s="13">
        <v>68.599999999999994</v>
      </c>
      <c r="I22" s="13">
        <v>119.7</v>
      </c>
      <c r="J22" s="13">
        <v>52.6</v>
      </c>
      <c r="K22" s="13">
        <v>103.1</v>
      </c>
      <c r="L22" s="13">
        <v>719.3</v>
      </c>
      <c r="M22" s="13">
        <v>64</v>
      </c>
      <c r="N22" s="13">
        <v>76.5</v>
      </c>
      <c r="O22" s="13">
        <v>859.9</v>
      </c>
      <c r="P22" s="13">
        <v>2327.3000000000002</v>
      </c>
      <c r="Q22" s="13">
        <v>275.8</v>
      </c>
      <c r="R22" s="13">
        <v>630.70000000000005</v>
      </c>
      <c r="S22" s="13">
        <v>1472.8</v>
      </c>
      <c r="T22" s="13">
        <v>1661.9</v>
      </c>
      <c r="U22" s="13">
        <v>459.5</v>
      </c>
      <c r="V22" s="13">
        <v>1082.3</v>
      </c>
      <c r="W22" s="13">
        <v>746.5</v>
      </c>
      <c r="X22" s="13">
        <v>6169.3</v>
      </c>
      <c r="Y22" s="13">
        <v>618.5</v>
      </c>
      <c r="Z22" s="13">
        <v>170.7</v>
      </c>
      <c r="AA22" s="13">
        <v>434.3</v>
      </c>
      <c r="AB22" s="13">
        <v>6.9</v>
      </c>
      <c r="AC22" s="13">
        <v>17.7</v>
      </c>
      <c r="AD22" s="13">
        <v>8.6999999999999993</v>
      </c>
      <c r="AE22" s="13">
        <v>86.6</v>
      </c>
      <c r="AF22" s="13">
        <v>119.4</v>
      </c>
      <c r="AG22" s="13">
        <v>201.7</v>
      </c>
      <c r="AH22" s="13">
        <v>621.9</v>
      </c>
      <c r="AI22" s="13">
        <v>42</v>
      </c>
      <c r="AJ22" s="13">
        <v>126.8</v>
      </c>
      <c r="AK22" s="13">
        <v>163.30000000000001</v>
      </c>
      <c r="AL22" s="13">
        <v>0</v>
      </c>
      <c r="AM22" s="13">
        <v>3911.2</v>
      </c>
      <c r="AN22" s="13">
        <v>0.1</v>
      </c>
      <c r="AO22" s="13">
        <v>59.3</v>
      </c>
      <c r="AP22" s="13">
        <v>2813.4</v>
      </c>
      <c r="AQ22" s="13">
        <v>-98.1</v>
      </c>
      <c r="AR22" s="13">
        <v>7.6</v>
      </c>
      <c r="AS22" s="13">
        <v>0.6</v>
      </c>
      <c r="AT22" s="13">
        <v>2090.8000000000002</v>
      </c>
      <c r="AU22" s="13">
        <v>-4196.8</v>
      </c>
    </row>
    <row r="23" spans="1:47" ht="21">
      <c r="A23" s="11" t="s">
        <v>89</v>
      </c>
      <c r="B23" s="10" t="s">
        <v>74</v>
      </c>
      <c r="C23" s="12">
        <v>29.9</v>
      </c>
      <c r="D23" s="12">
        <v>115.4</v>
      </c>
      <c r="E23" s="12">
        <v>48.6</v>
      </c>
      <c r="F23" s="12">
        <v>15.2</v>
      </c>
      <c r="G23" s="12">
        <v>48.4</v>
      </c>
      <c r="H23" s="12">
        <v>11.2</v>
      </c>
      <c r="I23" s="12">
        <v>3.2</v>
      </c>
      <c r="J23" s="12">
        <v>125.2</v>
      </c>
      <c r="K23" s="12">
        <v>12.5</v>
      </c>
      <c r="L23" s="12">
        <v>42</v>
      </c>
      <c r="M23" s="12">
        <v>12.6</v>
      </c>
      <c r="N23" s="12">
        <v>11.4</v>
      </c>
      <c r="O23" s="12">
        <v>35.6</v>
      </c>
      <c r="P23" s="12">
        <v>13.3</v>
      </c>
      <c r="Q23" s="12">
        <v>8016</v>
      </c>
      <c r="R23" s="12">
        <v>255.2</v>
      </c>
      <c r="S23" s="12">
        <v>347.5</v>
      </c>
      <c r="T23" s="12">
        <v>257.10000000000002</v>
      </c>
      <c r="U23" s="12">
        <v>134.5</v>
      </c>
      <c r="V23" s="12">
        <v>328.8</v>
      </c>
      <c r="W23" s="12">
        <v>165.4</v>
      </c>
      <c r="X23" s="12">
        <v>310.60000000000002</v>
      </c>
      <c r="Y23" s="12">
        <v>519.5</v>
      </c>
      <c r="Z23" s="12">
        <v>107.7</v>
      </c>
      <c r="AA23" s="12">
        <v>8.3000000000000007</v>
      </c>
      <c r="AB23" s="12">
        <v>88.9</v>
      </c>
      <c r="AC23" s="12">
        <v>113.7</v>
      </c>
      <c r="AD23" s="12">
        <v>622.1</v>
      </c>
      <c r="AE23" s="12">
        <v>322.5</v>
      </c>
      <c r="AF23" s="12">
        <v>24.3</v>
      </c>
      <c r="AG23" s="12">
        <v>427.3</v>
      </c>
      <c r="AH23" s="12">
        <v>785.7</v>
      </c>
      <c r="AI23" s="12">
        <v>312.3</v>
      </c>
      <c r="AJ23" s="12">
        <v>749</v>
      </c>
      <c r="AK23" s="12">
        <v>383.6</v>
      </c>
      <c r="AL23" s="12">
        <v>0</v>
      </c>
      <c r="AM23" s="12">
        <v>14458.2</v>
      </c>
      <c r="AN23" s="12">
        <v>0.1</v>
      </c>
      <c r="AO23" s="12">
        <v>21.8</v>
      </c>
      <c r="AP23" s="12">
        <v>11637.9</v>
      </c>
      <c r="AQ23" s="12">
        <v>-359</v>
      </c>
      <c r="AR23" s="12">
        <v>80.099999999999994</v>
      </c>
      <c r="AS23" s="12">
        <v>6</v>
      </c>
      <c r="AT23" s="12">
        <v>1209.0999999999999</v>
      </c>
      <c r="AU23" s="12">
        <v>-16076.7</v>
      </c>
    </row>
    <row r="24" spans="1:47" ht="13.5">
      <c r="A24" s="11" t="s">
        <v>90</v>
      </c>
      <c r="B24" s="10" t="s">
        <v>74</v>
      </c>
      <c r="C24" s="13">
        <v>70.400000000000006</v>
      </c>
      <c r="D24" s="13">
        <v>76.7</v>
      </c>
      <c r="E24" s="13">
        <v>45.5</v>
      </c>
      <c r="F24" s="13">
        <v>15.7</v>
      </c>
      <c r="G24" s="13">
        <v>112.9</v>
      </c>
      <c r="H24" s="13">
        <v>25.5</v>
      </c>
      <c r="I24" s="13">
        <v>10</v>
      </c>
      <c r="J24" s="13">
        <v>30.5</v>
      </c>
      <c r="K24" s="13">
        <v>11.8</v>
      </c>
      <c r="L24" s="13">
        <v>83.5</v>
      </c>
      <c r="M24" s="13">
        <v>38</v>
      </c>
      <c r="N24" s="13">
        <v>53.8</v>
      </c>
      <c r="O24" s="13">
        <v>90.3</v>
      </c>
      <c r="P24" s="13">
        <v>52.5</v>
      </c>
      <c r="Q24" s="13">
        <v>792.4</v>
      </c>
      <c r="R24" s="13">
        <v>2899.9</v>
      </c>
      <c r="S24" s="13">
        <v>1014.2</v>
      </c>
      <c r="T24" s="13">
        <v>845.9</v>
      </c>
      <c r="U24" s="13">
        <v>255.5</v>
      </c>
      <c r="V24" s="13">
        <v>808.2</v>
      </c>
      <c r="W24" s="13">
        <v>1885.3</v>
      </c>
      <c r="X24" s="13">
        <v>3067.3</v>
      </c>
      <c r="Y24" s="13">
        <v>559.4</v>
      </c>
      <c r="Z24" s="13">
        <v>489.7</v>
      </c>
      <c r="AA24" s="13">
        <v>25.1</v>
      </c>
      <c r="AB24" s="13">
        <v>17.600000000000001</v>
      </c>
      <c r="AC24" s="13">
        <v>233</v>
      </c>
      <c r="AD24" s="13">
        <v>15.8</v>
      </c>
      <c r="AE24" s="13">
        <v>86.7</v>
      </c>
      <c r="AF24" s="13">
        <v>82.2</v>
      </c>
      <c r="AG24" s="13">
        <v>347.7</v>
      </c>
      <c r="AH24" s="13">
        <v>330.7</v>
      </c>
      <c r="AI24" s="13">
        <v>34.200000000000003</v>
      </c>
      <c r="AJ24" s="13">
        <v>152.80000000000001</v>
      </c>
      <c r="AK24" s="13">
        <v>266.89999999999998</v>
      </c>
      <c r="AL24" s="13">
        <v>0</v>
      </c>
      <c r="AM24" s="13">
        <v>7575.5</v>
      </c>
      <c r="AN24" s="13">
        <v>0</v>
      </c>
      <c r="AO24" s="13">
        <v>39.9</v>
      </c>
      <c r="AP24" s="13">
        <v>4964</v>
      </c>
      <c r="AQ24" s="13">
        <v>-155.6</v>
      </c>
      <c r="AR24" s="13">
        <v>26.7</v>
      </c>
      <c r="AS24" s="13">
        <v>2.8</v>
      </c>
      <c r="AT24" s="13">
        <v>2115.5</v>
      </c>
      <c r="AU24" s="13">
        <v>-7711.8</v>
      </c>
    </row>
    <row r="25" spans="1:47" ht="21">
      <c r="A25" s="11" t="s">
        <v>91</v>
      </c>
      <c r="B25" s="10" t="s">
        <v>74</v>
      </c>
      <c r="C25" s="12">
        <v>123.2</v>
      </c>
      <c r="D25" s="12">
        <v>978.4</v>
      </c>
      <c r="E25" s="12">
        <v>1493.3</v>
      </c>
      <c r="F25" s="12">
        <v>168.7</v>
      </c>
      <c r="G25" s="12">
        <v>148</v>
      </c>
      <c r="H25" s="12">
        <v>21</v>
      </c>
      <c r="I25" s="12">
        <v>35.299999999999997</v>
      </c>
      <c r="J25" s="12">
        <v>39.9</v>
      </c>
      <c r="K25" s="12">
        <v>62.3</v>
      </c>
      <c r="L25" s="12">
        <v>87.6</v>
      </c>
      <c r="M25" s="12">
        <v>54.3</v>
      </c>
      <c r="N25" s="12">
        <v>34.4</v>
      </c>
      <c r="O25" s="12">
        <v>147.80000000000001</v>
      </c>
      <c r="P25" s="12">
        <v>123.1</v>
      </c>
      <c r="Q25" s="12">
        <v>152.80000000000001</v>
      </c>
      <c r="R25" s="12">
        <v>292.8</v>
      </c>
      <c r="S25" s="12">
        <v>6346.6</v>
      </c>
      <c r="T25" s="12">
        <v>852.6</v>
      </c>
      <c r="U25" s="12">
        <v>531.6</v>
      </c>
      <c r="V25" s="12">
        <v>2852.6</v>
      </c>
      <c r="W25" s="12">
        <v>205.5</v>
      </c>
      <c r="X25" s="12">
        <v>1679.6</v>
      </c>
      <c r="Y25" s="12">
        <v>671.7</v>
      </c>
      <c r="Z25" s="12">
        <v>253.2</v>
      </c>
      <c r="AA25" s="12">
        <v>25.7</v>
      </c>
      <c r="AB25" s="12">
        <v>9.6</v>
      </c>
      <c r="AC25" s="12">
        <v>39.799999999999997</v>
      </c>
      <c r="AD25" s="12">
        <v>19.5</v>
      </c>
      <c r="AE25" s="12">
        <v>135.19999999999999</v>
      </c>
      <c r="AF25" s="12">
        <v>62.9</v>
      </c>
      <c r="AG25" s="12">
        <v>224.6</v>
      </c>
      <c r="AH25" s="12">
        <v>1260.5999999999999</v>
      </c>
      <c r="AI25" s="12">
        <v>20.3</v>
      </c>
      <c r="AJ25" s="12">
        <v>161.9</v>
      </c>
      <c r="AK25" s="12">
        <v>179</v>
      </c>
      <c r="AL25" s="12">
        <v>0</v>
      </c>
      <c r="AM25" s="12">
        <v>2400.1</v>
      </c>
      <c r="AN25" s="12">
        <v>0.1</v>
      </c>
      <c r="AO25" s="12">
        <v>29.2</v>
      </c>
      <c r="AP25" s="12">
        <v>23166.1</v>
      </c>
      <c r="AQ25" s="12">
        <v>-1036.3</v>
      </c>
      <c r="AR25" s="12">
        <v>7.8</v>
      </c>
      <c r="AS25" s="12">
        <v>0.4</v>
      </c>
      <c r="AT25" s="12">
        <v>5927.6</v>
      </c>
      <c r="AU25" s="12">
        <v>-13488.6</v>
      </c>
    </row>
    <row r="26" spans="1:47" ht="21">
      <c r="A26" s="11" t="s">
        <v>92</v>
      </c>
      <c r="B26" s="10" t="s">
        <v>74</v>
      </c>
      <c r="C26" s="13">
        <v>38.4</v>
      </c>
      <c r="D26" s="13">
        <v>38.299999999999997</v>
      </c>
      <c r="E26" s="13">
        <v>71.099999999999994</v>
      </c>
      <c r="F26" s="13">
        <v>17.5</v>
      </c>
      <c r="G26" s="13">
        <v>88.4</v>
      </c>
      <c r="H26" s="13">
        <v>35.1</v>
      </c>
      <c r="I26" s="13">
        <v>3.4</v>
      </c>
      <c r="J26" s="13">
        <v>7</v>
      </c>
      <c r="K26" s="13">
        <v>5.6</v>
      </c>
      <c r="L26" s="13">
        <v>51.9</v>
      </c>
      <c r="M26" s="13">
        <v>29.4</v>
      </c>
      <c r="N26" s="13">
        <v>34.9</v>
      </c>
      <c r="O26" s="13">
        <v>35.4</v>
      </c>
      <c r="P26" s="13">
        <v>52</v>
      </c>
      <c r="Q26" s="13">
        <v>62.1</v>
      </c>
      <c r="R26" s="13">
        <v>87.7</v>
      </c>
      <c r="S26" s="13">
        <v>221.5</v>
      </c>
      <c r="T26" s="13">
        <v>14763</v>
      </c>
      <c r="U26" s="13">
        <v>162</v>
      </c>
      <c r="V26" s="13">
        <v>103.6</v>
      </c>
      <c r="W26" s="13">
        <v>114.5</v>
      </c>
      <c r="X26" s="13">
        <v>291.3</v>
      </c>
      <c r="Y26" s="13">
        <v>2935.4</v>
      </c>
      <c r="Z26" s="13">
        <v>2752.6</v>
      </c>
      <c r="AA26" s="13">
        <v>16.399999999999999</v>
      </c>
      <c r="AB26" s="13">
        <v>3.8</v>
      </c>
      <c r="AC26" s="13">
        <v>14.6</v>
      </c>
      <c r="AD26" s="13">
        <v>6.8</v>
      </c>
      <c r="AE26" s="13">
        <v>73.8</v>
      </c>
      <c r="AF26" s="13">
        <v>20.3</v>
      </c>
      <c r="AG26" s="13">
        <v>149.4</v>
      </c>
      <c r="AH26" s="13">
        <v>349.4</v>
      </c>
      <c r="AI26" s="13">
        <v>83.5</v>
      </c>
      <c r="AJ26" s="13">
        <v>68.900000000000006</v>
      </c>
      <c r="AK26" s="13">
        <v>84.4</v>
      </c>
      <c r="AL26" s="13">
        <v>0</v>
      </c>
      <c r="AM26" s="13">
        <v>27855.8</v>
      </c>
      <c r="AN26" s="13">
        <v>0</v>
      </c>
      <c r="AO26" s="13">
        <v>63.5</v>
      </c>
      <c r="AP26" s="13">
        <v>17034.599999999999</v>
      </c>
      <c r="AQ26" s="13">
        <v>-594.1</v>
      </c>
      <c r="AR26" s="13">
        <v>51</v>
      </c>
      <c r="AS26" s="13">
        <v>5</v>
      </c>
      <c r="AT26" s="13">
        <v>10884.3</v>
      </c>
      <c r="AU26" s="13">
        <v>-12532.1</v>
      </c>
    </row>
    <row r="27" spans="1:47" ht="21">
      <c r="A27" s="11" t="s">
        <v>93</v>
      </c>
      <c r="B27" s="10" t="s">
        <v>74</v>
      </c>
      <c r="C27" s="12">
        <v>47.5</v>
      </c>
      <c r="D27" s="12">
        <v>62.2</v>
      </c>
      <c r="E27" s="12">
        <v>23.6</v>
      </c>
      <c r="F27" s="12">
        <v>2.2999999999999998</v>
      </c>
      <c r="G27" s="12">
        <v>38.700000000000003</v>
      </c>
      <c r="H27" s="12">
        <v>5.4</v>
      </c>
      <c r="I27" s="12">
        <v>2.7</v>
      </c>
      <c r="J27" s="12">
        <v>9.9</v>
      </c>
      <c r="K27" s="12">
        <v>19.2</v>
      </c>
      <c r="L27" s="12">
        <v>20.399999999999999</v>
      </c>
      <c r="M27" s="12">
        <v>5.2</v>
      </c>
      <c r="N27" s="12">
        <v>8</v>
      </c>
      <c r="O27" s="12">
        <v>30.6</v>
      </c>
      <c r="P27" s="12">
        <v>28.5</v>
      </c>
      <c r="Q27" s="12">
        <v>15.9</v>
      </c>
      <c r="R27" s="12">
        <v>38.700000000000003</v>
      </c>
      <c r="S27" s="12">
        <v>171.3</v>
      </c>
      <c r="T27" s="12">
        <v>57.1</v>
      </c>
      <c r="U27" s="12">
        <v>3509.6</v>
      </c>
      <c r="V27" s="12">
        <v>38.4</v>
      </c>
      <c r="W27" s="12">
        <v>17.600000000000001</v>
      </c>
      <c r="X27" s="12">
        <v>232</v>
      </c>
      <c r="Y27" s="12">
        <v>201.5</v>
      </c>
      <c r="Z27" s="12">
        <v>892.1</v>
      </c>
      <c r="AA27" s="12">
        <v>7.8</v>
      </c>
      <c r="AB27" s="12">
        <v>3</v>
      </c>
      <c r="AC27" s="12">
        <v>5.9</v>
      </c>
      <c r="AD27" s="12">
        <v>5.6</v>
      </c>
      <c r="AE27" s="12">
        <v>12.6</v>
      </c>
      <c r="AF27" s="12">
        <v>7.6</v>
      </c>
      <c r="AG27" s="12">
        <v>203.4</v>
      </c>
      <c r="AH27" s="12">
        <v>2808.8</v>
      </c>
      <c r="AI27" s="12">
        <v>9.1</v>
      </c>
      <c r="AJ27" s="12">
        <v>19.3</v>
      </c>
      <c r="AK27" s="12">
        <v>35.299999999999997</v>
      </c>
      <c r="AL27" s="12">
        <v>0</v>
      </c>
      <c r="AM27" s="12">
        <v>4515.7</v>
      </c>
      <c r="AN27" s="12">
        <v>0</v>
      </c>
      <c r="AO27" s="12">
        <v>2150</v>
      </c>
      <c r="AP27" s="12">
        <v>4760.6000000000004</v>
      </c>
      <c r="AQ27" s="12">
        <v>-214.2</v>
      </c>
      <c r="AR27" s="12">
        <v>3.4</v>
      </c>
      <c r="AS27" s="12">
        <v>0.1</v>
      </c>
      <c r="AT27" s="12">
        <v>5643.5</v>
      </c>
      <c r="AU27" s="12">
        <v>-10020</v>
      </c>
    </row>
    <row r="28" spans="1:47" ht="42">
      <c r="A28" s="11" t="s">
        <v>94</v>
      </c>
      <c r="B28" s="10" t="s">
        <v>74</v>
      </c>
      <c r="C28" s="13">
        <v>245.9</v>
      </c>
      <c r="D28" s="13">
        <v>741.2</v>
      </c>
      <c r="E28" s="13">
        <v>665.2</v>
      </c>
      <c r="F28" s="13">
        <v>75</v>
      </c>
      <c r="G28" s="13">
        <v>994.3</v>
      </c>
      <c r="H28" s="13">
        <v>414.3</v>
      </c>
      <c r="I28" s="13">
        <v>180.2</v>
      </c>
      <c r="J28" s="13">
        <v>1075.5</v>
      </c>
      <c r="K28" s="13">
        <v>341.4</v>
      </c>
      <c r="L28" s="13">
        <v>903</v>
      </c>
      <c r="M28" s="13">
        <v>204.1</v>
      </c>
      <c r="N28" s="13">
        <v>820.1</v>
      </c>
      <c r="O28" s="13">
        <v>3220.1</v>
      </c>
      <c r="P28" s="13">
        <v>299.2</v>
      </c>
      <c r="Q28" s="13">
        <v>130.69999999999999</v>
      </c>
      <c r="R28" s="13">
        <v>218.9</v>
      </c>
      <c r="S28" s="13">
        <v>514.5</v>
      </c>
      <c r="T28" s="13">
        <v>606.29999999999995</v>
      </c>
      <c r="U28" s="13">
        <v>181.6</v>
      </c>
      <c r="V28" s="13">
        <v>1370.5</v>
      </c>
      <c r="W28" s="13">
        <v>596.29999999999995</v>
      </c>
      <c r="X28" s="13">
        <v>1386.7</v>
      </c>
      <c r="Y28" s="13">
        <v>967.7</v>
      </c>
      <c r="Z28" s="13">
        <v>1098</v>
      </c>
      <c r="AA28" s="13">
        <v>142.80000000000001</v>
      </c>
      <c r="AB28" s="13">
        <v>177.6</v>
      </c>
      <c r="AC28" s="13">
        <v>159.1</v>
      </c>
      <c r="AD28" s="13">
        <v>205.3</v>
      </c>
      <c r="AE28" s="13">
        <v>334.6</v>
      </c>
      <c r="AF28" s="13">
        <v>616.9</v>
      </c>
      <c r="AG28" s="13">
        <v>796.9</v>
      </c>
      <c r="AH28" s="13">
        <v>1118.5999999999999</v>
      </c>
      <c r="AI28" s="13">
        <v>439.5</v>
      </c>
      <c r="AJ28" s="13">
        <v>1935.1</v>
      </c>
      <c r="AK28" s="13">
        <v>345.9</v>
      </c>
      <c r="AL28" s="13">
        <v>0</v>
      </c>
      <c r="AM28" s="13">
        <v>12699.4</v>
      </c>
      <c r="AN28" s="13">
        <v>0.1</v>
      </c>
      <c r="AO28" s="13">
        <v>80.099999999999994</v>
      </c>
      <c r="AP28" s="13">
        <v>6663.6</v>
      </c>
      <c r="AQ28" s="13">
        <v>-221.6</v>
      </c>
      <c r="AR28" s="13">
        <v>205.4</v>
      </c>
      <c r="AS28" s="13">
        <v>22.6</v>
      </c>
      <c r="AT28" s="13">
        <v>1672.7</v>
      </c>
      <c r="AU28" s="13">
        <v>-4445.6000000000004</v>
      </c>
    </row>
    <row r="29" spans="1:47" ht="31.5">
      <c r="A29" s="11" t="s">
        <v>95</v>
      </c>
      <c r="B29" s="10" t="s">
        <v>74</v>
      </c>
      <c r="C29" s="12">
        <v>3771.7</v>
      </c>
      <c r="D29" s="12">
        <v>127.4</v>
      </c>
      <c r="E29" s="12">
        <v>780.1</v>
      </c>
      <c r="F29" s="12">
        <v>126.9</v>
      </c>
      <c r="G29" s="12">
        <v>2709.5</v>
      </c>
      <c r="H29" s="12">
        <v>731</v>
      </c>
      <c r="I29" s="12">
        <v>300.2</v>
      </c>
      <c r="J29" s="12">
        <v>1396.7</v>
      </c>
      <c r="K29" s="12">
        <v>124.1</v>
      </c>
      <c r="L29" s="12">
        <v>2170.6999999999998</v>
      </c>
      <c r="M29" s="12">
        <v>903.6</v>
      </c>
      <c r="N29" s="12">
        <v>1689</v>
      </c>
      <c r="O29" s="12">
        <v>4403.6000000000004</v>
      </c>
      <c r="P29" s="12">
        <v>731.4</v>
      </c>
      <c r="Q29" s="12">
        <v>70.7</v>
      </c>
      <c r="R29" s="12">
        <v>219.2</v>
      </c>
      <c r="S29" s="12">
        <v>237.6</v>
      </c>
      <c r="T29" s="12">
        <v>695.9</v>
      </c>
      <c r="U29" s="12">
        <v>172.5</v>
      </c>
      <c r="V29" s="12">
        <v>223.8</v>
      </c>
      <c r="W29" s="12">
        <v>27179.3</v>
      </c>
      <c r="X29" s="12">
        <v>264.5</v>
      </c>
      <c r="Y29" s="12">
        <v>3999.1</v>
      </c>
      <c r="Z29" s="12">
        <v>1483.1</v>
      </c>
      <c r="AA29" s="12">
        <v>938.4</v>
      </c>
      <c r="AB29" s="12">
        <v>159.80000000000001</v>
      </c>
      <c r="AC29" s="12">
        <v>612.9</v>
      </c>
      <c r="AD29" s="12">
        <v>223.5</v>
      </c>
      <c r="AE29" s="12">
        <v>1079.0999999999999</v>
      </c>
      <c r="AF29" s="12">
        <v>1262.8</v>
      </c>
      <c r="AG29" s="12">
        <v>1390.4</v>
      </c>
      <c r="AH29" s="12">
        <v>3091.5</v>
      </c>
      <c r="AI29" s="12">
        <v>1496.3</v>
      </c>
      <c r="AJ29" s="12">
        <v>2844.5</v>
      </c>
      <c r="AK29" s="12">
        <v>1448.7</v>
      </c>
      <c r="AL29" s="12">
        <v>0</v>
      </c>
      <c r="AM29" s="12">
        <v>29391</v>
      </c>
      <c r="AN29" s="12">
        <v>3.1</v>
      </c>
      <c r="AO29" s="12">
        <v>612.5</v>
      </c>
      <c r="AP29" s="12">
        <v>168.5</v>
      </c>
      <c r="AQ29" s="12">
        <v>1.5</v>
      </c>
      <c r="AR29" s="12">
        <v>5.9</v>
      </c>
      <c r="AS29" s="12">
        <v>1.1000000000000001</v>
      </c>
      <c r="AT29" s="12">
        <v>32.6</v>
      </c>
      <c r="AU29" s="12">
        <v>-1363.5</v>
      </c>
    </row>
    <row r="30" spans="1:47" ht="13.5">
      <c r="A30" s="11" t="s">
        <v>96</v>
      </c>
      <c r="B30" s="10" t="s">
        <v>74</v>
      </c>
      <c r="C30" s="13">
        <v>155.19999999999999</v>
      </c>
      <c r="D30" s="13">
        <v>501.3</v>
      </c>
      <c r="E30" s="13">
        <v>559.5</v>
      </c>
      <c r="F30" s="13">
        <v>66.900000000000006</v>
      </c>
      <c r="G30" s="13">
        <v>21.2</v>
      </c>
      <c r="H30" s="13">
        <v>10.8</v>
      </c>
      <c r="I30" s="13">
        <v>1.1000000000000001</v>
      </c>
      <c r="J30" s="13">
        <v>18</v>
      </c>
      <c r="K30" s="13">
        <v>16.899999999999999</v>
      </c>
      <c r="L30" s="13">
        <v>36</v>
      </c>
      <c r="M30" s="13">
        <v>3.8</v>
      </c>
      <c r="N30" s="13">
        <v>14.3</v>
      </c>
      <c r="O30" s="13">
        <v>547.79999999999995</v>
      </c>
      <c r="P30" s="13">
        <v>22.2</v>
      </c>
      <c r="Q30" s="13">
        <v>26.2</v>
      </c>
      <c r="R30" s="13">
        <v>6.4</v>
      </c>
      <c r="S30" s="13">
        <v>32.1</v>
      </c>
      <c r="T30" s="13">
        <v>102.2</v>
      </c>
      <c r="U30" s="13">
        <v>37.6</v>
      </c>
      <c r="V30" s="13">
        <v>11.9</v>
      </c>
      <c r="W30" s="13">
        <v>289.2</v>
      </c>
      <c r="X30" s="13">
        <v>17704.3</v>
      </c>
      <c r="Y30" s="13">
        <v>1899.1</v>
      </c>
      <c r="Z30" s="13">
        <v>799.4</v>
      </c>
      <c r="AA30" s="13">
        <v>156.30000000000001</v>
      </c>
      <c r="AB30" s="13">
        <v>49.4</v>
      </c>
      <c r="AC30" s="13">
        <v>1257.8</v>
      </c>
      <c r="AD30" s="13">
        <v>179.3</v>
      </c>
      <c r="AE30" s="13">
        <v>874.3</v>
      </c>
      <c r="AF30" s="13">
        <v>4192.1000000000004</v>
      </c>
      <c r="AG30" s="13">
        <v>1021.1</v>
      </c>
      <c r="AH30" s="13">
        <v>4835.1000000000004</v>
      </c>
      <c r="AI30" s="13">
        <v>500.3</v>
      </c>
      <c r="AJ30" s="13">
        <v>1014.7</v>
      </c>
      <c r="AK30" s="13">
        <v>706.8</v>
      </c>
      <c r="AL30" s="13">
        <v>0</v>
      </c>
      <c r="AM30" s="13">
        <v>161.30000000000001</v>
      </c>
      <c r="AN30" s="13">
        <v>0</v>
      </c>
      <c r="AO30" s="13">
        <v>46</v>
      </c>
      <c r="AP30" s="13">
        <v>153632.29999999999</v>
      </c>
      <c r="AQ30" s="13">
        <v>-0.5</v>
      </c>
      <c r="AR30" s="13">
        <v>11.2</v>
      </c>
      <c r="AS30" s="13">
        <v>0.5</v>
      </c>
      <c r="AT30" s="13">
        <v>22.2</v>
      </c>
      <c r="AU30" s="13">
        <v>-224</v>
      </c>
    </row>
    <row r="31" spans="1:47" ht="31.5">
      <c r="A31" s="11" t="s">
        <v>97</v>
      </c>
      <c r="B31" s="10" t="s">
        <v>74</v>
      </c>
      <c r="C31" s="12">
        <v>8384.6</v>
      </c>
      <c r="D31" s="12">
        <v>1587.1</v>
      </c>
      <c r="E31" s="12">
        <v>1765.9</v>
      </c>
      <c r="F31" s="12">
        <v>308.2</v>
      </c>
      <c r="G31" s="12">
        <v>18297.3</v>
      </c>
      <c r="H31" s="12">
        <v>4154.1000000000004</v>
      </c>
      <c r="I31" s="12">
        <v>414</v>
      </c>
      <c r="J31" s="12">
        <v>1988</v>
      </c>
      <c r="K31" s="12">
        <v>8980.2999999999993</v>
      </c>
      <c r="L31" s="12">
        <v>10603</v>
      </c>
      <c r="M31" s="12">
        <v>2623.2</v>
      </c>
      <c r="N31" s="12">
        <v>1740.6</v>
      </c>
      <c r="O31" s="12">
        <v>2839.8</v>
      </c>
      <c r="P31" s="12">
        <v>1035</v>
      </c>
      <c r="Q31" s="12">
        <v>3657.6</v>
      </c>
      <c r="R31" s="12">
        <v>1874.3</v>
      </c>
      <c r="S31" s="12">
        <v>3927.6</v>
      </c>
      <c r="T31" s="12">
        <v>4206.8</v>
      </c>
      <c r="U31" s="12">
        <v>1395</v>
      </c>
      <c r="V31" s="12">
        <v>3222.6</v>
      </c>
      <c r="W31" s="12">
        <v>5072.3999999999996</v>
      </c>
      <c r="X31" s="12">
        <v>9515.4</v>
      </c>
      <c r="Y31" s="12">
        <v>44040.1</v>
      </c>
      <c r="Z31" s="12">
        <v>14411.2</v>
      </c>
      <c r="AA31" s="12">
        <v>5310.5</v>
      </c>
      <c r="AB31" s="12">
        <v>1801.5</v>
      </c>
      <c r="AC31" s="12">
        <v>3598.9</v>
      </c>
      <c r="AD31" s="12">
        <v>2780.6</v>
      </c>
      <c r="AE31" s="12">
        <v>2977.3</v>
      </c>
      <c r="AF31" s="12">
        <v>662.6</v>
      </c>
      <c r="AG31" s="12">
        <v>9596.2000000000007</v>
      </c>
      <c r="AH31" s="12">
        <v>5890.6</v>
      </c>
      <c r="AI31" s="12">
        <v>2938.7</v>
      </c>
      <c r="AJ31" s="12">
        <v>5585.3</v>
      </c>
      <c r="AK31" s="12">
        <v>3795.8</v>
      </c>
      <c r="AL31" s="12">
        <v>0</v>
      </c>
      <c r="AM31" s="12">
        <v>113680.7</v>
      </c>
      <c r="AN31" s="12">
        <v>12.2</v>
      </c>
      <c r="AO31" s="12">
        <v>7293.3</v>
      </c>
      <c r="AP31" s="12">
        <v>15190.8</v>
      </c>
      <c r="AQ31" s="12">
        <v>-605.5</v>
      </c>
      <c r="AR31" s="12">
        <v>804.4</v>
      </c>
      <c r="AS31" s="12">
        <v>65</v>
      </c>
      <c r="AT31" s="12">
        <v>21901.3</v>
      </c>
      <c r="AU31" s="12">
        <v>-26262.2</v>
      </c>
    </row>
    <row r="32" spans="1:47" ht="21">
      <c r="A32" s="11" t="s">
        <v>98</v>
      </c>
      <c r="B32" s="10" t="s">
        <v>74</v>
      </c>
      <c r="C32" s="13">
        <v>3081.3</v>
      </c>
      <c r="D32" s="13">
        <v>3239.1</v>
      </c>
      <c r="E32" s="13">
        <v>968.6</v>
      </c>
      <c r="F32" s="13">
        <v>119</v>
      </c>
      <c r="G32" s="13">
        <v>10128.4</v>
      </c>
      <c r="H32" s="13">
        <v>1606.6</v>
      </c>
      <c r="I32" s="13">
        <v>360.1</v>
      </c>
      <c r="J32" s="13">
        <v>1617</v>
      </c>
      <c r="K32" s="13">
        <v>3385.9</v>
      </c>
      <c r="L32" s="13">
        <v>4794.8999999999996</v>
      </c>
      <c r="M32" s="13">
        <v>1065.5999999999999</v>
      </c>
      <c r="N32" s="13">
        <v>1128.3</v>
      </c>
      <c r="O32" s="13">
        <v>2422.1</v>
      </c>
      <c r="P32" s="13">
        <v>910.6</v>
      </c>
      <c r="Q32" s="13">
        <v>1371.2</v>
      </c>
      <c r="R32" s="13">
        <v>974.8</v>
      </c>
      <c r="S32" s="13">
        <v>1446</v>
      </c>
      <c r="T32" s="13">
        <v>3091.1</v>
      </c>
      <c r="U32" s="13">
        <v>532.5</v>
      </c>
      <c r="V32" s="13">
        <v>1285</v>
      </c>
      <c r="W32" s="13">
        <v>2160.1</v>
      </c>
      <c r="X32" s="13">
        <v>4509.3999999999996</v>
      </c>
      <c r="Y32" s="13">
        <v>5839.6</v>
      </c>
      <c r="Z32" s="13">
        <v>8548</v>
      </c>
      <c r="AA32" s="13">
        <v>1881.2</v>
      </c>
      <c r="AB32" s="13">
        <v>271.7</v>
      </c>
      <c r="AC32" s="13">
        <v>533.1</v>
      </c>
      <c r="AD32" s="13">
        <v>346.1</v>
      </c>
      <c r="AE32" s="13">
        <v>2841.2</v>
      </c>
      <c r="AF32" s="13">
        <v>254.4</v>
      </c>
      <c r="AG32" s="13">
        <v>2960.6</v>
      </c>
      <c r="AH32" s="13">
        <v>3807.7</v>
      </c>
      <c r="AI32" s="13">
        <v>1695</v>
      </c>
      <c r="AJ32" s="13">
        <v>1529.7</v>
      </c>
      <c r="AK32" s="13">
        <v>1364.2</v>
      </c>
      <c r="AL32" s="13">
        <v>0</v>
      </c>
      <c r="AM32" s="13">
        <v>53675.6</v>
      </c>
      <c r="AN32" s="13">
        <v>3.5</v>
      </c>
      <c r="AO32" s="13">
        <v>5521.8</v>
      </c>
      <c r="AP32" s="13">
        <v>6701.4</v>
      </c>
      <c r="AQ32" s="13">
        <v>-1240.5999999999999</v>
      </c>
      <c r="AR32" s="13">
        <v>1990.7</v>
      </c>
      <c r="AS32" s="13">
        <v>179.6</v>
      </c>
      <c r="AT32" s="13">
        <v>16498.7</v>
      </c>
      <c r="AU32" s="13">
        <v>-12474.9</v>
      </c>
    </row>
    <row r="33" spans="1:47" ht="21">
      <c r="A33" s="11" t="s">
        <v>99</v>
      </c>
      <c r="B33" s="10" t="s">
        <v>74</v>
      </c>
      <c r="C33" s="12">
        <v>94.1</v>
      </c>
      <c r="D33" s="12">
        <v>235</v>
      </c>
      <c r="E33" s="12">
        <v>67</v>
      </c>
      <c r="F33" s="12">
        <v>63.5</v>
      </c>
      <c r="G33" s="12">
        <v>415.6</v>
      </c>
      <c r="H33" s="12">
        <v>43.1</v>
      </c>
      <c r="I33" s="12">
        <v>3.8</v>
      </c>
      <c r="J33" s="12">
        <v>49.3</v>
      </c>
      <c r="K33" s="12">
        <v>20.3</v>
      </c>
      <c r="L33" s="12">
        <v>669.7</v>
      </c>
      <c r="M33" s="12">
        <v>45.4</v>
      </c>
      <c r="N33" s="12">
        <v>32.9</v>
      </c>
      <c r="O33" s="12">
        <v>158.9</v>
      </c>
      <c r="P33" s="12">
        <v>91.8</v>
      </c>
      <c r="Q33" s="12">
        <v>62.2</v>
      </c>
      <c r="R33" s="12">
        <v>46.2</v>
      </c>
      <c r="S33" s="12">
        <v>174.2</v>
      </c>
      <c r="T33" s="12">
        <v>456.6</v>
      </c>
      <c r="U33" s="12">
        <v>117.4</v>
      </c>
      <c r="V33" s="12">
        <v>127.1</v>
      </c>
      <c r="W33" s="12">
        <v>387.8</v>
      </c>
      <c r="X33" s="12">
        <v>436.8</v>
      </c>
      <c r="Y33" s="12">
        <v>2322.1999999999998</v>
      </c>
      <c r="Z33" s="12">
        <v>1242.9000000000001</v>
      </c>
      <c r="AA33" s="12">
        <v>163.4</v>
      </c>
      <c r="AB33" s="12">
        <v>425</v>
      </c>
      <c r="AC33" s="12">
        <v>90.2</v>
      </c>
      <c r="AD33" s="12">
        <v>132.5</v>
      </c>
      <c r="AE33" s="12">
        <v>1774.9</v>
      </c>
      <c r="AF33" s="12">
        <v>331.1</v>
      </c>
      <c r="AG33" s="12">
        <v>5596.6</v>
      </c>
      <c r="AH33" s="12">
        <v>2744.7</v>
      </c>
      <c r="AI33" s="12">
        <v>1852.8</v>
      </c>
      <c r="AJ33" s="12">
        <v>4001.7</v>
      </c>
      <c r="AK33" s="12">
        <v>1674.7</v>
      </c>
      <c r="AL33" s="12">
        <v>0</v>
      </c>
      <c r="AM33" s="12">
        <v>48299.7</v>
      </c>
      <c r="AN33" s="12">
        <v>0.4</v>
      </c>
      <c r="AO33" s="12">
        <v>50.3</v>
      </c>
      <c r="AP33" s="12">
        <v>27.6</v>
      </c>
      <c r="AQ33" s="12">
        <v>0</v>
      </c>
      <c r="AR33" s="12">
        <v>5605.9</v>
      </c>
      <c r="AS33" s="12">
        <v>435.9</v>
      </c>
      <c r="AT33" s="12">
        <v>23.3</v>
      </c>
      <c r="AU33" s="12">
        <v>-5732.8</v>
      </c>
    </row>
    <row r="34" spans="1:47" ht="31.5">
      <c r="A34" s="11" t="s">
        <v>100</v>
      </c>
      <c r="B34" s="10" t="s">
        <v>74</v>
      </c>
      <c r="C34" s="13">
        <v>16.399999999999999</v>
      </c>
      <c r="D34" s="13">
        <v>20.2</v>
      </c>
      <c r="E34" s="13">
        <v>8.8000000000000007</v>
      </c>
      <c r="F34" s="13">
        <v>1.6</v>
      </c>
      <c r="G34" s="13">
        <v>26.7</v>
      </c>
      <c r="H34" s="13">
        <v>3.4</v>
      </c>
      <c r="I34" s="13">
        <v>0.8</v>
      </c>
      <c r="J34" s="13">
        <v>15.5</v>
      </c>
      <c r="K34" s="13">
        <v>4.8</v>
      </c>
      <c r="L34" s="13">
        <v>50.8</v>
      </c>
      <c r="M34" s="13">
        <v>3.9</v>
      </c>
      <c r="N34" s="13">
        <v>2.4</v>
      </c>
      <c r="O34" s="13">
        <v>3.9</v>
      </c>
      <c r="P34" s="13">
        <v>3.2</v>
      </c>
      <c r="Q34" s="13">
        <v>6.9</v>
      </c>
      <c r="R34" s="13">
        <v>2.7</v>
      </c>
      <c r="S34" s="13">
        <v>3.6</v>
      </c>
      <c r="T34" s="13">
        <v>14.9</v>
      </c>
      <c r="U34" s="13">
        <v>45.6</v>
      </c>
      <c r="V34" s="13">
        <v>7.5</v>
      </c>
      <c r="W34" s="13">
        <v>77.599999999999994</v>
      </c>
      <c r="X34" s="13">
        <v>17.5</v>
      </c>
      <c r="Y34" s="13">
        <v>1479.4</v>
      </c>
      <c r="Z34" s="13">
        <v>66.3</v>
      </c>
      <c r="AA34" s="13">
        <v>20.399999999999999</v>
      </c>
      <c r="AB34" s="13">
        <v>3085.2</v>
      </c>
      <c r="AC34" s="13">
        <v>4042.2</v>
      </c>
      <c r="AD34" s="13">
        <v>25.4</v>
      </c>
      <c r="AE34" s="13">
        <v>796.7</v>
      </c>
      <c r="AF34" s="13">
        <v>70.599999999999994</v>
      </c>
      <c r="AG34" s="13">
        <v>3856.6</v>
      </c>
      <c r="AH34" s="13">
        <v>1075.3</v>
      </c>
      <c r="AI34" s="13">
        <v>1102.7</v>
      </c>
      <c r="AJ34" s="13">
        <v>347.3</v>
      </c>
      <c r="AK34" s="13">
        <v>1265.2</v>
      </c>
      <c r="AL34" s="13">
        <v>0</v>
      </c>
      <c r="AM34" s="13">
        <v>3135.5</v>
      </c>
      <c r="AN34" s="13">
        <v>0.4</v>
      </c>
      <c r="AO34" s="13">
        <v>18.8</v>
      </c>
      <c r="AP34" s="13">
        <v>152.30000000000001</v>
      </c>
      <c r="AQ34" s="13">
        <v>0.7</v>
      </c>
      <c r="AR34" s="13">
        <v>97.3</v>
      </c>
      <c r="AS34" s="13">
        <v>4.0999999999999996</v>
      </c>
      <c r="AT34" s="13">
        <v>190</v>
      </c>
      <c r="AU34" s="13">
        <v>-1839.9</v>
      </c>
    </row>
    <row r="35" spans="1:47" ht="13.5">
      <c r="A35" s="11" t="s">
        <v>101</v>
      </c>
      <c r="B35" s="10" t="s">
        <v>74</v>
      </c>
      <c r="C35" s="12">
        <v>24.4</v>
      </c>
      <c r="D35" s="12">
        <v>164.9</v>
      </c>
      <c r="E35" s="12">
        <v>54.8</v>
      </c>
      <c r="F35" s="12">
        <v>19.3</v>
      </c>
      <c r="G35" s="12">
        <v>907.5</v>
      </c>
      <c r="H35" s="12">
        <v>339.2</v>
      </c>
      <c r="I35" s="12">
        <v>28.3</v>
      </c>
      <c r="J35" s="12">
        <v>209.8</v>
      </c>
      <c r="K35" s="12">
        <v>99.1</v>
      </c>
      <c r="L35" s="12">
        <v>292.8</v>
      </c>
      <c r="M35" s="12">
        <v>93</v>
      </c>
      <c r="N35" s="12">
        <v>155</v>
      </c>
      <c r="O35" s="12">
        <v>86.5</v>
      </c>
      <c r="P35" s="12">
        <v>135.1</v>
      </c>
      <c r="Q35" s="12">
        <v>276.7</v>
      </c>
      <c r="R35" s="12">
        <v>139</v>
      </c>
      <c r="S35" s="12">
        <v>144.30000000000001</v>
      </c>
      <c r="T35" s="12">
        <v>853.6</v>
      </c>
      <c r="U35" s="12">
        <v>46.8</v>
      </c>
      <c r="V35" s="12">
        <v>184.1</v>
      </c>
      <c r="W35" s="12">
        <v>190.4</v>
      </c>
      <c r="X35" s="12">
        <v>364.8</v>
      </c>
      <c r="Y35" s="12">
        <v>1690.5</v>
      </c>
      <c r="Z35" s="12">
        <v>605.79999999999995</v>
      </c>
      <c r="AA35" s="12">
        <v>204.8</v>
      </c>
      <c r="AB35" s="12">
        <v>100.2</v>
      </c>
      <c r="AC35" s="12">
        <v>6058.4</v>
      </c>
      <c r="AD35" s="12">
        <v>317.89999999999998</v>
      </c>
      <c r="AE35" s="12">
        <v>1826.4</v>
      </c>
      <c r="AF35" s="12">
        <v>129.80000000000001</v>
      </c>
      <c r="AG35" s="12">
        <v>1475.3</v>
      </c>
      <c r="AH35" s="12">
        <v>1902.3</v>
      </c>
      <c r="AI35" s="12">
        <v>740.4</v>
      </c>
      <c r="AJ35" s="12">
        <v>683.3</v>
      </c>
      <c r="AK35" s="12">
        <v>633.79999999999995</v>
      </c>
      <c r="AL35" s="12">
        <v>0</v>
      </c>
      <c r="AM35" s="12">
        <v>27658.7</v>
      </c>
      <c r="AN35" s="12">
        <v>0.1</v>
      </c>
      <c r="AO35" s="12">
        <v>40.799999999999997</v>
      </c>
      <c r="AP35" s="12">
        <v>118.2</v>
      </c>
      <c r="AQ35" s="12">
        <v>0</v>
      </c>
      <c r="AR35" s="12">
        <v>359</v>
      </c>
      <c r="AS35" s="12">
        <v>25.1</v>
      </c>
      <c r="AT35" s="12">
        <v>346.7</v>
      </c>
      <c r="AU35" s="12">
        <v>-1000.6</v>
      </c>
    </row>
    <row r="36" spans="1:47" ht="21">
      <c r="A36" s="11" t="s">
        <v>102</v>
      </c>
      <c r="B36" s="10" t="s">
        <v>74</v>
      </c>
      <c r="C36" s="13">
        <v>43.8</v>
      </c>
      <c r="D36" s="13">
        <v>162.4</v>
      </c>
      <c r="E36" s="13">
        <v>134.80000000000001</v>
      </c>
      <c r="F36" s="13">
        <v>13.8</v>
      </c>
      <c r="G36" s="13">
        <v>659.1</v>
      </c>
      <c r="H36" s="13">
        <v>53.3</v>
      </c>
      <c r="I36" s="13">
        <v>7.1</v>
      </c>
      <c r="J36" s="13">
        <v>80.900000000000006</v>
      </c>
      <c r="K36" s="13">
        <v>34.4</v>
      </c>
      <c r="L36" s="13">
        <v>460.1</v>
      </c>
      <c r="M36" s="13">
        <v>61</v>
      </c>
      <c r="N36" s="13">
        <v>45.4</v>
      </c>
      <c r="O36" s="13">
        <v>98.7</v>
      </c>
      <c r="P36" s="13">
        <v>59.3</v>
      </c>
      <c r="Q36" s="13">
        <v>114.5</v>
      </c>
      <c r="R36" s="13">
        <v>132.69999999999999</v>
      </c>
      <c r="S36" s="13">
        <v>83.2</v>
      </c>
      <c r="T36" s="13">
        <v>429.8</v>
      </c>
      <c r="U36" s="13">
        <v>69</v>
      </c>
      <c r="V36" s="13">
        <v>90.3</v>
      </c>
      <c r="W36" s="13">
        <v>599.79999999999995</v>
      </c>
      <c r="X36" s="13">
        <v>257.60000000000002</v>
      </c>
      <c r="Y36" s="13">
        <v>2125.8000000000002</v>
      </c>
      <c r="Z36" s="13">
        <v>1123.5999999999999</v>
      </c>
      <c r="AA36" s="13">
        <v>67.3</v>
      </c>
      <c r="AB36" s="13">
        <v>458.4</v>
      </c>
      <c r="AC36" s="13">
        <v>1092.4000000000001</v>
      </c>
      <c r="AD36" s="13">
        <v>2225.3000000000002</v>
      </c>
      <c r="AE36" s="13">
        <v>4618.2</v>
      </c>
      <c r="AF36" s="13">
        <v>170.1</v>
      </c>
      <c r="AG36" s="13">
        <v>2300.6999999999998</v>
      </c>
      <c r="AH36" s="13">
        <v>3041.9</v>
      </c>
      <c r="AI36" s="13">
        <v>812.9</v>
      </c>
      <c r="AJ36" s="13">
        <v>1049</v>
      </c>
      <c r="AK36" s="13">
        <v>952.2</v>
      </c>
      <c r="AL36" s="13">
        <v>0</v>
      </c>
      <c r="AM36" s="13">
        <v>355.9</v>
      </c>
      <c r="AN36" s="13">
        <v>0.2</v>
      </c>
      <c r="AO36" s="13">
        <v>20.399999999999999</v>
      </c>
      <c r="AP36" s="13">
        <v>20456.2</v>
      </c>
      <c r="AQ36" s="13">
        <v>3.1</v>
      </c>
      <c r="AR36" s="13">
        <v>20.100000000000001</v>
      </c>
      <c r="AS36" s="13">
        <v>0.4</v>
      </c>
      <c r="AT36" s="13">
        <v>991.3</v>
      </c>
      <c r="AU36" s="13">
        <v>-7592.3</v>
      </c>
    </row>
    <row r="37" spans="1:47" ht="21">
      <c r="A37" s="11" t="s">
        <v>103</v>
      </c>
      <c r="B37" s="10" t="s">
        <v>74</v>
      </c>
      <c r="C37" s="12">
        <v>3575.9</v>
      </c>
      <c r="D37" s="12">
        <v>1480.9</v>
      </c>
      <c r="E37" s="12">
        <v>879.1</v>
      </c>
      <c r="F37" s="12">
        <v>100.8</v>
      </c>
      <c r="G37" s="12">
        <v>3026.6</v>
      </c>
      <c r="H37" s="12">
        <v>939.6</v>
      </c>
      <c r="I37" s="12">
        <v>164.1</v>
      </c>
      <c r="J37" s="12">
        <v>612.9</v>
      </c>
      <c r="K37" s="12">
        <v>1348.6</v>
      </c>
      <c r="L37" s="12">
        <v>2024.6</v>
      </c>
      <c r="M37" s="12">
        <v>550.9</v>
      </c>
      <c r="N37" s="12">
        <v>563.5</v>
      </c>
      <c r="O37" s="12">
        <v>1427.8</v>
      </c>
      <c r="P37" s="12">
        <v>591.20000000000005</v>
      </c>
      <c r="Q37" s="12">
        <v>453.5</v>
      </c>
      <c r="R37" s="12">
        <v>377.9</v>
      </c>
      <c r="S37" s="12">
        <v>688.9</v>
      </c>
      <c r="T37" s="12">
        <v>1344.2</v>
      </c>
      <c r="U37" s="12">
        <v>346.4</v>
      </c>
      <c r="V37" s="12">
        <v>731.6</v>
      </c>
      <c r="W37" s="12">
        <v>1882.3</v>
      </c>
      <c r="X37" s="12">
        <v>3645.4</v>
      </c>
      <c r="Y37" s="12">
        <v>7222.1</v>
      </c>
      <c r="Z37" s="12">
        <v>4640.7</v>
      </c>
      <c r="AA37" s="12">
        <v>1063.9000000000001</v>
      </c>
      <c r="AB37" s="12">
        <v>318</v>
      </c>
      <c r="AC37" s="12">
        <v>982.3</v>
      </c>
      <c r="AD37" s="12">
        <v>738.6</v>
      </c>
      <c r="AE37" s="12">
        <v>28129.7</v>
      </c>
      <c r="AF37" s="12">
        <v>5886.5</v>
      </c>
      <c r="AG37" s="12">
        <v>4312.3</v>
      </c>
      <c r="AH37" s="12">
        <v>4612.8</v>
      </c>
      <c r="AI37" s="12">
        <v>1713.4</v>
      </c>
      <c r="AJ37" s="12">
        <v>2060.4</v>
      </c>
      <c r="AK37" s="12">
        <v>1721.3</v>
      </c>
      <c r="AL37" s="12">
        <v>0</v>
      </c>
      <c r="AM37" s="12">
        <v>86690.5</v>
      </c>
      <c r="AN37" s="12">
        <v>33.299999999999997</v>
      </c>
      <c r="AO37" s="12">
        <v>3188.6</v>
      </c>
      <c r="AP37" s="12">
        <v>362.8</v>
      </c>
      <c r="AQ37" s="12">
        <v>7.4</v>
      </c>
      <c r="AR37" s="12">
        <v>320.39999999999998</v>
      </c>
      <c r="AS37" s="12">
        <v>30.7</v>
      </c>
      <c r="AT37" s="12">
        <v>1525.8</v>
      </c>
      <c r="AU37" s="12">
        <v>-6437.8</v>
      </c>
    </row>
    <row r="38" spans="1:47" ht="13.5">
      <c r="A38" s="11" t="s">
        <v>104</v>
      </c>
      <c r="B38" s="10" t="s">
        <v>74</v>
      </c>
      <c r="C38" s="13">
        <v>33.799999999999997</v>
      </c>
      <c r="D38" s="13">
        <v>93.7</v>
      </c>
      <c r="E38" s="13">
        <v>42.9</v>
      </c>
      <c r="F38" s="13">
        <v>10.6</v>
      </c>
      <c r="G38" s="13">
        <v>499.3</v>
      </c>
      <c r="H38" s="13">
        <v>281.7</v>
      </c>
      <c r="I38" s="13">
        <v>12.1</v>
      </c>
      <c r="J38" s="13">
        <v>68.099999999999994</v>
      </c>
      <c r="K38" s="13">
        <v>101.9</v>
      </c>
      <c r="L38" s="13">
        <v>254.9</v>
      </c>
      <c r="M38" s="13">
        <v>119.5</v>
      </c>
      <c r="N38" s="13">
        <v>70.3</v>
      </c>
      <c r="O38" s="13">
        <v>102.8</v>
      </c>
      <c r="P38" s="13">
        <v>90.8</v>
      </c>
      <c r="Q38" s="13">
        <v>68</v>
      </c>
      <c r="R38" s="13">
        <v>38.5</v>
      </c>
      <c r="S38" s="13">
        <v>68.900000000000006</v>
      </c>
      <c r="T38" s="13">
        <v>113.2</v>
      </c>
      <c r="U38" s="13">
        <v>107.6</v>
      </c>
      <c r="V38" s="13">
        <v>97.8</v>
      </c>
      <c r="W38" s="13">
        <v>502.8</v>
      </c>
      <c r="X38" s="13">
        <v>427.6</v>
      </c>
      <c r="Y38" s="13">
        <v>11923.7</v>
      </c>
      <c r="Z38" s="13">
        <v>1301.7</v>
      </c>
      <c r="AA38" s="13">
        <v>1420.8</v>
      </c>
      <c r="AB38" s="13">
        <v>157.19999999999999</v>
      </c>
      <c r="AC38" s="13">
        <v>703.7</v>
      </c>
      <c r="AD38" s="13">
        <v>360.5</v>
      </c>
      <c r="AE38" s="13">
        <v>2871.6</v>
      </c>
      <c r="AF38" s="13">
        <v>1343.7</v>
      </c>
      <c r="AG38" s="13">
        <v>3350.3</v>
      </c>
      <c r="AH38" s="13">
        <v>3520.4</v>
      </c>
      <c r="AI38" s="13">
        <v>1593.8</v>
      </c>
      <c r="AJ38" s="13">
        <v>2528.6</v>
      </c>
      <c r="AK38" s="13">
        <v>1795.6</v>
      </c>
      <c r="AL38" s="13">
        <v>0</v>
      </c>
      <c r="AM38" s="13">
        <v>120381.8</v>
      </c>
      <c r="AN38" s="13">
        <v>0.1</v>
      </c>
      <c r="AO38" s="13">
        <v>7917</v>
      </c>
      <c r="AP38" s="13">
        <v>4463.1000000000004</v>
      </c>
      <c r="AQ38" s="13">
        <v>6.7</v>
      </c>
      <c r="AR38" s="13">
        <v>804</v>
      </c>
      <c r="AS38" s="13">
        <v>72.8</v>
      </c>
      <c r="AT38" s="13">
        <v>1163.2</v>
      </c>
      <c r="AU38" s="13">
        <v>-1964.2</v>
      </c>
    </row>
    <row r="39" spans="1:47" ht="21">
      <c r="A39" s="11" t="s">
        <v>105</v>
      </c>
      <c r="B39" s="10" t="s">
        <v>74</v>
      </c>
      <c r="C39" s="12">
        <v>2556.5</v>
      </c>
      <c r="D39" s="12">
        <v>6983.4</v>
      </c>
      <c r="E39" s="12">
        <v>2295.8000000000002</v>
      </c>
      <c r="F39" s="12">
        <v>367.8</v>
      </c>
      <c r="G39" s="12">
        <v>14876.8</v>
      </c>
      <c r="H39" s="12">
        <v>1293.5</v>
      </c>
      <c r="I39" s="12">
        <v>334.7</v>
      </c>
      <c r="J39" s="12">
        <v>1840.2</v>
      </c>
      <c r="K39" s="12">
        <v>3753.6</v>
      </c>
      <c r="L39" s="12">
        <v>8745.4</v>
      </c>
      <c r="M39" s="12">
        <v>1670.2</v>
      </c>
      <c r="N39" s="12">
        <v>1832.3</v>
      </c>
      <c r="O39" s="12">
        <v>1886.5</v>
      </c>
      <c r="P39" s="12">
        <v>1559.1</v>
      </c>
      <c r="Q39" s="12">
        <v>2481.4</v>
      </c>
      <c r="R39" s="12">
        <v>1612.5</v>
      </c>
      <c r="S39" s="12">
        <v>2524.4</v>
      </c>
      <c r="T39" s="12">
        <v>5586.7</v>
      </c>
      <c r="U39" s="12">
        <v>1020.7</v>
      </c>
      <c r="V39" s="12">
        <v>2779.1</v>
      </c>
      <c r="W39" s="12">
        <v>4072.9</v>
      </c>
      <c r="X39" s="12">
        <v>7901.8</v>
      </c>
      <c r="Y39" s="12">
        <v>19570.8</v>
      </c>
      <c r="Z39" s="12">
        <v>13115.3</v>
      </c>
      <c r="AA39" s="12">
        <v>2785.3</v>
      </c>
      <c r="AB39" s="12">
        <v>1924.3</v>
      </c>
      <c r="AC39" s="12">
        <v>5452.2</v>
      </c>
      <c r="AD39" s="12">
        <v>3335.2</v>
      </c>
      <c r="AE39" s="12">
        <v>11114</v>
      </c>
      <c r="AF39" s="12">
        <v>1424.8</v>
      </c>
      <c r="AG39" s="12">
        <v>23937.9</v>
      </c>
      <c r="AH39" s="12">
        <v>8635</v>
      </c>
      <c r="AI39" s="12">
        <v>6256.7</v>
      </c>
      <c r="AJ39" s="12">
        <v>5620.8</v>
      </c>
      <c r="AK39" s="12">
        <v>4593.7</v>
      </c>
      <c r="AL39" s="12">
        <v>0</v>
      </c>
      <c r="AM39" s="12">
        <v>8227.5</v>
      </c>
      <c r="AN39" s="12">
        <v>216.2</v>
      </c>
      <c r="AO39" s="12">
        <v>10025.6</v>
      </c>
      <c r="AP39" s="12">
        <v>5068.1000000000004</v>
      </c>
      <c r="AQ39" s="12">
        <v>88.1</v>
      </c>
      <c r="AR39" s="12">
        <v>449.9</v>
      </c>
      <c r="AS39" s="12">
        <v>27.3</v>
      </c>
      <c r="AT39" s="12">
        <v>12986.1</v>
      </c>
      <c r="AU39" s="12">
        <v>-27033.5</v>
      </c>
    </row>
    <row r="40" spans="1:47" ht="31.5">
      <c r="A40" s="11" t="s">
        <v>106</v>
      </c>
      <c r="B40" s="10" t="s">
        <v>74</v>
      </c>
      <c r="C40" s="13">
        <v>108.8</v>
      </c>
      <c r="D40" s="13">
        <v>137.6</v>
      </c>
      <c r="E40" s="13">
        <v>88.5</v>
      </c>
      <c r="F40" s="13">
        <v>12.1</v>
      </c>
      <c r="G40" s="13">
        <v>536.79999999999995</v>
      </c>
      <c r="H40" s="13">
        <v>50.2</v>
      </c>
      <c r="I40" s="13">
        <v>11</v>
      </c>
      <c r="J40" s="13">
        <v>55.9</v>
      </c>
      <c r="K40" s="13">
        <v>132.4</v>
      </c>
      <c r="L40" s="13">
        <v>364.2</v>
      </c>
      <c r="M40" s="13">
        <v>57.2</v>
      </c>
      <c r="N40" s="13">
        <v>58.8</v>
      </c>
      <c r="O40" s="13">
        <v>127</v>
      </c>
      <c r="P40" s="13">
        <v>37.9</v>
      </c>
      <c r="Q40" s="13">
        <v>66.400000000000006</v>
      </c>
      <c r="R40" s="13">
        <v>64.599999999999994</v>
      </c>
      <c r="S40" s="13">
        <v>82.7</v>
      </c>
      <c r="T40" s="13">
        <v>176.8</v>
      </c>
      <c r="U40" s="13">
        <v>29.4</v>
      </c>
      <c r="V40" s="13">
        <v>47.8</v>
      </c>
      <c r="W40" s="13">
        <v>179.4</v>
      </c>
      <c r="X40" s="13">
        <v>176</v>
      </c>
      <c r="Y40" s="13">
        <v>613</v>
      </c>
      <c r="Z40" s="13">
        <v>243</v>
      </c>
      <c r="AA40" s="13">
        <v>55.8</v>
      </c>
      <c r="AB40" s="13">
        <v>41.9</v>
      </c>
      <c r="AC40" s="13">
        <v>82.6</v>
      </c>
      <c r="AD40" s="13">
        <v>69.900000000000006</v>
      </c>
      <c r="AE40" s="13">
        <v>487.3</v>
      </c>
      <c r="AF40" s="13">
        <v>73.400000000000006</v>
      </c>
      <c r="AG40" s="13">
        <v>570.9</v>
      </c>
      <c r="AH40" s="13">
        <v>903.1</v>
      </c>
      <c r="AI40" s="13">
        <v>117.4</v>
      </c>
      <c r="AJ40" s="13">
        <v>548.6</v>
      </c>
      <c r="AK40" s="13">
        <v>247.1</v>
      </c>
      <c r="AL40" s="13">
        <v>0</v>
      </c>
      <c r="AM40" s="13">
        <v>10084.5</v>
      </c>
      <c r="AN40" s="13">
        <v>39.4</v>
      </c>
      <c r="AO40" s="13">
        <v>196719.4</v>
      </c>
      <c r="AP40" s="13">
        <v>3625.1</v>
      </c>
      <c r="AQ40" s="13">
        <v>-61.3</v>
      </c>
      <c r="AR40" s="13">
        <v>24.3</v>
      </c>
      <c r="AS40" s="13">
        <v>11.4</v>
      </c>
      <c r="AT40" s="13">
        <v>849.9</v>
      </c>
      <c r="AU40" s="13">
        <v>-210.2</v>
      </c>
    </row>
    <row r="41" spans="1:47" ht="13.5">
      <c r="A41" s="11" t="s">
        <v>107</v>
      </c>
      <c r="B41" s="10" t="s">
        <v>74</v>
      </c>
      <c r="C41" s="12">
        <v>5.6</v>
      </c>
      <c r="D41" s="12">
        <v>10.9</v>
      </c>
      <c r="E41" s="12">
        <v>29.8</v>
      </c>
      <c r="F41" s="12">
        <v>0.9</v>
      </c>
      <c r="G41" s="12">
        <v>54.6</v>
      </c>
      <c r="H41" s="12">
        <v>7.4</v>
      </c>
      <c r="I41" s="12">
        <v>1.9</v>
      </c>
      <c r="J41" s="12">
        <v>9.9</v>
      </c>
      <c r="K41" s="12">
        <v>4</v>
      </c>
      <c r="L41" s="12">
        <v>84.9</v>
      </c>
      <c r="M41" s="12">
        <v>7.1</v>
      </c>
      <c r="N41" s="12">
        <v>6.3</v>
      </c>
      <c r="O41" s="12">
        <v>43.1</v>
      </c>
      <c r="P41" s="12">
        <v>8.1</v>
      </c>
      <c r="Q41" s="12">
        <v>9.9</v>
      </c>
      <c r="R41" s="12">
        <v>21.2</v>
      </c>
      <c r="S41" s="12">
        <v>20.8</v>
      </c>
      <c r="T41" s="12">
        <v>70.8</v>
      </c>
      <c r="U41" s="12">
        <v>2.8</v>
      </c>
      <c r="V41" s="12">
        <v>6.6</v>
      </c>
      <c r="W41" s="12">
        <v>52.2</v>
      </c>
      <c r="X41" s="12">
        <v>12.5</v>
      </c>
      <c r="Y41" s="12">
        <v>133.69999999999999</v>
      </c>
      <c r="Z41" s="12">
        <v>103.6</v>
      </c>
      <c r="AA41" s="12">
        <v>4.5999999999999996</v>
      </c>
      <c r="AB41" s="12">
        <v>3.7</v>
      </c>
      <c r="AC41" s="12">
        <v>27.1</v>
      </c>
      <c r="AD41" s="12">
        <v>16.600000000000001</v>
      </c>
      <c r="AE41" s="12">
        <v>268.89999999999998</v>
      </c>
      <c r="AF41" s="12">
        <v>8.9</v>
      </c>
      <c r="AG41" s="12">
        <v>385.5</v>
      </c>
      <c r="AH41" s="12">
        <v>343.4</v>
      </c>
      <c r="AI41" s="12">
        <v>54.7</v>
      </c>
      <c r="AJ41" s="12">
        <v>202.4</v>
      </c>
      <c r="AK41" s="12">
        <v>127.4</v>
      </c>
      <c r="AL41" s="12">
        <v>0</v>
      </c>
      <c r="AM41" s="12">
        <v>26373.599999999999</v>
      </c>
      <c r="AN41" s="12">
        <v>7.4</v>
      </c>
      <c r="AO41" s="12">
        <v>93661</v>
      </c>
      <c r="AP41" s="12">
        <v>4887.2</v>
      </c>
      <c r="AQ41" s="12">
        <v>0.4</v>
      </c>
      <c r="AR41" s="12">
        <v>1792.8</v>
      </c>
      <c r="AS41" s="12">
        <v>29.3</v>
      </c>
      <c r="AT41" s="12">
        <v>211.9</v>
      </c>
      <c r="AU41" s="12">
        <v>-2088.6</v>
      </c>
    </row>
    <row r="42" spans="1:47" ht="21">
      <c r="A42" s="11" t="s">
        <v>108</v>
      </c>
      <c r="B42" s="10" t="s">
        <v>74</v>
      </c>
      <c r="C42" s="13">
        <v>20</v>
      </c>
      <c r="D42" s="13">
        <v>1.4</v>
      </c>
      <c r="E42" s="13">
        <v>4.5</v>
      </c>
      <c r="F42" s="13">
        <v>0.3</v>
      </c>
      <c r="G42" s="13">
        <v>8.3000000000000007</v>
      </c>
      <c r="H42" s="13">
        <v>2.5</v>
      </c>
      <c r="I42" s="13">
        <v>0.2</v>
      </c>
      <c r="J42" s="13">
        <v>1.2</v>
      </c>
      <c r="K42" s="13">
        <v>3.3</v>
      </c>
      <c r="L42" s="13">
        <v>5.3</v>
      </c>
      <c r="M42" s="13">
        <v>1.5</v>
      </c>
      <c r="N42" s="13">
        <v>1</v>
      </c>
      <c r="O42" s="13">
        <v>2.7</v>
      </c>
      <c r="P42" s="13">
        <v>1</v>
      </c>
      <c r="Q42" s="13">
        <v>2.6</v>
      </c>
      <c r="R42" s="13">
        <v>1</v>
      </c>
      <c r="S42" s="13">
        <v>2.2999999999999998</v>
      </c>
      <c r="T42" s="13">
        <v>3</v>
      </c>
      <c r="U42" s="13">
        <v>9.3000000000000007</v>
      </c>
      <c r="V42" s="13">
        <v>1.9</v>
      </c>
      <c r="W42" s="13">
        <v>54</v>
      </c>
      <c r="X42" s="13">
        <v>5.8</v>
      </c>
      <c r="Y42" s="13">
        <v>587.9</v>
      </c>
      <c r="Z42" s="13">
        <v>30.1</v>
      </c>
      <c r="AA42" s="13">
        <v>6.7</v>
      </c>
      <c r="AB42" s="13">
        <v>1.4</v>
      </c>
      <c r="AC42" s="13">
        <v>4.5</v>
      </c>
      <c r="AD42" s="13">
        <v>2.8</v>
      </c>
      <c r="AE42" s="13">
        <v>614.5</v>
      </c>
      <c r="AF42" s="13">
        <v>35.4</v>
      </c>
      <c r="AG42" s="13">
        <v>521</v>
      </c>
      <c r="AH42" s="13">
        <v>2125.8000000000002</v>
      </c>
      <c r="AI42" s="13">
        <v>10.7</v>
      </c>
      <c r="AJ42" s="13">
        <v>4904.6000000000004</v>
      </c>
      <c r="AK42" s="13">
        <v>795.7</v>
      </c>
      <c r="AL42" s="13">
        <v>0</v>
      </c>
      <c r="AM42" s="13">
        <v>98422.8</v>
      </c>
      <c r="AN42" s="13">
        <v>9914.6</v>
      </c>
      <c r="AO42" s="13">
        <v>4672.6000000000004</v>
      </c>
      <c r="AP42" s="13">
        <v>44.1</v>
      </c>
      <c r="AQ42" s="13">
        <v>-0.2</v>
      </c>
      <c r="AR42" s="13">
        <v>252.3</v>
      </c>
      <c r="AS42" s="13">
        <v>21.7</v>
      </c>
      <c r="AT42" s="13">
        <v>10.7</v>
      </c>
      <c r="AU42" s="13">
        <v>-317.7</v>
      </c>
    </row>
    <row r="43" spans="1:47" ht="31.5">
      <c r="A43" s="11" t="s">
        <v>109</v>
      </c>
      <c r="B43" s="10" t="s">
        <v>74</v>
      </c>
      <c r="C43" s="12">
        <v>66.7</v>
      </c>
      <c r="D43" s="12">
        <v>154.5</v>
      </c>
      <c r="E43" s="12">
        <v>111.1</v>
      </c>
      <c r="F43" s="12">
        <v>24.9</v>
      </c>
      <c r="G43" s="12">
        <v>196.6</v>
      </c>
      <c r="H43" s="12">
        <v>63.9</v>
      </c>
      <c r="I43" s="12">
        <v>15.9</v>
      </c>
      <c r="J43" s="12">
        <v>50.8</v>
      </c>
      <c r="K43" s="12">
        <v>48.9</v>
      </c>
      <c r="L43" s="12">
        <v>104.9</v>
      </c>
      <c r="M43" s="12">
        <v>44.9</v>
      </c>
      <c r="N43" s="12">
        <v>45.5</v>
      </c>
      <c r="O43" s="12">
        <v>53.7</v>
      </c>
      <c r="P43" s="12">
        <v>69.8</v>
      </c>
      <c r="Q43" s="12">
        <v>117.8</v>
      </c>
      <c r="R43" s="12">
        <v>43</v>
      </c>
      <c r="S43" s="12">
        <v>58.2</v>
      </c>
      <c r="T43" s="12">
        <v>121.4</v>
      </c>
      <c r="U43" s="12">
        <v>51.8</v>
      </c>
      <c r="V43" s="12">
        <v>37.9</v>
      </c>
      <c r="W43" s="12">
        <v>299.39999999999998</v>
      </c>
      <c r="X43" s="12">
        <v>75.3</v>
      </c>
      <c r="Y43" s="12">
        <v>1180.4000000000001</v>
      </c>
      <c r="Z43" s="12">
        <v>303.10000000000002</v>
      </c>
      <c r="AA43" s="12">
        <v>128.6</v>
      </c>
      <c r="AB43" s="12">
        <v>99.7</v>
      </c>
      <c r="AC43" s="12">
        <v>1061.2</v>
      </c>
      <c r="AD43" s="12">
        <v>291.5</v>
      </c>
      <c r="AE43" s="12">
        <v>635.5</v>
      </c>
      <c r="AF43" s="12">
        <v>69.099999999999994</v>
      </c>
      <c r="AG43" s="12">
        <v>865.9</v>
      </c>
      <c r="AH43" s="12">
        <v>961.3</v>
      </c>
      <c r="AI43" s="12">
        <v>284</v>
      </c>
      <c r="AJ43" s="12">
        <v>1742.1</v>
      </c>
      <c r="AK43" s="12">
        <v>1903.1</v>
      </c>
      <c r="AL43" s="12">
        <v>0</v>
      </c>
      <c r="AM43" s="12">
        <v>20322.7</v>
      </c>
      <c r="AN43" s="12">
        <v>15788.4</v>
      </c>
      <c r="AO43" s="12">
        <v>7466</v>
      </c>
      <c r="AP43" s="12">
        <v>99.5</v>
      </c>
      <c r="AQ43" s="12">
        <v>0</v>
      </c>
      <c r="AR43" s="12">
        <v>938.8</v>
      </c>
      <c r="AS43" s="12">
        <v>73.099999999999994</v>
      </c>
      <c r="AT43" s="12">
        <v>113</v>
      </c>
      <c r="AU43" s="12">
        <v>-1653.4</v>
      </c>
    </row>
    <row r="44" spans="1:47" ht="21">
      <c r="A44" s="11" t="s">
        <v>110</v>
      </c>
      <c r="B44" s="10" t="s">
        <v>74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18634.7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</row>
    <row r="45" spans="1:47" ht="42">
      <c r="A45" s="11" t="s">
        <v>111</v>
      </c>
      <c r="B45" s="10" t="s">
        <v>74</v>
      </c>
      <c r="C45" s="12">
        <v>109.8</v>
      </c>
      <c r="D45" s="12">
        <v>36</v>
      </c>
      <c r="E45" s="12">
        <v>25.6</v>
      </c>
      <c r="F45" s="12">
        <v>3.5</v>
      </c>
      <c r="G45" s="12">
        <v>72.900000000000006</v>
      </c>
      <c r="H45" s="12">
        <v>43.2</v>
      </c>
      <c r="I45" s="12">
        <v>2.9</v>
      </c>
      <c r="J45" s="12">
        <v>18.3</v>
      </c>
      <c r="K45" s="12">
        <v>433.7</v>
      </c>
      <c r="L45" s="12">
        <v>163</v>
      </c>
      <c r="M45" s="12">
        <v>31.4</v>
      </c>
      <c r="N45" s="12">
        <v>22.3</v>
      </c>
      <c r="O45" s="12">
        <v>46.7</v>
      </c>
      <c r="P45" s="12">
        <v>14.8</v>
      </c>
      <c r="Q45" s="12">
        <v>44.5</v>
      </c>
      <c r="R45" s="12">
        <v>23.8</v>
      </c>
      <c r="S45" s="12">
        <v>32.200000000000003</v>
      </c>
      <c r="T45" s="12">
        <v>135.4</v>
      </c>
      <c r="U45" s="12">
        <v>21.5</v>
      </c>
      <c r="V45" s="12">
        <v>27.6</v>
      </c>
      <c r="W45" s="12">
        <v>42.6</v>
      </c>
      <c r="X45" s="12">
        <v>85.7</v>
      </c>
      <c r="Y45" s="12">
        <v>81.7</v>
      </c>
      <c r="Z45" s="12">
        <v>279.5</v>
      </c>
      <c r="AA45" s="12">
        <v>64.3</v>
      </c>
      <c r="AB45" s="12">
        <v>3.6</v>
      </c>
      <c r="AC45" s="12">
        <v>8.1999999999999993</v>
      </c>
      <c r="AD45" s="12">
        <v>8.4</v>
      </c>
      <c r="AE45" s="12">
        <v>17</v>
      </c>
      <c r="AF45" s="12">
        <v>3.9</v>
      </c>
      <c r="AG45" s="12">
        <v>37</v>
      </c>
      <c r="AH45" s="12">
        <v>52</v>
      </c>
      <c r="AI45" s="12">
        <v>19.899999999999999</v>
      </c>
      <c r="AJ45" s="12">
        <v>38.299999999999997</v>
      </c>
      <c r="AK45" s="12">
        <v>18.2</v>
      </c>
      <c r="AL45" s="12">
        <v>0</v>
      </c>
      <c r="AM45" s="12">
        <v>1233.4000000000001</v>
      </c>
      <c r="AN45" s="12">
        <v>0.3</v>
      </c>
      <c r="AO45" s="12">
        <v>101.7</v>
      </c>
      <c r="AP45" s="12">
        <v>297.7</v>
      </c>
      <c r="AQ45" s="12">
        <v>0</v>
      </c>
      <c r="AR45" s="12">
        <v>818.1</v>
      </c>
      <c r="AS45" s="12">
        <v>0</v>
      </c>
      <c r="AT45" s="12">
        <v>0</v>
      </c>
      <c r="AU45" s="12">
        <v>-4520.7</v>
      </c>
    </row>
    <row r="46" spans="1:47" ht="52.5">
      <c r="A46" s="11" t="s">
        <v>112</v>
      </c>
      <c r="B46" s="10" t="s">
        <v>74</v>
      </c>
      <c r="C46" s="13">
        <v>6191.3</v>
      </c>
      <c r="D46" s="13">
        <v>1911.3</v>
      </c>
      <c r="E46" s="13">
        <v>1134.2</v>
      </c>
      <c r="F46" s="13">
        <v>183.9</v>
      </c>
      <c r="G46" s="13">
        <v>5462.3</v>
      </c>
      <c r="H46" s="13">
        <v>3122.1</v>
      </c>
      <c r="I46" s="13">
        <v>315.7</v>
      </c>
      <c r="J46" s="13">
        <v>1369</v>
      </c>
      <c r="K46" s="13">
        <v>5484</v>
      </c>
      <c r="L46" s="13">
        <v>6491.3</v>
      </c>
      <c r="M46" s="13">
        <v>1711</v>
      </c>
      <c r="N46" s="13">
        <v>1311.8</v>
      </c>
      <c r="O46" s="13">
        <v>1840.2</v>
      </c>
      <c r="P46" s="13">
        <v>1104</v>
      </c>
      <c r="Q46" s="13">
        <v>2207.4</v>
      </c>
      <c r="R46" s="13">
        <v>1282.3</v>
      </c>
      <c r="S46" s="13">
        <v>1594.7</v>
      </c>
      <c r="T46" s="13">
        <v>4416</v>
      </c>
      <c r="U46" s="13">
        <v>608.79999999999995</v>
      </c>
      <c r="V46" s="13">
        <v>1827.3</v>
      </c>
      <c r="W46" s="13">
        <v>5803</v>
      </c>
      <c r="X46" s="13">
        <v>8984</v>
      </c>
      <c r="Y46" s="13">
        <v>4967</v>
      </c>
      <c r="Z46" s="13">
        <v>5624.9</v>
      </c>
      <c r="AA46" s="13">
        <v>5174.8</v>
      </c>
      <c r="AB46" s="13">
        <v>590.20000000000005</v>
      </c>
      <c r="AC46" s="13">
        <v>2333.4</v>
      </c>
      <c r="AD46" s="13">
        <v>734.7</v>
      </c>
      <c r="AE46" s="13">
        <v>1994.6</v>
      </c>
      <c r="AF46" s="13">
        <v>782.6</v>
      </c>
      <c r="AG46" s="13">
        <v>2985.1</v>
      </c>
      <c r="AH46" s="13">
        <v>3806</v>
      </c>
      <c r="AI46" s="13">
        <v>1864.2</v>
      </c>
      <c r="AJ46" s="13">
        <v>3715.8</v>
      </c>
      <c r="AK46" s="13">
        <v>1654.4</v>
      </c>
      <c r="AL46" s="13">
        <v>0</v>
      </c>
      <c r="AM46" s="13">
        <v>124827.1</v>
      </c>
      <c r="AN46" s="13">
        <v>227.5</v>
      </c>
      <c r="AO46" s="13">
        <v>1592.2</v>
      </c>
      <c r="AP46" s="13">
        <v>22748.400000000001</v>
      </c>
      <c r="AQ46" s="13">
        <v>-1561.9</v>
      </c>
      <c r="AR46" s="13">
        <v>0</v>
      </c>
      <c r="AS46" s="13">
        <v>912.6</v>
      </c>
      <c r="AT46" s="13">
        <v>3912.8</v>
      </c>
      <c r="AU46" s="13">
        <v>0</v>
      </c>
    </row>
    <row r="47" spans="1:47" ht="31.5">
      <c r="A47" s="11" t="s">
        <v>113</v>
      </c>
      <c r="B47" s="10" t="s">
        <v>74</v>
      </c>
      <c r="C47" s="12">
        <v>68028.399999999994</v>
      </c>
      <c r="D47" s="12">
        <v>27346.2</v>
      </c>
      <c r="E47" s="12">
        <v>15381</v>
      </c>
      <c r="F47" s="12">
        <v>2776.2</v>
      </c>
      <c r="G47" s="12">
        <v>158906.79999999999</v>
      </c>
      <c r="H47" s="12">
        <v>29167.3</v>
      </c>
      <c r="I47" s="12">
        <v>5083.2</v>
      </c>
      <c r="J47" s="12">
        <v>20814.400000000001</v>
      </c>
      <c r="K47" s="12">
        <v>102001.8</v>
      </c>
      <c r="L47" s="12">
        <v>85014.9</v>
      </c>
      <c r="M47" s="12">
        <v>22763.1</v>
      </c>
      <c r="N47" s="12">
        <v>18749.099999999999</v>
      </c>
      <c r="O47" s="12">
        <v>37710.6</v>
      </c>
      <c r="P47" s="12">
        <v>17291.400000000001</v>
      </c>
      <c r="Q47" s="12">
        <v>21654.1</v>
      </c>
      <c r="R47" s="12">
        <v>16656.900000000001</v>
      </c>
      <c r="S47" s="12">
        <v>25172.1</v>
      </c>
      <c r="T47" s="12">
        <v>53353.5</v>
      </c>
      <c r="U47" s="12">
        <v>11804.5</v>
      </c>
      <c r="V47" s="12">
        <v>24078.6</v>
      </c>
      <c r="W47" s="12">
        <v>60840</v>
      </c>
      <c r="X47" s="12">
        <v>102224.5</v>
      </c>
      <c r="Y47" s="12">
        <v>126676</v>
      </c>
      <c r="Z47" s="12">
        <v>84753.8</v>
      </c>
      <c r="AA47" s="12">
        <v>37951.9</v>
      </c>
      <c r="AB47" s="12">
        <v>10904.3</v>
      </c>
      <c r="AC47" s="12">
        <v>29071.3</v>
      </c>
      <c r="AD47" s="12">
        <v>13092.6</v>
      </c>
      <c r="AE47" s="12">
        <v>65939.5</v>
      </c>
      <c r="AF47" s="12">
        <v>18769</v>
      </c>
      <c r="AG47" s="12">
        <v>71445.899999999994</v>
      </c>
      <c r="AH47" s="12">
        <v>64497</v>
      </c>
      <c r="AI47" s="12">
        <v>26513</v>
      </c>
      <c r="AJ47" s="12">
        <v>46818.400000000001</v>
      </c>
      <c r="AK47" s="12">
        <v>29425.4</v>
      </c>
      <c r="AL47" s="12">
        <v>0</v>
      </c>
      <c r="AM47" s="12">
        <v>1113201</v>
      </c>
      <c r="AN47" s="12">
        <v>26248.3</v>
      </c>
      <c r="AO47" s="12">
        <v>356487.7</v>
      </c>
      <c r="AP47" s="12">
        <v>321590</v>
      </c>
      <c r="AQ47" s="12">
        <v>-6346.2</v>
      </c>
      <c r="AR47" s="12">
        <v>16074.8</v>
      </c>
      <c r="AS47" s="12">
        <v>2067.1</v>
      </c>
      <c r="AT47" s="12">
        <v>230018.7</v>
      </c>
      <c r="AU47" s="12">
        <v>-256429.8</v>
      </c>
    </row>
    <row r="48" spans="1:47" ht="21">
      <c r="A48" s="11" t="s">
        <v>114</v>
      </c>
      <c r="B48" s="10" t="s">
        <v>74</v>
      </c>
      <c r="C48" s="13">
        <v>77943.7</v>
      </c>
      <c r="D48" s="13">
        <v>20263.3</v>
      </c>
      <c r="E48" s="13">
        <v>11020.3</v>
      </c>
      <c r="F48" s="13">
        <v>2055.6</v>
      </c>
      <c r="G48" s="13">
        <v>37167</v>
      </c>
      <c r="H48" s="13">
        <v>15602.8</v>
      </c>
      <c r="I48" s="13">
        <v>2961.6</v>
      </c>
      <c r="J48" s="13">
        <v>9385.4</v>
      </c>
      <c r="K48" s="13">
        <v>10963.8</v>
      </c>
      <c r="L48" s="13">
        <v>24306.5</v>
      </c>
      <c r="M48" s="13">
        <v>7848.6</v>
      </c>
      <c r="N48" s="13">
        <v>8352.2000000000007</v>
      </c>
      <c r="O48" s="13">
        <v>10324.200000000001</v>
      </c>
      <c r="P48" s="13">
        <v>10324.200000000001</v>
      </c>
      <c r="Q48" s="13">
        <v>4127.8999999999996</v>
      </c>
      <c r="R48" s="13">
        <v>5127.8</v>
      </c>
      <c r="S48" s="13">
        <v>11329.8</v>
      </c>
      <c r="T48" s="13">
        <v>12287.8</v>
      </c>
      <c r="U48" s="13">
        <v>3631.3</v>
      </c>
      <c r="V48" s="13">
        <v>16120.7</v>
      </c>
      <c r="W48" s="13">
        <v>37072.199999999997</v>
      </c>
      <c r="X48" s="13">
        <v>89095.2</v>
      </c>
      <c r="Y48" s="13">
        <v>206385.9</v>
      </c>
      <c r="Z48" s="13">
        <v>68172.100000000006</v>
      </c>
      <c r="AA48" s="13">
        <v>36909.699999999997</v>
      </c>
      <c r="AB48" s="13">
        <v>8427.1</v>
      </c>
      <c r="AC48" s="13">
        <v>19654.8</v>
      </c>
      <c r="AD48" s="13">
        <v>24891.599999999999</v>
      </c>
      <c r="AE48" s="13">
        <v>109940.8</v>
      </c>
      <c r="AF48" s="13">
        <v>150153.70000000001</v>
      </c>
      <c r="AG48" s="13">
        <v>124350.7</v>
      </c>
      <c r="AH48" s="13">
        <v>153241.1</v>
      </c>
      <c r="AI48" s="13">
        <v>100513.8</v>
      </c>
      <c r="AJ48" s="13">
        <v>75976.5</v>
      </c>
      <c r="AK48" s="13">
        <v>25104.7</v>
      </c>
      <c r="AL48" s="13">
        <v>18634.7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</row>
    <row r="49" spans="1:47" ht="13.5">
      <c r="A49" s="11" t="s">
        <v>115</v>
      </c>
      <c r="B49" s="10" t="s">
        <v>74</v>
      </c>
      <c r="C49" s="12">
        <v>145972.1</v>
      </c>
      <c r="D49" s="12">
        <v>47609.5</v>
      </c>
      <c r="E49" s="12">
        <v>26401.3</v>
      </c>
      <c r="F49" s="12">
        <v>4831.8</v>
      </c>
      <c r="G49" s="12">
        <v>196073.8</v>
      </c>
      <c r="H49" s="12">
        <v>44770</v>
      </c>
      <c r="I49" s="12">
        <v>8044.8</v>
      </c>
      <c r="J49" s="12">
        <v>30199.9</v>
      </c>
      <c r="K49" s="12">
        <v>112965.6</v>
      </c>
      <c r="L49" s="12">
        <v>109321.4</v>
      </c>
      <c r="M49" s="12">
        <v>30611.7</v>
      </c>
      <c r="N49" s="12">
        <v>27101.200000000001</v>
      </c>
      <c r="O49" s="12">
        <v>48034.8</v>
      </c>
      <c r="P49" s="12">
        <v>27615.599999999999</v>
      </c>
      <c r="Q49" s="12">
        <v>25782</v>
      </c>
      <c r="R49" s="12">
        <v>21784.7</v>
      </c>
      <c r="S49" s="12">
        <v>36501.9</v>
      </c>
      <c r="T49" s="12">
        <v>65641.3</v>
      </c>
      <c r="U49" s="12">
        <v>15435.8</v>
      </c>
      <c r="V49" s="12">
        <v>40199.300000000003</v>
      </c>
      <c r="W49" s="12">
        <v>97912.3</v>
      </c>
      <c r="X49" s="12">
        <v>191319.8</v>
      </c>
      <c r="Y49" s="12">
        <v>333062</v>
      </c>
      <c r="Z49" s="12">
        <v>152925.9</v>
      </c>
      <c r="AA49" s="12">
        <v>74861.600000000006</v>
      </c>
      <c r="AB49" s="12">
        <v>19331.400000000001</v>
      </c>
      <c r="AC49" s="12">
        <v>48726.2</v>
      </c>
      <c r="AD49" s="12">
        <v>37984.199999999997</v>
      </c>
      <c r="AE49" s="12">
        <v>175880.3</v>
      </c>
      <c r="AF49" s="12">
        <v>168922.7</v>
      </c>
      <c r="AG49" s="12">
        <v>195796.7</v>
      </c>
      <c r="AH49" s="12">
        <v>217738.1</v>
      </c>
      <c r="AI49" s="12">
        <v>127026.8</v>
      </c>
      <c r="AJ49" s="12">
        <v>122794.9</v>
      </c>
      <c r="AK49" s="12">
        <v>54530.1</v>
      </c>
      <c r="AL49" s="12">
        <v>18634.7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</row>
    <row r="50" spans="1:47">
      <c r="A50" s="14" t="s">
        <v>116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ref="A2" r:id="rId1" display="http://localhost/OECDStat_Metadata/ShowMetadata.ashx?Dataset=IOTSI4_2018&amp;ShowOnWeb=true&amp;Lang=en"/>
    <hyperlink ref="C3" r:id="rId2" display="http://localhost/OECDStat_Metadata/ShowMetadata.ashx?Dataset=IOTSI4_2018&amp;Coords=[VAR].[TTL]&amp;ShowOnWeb=true&amp;Lang=en"/>
    <hyperlink ref="A50" r:id="rId3" display="https://stats-3.oecd.org/index.aspx?DatasetCode=IOTSI4_2018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181"/>
  <sheetViews>
    <sheetView topLeftCell="I70" workbookViewId="0">
      <selection activeCell="L70" sqref="L70"/>
    </sheetView>
  </sheetViews>
  <sheetFormatPr baseColWidth="10" defaultColWidth="8.85546875" defaultRowHeight="12" customHeight="1"/>
  <cols>
    <col min="1" max="1" width="8.85546875" style="62"/>
    <col min="2" max="2" width="8.85546875" style="62" customWidth="1"/>
    <col min="3" max="3" width="36.28515625" style="62" customWidth="1"/>
    <col min="4" max="4" width="10.140625" style="71" customWidth="1"/>
    <col min="5" max="5" width="36.140625" style="72" customWidth="1"/>
    <col min="6" max="6" width="8.85546875" style="62"/>
    <col min="7" max="7" width="7.28515625" style="64" customWidth="1"/>
    <col min="8" max="8" width="47.28515625" style="65" bestFit="1" customWidth="1"/>
    <col min="9" max="9" width="10.140625" style="71" customWidth="1"/>
    <col min="10" max="11" width="36.140625" style="72" customWidth="1"/>
    <col min="12" max="16384" width="8.85546875" style="62"/>
  </cols>
  <sheetData>
    <row r="1" spans="2:11" ht="12" customHeight="1">
      <c r="D1" s="62"/>
      <c r="E1" s="63"/>
      <c r="I1" s="66"/>
      <c r="J1" s="65"/>
      <c r="K1" s="65"/>
    </row>
    <row r="2" spans="2:11" ht="12" customHeight="1">
      <c r="D2" s="62"/>
      <c r="E2" s="63"/>
      <c r="I2" s="66"/>
      <c r="J2" s="65"/>
      <c r="K2" s="65"/>
    </row>
    <row r="3" spans="2:11" ht="12" customHeight="1">
      <c r="B3" s="67" t="s">
        <v>117</v>
      </c>
      <c r="C3" s="63" t="s">
        <v>118</v>
      </c>
      <c r="D3" s="68" t="s">
        <v>119</v>
      </c>
      <c r="E3" s="69" t="s">
        <v>120</v>
      </c>
      <c r="G3" s="67" t="s">
        <v>121</v>
      </c>
      <c r="H3" s="65" t="s">
        <v>118</v>
      </c>
      <c r="I3" s="68" t="s">
        <v>119</v>
      </c>
      <c r="J3" s="69" t="s">
        <v>120</v>
      </c>
      <c r="K3" s="69" t="s">
        <v>120</v>
      </c>
    </row>
    <row r="4" spans="2:11" ht="12" customHeight="1">
      <c r="B4" s="70">
        <v>191</v>
      </c>
      <c r="C4" s="63" t="s">
        <v>122</v>
      </c>
      <c r="D4" s="71" t="s">
        <v>123</v>
      </c>
      <c r="E4" s="72" t="s">
        <v>124</v>
      </c>
      <c r="G4" s="73">
        <v>1911</v>
      </c>
      <c r="H4" s="65" t="s">
        <v>125</v>
      </c>
      <c r="I4" s="71" t="s">
        <v>123</v>
      </c>
      <c r="J4" s="72" t="s">
        <v>124</v>
      </c>
      <c r="K4" s="72" t="s">
        <v>126</v>
      </c>
    </row>
    <row r="5" spans="2:11" ht="12" customHeight="1">
      <c r="B5" s="70">
        <v>192</v>
      </c>
      <c r="C5" s="63" t="s">
        <v>127</v>
      </c>
      <c r="D5" s="71" t="s">
        <v>123</v>
      </c>
      <c r="E5" s="62"/>
      <c r="G5" s="73">
        <v>1912</v>
      </c>
      <c r="H5" s="65" t="s">
        <v>128</v>
      </c>
      <c r="I5" s="71" t="s">
        <v>123</v>
      </c>
    </row>
    <row r="6" spans="2:11" ht="12" customHeight="1">
      <c r="B6" s="70">
        <v>280</v>
      </c>
      <c r="C6" s="63" t="s">
        <v>129</v>
      </c>
      <c r="D6" s="71" t="s">
        <v>123</v>
      </c>
      <c r="E6" s="62"/>
      <c r="G6" s="73">
        <v>1913</v>
      </c>
      <c r="H6" s="65" t="s">
        <v>130</v>
      </c>
      <c r="I6" s="71" t="s">
        <v>123</v>
      </c>
    </row>
    <row r="7" spans="2:11" ht="12" customHeight="1">
      <c r="B7" s="70">
        <v>580</v>
      </c>
      <c r="C7" s="63" t="s">
        <v>131</v>
      </c>
      <c r="D7" s="71" t="s">
        <v>132</v>
      </c>
      <c r="E7" s="72" t="s">
        <v>133</v>
      </c>
      <c r="G7" s="73">
        <v>1914</v>
      </c>
      <c r="H7" s="65" t="s">
        <v>134</v>
      </c>
      <c r="I7" s="71" t="s">
        <v>123</v>
      </c>
    </row>
    <row r="8" spans="2:11" ht="12" customHeight="1">
      <c r="B8" s="70">
        <v>680</v>
      </c>
      <c r="C8" s="63" t="s">
        <v>135</v>
      </c>
      <c r="D8" s="71" t="s">
        <v>136</v>
      </c>
      <c r="E8" s="72" t="s">
        <v>137</v>
      </c>
      <c r="G8" s="73">
        <v>1915</v>
      </c>
      <c r="H8" s="65" t="s">
        <v>138</v>
      </c>
      <c r="I8" s="71" t="s">
        <v>123</v>
      </c>
    </row>
    <row r="9" spans="2:11" ht="12" customHeight="1">
      <c r="B9" s="70">
        <v>791</v>
      </c>
      <c r="C9" s="63" t="s">
        <v>139</v>
      </c>
      <c r="D9" s="71" t="s">
        <v>140</v>
      </c>
      <c r="E9" s="72" t="s">
        <v>141</v>
      </c>
      <c r="G9" s="73">
        <v>1916</v>
      </c>
      <c r="H9" s="65" t="s">
        <v>142</v>
      </c>
      <c r="I9" s="71" t="s">
        <v>123</v>
      </c>
    </row>
    <row r="10" spans="2:11" ht="12" customHeight="1">
      <c r="B10" s="70">
        <v>792</v>
      </c>
      <c r="C10" s="63" t="s">
        <v>143</v>
      </c>
      <c r="D10" s="71" t="s">
        <v>144</v>
      </c>
      <c r="E10" s="72" t="s">
        <v>145</v>
      </c>
      <c r="G10" s="73">
        <v>1917</v>
      </c>
      <c r="H10" s="65" t="s">
        <v>146</v>
      </c>
      <c r="I10" s="71" t="s">
        <v>123</v>
      </c>
    </row>
    <row r="11" spans="2:11" ht="12" customHeight="1">
      <c r="B11" s="70">
        <v>1091</v>
      </c>
      <c r="C11" s="63" t="s">
        <v>147</v>
      </c>
      <c r="D11" s="71" t="s">
        <v>148</v>
      </c>
      <c r="E11" s="72" t="s">
        <v>149</v>
      </c>
      <c r="G11" s="73">
        <v>1918</v>
      </c>
      <c r="H11" s="65" t="s">
        <v>150</v>
      </c>
      <c r="I11" s="71" t="s">
        <v>123</v>
      </c>
    </row>
    <row r="12" spans="2:11" ht="12" customHeight="1">
      <c r="B12" s="70">
        <v>1092</v>
      </c>
      <c r="C12" s="63" t="s">
        <v>151</v>
      </c>
      <c r="D12" s="71" t="s">
        <v>148</v>
      </c>
      <c r="E12" s="62"/>
      <c r="G12" s="73">
        <v>1919</v>
      </c>
      <c r="H12" s="65" t="s">
        <v>152</v>
      </c>
      <c r="I12" s="71" t="s">
        <v>123</v>
      </c>
    </row>
    <row r="13" spans="2:11" ht="12" customHeight="1">
      <c r="B13" s="70">
        <v>1093</v>
      </c>
      <c r="C13" s="63" t="s">
        <v>153</v>
      </c>
      <c r="D13" s="71" t="s">
        <v>148</v>
      </c>
      <c r="E13" s="62"/>
      <c r="G13" s="73">
        <v>1921</v>
      </c>
      <c r="H13" s="65" t="s">
        <v>154</v>
      </c>
      <c r="I13" s="71" t="s">
        <v>123</v>
      </c>
    </row>
    <row r="14" spans="2:11" ht="12" customHeight="1">
      <c r="B14" s="70">
        <v>1100</v>
      </c>
      <c r="C14" s="63" t="s">
        <v>155</v>
      </c>
      <c r="D14" s="71" t="s">
        <v>148</v>
      </c>
      <c r="E14" s="62"/>
      <c r="G14" s="73">
        <v>1922</v>
      </c>
      <c r="H14" s="65" t="s">
        <v>156</v>
      </c>
      <c r="I14" s="71" t="s">
        <v>123</v>
      </c>
    </row>
    <row r="15" spans="2:11" ht="12" customHeight="1">
      <c r="B15" s="70">
        <v>1200</v>
      </c>
      <c r="C15" s="63" t="s">
        <v>157</v>
      </c>
      <c r="D15" s="71" t="s">
        <v>148</v>
      </c>
      <c r="E15" s="62"/>
      <c r="G15" s="73">
        <v>1923</v>
      </c>
      <c r="H15" s="65" t="s">
        <v>158</v>
      </c>
      <c r="I15" s="71" t="s">
        <v>123</v>
      </c>
    </row>
    <row r="16" spans="2:11" ht="12" customHeight="1">
      <c r="B16" s="70">
        <v>1300</v>
      </c>
      <c r="C16" s="63" t="s">
        <v>159</v>
      </c>
      <c r="D16" s="71" t="s">
        <v>160</v>
      </c>
      <c r="E16" s="72" t="s">
        <v>161</v>
      </c>
      <c r="G16" s="73">
        <v>1924</v>
      </c>
      <c r="H16" s="65" t="s">
        <v>162</v>
      </c>
      <c r="I16" s="71" t="s">
        <v>123</v>
      </c>
    </row>
    <row r="17" spans="2:11" ht="12" customHeight="1">
      <c r="B17" s="70">
        <v>1400</v>
      </c>
      <c r="C17" s="63" t="s">
        <v>163</v>
      </c>
      <c r="D17" s="71" t="s">
        <v>160</v>
      </c>
      <c r="E17" s="62"/>
      <c r="G17" s="73">
        <v>2801</v>
      </c>
      <c r="H17" s="65" t="s">
        <v>164</v>
      </c>
      <c r="I17" s="71" t="s">
        <v>123</v>
      </c>
    </row>
    <row r="18" spans="2:11" ht="12" customHeight="1">
      <c r="B18" s="70">
        <v>1500</v>
      </c>
      <c r="C18" s="63" t="s">
        <v>165</v>
      </c>
      <c r="D18" s="71" t="s">
        <v>160</v>
      </c>
      <c r="E18" s="62"/>
      <c r="G18" s="73">
        <v>2802</v>
      </c>
      <c r="H18" s="65" t="s">
        <v>166</v>
      </c>
      <c r="I18" s="71" t="s">
        <v>123</v>
      </c>
    </row>
    <row r="19" spans="2:11" ht="12" customHeight="1">
      <c r="B19" s="70">
        <v>1600</v>
      </c>
      <c r="C19" s="63" t="s">
        <v>167</v>
      </c>
      <c r="D19" s="71" t="s">
        <v>168</v>
      </c>
      <c r="E19" s="72" t="s">
        <v>169</v>
      </c>
      <c r="G19" s="73">
        <v>5801</v>
      </c>
      <c r="H19" s="65" t="s">
        <v>170</v>
      </c>
      <c r="I19" s="71" t="s">
        <v>132</v>
      </c>
      <c r="J19" s="72" t="s">
        <v>133</v>
      </c>
      <c r="K19" s="72" t="s">
        <v>171</v>
      </c>
    </row>
    <row r="20" spans="2:11" ht="12" customHeight="1">
      <c r="B20" s="70">
        <v>1700</v>
      </c>
      <c r="C20" s="63" t="s">
        <v>172</v>
      </c>
      <c r="D20" s="71" t="s">
        <v>173</v>
      </c>
      <c r="E20" s="72" t="s">
        <v>174</v>
      </c>
      <c r="G20" s="73">
        <v>5802</v>
      </c>
      <c r="H20" s="65" t="s">
        <v>175</v>
      </c>
      <c r="I20" s="71" t="s">
        <v>132</v>
      </c>
    </row>
    <row r="21" spans="2:11" ht="12" customHeight="1">
      <c r="B21" s="70">
        <v>1800</v>
      </c>
      <c r="C21" s="63" t="s">
        <v>176</v>
      </c>
      <c r="D21" s="71" t="s">
        <v>173</v>
      </c>
      <c r="E21" s="62"/>
      <c r="G21" s="73">
        <v>6801</v>
      </c>
      <c r="H21" s="65" t="s">
        <v>177</v>
      </c>
      <c r="I21" s="71" t="s">
        <v>136</v>
      </c>
      <c r="J21" s="72" t="s">
        <v>137</v>
      </c>
      <c r="K21" s="72" t="s">
        <v>178</v>
      </c>
    </row>
    <row r="22" spans="2:11" ht="12" customHeight="1">
      <c r="B22" s="70">
        <v>1991</v>
      </c>
      <c r="C22" s="63" t="s">
        <v>179</v>
      </c>
      <c r="D22" s="71" t="s">
        <v>180</v>
      </c>
      <c r="E22" s="72" t="s">
        <v>181</v>
      </c>
      <c r="G22" s="73">
        <v>7911</v>
      </c>
      <c r="H22" s="65" t="s">
        <v>182</v>
      </c>
      <c r="I22" s="71" t="s">
        <v>140</v>
      </c>
      <c r="J22" s="72" t="s">
        <v>141</v>
      </c>
      <c r="K22" s="72" t="s">
        <v>183</v>
      </c>
    </row>
    <row r="23" spans="2:11" ht="12" customHeight="1">
      <c r="B23" s="70">
        <v>1992</v>
      </c>
      <c r="C23" s="63" t="s">
        <v>184</v>
      </c>
      <c r="D23" s="71" t="s">
        <v>180</v>
      </c>
      <c r="E23" s="62"/>
      <c r="G23" s="73">
        <v>7921</v>
      </c>
      <c r="H23" s="65" t="s">
        <v>185</v>
      </c>
      <c r="I23" s="71" t="s">
        <v>144</v>
      </c>
      <c r="J23" s="72" t="s">
        <v>145</v>
      </c>
      <c r="K23" s="72" t="s">
        <v>186</v>
      </c>
    </row>
    <row r="24" spans="2:11" ht="12" customHeight="1">
      <c r="B24" s="70">
        <v>2091</v>
      </c>
      <c r="C24" s="63" t="s">
        <v>187</v>
      </c>
      <c r="D24" s="71" t="s">
        <v>188</v>
      </c>
      <c r="E24" s="72" t="s">
        <v>189</v>
      </c>
      <c r="G24" s="73">
        <v>10911</v>
      </c>
      <c r="H24" s="65" t="s">
        <v>190</v>
      </c>
      <c r="I24" s="71" t="s">
        <v>148</v>
      </c>
      <c r="J24" s="72" t="s">
        <v>149</v>
      </c>
      <c r="K24" s="72" t="s">
        <v>191</v>
      </c>
    </row>
    <row r="25" spans="2:11" ht="12" customHeight="1">
      <c r="B25" s="70">
        <v>2092</v>
      </c>
      <c r="C25" s="63" t="s">
        <v>192</v>
      </c>
      <c r="D25" s="71" t="s">
        <v>188</v>
      </c>
      <c r="E25" s="62"/>
      <c r="G25" s="73">
        <v>10912</v>
      </c>
      <c r="H25" s="65" t="s">
        <v>193</v>
      </c>
      <c r="I25" s="71" t="s">
        <v>148</v>
      </c>
    </row>
    <row r="26" spans="2:11" ht="12" customHeight="1">
      <c r="B26" s="70">
        <v>2093</v>
      </c>
      <c r="C26" s="63" t="s">
        <v>194</v>
      </c>
      <c r="D26" s="71" t="s">
        <v>188</v>
      </c>
      <c r="E26" s="62"/>
      <c r="G26" s="73">
        <v>10913</v>
      </c>
      <c r="H26" s="65" t="s">
        <v>195</v>
      </c>
      <c r="I26" s="71" t="s">
        <v>148</v>
      </c>
    </row>
    <row r="27" spans="2:11" ht="12" customHeight="1">
      <c r="B27" s="70">
        <v>2100</v>
      </c>
      <c r="C27" s="63" t="s">
        <v>196</v>
      </c>
      <c r="D27" s="71" t="s">
        <v>197</v>
      </c>
      <c r="E27" s="72" t="s">
        <v>198</v>
      </c>
      <c r="G27" s="73">
        <v>10914</v>
      </c>
      <c r="H27" s="65" t="s">
        <v>199</v>
      </c>
      <c r="I27" s="71" t="s">
        <v>148</v>
      </c>
    </row>
    <row r="28" spans="2:11" ht="12" customHeight="1">
      <c r="B28" s="70">
        <v>2200</v>
      </c>
      <c r="C28" s="63" t="s">
        <v>200</v>
      </c>
      <c r="D28" s="71" t="s">
        <v>201</v>
      </c>
      <c r="E28" s="72" t="s">
        <v>202</v>
      </c>
      <c r="G28" s="73">
        <v>10915</v>
      </c>
      <c r="H28" s="65" t="s">
        <v>203</v>
      </c>
      <c r="I28" s="71" t="s">
        <v>148</v>
      </c>
    </row>
    <row r="29" spans="2:11" ht="12" customHeight="1">
      <c r="B29" s="74">
        <v>2300</v>
      </c>
      <c r="C29" s="75" t="s">
        <v>204</v>
      </c>
      <c r="D29" s="71" t="s">
        <v>205</v>
      </c>
      <c r="G29" s="73">
        <v>10916</v>
      </c>
      <c r="H29" s="65" t="s">
        <v>206</v>
      </c>
      <c r="I29" s="71" t="s">
        <v>148</v>
      </c>
    </row>
    <row r="30" spans="2:11" ht="12" customHeight="1">
      <c r="B30" s="76">
        <v>2310</v>
      </c>
      <c r="C30" s="75" t="s">
        <v>207</v>
      </c>
      <c r="D30" s="71" t="s">
        <v>208</v>
      </c>
      <c r="E30" s="72" t="s">
        <v>209</v>
      </c>
      <c r="G30" s="73">
        <v>10921</v>
      </c>
      <c r="H30" s="65" t="s">
        <v>210</v>
      </c>
      <c r="I30" s="71" t="s">
        <v>148</v>
      </c>
    </row>
    <row r="31" spans="2:11" ht="12" customHeight="1">
      <c r="B31" s="76">
        <v>2320</v>
      </c>
      <c r="C31" s="75" t="s">
        <v>211</v>
      </c>
      <c r="D31" s="71" t="s">
        <v>212</v>
      </c>
      <c r="E31" s="72" t="s">
        <v>213</v>
      </c>
      <c r="G31" s="73">
        <v>10931</v>
      </c>
      <c r="H31" s="65" t="s">
        <v>214</v>
      </c>
      <c r="I31" s="71" t="s">
        <v>148</v>
      </c>
    </row>
    <row r="32" spans="2:11" ht="12" customHeight="1">
      <c r="B32" s="70">
        <v>2491</v>
      </c>
      <c r="C32" s="63" t="s">
        <v>215</v>
      </c>
      <c r="D32" s="71" t="s">
        <v>216</v>
      </c>
      <c r="E32" s="72" t="s">
        <v>217</v>
      </c>
      <c r="G32" s="73">
        <v>10932</v>
      </c>
      <c r="H32" s="65" t="s">
        <v>218</v>
      </c>
      <c r="I32" s="71" t="s">
        <v>148</v>
      </c>
    </row>
    <row r="33" spans="2:11" ht="12" customHeight="1">
      <c r="B33" s="70">
        <v>2492</v>
      </c>
      <c r="C33" s="63" t="s">
        <v>219</v>
      </c>
      <c r="D33" s="71" t="s">
        <v>220</v>
      </c>
      <c r="E33" s="72" t="s">
        <v>221</v>
      </c>
      <c r="G33" s="73">
        <v>10933</v>
      </c>
      <c r="H33" s="65" t="s">
        <v>222</v>
      </c>
      <c r="I33" s="71" t="s">
        <v>148</v>
      </c>
    </row>
    <row r="34" spans="2:11" ht="12" customHeight="1">
      <c r="B34" s="70">
        <v>2500</v>
      </c>
      <c r="C34" s="63" t="s">
        <v>223</v>
      </c>
      <c r="D34" s="71" t="s">
        <v>224</v>
      </c>
      <c r="E34" s="72" t="s">
        <v>225</v>
      </c>
      <c r="G34" s="73">
        <v>10934</v>
      </c>
      <c r="H34" s="65" t="s">
        <v>226</v>
      </c>
      <c r="I34" s="71" t="s">
        <v>148</v>
      </c>
    </row>
    <row r="35" spans="2:11" ht="12" customHeight="1">
      <c r="B35" s="70">
        <v>2600</v>
      </c>
      <c r="C35" s="63" t="s">
        <v>227</v>
      </c>
      <c r="D35" s="71" t="s">
        <v>228</v>
      </c>
      <c r="E35" s="72" t="s">
        <v>229</v>
      </c>
      <c r="G35" s="73">
        <v>10935</v>
      </c>
      <c r="H35" s="65" t="s">
        <v>230</v>
      </c>
      <c r="I35" s="71" t="s">
        <v>148</v>
      </c>
    </row>
    <row r="36" spans="2:11" ht="12" customHeight="1">
      <c r="B36" s="70">
        <v>2700</v>
      </c>
      <c r="C36" s="63" t="s">
        <v>231</v>
      </c>
      <c r="D36" s="71" t="s">
        <v>232</v>
      </c>
      <c r="E36" s="72" t="s">
        <v>233</v>
      </c>
      <c r="G36" s="73">
        <v>10936</v>
      </c>
      <c r="H36" s="65" t="s">
        <v>234</v>
      </c>
      <c r="I36" s="71" t="s">
        <v>148</v>
      </c>
    </row>
    <row r="37" spans="2:11" ht="12" customHeight="1">
      <c r="B37" s="70">
        <v>2800</v>
      </c>
      <c r="C37" s="63" t="s">
        <v>235</v>
      </c>
      <c r="D37" s="71" t="s">
        <v>236</v>
      </c>
      <c r="E37" s="72" t="s">
        <v>237</v>
      </c>
      <c r="G37" s="73">
        <v>10937</v>
      </c>
      <c r="H37" s="65" t="s">
        <v>153</v>
      </c>
      <c r="I37" s="71" t="s">
        <v>148</v>
      </c>
    </row>
    <row r="38" spans="2:11" ht="12" customHeight="1">
      <c r="B38" s="70">
        <v>2991</v>
      </c>
      <c r="C38" s="63" t="s">
        <v>238</v>
      </c>
      <c r="D38" s="71" t="s">
        <v>239</v>
      </c>
      <c r="E38" s="72" t="s">
        <v>240</v>
      </c>
      <c r="G38" s="73">
        <v>11001</v>
      </c>
      <c r="H38" s="65" t="s">
        <v>241</v>
      </c>
      <c r="I38" s="71" t="s">
        <v>148</v>
      </c>
    </row>
    <row r="39" spans="2:11" ht="12" customHeight="1">
      <c r="B39" s="70">
        <v>2992</v>
      </c>
      <c r="C39" s="63" t="s">
        <v>242</v>
      </c>
      <c r="D39" s="71" t="s">
        <v>239</v>
      </c>
      <c r="E39" s="62"/>
      <c r="G39" s="73">
        <v>12001</v>
      </c>
      <c r="H39" s="65" t="s">
        <v>243</v>
      </c>
      <c r="I39" s="71" t="s">
        <v>148</v>
      </c>
    </row>
    <row r="40" spans="2:11" ht="12" customHeight="1">
      <c r="B40" s="70">
        <v>3000</v>
      </c>
      <c r="C40" s="63" t="s">
        <v>244</v>
      </c>
      <c r="D40" s="71" t="s">
        <v>245</v>
      </c>
      <c r="E40" s="72" t="s">
        <v>246</v>
      </c>
      <c r="G40" s="73">
        <v>13001</v>
      </c>
      <c r="H40" s="65" t="s">
        <v>247</v>
      </c>
      <c r="I40" s="71" t="s">
        <v>160</v>
      </c>
      <c r="J40" s="72" t="s">
        <v>161</v>
      </c>
      <c r="K40" s="72" t="s">
        <v>248</v>
      </c>
    </row>
    <row r="41" spans="2:11" ht="12" customHeight="1">
      <c r="B41" s="70">
        <v>3180</v>
      </c>
      <c r="C41" s="63" t="s">
        <v>249</v>
      </c>
      <c r="D41" s="71" t="s">
        <v>245</v>
      </c>
      <c r="E41" s="62"/>
      <c r="G41" s="73">
        <v>13002</v>
      </c>
      <c r="H41" s="65" t="s">
        <v>250</v>
      </c>
      <c r="I41" s="71" t="s">
        <v>160</v>
      </c>
    </row>
    <row r="42" spans="2:11" ht="12" customHeight="1">
      <c r="B42" s="70">
        <v>3300</v>
      </c>
      <c r="C42" s="63" t="s">
        <v>251</v>
      </c>
      <c r="D42" s="71" t="s">
        <v>252</v>
      </c>
      <c r="E42" s="72" t="s">
        <v>253</v>
      </c>
      <c r="G42" s="73">
        <v>13003</v>
      </c>
      <c r="H42" s="65" t="s">
        <v>254</v>
      </c>
      <c r="I42" s="71" t="s">
        <v>160</v>
      </c>
    </row>
    <row r="43" spans="2:11" ht="12" customHeight="1">
      <c r="B43" s="74">
        <v>3500</v>
      </c>
      <c r="C43" s="75" t="s">
        <v>255</v>
      </c>
      <c r="D43" s="62" t="s">
        <v>205</v>
      </c>
      <c r="E43" s="62"/>
      <c r="G43" s="73">
        <v>14001</v>
      </c>
      <c r="H43" s="65" t="s">
        <v>256</v>
      </c>
      <c r="I43" s="71" t="s">
        <v>160</v>
      </c>
    </row>
    <row r="44" spans="2:11" ht="12" customHeight="1">
      <c r="B44" s="74">
        <v>3510</v>
      </c>
      <c r="C44" s="75" t="s">
        <v>257</v>
      </c>
      <c r="D44" s="71" t="s">
        <v>258</v>
      </c>
      <c r="E44" s="72" t="s">
        <v>259</v>
      </c>
      <c r="G44" s="73">
        <v>15001</v>
      </c>
      <c r="H44" s="65" t="s">
        <v>260</v>
      </c>
      <c r="I44" s="71" t="s">
        <v>160</v>
      </c>
    </row>
    <row r="45" spans="2:11" ht="12" customHeight="1">
      <c r="B45" s="74">
        <v>3520</v>
      </c>
      <c r="C45" s="75" t="s">
        <v>261</v>
      </c>
      <c r="D45" s="71" t="s">
        <v>262</v>
      </c>
      <c r="E45" s="72" t="s">
        <v>263</v>
      </c>
      <c r="G45" s="73">
        <v>16001</v>
      </c>
      <c r="H45" s="65" t="s">
        <v>264</v>
      </c>
      <c r="I45" s="71" t="s">
        <v>168</v>
      </c>
      <c r="J45" s="72" t="s">
        <v>169</v>
      </c>
      <c r="K45" s="72" t="s">
        <v>265</v>
      </c>
    </row>
    <row r="46" spans="2:11" ht="12" customHeight="1">
      <c r="B46" s="70">
        <v>3680</v>
      </c>
      <c r="C46" s="63" t="s">
        <v>266</v>
      </c>
      <c r="D46" s="71" t="s">
        <v>267</v>
      </c>
      <c r="E46" s="72" t="s">
        <v>268</v>
      </c>
      <c r="G46" s="73">
        <v>17001</v>
      </c>
      <c r="H46" s="65" t="s">
        <v>269</v>
      </c>
      <c r="I46" s="71" t="s">
        <v>168</v>
      </c>
    </row>
    <row r="47" spans="2:11" ht="12" customHeight="1">
      <c r="B47" s="70">
        <v>4180</v>
      </c>
      <c r="C47" s="63" t="s">
        <v>270</v>
      </c>
      <c r="D47" s="71" t="s">
        <v>271</v>
      </c>
      <c r="E47" s="72" t="s">
        <v>272</v>
      </c>
      <c r="G47" s="73">
        <v>17002</v>
      </c>
      <c r="H47" s="65" t="s">
        <v>273</v>
      </c>
      <c r="I47" s="71" t="s">
        <v>173</v>
      </c>
      <c r="J47" s="72" t="s">
        <v>174</v>
      </c>
      <c r="K47" s="72" t="s">
        <v>274</v>
      </c>
    </row>
    <row r="48" spans="2:11" ht="12" customHeight="1">
      <c r="B48" s="70">
        <v>4580</v>
      </c>
      <c r="C48" s="63" t="s">
        <v>275</v>
      </c>
      <c r="D48" s="71" t="s">
        <v>276</v>
      </c>
      <c r="E48" s="72" t="s">
        <v>277</v>
      </c>
      <c r="G48" s="73">
        <v>18001</v>
      </c>
      <c r="H48" s="65" t="s">
        <v>278</v>
      </c>
      <c r="I48" s="71" t="s">
        <v>173</v>
      </c>
    </row>
    <row r="49" spans="2:11" ht="12" customHeight="1">
      <c r="B49" s="70">
        <v>4900</v>
      </c>
      <c r="C49" s="63" t="s">
        <v>279</v>
      </c>
      <c r="D49" s="71" t="s">
        <v>280</v>
      </c>
      <c r="E49" s="72" t="s">
        <v>281</v>
      </c>
      <c r="G49" s="73">
        <v>19911</v>
      </c>
      <c r="H49" s="65" t="s">
        <v>282</v>
      </c>
      <c r="I49" s="71" t="s">
        <v>180</v>
      </c>
      <c r="J49" s="72" t="s">
        <v>181</v>
      </c>
      <c r="K49" s="72" t="s">
        <v>283</v>
      </c>
    </row>
    <row r="50" spans="2:11" ht="12" customHeight="1">
      <c r="B50" s="70">
        <v>5000</v>
      </c>
      <c r="C50" s="63" t="s">
        <v>284</v>
      </c>
      <c r="D50" s="71" t="s">
        <v>280</v>
      </c>
      <c r="E50" s="62"/>
      <c r="G50" s="73">
        <v>19912</v>
      </c>
      <c r="H50" s="65" t="s">
        <v>285</v>
      </c>
      <c r="I50" s="71" t="s">
        <v>180</v>
      </c>
    </row>
    <row r="51" spans="2:11" ht="12" customHeight="1">
      <c r="B51" s="70">
        <v>5100</v>
      </c>
      <c r="C51" s="63" t="s">
        <v>286</v>
      </c>
      <c r="D51" s="71" t="s">
        <v>280</v>
      </c>
      <c r="E51" s="62"/>
      <c r="G51" s="73">
        <v>19913</v>
      </c>
      <c r="H51" s="65" t="s">
        <v>287</v>
      </c>
      <c r="I51" s="71" t="s">
        <v>180</v>
      </c>
    </row>
    <row r="52" spans="2:11" ht="12" customHeight="1">
      <c r="B52" s="70">
        <v>5280</v>
      </c>
      <c r="C52" s="63" t="s">
        <v>288</v>
      </c>
      <c r="D52" s="71" t="s">
        <v>280</v>
      </c>
      <c r="E52" s="62"/>
      <c r="G52" s="73">
        <v>19914</v>
      </c>
      <c r="H52" s="65" t="s">
        <v>289</v>
      </c>
      <c r="I52" s="71" t="s">
        <v>180</v>
      </c>
    </row>
    <row r="53" spans="2:11" ht="12" customHeight="1">
      <c r="B53" s="70">
        <v>5500</v>
      </c>
      <c r="C53" s="63" t="s">
        <v>290</v>
      </c>
      <c r="D53" s="71" t="s">
        <v>291</v>
      </c>
      <c r="E53" s="72" t="s">
        <v>292</v>
      </c>
      <c r="G53" s="73">
        <v>19915</v>
      </c>
      <c r="H53" s="65" t="s">
        <v>293</v>
      </c>
      <c r="I53" s="71" t="s">
        <v>180</v>
      </c>
    </row>
    <row r="54" spans="2:11" ht="12" customHeight="1">
      <c r="B54" s="70">
        <v>5600</v>
      </c>
      <c r="C54" s="63" t="s">
        <v>294</v>
      </c>
      <c r="D54" s="71" t="s">
        <v>291</v>
      </c>
      <c r="E54" s="62"/>
      <c r="G54" s="73">
        <v>19916</v>
      </c>
      <c r="H54" s="65" t="s">
        <v>295</v>
      </c>
      <c r="I54" s="71" t="s">
        <v>180</v>
      </c>
    </row>
    <row r="55" spans="2:11" ht="12" customHeight="1">
      <c r="B55" s="70">
        <v>5800</v>
      </c>
      <c r="C55" s="63" t="s">
        <v>296</v>
      </c>
      <c r="D55" s="71" t="s">
        <v>297</v>
      </c>
      <c r="E55" s="72" t="s">
        <v>298</v>
      </c>
      <c r="G55" s="73">
        <v>19921</v>
      </c>
      <c r="H55" s="65" t="s">
        <v>299</v>
      </c>
      <c r="I55" s="77" t="s">
        <v>180</v>
      </c>
      <c r="J55" s="78" t="s">
        <v>300</v>
      </c>
      <c r="K55" s="78" t="s">
        <v>300</v>
      </c>
    </row>
    <row r="56" spans="2:11" ht="12" customHeight="1">
      <c r="B56" s="70">
        <v>5980</v>
      </c>
      <c r="C56" s="63" t="s">
        <v>301</v>
      </c>
      <c r="D56" s="71" t="s">
        <v>297</v>
      </c>
      <c r="E56" s="62"/>
      <c r="G56" s="73">
        <v>20911</v>
      </c>
      <c r="H56" s="65" t="s">
        <v>302</v>
      </c>
      <c r="I56" s="71" t="s">
        <v>188</v>
      </c>
      <c r="J56" s="72" t="s">
        <v>189</v>
      </c>
      <c r="K56" s="72" t="s">
        <v>303</v>
      </c>
    </row>
    <row r="57" spans="2:11" ht="12" customHeight="1">
      <c r="B57" s="70">
        <v>6100</v>
      </c>
      <c r="C57" s="63" t="s">
        <v>304</v>
      </c>
      <c r="D57" s="71" t="s">
        <v>305</v>
      </c>
      <c r="E57" s="72" t="s">
        <v>306</v>
      </c>
      <c r="G57" s="73">
        <v>20912</v>
      </c>
      <c r="H57" s="65" t="s">
        <v>307</v>
      </c>
      <c r="I57" s="71" t="s">
        <v>188</v>
      </c>
    </row>
    <row r="58" spans="2:11" ht="12" customHeight="1">
      <c r="B58" s="70">
        <v>6280</v>
      </c>
      <c r="C58" s="63" t="s">
        <v>308</v>
      </c>
      <c r="D58" s="71" t="s">
        <v>309</v>
      </c>
      <c r="E58" s="72" t="s">
        <v>310</v>
      </c>
      <c r="G58" s="73">
        <v>20913</v>
      </c>
      <c r="H58" s="65" t="s">
        <v>311</v>
      </c>
      <c r="I58" s="71" t="s">
        <v>188</v>
      </c>
    </row>
    <row r="59" spans="2:11" ht="12" customHeight="1">
      <c r="B59" s="70">
        <v>6480</v>
      </c>
      <c r="C59" s="63" t="s">
        <v>312</v>
      </c>
      <c r="D59" s="71" t="s">
        <v>313</v>
      </c>
      <c r="E59" s="72" t="s">
        <v>314</v>
      </c>
      <c r="G59" s="73">
        <v>20914</v>
      </c>
      <c r="H59" s="65" t="s">
        <v>315</v>
      </c>
      <c r="I59" s="71" t="s">
        <v>188</v>
      </c>
    </row>
    <row r="60" spans="2:11" ht="12" customHeight="1">
      <c r="B60" s="70">
        <v>6800</v>
      </c>
      <c r="C60" s="63" t="s">
        <v>316</v>
      </c>
      <c r="D60" s="71" t="s">
        <v>317</v>
      </c>
      <c r="E60" s="72" t="s">
        <v>318</v>
      </c>
      <c r="G60" s="73">
        <v>20921</v>
      </c>
      <c r="H60" s="65" t="s">
        <v>319</v>
      </c>
      <c r="I60" s="71" t="s">
        <v>188</v>
      </c>
    </row>
    <row r="61" spans="2:11" ht="12" customHeight="1">
      <c r="B61" s="70">
        <v>6980</v>
      </c>
      <c r="C61" s="63" t="s">
        <v>320</v>
      </c>
      <c r="D61" s="71" t="s">
        <v>321</v>
      </c>
      <c r="E61" s="72" t="s">
        <v>322</v>
      </c>
      <c r="G61" s="73">
        <v>20922</v>
      </c>
      <c r="H61" s="65" t="s">
        <v>323</v>
      </c>
      <c r="I61" s="71" t="s">
        <v>188</v>
      </c>
    </row>
    <row r="62" spans="2:11" ht="12" customHeight="1">
      <c r="B62" s="70">
        <v>7180</v>
      </c>
      <c r="C62" s="63" t="s">
        <v>324</v>
      </c>
      <c r="D62" s="71" t="s">
        <v>321</v>
      </c>
      <c r="E62" s="62"/>
      <c r="G62" s="73">
        <v>20923</v>
      </c>
      <c r="H62" s="65" t="s">
        <v>325</v>
      </c>
      <c r="I62" s="71" t="s">
        <v>188</v>
      </c>
    </row>
    <row r="63" spans="2:11" ht="12" customHeight="1">
      <c r="B63" s="70">
        <v>7380</v>
      </c>
      <c r="C63" s="63" t="s">
        <v>326</v>
      </c>
      <c r="D63" s="71" t="s">
        <v>321</v>
      </c>
      <c r="E63" s="62"/>
      <c r="G63" s="73">
        <v>20931</v>
      </c>
      <c r="H63" s="65" t="s">
        <v>327</v>
      </c>
      <c r="I63" s="71" t="s">
        <v>188</v>
      </c>
    </row>
    <row r="64" spans="2:11" ht="12" customHeight="1">
      <c r="B64" s="70">
        <v>7700</v>
      </c>
      <c r="C64" s="63" t="s">
        <v>328</v>
      </c>
      <c r="D64" s="71" t="s">
        <v>321</v>
      </c>
      <c r="E64" s="62"/>
      <c r="G64" s="73">
        <v>21001</v>
      </c>
      <c r="H64" s="65" t="s">
        <v>329</v>
      </c>
      <c r="I64" s="71" t="s">
        <v>197</v>
      </c>
      <c r="J64" s="72" t="s">
        <v>198</v>
      </c>
      <c r="K64" s="72" t="s">
        <v>330</v>
      </c>
    </row>
    <row r="65" spans="2:11" ht="12" customHeight="1">
      <c r="B65" s="70">
        <v>7880</v>
      </c>
      <c r="C65" s="63" t="s">
        <v>331</v>
      </c>
      <c r="D65" s="71" t="s">
        <v>321</v>
      </c>
      <c r="E65" s="62"/>
      <c r="G65" s="73">
        <v>22001</v>
      </c>
      <c r="H65" s="65" t="s">
        <v>332</v>
      </c>
      <c r="I65" s="71" t="s">
        <v>201</v>
      </c>
      <c r="J65" s="72" t="s">
        <v>202</v>
      </c>
      <c r="K65" s="72" t="s">
        <v>333</v>
      </c>
    </row>
    <row r="66" spans="2:11" ht="12" customHeight="1">
      <c r="B66" s="70">
        <v>8000</v>
      </c>
      <c r="C66" s="63" t="s">
        <v>334</v>
      </c>
      <c r="D66" s="71" t="s">
        <v>321</v>
      </c>
      <c r="E66" s="62"/>
      <c r="G66" s="73">
        <v>22002</v>
      </c>
      <c r="H66" s="65" t="s">
        <v>335</v>
      </c>
      <c r="I66" s="71" t="s">
        <v>201</v>
      </c>
    </row>
    <row r="67" spans="2:11" ht="12" customHeight="1">
      <c r="B67" s="70">
        <v>8400</v>
      </c>
      <c r="C67" s="63" t="s">
        <v>336</v>
      </c>
      <c r="D67" s="71" t="s">
        <v>337</v>
      </c>
      <c r="E67" s="72" t="s">
        <v>338</v>
      </c>
      <c r="G67" s="73">
        <v>23001</v>
      </c>
      <c r="H67" s="65" t="s">
        <v>339</v>
      </c>
      <c r="I67" s="71" t="s">
        <v>208</v>
      </c>
      <c r="J67" s="72" t="s">
        <v>209</v>
      </c>
      <c r="K67" s="72" t="s">
        <v>340</v>
      </c>
    </row>
    <row r="68" spans="2:11" ht="12" customHeight="1">
      <c r="B68" s="70">
        <v>8591</v>
      </c>
      <c r="C68" s="63" t="s">
        <v>341</v>
      </c>
      <c r="D68" s="71" t="s">
        <v>342</v>
      </c>
      <c r="E68" s="72" t="s">
        <v>343</v>
      </c>
      <c r="G68" s="73">
        <v>23002</v>
      </c>
      <c r="H68" s="65" t="s">
        <v>344</v>
      </c>
      <c r="I68" s="71" t="s">
        <v>208</v>
      </c>
    </row>
    <row r="69" spans="2:11" ht="12" customHeight="1">
      <c r="B69" s="70">
        <v>8592</v>
      </c>
      <c r="C69" s="63" t="s">
        <v>345</v>
      </c>
      <c r="D69" s="71" t="s">
        <v>342</v>
      </c>
      <c r="E69" s="62"/>
      <c r="G69" s="73">
        <v>23003</v>
      </c>
      <c r="H69" s="65" t="s">
        <v>211</v>
      </c>
      <c r="I69" s="71" t="s">
        <v>212</v>
      </c>
      <c r="J69" s="72" t="s">
        <v>213</v>
      </c>
      <c r="K69" s="72" t="s">
        <v>346</v>
      </c>
    </row>
    <row r="70" spans="2:11" ht="12" customHeight="1">
      <c r="B70" s="70">
        <v>8691</v>
      </c>
      <c r="C70" s="63" t="s">
        <v>347</v>
      </c>
      <c r="D70" s="71" t="s">
        <v>348</v>
      </c>
      <c r="E70" s="72" t="s">
        <v>349</v>
      </c>
      <c r="G70" s="73">
        <v>24911</v>
      </c>
      <c r="H70" s="65" t="s">
        <v>350</v>
      </c>
      <c r="I70" s="71" t="s">
        <v>216</v>
      </c>
      <c r="J70" s="72" t="s">
        <v>217</v>
      </c>
      <c r="K70" s="72" t="s">
        <v>351</v>
      </c>
    </row>
    <row r="71" spans="2:11" ht="12" customHeight="1">
      <c r="B71" s="70">
        <v>8692</v>
      </c>
      <c r="C71" s="63" t="s">
        <v>352</v>
      </c>
      <c r="D71" s="71" t="s">
        <v>348</v>
      </c>
      <c r="E71" s="62"/>
      <c r="G71" s="73">
        <v>24912</v>
      </c>
      <c r="H71" s="65" t="s">
        <v>353</v>
      </c>
      <c r="I71" s="71" t="s">
        <v>216</v>
      </c>
    </row>
    <row r="72" spans="2:11" ht="12" customHeight="1">
      <c r="B72" s="70">
        <v>9080</v>
      </c>
      <c r="C72" s="63" t="s">
        <v>354</v>
      </c>
      <c r="D72" s="71" t="s">
        <v>355</v>
      </c>
      <c r="E72" s="72" t="s">
        <v>356</v>
      </c>
      <c r="G72" s="73">
        <v>24921</v>
      </c>
      <c r="H72" s="65" t="s">
        <v>357</v>
      </c>
      <c r="I72" s="71" t="s">
        <v>220</v>
      </c>
      <c r="J72" s="72" t="s">
        <v>221</v>
      </c>
      <c r="K72" s="72" t="s">
        <v>358</v>
      </c>
    </row>
    <row r="73" spans="2:11" ht="12" customHeight="1">
      <c r="B73" s="70">
        <v>9480</v>
      </c>
      <c r="C73" s="63" t="s">
        <v>359</v>
      </c>
      <c r="D73" s="71" t="s">
        <v>355</v>
      </c>
      <c r="E73" s="62"/>
      <c r="G73" s="73">
        <v>24922</v>
      </c>
      <c r="H73" s="65" t="s">
        <v>360</v>
      </c>
      <c r="I73" s="71" t="s">
        <v>220</v>
      </c>
      <c r="J73" s="72" t="s">
        <v>221</v>
      </c>
    </row>
    <row r="74" spans="2:11" ht="12" customHeight="1">
      <c r="B74" s="70">
        <v>9700</v>
      </c>
      <c r="C74" s="63" t="s">
        <v>361</v>
      </c>
      <c r="D74" s="71" t="s">
        <v>362</v>
      </c>
      <c r="E74" s="72" t="s">
        <v>363</v>
      </c>
      <c r="G74" s="73">
        <v>25001</v>
      </c>
      <c r="H74" s="65" t="s">
        <v>364</v>
      </c>
      <c r="I74" s="71" t="s">
        <v>224</v>
      </c>
      <c r="J74" s="72" t="s">
        <v>225</v>
      </c>
      <c r="K74" s="72" t="s">
        <v>365</v>
      </c>
    </row>
    <row r="75" spans="2:11" ht="12" customHeight="1">
      <c r="G75" s="73">
        <v>26001</v>
      </c>
      <c r="H75" s="65" t="s">
        <v>366</v>
      </c>
      <c r="I75" s="71" t="s">
        <v>228</v>
      </c>
      <c r="J75" s="72" t="s">
        <v>229</v>
      </c>
      <c r="K75" s="72" t="s">
        <v>367</v>
      </c>
    </row>
    <row r="76" spans="2:11" ht="12" customHeight="1">
      <c r="G76" s="73">
        <v>26002</v>
      </c>
      <c r="H76" s="65" t="s">
        <v>368</v>
      </c>
      <c r="I76" s="71" t="s">
        <v>228</v>
      </c>
    </row>
    <row r="77" spans="2:11" ht="12" customHeight="1">
      <c r="G77" s="73">
        <v>26003</v>
      </c>
      <c r="H77" s="65" t="s">
        <v>369</v>
      </c>
      <c r="I77" s="71" t="s">
        <v>228</v>
      </c>
    </row>
    <row r="78" spans="2:11" ht="12" customHeight="1">
      <c r="G78" s="73">
        <v>26004</v>
      </c>
      <c r="H78" s="65" t="s">
        <v>370</v>
      </c>
      <c r="I78" s="71" t="s">
        <v>228</v>
      </c>
    </row>
    <row r="79" spans="2:11" ht="12" customHeight="1">
      <c r="G79" s="73">
        <v>27001</v>
      </c>
      <c r="H79" s="65" t="s">
        <v>371</v>
      </c>
      <c r="I79" s="71" t="s">
        <v>232</v>
      </c>
      <c r="J79" s="72" t="s">
        <v>233</v>
      </c>
      <c r="K79" s="72" t="s">
        <v>372</v>
      </c>
    </row>
    <row r="80" spans="2:11" ht="12" customHeight="1">
      <c r="G80" s="73">
        <v>27002</v>
      </c>
      <c r="H80" s="65" t="s">
        <v>373</v>
      </c>
      <c r="I80" s="71" t="s">
        <v>232</v>
      </c>
    </row>
    <row r="81" spans="7:11" ht="12" customHeight="1">
      <c r="G81" s="73">
        <v>28001</v>
      </c>
      <c r="H81" s="65" t="s">
        <v>374</v>
      </c>
      <c r="I81" s="71" t="s">
        <v>236</v>
      </c>
      <c r="J81" s="72" t="s">
        <v>237</v>
      </c>
      <c r="K81" s="72" t="s">
        <v>375</v>
      </c>
    </row>
    <row r="82" spans="7:11" ht="12" customHeight="1">
      <c r="G82" s="73">
        <v>28002</v>
      </c>
      <c r="H82" s="65" t="s">
        <v>376</v>
      </c>
      <c r="I82" s="71" t="s">
        <v>236</v>
      </c>
    </row>
    <row r="83" spans="7:11" ht="12" customHeight="1">
      <c r="G83" s="73">
        <v>28003</v>
      </c>
      <c r="H83" s="65" t="s">
        <v>377</v>
      </c>
      <c r="I83" s="71" t="s">
        <v>236</v>
      </c>
    </row>
    <row r="84" spans="7:11" ht="12" customHeight="1">
      <c r="G84" s="73">
        <v>29911</v>
      </c>
      <c r="H84" s="65" t="s">
        <v>378</v>
      </c>
      <c r="I84" s="71" t="s">
        <v>239</v>
      </c>
      <c r="J84" s="72" t="s">
        <v>240</v>
      </c>
      <c r="K84" s="72" t="s">
        <v>379</v>
      </c>
    </row>
    <row r="85" spans="7:11" ht="12" customHeight="1">
      <c r="G85" s="73">
        <v>29912</v>
      </c>
      <c r="H85" s="65" t="s">
        <v>380</v>
      </c>
      <c r="I85" s="71" t="s">
        <v>239</v>
      </c>
    </row>
    <row r="86" spans="7:11" ht="12" customHeight="1">
      <c r="G86" s="73">
        <v>29921</v>
      </c>
      <c r="H86" s="65" t="s">
        <v>381</v>
      </c>
      <c r="I86" s="71" t="s">
        <v>239</v>
      </c>
    </row>
    <row r="87" spans="7:11" ht="12" customHeight="1">
      <c r="G87" s="73">
        <v>30001</v>
      </c>
      <c r="H87" s="65" t="s">
        <v>382</v>
      </c>
      <c r="I87" s="71" t="s">
        <v>245</v>
      </c>
      <c r="J87" s="72" t="s">
        <v>246</v>
      </c>
      <c r="K87" s="72" t="s">
        <v>383</v>
      </c>
    </row>
    <row r="88" spans="7:11" ht="12" customHeight="1">
      <c r="G88" s="73">
        <v>31801</v>
      </c>
      <c r="H88" s="65" t="s">
        <v>384</v>
      </c>
      <c r="I88" s="71" t="s">
        <v>245</v>
      </c>
    </row>
    <row r="89" spans="7:11" ht="12" customHeight="1">
      <c r="G89" s="73">
        <v>31802</v>
      </c>
      <c r="H89" s="65" t="s">
        <v>385</v>
      </c>
      <c r="I89" s="71" t="s">
        <v>245</v>
      </c>
    </row>
    <row r="90" spans="7:11" ht="12" customHeight="1">
      <c r="G90" s="73">
        <v>33001</v>
      </c>
      <c r="H90" s="65" t="s">
        <v>251</v>
      </c>
      <c r="I90" s="71" t="s">
        <v>252</v>
      </c>
      <c r="J90" s="72" t="s">
        <v>253</v>
      </c>
      <c r="K90" s="72" t="s">
        <v>386</v>
      </c>
    </row>
    <row r="91" spans="7:11" ht="12" customHeight="1">
      <c r="G91" s="73">
        <v>35001</v>
      </c>
      <c r="H91" s="65" t="s">
        <v>387</v>
      </c>
      <c r="I91" s="71" t="s">
        <v>262</v>
      </c>
      <c r="J91" s="72" t="s">
        <v>259</v>
      </c>
      <c r="K91" s="72" t="s">
        <v>388</v>
      </c>
    </row>
    <row r="92" spans="7:11" ht="12" customHeight="1">
      <c r="G92" s="79">
        <v>35101</v>
      </c>
      <c r="H92" s="78" t="s">
        <v>257</v>
      </c>
      <c r="I92" s="71" t="s">
        <v>258</v>
      </c>
      <c r="J92" s="72" t="s">
        <v>259</v>
      </c>
      <c r="K92" s="72" t="s">
        <v>388</v>
      </c>
    </row>
    <row r="93" spans="7:11" ht="12" customHeight="1">
      <c r="G93" s="79">
        <v>35201</v>
      </c>
      <c r="H93" s="78" t="s">
        <v>261</v>
      </c>
      <c r="I93" s="71" t="s">
        <v>262</v>
      </c>
      <c r="J93" s="72" t="s">
        <v>263</v>
      </c>
      <c r="K93" s="72" t="s">
        <v>389</v>
      </c>
    </row>
    <row r="94" spans="7:11" ht="12" customHeight="1">
      <c r="G94" s="73">
        <v>36801</v>
      </c>
      <c r="H94" s="65" t="s">
        <v>390</v>
      </c>
      <c r="I94" s="71" t="s">
        <v>267</v>
      </c>
      <c r="J94" s="72" t="s">
        <v>268</v>
      </c>
      <c r="K94" s="72" t="s">
        <v>391</v>
      </c>
    </row>
    <row r="95" spans="7:11" ht="12" customHeight="1">
      <c r="G95" s="73">
        <v>41801</v>
      </c>
      <c r="H95" s="65" t="s">
        <v>392</v>
      </c>
      <c r="I95" s="71" t="s">
        <v>271</v>
      </c>
      <c r="J95" s="72" t="s">
        <v>272</v>
      </c>
      <c r="K95" s="72" t="s">
        <v>393</v>
      </c>
    </row>
    <row r="96" spans="7:11" ht="12" customHeight="1">
      <c r="G96" s="73">
        <v>41802</v>
      </c>
      <c r="H96" s="65" t="s">
        <v>394</v>
      </c>
      <c r="I96" s="71" t="s">
        <v>271</v>
      </c>
    </row>
    <row r="97" spans="4:11" ht="12" customHeight="1">
      <c r="G97" s="73">
        <v>41803</v>
      </c>
      <c r="H97" s="65" t="s">
        <v>395</v>
      </c>
      <c r="I97" s="71" t="s">
        <v>271</v>
      </c>
    </row>
    <row r="98" spans="4:11" ht="12" customHeight="1">
      <c r="G98" s="73">
        <v>45001</v>
      </c>
      <c r="H98" s="65" t="s">
        <v>396</v>
      </c>
      <c r="I98" s="71" t="s">
        <v>276</v>
      </c>
      <c r="J98" s="72" t="s">
        <v>277</v>
      </c>
      <c r="K98" s="72" t="s">
        <v>397</v>
      </c>
    </row>
    <row r="99" spans="4:11" ht="12" customHeight="1">
      <c r="G99" s="73">
        <v>46801</v>
      </c>
      <c r="H99" s="65" t="s">
        <v>398</v>
      </c>
      <c r="I99" s="71" t="s">
        <v>276</v>
      </c>
    </row>
    <row r="100" spans="4:11" ht="12" customHeight="1">
      <c r="G100" s="73">
        <v>49001</v>
      </c>
      <c r="H100" s="65" t="s">
        <v>399</v>
      </c>
      <c r="I100" s="71" t="s">
        <v>276</v>
      </c>
    </row>
    <row r="101" spans="4:11" ht="12" customHeight="1">
      <c r="G101" s="73">
        <v>49002</v>
      </c>
      <c r="H101" s="65" t="s">
        <v>400</v>
      </c>
      <c r="I101" s="71" t="s">
        <v>280</v>
      </c>
      <c r="J101" s="72" t="s">
        <v>281</v>
      </c>
      <c r="K101" s="72" t="s">
        <v>401</v>
      </c>
    </row>
    <row r="102" spans="4:11" ht="12" customHeight="1">
      <c r="G102" s="73">
        <v>50001</v>
      </c>
      <c r="H102" s="65" t="s">
        <v>284</v>
      </c>
      <c r="I102" s="71" t="s">
        <v>280</v>
      </c>
    </row>
    <row r="103" spans="4:11" ht="12" customHeight="1">
      <c r="G103" s="73">
        <v>51001</v>
      </c>
      <c r="H103" s="65" t="s">
        <v>286</v>
      </c>
      <c r="I103" s="71" t="s">
        <v>280</v>
      </c>
    </row>
    <row r="104" spans="4:11" ht="12" customHeight="1">
      <c r="G104" s="73">
        <v>52801</v>
      </c>
      <c r="H104" s="65" t="s">
        <v>402</v>
      </c>
      <c r="I104" s="71" t="s">
        <v>280</v>
      </c>
    </row>
    <row r="105" spans="4:11" ht="12" customHeight="1">
      <c r="G105" s="73">
        <v>52802</v>
      </c>
      <c r="H105" s="65" t="s">
        <v>403</v>
      </c>
      <c r="I105" s="71" t="s">
        <v>280</v>
      </c>
    </row>
    <row r="106" spans="4:11" ht="12" customHeight="1">
      <c r="G106" s="73">
        <v>55001</v>
      </c>
      <c r="H106" s="65" t="s">
        <v>404</v>
      </c>
      <c r="I106" s="71" t="s">
        <v>291</v>
      </c>
      <c r="J106" s="72" t="s">
        <v>292</v>
      </c>
      <c r="K106" s="72" t="s">
        <v>405</v>
      </c>
    </row>
    <row r="107" spans="4:11" ht="12" customHeight="1">
      <c r="G107" s="73">
        <v>56001</v>
      </c>
      <c r="H107" s="65" t="s">
        <v>406</v>
      </c>
      <c r="I107" s="71" t="s">
        <v>297</v>
      </c>
      <c r="J107" s="72" t="s">
        <v>298</v>
      </c>
      <c r="K107" s="72" t="s">
        <v>407</v>
      </c>
    </row>
    <row r="108" spans="4:11" ht="12" customHeight="1">
      <c r="G108" s="73">
        <v>58001</v>
      </c>
      <c r="H108" s="65" t="s">
        <v>408</v>
      </c>
      <c r="I108" s="71" t="s">
        <v>297</v>
      </c>
    </row>
    <row r="109" spans="4:11" ht="12" customHeight="1">
      <c r="D109" s="80"/>
      <c r="G109" s="73">
        <v>59801</v>
      </c>
      <c r="H109" s="65" t="s">
        <v>409</v>
      </c>
      <c r="I109" s="71" t="s">
        <v>297</v>
      </c>
    </row>
    <row r="110" spans="4:11" ht="12" customHeight="1">
      <c r="G110" s="73">
        <v>61001</v>
      </c>
      <c r="H110" s="65" t="s">
        <v>410</v>
      </c>
      <c r="I110" s="71" t="s">
        <v>305</v>
      </c>
      <c r="J110" s="72" t="s">
        <v>306</v>
      </c>
      <c r="K110" s="72" t="s">
        <v>411</v>
      </c>
    </row>
    <row r="111" spans="4:11" ht="12" customHeight="1">
      <c r="G111" s="73">
        <v>62801</v>
      </c>
      <c r="H111" s="65" t="s">
        <v>308</v>
      </c>
      <c r="I111" s="71" t="s">
        <v>309</v>
      </c>
      <c r="J111" s="72" t="s">
        <v>310</v>
      </c>
      <c r="K111" s="72" t="s">
        <v>412</v>
      </c>
    </row>
    <row r="112" spans="4:11" ht="12" customHeight="1">
      <c r="G112" s="73">
        <v>64801</v>
      </c>
      <c r="H112" s="65" t="s">
        <v>312</v>
      </c>
      <c r="I112" s="71" t="s">
        <v>313</v>
      </c>
      <c r="J112" s="72" t="s">
        <v>314</v>
      </c>
      <c r="K112" s="72" t="s">
        <v>413</v>
      </c>
    </row>
    <row r="113" spans="7:11" ht="12" customHeight="1">
      <c r="G113" s="73">
        <v>68001</v>
      </c>
      <c r="H113" s="65" t="s">
        <v>414</v>
      </c>
      <c r="I113" s="71" t="s">
        <v>317</v>
      </c>
      <c r="J113" s="72" t="s">
        <v>318</v>
      </c>
      <c r="K113" s="72" t="s">
        <v>415</v>
      </c>
    </row>
    <row r="114" spans="7:11" ht="12" customHeight="1">
      <c r="G114" s="73">
        <v>68002</v>
      </c>
      <c r="H114" s="65" t="s">
        <v>416</v>
      </c>
      <c r="I114" s="71" t="s">
        <v>317</v>
      </c>
    </row>
    <row r="115" spans="7:11" ht="12" customHeight="1">
      <c r="G115" s="73">
        <v>69801</v>
      </c>
      <c r="H115" s="65" t="s">
        <v>417</v>
      </c>
      <c r="I115" s="71" t="s">
        <v>321</v>
      </c>
      <c r="J115" s="72" t="s">
        <v>322</v>
      </c>
      <c r="K115" s="72" t="s">
        <v>418</v>
      </c>
    </row>
    <row r="116" spans="7:11" ht="12" customHeight="1">
      <c r="G116" s="73">
        <v>71801</v>
      </c>
      <c r="H116" s="65" t="s">
        <v>419</v>
      </c>
      <c r="I116" s="71" t="s">
        <v>321</v>
      </c>
    </row>
    <row r="117" spans="7:11" ht="12" customHeight="1">
      <c r="G117" s="73">
        <v>71802</v>
      </c>
      <c r="H117" s="65" t="s">
        <v>420</v>
      </c>
      <c r="I117" s="71" t="s">
        <v>321</v>
      </c>
    </row>
    <row r="118" spans="7:11" ht="12" customHeight="1">
      <c r="G118" s="73">
        <v>73801</v>
      </c>
      <c r="H118" s="65" t="s">
        <v>421</v>
      </c>
      <c r="I118" s="71" t="s">
        <v>321</v>
      </c>
    </row>
    <row r="119" spans="7:11" ht="12" customHeight="1">
      <c r="G119" s="73">
        <v>77001</v>
      </c>
      <c r="H119" s="65" t="s">
        <v>422</v>
      </c>
      <c r="I119" s="71" t="s">
        <v>321</v>
      </c>
    </row>
    <row r="120" spans="7:11" ht="12" customHeight="1">
      <c r="G120" s="73">
        <v>78801</v>
      </c>
      <c r="H120" s="65" t="s">
        <v>423</v>
      </c>
      <c r="I120" s="71" t="s">
        <v>321</v>
      </c>
    </row>
    <row r="121" spans="7:11" ht="12" customHeight="1">
      <c r="G121" s="73">
        <v>78802</v>
      </c>
      <c r="H121" s="65" t="s">
        <v>424</v>
      </c>
      <c r="I121" s="71" t="s">
        <v>321</v>
      </c>
    </row>
    <row r="122" spans="7:11" ht="12" customHeight="1">
      <c r="G122" s="73">
        <v>80001</v>
      </c>
      <c r="H122" s="65" t="s">
        <v>425</v>
      </c>
      <c r="I122" s="71" t="s">
        <v>321</v>
      </c>
    </row>
    <row r="123" spans="7:11" ht="12" customHeight="1">
      <c r="G123" s="73">
        <v>84001</v>
      </c>
      <c r="H123" s="65" t="s">
        <v>426</v>
      </c>
      <c r="I123" s="71" t="s">
        <v>337</v>
      </c>
      <c r="J123" s="72" t="s">
        <v>338</v>
      </c>
      <c r="K123" s="72" t="s">
        <v>427</v>
      </c>
    </row>
    <row r="124" spans="7:11" ht="12" customHeight="1">
      <c r="G124" s="73">
        <v>84002</v>
      </c>
      <c r="H124" s="65" t="s">
        <v>428</v>
      </c>
      <c r="I124" s="71" t="s">
        <v>337</v>
      </c>
    </row>
    <row r="125" spans="7:11" ht="12" customHeight="1">
      <c r="G125" s="73">
        <v>85911</v>
      </c>
      <c r="H125" s="65" t="s">
        <v>341</v>
      </c>
      <c r="I125" s="71" t="s">
        <v>342</v>
      </c>
      <c r="J125" s="72" t="s">
        <v>343</v>
      </c>
      <c r="K125" s="72" t="s">
        <v>429</v>
      </c>
    </row>
    <row r="126" spans="7:11" ht="12" customHeight="1">
      <c r="G126" s="73">
        <v>85921</v>
      </c>
      <c r="H126" s="65" t="s">
        <v>345</v>
      </c>
      <c r="I126" s="71" t="s">
        <v>342</v>
      </c>
    </row>
    <row r="127" spans="7:11" ht="12" customHeight="1">
      <c r="G127" s="73">
        <v>86911</v>
      </c>
      <c r="H127" s="65" t="s">
        <v>347</v>
      </c>
      <c r="I127" s="71" t="s">
        <v>348</v>
      </c>
      <c r="J127" s="72" t="s">
        <v>349</v>
      </c>
      <c r="K127" s="72" t="s">
        <v>430</v>
      </c>
    </row>
    <row r="128" spans="7:11" ht="12" customHeight="1">
      <c r="G128" s="73">
        <v>86921</v>
      </c>
      <c r="H128" s="65" t="s">
        <v>352</v>
      </c>
      <c r="I128" s="71" t="s">
        <v>348</v>
      </c>
    </row>
    <row r="129" spans="3:11" ht="12" customHeight="1">
      <c r="C129" s="63"/>
      <c r="G129" s="73">
        <v>90801</v>
      </c>
      <c r="H129" s="65" t="s">
        <v>431</v>
      </c>
      <c r="I129" s="71" t="s">
        <v>355</v>
      </c>
      <c r="J129" s="72" t="s">
        <v>356</v>
      </c>
      <c r="K129" s="72" t="s">
        <v>432</v>
      </c>
    </row>
    <row r="130" spans="3:11" ht="12" customHeight="1">
      <c r="G130" s="73">
        <v>94801</v>
      </c>
      <c r="H130" s="65" t="s">
        <v>433</v>
      </c>
      <c r="I130" s="71" t="s">
        <v>355</v>
      </c>
    </row>
    <row r="131" spans="3:11" ht="12" customHeight="1">
      <c r="G131" s="73">
        <v>94802</v>
      </c>
      <c r="H131" s="65" t="s">
        <v>434</v>
      </c>
      <c r="I131" s="71" t="s">
        <v>355</v>
      </c>
    </row>
    <row r="132" spans="3:11" ht="12" customHeight="1">
      <c r="G132" s="73">
        <v>94803</v>
      </c>
      <c r="H132" s="65" t="s">
        <v>435</v>
      </c>
      <c r="I132" s="71" t="s">
        <v>355</v>
      </c>
    </row>
    <row r="133" spans="3:11" ht="12" customHeight="1">
      <c r="G133" s="73">
        <v>97001</v>
      </c>
      <c r="H133" s="65" t="s">
        <v>361</v>
      </c>
      <c r="I133" s="71" t="s">
        <v>362</v>
      </c>
      <c r="J133" s="72" t="s">
        <v>363</v>
      </c>
      <c r="K133" s="72" t="s">
        <v>436</v>
      </c>
    </row>
    <row r="153" spans="2:19" s="72" customFormat="1" ht="12" customHeight="1">
      <c r="B153" s="62"/>
      <c r="C153" s="63"/>
      <c r="D153" s="71"/>
      <c r="F153" s="62"/>
      <c r="G153" s="64"/>
      <c r="H153" s="65"/>
      <c r="I153" s="71"/>
      <c r="L153" s="62"/>
      <c r="M153" s="62"/>
      <c r="N153" s="62"/>
      <c r="O153" s="62"/>
      <c r="P153" s="62"/>
      <c r="Q153" s="62"/>
      <c r="R153" s="62"/>
      <c r="S153" s="62"/>
    </row>
    <row r="154" spans="2:19" s="72" customFormat="1" ht="12" customHeight="1">
      <c r="B154" s="62"/>
      <c r="C154" s="63"/>
      <c r="D154" s="71"/>
      <c r="F154" s="62"/>
      <c r="G154" s="64"/>
      <c r="H154" s="65"/>
      <c r="I154" s="71"/>
      <c r="L154" s="62"/>
      <c r="M154" s="62"/>
      <c r="N154" s="62"/>
      <c r="O154" s="62"/>
      <c r="P154" s="62"/>
      <c r="Q154" s="62"/>
      <c r="R154" s="62"/>
      <c r="S154" s="62"/>
    </row>
    <row r="155" spans="2:19" s="72" customFormat="1" ht="12" customHeight="1">
      <c r="B155" s="62"/>
      <c r="C155" s="63"/>
      <c r="D155" s="71"/>
      <c r="F155" s="62"/>
      <c r="G155" s="64"/>
      <c r="H155" s="65"/>
      <c r="I155" s="71"/>
      <c r="L155" s="62"/>
      <c r="M155" s="62"/>
      <c r="N155" s="62"/>
      <c r="O155" s="62"/>
      <c r="P155" s="62"/>
      <c r="Q155" s="62"/>
      <c r="R155" s="62"/>
      <c r="S155" s="62"/>
    </row>
    <row r="156" spans="2:19" s="72" customFormat="1" ht="12" customHeight="1">
      <c r="B156" s="62"/>
      <c r="C156" s="63"/>
      <c r="D156" s="71"/>
      <c r="F156" s="62"/>
      <c r="G156" s="64"/>
      <c r="H156" s="65"/>
      <c r="I156" s="71"/>
      <c r="L156" s="62"/>
      <c r="M156" s="62"/>
      <c r="N156" s="62"/>
      <c r="O156" s="62"/>
      <c r="P156" s="62"/>
      <c r="Q156" s="62"/>
      <c r="R156" s="62"/>
      <c r="S156" s="62"/>
    </row>
    <row r="157" spans="2:19" s="72" customFormat="1" ht="12" customHeight="1">
      <c r="B157" s="62"/>
      <c r="C157" s="63"/>
      <c r="D157" s="71"/>
      <c r="F157" s="62"/>
      <c r="G157" s="64"/>
      <c r="H157" s="65"/>
      <c r="I157" s="71"/>
      <c r="L157" s="62"/>
      <c r="M157" s="62"/>
      <c r="N157" s="62"/>
      <c r="O157" s="62"/>
      <c r="P157" s="62"/>
      <c r="Q157" s="62"/>
      <c r="R157" s="62"/>
      <c r="S157" s="62"/>
    </row>
    <row r="158" spans="2:19" s="72" customFormat="1" ht="12" customHeight="1">
      <c r="B158" s="62"/>
      <c r="C158" s="63"/>
      <c r="D158" s="71"/>
      <c r="F158" s="62"/>
      <c r="G158" s="64"/>
      <c r="H158" s="65"/>
      <c r="I158" s="71"/>
      <c r="L158" s="62"/>
      <c r="M158" s="62"/>
      <c r="N158" s="62"/>
      <c r="O158" s="62"/>
      <c r="P158" s="62"/>
      <c r="Q158" s="62"/>
      <c r="R158" s="62"/>
      <c r="S158" s="62"/>
    </row>
    <row r="159" spans="2:19" s="72" customFormat="1" ht="12" customHeight="1">
      <c r="B159" s="62"/>
      <c r="C159" s="63"/>
      <c r="D159" s="71"/>
      <c r="F159" s="62"/>
      <c r="G159" s="64"/>
      <c r="H159" s="65"/>
      <c r="I159" s="71"/>
      <c r="L159" s="62"/>
      <c r="M159" s="62"/>
      <c r="N159" s="62"/>
      <c r="O159" s="62"/>
      <c r="P159" s="62"/>
      <c r="Q159" s="62"/>
      <c r="R159" s="62"/>
      <c r="S159" s="62"/>
    </row>
    <row r="160" spans="2:19" s="72" customFormat="1" ht="12" customHeight="1">
      <c r="B160" s="62"/>
      <c r="C160" s="63"/>
      <c r="D160" s="71"/>
      <c r="F160" s="62"/>
      <c r="G160" s="64"/>
      <c r="H160" s="65"/>
      <c r="I160" s="71"/>
      <c r="L160" s="62"/>
      <c r="M160" s="62"/>
      <c r="N160" s="62"/>
      <c r="O160" s="62"/>
      <c r="P160" s="62"/>
      <c r="Q160" s="62"/>
      <c r="R160" s="62"/>
      <c r="S160" s="62"/>
    </row>
    <row r="161" spans="2:19" s="72" customFormat="1" ht="12" customHeight="1">
      <c r="B161" s="62"/>
      <c r="C161" s="63"/>
      <c r="D161" s="71"/>
      <c r="F161" s="62"/>
      <c r="G161" s="64"/>
      <c r="H161" s="65"/>
      <c r="I161" s="71"/>
      <c r="L161" s="62"/>
      <c r="M161" s="62"/>
      <c r="N161" s="62"/>
      <c r="O161" s="62"/>
      <c r="P161" s="62"/>
      <c r="Q161" s="62"/>
      <c r="R161" s="62"/>
      <c r="S161" s="62"/>
    </row>
    <row r="162" spans="2:19" s="72" customFormat="1" ht="12" customHeight="1">
      <c r="B162" s="62"/>
      <c r="C162" s="63"/>
      <c r="D162" s="71"/>
      <c r="F162" s="62"/>
      <c r="G162" s="64"/>
      <c r="H162" s="65"/>
      <c r="I162" s="71"/>
      <c r="L162" s="62"/>
      <c r="M162" s="62"/>
      <c r="N162" s="62"/>
      <c r="O162" s="62"/>
      <c r="P162" s="62"/>
      <c r="Q162" s="62"/>
      <c r="R162" s="62"/>
      <c r="S162" s="62"/>
    </row>
    <row r="163" spans="2:19" s="72" customFormat="1" ht="12" customHeight="1">
      <c r="B163" s="62"/>
      <c r="C163" s="63"/>
      <c r="D163" s="71"/>
      <c r="F163" s="62"/>
      <c r="G163" s="64"/>
      <c r="H163" s="65"/>
      <c r="I163" s="71"/>
      <c r="L163" s="62"/>
      <c r="M163" s="62"/>
      <c r="N163" s="62"/>
      <c r="O163" s="62"/>
      <c r="P163" s="62"/>
      <c r="Q163" s="62"/>
      <c r="R163" s="62"/>
      <c r="S163" s="62"/>
    </row>
    <row r="164" spans="2:19" s="72" customFormat="1" ht="12" customHeight="1">
      <c r="B164" s="62"/>
      <c r="C164" s="63"/>
      <c r="D164" s="71"/>
      <c r="F164" s="62"/>
      <c r="G164" s="64"/>
      <c r="H164" s="65"/>
      <c r="I164" s="71"/>
      <c r="L164" s="62"/>
      <c r="M164" s="62"/>
      <c r="N164" s="62"/>
      <c r="O164" s="62"/>
      <c r="P164" s="62"/>
      <c r="Q164" s="62"/>
      <c r="R164" s="62"/>
      <c r="S164" s="62"/>
    </row>
    <row r="165" spans="2:19" s="72" customFormat="1" ht="12" customHeight="1">
      <c r="B165" s="62"/>
      <c r="C165" s="63"/>
      <c r="D165" s="71"/>
      <c r="F165" s="62"/>
      <c r="G165" s="64"/>
      <c r="H165" s="65"/>
      <c r="I165" s="71"/>
      <c r="L165" s="62"/>
      <c r="M165" s="62"/>
      <c r="N165" s="62"/>
      <c r="O165" s="62"/>
      <c r="P165" s="62"/>
      <c r="Q165" s="62"/>
      <c r="R165" s="62"/>
      <c r="S165" s="62"/>
    </row>
    <row r="166" spans="2:19" s="72" customFormat="1" ht="12" customHeight="1">
      <c r="B166" s="62"/>
      <c r="C166" s="63"/>
      <c r="D166" s="71"/>
      <c r="F166" s="62"/>
      <c r="G166" s="64"/>
      <c r="H166" s="65"/>
      <c r="I166" s="71"/>
      <c r="L166" s="62"/>
      <c r="M166" s="62"/>
      <c r="N166" s="62"/>
      <c r="O166" s="62"/>
      <c r="P166" s="62"/>
      <c r="Q166" s="62"/>
      <c r="R166" s="62"/>
      <c r="S166" s="62"/>
    </row>
    <row r="167" spans="2:19" s="72" customFormat="1" ht="12" customHeight="1">
      <c r="B167" s="62"/>
      <c r="C167" s="63"/>
      <c r="D167" s="71"/>
      <c r="F167" s="62"/>
      <c r="G167" s="64"/>
      <c r="H167" s="65"/>
      <c r="I167" s="71"/>
      <c r="L167" s="62"/>
      <c r="M167" s="62"/>
      <c r="N167" s="62"/>
      <c r="O167" s="62"/>
      <c r="P167" s="62"/>
      <c r="Q167" s="62"/>
      <c r="R167" s="62"/>
      <c r="S167" s="62"/>
    </row>
    <row r="168" spans="2:19" s="72" customFormat="1" ht="12" customHeight="1">
      <c r="B168" s="62"/>
      <c r="C168" s="63" t="s">
        <v>298</v>
      </c>
      <c r="D168" s="71"/>
      <c r="F168" s="62"/>
      <c r="G168" s="64"/>
      <c r="H168" s="65"/>
      <c r="I168" s="71"/>
      <c r="L168" s="62"/>
      <c r="M168" s="62"/>
      <c r="N168" s="62"/>
      <c r="O168" s="62"/>
      <c r="P168" s="62"/>
      <c r="Q168" s="62"/>
      <c r="R168" s="62"/>
      <c r="S168" s="62"/>
    </row>
    <row r="169" spans="2:19" s="72" customFormat="1" ht="12" customHeight="1">
      <c r="B169" s="62"/>
      <c r="C169" s="63"/>
      <c r="D169" s="71"/>
      <c r="F169" s="62"/>
      <c r="G169" s="64"/>
      <c r="H169" s="65"/>
      <c r="I169" s="71"/>
      <c r="L169" s="62"/>
      <c r="M169" s="62"/>
      <c r="N169" s="62"/>
      <c r="O169" s="62"/>
      <c r="P169" s="62"/>
      <c r="Q169" s="62"/>
      <c r="R169" s="62"/>
      <c r="S169" s="62"/>
    </row>
    <row r="170" spans="2:19" s="72" customFormat="1" ht="12" customHeight="1">
      <c r="B170" s="62"/>
      <c r="C170" s="63"/>
      <c r="D170" s="71"/>
      <c r="F170" s="62"/>
      <c r="G170" s="64"/>
      <c r="H170" s="65"/>
      <c r="I170" s="71"/>
      <c r="L170" s="62"/>
      <c r="M170" s="62"/>
      <c r="N170" s="62"/>
      <c r="O170" s="62"/>
      <c r="P170" s="62"/>
      <c r="Q170" s="62"/>
      <c r="R170" s="62"/>
      <c r="S170" s="62"/>
    </row>
    <row r="171" spans="2:19" s="72" customFormat="1" ht="12" customHeight="1">
      <c r="B171" s="62"/>
      <c r="C171" s="63"/>
      <c r="D171" s="71"/>
      <c r="F171" s="62"/>
      <c r="G171" s="64"/>
      <c r="H171" s="65"/>
      <c r="I171" s="71"/>
      <c r="L171" s="62"/>
      <c r="M171" s="62"/>
      <c r="N171" s="62"/>
      <c r="O171" s="62"/>
      <c r="P171" s="62"/>
      <c r="Q171" s="62"/>
      <c r="R171" s="62"/>
      <c r="S171" s="62"/>
    </row>
    <row r="172" spans="2:19" s="72" customFormat="1" ht="12" customHeight="1">
      <c r="B172" s="62"/>
      <c r="C172" s="63"/>
      <c r="D172" s="71"/>
      <c r="F172" s="62"/>
      <c r="G172" s="64"/>
      <c r="H172" s="65"/>
      <c r="I172" s="71"/>
      <c r="L172" s="62"/>
      <c r="M172" s="62"/>
      <c r="N172" s="62"/>
      <c r="O172" s="62"/>
      <c r="P172" s="62"/>
      <c r="Q172" s="62"/>
      <c r="R172" s="62"/>
      <c r="S172" s="62"/>
    </row>
    <row r="173" spans="2:19" s="72" customFormat="1" ht="12" customHeight="1">
      <c r="B173" s="62"/>
      <c r="C173" s="63"/>
      <c r="D173" s="71"/>
      <c r="F173" s="62"/>
      <c r="G173" s="64"/>
      <c r="H173" s="65"/>
      <c r="I173" s="71"/>
      <c r="L173" s="62"/>
      <c r="M173" s="62"/>
      <c r="N173" s="62"/>
      <c r="O173" s="62"/>
      <c r="P173" s="62"/>
      <c r="Q173" s="62"/>
      <c r="R173" s="62"/>
      <c r="S173" s="62"/>
    </row>
    <row r="174" spans="2:19" s="72" customFormat="1" ht="12" customHeight="1">
      <c r="B174" s="62"/>
      <c r="C174" s="63"/>
      <c r="D174" s="71"/>
      <c r="F174" s="62"/>
      <c r="G174" s="64"/>
      <c r="H174" s="65"/>
      <c r="I174" s="71"/>
      <c r="L174" s="62"/>
      <c r="M174" s="62"/>
      <c r="N174" s="62"/>
      <c r="O174" s="62"/>
      <c r="P174" s="62"/>
      <c r="Q174" s="62"/>
      <c r="R174" s="62"/>
      <c r="S174" s="62"/>
    </row>
    <row r="175" spans="2:19" s="72" customFormat="1" ht="12" customHeight="1">
      <c r="B175" s="62"/>
      <c r="C175" s="63"/>
      <c r="D175" s="71"/>
      <c r="F175" s="62"/>
      <c r="G175" s="64"/>
      <c r="H175" s="65"/>
      <c r="I175" s="71"/>
      <c r="L175" s="62"/>
      <c r="M175" s="62"/>
      <c r="N175" s="62"/>
      <c r="O175" s="62"/>
      <c r="P175" s="62"/>
      <c r="Q175" s="62"/>
      <c r="R175" s="62"/>
      <c r="S175" s="62"/>
    </row>
    <row r="176" spans="2:19" s="72" customFormat="1" ht="12" customHeight="1">
      <c r="B176" s="62"/>
      <c r="C176" s="63"/>
      <c r="D176" s="71"/>
      <c r="F176" s="62"/>
      <c r="G176" s="64"/>
      <c r="H176" s="65"/>
      <c r="I176" s="71"/>
      <c r="L176" s="62"/>
      <c r="M176" s="62"/>
      <c r="N176" s="62"/>
      <c r="O176" s="62"/>
      <c r="P176" s="62"/>
      <c r="Q176" s="62"/>
      <c r="R176" s="62"/>
      <c r="S176" s="62"/>
    </row>
    <row r="177" spans="2:19" s="72" customFormat="1" ht="12" customHeight="1">
      <c r="B177" s="62"/>
      <c r="C177" s="63"/>
      <c r="D177" s="71"/>
      <c r="F177" s="62"/>
      <c r="G177" s="64"/>
      <c r="H177" s="65"/>
      <c r="I177" s="71"/>
      <c r="L177" s="62"/>
      <c r="M177" s="62"/>
      <c r="N177" s="62"/>
      <c r="O177" s="62"/>
      <c r="P177" s="62"/>
      <c r="Q177" s="62"/>
      <c r="R177" s="62"/>
      <c r="S177" s="62"/>
    </row>
    <row r="178" spans="2:19" s="72" customFormat="1" ht="12" customHeight="1">
      <c r="B178" s="62"/>
      <c r="C178" s="63"/>
      <c r="D178" s="71"/>
      <c r="F178" s="62"/>
      <c r="G178" s="64"/>
      <c r="H178" s="65"/>
      <c r="I178" s="71"/>
      <c r="L178" s="62"/>
      <c r="M178" s="62"/>
      <c r="N178" s="62"/>
      <c r="O178" s="62"/>
      <c r="P178" s="62"/>
      <c r="Q178" s="62"/>
      <c r="R178" s="62"/>
      <c r="S178" s="62"/>
    </row>
    <row r="179" spans="2:19" s="72" customFormat="1" ht="12" customHeight="1">
      <c r="B179" s="62"/>
      <c r="C179" s="63"/>
      <c r="D179" s="71"/>
      <c r="F179" s="62"/>
      <c r="G179" s="64"/>
      <c r="H179" s="65"/>
      <c r="I179" s="71"/>
      <c r="L179" s="62"/>
      <c r="M179" s="62"/>
      <c r="N179" s="62"/>
      <c r="O179" s="62"/>
      <c r="P179" s="62"/>
      <c r="Q179" s="62"/>
      <c r="R179" s="62"/>
      <c r="S179" s="62"/>
    </row>
    <row r="180" spans="2:19" s="72" customFormat="1" ht="12" customHeight="1">
      <c r="B180" s="62"/>
      <c r="C180" s="63"/>
      <c r="D180" s="71"/>
      <c r="F180" s="62"/>
      <c r="G180" s="64"/>
      <c r="H180" s="65"/>
      <c r="I180" s="71"/>
      <c r="L180" s="62"/>
      <c r="M180" s="62"/>
      <c r="N180" s="62"/>
      <c r="O180" s="62"/>
      <c r="P180" s="62"/>
      <c r="Q180" s="62"/>
      <c r="R180" s="62"/>
      <c r="S180" s="62"/>
    </row>
    <row r="181" spans="2:19" s="72" customFormat="1" ht="12" customHeight="1">
      <c r="B181" s="62"/>
      <c r="C181" s="63"/>
      <c r="D181" s="71"/>
      <c r="F181" s="62"/>
      <c r="G181" s="64"/>
      <c r="H181" s="65"/>
      <c r="I181" s="71"/>
      <c r="L181" s="62"/>
      <c r="M181" s="62"/>
      <c r="N181" s="62"/>
      <c r="O181" s="62"/>
      <c r="P181" s="62"/>
      <c r="Q181" s="62"/>
      <c r="R181" s="62"/>
      <c r="S181" s="62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37"/>
  <sheetViews>
    <sheetView showGridLines="0" topLeftCell="BQ1" workbookViewId="0">
      <selection activeCell="E22" sqref="A22:XFD23"/>
    </sheetView>
  </sheetViews>
  <sheetFormatPr baseColWidth="10" defaultColWidth="11.5703125" defaultRowHeight="12.75"/>
  <cols>
    <col min="1" max="3" width="7.28515625" style="30" customWidth="1"/>
    <col min="4" max="4" width="30.7109375" style="30" customWidth="1"/>
    <col min="5" max="73" width="12.7109375" style="30" customWidth="1"/>
    <col min="74" max="81" width="10.7109375" style="30" customWidth="1"/>
    <col min="82" max="258" width="11.5703125" style="30"/>
    <col min="259" max="259" width="7.28515625" style="30" customWidth="1"/>
    <col min="260" max="260" width="30.7109375" style="30" customWidth="1"/>
    <col min="261" max="329" width="12.7109375" style="30" customWidth="1"/>
    <col min="330" max="514" width="11.5703125" style="30"/>
    <col min="515" max="515" width="7.28515625" style="30" customWidth="1"/>
    <col min="516" max="516" width="30.7109375" style="30" customWidth="1"/>
    <col min="517" max="585" width="12.7109375" style="30" customWidth="1"/>
    <col min="586" max="770" width="11.5703125" style="30"/>
    <col min="771" max="771" width="7.28515625" style="30" customWidth="1"/>
    <col min="772" max="772" width="30.7109375" style="30" customWidth="1"/>
    <col min="773" max="841" width="12.7109375" style="30" customWidth="1"/>
    <col min="842" max="1026" width="11.5703125" style="30"/>
    <col min="1027" max="1027" width="7.28515625" style="30" customWidth="1"/>
    <col min="1028" max="1028" width="30.7109375" style="30" customWidth="1"/>
    <col min="1029" max="1097" width="12.7109375" style="30" customWidth="1"/>
    <col min="1098" max="1282" width="11.5703125" style="30"/>
    <col min="1283" max="1283" width="7.28515625" style="30" customWidth="1"/>
    <col min="1284" max="1284" width="30.7109375" style="30" customWidth="1"/>
    <col min="1285" max="1353" width="12.7109375" style="30" customWidth="1"/>
    <col min="1354" max="1538" width="11.5703125" style="30"/>
    <col min="1539" max="1539" width="7.28515625" style="30" customWidth="1"/>
    <col min="1540" max="1540" width="30.7109375" style="30" customWidth="1"/>
    <col min="1541" max="1609" width="12.7109375" style="30" customWidth="1"/>
    <col min="1610" max="1794" width="11.5703125" style="30"/>
    <col min="1795" max="1795" width="7.28515625" style="30" customWidth="1"/>
    <col min="1796" max="1796" width="30.7109375" style="30" customWidth="1"/>
    <col min="1797" max="1865" width="12.7109375" style="30" customWidth="1"/>
    <col min="1866" max="2050" width="11.5703125" style="30"/>
    <col min="2051" max="2051" width="7.28515625" style="30" customWidth="1"/>
    <col min="2052" max="2052" width="30.7109375" style="30" customWidth="1"/>
    <col min="2053" max="2121" width="12.7109375" style="30" customWidth="1"/>
    <col min="2122" max="2306" width="11.5703125" style="30"/>
    <col min="2307" max="2307" width="7.28515625" style="30" customWidth="1"/>
    <col min="2308" max="2308" width="30.7109375" style="30" customWidth="1"/>
    <col min="2309" max="2377" width="12.7109375" style="30" customWidth="1"/>
    <col min="2378" max="2562" width="11.5703125" style="30"/>
    <col min="2563" max="2563" width="7.28515625" style="30" customWidth="1"/>
    <col min="2564" max="2564" width="30.7109375" style="30" customWidth="1"/>
    <col min="2565" max="2633" width="12.7109375" style="30" customWidth="1"/>
    <col min="2634" max="2818" width="11.5703125" style="30"/>
    <col min="2819" max="2819" width="7.28515625" style="30" customWidth="1"/>
    <col min="2820" max="2820" width="30.7109375" style="30" customWidth="1"/>
    <col min="2821" max="2889" width="12.7109375" style="30" customWidth="1"/>
    <col min="2890" max="3074" width="11.5703125" style="30"/>
    <col min="3075" max="3075" width="7.28515625" style="30" customWidth="1"/>
    <col min="3076" max="3076" width="30.7109375" style="30" customWidth="1"/>
    <col min="3077" max="3145" width="12.7109375" style="30" customWidth="1"/>
    <col min="3146" max="3330" width="11.5703125" style="30"/>
    <col min="3331" max="3331" width="7.28515625" style="30" customWidth="1"/>
    <col min="3332" max="3332" width="30.7109375" style="30" customWidth="1"/>
    <col min="3333" max="3401" width="12.7109375" style="30" customWidth="1"/>
    <col min="3402" max="3586" width="11.5703125" style="30"/>
    <col min="3587" max="3587" width="7.28515625" style="30" customWidth="1"/>
    <col min="3588" max="3588" width="30.7109375" style="30" customWidth="1"/>
    <col min="3589" max="3657" width="12.7109375" style="30" customWidth="1"/>
    <col min="3658" max="3842" width="11.5703125" style="30"/>
    <col min="3843" max="3843" width="7.28515625" style="30" customWidth="1"/>
    <col min="3844" max="3844" width="30.7109375" style="30" customWidth="1"/>
    <col min="3845" max="3913" width="12.7109375" style="30" customWidth="1"/>
    <col min="3914" max="4098" width="11.5703125" style="30"/>
    <col min="4099" max="4099" width="7.28515625" style="30" customWidth="1"/>
    <col min="4100" max="4100" width="30.7109375" style="30" customWidth="1"/>
    <col min="4101" max="4169" width="12.7109375" style="30" customWidth="1"/>
    <col min="4170" max="4354" width="11.5703125" style="30"/>
    <col min="4355" max="4355" width="7.28515625" style="30" customWidth="1"/>
    <col min="4356" max="4356" width="30.7109375" style="30" customWidth="1"/>
    <col min="4357" max="4425" width="12.7109375" style="30" customWidth="1"/>
    <col min="4426" max="4610" width="11.5703125" style="30"/>
    <col min="4611" max="4611" width="7.28515625" style="30" customWidth="1"/>
    <col min="4612" max="4612" width="30.7109375" style="30" customWidth="1"/>
    <col min="4613" max="4681" width="12.7109375" style="30" customWidth="1"/>
    <col min="4682" max="4866" width="11.5703125" style="30"/>
    <col min="4867" max="4867" width="7.28515625" style="30" customWidth="1"/>
    <col min="4868" max="4868" width="30.7109375" style="30" customWidth="1"/>
    <col min="4869" max="4937" width="12.7109375" style="30" customWidth="1"/>
    <col min="4938" max="5122" width="11.5703125" style="30"/>
    <col min="5123" max="5123" width="7.28515625" style="30" customWidth="1"/>
    <col min="5124" max="5124" width="30.7109375" style="30" customWidth="1"/>
    <col min="5125" max="5193" width="12.7109375" style="30" customWidth="1"/>
    <col min="5194" max="5378" width="11.5703125" style="30"/>
    <col min="5379" max="5379" width="7.28515625" style="30" customWidth="1"/>
    <col min="5380" max="5380" width="30.7109375" style="30" customWidth="1"/>
    <col min="5381" max="5449" width="12.7109375" style="30" customWidth="1"/>
    <col min="5450" max="5634" width="11.5703125" style="30"/>
    <col min="5635" max="5635" width="7.28515625" style="30" customWidth="1"/>
    <col min="5636" max="5636" width="30.7109375" style="30" customWidth="1"/>
    <col min="5637" max="5705" width="12.7109375" style="30" customWidth="1"/>
    <col min="5706" max="5890" width="11.5703125" style="30"/>
    <col min="5891" max="5891" width="7.28515625" style="30" customWidth="1"/>
    <col min="5892" max="5892" width="30.7109375" style="30" customWidth="1"/>
    <col min="5893" max="5961" width="12.7109375" style="30" customWidth="1"/>
    <col min="5962" max="6146" width="11.5703125" style="30"/>
    <col min="6147" max="6147" width="7.28515625" style="30" customWidth="1"/>
    <col min="6148" max="6148" width="30.7109375" style="30" customWidth="1"/>
    <col min="6149" max="6217" width="12.7109375" style="30" customWidth="1"/>
    <col min="6218" max="6402" width="11.5703125" style="30"/>
    <col min="6403" max="6403" width="7.28515625" style="30" customWidth="1"/>
    <col min="6404" max="6404" width="30.7109375" style="30" customWidth="1"/>
    <col min="6405" max="6473" width="12.7109375" style="30" customWidth="1"/>
    <col min="6474" max="6658" width="11.5703125" style="30"/>
    <col min="6659" max="6659" width="7.28515625" style="30" customWidth="1"/>
    <col min="6660" max="6660" width="30.7109375" style="30" customWidth="1"/>
    <col min="6661" max="6729" width="12.7109375" style="30" customWidth="1"/>
    <col min="6730" max="6914" width="11.5703125" style="30"/>
    <col min="6915" max="6915" width="7.28515625" style="30" customWidth="1"/>
    <col min="6916" max="6916" width="30.7109375" style="30" customWidth="1"/>
    <col min="6917" max="6985" width="12.7109375" style="30" customWidth="1"/>
    <col min="6986" max="7170" width="11.5703125" style="30"/>
    <col min="7171" max="7171" width="7.28515625" style="30" customWidth="1"/>
    <col min="7172" max="7172" width="30.7109375" style="30" customWidth="1"/>
    <col min="7173" max="7241" width="12.7109375" style="30" customWidth="1"/>
    <col min="7242" max="7426" width="11.5703125" style="30"/>
    <col min="7427" max="7427" width="7.28515625" style="30" customWidth="1"/>
    <col min="7428" max="7428" width="30.7109375" style="30" customWidth="1"/>
    <col min="7429" max="7497" width="12.7109375" style="30" customWidth="1"/>
    <col min="7498" max="7682" width="11.5703125" style="30"/>
    <col min="7683" max="7683" width="7.28515625" style="30" customWidth="1"/>
    <col min="7684" max="7684" width="30.7109375" style="30" customWidth="1"/>
    <col min="7685" max="7753" width="12.7109375" style="30" customWidth="1"/>
    <col min="7754" max="7938" width="11.5703125" style="30"/>
    <col min="7939" max="7939" width="7.28515625" style="30" customWidth="1"/>
    <col min="7940" max="7940" width="30.7109375" style="30" customWidth="1"/>
    <col min="7941" max="8009" width="12.7109375" style="30" customWidth="1"/>
    <col min="8010" max="8194" width="11.5703125" style="30"/>
    <col min="8195" max="8195" width="7.28515625" style="30" customWidth="1"/>
    <col min="8196" max="8196" width="30.7109375" style="30" customWidth="1"/>
    <col min="8197" max="8265" width="12.7109375" style="30" customWidth="1"/>
    <col min="8266" max="8450" width="11.5703125" style="30"/>
    <col min="8451" max="8451" width="7.28515625" style="30" customWidth="1"/>
    <col min="8452" max="8452" width="30.7109375" style="30" customWidth="1"/>
    <col min="8453" max="8521" width="12.7109375" style="30" customWidth="1"/>
    <col min="8522" max="8706" width="11.5703125" style="30"/>
    <col min="8707" max="8707" width="7.28515625" style="30" customWidth="1"/>
    <col min="8708" max="8708" width="30.7109375" style="30" customWidth="1"/>
    <col min="8709" max="8777" width="12.7109375" style="30" customWidth="1"/>
    <col min="8778" max="8962" width="11.5703125" style="30"/>
    <col min="8963" max="8963" width="7.28515625" style="30" customWidth="1"/>
    <col min="8964" max="8964" width="30.7109375" style="30" customWidth="1"/>
    <col min="8965" max="9033" width="12.7109375" style="30" customWidth="1"/>
    <col min="9034" max="9218" width="11.5703125" style="30"/>
    <col min="9219" max="9219" width="7.28515625" style="30" customWidth="1"/>
    <col min="9220" max="9220" width="30.7109375" style="30" customWidth="1"/>
    <col min="9221" max="9289" width="12.7109375" style="30" customWidth="1"/>
    <col min="9290" max="9474" width="11.5703125" style="30"/>
    <col min="9475" max="9475" width="7.28515625" style="30" customWidth="1"/>
    <col min="9476" max="9476" width="30.7109375" style="30" customWidth="1"/>
    <col min="9477" max="9545" width="12.7109375" style="30" customWidth="1"/>
    <col min="9546" max="9730" width="11.5703125" style="30"/>
    <col min="9731" max="9731" width="7.28515625" style="30" customWidth="1"/>
    <col min="9732" max="9732" width="30.7109375" style="30" customWidth="1"/>
    <col min="9733" max="9801" width="12.7109375" style="30" customWidth="1"/>
    <col min="9802" max="9986" width="11.5703125" style="30"/>
    <col min="9987" max="9987" width="7.28515625" style="30" customWidth="1"/>
    <col min="9988" max="9988" width="30.7109375" style="30" customWidth="1"/>
    <col min="9989" max="10057" width="12.7109375" style="30" customWidth="1"/>
    <col min="10058" max="10242" width="11.5703125" style="30"/>
    <col min="10243" max="10243" width="7.28515625" style="30" customWidth="1"/>
    <col min="10244" max="10244" width="30.7109375" style="30" customWidth="1"/>
    <col min="10245" max="10313" width="12.7109375" style="30" customWidth="1"/>
    <col min="10314" max="10498" width="11.5703125" style="30"/>
    <col min="10499" max="10499" width="7.28515625" style="30" customWidth="1"/>
    <col min="10500" max="10500" width="30.7109375" style="30" customWidth="1"/>
    <col min="10501" max="10569" width="12.7109375" style="30" customWidth="1"/>
    <col min="10570" max="10754" width="11.5703125" style="30"/>
    <col min="10755" max="10755" width="7.28515625" style="30" customWidth="1"/>
    <col min="10756" max="10756" width="30.7109375" style="30" customWidth="1"/>
    <col min="10757" max="10825" width="12.7109375" style="30" customWidth="1"/>
    <col min="10826" max="11010" width="11.5703125" style="30"/>
    <col min="11011" max="11011" width="7.28515625" style="30" customWidth="1"/>
    <col min="11012" max="11012" width="30.7109375" style="30" customWidth="1"/>
    <col min="11013" max="11081" width="12.7109375" style="30" customWidth="1"/>
    <col min="11082" max="11266" width="11.5703125" style="30"/>
    <col min="11267" max="11267" width="7.28515625" style="30" customWidth="1"/>
    <col min="11268" max="11268" width="30.7109375" style="30" customWidth="1"/>
    <col min="11269" max="11337" width="12.7109375" style="30" customWidth="1"/>
    <col min="11338" max="11522" width="11.5703125" style="30"/>
    <col min="11523" max="11523" width="7.28515625" style="30" customWidth="1"/>
    <col min="11524" max="11524" width="30.7109375" style="30" customWidth="1"/>
    <col min="11525" max="11593" width="12.7109375" style="30" customWidth="1"/>
    <col min="11594" max="11778" width="11.5703125" style="30"/>
    <col min="11779" max="11779" width="7.28515625" style="30" customWidth="1"/>
    <col min="11780" max="11780" width="30.7109375" style="30" customWidth="1"/>
    <col min="11781" max="11849" width="12.7109375" style="30" customWidth="1"/>
    <col min="11850" max="12034" width="11.5703125" style="30"/>
    <col min="12035" max="12035" width="7.28515625" style="30" customWidth="1"/>
    <col min="12036" max="12036" width="30.7109375" style="30" customWidth="1"/>
    <col min="12037" max="12105" width="12.7109375" style="30" customWidth="1"/>
    <col min="12106" max="12290" width="11.5703125" style="30"/>
    <col min="12291" max="12291" width="7.28515625" style="30" customWidth="1"/>
    <col min="12292" max="12292" width="30.7109375" style="30" customWidth="1"/>
    <col min="12293" max="12361" width="12.7109375" style="30" customWidth="1"/>
    <col min="12362" max="12546" width="11.5703125" style="30"/>
    <col min="12547" max="12547" width="7.28515625" style="30" customWidth="1"/>
    <col min="12548" max="12548" width="30.7109375" style="30" customWidth="1"/>
    <col min="12549" max="12617" width="12.7109375" style="30" customWidth="1"/>
    <col min="12618" max="12802" width="11.5703125" style="30"/>
    <col min="12803" max="12803" width="7.28515625" style="30" customWidth="1"/>
    <col min="12804" max="12804" width="30.7109375" style="30" customWidth="1"/>
    <col min="12805" max="12873" width="12.7109375" style="30" customWidth="1"/>
    <col min="12874" max="13058" width="11.5703125" style="30"/>
    <col min="13059" max="13059" width="7.28515625" style="30" customWidth="1"/>
    <col min="13060" max="13060" width="30.7109375" style="30" customWidth="1"/>
    <col min="13061" max="13129" width="12.7109375" style="30" customWidth="1"/>
    <col min="13130" max="13314" width="11.5703125" style="30"/>
    <col min="13315" max="13315" width="7.28515625" style="30" customWidth="1"/>
    <col min="13316" max="13316" width="30.7109375" style="30" customWidth="1"/>
    <col min="13317" max="13385" width="12.7109375" style="30" customWidth="1"/>
    <col min="13386" max="13570" width="11.5703125" style="30"/>
    <col min="13571" max="13571" width="7.28515625" style="30" customWidth="1"/>
    <col min="13572" max="13572" width="30.7109375" style="30" customWidth="1"/>
    <col min="13573" max="13641" width="12.7109375" style="30" customWidth="1"/>
    <col min="13642" max="13826" width="11.5703125" style="30"/>
    <col min="13827" max="13827" width="7.28515625" style="30" customWidth="1"/>
    <col min="13828" max="13828" width="30.7109375" style="30" customWidth="1"/>
    <col min="13829" max="13897" width="12.7109375" style="30" customWidth="1"/>
    <col min="13898" max="14082" width="11.5703125" style="30"/>
    <col min="14083" max="14083" width="7.28515625" style="30" customWidth="1"/>
    <col min="14084" max="14084" width="30.7109375" style="30" customWidth="1"/>
    <col min="14085" max="14153" width="12.7109375" style="30" customWidth="1"/>
    <col min="14154" max="14338" width="11.5703125" style="30"/>
    <col min="14339" max="14339" width="7.28515625" style="30" customWidth="1"/>
    <col min="14340" max="14340" width="30.7109375" style="30" customWidth="1"/>
    <col min="14341" max="14409" width="12.7109375" style="30" customWidth="1"/>
    <col min="14410" max="14594" width="11.5703125" style="30"/>
    <col min="14595" max="14595" width="7.28515625" style="30" customWidth="1"/>
    <col min="14596" max="14596" width="30.7109375" style="30" customWidth="1"/>
    <col min="14597" max="14665" width="12.7109375" style="30" customWidth="1"/>
    <col min="14666" max="14850" width="11.5703125" style="30"/>
    <col min="14851" max="14851" width="7.28515625" style="30" customWidth="1"/>
    <col min="14852" max="14852" width="30.7109375" style="30" customWidth="1"/>
    <col min="14853" max="14921" width="12.7109375" style="30" customWidth="1"/>
    <col min="14922" max="15106" width="11.5703125" style="30"/>
    <col min="15107" max="15107" width="7.28515625" style="30" customWidth="1"/>
    <col min="15108" max="15108" width="30.7109375" style="30" customWidth="1"/>
    <col min="15109" max="15177" width="12.7109375" style="30" customWidth="1"/>
    <col min="15178" max="15362" width="11.5703125" style="30"/>
    <col min="15363" max="15363" width="7.28515625" style="30" customWidth="1"/>
    <col min="15364" max="15364" width="30.7109375" style="30" customWidth="1"/>
    <col min="15365" max="15433" width="12.7109375" style="30" customWidth="1"/>
    <col min="15434" max="15618" width="11.5703125" style="30"/>
    <col min="15619" max="15619" width="7.28515625" style="30" customWidth="1"/>
    <col min="15620" max="15620" width="30.7109375" style="30" customWidth="1"/>
    <col min="15621" max="15689" width="12.7109375" style="30" customWidth="1"/>
    <col min="15690" max="15874" width="11.5703125" style="30"/>
    <col min="15875" max="15875" width="7.28515625" style="30" customWidth="1"/>
    <col min="15876" max="15876" width="30.7109375" style="30" customWidth="1"/>
    <col min="15877" max="15945" width="12.7109375" style="30" customWidth="1"/>
    <col min="15946" max="16130" width="11.5703125" style="30"/>
    <col min="16131" max="16131" width="7.28515625" style="30" customWidth="1"/>
    <col min="16132" max="16132" width="30.7109375" style="30" customWidth="1"/>
    <col min="16133" max="16201" width="12.7109375" style="30" customWidth="1"/>
    <col min="16202" max="16384" width="11.5703125" style="30"/>
  </cols>
  <sheetData>
    <row r="1" spans="1:81" s="28" customFormat="1" ht="10.15" customHeight="1">
      <c r="A1" s="27" t="s">
        <v>437</v>
      </c>
      <c r="B1" s="27"/>
      <c r="C1" s="27"/>
      <c r="D1" s="27"/>
      <c r="E1" s="27"/>
      <c r="F1" s="27"/>
      <c r="G1" s="27"/>
      <c r="H1" s="27"/>
      <c r="I1" s="27"/>
      <c r="BC1" s="27"/>
      <c r="BD1" s="27"/>
      <c r="BE1" s="27"/>
      <c r="BF1" s="27"/>
      <c r="BV1" s="27"/>
      <c r="BW1" s="27"/>
      <c r="BX1" s="27"/>
      <c r="BY1" s="27"/>
      <c r="BZ1" s="27"/>
      <c r="CA1" s="27"/>
      <c r="CB1" s="29"/>
      <c r="CC1" s="29"/>
    </row>
    <row r="2" spans="1:81" ht="12" customHeight="1"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V2" s="32"/>
      <c r="BW2" s="32"/>
      <c r="BX2" s="32"/>
      <c r="BY2" s="32"/>
      <c r="BZ2" s="32"/>
      <c r="CA2" s="32"/>
      <c r="CC2" s="33"/>
    </row>
    <row r="3" spans="1:81" ht="12" customHeight="1">
      <c r="A3" s="95" t="s">
        <v>438</v>
      </c>
      <c r="B3" s="34"/>
      <c r="C3" s="34"/>
      <c r="D3" s="97" t="s">
        <v>118</v>
      </c>
      <c r="E3" s="35" t="s">
        <v>439</v>
      </c>
      <c r="F3" s="35"/>
      <c r="G3" s="35"/>
      <c r="H3" s="36"/>
      <c r="I3" s="36"/>
      <c r="J3" s="36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5"/>
      <c r="BD3" s="35"/>
      <c r="BE3" s="36"/>
      <c r="BF3" s="36"/>
      <c r="BG3" s="36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8"/>
      <c r="BX3" s="38"/>
      <c r="BY3" s="38"/>
      <c r="BZ3" s="37"/>
      <c r="CA3" s="37"/>
      <c r="CB3" s="37"/>
      <c r="CC3" s="39"/>
    </row>
    <row r="4" spans="1:81" ht="49.5" customHeight="1">
      <c r="A4" s="96"/>
      <c r="B4" s="40"/>
      <c r="C4" s="40"/>
      <c r="D4" s="98"/>
      <c r="E4" s="41" t="s">
        <v>440</v>
      </c>
      <c r="F4" s="41" t="s">
        <v>441</v>
      </c>
      <c r="G4" s="41" t="s">
        <v>442</v>
      </c>
      <c r="H4" s="34" t="s">
        <v>443</v>
      </c>
      <c r="I4" s="41" t="s">
        <v>444</v>
      </c>
      <c r="J4" s="41" t="s">
        <v>445</v>
      </c>
      <c r="K4" s="41" t="s">
        <v>446</v>
      </c>
      <c r="L4" s="41" t="s">
        <v>447</v>
      </c>
      <c r="M4" s="41" t="s">
        <v>448</v>
      </c>
      <c r="N4" s="41" t="s">
        <v>449</v>
      </c>
      <c r="O4" s="41" t="s">
        <v>450</v>
      </c>
      <c r="P4" s="41" t="s">
        <v>451</v>
      </c>
      <c r="Q4" s="41" t="s">
        <v>452</v>
      </c>
      <c r="R4" s="41" t="s">
        <v>453</v>
      </c>
      <c r="S4" s="41" t="s">
        <v>454</v>
      </c>
      <c r="T4" s="41" t="s">
        <v>455</v>
      </c>
      <c r="U4" s="41" t="s">
        <v>456</v>
      </c>
      <c r="V4" s="41" t="s">
        <v>457</v>
      </c>
      <c r="W4" s="41" t="s">
        <v>458</v>
      </c>
      <c r="X4" s="41" t="s">
        <v>459</v>
      </c>
      <c r="Y4" s="41" t="s">
        <v>460</v>
      </c>
      <c r="Z4" s="41" t="s">
        <v>461</v>
      </c>
      <c r="AA4" s="41" t="s">
        <v>462</v>
      </c>
      <c r="AB4" s="41" t="s">
        <v>463</v>
      </c>
      <c r="AC4" s="41" t="s">
        <v>464</v>
      </c>
      <c r="AD4" s="41" t="s">
        <v>465</v>
      </c>
      <c r="AE4" s="41" t="s">
        <v>466</v>
      </c>
      <c r="AF4" s="41" t="s">
        <v>467</v>
      </c>
      <c r="AG4" s="41" t="s">
        <v>468</v>
      </c>
      <c r="AH4" s="41" t="s">
        <v>469</v>
      </c>
      <c r="AI4" s="41" t="s">
        <v>470</v>
      </c>
      <c r="AJ4" s="41" t="s">
        <v>471</v>
      </c>
      <c r="AK4" s="41" t="s">
        <v>472</v>
      </c>
      <c r="AL4" s="41" t="s">
        <v>473</v>
      </c>
      <c r="AM4" s="41" t="s">
        <v>474</v>
      </c>
      <c r="AN4" s="41" t="s">
        <v>475</v>
      </c>
      <c r="AO4" s="41" t="s">
        <v>476</v>
      </c>
      <c r="AP4" s="41" t="s">
        <v>477</v>
      </c>
      <c r="AQ4" s="41" t="s">
        <v>478</v>
      </c>
      <c r="AR4" s="41" t="s">
        <v>479</v>
      </c>
      <c r="AS4" s="41" t="s">
        <v>480</v>
      </c>
      <c r="AT4" s="41" t="s">
        <v>481</v>
      </c>
      <c r="AU4" s="41" t="s">
        <v>482</v>
      </c>
      <c r="AV4" s="41" t="s">
        <v>483</v>
      </c>
      <c r="AW4" s="41" t="s">
        <v>484</v>
      </c>
      <c r="AX4" s="41" t="s">
        <v>485</v>
      </c>
      <c r="AY4" s="41" t="s">
        <v>486</v>
      </c>
      <c r="AZ4" s="41" t="s">
        <v>487</v>
      </c>
      <c r="BA4" s="41" t="s">
        <v>488</v>
      </c>
      <c r="BB4" s="41" t="s">
        <v>489</v>
      </c>
      <c r="BC4" s="41" t="s">
        <v>490</v>
      </c>
      <c r="BD4" s="41" t="s">
        <v>491</v>
      </c>
      <c r="BE4" s="34" t="s">
        <v>492</v>
      </c>
      <c r="BF4" s="41" t="s">
        <v>493</v>
      </c>
      <c r="BG4" s="41" t="s">
        <v>494</v>
      </c>
      <c r="BH4" s="41" t="s">
        <v>495</v>
      </c>
      <c r="BI4" s="41" t="s">
        <v>496</v>
      </c>
      <c r="BJ4" s="41" t="s">
        <v>497</v>
      </c>
      <c r="BK4" s="41" t="s">
        <v>498</v>
      </c>
      <c r="BL4" s="41" t="s">
        <v>499</v>
      </c>
      <c r="BM4" s="41" t="s">
        <v>500</v>
      </c>
      <c r="BN4" s="41" t="s">
        <v>501</v>
      </c>
      <c r="BO4" s="41" t="s">
        <v>502</v>
      </c>
      <c r="BP4" s="41" t="s">
        <v>503</v>
      </c>
      <c r="BQ4" s="41" t="s">
        <v>504</v>
      </c>
      <c r="BR4" s="41" t="s">
        <v>505</v>
      </c>
      <c r="BS4" s="41" t="s">
        <v>506</v>
      </c>
      <c r="BT4" s="41" t="s">
        <v>507</v>
      </c>
      <c r="BU4" s="42" t="s">
        <v>508</v>
      </c>
      <c r="BV4" s="41" t="s">
        <v>509</v>
      </c>
      <c r="BW4" s="41" t="s">
        <v>510</v>
      </c>
      <c r="BX4" s="41" t="s">
        <v>511</v>
      </c>
      <c r="BY4" s="41" t="s">
        <v>512</v>
      </c>
      <c r="BZ4" s="41" t="s">
        <v>513</v>
      </c>
      <c r="CA4" s="41" t="s">
        <v>514</v>
      </c>
      <c r="CB4" s="41" t="s">
        <v>515</v>
      </c>
      <c r="CC4" s="41" t="s">
        <v>516</v>
      </c>
    </row>
    <row r="5" spans="1:81" ht="12" customHeight="1">
      <c r="A5" s="43"/>
      <c r="B5" s="43"/>
      <c r="C5" s="43"/>
      <c r="D5" s="43"/>
      <c r="E5" s="41">
        <f>VALUE(LEFT(E4,4))</f>
        <v>191</v>
      </c>
      <c r="F5" s="41">
        <f t="shared" ref="F5:BQ5" si="0">VALUE(LEFT(F4,4))</f>
        <v>192</v>
      </c>
      <c r="G5" s="41">
        <f t="shared" si="0"/>
        <v>280</v>
      </c>
      <c r="H5" s="41">
        <f t="shared" si="0"/>
        <v>580</v>
      </c>
      <c r="I5" s="41">
        <f t="shared" si="0"/>
        <v>680</v>
      </c>
      <c r="J5" s="41">
        <f t="shared" si="0"/>
        <v>791</v>
      </c>
      <c r="K5" s="41">
        <f t="shared" si="0"/>
        <v>792</v>
      </c>
      <c r="L5" s="41">
        <f t="shared" si="0"/>
        <v>1091</v>
      </c>
      <c r="M5" s="41">
        <f t="shared" si="0"/>
        <v>1092</v>
      </c>
      <c r="N5" s="41">
        <f t="shared" si="0"/>
        <v>1093</v>
      </c>
      <c r="O5" s="41">
        <f t="shared" si="0"/>
        <v>1100</v>
      </c>
      <c r="P5" s="41">
        <f t="shared" si="0"/>
        <v>1200</v>
      </c>
      <c r="Q5" s="41">
        <f t="shared" si="0"/>
        <v>1300</v>
      </c>
      <c r="R5" s="41">
        <f t="shared" si="0"/>
        <v>1400</v>
      </c>
      <c r="S5" s="41">
        <f t="shared" si="0"/>
        <v>1500</v>
      </c>
      <c r="T5" s="41">
        <f t="shared" si="0"/>
        <v>1600</v>
      </c>
      <c r="U5" s="41">
        <f t="shared" si="0"/>
        <v>1700</v>
      </c>
      <c r="V5" s="41">
        <f t="shared" si="0"/>
        <v>1800</v>
      </c>
      <c r="W5" s="41">
        <f t="shared" si="0"/>
        <v>1991</v>
      </c>
      <c r="X5" s="41">
        <f t="shared" si="0"/>
        <v>1992</v>
      </c>
      <c r="Y5" s="41">
        <f t="shared" si="0"/>
        <v>2091</v>
      </c>
      <c r="Z5" s="41">
        <f t="shared" si="0"/>
        <v>2092</v>
      </c>
      <c r="AA5" s="41">
        <f t="shared" si="0"/>
        <v>2093</v>
      </c>
      <c r="AB5" s="41">
        <f t="shared" si="0"/>
        <v>2100</v>
      </c>
      <c r="AC5" s="41">
        <f t="shared" si="0"/>
        <v>2200</v>
      </c>
      <c r="AD5" s="41">
        <f t="shared" si="0"/>
        <v>2300</v>
      </c>
      <c r="AE5" s="41">
        <f t="shared" si="0"/>
        <v>2491</v>
      </c>
      <c r="AF5" s="41">
        <f t="shared" si="0"/>
        <v>2492</v>
      </c>
      <c r="AG5" s="41">
        <f t="shared" si="0"/>
        <v>2500</v>
      </c>
      <c r="AH5" s="41">
        <f t="shared" si="0"/>
        <v>2600</v>
      </c>
      <c r="AI5" s="41">
        <f t="shared" si="0"/>
        <v>2700</v>
      </c>
      <c r="AJ5" s="41">
        <f t="shared" si="0"/>
        <v>2800</v>
      </c>
      <c r="AK5" s="41">
        <f t="shared" si="0"/>
        <v>2991</v>
      </c>
      <c r="AL5" s="41">
        <f t="shared" si="0"/>
        <v>2992</v>
      </c>
      <c r="AM5" s="41">
        <f t="shared" si="0"/>
        <v>3000</v>
      </c>
      <c r="AN5" s="41">
        <f t="shared" si="0"/>
        <v>3180</v>
      </c>
      <c r="AO5" s="41">
        <f t="shared" si="0"/>
        <v>3300</v>
      </c>
      <c r="AP5" s="41">
        <f t="shared" si="0"/>
        <v>3500</v>
      </c>
      <c r="AQ5" s="41">
        <f t="shared" si="0"/>
        <v>3680</v>
      </c>
      <c r="AR5" s="41">
        <f t="shared" si="0"/>
        <v>4180</v>
      </c>
      <c r="AS5" s="41">
        <f t="shared" si="0"/>
        <v>4500</v>
      </c>
      <c r="AT5" s="41">
        <f t="shared" si="0"/>
        <v>4680</v>
      </c>
      <c r="AU5" s="41">
        <f t="shared" si="0"/>
        <v>4900</v>
      </c>
      <c r="AV5" s="41">
        <f t="shared" si="0"/>
        <v>5000</v>
      </c>
      <c r="AW5" s="41">
        <f t="shared" si="0"/>
        <v>5100</v>
      </c>
      <c r="AX5" s="41">
        <f t="shared" si="0"/>
        <v>5280</v>
      </c>
      <c r="AY5" s="41">
        <f t="shared" si="0"/>
        <v>5500</v>
      </c>
      <c r="AZ5" s="41">
        <f t="shared" si="0"/>
        <v>5600</v>
      </c>
      <c r="BA5" s="41">
        <f t="shared" si="0"/>
        <v>5800</v>
      </c>
      <c r="BB5" s="41">
        <f t="shared" si="0"/>
        <v>5980</v>
      </c>
      <c r="BC5" s="41">
        <f t="shared" si="0"/>
        <v>6100</v>
      </c>
      <c r="BD5" s="41">
        <f t="shared" si="0"/>
        <v>6280</v>
      </c>
      <c r="BE5" s="41">
        <f t="shared" si="0"/>
        <v>6480</v>
      </c>
      <c r="BF5" s="41">
        <f t="shared" si="0"/>
        <v>6800</v>
      </c>
      <c r="BG5" s="41">
        <f t="shared" si="0"/>
        <v>6980</v>
      </c>
      <c r="BH5" s="41">
        <f t="shared" si="0"/>
        <v>7180</v>
      </c>
      <c r="BI5" s="41">
        <f t="shared" si="0"/>
        <v>7380</v>
      </c>
      <c r="BJ5" s="41">
        <f t="shared" si="0"/>
        <v>7700</v>
      </c>
      <c r="BK5" s="41">
        <f t="shared" si="0"/>
        <v>7880</v>
      </c>
      <c r="BL5" s="41">
        <f t="shared" si="0"/>
        <v>8000</v>
      </c>
      <c r="BM5" s="41">
        <f t="shared" si="0"/>
        <v>8400</v>
      </c>
      <c r="BN5" s="41">
        <f t="shared" si="0"/>
        <v>8591</v>
      </c>
      <c r="BO5" s="41">
        <f t="shared" si="0"/>
        <v>8592</v>
      </c>
      <c r="BP5" s="41">
        <f t="shared" si="0"/>
        <v>8691</v>
      </c>
      <c r="BQ5" s="41">
        <f t="shared" si="0"/>
        <v>8692</v>
      </c>
      <c r="BR5" s="41">
        <f t="shared" ref="BR5:BT5" si="1">VALUE(LEFT(BR4,4))</f>
        <v>9080</v>
      </c>
      <c r="BS5" s="41">
        <f t="shared" si="1"/>
        <v>9480</v>
      </c>
      <c r="BT5" s="41">
        <f t="shared" si="1"/>
        <v>9700</v>
      </c>
      <c r="BU5" s="44"/>
      <c r="BV5" s="44"/>
      <c r="BW5" s="44"/>
      <c r="BX5" s="44"/>
      <c r="BY5" s="44"/>
      <c r="BZ5" s="44"/>
      <c r="CA5" s="44"/>
      <c r="CB5" s="44"/>
      <c r="CC5" s="44"/>
    </row>
    <row r="6" spans="1:81" ht="12" customHeight="1" thickBot="1">
      <c r="A6" s="45" t="s">
        <v>517</v>
      </c>
      <c r="B6" s="45"/>
      <c r="C6" s="45"/>
      <c r="D6" s="46" t="s">
        <v>517</v>
      </c>
      <c r="E6" s="47" t="str">
        <f>IFERROR(INDEX([1]SCNtoISIC!$D:$D,MATCH(E$5,[1]SCNtoISIC!$B:$B,0)),0)</f>
        <v>ISIC 01T03</v>
      </c>
      <c r="F6" s="47" t="str">
        <f>IFERROR(INDEX([1]SCNtoISIC!$D:$D,MATCH(F$5,[1]SCNtoISIC!$B:$B,0)),0)</f>
        <v>ISIC 01T03</v>
      </c>
      <c r="G6" s="47" t="str">
        <f>IFERROR(INDEX([1]SCNtoISIC!$D:$D,MATCH(G$5,[1]SCNtoISIC!$B:$B,0)),0)</f>
        <v>ISIC 01T03</v>
      </c>
      <c r="H6" s="47" t="str">
        <f>IFERROR(INDEX([1]SCNtoISIC!$D:$D,MATCH(H$5,[1]SCNtoISIC!$B:$B,0)),0)</f>
        <v>ISIC 05</v>
      </c>
      <c r="I6" s="47" t="str">
        <f>IFERROR(INDEX([1]SCNtoISIC!$D:$D,MATCH(I$5,[1]SCNtoISIC!$B:$B,0)),0)</f>
        <v>ISIC 06</v>
      </c>
      <c r="J6" s="47" t="str">
        <f>IFERROR(INDEX([1]SCNtoISIC!$D:$D,MATCH(J$5,[1]SCNtoISIC!$B:$B,0)),0)</f>
        <v>ISIC 07T08</v>
      </c>
      <c r="K6" s="47" t="str">
        <f>IFERROR(INDEX([1]SCNtoISIC!$D:$D,MATCH(K$5,[1]SCNtoISIC!$B:$B,0)),0)</f>
        <v>ISIC 09</v>
      </c>
      <c r="L6" s="47" t="str">
        <f>IFERROR(INDEX([1]SCNtoISIC!$D:$D,MATCH(L$5,[1]SCNtoISIC!$B:$B,0)),0)</f>
        <v>ISIC 10T12</v>
      </c>
      <c r="M6" s="47" t="str">
        <f>IFERROR(INDEX([1]SCNtoISIC!$D:$D,MATCH(M$5,[1]SCNtoISIC!$B:$B,0)),0)</f>
        <v>ISIC 10T12</v>
      </c>
      <c r="N6" s="47" t="str">
        <f>IFERROR(INDEX([1]SCNtoISIC!$D:$D,MATCH(N$5,[1]SCNtoISIC!$B:$B,0)),0)</f>
        <v>ISIC 10T12</v>
      </c>
      <c r="O6" s="47" t="str">
        <f>IFERROR(INDEX([1]SCNtoISIC!$D:$D,MATCH(O$5,[1]SCNtoISIC!$B:$B,0)),0)</f>
        <v>ISIC 10T12</v>
      </c>
      <c r="P6" s="47" t="str">
        <f>IFERROR(INDEX([1]SCNtoISIC!$D:$D,MATCH(P$5,[1]SCNtoISIC!$B:$B,0)),0)</f>
        <v>ISIC 10T12</v>
      </c>
      <c r="Q6" s="47" t="str">
        <f>IFERROR(INDEX([1]SCNtoISIC!$D:$D,MATCH(Q$5,[1]SCNtoISIC!$B:$B,0)),0)</f>
        <v>ISIC 13T15</v>
      </c>
      <c r="R6" s="47" t="str">
        <f>IFERROR(INDEX([1]SCNtoISIC!$D:$D,MATCH(R$5,[1]SCNtoISIC!$B:$B,0)),0)</f>
        <v>ISIC 13T15</v>
      </c>
      <c r="S6" s="47" t="str">
        <f>IFERROR(INDEX([1]SCNtoISIC!$D:$D,MATCH(S$5,[1]SCNtoISIC!$B:$B,0)),0)</f>
        <v>ISIC 13T15</v>
      </c>
      <c r="T6" s="47" t="str">
        <f>IFERROR(INDEX([1]SCNtoISIC!$D:$D,MATCH(T$5,[1]SCNtoISIC!$B:$B,0)),0)</f>
        <v>ISIC 16</v>
      </c>
      <c r="U6" s="47" t="str">
        <f>IFERROR(INDEX([1]SCNtoISIC!$D:$D,MATCH(U$5,[1]SCNtoISIC!$B:$B,0)),0)</f>
        <v>ISIC 17T18</v>
      </c>
      <c r="V6" s="47" t="str">
        <f>IFERROR(INDEX([1]SCNtoISIC!$D:$D,MATCH(V$5,[1]SCNtoISIC!$B:$B,0)),0)</f>
        <v>ISIC 17T18</v>
      </c>
      <c r="W6" s="47" t="str">
        <f>IFERROR(INDEX([1]SCNtoISIC!$D:$D,MATCH(W$5,[1]SCNtoISIC!$B:$B,0)),0)</f>
        <v>ISIC 19</v>
      </c>
      <c r="X6" s="47" t="str">
        <f>IFERROR(INDEX([1]SCNtoISIC!$D:$D,MATCH(X$5,[1]SCNtoISIC!$B:$B,0)),0)</f>
        <v>ISIC 19</v>
      </c>
      <c r="Y6" s="47" t="str">
        <f>IFERROR(INDEX([1]SCNtoISIC!$D:$D,MATCH(Y$5,[1]SCNtoISIC!$B:$B,0)),0)</f>
        <v>ISIC 20</v>
      </c>
      <c r="Z6" s="47" t="str">
        <f>IFERROR(INDEX([1]SCNtoISIC!$D:$D,MATCH(Z$5,[1]SCNtoISIC!$B:$B,0)),0)</f>
        <v>ISIC 20</v>
      </c>
      <c r="AA6" s="47" t="str">
        <f>IFERROR(INDEX([1]SCNtoISIC!$D:$D,MATCH(AA$5,[1]SCNtoISIC!$B:$B,0)),0)</f>
        <v>ISIC 20</v>
      </c>
      <c r="AB6" s="47" t="str">
        <f>IFERROR(INDEX([1]SCNtoISIC!$D:$D,MATCH(AB$5,[1]SCNtoISIC!$B:$B,0)),0)</f>
        <v>ISIC 21</v>
      </c>
      <c r="AC6" s="47" t="str">
        <f>IFERROR(INDEX([1]SCNtoISIC!$D:$D,MATCH(AC$5,[1]SCNtoISIC!$B:$B,0)),0)</f>
        <v>ISIC 22</v>
      </c>
      <c r="AD6" s="47" t="str">
        <f>IFERROR(INDEX([1]SCNtoISIC!$D:$D,MATCH(AD$5,[1]SCNtoISIC!$B:$B,0)),0)</f>
        <v>x</v>
      </c>
      <c r="AE6" s="47" t="str">
        <f>IFERROR(INDEX([1]SCNtoISIC!$D:$D,MATCH(AE$5,[1]SCNtoISIC!$B:$B,0)),0)</f>
        <v>ISIC 241</v>
      </c>
      <c r="AF6" s="47" t="str">
        <f>IFERROR(INDEX([1]SCNtoISIC!$D:$D,MATCH(AF$5,[1]SCNtoISIC!$B:$B,0)),0)</f>
        <v>ISIC 242</v>
      </c>
      <c r="AG6" s="47" t="str">
        <f>IFERROR(INDEX([1]SCNtoISIC!$D:$D,MATCH(AG$5,[1]SCNtoISIC!$B:$B,0)),0)</f>
        <v>ISIC 25</v>
      </c>
      <c r="AH6" s="47" t="str">
        <f>IFERROR(INDEX([1]SCNtoISIC!$D:$D,MATCH(AH$5,[1]SCNtoISIC!$B:$B,0)),0)</f>
        <v>ISIC 26</v>
      </c>
      <c r="AI6" s="47" t="str">
        <f>IFERROR(INDEX([1]SCNtoISIC!$D:$D,MATCH(AI$5,[1]SCNtoISIC!$B:$B,0)),0)</f>
        <v>ISIC 27</v>
      </c>
      <c r="AJ6" s="47" t="str">
        <f>IFERROR(INDEX([1]SCNtoISIC!$D:$D,MATCH(AJ$5,[1]SCNtoISIC!$B:$B,0)),0)</f>
        <v>ISIC 28</v>
      </c>
      <c r="AK6" s="47" t="str">
        <f>IFERROR(INDEX([1]SCNtoISIC!$D:$D,MATCH(AK$5,[1]SCNtoISIC!$B:$B,0)),0)</f>
        <v>ISIC 29</v>
      </c>
      <c r="AL6" s="47" t="str">
        <f>IFERROR(INDEX([1]SCNtoISIC!$D:$D,MATCH(AL$5,[1]SCNtoISIC!$B:$B,0)),0)</f>
        <v>ISIC 29</v>
      </c>
      <c r="AM6" s="47" t="str">
        <f>IFERROR(INDEX([1]SCNtoISIC!$D:$D,MATCH(AM$5,[1]SCNtoISIC!$B:$B,0)),0)</f>
        <v>ISIC 30</v>
      </c>
      <c r="AN6" s="47" t="str">
        <f>IFERROR(INDEX([1]SCNtoISIC!$D:$D,MATCH(AN$5,[1]SCNtoISIC!$B:$B,0)),0)</f>
        <v>ISIC 30</v>
      </c>
      <c r="AO6" s="47" t="str">
        <f>IFERROR(INDEX([1]SCNtoISIC!$D:$D,MATCH(AO$5,[1]SCNtoISIC!$B:$B,0)),0)</f>
        <v>ISIC 31T33</v>
      </c>
      <c r="AP6" s="47" t="str">
        <f>IFERROR(INDEX([1]SCNtoISIC!$D:$D,MATCH(AP$5,[1]SCNtoISIC!$B:$B,0)),0)</f>
        <v>x</v>
      </c>
      <c r="AQ6" s="47" t="str">
        <f>IFERROR(INDEX([1]SCNtoISIC!$D:$D,MATCH(AQ$5,[1]SCNtoISIC!$B:$B,0)),0)</f>
        <v>ISIC 36T39</v>
      </c>
      <c r="AR6" s="47" t="str">
        <f>IFERROR(INDEX([1]SCNtoISIC!$D:$D,MATCH(AR$5,[1]SCNtoISIC!$B:$B,0)),0)</f>
        <v>ISIC 41T43</v>
      </c>
      <c r="AS6" s="47">
        <f>IFERROR(INDEX([1]SCNtoISIC!$D:$D,MATCH(AS$5,[1]SCNtoISIC!$B:$B,0)),0)</f>
        <v>0</v>
      </c>
      <c r="AT6" s="47">
        <f>IFERROR(INDEX([1]SCNtoISIC!$D:$D,MATCH(AT$5,[1]SCNtoISIC!$B:$B,0)),0)</f>
        <v>0</v>
      </c>
      <c r="AU6" s="47" t="str">
        <f>IFERROR(INDEX([1]SCNtoISIC!$D:$D,MATCH(AU$5,[1]SCNtoISIC!$B:$B,0)),0)</f>
        <v>ISIC 49T53</v>
      </c>
      <c r="AV6" s="47" t="str">
        <f>IFERROR(INDEX([1]SCNtoISIC!$D:$D,MATCH(AV$5,[1]SCNtoISIC!$B:$B,0)),0)</f>
        <v>ISIC 49T53</v>
      </c>
      <c r="AW6" s="47" t="str">
        <f>IFERROR(INDEX([1]SCNtoISIC!$D:$D,MATCH(AW$5,[1]SCNtoISIC!$B:$B,0)),0)</f>
        <v>ISIC 49T53</v>
      </c>
      <c r="AX6" s="47" t="str">
        <f>IFERROR(INDEX([1]SCNtoISIC!$D:$D,MATCH(AX$5,[1]SCNtoISIC!$B:$B,0)),0)</f>
        <v>ISIC 49T53</v>
      </c>
      <c r="AY6" s="47" t="str">
        <f>IFERROR(INDEX([1]SCNtoISIC!$D:$D,MATCH(AY$5,[1]SCNtoISIC!$B:$B,0)),0)</f>
        <v>ISIC 55T56</v>
      </c>
      <c r="AZ6" s="47" t="str">
        <f>IFERROR(INDEX([1]SCNtoISIC!$D:$D,MATCH(AZ$5,[1]SCNtoISIC!$B:$B,0)),0)</f>
        <v>ISIC 55T56</v>
      </c>
      <c r="BA6" s="47" t="str">
        <f>IFERROR(INDEX([1]SCNtoISIC!$D:$D,MATCH(BA$5,[1]SCNtoISIC!$B:$B,0)),0)</f>
        <v>ISIC 58T60</v>
      </c>
      <c r="BB6" s="47" t="str">
        <f>IFERROR(INDEX([1]SCNtoISIC!$D:$D,MATCH(BB$5,[1]SCNtoISIC!$B:$B,0)),0)</f>
        <v>ISIC 58T60</v>
      </c>
      <c r="BC6" s="47" t="str">
        <f>IFERROR(INDEX([1]SCNtoISIC!$D:$D,MATCH(BC$5,[1]SCNtoISIC!$B:$B,0)),0)</f>
        <v>ISIC 61</v>
      </c>
      <c r="BD6" s="47" t="str">
        <f>IFERROR(INDEX([1]SCNtoISIC!$D:$D,MATCH(BD$5,[1]SCNtoISIC!$B:$B,0)),0)</f>
        <v>ISIC 62T63</v>
      </c>
      <c r="BE6" s="47" t="str">
        <f>IFERROR(INDEX([1]SCNtoISIC!$D:$D,MATCH(BE$5,[1]SCNtoISIC!$B:$B,0)),0)</f>
        <v>ISIC 64T66</v>
      </c>
      <c r="BF6" s="47" t="str">
        <f>IFERROR(INDEX([1]SCNtoISIC!$D:$D,MATCH(BF$5,[1]SCNtoISIC!$B:$B,0)),0)</f>
        <v>ISIC 68</v>
      </c>
      <c r="BG6" s="47" t="str">
        <f>IFERROR(INDEX([1]SCNtoISIC!$D:$D,MATCH(BG$5,[1]SCNtoISIC!$B:$B,0)),0)</f>
        <v>ISIC 69T82</v>
      </c>
      <c r="BH6" s="47" t="str">
        <f>IFERROR(INDEX([1]SCNtoISIC!$D:$D,MATCH(BH$5,[1]SCNtoISIC!$B:$B,0)),0)</f>
        <v>ISIC 69T82</v>
      </c>
      <c r="BI6" s="47" t="str">
        <f>IFERROR(INDEX([1]SCNtoISIC!$D:$D,MATCH(BI$5,[1]SCNtoISIC!$B:$B,0)),0)</f>
        <v>ISIC 69T82</v>
      </c>
      <c r="BJ6" s="47" t="str">
        <f>IFERROR(INDEX([1]SCNtoISIC!$D:$D,MATCH(BJ$5,[1]SCNtoISIC!$B:$B,0)),0)</f>
        <v>ISIC 69T82</v>
      </c>
      <c r="BK6" s="47" t="str">
        <f>IFERROR(INDEX([1]SCNtoISIC!$D:$D,MATCH(BK$5,[1]SCNtoISIC!$B:$B,0)),0)</f>
        <v>ISIC 69T82</v>
      </c>
      <c r="BL6" s="47" t="str">
        <f>IFERROR(INDEX([1]SCNtoISIC!$D:$D,MATCH(BL$5,[1]SCNtoISIC!$B:$B,0)),0)</f>
        <v>ISIC 69T82</v>
      </c>
      <c r="BM6" s="47" t="str">
        <f>IFERROR(INDEX([1]SCNtoISIC!$D:$D,MATCH(BM$5,[1]SCNtoISIC!$B:$B,0)),0)</f>
        <v>ISIC 84</v>
      </c>
      <c r="BN6" s="47" t="str">
        <f>IFERROR(INDEX([1]SCNtoISIC!$D:$D,MATCH(BN$5,[1]SCNtoISIC!$B:$B,0)),0)</f>
        <v>ISIC 85</v>
      </c>
      <c r="BO6" s="47" t="str">
        <f>IFERROR(INDEX([1]SCNtoISIC!$D:$D,MATCH(BO$5,[1]SCNtoISIC!$B:$B,0)),0)</f>
        <v>ISIC 85</v>
      </c>
      <c r="BP6" s="47" t="str">
        <f>IFERROR(INDEX([1]SCNtoISIC!$D:$D,MATCH(BP$5,[1]SCNtoISIC!$B:$B,0)),0)</f>
        <v>ISIC 86T88</v>
      </c>
      <c r="BQ6" s="47" t="str">
        <f>IFERROR(INDEX([1]SCNtoISIC!$D:$D,MATCH(BQ$5,[1]SCNtoISIC!$B:$B,0)),0)</f>
        <v>ISIC 86T88</v>
      </c>
      <c r="BR6" s="47" t="str">
        <f>IFERROR(INDEX([1]SCNtoISIC!$D:$D,MATCH(BR$5,[1]SCNtoISIC!$B:$B,0)),0)</f>
        <v>ISIC 90T96</v>
      </c>
      <c r="BS6" s="47" t="str">
        <f>IFERROR(INDEX([1]SCNtoISIC!$D:$D,MATCH(BS$5,[1]SCNtoISIC!$B:$B,0)),0)</f>
        <v>ISIC 90T96</v>
      </c>
      <c r="BT6" s="47" t="str">
        <f>IFERROR(INDEX([1]SCNtoISIC!$D:$D,MATCH(BT$5,[1]SCNtoISIC!$B:$B,0)),0)</f>
        <v>ISIC 97T98</v>
      </c>
      <c r="BU6" s="44"/>
      <c r="BV6" s="44"/>
      <c r="BW6" s="44"/>
      <c r="BX6" s="44"/>
      <c r="BY6" s="44"/>
      <c r="BZ6" s="44"/>
      <c r="CA6" s="44"/>
      <c r="CB6" s="44"/>
      <c r="CC6" s="44"/>
    </row>
    <row r="7" spans="1:81" ht="8.25" customHeight="1">
      <c r="A7" s="48">
        <v>1911</v>
      </c>
      <c r="B7" s="49" t="str">
        <f>IFERROR(INDEX(SCNtoISIC!$I:$I,MATCH($A7,SCNtoISIC!$G:$G,0)),0)</f>
        <v>ISIC 01T03</v>
      </c>
      <c r="C7" s="50" t="str">
        <f>IFERROR(INDEX(SCNtoISIC!$K:$K,MATCH($B7,SCNtoISIC!$I:$I,0)),0)</f>
        <v>Agriculture, forestry and fishing</v>
      </c>
      <c r="D7" s="51" t="s">
        <v>125</v>
      </c>
      <c r="E7" s="52">
        <v>219</v>
      </c>
      <c r="F7" s="52">
        <v>213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34</v>
      </c>
      <c r="M7" s="52">
        <v>0</v>
      </c>
      <c r="N7" s="52">
        <v>12200</v>
      </c>
      <c r="O7" s="52">
        <v>308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</v>
      </c>
      <c r="AG7" s="52">
        <v>0</v>
      </c>
      <c r="AH7" s="52">
        <v>0</v>
      </c>
      <c r="AI7" s="52">
        <v>0</v>
      </c>
      <c r="AJ7" s="52">
        <v>0</v>
      </c>
      <c r="AK7" s="52">
        <v>0</v>
      </c>
      <c r="AL7" s="52">
        <v>0</v>
      </c>
      <c r="AM7" s="52">
        <v>0</v>
      </c>
      <c r="AN7" s="52">
        <v>0</v>
      </c>
      <c r="AO7" s="52">
        <v>0</v>
      </c>
      <c r="AP7" s="52">
        <v>0</v>
      </c>
      <c r="AQ7" s="52">
        <v>0</v>
      </c>
      <c r="AR7" s="52">
        <v>0</v>
      </c>
      <c r="AS7" s="52">
        <v>0</v>
      </c>
      <c r="AT7" s="52">
        <v>469</v>
      </c>
      <c r="AU7" s="52">
        <v>0</v>
      </c>
      <c r="AV7" s="52">
        <v>0</v>
      </c>
      <c r="AW7" s="52">
        <v>0</v>
      </c>
      <c r="AX7" s="52">
        <v>0</v>
      </c>
      <c r="AY7" s="52">
        <v>1</v>
      </c>
      <c r="AZ7" s="52">
        <v>0</v>
      </c>
      <c r="BA7" s="52">
        <v>0</v>
      </c>
      <c r="BB7" s="52">
        <v>0</v>
      </c>
      <c r="BC7" s="52">
        <v>0</v>
      </c>
      <c r="BD7" s="52">
        <v>0</v>
      </c>
      <c r="BE7" s="52">
        <v>0</v>
      </c>
      <c r="BF7" s="52">
        <v>0</v>
      </c>
      <c r="BG7" s="52">
        <v>0</v>
      </c>
      <c r="BH7" s="52">
        <v>0</v>
      </c>
      <c r="BI7" s="52">
        <v>0</v>
      </c>
      <c r="BJ7" s="52">
        <v>0</v>
      </c>
      <c r="BK7" s="52">
        <v>0</v>
      </c>
      <c r="BL7" s="52">
        <v>0</v>
      </c>
      <c r="BM7" s="52">
        <v>197</v>
      </c>
      <c r="BN7" s="52">
        <v>0</v>
      </c>
      <c r="BO7" s="52">
        <v>0</v>
      </c>
      <c r="BP7" s="52">
        <v>0</v>
      </c>
      <c r="BQ7" s="52">
        <v>0</v>
      </c>
      <c r="BR7" s="52">
        <v>0</v>
      </c>
      <c r="BS7" s="52">
        <v>0</v>
      </c>
      <c r="BT7" s="52">
        <v>0</v>
      </c>
      <c r="BU7" s="52">
        <v>13641</v>
      </c>
      <c r="BV7" s="52">
        <v>1262</v>
      </c>
      <c r="BW7" s="52">
        <v>0</v>
      </c>
      <c r="BX7" s="52">
        <v>0</v>
      </c>
      <c r="BY7" s="52">
        <v>561</v>
      </c>
      <c r="BZ7" s="52">
        <v>0</v>
      </c>
      <c r="CA7" s="52">
        <v>-166</v>
      </c>
      <c r="CB7" s="52">
        <v>1657</v>
      </c>
      <c r="CC7" s="52">
        <v>15298</v>
      </c>
    </row>
    <row r="8" spans="1:81" ht="8.25" customHeight="1">
      <c r="A8" s="48">
        <v>1912</v>
      </c>
      <c r="B8" s="49" t="str">
        <f>IFERROR(INDEX(SCNtoISIC!$I:$I,MATCH($A8,SCNtoISIC!$G:$G,0)),0)</f>
        <v>ISIC 01T03</v>
      </c>
      <c r="C8" s="50" t="str">
        <f>IFERROR(INDEX(SCNtoISIC!$K:$K,MATCH($B8,SCNtoISIC!$I:$I,0)),0)</f>
        <v>Agriculture, forestry and fishing</v>
      </c>
      <c r="D8" s="51" t="s">
        <v>128</v>
      </c>
      <c r="E8" s="52">
        <v>1020</v>
      </c>
      <c r="F8" s="52">
        <v>3401</v>
      </c>
      <c r="G8" s="52">
        <v>15</v>
      </c>
      <c r="H8" s="52">
        <v>0</v>
      </c>
      <c r="I8" s="52">
        <v>0</v>
      </c>
      <c r="J8" s="52">
        <v>0</v>
      </c>
      <c r="K8" s="52">
        <v>0</v>
      </c>
      <c r="L8" s="52">
        <v>606</v>
      </c>
      <c r="M8" s="52">
        <v>0</v>
      </c>
      <c r="N8" s="52">
        <v>10378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Z8" s="52">
        <v>0</v>
      </c>
      <c r="AA8" s="52">
        <v>0</v>
      </c>
      <c r="AB8" s="52">
        <v>0</v>
      </c>
      <c r="AC8" s="52">
        <v>0</v>
      </c>
      <c r="AD8" s="52">
        <v>0</v>
      </c>
      <c r="AE8" s="52">
        <v>0</v>
      </c>
      <c r="AF8" s="52">
        <v>0</v>
      </c>
      <c r="AG8" s="52">
        <v>0</v>
      </c>
      <c r="AH8" s="52">
        <v>0</v>
      </c>
      <c r="AI8" s="52">
        <v>0</v>
      </c>
      <c r="AJ8" s="52">
        <v>0</v>
      </c>
      <c r="AK8" s="52">
        <v>0</v>
      </c>
      <c r="AL8" s="52">
        <v>0</v>
      </c>
      <c r="AM8" s="52">
        <v>0</v>
      </c>
      <c r="AN8" s="52">
        <v>0</v>
      </c>
      <c r="AO8" s="52">
        <v>0</v>
      </c>
      <c r="AP8" s="52">
        <v>0</v>
      </c>
      <c r="AQ8" s="52">
        <v>0</v>
      </c>
      <c r="AR8" s="52">
        <v>0</v>
      </c>
      <c r="AS8" s="52">
        <v>0</v>
      </c>
      <c r="AT8" s="52">
        <v>471</v>
      </c>
      <c r="AU8" s="52">
        <v>0</v>
      </c>
      <c r="AV8" s="52">
        <v>0</v>
      </c>
      <c r="AW8" s="52">
        <v>0</v>
      </c>
      <c r="AX8" s="52">
        <v>0</v>
      </c>
      <c r="AY8" s="52">
        <v>0</v>
      </c>
      <c r="AZ8" s="52">
        <v>190</v>
      </c>
      <c r="BA8" s="52">
        <v>0</v>
      </c>
      <c r="BB8" s="52">
        <v>0</v>
      </c>
      <c r="BC8" s="52">
        <v>0</v>
      </c>
      <c r="BD8" s="52">
        <v>0</v>
      </c>
      <c r="BE8" s="52">
        <v>0</v>
      </c>
      <c r="BF8" s="52">
        <v>0</v>
      </c>
      <c r="BG8" s="52">
        <v>0</v>
      </c>
      <c r="BH8" s="52">
        <v>0</v>
      </c>
      <c r="BI8" s="52">
        <v>0</v>
      </c>
      <c r="BJ8" s="52">
        <v>0</v>
      </c>
      <c r="BK8" s="52">
        <v>0</v>
      </c>
      <c r="BL8" s="52">
        <v>0</v>
      </c>
      <c r="BM8" s="52">
        <v>237</v>
      </c>
      <c r="BN8" s="52">
        <v>2</v>
      </c>
      <c r="BO8" s="52">
        <v>0</v>
      </c>
      <c r="BP8" s="52">
        <v>0</v>
      </c>
      <c r="BQ8" s="52">
        <v>2</v>
      </c>
      <c r="BR8" s="52">
        <v>0</v>
      </c>
      <c r="BS8" s="52">
        <v>0</v>
      </c>
      <c r="BT8" s="52">
        <v>0</v>
      </c>
      <c r="BU8" s="52">
        <v>16322</v>
      </c>
      <c r="BV8" s="52">
        <v>10890</v>
      </c>
      <c r="BW8" s="52">
        <v>0</v>
      </c>
      <c r="BX8" s="52">
        <v>0</v>
      </c>
      <c r="BY8" s="52">
        <v>3855</v>
      </c>
      <c r="BZ8" s="52">
        <v>0</v>
      </c>
      <c r="CA8" s="52">
        <v>1600</v>
      </c>
      <c r="CB8" s="52">
        <v>16345</v>
      </c>
      <c r="CC8" s="52">
        <v>32667</v>
      </c>
    </row>
    <row r="9" spans="1:81" ht="8.25" customHeight="1">
      <c r="A9" s="48">
        <v>1913</v>
      </c>
      <c r="B9" s="49" t="str">
        <f>IFERROR(INDEX(SCNtoISIC!$I:$I,MATCH($A9,SCNtoISIC!$G:$G,0)),0)</f>
        <v>ISIC 01T03</v>
      </c>
      <c r="C9" s="50" t="str">
        <f>IFERROR(INDEX(SCNtoISIC!$K:$K,MATCH($B9,SCNtoISIC!$I:$I,0)),0)</f>
        <v>Agriculture, forestry and fishing</v>
      </c>
      <c r="D9" s="51" t="s">
        <v>130</v>
      </c>
      <c r="E9" s="52">
        <v>194</v>
      </c>
      <c r="F9" s="52">
        <v>14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481</v>
      </c>
      <c r="O9" s="52">
        <v>0</v>
      </c>
      <c r="P9" s="52">
        <v>0</v>
      </c>
      <c r="Q9" s="52">
        <v>3569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33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0</v>
      </c>
      <c r="AG9" s="52">
        <v>0</v>
      </c>
      <c r="AH9" s="52">
        <v>0</v>
      </c>
      <c r="AI9" s="52">
        <v>0</v>
      </c>
      <c r="AJ9" s="52">
        <v>0</v>
      </c>
      <c r="AK9" s="52">
        <v>0</v>
      </c>
      <c r="AL9" s="52">
        <v>0</v>
      </c>
      <c r="AM9" s="52">
        <v>0</v>
      </c>
      <c r="AN9" s="52">
        <v>0</v>
      </c>
      <c r="AO9" s="52">
        <v>0</v>
      </c>
      <c r="AP9" s="52">
        <v>0</v>
      </c>
      <c r="AQ9" s="52">
        <v>0</v>
      </c>
      <c r="AR9" s="52">
        <v>0</v>
      </c>
      <c r="AS9" s="52">
        <v>0</v>
      </c>
      <c r="AT9" s="52">
        <v>147</v>
      </c>
      <c r="AU9" s="52">
        <v>0</v>
      </c>
      <c r="AV9" s="52">
        <v>0</v>
      </c>
      <c r="AW9" s="52">
        <v>0</v>
      </c>
      <c r="AX9" s="52">
        <v>0</v>
      </c>
      <c r="AY9" s="52">
        <v>0</v>
      </c>
      <c r="AZ9" s="52">
        <v>0</v>
      </c>
      <c r="BA9" s="52">
        <v>0</v>
      </c>
      <c r="BB9" s="52">
        <v>0</v>
      </c>
      <c r="BC9" s="52">
        <v>0</v>
      </c>
      <c r="BD9" s="52">
        <v>0</v>
      </c>
      <c r="BE9" s="52">
        <v>0</v>
      </c>
      <c r="BF9" s="52">
        <v>0</v>
      </c>
      <c r="BG9" s="52">
        <v>0</v>
      </c>
      <c r="BH9" s="52">
        <v>0</v>
      </c>
      <c r="BI9" s="52">
        <v>0</v>
      </c>
      <c r="BJ9" s="52">
        <v>0</v>
      </c>
      <c r="BK9" s="52">
        <v>0</v>
      </c>
      <c r="BL9" s="52">
        <v>0</v>
      </c>
      <c r="BM9" s="52">
        <v>0</v>
      </c>
      <c r="BN9" s="52">
        <v>0</v>
      </c>
      <c r="BO9" s="52">
        <v>0</v>
      </c>
      <c r="BP9" s="52">
        <v>0</v>
      </c>
      <c r="BQ9" s="52">
        <v>0</v>
      </c>
      <c r="BR9" s="52">
        <v>0</v>
      </c>
      <c r="BS9" s="52">
        <v>0</v>
      </c>
      <c r="BT9" s="52">
        <v>0</v>
      </c>
      <c r="BU9" s="52">
        <v>4438</v>
      </c>
      <c r="BV9" s="52">
        <v>4183</v>
      </c>
      <c r="BW9" s="52">
        <v>0</v>
      </c>
      <c r="BX9" s="52">
        <v>0</v>
      </c>
      <c r="BY9" s="52">
        <v>5</v>
      </c>
      <c r="BZ9" s="52">
        <v>0</v>
      </c>
      <c r="CA9" s="52">
        <v>1425</v>
      </c>
      <c r="CB9" s="52">
        <v>5613</v>
      </c>
      <c r="CC9" s="52">
        <v>10051</v>
      </c>
    </row>
    <row r="10" spans="1:81" ht="8.25" customHeight="1">
      <c r="A10" s="48">
        <v>1914</v>
      </c>
      <c r="B10" s="49" t="str">
        <f>IFERROR(INDEX(SCNtoISIC!$I:$I,MATCH($A10,SCNtoISIC!$G:$G,0)),0)</f>
        <v>ISIC 01T03</v>
      </c>
      <c r="C10" s="50" t="str">
        <f>IFERROR(INDEX(SCNtoISIC!$K:$K,MATCH($B10,SCNtoISIC!$I:$I,0)),0)</f>
        <v>Agriculture, forestry and fishing</v>
      </c>
      <c r="D10" s="51" t="s">
        <v>134</v>
      </c>
      <c r="E10" s="52">
        <v>729</v>
      </c>
      <c r="F10" s="52">
        <v>117</v>
      </c>
      <c r="G10" s="52">
        <v>2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30408</v>
      </c>
      <c r="N10" s="52">
        <v>0</v>
      </c>
      <c r="O10" s="52">
        <v>1631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9916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52">
        <v>0</v>
      </c>
      <c r="AH10" s="52">
        <v>0</v>
      </c>
      <c r="AI10" s="52">
        <v>0</v>
      </c>
      <c r="AJ10" s="52">
        <v>0</v>
      </c>
      <c r="AK10" s="52">
        <v>0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52">
        <v>0</v>
      </c>
      <c r="AT10" s="52">
        <v>0</v>
      </c>
      <c r="AU10" s="52">
        <v>0</v>
      </c>
      <c r="AV10" s="52">
        <v>0</v>
      </c>
      <c r="AW10" s="52">
        <v>0</v>
      </c>
      <c r="AX10" s="52">
        <v>0</v>
      </c>
      <c r="AY10" s="52">
        <v>0</v>
      </c>
      <c r="AZ10" s="52">
        <v>967</v>
      </c>
      <c r="BA10" s="52">
        <v>0</v>
      </c>
      <c r="BB10" s="52">
        <v>0</v>
      </c>
      <c r="BC10" s="52">
        <v>0</v>
      </c>
      <c r="BD10" s="52">
        <v>0</v>
      </c>
      <c r="BE10" s="52">
        <v>0</v>
      </c>
      <c r="BF10" s="52">
        <v>0</v>
      </c>
      <c r="BG10" s="52">
        <v>0</v>
      </c>
      <c r="BH10" s="52">
        <v>0</v>
      </c>
      <c r="BI10" s="52">
        <v>0</v>
      </c>
      <c r="BJ10" s="52">
        <v>0</v>
      </c>
      <c r="BK10" s="52">
        <v>0</v>
      </c>
      <c r="BL10" s="52">
        <v>0</v>
      </c>
      <c r="BM10" s="52">
        <v>0</v>
      </c>
      <c r="BN10" s="52">
        <v>0</v>
      </c>
      <c r="BO10" s="52">
        <v>0</v>
      </c>
      <c r="BP10" s="52">
        <v>0</v>
      </c>
      <c r="BQ10" s="52">
        <v>0</v>
      </c>
      <c r="BR10" s="52">
        <v>0</v>
      </c>
      <c r="BS10" s="52">
        <v>0</v>
      </c>
      <c r="BT10" s="52">
        <v>0</v>
      </c>
      <c r="BU10" s="52">
        <v>43770</v>
      </c>
      <c r="BV10" s="52">
        <v>1</v>
      </c>
      <c r="BW10" s="52">
        <v>0</v>
      </c>
      <c r="BX10" s="52">
        <v>0</v>
      </c>
      <c r="BY10" s="52">
        <v>1194</v>
      </c>
      <c r="BZ10" s="52">
        <v>0</v>
      </c>
      <c r="CA10" s="52">
        <v>0</v>
      </c>
      <c r="CB10" s="52">
        <v>1195</v>
      </c>
      <c r="CC10" s="52">
        <v>44965</v>
      </c>
    </row>
    <row r="11" spans="1:81" ht="8.25" customHeight="1">
      <c r="A11" s="48">
        <v>1915</v>
      </c>
      <c r="B11" s="49" t="str">
        <f>IFERROR(INDEX(SCNtoISIC!$I:$I,MATCH($A11,SCNtoISIC!$G:$G,0)),0)</f>
        <v>ISIC 01T03</v>
      </c>
      <c r="C11" s="50" t="str">
        <f>IFERROR(INDEX(SCNtoISIC!$K:$K,MATCH($B11,SCNtoISIC!$I:$I,0)),0)</f>
        <v>Agriculture, forestry and fishing</v>
      </c>
      <c r="D11" s="51" t="s">
        <v>138</v>
      </c>
      <c r="E11" s="52">
        <v>1696</v>
      </c>
      <c r="F11" s="52">
        <v>142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372</v>
      </c>
      <c r="M11" s="52">
        <v>0</v>
      </c>
      <c r="N11" s="52">
        <v>27346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876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52">
        <v>0</v>
      </c>
      <c r="AJ11" s="52">
        <v>0</v>
      </c>
      <c r="AK11" s="52">
        <v>0</v>
      </c>
      <c r="AL11" s="52">
        <v>0</v>
      </c>
      <c r="AM11" s="52">
        <v>0</v>
      </c>
      <c r="AN11" s="52">
        <v>0</v>
      </c>
      <c r="AO11" s="52">
        <v>0</v>
      </c>
      <c r="AP11" s="52">
        <v>0</v>
      </c>
      <c r="AQ11" s="52">
        <v>0</v>
      </c>
      <c r="AR11" s="52">
        <v>0</v>
      </c>
      <c r="AS11" s="52">
        <v>0</v>
      </c>
      <c r="AT11" s="52">
        <v>7568</v>
      </c>
      <c r="AU11" s="52">
        <v>0</v>
      </c>
      <c r="AV11" s="52">
        <v>0</v>
      </c>
      <c r="AW11" s="52">
        <v>0</v>
      </c>
      <c r="AX11" s="52">
        <v>0</v>
      </c>
      <c r="AY11" s="52">
        <v>0</v>
      </c>
      <c r="AZ11" s="52">
        <v>0</v>
      </c>
      <c r="BA11" s="52">
        <v>0</v>
      </c>
      <c r="BB11" s="52">
        <v>0</v>
      </c>
      <c r="BC11" s="52">
        <v>0</v>
      </c>
      <c r="BD11" s="52">
        <v>0</v>
      </c>
      <c r="BE11" s="52">
        <v>0</v>
      </c>
      <c r="BF11" s="52">
        <v>0</v>
      </c>
      <c r="BG11" s="52">
        <v>0</v>
      </c>
      <c r="BH11" s="52">
        <v>0</v>
      </c>
      <c r="BI11" s="52">
        <v>0</v>
      </c>
      <c r="BJ11" s="52">
        <v>0</v>
      </c>
      <c r="BK11" s="52">
        <v>0</v>
      </c>
      <c r="BL11" s="52">
        <v>0</v>
      </c>
      <c r="BM11" s="52">
        <v>0</v>
      </c>
      <c r="BN11" s="52">
        <v>0</v>
      </c>
      <c r="BO11" s="52">
        <v>0</v>
      </c>
      <c r="BP11" s="52">
        <v>0</v>
      </c>
      <c r="BQ11" s="52">
        <v>0</v>
      </c>
      <c r="BR11" s="52">
        <v>0</v>
      </c>
      <c r="BS11" s="52">
        <v>0</v>
      </c>
      <c r="BT11" s="52">
        <v>0</v>
      </c>
      <c r="BU11" s="52">
        <v>38000</v>
      </c>
      <c r="BV11" s="52">
        <v>34857</v>
      </c>
      <c r="BW11" s="52">
        <v>0</v>
      </c>
      <c r="BX11" s="52">
        <v>0</v>
      </c>
      <c r="BY11" s="52">
        <v>48</v>
      </c>
      <c r="BZ11" s="52">
        <v>0</v>
      </c>
      <c r="CA11" s="52">
        <v>-4757</v>
      </c>
      <c r="CB11" s="52">
        <v>30148</v>
      </c>
      <c r="CC11" s="52">
        <v>68148</v>
      </c>
    </row>
    <row r="12" spans="1:81" ht="8.25" customHeight="1">
      <c r="A12" s="53">
        <v>1916</v>
      </c>
      <c r="B12" s="49" t="str">
        <f>IFERROR(INDEX(SCNtoISIC!$I:$I,MATCH($A12,SCNtoISIC!$G:$G,0)),0)</f>
        <v>ISIC 01T03</v>
      </c>
      <c r="C12" s="50" t="str">
        <f>IFERROR(INDEX(SCNtoISIC!$K:$K,MATCH($B12,SCNtoISIC!$I:$I,0)),0)</f>
        <v>Agriculture, forestry and fishing</v>
      </c>
      <c r="D12" s="54" t="s">
        <v>142</v>
      </c>
      <c r="E12" s="32">
        <v>3406</v>
      </c>
      <c r="F12" s="32">
        <v>968</v>
      </c>
      <c r="G12" s="32">
        <v>108</v>
      </c>
      <c r="H12" s="32">
        <v>0</v>
      </c>
      <c r="I12" s="32">
        <v>0</v>
      </c>
      <c r="J12" s="32">
        <v>0</v>
      </c>
      <c r="K12" s="32">
        <v>0</v>
      </c>
      <c r="L12" s="32">
        <v>19</v>
      </c>
      <c r="M12" s="32">
        <v>0</v>
      </c>
      <c r="N12" s="32">
        <v>3031</v>
      </c>
      <c r="O12" s="32">
        <v>0</v>
      </c>
      <c r="P12" s="32">
        <v>4949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119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32">
        <v>0</v>
      </c>
      <c r="AH12" s="32">
        <v>0</v>
      </c>
      <c r="AI12" s="32">
        <v>0</v>
      </c>
      <c r="AJ12" s="32">
        <v>0</v>
      </c>
      <c r="AK12" s="32">
        <v>0</v>
      </c>
      <c r="AL12" s="32">
        <v>0</v>
      </c>
      <c r="AM12" s="32">
        <v>0</v>
      </c>
      <c r="AN12" s="32">
        <v>0</v>
      </c>
      <c r="AO12" s="32">
        <v>0</v>
      </c>
      <c r="AP12" s="32">
        <v>0</v>
      </c>
      <c r="AQ12" s="32">
        <v>25</v>
      </c>
      <c r="AR12" s="32">
        <v>6</v>
      </c>
      <c r="AS12" s="32">
        <v>0</v>
      </c>
      <c r="AT12" s="32">
        <v>550</v>
      </c>
      <c r="AU12" s="32">
        <v>0</v>
      </c>
      <c r="AV12" s="32">
        <v>0</v>
      </c>
      <c r="AW12" s="32">
        <v>0</v>
      </c>
      <c r="AX12" s="32">
        <v>0</v>
      </c>
      <c r="AY12" s="32">
        <v>140</v>
      </c>
      <c r="AZ12" s="32">
        <v>1911</v>
      </c>
      <c r="BA12" s="32">
        <v>0</v>
      </c>
      <c r="BB12" s="32">
        <v>0</v>
      </c>
      <c r="BC12" s="32">
        <v>0</v>
      </c>
      <c r="BD12" s="32">
        <v>0</v>
      </c>
      <c r="BE12" s="32">
        <v>0</v>
      </c>
      <c r="BF12" s="32">
        <v>0</v>
      </c>
      <c r="BG12" s="32">
        <v>3</v>
      </c>
      <c r="BH12" s="32">
        <v>0</v>
      </c>
      <c r="BI12" s="32">
        <v>0</v>
      </c>
      <c r="BJ12" s="32">
        <v>0</v>
      </c>
      <c r="BK12" s="32">
        <v>96</v>
      </c>
      <c r="BL12" s="32">
        <v>0</v>
      </c>
      <c r="BM12" s="32">
        <v>533</v>
      </c>
      <c r="BN12" s="32">
        <v>348</v>
      </c>
      <c r="BO12" s="32">
        <v>37</v>
      </c>
      <c r="BP12" s="32">
        <v>154</v>
      </c>
      <c r="BQ12" s="32">
        <v>127</v>
      </c>
      <c r="BR12" s="32">
        <v>1</v>
      </c>
      <c r="BS12" s="32">
        <v>180</v>
      </c>
      <c r="BT12" s="32">
        <v>0</v>
      </c>
      <c r="BU12" s="32">
        <v>16711</v>
      </c>
      <c r="BV12" s="32">
        <v>813</v>
      </c>
      <c r="BW12" s="32">
        <v>54</v>
      </c>
      <c r="BX12" s="32">
        <v>0</v>
      </c>
      <c r="BY12" s="32">
        <v>36618</v>
      </c>
      <c r="BZ12" s="32">
        <v>0</v>
      </c>
      <c r="CA12" s="32">
        <v>-295</v>
      </c>
      <c r="CB12" s="32">
        <v>37190</v>
      </c>
      <c r="CC12" s="32">
        <v>53901</v>
      </c>
    </row>
    <row r="13" spans="1:81" ht="8.25" customHeight="1">
      <c r="A13" s="53">
        <v>1917</v>
      </c>
      <c r="B13" s="49" t="str">
        <f>IFERROR(INDEX(SCNtoISIC!$I:$I,MATCH($A13,SCNtoISIC!$G:$G,0)),0)</f>
        <v>ISIC 01T03</v>
      </c>
      <c r="C13" s="50" t="str">
        <f>IFERROR(INDEX(SCNtoISIC!$K:$K,MATCH($B13,SCNtoISIC!$I:$I,0)),0)</f>
        <v>Agriculture, forestry and fishing</v>
      </c>
      <c r="D13" s="54" t="s">
        <v>146</v>
      </c>
      <c r="E13" s="32">
        <v>5</v>
      </c>
      <c r="F13" s="32">
        <v>4</v>
      </c>
      <c r="G13" s="32">
        <v>2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5359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69</v>
      </c>
      <c r="AZ13" s="32">
        <v>268</v>
      </c>
      <c r="BA13" s="32">
        <v>0</v>
      </c>
      <c r="BB13" s="32">
        <v>0</v>
      </c>
      <c r="BC13" s="32">
        <v>0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9</v>
      </c>
      <c r="BN13" s="32">
        <v>6</v>
      </c>
      <c r="BO13" s="32">
        <v>0</v>
      </c>
      <c r="BP13" s="32">
        <v>2</v>
      </c>
      <c r="BQ13" s="32">
        <v>0</v>
      </c>
      <c r="BR13" s="32">
        <v>0</v>
      </c>
      <c r="BS13" s="32">
        <v>4</v>
      </c>
      <c r="BT13" s="32">
        <v>0</v>
      </c>
      <c r="BU13" s="32">
        <v>5728</v>
      </c>
      <c r="BV13" s="32">
        <v>18</v>
      </c>
      <c r="BW13" s="32">
        <v>1</v>
      </c>
      <c r="BX13" s="32">
        <v>0</v>
      </c>
      <c r="BY13" s="32">
        <v>1541</v>
      </c>
      <c r="BZ13" s="32">
        <v>161</v>
      </c>
      <c r="CA13" s="32">
        <v>0</v>
      </c>
      <c r="CB13" s="32">
        <v>1721</v>
      </c>
      <c r="CC13" s="32">
        <v>7449</v>
      </c>
    </row>
    <row r="14" spans="1:81" ht="8.25" customHeight="1">
      <c r="A14" s="53">
        <v>1918</v>
      </c>
      <c r="B14" s="49" t="str">
        <f>IFERROR(INDEX(SCNtoISIC!$I:$I,MATCH($A14,SCNtoISIC!$G:$G,0)),0)</f>
        <v>ISIC 01T03</v>
      </c>
      <c r="C14" s="50" t="str">
        <f>IFERROR(INDEX(SCNtoISIC!$K:$K,MATCH($B14,SCNtoISIC!$I:$I,0)),0)</f>
        <v>Agriculture, forestry and fishing</v>
      </c>
      <c r="D14" s="54" t="s">
        <v>150</v>
      </c>
      <c r="E14" s="32">
        <v>28</v>
      </c>
      <c r="F14" s="32">
        <v>97</v>
      </c>
      <c r="G14" s="32">
        <v>1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4979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0</v>
      </c>
      <c r="BF14" s="32">
        <v>0</v>
      </c>
      <c r="BG14" s="32">
        <v>0</v>
      </c>
      <c r="BH14" s="32">
        <v>4</v>
      </c>
      <c r="BI14" s="32">
        <v>0</v>
      </c>
      <c r="BJ14" s="32">
        <v>0</v>
      </c>
      <c r="BK14" s="32">
        <v>0</v>
      </c>
      <c r="BL14" s="32">
        <v>0</v>
      </c>
      <c r="BM14" s="32">
        <v>68</v>
      </c>
      <c r="BN14" s="32">
        <v>0</v>
      </c>
      <c r="BO14" s="32">
        <v>0</v>
      </c>
      <c r="BP14" s="32">
        <v>0</v>
      </c>
      <c r="BQ14" s="32">
        <v>0</v>
      </c>
      <c r="BR14" s="32">
        <v>0</v>
      </c>
      <c r="BS14" s="32">
        <v>5</v>
      </c>
      <c r="BT14" s="32">
        <v>0</v>
      </c>
      <c r="BU14" s="32">
        <v>5182</v>
      </c>
      <c r="BV14" s="32">
        <v>11149</v>
      </c>
      <c r="BW14" s="32">
        <v>0</v>
      </c>
      <c r="BX14" s="32">
        <v>0</v>
      </c>
      <c r="BY14" s="32">
        <v>404</v>
      </c>
      <c r="BZ14" s="32">
        <v>376</v>
      </c>
      <c r="CA14" s="32">
        <v>311</v>
      </c>
      <c r="CB14" s="32">
        <v>12240</v>
      </c>
      <c r="CC14" s="32">
        <v>17422</v>
      </c>
    </row>
    <row r="15" spans="1:81" ht="8.25" customHeight="1">
      <c r="A15" s="53">
        <v>1919</v>
      </c>
      <c r="B15" s="49" t="str">
        <f>IFERROR(INDEX(SCNtoISIC!$I:$I,MATCH($A15,SCNtoISIC!$G:$G,0)),0)</f>
        <v>ISIC 01T03</v>
      </c>
      <c r="C15" s="50" t="str">
        <f>IFERROR(INDEX(SCNtoISIC!$K:$K,MATCH($B15,SCNtoISIC!$I:$I,0)),0)</f>
        <v>Agriculture, forestry and fishing</v>
      </c>
      <c r="D15" s="54" t="s">
        <v>152</v>
      </c>
      <c r="E15" s="32">
        <v>49</v>
      </c>
      <c r="F15" s="32">
        <v>14</v>
      </c>
      <c r="G15" s="32">
        <v>1</v>
      </c>
      <c r="H15" s="32">
        <v>0</v>
      </c>
      <c r="I15" s="32">
        <v>0</v>
      </c>
      <c r="J15" s="32">
        <v>0</v>
      </c>
      <c r="K15" s="32">
        <v>0</v>
      </c>
      <c r="L15" s="32">
        <v>1</v>
      </c>
      <c r="M15" s="32">
        <v>0</v>
      </c>
      <c r="N15" s="32">
        <v>2368</v>
      </c>
      <c r="O15" s="32">
        <v>17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2">
        <v>0</v>
      </c>
      <c r="AS15" s="32">
        <v>0</v>
      </c>
      <c r="AT15" s="32">
        <v>92</v>
      </c>
      <c r="AU15" s="32">
        <v>0</v>
      </c>
      <c r="AV15" s="32">
        <v>0</v>
      </c>
      <c r="AW15" s="32">
        <v>0</v>
      </c>
      <c r="AX15" s="32">
        <v>0</v>
      </c>
      <c r="AY15" s="32">
        <v>19</v>
      </c>
      <c r="AZ15" s="32">
        <v>489</v>
      </c>
      <c r="BA15" s="32">
        <v>0</v>
      </c>
      <c r="BB15" s="32">
        <v>0</v>
      </c>
      <c r="BC15" s="32">
        <v>0</v>
      </c>
      <c r="BD15" s="32">
        <v>0</v>
      </c>
      <c r="BE15" s="32">
        <v>0</v>
      </c>
      <c r="BF15" s="32">
        <v>0</v>
      </c>
      <c r="BG15" s="32">
        <v>0</v>
      </c>
      <c r="BH15" s="32">
        <v>2</v>
      </c>
      <c r="BI15" s="32">
        <v>0</v>
      </c>
      <c r="BJ15" s="32">
        <v>0</v>
      </c>
      <c r="BK15" s="32">
        <v>0</v>
      </c>
      <c r="BL15" s="32">
        <v>0</v>
      </c>
      <c r="BM15" s="32">
        <v>128</v>
      </c>
      <c r="BN15" s="32">
        <v>81</v>
      </c>
      <c r="BO15" s="32">
        <v>3</v>
      </c>
      <c r="BP15" s="32">
        <v>31</v>
      </c>
      <c r="BQ15" s="32">
        <v>18</v>
      </c>
      <c r="BR15" s="32">
        <v>0</v>
      </c>
      <c r="BS15" s="32">
        <v>4</v>
      </c>
      <c r="BT15" s="32">
        <v>0</v>
      </c>
      <c r="BU15" s="32">
        <v>3317</v>
      </c>
      <c r="BV15" s="32">
        <v>1028</v>
      </c>
      <c r="BW15" s="32">
        <v>20</v>
      </c>
      <c r="BX15" s="32">
        <v>0</v>
      </c>
      <c r="BY15" s="32">
        <v>19050</v>
      </c>
      <c r="BZ15" s="32">
        <v>102</v>
      </c>
      <c r="CA15" s="32">
        <v>0</v>
      </c>
      <c r="CB15" s="32">
        <v>20200</v>
      </c>
      <c r="CC15" s="32">
        <v>23517</v>
      </c>
    </row>
    <row r="16" spans="1:81" ht="8.25" customHeight="1">
      <c r="A16" s="53">
        <v>1921</v>
      </c>
      <c r="B16" s="49" t="str">
        <f>IFERROR(INDEX(SCNtoISIC!$I:$I,MATCH($A16,SCNtoISIC!$G:$G,0)),0)</f>
        <v>ISIC 01T03</v>
      </c>
      <c r="C16" s="50" t="str">
        <f>IFERROR(INDEX(SCNtoISIC!$K:$K,MATCH($B16,SCNtoISIC!$I:$I,0)),0)</f>
        <v>Agriculture, forestry and fishing</v>
      </c>
      <c r="D16" s="54" t="s">
        <v>154</v>
      </c>
      <c r="E16" s="32">
        <v>295</v>
      </c>
      <c r="F16" s="32">
        <v>1535</v>
      </c>
      <c r="G16" s="32">
        <v>9</v>
      </c>
      <c r="H16" s="32">
        <v>0</v>
      </c>
      <c r="I16" s="32">
        <v>0</v>
      </c>
      <c r="J16" s="32">
        <v>0</v>
      </c>
      <c r="K16" s="32">
        <v>0</v>
      </c>
      <c r="L16" s="32">
        <v>41164</v>
      </c>
      <c r="M16" s="32">
        <v>0</v>
      </c>
      <c r="N16" s="32">
        <v>25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2">
        <v>0</v>
      </c>
      <c r="BF16" s="32">
        <v>0</v>
      </c>
      <c r="BG16" s="32">
        <v>0</v>
      </c>
      <c r="BH16" s="32">
        <v>0</v>
      </c>
      <c r="BI16" s="32">
        <v>5</v>
      </c>
      <c r="BJ16" s="32">
        <v>0</v>
      </c>
      <c r="BK16" s="32">
        <v>0</v>
      </c>
      <c r="BL16" s="32">
        <v>0</v>
      </c>
      <c r="BM16" s="32">
        <v>95</v>
      </c>
      <c r="BN16" s="32">
        <v>50</v>
      </c>
      <c r="BO16" s="32">
        <v>5</v>
      </c>
      <c r="BP16" s="32">
        <v>0</v>
      </c>
      <c r="BQ16" s="32">
        <v>72</v>
      </c>
      <c r="BR16" s="32">
        <v>0</v>
      </c>
      <c r="BS16" s="32">
        <v>0</v>
      </c>
      <c r="BT16" s="32">
        <v>0</v>
      </c>
      <c r="BU16" s="32">
        <v>43255</v>
      </c>
      <c r="BV16" s="32">
        <v>1443</v>
      </c>
      <c r="BW16" s="32">
        <v>1</v>
      </c>
      <c r="BX16" s="32">
        <v>0</v>
      </c>
      <c r="BY16" s="32">
        <v>711</v>
      </c>
      <c r="BZ16" s="32">
        <v>10645</v>
      </c>
      <c r="CA16" s="32">
        <v>1053</v>
      </c>
      <c r="CB16" s="32">
        <v>13853</v>
      </c>
      <c r="CC16" s="32">
        <v>57108</v>
      </c>
    </row>
    <row r="17" spans="1:81" ht="8.25" customHeight="1">
      <c r="A17" s="48">
        <v>1922</v>
      </c>
      <c r="B17" s="49" t="str">
        <f>IFERROR(INDEX(SCNtoISIC!$I:$I,MATCH($A17,SCNtoISIC!$G:$G,0)),0)</f>
        <v>ISIC 01T03</v>
      </c>
      <c r="C17" s="50" t="str">
        <f>IFERROR(INDEX(SCNtoISIC!$K:$K,MATCH($B17,SCNtoISIC!$I:$I,0)),0)</f>
        <v>Agriculture, forestry and fishing</v>
      </c>
      <c r="D17" s="51" t="s">
        <v>156</v>
      </c>
      <c r="E17" s="52">
        <v>52</v>
      </c>
      <c r="F17" s="52">
        <v>1033</v>
      </c>
      <c r="G17" s="52">
        <v>32</v>
      </c>
      <c r="H17" s="52">
        <v>0</v>
      </c>
      <c r="I17" s="52">
        <v>0</v>
      </c>
      <c r="J17" s="52">
        <v>0</v>
      </c>
      <c r="K17" s="52">
        <v>0</v>
      </c>
      <c r="L17" s="52">
        <v>13089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Z17" s="52">
        <v>0</v>
      </c>
      <c r="AA17" s="52">
        <v>0</v>
      </c>
      <c r="AB17" s="52">
        <v>0</v>
      </c>
      <c r="AC17" s="52">
        <v>0</v>
      </c>
      <c r="AD17" s="52">
        <v>0</v>
      </c>
      <c r="AE17" s="52">
        <v>0</v>
      </c>
      <c r="AF17" s="52">
        <v>0</v>
      </c>
      <c r="AG17" s="52">
        <v>0</v>
      </c>
      <c r="AH17" s="52">
        <v>0</v>
      </c>
      <c r="AI17" s="52">
        <v>0</v>
      </c>
      <c r="AJ17" s="52">
        <v>0</v>
      </c>
      <c r="AK17" s="52">
        <v>0</v>
      </c>
      <c r="AL17" s="52">
        <v>0</v>
      </c>
      <c r="AM17" s="52">
        <v>0</v>
      </c>
      <c r="AN17" s="52">
        <v>0</v>
      </c>
      <c r="AO17" s="52">
        <v>0</v>
      </c>
      <c r="AP17" s="52">
        <v>0</v>
      </c>
      <c r="AQ17" s="52">
        <v>0</v>
      </c>
      <c r="AR17" s="52">
        <v>0</v>
      </c>
      <c r="AS17" s="52">
        <v>0</v>
      </c>
      <c r="AT17" s="52">
        <v>0</v>
      </c>
      <c r="AU17" s="52">
        <v>0</v>
      </c>
      <c r="AV17" s="52">
        <v>0</v>
      </c>
      <c r="AW17" s="52">
        <v>0</v>
      </c>
      <c r="AX17" s="52">
        <v>0</v>
      </c>
      <c r="AY17" s="52">
        <v>0</v>
      </c>
      <c r="AZ17" s="52">
        <v>70</v>
      </c>
      <c r="BA17" s="52">
        <v>0</v>
      </c>
      <c r="BB17" s="52">
        <v>0</v>
      </c>
      <c r="BC17" s="52">
        <v>0</v>
      </c>
      <c r="BD17" s="52">
        <v>0</v>
      </c>
      <c r="BE17" s="52">
        <v>0</v>
      </c>
      <c r="BF17" s="52">
        <v>0</v>
      </c>
      <c r="BG17" s="52">
        <v>0</v>
      </c>
      <c r="BH17" s="52">
        <v>0</v>
      </c>
      <c r="BI17" s="52">
        <v>0</v>
      </c>
      <c r="BJ17" s="52">
        <v>0</v>
      </c>
      <c r="BK17" s="52">
        <v>0</v>
      </c>
      <c r="BL17" s="52">
        <v>0</v>
      </c>
      <c r="BM17" s="52">
        <v>0</v>
      </c>
      <c r="BN17" s="52">
        <v>0</v>
      </c>
      <c r="BO17" s="52">
        <v>0</v>
      </c>
      <c r="BP17" s="52">
        <v>0</v>
      </c>
      <c r="BQ17" s="52">
        <v>0</v>
      </c>
      <c r="BR17" s="52">
        <v>0</v>
      </c>
      <c r="BS17" s="52">
        <v>11</v>
      </c>
      <c r="BT17" s="52">
        <v>0</v>
      </c>
      <c r="BU17" s="52">
        <v>14287</v>
      </c>
      <c r="BV17" s="52">
        <v>0</v>
      </c>
      <c r="BW17" s="52">
        <v>0</v>
      </c>
      <c r="BX17" s="52">
        <v>0</v>
      </c>
      <c r="BY17" s="52">
        <v>9172</v>
      </c>
      <c r="BZ17" s="52">
        <v>0</v>
      </c>
      <c r="CA17" s="52">
        <v>0</v>
      </c>
      <c r="CB17" s="52">
        <v>9172</v>
      </c>
      <c r="CC17" s="52">
        <v>23459</v>
      </c>
    </row>
    <row r="18" spans="1:81" ht="8.25" customHeight="1">
      <c r="A18" s="48">
        <v>1923</v>
      </c>
      <c r="B18" s="49" t="str">
        <f>IFERROR(INDEX(SCNtoISIC!$I:$I,MATCH($A18,SCNtoISIC!$G:$G,0)),0)</f>
        <v>ISIC 01T03</v>
      </c>
      <c r="C18" s="50" t="str">
        <f>IFERROR(INDEX(SCNtoISIC!$K:$K,MATCH($B18,SCNtoISIC!$I:$I,0)),0)</f>
        <v>Agriculture, forestry and fishing</v>
      </c>
      <c r="D18" s="51" t="s">
        <v>158</v>
      </c>
      <c r="E18" s="52">
        <v>31</v>
      </c>
      <c r="F18" s="52">
        <v>163</v>
      </c>
      <c r="G18" s="52">
        <v>1</v>
      </c>
      <c r="H18" s="52">
        <v>0</v>
      </c>
      <c r="I18" s="52">
        <v>0</v>
      </c>
      <c r="J18" s="52">
        <v>0</v>
      </c>
      <c r="K18" s="52">
        <v>0</v>
      </c>
      <c r="L18" s="52">
        <v>6482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0</v>
      </c>
      <c r="AF18" s="52">
        <v>0</v>
      </c>
      <c r="AG18" s="52">
        <v>0</v>
      </c>
      <c r="AH18" s="52">
        <v>0</v>
      </c>
      <c r="AI18" s="52">
        <v>0</v>
      </c>
      <c r="AJ18" s="52">
        <v>0</v>
      </c>
      <c r="AK18" s="52">
        <v>0</v>
      </c>
      <c r="AL18" s="52">
        <v>0</v>
      </c>
      <c r="AM18" s="52">
        <v>0</v>
      </c>
      <c r="AN18" s="52">
        <v>0</v>
      </c>
      <c r="AO18" s="52">
        <v>0</v>
      </c>
      <c r="AP18" s="52">
        <v>0</v>
      </c>
      <c r="AQ18" s="52">
        <v>0</v>
      </c>
      <c r="AR18" s="52">
        <v>0</v>
      </c>
      <c r="AS18" s="52">
        <v>0</v>
      </c>
      <c r="AT18" s="52">
        <v>0</v>
      </c>
      <c r="AU18" s="52">
        <v>0</v>
      </c>
      <c r="AV18" s="52">
        <v>0</v>
      </c>
      <c r="AW18" s="52">
        <v>0</v>
      </c>
      <c r="AX18" s="52">
        <v>0</v>
      </c>
      <c r="AY18" s="52">
        <v>0</v>
      </c>
      <c r="AZ18" s="52">
        <v>0</v>
      </c>
      <c r="BA18" s="52">
        <v>0</v>
      </c>
      <c r="BB18" s="52">
        <v>0</v>
      </c>
      <c r="BC18" s="52">
        <v>0</v>
      </c>
      <c r="BD18" s="52">
        <v>0</v>
      </c>
      <c r="BE18" s="52">
        <v>0</v>
      </c>
      <c r="BF18" s="52">
        <v>0</v>
      </c>
      <c r="BG18" s="52">
        <v>0</v>
      </c>
      <c r="BH18" s="52">
        <v>0</v>
      </c>
      <c r="BI18" s="52">
        <v>0</v>
      </c>
      <c r="BJ18" s="52">
        <v>0</v>
      </c>
      <c r="BK18" s="52">
        <v>0</v>
      </c>
      <c r="BL18" s="52">
        <v>0</v>
      </c>
      <c r="BM18" s="52">
        <v>0</v>
      </c>
      <c r="BN18" s="52">
        <v>0</v>
      </c>
      <c r="BO18" s="52">
        <v>0</v>
      </c>
      <c r="BP18" s="52">
        <v>0</v>
      </c>
      <c r="BQ18" s="52">
        <v>0</v>
      </c>
      <c r="BR18" s="52">
        <v>0</v>
      </c>
      <c r="BS18" s="52">
        <v>0</v>
      </c>
      <c r="BT18" s="52">
        <v>0</v>
      </c>
      <c r="BU18" s="52">
        <v>6677</v>
      </c>
      <c r="BV18" s="52">
        <v>4</v>
      </c>
      <c r="BW18" s="52">
        <v>0</v>
      </c>
      <c r="BX18" s="52">
        <v>0</v>
      </c>
      <c r="BY18" s="52">
        <v>186</v>
      </c>
      <c r="BZ18" s="52">
        <v>30</v>
      </c>
      <c r="CA18" s="52">
        <v>0</v>
      </c>
      <c r="CB18" s="52">
        <v>220</v>
      </c>
      <c r="CC18" s="52">
        <v>6897</v>
      </c>
    </row>
    <row r="19" spans="1:81" ht="8.25" customHeight="1">
      <c r="A19" s="48">
        <v>1924</v>
      </c>
      <c r="B19" s="49" t="str">
        <f>IFERROR(INDEX(SCNtoISIC!$I:$I,MATCH($A19,SCNtoISIC!$G:$G,0)),0)</f>
        <v>ISIC 01T03</v>
      </c>
      <c r="C19" s="50" t="str">
        <f>IFERROR(INDEX(SCNtoISIC!$K:$K,MATCH($B19,SCNtoISIC!$I:$I,0)),0)</f>
        <v>Agriculture, forestry and fishing</v>
      </c>
      <c r="D19" s="51" t="s">
        <v>162</v>
      </c>
      <c r="E19" s="52">
        <v>76</v>
      </c>
      <c r="F19" s="52">
        <v>1487</v>
      </c>
      <c r="G19" s="52">
        <v>2</v>
      </c>
      <c r="H19" s="52">
        <v>0</v>
      </c>
      <c r="I19" s="52">
        <v>0</v>
      </c>
      <c r="J19" s="52">
        <v>0</v>
      </c>
      <c r="K19" s="52">
        <v>0</v>
      </c>
      <c r="L19" s="52">
        <v>9794</v>
      </c>
      <c r="M19" s="52">
        <v>0</v>
      </c>
      <c r="N19" s="52">
        <v>1357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2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  <c r="AT19" s="52">
        <v>4</v>
      </c>
      <c r="AU19" s="52">
        <v>0</v>
      </c>
      <c r="AV19" s="52">
        <v>0</v>
      </c>
      <c r="AW19" s="52">
        <v>0</v>
      </c>
      <c r="AX19" s="52">
        <v>0</v>
      </c>
      <c r="AY19" s="52">
        <v>208</v>
      </c>
      <c r="AZ19" s="52">
        <v>874</v>
      </c>
      <c r="BA19" s="52">
        <v>0</v>
      </c>
      <c r="BB19" s="52">
        <v>0</v>
      </c>
      <c r="BC19" s="52">
        <v>0</v>
      </c>
      <c r="BD19" s="52">
        <v>0</v>
      </c>
      <c r="BE19" s="52">
        <v>0</v>
      </c>
      <c r="BF19" s="52">
        <v>0</v>
      </c>
      <c r="BG19" s="52">
        <v>0</v>
      </c>
      <c r="BH19" s="52">
        <v>0</v>
      </c>
      <c r="BI19" s="52">
        <v>0</v>
      </c>
      <c r="BJ19" s="52">
        <v>0</v>
      </c>
      <c r="BK19" s="52">
        <v>0</v>
      </c>
      <c r="BL19" s="52">
        <v>0</v>
      </c>
      <c r="BM19" s="52">
        <v>49</v>
      </c>
      <c r="BN19" s="52">
        <v>36</v>
      </c>
      <c r="BO19" s="52">
        <v>4</v>
      </c>
      <c r="BP19" s="52">
        <v>20</v>
      </c>
      <c r="BQ19" s="52">
        <v>10</v>
      </c>
      <c r="BR19" s="52">
        <v>0</v>
      </c>
      <c r="BS19" s="52">
        <v>0</v>
      </c>
      <c r="BT19" s="52">
        <v>0</v>
      </c>
      <c r="BU19" s="52">
        <v>13921</v>
      </c>
      <c r="BV19" s="52">
        <v>403</v>
      </c>
      <c r="BW19" s="52">
        <v>6</v>
      </c>
      <c r="BX19" s="52">
        <v>0</v>
      </c>
      <c r="BY19" s="52">
        <v>6103</v>
      </c>
      <c r="BZ19" s="52">
        <v>67</v>
      </c>
      <c r="CA19" s="52">
        <v>31</v>
      </c>
      <c r="CB19" s="52">
        <v>6610</v>
      </c>
      <c r="CC19" s="52">
        <v>20531</v>
      </c>
    </row>
    <row r="20" spans="1:81" ht="8.25" customHeight="1">
      <c r="A20" s="48">
        <v>2801</v>
      </c>
      <c r="B20" s="49" t="str">
        <f>IFERROR(INDEX(SCNtoISIC!$I:$I,MATCH($A20,SCNtoISIC!$G:$G,0)),0)</f>
        <v>ISIC 01T03</v>
      </c>
      <c r="C20" s="50" t="str">
        <f>IFERROR(INDEX(SCNtoISIC!$K:$K,MATCH($B20,SCNtoISIC!$I:$I,0)),0)</f>
        <v>Agriculture, forestry and fishing</v>
      </c>
      <c r="D20" s="51" t="s">
        <v>164</v>
      </c>
      <c r="E20" s="52">
        <v>1149</v>
      </c>
      <c r="F20" s="52">
        <v>1552</v>
      </c>
      <c r="G20" s="52">
        <v>2483</v>
      </c>
      <c r="H20" s="52">
        <v>2</v>
      </c>
      <c r="I20" s="52">
        <v>0</v>
      </c>
      <c r="J20" s="52">
        <v>0</v>
      </c>
      <c r="K20" s="52">
        <v>0</v>
      </c>
      <c r="L20" s="52">
        <v>383</v>
      </c>
      <c r="M20" s="52">
        <v>0</v>
      </c>
      <c r="N20" s="52">
        <v>309</v>
      </c>
      <c r="O20" s="52">
        <v>1</v>
      </c>
      <c r="P20" s="52">
        <v>11</v>
      </c>
      <c r="Q20" s="52">
        <v>74</v>
      </c>
      <c r="R20" s="52">
        <v>19</v>
      </c>
      <c r="S20" s="52">
        <v>26</v>
      </c>
      <c r="T20" s="52">
        <v>3994</v>
      </c>
      <c r="U20" s="52">
        <v>3775</v>
      </c>
      <c r="V20" s="52">
        <v>0</v>
      </c>
      <c r="W20" s="52">
        <v>0</v>
      </c>
      <c r="X20" s="52">
        <v>1</v>
      </c>
      <c r="Y20" s="52">
        <v>219</v>
      </c>
      <c r="Z20" s="52">
        <v>0</v>
      </c>
      <c r="AA20" s="52">
        <v>0</v>
      </c>
      <c r="AB20" s="52">
        <v>0</v>
      </c>
      <c r="AC20" s="52">
        <v>1867</v>
      </c>
      <c r="AD20" s="52">
        <v>100</v>
      </c>
      <c r="AE20" s="52">
        <v>669</v>
      </c>
      <c r="AF20" s="52">
        <v>0</v>
      </c>
      <c r="AG20" s="52">
        <v>16</v>
      </c>
      <c r="AH20" s="52">
        <v>0</v>
      </c>
      <c r="AI20" s="52">
        <v>0</v>
      </c>
      <c r="AJ20" s="52">
        <v>0</v>
      </c>
      <c r="AK20" s="52">
        <v>0</v>
      </c>
      <c r="AL20" s="52">
        <v>0</v>
      </c>
      <c r="AM20" s="52">
        <v>0</v>
      </c>
      <c r="AN20" s="52">
        <v>3</v>
      </c>
      <c r="AO20" s="52">
        <v>0</v>
      </c>
      <c r="AP20" s="52">
        <v>0</v>
      </c>
      <c r="AQ20" s="52">
        <v>0</v>
      </c>
      <c r="AR20" s="52">
        <v>576</v>
      </c>
      <c r="AS20" s="52">
        <v>0</v>
      </c>
      <c r="AT20" s="52">
        <v>372</v>
      </c>
      <c r="AU20" s="52">
        <v>0</v>
      </c>
      <c r="AV20" s="52">
        <v>0</v>
      </c>
      <c r="AW20" s="52">
        <v>0</v>
      </c>
      <c r="AX20" s="52">
        <v>0</v>
      </c>
      <c r="AY20" s="52">
        <v>0</v>
      </c>
      <c r="AZ20" s="52">
        <v>0</v>
      </c>
      <c r="BA20" s="52">
        <v>0</v>
      </c>
      <c r="BB20" s="52">
        <v>0</v>
      </c>
      <c r="BC20" s="52">
        <v>0</v>
      </c>
      <c r="BD20" s="52">
        <v>0</v>
      </c>
      <c r="BE20" s="52">
        <v>0</v>
      </c>
      <c r="BF20" s="52">
        <v>0</v>
      </c>
      <c r="BG20" s="52">
        <v>0</v>
      </c>
      <c r="BH20" s="52">
        <v>6</v>
      </c>
      <c r="BI20" s="52">
        <v>0</v>
      </c>
      <c r="BJ20" s="52">
        <v>0</v>
      </c>
      <c r="BK20" s="52">
        <v>0</v>
      </c>
      <c r="BL20" s="52">
        <v>0</v>
      </c>
      <c r="BM20" s="52">
        <v>20</v>
      </c>
      <c r="BN20" s="52">
        <v>7</v>
      </c>
      <c r="BO20" s="52">
        <v>0</v>
      </c>
      <c r="BP20" s="52">
        <v>0</v>
      </c>
      <c r="BQ20" s="52">
        <v>0</v>
      </c>
      <c r="BR20" s="52">
        <v>0</v>
      </c>
      <c r="BS20" s="52">
        <v>0</v>
      </c>
      <c r="BT20" s="52">
        <v>0</v>
      </c>
      <c r="BU20" s="52">
        <v>17634</v>
      </c>
      <c r="BV20" s="52">
        <v>711</v>
      </c>
      <c r="BW20" s="52">
        <v>0</v>
      </c>
      <c r="BX20" s="52">
        <v>0</v>
      </c>
      <c r="BY20" s="52">
        <v>7632</v>
      </c>
      <c r="BZ20" s="52">
        <v>715</v>
      </c>
      <c r="CA20" s="52">
        <v>486</v>
      </c>
      <c r="CB20" s="52">
        <v>9544</v>
      </c>
      <c r="CC20" s="52">
        <v>27178</v>
      </c>
    </row>
    <row r="21" spans="1:81" ht="8.25" customHeight="1">
      <c r="A21" s="48">
        <v>2802</v>
      </c>
      <c r="B21" s="49" t="str">
        <f>IFERROR(INDEX(SCNtoISIC!$I:$I,MATCH($A21,SCNtoISIC!$G:$G,0)),0)</f>
        <v>ISIC 01T03</v>
      </c>
      <c r="C21" s="50" t="str">
        <f>IFERROR(INDEX(SCNtoISIC!$K:$K,MATCH($B21,SCNtoISIC!$I:$I,0)),0)</f>
        <v>Agriculture, forestry and fishing</v>
      </c>
      <c r="D21" s="51" t="s">
        <v>166</v>
      </c>
      <c r="E21" s="52">
        <v>15</v>
      </c>
      <c r="F21" s="52">
        <v>24</v>
      </c>
      <c r="G21" s="52">
        <v>462</v>
      </c>
      <c r="H21" s="52">
        <v>0</v>
      </c>
      <c r="I21" s="52">
        <v>0</v>
      </c>
      <c r="J21" s="52">
        <v>0</v>
      </c>
      <c r="K21" s="52">
        <v>0</v>
      </c>
      <c r="L21" s="52">
        <v>1045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2">
        <v>0</v>
      </c>
      <c r="AG21" s="52">
        <v>0</v>
      </c>
      <c r="AH21" s="52">
        <v>0</v>
      </c>
      <c r="AI21" s="52">
        <v>0</v>
      </c>
      <c r="AJ21" s="52">
        <v>0</v>
      </c>
      <c r="AK21" s="52">
        <v>0</v>
      </c>
      <c r="AL21" s="52">
        <v>0</v>
      </c>
      <c r="AM21" s="52">
        <v>0</v>
      </c>
      <c r="AN21" s="52">
        <v>0</v>
      </c>
      <c r="AO21" s="52">
        <v>0</v>
      </c>
      <c r="AP21" s="52">
        <v>0</v>
      </c>
      <c r="AQ21" s="52">
        <v>0</v>
      </c>
      <c r="AR21" s="52">
        <v>0</v>
      </c>
      <c r="AS21" s="52">
        <v>0</v>
      </c>
      <c r="AT21" s="52">
        <v>0</v>
      </c>
      <c r="AU21" s="52">
        <v>0</v>
      </c>
      <c r="AV21" s="52">
        <v>0</v>
      </c>
      <c r="AW21" s="52">
        <v>0</v>
      </c>
      <c r="AX21" s="52">
        <v>0</v>
      </c>
      <c r="AY21" s="52">
        <v>48</v>
      </c>
      <c r="AZ21" s="52">
        <v>515</v>
      </c>
      <c r="BA21" s="52">
        <v>0</v>
      </c>
      <c r="BB21" s="52">
        <v>0</v>
      </c>
      <c r="BC21" s="52">
        <v>0</v>
      </c>
      <c r="BD21" s="52">
        <v>0</v>
      </c>
      <c r="BE21" s="52">
        <v>0</v>
      </c>
      <c r="BF21" s="52">
        <v>0</v>
      </c>
      <c r="BG21" s="52">
        <v>0</v>
      </c>
      <c r="BH21" s="52">
        <v>0</v>
      </c>
      <c r="BI21" s="52">
        <v>0</v>
      </c>
      <c r="BJ21" s="52">
        <v>0</v>
      </c>
      <c r="BK21" s="52">
        <v>0</v>
      </c>
      <c r="BL21" s="52">
        <v>0</v>
      </c>
      <c r="BM21" s="52">
        <v>95</v>
      </c>
      <c r="BN21" s="52">
        <v>82</v>
      </c>
      <c r="BO21" s="52">
        <v>8</v>
      </c>
      <c r="BP21" s="52">
        <v>37</v>
      </c>
      <c r="BQ21" s="52">
        <v>19</v>
      </c>
      <c r="BR21" s="52">
        <v>0</v>
      </c>
      <c r="BS21" s="52">
        <v>0</v>
      </c>
      <c r="BT21" s="52">
        <v>0</v>
      </c>
      <c r="BU21" s="52">
        <v>2350</v>
      </c>
      <c r="BV21" s="52">
        <v>180</v>
      </c>
      <c r="BW21" s="52">
        <v>13</v>
      </c>
      <c r="BX21" s="52">
        <v>0</v>
      </c>
      <c r="BY21" s="52">
        <v>8243</v>
      </c>
      <c r="BZ21" s="52">
        <v>0</v>
      </c>
      <c r="CA21" s="52">
        <v>0</v>
      </c>
      <c r="CB21" s="52">
        <v>8436</v>
      </c>
      <c r="CC21" s="52">
        <v>10786</v>
      </c>
    </row>
    <row r="22" spans="1:81" ht="8.25" customHeight="1">
      <c r="A22" s="53">
        <v>5801</v>
      </c>
      <c r="B22" s="49" t="str">
        <f>IFERROR(INDEX(SCNtoISIC!$I:$I,MATCH($A22,SCNtoISIC!$G:$G,0)),0)</f>
        <v>ISIC 05</v>
      </c>
      <c r="C22" s="50" t="str">
        <f>IFERROR(INDEX(SCNtoISIC!$K:$K,MATCH($B22,SCNtoISIC!$I:$I,0)),0)</f>
        <v>Coal mining</v>
      </c>
      <c r="D22" s="54" t="s">
        <v>170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5</v>
      </c>
      <c r="L22" s="32">
        <v>7</v>
      </c>
      <c r="M22" s="32">
        <v>0</v>
      </c>
      <c r="N22" s="32">
        <v>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28</v>
      </c>
      <c r="X22" s="32">
        <v>0</v>
      </c>
      <c r="Y22" s="32">
        <v>63</v>
      </c>
      <c r="Z22" s="32">
        <v>0</v>
      </c>
      <c r="AA22" s="32">
        <v>0</v>
      </c>
      <c r="AB22" s="32">
        <v>0</v>
      </c>
      <c r="AC22" s="32">
        <v>0</v>
      </c>
      <c r="AD22" s="32">
        <v>6</v>
      </c>
      <c r="AE22" s="32">
        <v>6634</v>
      </c>
      <c r="AF22" s="32">
        <v>486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69</v>
      </c>
      <c r="AM22" s="32">
        <v>0</v>
      </c>
      <c r="AN22" s="32">
        <v>0</v>
      </c>
      <c r="AO22" s="32">
        <v>0</v>
      </c>
      <c r="AP22" s="32">
        <v>1172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8488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-299</v>
      </c>
      <c r="CB22" s="32">
        <v>-299</v>
      </c>
      <c r="CC22" s="32">
        <v>8189</v>
      </c>
    </row>
    <row r="23" spans="1:81" ht="8.25" customHeight="1">
      <c r="A23" s="53">
        <v>5802</v>
      </c>
      <c r="B23" s="49" t="str">
        <f>IFERROR(INDEX(SCNtoISIC!$I:$I,MATCH($A23,SCNtoISIC!$G:$G,0)),0)</f>
        <v>ISIC 05</v>
      </c>
      <c r="C23" s="50" t="str">
        <f>IFERROR(INDEX(SCNtoISIC!$K:$K,MATCH($B23,SCNtoISIC!$I:$I,0)),0)</f>
        <v>Coal mining</v>
      </c>
      <c r="D23" s="54" t="s">
        <v>175</v>
      </c>
      <c r="E23" s="32">
        <v>54</v>
      </c>
      <c r="F23" s="32">
        <v>401</v>
      </c>
      <c r="G23" s="32">
        <v>12</v>
      </c>
      <c r="H23" s="32">
        <v>462</v>
      </c>
      <c r="I23" s="32">
        <v>364</v>
      </c>
      <c r="J23" s="32">
        <v>0</v>
      </c>
      <c r="K23" s="32">
        <v>0</v>
      </c>
      <c r="L23" s="32">
        <v>52</v>
      </c>
      <c r="M23" s="32">
        <v>18</v>
      </c>
      <c r="N23" s="32">
        <v>309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4</v>
      </c>
      <c r="V23" s="32">
        <v>0</v>
      </c>
      <c r="W23" s="32">
        <v>0</v>
      </c>
      <c r="X23" s="32">
        <v>165</v>
      </c>
      <c r="Y23" s="32">
        <v>4492</v>
      </c>
      <c r="Z23" s="32">
        <v>106</v>
      </c>
      <c r="AA23" s="32">
        <v>0</v>
      </c>
      <c r="AB23" s="32">
        <v>0</v>
      </c>
      <c r="AC23" s="32">
        <v>0</v>
      </c>
      <c r="AD23" s="32">
        <v>6468</v>
      </c>
      <c r="AE23" s="32">
        <v>487</v>
      </c>
      <c r="AF23" s="32">
        <v>325</v>
      </c>
      <c r="AG23" s="32">
        <v>1</v>
      </c>
      <c r="AH23" s="32">
        <v>0</v>
      </c>
      <c r="AI23" s="32">
        <v>53</v>
      </c>
      <c r="AJ23" s="32">
        <v>0</v>
      </c>
      <c r="AK23" s="32">
        <v>0</v>
      </c>
      <c r="AL23" s="32">
        <v>37</v>
      </c>
      <c r="AM23" s="32">
        <v>0</v>
      </c>
      <c r="AN23" s="32">
        <v>40</v>
      </c>
      <c r="AO23" s="32">
        <v>0</v>
      </c>
      <c r="AP23" s="32">
        <v>0</v>
      </c>
      <c r="AQ23" s="32">
        <v>398</v>
      </c>
      <c r="AR23" s="32">
        <v>9169</v>
      </c>
      <c r="AS23" s="32">
        <v>0</v>
      </c>
      <c r="AT23" s="32">
        <v>74</v>
      </c>
      <c r="AU23" s="32">
        <v>0</v>
      </c>
      <c r="AV23" s="32">
        <v>0</v>
      </c>
      <c r="AW23" s="32">
        <v>0</v>
      </c>
      <c r="AX23" s="32">
        <v>6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443</v>
      </c>
      <c r="BG23" s="32">
        <v>0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77</v>
      </c>
      <c r="BN23" s="32">
        <v>20</v>
      </c>
      <c r="BO23" s="32">
        <v>0</v>
      </c>
      <c r="BP23" s="32">
        <v>3</v>
      </c>
      <c r="BQ23" s="32">
        <v>1</v>
      </c>
      <c r="BR23" s="32">
        <v>0</v>
      </c>
      <c r="BS23" s="32">
        <v>0</v>
      </c>
      <c r="BT23" s="32">
        <v>0</v>
      </c>
      <c r="BU23" s="32">
        <v>24041</v>
      </c>
      <c r="BV23" s="32">
        <v>1187</v>
      </c>
      <c r="BW23" s="32">
        <v>0</v>
      </c>
      <c r="BX23" s="32">
        <v>0</v>
      </c>
      <c r="BY23" s="32">
        <v>0</v>
      </c>
      <c r="BZ23" s="32">
        <v>0</v>
      </c>
      <c r="CA23" s="32">
        <v>251</v>
      </c>
      <c r="CB23" s="32">
        <v>1438</v>
      </c>
      <c r="CC23" s="32">
        <v>25479</v>
      </c>
    </row>
    <row r="24" spans="1:81" ht="8.25" customHeight="1">
      <c r="A24" s="53">
        <v>6801</v>
      </c>
      <c r="B24" s="49" t="str">
        <f>IFERROR(INDEX(SCNtoISIC!$I:$I,MATCH($A24,SCNtoISIC!$G:$G,0)),0)</f>
        <v>ISIC 06</v>
      </c>
      <c r="C24" s="50" t="str">
        <f>IFERROR(INDEX(SCNtoISIC!$K:$K,MATCH($B24,SCNtoISIC!$I:$I,0)),0)</f>
        <v>Oil and gas extraction</v>
      </c>
      <c r="D24" s="54" t="s">
        <v>177</v>
      </c>
      <c r="E24" s="32">
        <v>0</v>
      </c>
      <c r="F24" s="32">
        <v>0</v>
      </c>
      <c r="G24" s="32">
        <v>0</v>
      </c>
      <c r="H24" s="32">
        <v>1</v>
      </c>
      <c r="I24" s="32">
        <v>8304</v>
      </c>
      <c r="J24" s="32">
        <v>79</v>
      </c>
      <c r="K24" s="32">
        <v>14</v>
      </c>
      <c r="L24" s="32">
        <v>69</v>
      </c>
      <c r="M24" s="32">
        <v>0</v>
      </c>
      <c r="N24" s="32">
        <v>730</v>
      </c>
      <c r="O24" s="32">
        <v>147</v>
      </c>
      <c r="P24" s="32">
        <v>0</v>
      </c>
      <c r="Q24" s="32">
        <v>161</v>
      </c>
      <c r="R24" s="32">
        <v>0</v>
      </c>
      <c r="S24" s="32">
        <v>0</v>
      </c>
      <c r="T24" s="32">
        <v>38</v>
      </c>
      <c r="U24" s="32">
        <v>617</v>
      </c>
      <c r="V24" s="32">
        <v>0</v>
      </c>
      <c r="W24" s="32">
        <v>144820</v>
      </c>
      <c r="X24" s="32">
        <v>0</v>
      </c>
      <c r="Y24" s="32">
        <v>1520</v>
      </c>
      <c r="Z24" s="32">
        <v>87</v>
      </c>
      <c r="AA24" s="32">
        <v>25</v>
      </c>
      <c r="AB24" s="32">
        <v>34</v>
      </c>
      <c r="AC24" s="32">
        <v>102</v>
      </c>
      <c r="AD24" s="32">
        <v>573</v>
      </c>
      <c r="AE24" s="32">
        <v>334</v>
      </c>
      <c r="AF24" s="32">
        <v>307</v>
      </c>
      <c r="AG24" s="32">
        <v>370</v>
      </c>
      <c r="AH24" s="32">
        <v>0</v>
      </c>
      <c r="AI24" s="32">
        <v>22</v>
      </c>
      <c r="AJ24" s="32">
        <v>23</v>
      </c>
      <c r="AK24" s="32">
        <v>102</v>
      </c>
      <c r="AL24" s="32">
        <v>196</v>
      </c>
      <c r="AM24" s="32">
        <v>0</v>
      </c>
      <c r="AN24" s="32">
        <v>0</v>
      </c>
      <c r="AO24" s="32">
        <v>0</v>
      </c>
      <c r="AP24" s="32">
        <v>9976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68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0</v>
      </c>
      <c r="BP24" s="32">
        <v>0</v>
      </c>
      <c r="BQ24" s="32">
        <v>0</v>
      </c>
      <c r="BR24" s="32">
        <v>0</v>
      </c>
      <c r="BS24" s="32">
        <v>0</v>
      </c>
      <c r="BT24" s="32">
        <v>0</v>
      </c>
      <c r="BU24" s="32">
        <v>168719</v>
      </c>
      <c r="BV24" s="32">
        <v>39805</v>
      </c>
      <c r="BW24" s="32">
        <v>0</v>
      </c>
      <c r="BX24" s="32">
        <v>0</v>
      </c>
      <c r="BY24" s="32">
        <v>0</v>
      </c>
      <c r="BZ24" s="32">
        <v>12188</v>
      </c>
      <c r="CA24" s="32">
        <v>-5730</v>
      </c>
      <c r="CB24" s="32">
        <v>46263</v>
      </c>
      <c r="CC24" s="32">
        <v>214982</v>
      </c>
    </row>
    <row r="25" spans="1:81" ht="8.25" customHeight="1">
      <c r="A25" s="53">
        <v>7911</v>
      </c>
      <c r="B25" s="49" t="str">
        <f>IFERROR(INDEX(SCNtoISIC!$I:$I,MATCH($A25,SCNtoISIC!$G:$G,0)),0)</f>
        <v>ISIC 07T08</v>
      </c>
      <c r="C25" s="50" t="str">
        <f>IFERROR(INDEX(SCNtoISIC!$K:$K,MATCH($B25,SCNtoISIC!$I:$I,0)),0)</f>
        <v>Mining and quarrying of non-energy producing products</v>
      </c>
      <c r="D25" s="54" t="s">
        <v>182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1303</v>
      </c>
      <c r="K25" s="32">
        <v>26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182</v>
      </c>
      <c r="AE25" s="32">
        <v>13645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0</v>
      </c>
      <c r="BH25" s="32">
        <v>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2">
        <v>0</v>
      </c>
      <c r="BP25" s="32">
        <v>0</v>
      </c>
      <c r="BQ25" s="32">
        <v>0</v>
      </c>
      <c r="BR25" s="32">
        <v>0</v>
      </c>
      <c r="BS25" s="32">
        <v>0</v>
      </c>
      <c r="BT25" s="32">
        <v>0</v>
      </c>
      <c r="BU25" s="32">
        <v>15162</v>
      </c>
      <c r="BV25" s="32">
        <v>60831</v>
      </c>
      <c r="BW25" s="32">
        <v>0</v>
      </c>
      <c r="BX25" s="32">
        <v>0</v>
      </c>
      <c r="BY25" s="32">
        <v>0</v>
      </c>
      <c r="BZ25" s="32">
        <v>0</v>
      </c>
      <c r="CA25" s="32">
        <v>3906</v>
      </c>
      <c r="CB25" s="32">
        <v>64737</v>
      </c>
      <c r="CC25" s="32">
        <v>79899</v>
      </c>
    </row>
    <row r="26" spans="1:81" ht="8.25" customHeight="1">
      <c r="A26" s="53">
        <v>7921</v>
      </c>
      <c r="B26" s="49" t="str">
        <f>IFERROR(INDEX(SCNtoISIC!$I:$I,MATCH($A26,SCNtoISIC!$G:$G,0)),0)</f>
        <v>ISIC 09</v>
      </c>
      <c r="C26" s="50" t="str">
        <f>IFERROR(INDEX(SCNtoISIC!$K:$K,MATCH($B26,SCNtoISIC!$I:$I,0)),0)</f>
        <v>Mining support service activities</v>
      </c>
      <c r="D26" s="54" t="s">
        <v>185</v>
      </c>
      <c r="E26" s="32">
        <v>0</v>
      </c>
      <c r="F26" s="32">
        <v>0</v>
      </c>
      <c r="G26" s="32">
        <v>0</v>
      </c>
      <c r="H26" s="32">
        <v>0</v>
      </c>
      <c r="I26" s="32">
        <v>34</v>
      </c>
      <c r="J26" s="32">
        <v>9</v>
      </c>
      <c r="K26" s="32">
        <v>874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43</v>
      </c>
      <c r="AE26" s="32">
        <v>2137</v>
      </c>
      <c r="AF26" s="32">
        <v>9380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15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2">
        <v>0</v>
      </c>
      <c r="BF26" s="32">
        <v>0</v>
      </c>
      <c r="BG26" s="32">
        <v>0</v>
      </c>
      <c r="BH26" s="32">
        <v>1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0</v>
      </c>
      <c r="BO26" s="32">
        <v>0</v>
      </c>
      <c r="BP26" s="32">
        <v>0</v>
      </c>
      <c r="BQ26" s="32">
        <v>0</v>
      </c>
      <c r="BR26" s="32">
        <v>0</v>
      </c>
      <c r="BS26" s="32">
        <v>0</v>
      </c>
      <c r="BT26" s="32">
        <v>0</v>
      </c>
      <c r="BU26" s="32">
        <v>12493</v>
      </c>
      <c r="BV26" s="32">
        <v>4431</v>
      </c>
      <c r="BW26" s="32">
        <v>0</v>
      </c>
      <c r="BX26" s="32">
        <v>0</v>
      </c>
      <c r="BY26" s="32">
        <v>0</v>
      </c>
      <c r="BZ26" s="32">
        <v>0</v>
      </c>
      <c r="CA26" s="32">
        <v>214</v>
      </c>
      <c r="CB26" s="32">
        <v>4645</v>
      </c>
      <c r="CC26" s="32">
        <v>17138</v>
      </c>
    </row>
    <row r="27" spans="1:81" ht="8.25" customHeight="1">
      <c r="A27" s="48">
        <v>10911</v>
      </c>
      <c r="B27" s="49" t="str">
        <f>IFERROR(INDEX(SCNtoISIC!$I:$I,MATCH($A27,SCNtoISIC!$G:$G,0)),0)</f>
        <v>ISIC 10T12</v>
      </c>
      <c r="C27" s="50" t="str">
        <f>IFERROR(INDEX(SCNtoISIC!$K:$K,MATCH($B27,SCNtoISIC!$I:$I,0)),0)</f>
        <v>Food products, beverages and tobacco</v>
      </c>
      <c r="D27" s="51" t="s">
        <v>190</v>
      </c>
      <c r="E27" s="52">
        <v>6</v>
      </c>
      <c r="F27" s="52">
        <v>1361</v>
      </c>
      <c r="G27" s="52">
        <v>1</v>
      </c>
      <c r="H27" s="52">
        <v>0</v>
      </c>
      <c r="I27" s="52">
        <v>0</v>
      </c>
      <c r="J27" s="52">
        <v>0</v>
      </c>
      <c r="K27" s="52">
        <v>0</v>
      </c>
      <c r="L27" s="52">
        <v>2523</v>
      </c>
      <c r="M27" s="52">
        <v>0</v>
      </c>
      <c r="N27" s="52">
        <v>285</v>
      </c>
      <c r="O27" s="52">
        <v>0</v>
      </c>
      <c r="P27" s="52">
        <v>0</v>
      </c>
      <c r="Q27" s="52">
        <v>0</v>
      </c>
      <c r="R27" s="52">
        <v>0</v>
      </c>
      <c r="S27" s="52">
        <v>2752</v>
      </c>
      <c r="T27" s="52">
        <v>0</v>
      </c>
      <c r="U27" s="52">
        <v>0</v>
      </c>
      <c r="V27" s="52">
        <v>0</v>
      </c>
      <c r="W27" s="52">
        <v>0</v>
      </c>
      <c r="X27" s="52">
        <v>428</v>
      </c>
      <c r="Y27" s="52">
        <v>0</v>
      </c>
      <c r="Z27" s="52">
        <v>0</v>
      </c>
      <c r="AA27" s="52">
        <v>1185</v>
      </c>
      <c r="AB27" s="52">
        <v>0</v>
      </c>
      <c r="AC27" s="52">
        <v>0</v>
      </c>
      <c r="AD27" s="52">
        <v>0</v>
      </c>
      <c r="AE27" s="52">
        <v>0</v>
      </c>
      <c r="AF27" s="52">
        <v>0</v>
      </c>
      <c r="AG27" s="52">
        <v>46</v>
      </c>
      <c r="AH27" s="52">
        <v>0</v>
      </c>
      <c r="AI27" s="52">
        <v>0</v>
      </c>
      <c r="AJ27" s="52">
        <v>0</v>
      </c>
      <c r="AK27" s="52">
        <v>0</v>
      </c>
      <c r="AL27" s="52">
        <v>0</v>
      </c>
      <c r="AM27" s="52">
        <v>0</v>
      </c>
      <c r="AN27" s="52">
        <v>1</v>
      </c>
      <c r="AO27" s="52">
        <v>0</v>
      </c>
      <c r="AP27" s="52">
        <v>0</v>
      </c>
      <c r="AQ27" s="52">
        <v>0</v>
      </c>
      <c r="AR27" s="52">
        <v>0</v>
      </c>
      <c r="AS27" s="52">
        <v>0</v>
      </c>
      <c r="AT27" s="52">
        <v>0</v>
      </c>
      <c r="AU27" s="52">
        <v>0</v>
      </c>
      <c r="AV27" s="52">
        <v>0</v>
      </c>
      <c r="AW27" s="52">
        <v>0</v>
      </c>
      <c r="AX27" s="52">
        <v>0</v>
      </c>
      <c r="AY27" s="52">
        <v>244</v>
      </c>
      <c r="AZ27" s="52">
        <v>8996</v>
      </c>
      <c r="BA27" s="52">
        <v>0</v>
      </c>
      <c r="BB27" s="52">
        <v>0</v>
      </c>
      <c r="BC27" s="52">
        <v>0</v>
      </c>
      <c r="BD27" s="52">
        <v>0</v>
      </c>
      <c r="BE27" s="52">
        <v>0</v>
      </c>
      <c r="BF27" s="52">
        <v>0</v>
      </c>
      <c r="BG27" s="52">
        <v>0</v>
      </c>
      <c r="BH27" s="52">
        <v>0</v>
      </c>
      <c r="BI27" s="52">
        <v>0</v>
      </c>
      <c r="BJ27" s="52">
        <v>0</v>
      </c>
      <c r="BK27" s="52">
        <v>0</v>
      </c>
      <c r="BL27" s="52">
        <v>0</v>
      </c>
      <c r="BM27" s="52">
        <v>1221</v>
      </c>
      <c r="BN27" s="52">
        <v>948</v>
      </c>
      <c r="BO27" s="52">
        <v>113</v>
      </c>
      <c r="BP27" s="52">
        <v>433</v>
      </c>
      <c r="BQ27" s="52">
        <v>278</v>
      </c>
      <c r="BR27" s="52">
        <v>5</v>
      </c>
      <c r="BS27" s="52">
        <v>122</v>
      </c>
      <c r="BT27" s="52">
        <v>0</v>
      </c>
      <c r="BU27" s="52">
        <v>20948</v>
      </c>
      <c r="BV27" s="52">
        <v>14340</v>
      </c>
      <c r="BW27" s="52">
        <v>128</v>
      </c>
      <c r="BX27" s="52">
        <v>0</v>
      </c>
      <c r="BY27" s="52">
        <v>85975</v>
      </c>
      <c r="BZ27" s="52">
        <v>0</v>
      </c>
      <c r="CA27" s="52">
        <v>669</v>
      </c>
      <c r="CB27" s="52">
        <v>101112</v>
      </c>
      <c r="CC27" s="52">
        <v>122060</v>
      </c>
    </row>
    <row r="28" spans="1:81" ht="8.25" customHeight="1">
      <c r="A28" s="48">
        <v>10912</v>
      </c>
      <c r="B28" s="49" t="str">
        <f>IFERROR(INDEX(SCNtoISIC!$I:$I,MATCH($A28,SCNtoISIC!$G:$G,0)),0)</f>
        <v>ISIC 10T12</v>
      </c>
      <c r="C28" s="50" t="str">
        <f>IFERROR(INDEX(SCNtoISIC!$K:$K,MATCH($B28,SCNtoISIC!$I:$I,0)),0)</f>
        <v>Food products, beverages and tobacco</v>
      </c>
      <c r="D28" s="51" t="s">
        <v>193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3017</v>
      </c>
      <c r="M28" s="52">
        <v>0</v>
      </c>
      <c r="N28" s="52">
        <v>1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2">
        <v>0</v>
      </c>
      <c r="AG28" s="52">
        <v>0</v>
      </c>
      <c r="AH28" s="52">
        <v>0</v>
      </c>
      <c r="AI28" s="52">
        <v>0</v>
      </c>
      <c r="AJ28" s="52">
        <v>0</v>
      </c>
      <c r="AK28" s="52">
        <v>0</v>
      </c>
      <c r="AL28" s="52">
        <v>0</v>
      </c>
      <c r="AM28" s="52">
        <v>0</v>
      </c>
      <c r="AN28" s="52">
        <v>0</v>
      </c>
      <c r="AO28" s="52">
        <v>0</v>
      </c>
      <c r="AP28" s="52">
        <v>0</v>
      </c>
      <c r="AQ28" s="52">
        <v>0</v>
      </c>
      <c r="AR28" s="52">
        <v>0</v>
      </c>
      <c r="AS28" s="52">
        <v>0</v>
      </c>
      <c r="AT28" s="52">
        <v>0</v>
      </c>
      <c r="AU28" s="52">
        <v>0</v>
      </c>
      <c r="AV28" s="52">
        <v>0</v>
      </c>
      <c r="AW28" s="52">
        <v>0</v>
      </c>
      <c r="AX28" s="52">
        <v>0</v>
      </c>
      <c r="AY28" s="52">
        <v>5</v>
      </c>
      <c r="AZ28" s="52">
        <v>497</v>
      </c>
      <c r="BA28" s="52">
        <v>0</v>
      </c>
      <c r="BB28" s="52">
        <v>0</v>
      </c>
      <c r="BC28" s="52">
        <v>0</v>
      </c>
      <c r="BD28" s="52">
        <v>0</v>
      </c>
      <c r="BE28" s="52">
        <v>0</v>
      </c>
      <c r="BF28" s="52">
        <v>0</v>
      </c>
      <c r="BG28" s="52">
        <v>0</v>
      </c>
      <c r="BH28" s="52">
        <v>0</v>
      </c>
      <c r="BI28" s="52">
        <v>0</v>
      </c>
      <c r="BJ28" s="52">
        <v>0</v>
      </c>
      <c r="BK28" s="52">
        <v>0</v>
      </c>
      <c r="BL28" s="52">
        <v>0</v>
      </c>
      <c r="BM28" s="52">
        <v>26</v>
      </c>
      <c r="BN28" s="52">
        <v>21</v>
      </c>
      <c r="BO28" s="52">
        <v>2</v>
      </c>
      <c r="BP28" s="52">
        <v>10</v>
      </c>
      <c r="BQ28" s="52">
        <v>21</v>
      </c>
      <c r="BR28" s="52">
        <v>0</v>
      </c>
      <c r="BS28" s="52">
        <v>0</v>
      </c>
      <c r="BT28" s="52">
        <v>0</v>
      </c>
      <c r="BU28" s="52">
        <v>3600</v>
      </c>
      <c r="BV28" s="52">
        <v>2648</v>
      </c>
      <c r="BW28" s="52">
        <v>0</v>
      </c>
      <c r="BX28" s="52">
        <v>0</v>
      </c>
      <c r="BY28" s="52">
        <v>5594</v>
      </c>
      <c r="BZ28" s="52">
        <v>0</v>
      </c>
      <c r="CA28" s="52">
        <v>208</v>
      </c>
      <c r="CB28" s="52">
        <v>8450</v>
      </c>
      <c r="CC28" s="52">
        <v>12050</v>
      </c>
    </row>
    <row r="29" spans="1:81" ht="8.25" customHeight="1">
      <c r="A29" s="48">
        <v>10913</v>
      </c>
      <c r="B29" s="49" t="str">
        <f>IFERROR(INDEX(SCNtoISIC!$I:$I,MATCH($A29,SCNtoISIC!$G:$G,0)),0)</f>
        <v>ISIC 10T12</v>
      </c>
      <c r="C29" s="50" t="str">
        <f>IFERROR(INDEX(SCNtoISIC!$K:$K,MATCH($B29,SCNtoISIC!$I:$I,0)),0)</f>
        <v>Food products, beverages and tobacco</v>
      </c>
      <c r="D29" s="51" t="s">
        <v>195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2017</v>
      </c>
      <c r="M29" s="52">
        <v>0</v>
      </c>
      <c r="N29" s="52">
        <v>33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2">
        <v>0</v>
      </c>
      <c r="AG29" s="52">
        <v>0</v>
      </c>
      <c r="AH29" s="52">
        <v>0</v>
      </c>
      <c r="AI29" s="52">
        <v>0</v>
      </c>
      <c r="AJ29" s="52">
        <v>0</v>
      </c>
      <c r="AK29" s="52">
        <v>0</v>
      </c>
      <c r="AL29" s="52">
        <v>0</v>
      </c>
      <c r="AM29" s="52">
        <v>0</v>
      </c>
      <c r="AN29" s="52">
        <v>0</v>
      </c>
      <c r="AO29" s="52">
        <v>0</v>
      </c>
      <c r="AP29" s="52">
        <v>0</v>
      </c>
      <c r="AQ29" s="52">
        <v>0</v>
      </c>
      <c r="AR29" s="52">
        <v>0</v>
      </c>
      <c r="AS29" s="52">
        <v>0</v>
      </c>
      <c r="AT29" s="52">
        <v>328</v>
      </c>
      <c r="AU29" s="52">
        <v>0</v>
      </c>
      <c r="AV29" s="52">
        <v>0</v>
      </c>
      <c r="AW29" s="52">
        <v>0</v>
      </c>
      <c r="AX29" s="52">
        <v>0</v>
      </c>
      <c r="AY29" s="52">
        <v>32</v>
      </c>
      <c r="AZ29" s="52">
        <v>2459</v>
      </c>
      <c r="BA29" s="52">
        <v>0</v>
      </c>
      <c r="BB29" s="52">
        <v>0</v>
      </c>
      <c r="BC29" s="52">
        <v>0</v>
      </c>
      <c r="BD29" s="52">
        <v>0</v>
      </c>
      <c r="BE29" s="52">
        <v>0</v>
      </c>
      <c r="BF29" s="52">
        <v>0</v>
      </c>
      <c r="BG29" s="52">
        <v>0</v>
      </c>
      <c r="BH29" s="52">
        <v>0</v>
      </c>
      <c r="BI29" s="52">
        <v>0</v>
      </c>
      <c r="BJ29" s="52">
        <v>0</v>
      </c>
      <c r="BK29" s="52">
        <v>0</v>
      </c>
      <c r="BL29" s="52">
        <v>0</v>
      </c>
      <c r="BM29" s="52">
        <v>276</v>
      </c>
      <c r="BN29" s="52">
        <v>217</v>
      </c>
      <c r="BO29" s="52">
        <v>29</v>
      </c>
      <c r="BP29" s="52">
        <v>98</v>
      </c>
      <c r="BQ29" s="52">
        <v>79</v>
      </c>
      <c r="BR29" s="52">
        <v>0</v>
      </c>
      <c r="BS29" s="52">
        <v>45</v>
      </c>
      <c r="BT29" s="52">
        <v>0</v>
      </c>
      <c r="BU29" s="52">
        <v>5613</v>
      </c>
      <c r="BV29" s="52">
        <v>15530</v>
      </c>
      <c r="BW29" s="52">
        <v>21</v>
      </c>
      <c r="BX29" s="52">
        <v>0</v>
      </c>
      <c r="BY29" s="52">
        <v>24905</v>
      </c>
      <c r="BZ29" s="52">
        <v>0</v>
      </c>
      <c r="CA29" s="52">
        <v>-100</v>
      </c>
      <c r="CB29" s="52">
        <v>40356</v>
      </c>
      <c r="CC29" s="52">
        <v>45969</v>
      </c>
    </row>
    <row r="30" spans="1:81" ht="8.25" customHeight="1">
      <c r="A30" s="48">
        <v>10914</v>
      </c>
      <c r="B30" s="49" t="str">
        <f>IFERROR(INDEX(SCNtoISIC!$I:$I,MATCH($A30,SCNtoISIC!$G:$G,0)),0)</f>
        <v>ISIC 10T12</v>
      </c>
      <c r="C30" s="50" t="str">
        <f>IFERROR(INDEX(SCNtoISIC!$K:$K,MATCH($B30,SCNtoISIC!$I:$I,0)),0)</f>
        <v>Food products, beverages and tobacco</v>
      </c>
      <c r="D30" s="51" t="s">
        <v>199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18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2">
        <v>0</v>
      </c>
      <c r="AG30" s="52">
        <v>0</v>
      </c>
      <c r="AH30" s="52">
        <v>0</v>
      </c>
      <c r="AI30" s="52">
        <v>0</v>
      </c>
      <c r="AJ30" s="52">
        <v>0</v>
      </c>
      <c r="AK30" s="52">
        <v>0</v>
      </c>
      <c r="AL30" s="52">
        <v>0</v>
      </c>
      <c r="AM30" s="52">
        <v>0</v>
      </c>
      <c r="AN30" s="52">
        <v>0</v>
      </c>
      <c r="AO30" s="52">
        <v>0</v>
      </c>
      <c r="AP30" s="52">
        <v>0</v>
      </c>
      <c r="AQ30" s="52">
        <v>0</v>
      </c>
      <c r="AR30" s="52">
        <v>0</v>
      </c>
      <c r="AS30" s="52">
        <v>0</v>
      </c>
      <c r="AT30" s="52">
        <v>0</v>
      </c>
      <c r="AU30" s="52">
        <v>0</v>
      </c>
      <c r="AV30" s="52">
        <v>0</v>
      </c>
      <c r="AW30" s="52">
        <v>0</v>
      </c>
      <c r="AX30" s="52">
        <v>0</v>
      </c>
      <c r="AY30" s="52">
        <v>10</v>
      </c>
      <c r="AZ30" s="52">
        <v>658</v>
      </c>
      <c r="BA30" s="52">
        <v>0</v>
      </c>
      <c r="BB30" s="52">
        <v>0</v>
      </c>
      <c r="BC30" s="52">
        <v>0</v>
      </c>
      <c r="BD30" s="52">
        <v>0</v>
      </c>
      <c r="BE30" s="52">
        <v>0</v>
      </c>
      <c r="BF30" s="52">
        <v>0</v>
      </c>
      <c r="BG30" s="52">
        <v>0</v>
      </c>
      <c r="BH30" s="52">
        <v>0</v>
      </c>
      <c r="BI30" s="52">
        <v>0</v>
      </c>
      <c r="BJ30" s="52">
        <v>0</v>
      </c>
      <c r="BK30" s="52">
        <v>0</v>
      </c>
      <c r="BL30" s="52">
        <v>0</v>
      </c>
      <c r="BM30" s="52">
        <v>56</v>
      </c>
      <c r="BN30" s="52">
        <v>46</v>
      </c>
      <c r="BO30" s="52">
        <v>3</v>
      </c>
      <c r="BP30" s="52">
        <v>23</v>
      </c>
      <c r="BQ30" s="52">
        <v>8</v>
      </c>
      <c r="BR30" s="52">
        <v>0</v>
      </c>
      <c r="BS30" s="52">
        <v>8</v>
      </c>
      <c r="BT30" s="52">
        <v>0</v>
      </c>
      <c r="BU30" s="52">
        <v>830</v>
      </c>
      <c r="BV30" s="52">
        <v>392</v>
      </c>
      <c r="BW30" s="52">
        <v>0</v>
      </c>
      <c r="BX30" s="52">
        <v>0</v>
      </c>
      <c r="BY30" s="52">
        <v>5840</v>
      </c>
      <c r="BZ30" s="52">
        <v>0</v>
      </c>
      <c r="CA30" s="52">
        <v>91</v>
      </c>
      <c r="CB30" s="52">
        <v>6323</v>
      </c>
      <c r="CC30" s="52">
        <v>7153</v>
      </c>
    </row>
    <row r="31" spans="1:81" ht="8.25" customHeight="1">
      <c r="A31" s="48">
        <v>10915</v>
      </c>
      <c r="B31" s="49" t="str">
        <f>IFERROR(INDEX(SCNtoISIC!$I:$I,MATCH($A31,SCNtoISIC!$G:$G,0)),0)</f>
        <v>ISIC 10T12</v>
      </c>
      <c r="C31" s="50" t="str">
        <f>IFERROR(INDEX(SCNtoISIC!$K:$K,MATCH($B31,SCNtoISIC!$I:$I,0)),0)</f>
        <v>Food products, beverages and tobacco</v>
      </c>
      <c r="D31" s="51" t="s">
        <v>203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6428</v>
      </c>
      <c r="M31" s="52">
        <v>0</v>
      </c>
      <c r="N31" s="52">
        <v>147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2">
        <v>0</v>
      </c>
      <c r="AG31" s="52">
        <v>0</v>
      </c>
      <c r="AH31" s="52">
        <v>0</v>
      </c>
      <c r="AI31" s="52">
        <v>0</v>
      </c>
      <c r="AJ31" s="52">
        <v>0</v>
      </c>
      <c r="AK31" s="52">
        <v>0</v>
      </c>
      <c r="AL31" s="52">
        <v>0</v>
      </c>
      <c r="AM31" s="52">
        <v>0</v>
      </c>
      <c r="AN31" s="52">
        <v>0</v>
      </c>
      <c r="AO31" s="52">
        <v>0</v>
      </c>
      <c r="AP31" s="52">
        <v>0</v>
      </c>
      <c r="AQ31" s="52">
        <v>0</v>
      </c>
      <c r="AR31" s="52">
        <v>0</v>
      </c>
      <c r="AS31" s="52">
        <v>0</v>
      </c>
      <c r="AT31" s="52">
        <v>0</v>
      </c>
      <c r="AU31" s="52">
        <v>0</v>
      </c>
      <c r="AV31" s="52">
        <v>0</v>
      </c>
      <c r="AW31" s="52">
        <v>0</v>
      </c>
      <c r="AX31" s="52">
        <v>0</v>
      </c>
      <c r="AY31" s="52">
        <v>86</v>
      </c>
      <c r="AZ31" s="52">
        <v>332</v>
      </c>
      <c r="BA31" s="52">
        <v>0</v>
      </c>
      <c r="BB31" s="52">
        <v>0</v>
      </c>
      <c r="BC31" s="52">
        <v>0</v>
      </c>
      <c r="BD31" s="52">
        <v>0</v>
      </c>
      <c r="BE31" s="52">
        <v>0</v>
      </c>
      <c r="BF31" s="52">
        <v>0</v>
      </c>
      <c r="BG31" s="52">
        <v>0</v>
      </c>
      <c r="BH31" s="52">
        <v>0</v>
      </c>
      <c r="BI31" s="52">
        <v>0</v>
      </c>
      <c r="BJ31" s="52">
        <v>0</v>
      </c>
      <c r="BK31" s="52">
        <v>0</v>
      </c>
      <c r="BL31" s="52">
        <v>0</v>
      </c>
      <c r="BM31" s="52">
        <v>646</v>
      </c>
      <c r="BN31" s="52">
        <v>279</v>
      </c>
      <c r="BO31" s="52">
        <v>27</v>
      </c>
      <c r="BP31" s="52">
        <v>125</v>
      </c>
      <c r="BQ31" s="52">
        <v>104</v>
      </c>
      <c r="BR31" s="52">
        <v>0</v>
      </c>
      <c r="BS31" s="52">
        <v>5</v>
      </c>
      <c r="BT31" s="52">
        <v>0</v>
      </c>
      <c r="BU31" s="52">
        <v>8179</v>
      </c>
      <c r="BV31" s="52">
        <v>0</v>
      </c>
      <c r="BW31" s="52">
        <v>42</v>
      </c>
      <c r="BX31" s="52">
        <v>0</v>
      </c>
      <c r="BY31" s="52">
        <v>12044</v>
      </c>
      <c r="BZ31" s="52">
        <v>0</v>
      </c>
      <c r="CA31" s="52">
        <v>-25</v>
      </c>
      <c r="CB31" s="52">
        <v>12061</v>
      </c>
      <c r="CC31" s="52">
        <v>20240</v>
      </c>
    </row>
    <row r="32" spans="1:81" ht="8.25" customHeight="1">
      <c r="A32" s="53">
        <v>10916</v>
      </c>
      <c r="B32" s="49" t="str">
        <f>IFERROR(INDEX(SCNtoISIC!$I:$I,MATCH($A32,SCNtoISIC!$G:$G,0)),0)</f>
        <v>ISIC 10T12</v>
      </c>
      <c r="C32" s="50" t="str">
        <f>IFERROR(INDEX(SCNtoISIC!$K:$K,MATCH($B32,SCNtoISIC!$I:$I,0)),0)</f>
        <v>Food products, beverages and tobacco</v>
      </c>
      <c r="D32" s="54" t="s">
        <v>206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3648</v>
      </c>
      <c r="M32" s="32">
        <v>0</v>
      </c>
      <c r="N32" s="32">
        <v>1344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12</v>
      </c>
      <c r="AA32" s="32">
        <v>0</v>
      </c>
      <c r="AB32" s="32">
        <v>2</v>
      </c>
      <c r="AC32" s="32">
        <v>0</v>
      </c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11</v>
      </c>
      <c r="AU32" s="32">
        <v>0</v>
      </c>
      <c r="AV32" s="32">
        <v>0</v>
      </c>
      <c r="AW32" s="32">
        <v>0</v>
      </c>
      <c r="AX32" s="32">
        <v>0</v>
      </c>
      <c r="AY32" s="32">
        <v>61</v>
      </c>
      <c r="AZ32" s="32">
        <v>1034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1</v>
      </c>
      <c r="BI32" s="32">
        <v>0</v>
      </c>
      <c r="BJ32" s="32">
        <v>0</v>
      </c>
      <c r="BK32" s="32">
        <v>0</v>
      </c>
      <c r="BL32" s="32">
        <v>0</v>
      </c>
      <c r="BM32" s="32">
        <v>180</v>
      </c>
      <c r="BN32" s="32">
        <v>139</v>
      </c>
      <c r="BO32" s="32">
        <v>14</v>
      </c>
      <c r="BP32" s="32">
        <v>75</v>
      </c>
      <c r="BQ32" s="32">
        <v>54</v>
      </c>
      <c r="BR32" s="32">
        <v>0</v>
      </c>
      <c r="BS32" s="32">
        <v>50</v>
      </c>
      <c r="BT32" s="32">
        <v>0</v>
      </c>
      <c r="BU32" s="32">
        <v>6625</v>
      </c>
      <c r="BV32" s="32">
        <v>235</v>
      </c>
      <c r="BW32" s="32">
        <v>21</v>
      </c>
      <c r="BX32" s="32">
        <v>0</v>
      </c>
      <c r="BY32" s="32">
        <v>44136</v>
      </c>
      <c r="BZ32" s="32">
        <v>0</v>
      </c>
      <c r="CA32" s="32">
        <v>-146</v>
      </c>
      <c r="CB32" s="32">
        <v>44246</v>
      </c>
      <c r="CC32" s="32">
        <v>50871</v>
      </c>
    </row>
    <row r="33" spans="1:81" ht="8.25" customHeight="1">
      <c r="A33" s="53">
        <v>10921</v>
      </c>
      <c r="B33" s="49" t="str">
        <f>IFERROR(INDEX(SCNtoISIC!$I:$I,MATCH($A33,SCNtoISIC!$G:$G,0)),0)</f>
        <v>ISIC 10T12</v>
      </c>
      <c r="C33" s="50" t="str">
        <f>IFERROR(INDEX(SCNtoISIC!$K:$K,MATCH($B33,SCNtoISIC!$I:$I,0)),0)</f>
        <v>Food products, beverages and tobacco</v>
      </c>
      <c r="D33" s="54" t="s">
        <v>210</v>
      </c>
      <c r="E33" s="32">
        <v>20</v>
      </c>
      <c r="F33" s="32">
        <v>94</v>
      </c>
      <c r="G33" s="32">
        <v>1</v>
      </c>
      <c r="H33" s="32">
        <v>0</v>
      </c>
      <c r="I33" s="32">
        <v>0</v>
      </c>
      <c r="J33" s="32">
        <v>0</v>
      </c>
      <c r="K33" s="32">
        <v>0</v>
      </c>
      <c r="L33" s="32">
        <v>474</v>
      </c>
      <c r="M33" s="32">
        <v>2630</v>
      </c>
      <c r="N33" s="32">
        <v>7058</v>
      </c>
      <c r="O33" s="32">
        <v>1395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594</v>
      </c>
      <c r="Y33" s="32">
        <v>0</v>
      </c>
      <c r="Z33" s="32">
        <v>630</v>
      </c>
      <c r="AA33" s="32">
        <v>0</v>
      </c>
      <c r="AB33" s="32">
        <v>1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15</v>
      </c>
      <c r="AU33" s="32">
        <v>0</v>
      </c>
      <c r="AV33" s="32">
        <v>0</v>
      </c>
      <c r="AW33" s="32">
        <v>0</v>
      </c>
      <c r="AX33" s="32">
        <v>0</v>
      </c>
      <c r="AY33" s="32">
        <v>2</v>
      </c>
      <c r="AZ33" s="32">
        <v>1217</v>
      </c>
      <c r="BA33" s="32">
        <v>0</v>
      </c>
      <c r="BB33" s="32">
        <v>0</v>
      </c>
      <c r="BC33" s="32">
        <v>0</v>
      </c>
      <c r="BD33" s="32">
        <v>0</v>
      </c>
      <c r="BE33" s="32">
        <v>2</v>
      </c>
      <c r="BF33" s="32">
        <v>0</v>
      </c>
      <c r="BG33" s="32">
        <v>0</v>
      </c>
      <c r="BH33" s="32">
        <v>2</v>
      </c>
      <c r="BI33" s="32">
        <v>0</v>
      </c>
      <c r="BJ33" s="32">
        <v>0</v>
      </c>
      <c r="BK33" s="32">
        <v>1</v>
      </c>
      <c r="BL33" s="32">
        <v>0</v>
      </c>
      <c r="BM33" s="32">
        <v>104</v>
      </c>
      <c r="BN33" s="32">
        <v>83</v>
      </c>
      <c r="BO33" s="32">
        <v>9</v>
      </c>
      <c r="BP33" s="32">
        <v>38</v>
      </c>
      <c r="BQ33" s="32">
        <v>27</v>
      </c>
      <c r="BR33" s="32">
        <v>0</v>
      </c>
      <c r="BS33" s="32">
        <v>10</v>
      </c>
      <c r="BT33" s="32">
        <v>0</v>
      </c>
      <c r="BU33" s="32">
        <v>14407</v>
      </c>
      <c r="BV33" s="32">
        <v>25530</v>
      </c>
      <c r="BW33" s="32">
        <v>0</v>
      </c>
      <c r="BX33" s="32">
        <v>0</v>
      </c>
      <c r="BY33" s="32">
        <v>9646</v>
      </c>
      <c r="BZ33" s="32">
        <v>0</v>
      </c>
      <c r="CA33" s="32">
        <v>3116</v>
      </c>
      <c r="CB33" s="32">
        <v>38292</v>
      </c>
      <c r="CC33" s="32">
        <v>52699</v>
      </c>
    </row>
    <row r="34" spans="1:81" ht="8.25" customHeight="1">
      <c r="A34" s="53">
        <v>10931</v>
      </c>
      <c r="B34" s="49" t="str">
        <f>IFERROR(INDEX(SCNtoISIC!$I:$I,MATCH($A34,SCNtoISIC!$G:$G,0)),0)</f>
        <v>ISIC 10T12</v>
      </c>
      <c r="C34" s="50" t="str">
        <f>IFERROR(INDEX(SCNtoISIC!$K:$K,MATCH($B34,SCNtoISIC!$I:$I,0)),0)</f>
        <v>Food products, beverages and tobacco</v>
      </c>
      <c r="D34" s="54" t="s">
        <v>214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126</v>
      </c>
      <c r="M34" s="32">
        <v>0</v>
      </c>
      <c r="N34" s="32">
        <v>2670</v>
      </c>
      <c r="O34" s="32">
        <v>484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7</v>
      </c>
      <c r="AV34" s="32">
        <v>0</v>
      </c>
      <c r="AW34" s="32">
        <v>0</v>
      </c>
      <c r="AX34" s="32">
        <v>0</v>
      </c>
      <c r="AY34" s="32">
        <v>2</v>
      </c>
      <c r="AZ34" s="32">
        <v>1245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2</v>
      </c>
      <c r="BI34" s="32">
        <v>0</v>
      </c>
      <c r="BJ34" s="32">
        <v>0</v>
      </c>
      <c r="BK34" s="32">
        <v>0</v>
      </c>
      <c r="BL34" s="32">
        <v>0</v>
      </c>
      <c r="BM34" s="32">
        <v>435</v>
      </c>
      <c r="BN34" s="32">
        <v>335</v>
      </c>
      <c r="BO34" s="32">
        <v>32</v>
      </c>
      <c r="BP34" s="32">
        <v>150</v>
      </c>
      <c r="BQ34" s="32">
        <v>73</v>
      </c>
      <c r="BR34" s="32">
        <v>0</v>
      </c>
      <c r="BS34" s="32">
        <v>9</v>
      </c>
      <c r="BT34" s="32">
        <v>0</v>
      </c>
      <c r="BU34" s="32">
        <v>5570</v>
      </c>
      <c r="BV34" s="32">
        <v>6162</v>
      </c>
      <c r="BW34" s="32">
        <v>52</v>
      </c>
      <c r="BX34" s="32">
        <v>0</v>
      </c>
      <c r="BY34" s="32">
        <v>19511</v>
      </c>
      <c r="BZ34" s="32">
        <v>0</v>
      </c>
      <c r="CA34" s="32">
        <v>2153</v>
      </c>
      <c r="CB34" s="32">
        <v>27878</v>
      </c>
      <c r="CC34" s="32">
        <v>33448</v>
      </c>
    </row>
    <row r="35" spans="1:81" ht="8.25" customHeight="1">
      <c r="A35" s="53">
        <v>10932</v>
      </c>
      <c r="B35" s="49" t="str">
        <f>IFERROR(INDEX(SCNtoISIC!$I:$I,MATCH($A35,SCNtoISIC!$G:$G,0)),0)</f>
        <v>ISIC 10T12</v>
      </c>
      <c r="C35" s="50" t="str">
        <f>IFERROR(INDEX(SCNtoISIC!$K:$K,MATCH($B35,SCNtoISIC!$I:$I,0)),0)</f>
        <v>Food products, beverages and tobacco</v>
      </c>
      <c r="D35" s="54" t="s">
        <v>218</v>
      </c>
      <c r="E35" s="32">
        <v>349</v>
      </c>
      <c r="F35" s="32">
        <v>1619</v>
      </c>
      <c r="G35" s="32">
        <v>5</v>
      </c>
      <c r="H35" s="32">
        <v>0</v>
      </c>
      <c r="I35" s="32">
        <v>0</v>
      </c>
      <c r="J35" s="32">
        <v>0</v>
      </c>
      <c r="K35" s="32">
        <v>0</v>
      </c>
      <c r="L35" s="32">
        <v>5789</v>
      </c>
      <c r="M35" s="32">
        <v>0</v>
      </c>
      <c r="N35" s="32">
        <v>14162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1436</v>
      </c>
      <c r="Y35" s="32">
        <v>2</v>
      </c>
      <c r="Z35" s="32">
        <v>114</v>
      </c>
      <c r="AA35" s="32">
        <v>750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0</v>
      </c>
      <c r="AM35" s="32">
        <v>0</v>
      </c>
      <c r="AN35" s="32">
        <v>6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330</v>
      </c>
      <c r="AU35" s="32">
        <v>0</v>
      </c>
      <c r="AV35" s="32">
        <v>0</v>
      </c>
      <c r="AW35" s="32">
        <v>0</v>
      </c>
      <c r="AX35" s="32">
        <v>0</v>
      </c>
      <c r="AY35" s="32">
        <v>5</v>
      </c>
      <c r="AZ35" s="32">
        <v>2626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1</v>
      </c>
      <c r="BI35" s="32">
        <v>0</v>
      </c>
      <c r="BJ35" s="32">
        <v>0</v>
      </c>
      <c r="BK35" s="32">
        <v>0</v>
      </c>
      <c r="BL35" s="32">
        <v>0</v>
      </c>
      <c r="BM35" s="32">
        <v>129</v>
      </c>
      <c r="BN35" s="32">
        <v>104</v>
      </c>
      <c r="BO35" s="32">
        <v>9</v>
      </c>
      <c r="BP35" s="32">
        <v>50</v>
      </c>
      <c r="BQ35" s="32">
        <v>27</v>
      </c>
      <c r="BR35" s="32">
        <v>0</v>
      </c>
      <c r="BS35" s="32">
        <v>18</v>
      </c>
      <c r="BT35" s="32">
        <v>0</v>
      </c>
      <c r="BU35" s="32">
        <v>27531</v>
      </c>
      <c r="BV35" s="32">
        <v>17541</v>
      </c>
      <c r="BW35" s="32">
        <v>0</v>
      </c>
      <c r="BX35" s="32">
        <v>0</v>
      </c>
      <c r="BY35" s="32">
        <v>20055</v>
      </c>
      <c r="BZ35" s="32">
        <v>0</v>
      </c>
      <c r="CA35" s="32">
        <v>-754</v>
      </c>
      <c r="CB35" s="32">
        <v>36842</v>
      </c>
      <c r="CC35" s="32">
        <v>64373</v>
      </c>
    </row>
    <row r="36" spans="1:81" ht="8.25" customHeight="1">
      <c r="A36" s="53">
        <v>10933</v>
      </c>
      <c r="B36" s="49" t="str">
        <f>IFERROR(INDEX(SCNtoISIC!$I:$I,MATCH($A36,SCNtoISIC!$G:$G,0)),0)</f>
        <v>ISIC 10T12</v>
      </c>
      <c r="C36" s="50" t="str">
        <f>IFERROR(INDEX(SCNtoISIC!$K:$K,MATCH($B36,SCNtoISIC!$I:$I,0)),0)</f>
        <v>Food products, beverages and tobacco</v>
      </c>
      <c r="D36" s="54" t="s">
        <v>222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213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32">
        <v>0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0</v>
      </c>
      <c r="AI36" s="32">
        <v>0</v>
      </c>
      <c r="AJ36" s="32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101</v>
      </c>
      <c r="AT36" s="32">
        <v>20</v>
      </c>
      <c r="AU36" s="32">
        <v>0</v>
      </c>
      <c r="AV36" s="32">
        <v>0</v>
      </c>
      <c r="AW36" s="32">
        <v>31</v>
      </c>
      <c r="AX36" s="32">
        <v>0</v>
      </c>
      <c r="AY36" s="32">
        <v>65</v>
      </c>
      <c r="AZ36" s="32">
        <v>1683</v>
      </c>
      <c r="BA36" s="32">
        <v>0</v>
      </c>
      <c r="BB36" s="32">
        <v>0</v>
      </c>
      <c r="BC36" s="32">
        <v>0</v>
      </c>
      <c r="BD36" s="32">
        <v>0</v>
      </c>
      <c r="BE36" s="32">
        <v>219</v>
      </c>
      <c r="BF36" s="32">
        <v>15</v>
      </c>
      <c r="BG36" s="32">
        <v>12</v>
      </c>
      <c r="BH36" s="32">
        <v>0</v>
      </c>
      <c r="BI36" s="32">
        <v>0</v>
      </c>
      <c r="BJ36" s="32">
        <v>0</v>
      </c>
      <c r="BK36" s="32">
        <v>1</v>
      </c>
      <c r="BL36" s="32">
        <v>0</v>
      </c>
      <c r="BM36" s="32">
        <v>94</v>
      </c>
      <c r="BN36" s="32">
        <v>78</v>
      </c>
      <c r="BO36" s="32">
        <v>8</v>
      </c>
      <c r="BP36" s="32">
        <v>32</v>
      </c>
      <c r="BQ36" s="32">
        <v>47</v>
      </c>
      <c r="BR36" s="32">
        <v>0</v>
      </c>
      <c r="BS36" s="32">
        <v>18</v>
      </c>
      <c r="BT36" s="32">
        <v>0</v>
      </c>
      <c r="BU36" s="32">
        <v>2637</v>
      </c>
      <c r="BV36" s="32">
        <v>1456</v>
      </c>
      <c r="BW36" s="32">
        <v>11</v>
      </c>
      <c r="BX36" s="32">
        <v>0</v>
      </c>
      <c r="BY36" s="32">
        <v>9517</v>
      </c>
      <c r="BZ36" s="32">
        <v>0</v>
      </c>
      <c r="CA36" s="32">
        <v>473</v>
      </c>
      <c r="CB36" s="32">
        <v>11457</v>
      </c>
      <c r="CC36" s="32">
        <v>14094</v>
      </c>
    </row>
    <row r="37" spans="1:81" ht="8.25" customHeight="1">
      <c r="A37" s="48">
        <v>10934</v>
      </c>
      <c r="B37" s="49" t="str">
        <f>IFERROR(INDEX(SCNtoISIC!$I:$I,MATCH($A37,SCNtoISIC!$G:$G,0)),0)</f>
        <v>ISIC 10T12</v>
      </c>
      <c r="C37" s="50" t="str">
        <f>IFERROR(INDEX(SCNtoISIC!$K:$K,MATCH($B37,SCNtoISIC!$I:$I,0)),0)</f>
        <v>Food products, beverages and tobacco</v>
      </c>
      <c r="D37" s="51" t="s">
        <v>226</v>
      </c>
      <c r="E37" s="52">
        <v>13</v>
      </c>
      <c r="F37" s="52">
        <v>34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317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2">
        <v>0</v>
      </c>
      <c r="AG37" s="52">
        <v>0</v>
      </c>
      <c r="AH37" s="52">
        <v>0</v>
      </c>
      <c r="AI37" s="52">
        <v>0</v>
      </c>
      <c r="AJ37" s="52">
        <v>0</v>
      </c>
      <c r="AK37" s="52">
        <v>0</v>
      </c>
      <c r="AL37" s="52">
        <v>0</v>
      </c>
      <c r="AM37" s="52">
        <v>0</v>
      </c>
      <c r="AN37" s="52">
        <v>0</v>
      </c>
      <c r="AO37" s="52">
        <v>0</v>
      </c>
      <c r="AP37" s="52">
        <v>0</v>
      </c>
      <c r="AQ37" s="52">
        <v>0</v>
      </c>
      <c r="AR37" s="52">
        <v>0</v>
      </c>
      <c r="AS37" s="52">
        <v>0</v>
      </c>
      <c r="AT37" s="52">
        <v>0</v>
      </c>
      <c r="AU37" s="52">
        <v>0</v>
      </c>
      <c r="AV37" s="52">
        <v>0</v>
      </c>
      <c r="AW37" s="52">
        <v>0</v>
      </c>
      <c r="AX37" s="52">
        <v>0</v>
      </c>
      <c r="AY37" s="52">
        <v>5</v>
      </c>
      <c r="AZ37" s="52">
        <v>1058</v>
      </c>
      <c r="BA37" s="52">
        <v>0</v>
      </c>
      <c r="BB37" s="52">
        <v>0</v>
      </c>
      <c r="BC37" s="52">
        <v>0</v>
      </c>
      <c r="BD37" s="52">
        <v>0</v>
      </c>
      <c r="BE37" s="52">
        <v>0</v>
      </c>
      <c r="BF37" s="52">
        <v>0</v>
      </c>
      <c r="BG37" s="52">
        <v>0</v>
      </c>
      <c r="BH37" s="52">
        <v>0</v>
      </c>
      <c r="BI37" s="52">
        <v>0</v>
      </c>
      <c r="BJ37" s="52">
        <v>0</v>
      </c>
      <c r="BK37" s="52">
        <v>0</v>
      </c>
      <c r="BL37" s="52">
        <v>0</v>
      </c>
      <c r="BM37" s="52">
        <v>312</v>
      </c>
      <c r="BN37" s="52">
        <v>240</v>
      </c>
      <c r="BO37" s="52">
        <v>20</v>
      </c>
      <c r="BP37" s="52">
        <v>108</v>
      </c>
      <c r="BQ37" s="52">
        <v>57</v>
      </c>
      <c r="BR37" s="52">
        <v>0</v>
      </c>
      <c r="BS37" s="52">
        <v>23</v>
      </c>
      <c r="BT37" s="52">
        <v>0</v>
      </c>
      <c r="BU37" s="52">
        <v>2187</v>
      </c>
      <c r="BV37" s="52">
        <v>963</v>
      </c>
      <c r="BW37" s="52">
        <v>37</v>
      </c>
      <c r="BX37" s="52">
        <v>0</v>
      </c>
      <c r="BY37" s="52">
        <v>16308</v>
      </c>
      <c r="BZ37" s="52">
        <v>0</v>
      </c>
      <c r="CA37" s="52">
        <v>-37</v>
      </c>
      <c r="CB37" s="52">
        <v>17271</v>
      </c>
      <c r="CC37" s="52">
        <v>19458</v>
      </c>
    </row>
    <row r="38" spans="1:81" ht="8.25" customHeight="1">
      <c r="A38" s="48">
        <v>10935</v>
      </c>
      <c r="B38" s="49" t="str">
        <f>IFERROR(INDEX(SCNtoISIC!$I:$I,MATCH($A38,SCNtoISIC!$G:$G,0)),0)</f>
        <v>ISIC 10T12</v>
      </c>
      <c r="C38" s="50" t="str">
        <f>IFERROR(INDEX(SCNtoISIC!$K:$K,MATCH($B38,SCNtoISIC!$I:$I,0)),0)</f>
        <v>Food products, beverages and tobacco</v>
      </c>
      <c r="D38" s="51" t="s">
        <v>230</v>
      </c>
      <c r="E38" s="52">
        <v>14</v>
      </c>
      <c r="F38" s="52">
        <v>340</v>
      </c>
      <c r="G38" s="52">
        <v>0</v>
      </c>
      <c r="H38" s="52">
        <v>29</v>
      </c>
      <c r="I38" s="52">
        <v>0</v>
      </c>
      <c r="J38" s="52">
        <v>3</v>
      </c>
      <c r="K38" s="52">
        <v>0</v>
      </c>
      <c r="L38" s="52">
        <v>3099</v>
      </c>
      <c r="M38" s="52">
        <v>0</v>
      </c>
      <c r="N38" s="52">
        <v>7095</v>
      </c>
      <c r="O38" s="52">
        <v>1579</v>
      </c>
      <c r="P38" s="52">
        <v>0</v>
      </c>
      <c r="Q38" s="52">
        <v>0</v>
      </c>
      <c r="R38" s="52">
        <v>0</v>
      </c>
      <c r="S38" s="52">
        <v>0</v>
      </c>
      <c r="T38" s="52">
        <v>0</v>
      </c>
      <c r="U38" s="52">
        <v>636</v>
      </c>
      <c r="V38" s="52">
        <v>0</v>
      </c>
      <c r="W38" s="52">
        <v>0</v>
      </c>
      <c r="X38" s="52">
        <v>0</v>
      </c>
      <c r="Y38" s="52">
        <v>0</v>
      </c>
      <c r="Z38" s="52">
        <v>362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2">
        <v>0</v>
      </c>
      <c r="AG38" s="52">
        <v>0</v>
      </c>
      <c r="AH38" s="52">
        <v>0</v>
      </c>
      <c r="AI38" s="52">
        <v>0</v>
      </c>
      <c r="AJ38" s="52">
        <v>0</v>
      </c>
      <c r="AK38" s="52">
        <v>0</v>
      </c>
      <c r="AL38" s="52">
        <v>0</v>
      </c>
      <c r="AM38" s="52">
        <v>0</v>
      </c>
      <c r="AN38" s="52">
        <v>0</v>
      </c>
      <c r="AO38" s="52">
        <v>0</v>
      </c>
      <c r="AP38" s="52">
        <v>0</v>
      </c>
      <c r="AQ38" s="52">
        <v>0</v>
      </c>
      <c r="AR38" s="52">
        <v>0</v>
      </c>
      <c r="AS38" s="52">
        <v>0</v>
      </c>
      <c r="AT38" s="52">
        <v>2351</v>
      </c>
      <c r="AU38" s="52">
        <v>0</v>
      </c>
      <c r="AV38" s="52">
        <v>0</v>
      </c>
      <c r="AW38" s="52">
        <v>0</v>
      </c>
      <c r="AX38" s="52">
        <v>0</v>
      </c>
      <c r="AY38" s="52">
        <v>2</v>
      </c>
      <c r="AZ38" s="52">
        <v>1614</v>
      </c>
      <c r="BA38" s="52">
        <v>0</v>
      </c>
      <c r="BB38" s="52">
        <v>0</v>
      </c>
      <c r="BC38" s="52">
        <v>0</v>
      </c>
      <c r="BD38" s="52">
        <v>0</v>
      </c>
      <c r="BE38" s="52">
        <v>0</v>
      </c>
      <c r="BF38" s="52">
        <v>0</v>
      </c>
      <c r="BG38" s="52">
        <v>0</v>
      </c>
      <c r="BH38" s="52">
        <v>4</v>
      </c>
      <c r="BI38" s="52">
        <v>0</v>
      </c>
      <c r="BJ38" s="52">
        <v>0</v>
      </c>
      <c r="BK38" s="52">
        <v>0</v>
      </c>
      <c r="BL38" s="52">
        <v>0</v>
      </c>
      <c r="BM38" s="52">
        <v>88</v>
      </c>
      <c r="BN38" s="52">
        <v>73</v>
      </c>
      <c r="BO38" s="52">
        <v>3</v>
      </c>
      <c r="BP38" s="52">
        <v>24</v>
      </c>
      <c r="BQ38" s="52">
        <v>16</v>
      </c>
      <c r="BR38" s="52">
        <v>0</v>
      </c>
      <c r="BS38" s="52">
        <v>42</v>
      </c>
      <c r="BT38" s="52">
        <v>0</v>
      </c>
      <c r="BU38" s="52">
        <v>17374</v>
      </c>
      <c r="BV38" s="52">
        <v>365</v>
      </c>
      <c r="BW38" s="52">
        <v>32</v>
      </c>
      <c r="BX38" s="52">
        <v>0</v>
      </c>
      <c r="BY38" s="52">
        <v>20169</v>
      </c>
      <c r="BZ38" s="52">
        <v>0</v>
      </c>
      <c r="CA38" s="52">
        <v>233</v>
      </c>
      <c r="CB38" s="52">
        <v>20799</v>
      </c>
      <c r="CC38" s="52">
        <v>38173</v>
      </c>
    </row>
    <row r="39" spans="1:81" ht="8.25" customHeight="1">
      <c r="A39" s="48">
        <v>10936</v>
      </c>
      <c r="B39" s="49" t="str">
        <f>IFERROR(INDEX(SCNtoISIC!$I:$I,MATCH($A39,SCNtoISIC!$G:$G,0)),0)</f>
        <v>ISIC 10T12</v>
      </c>
      <c r="C39" s="50" t="str">
        <f>IFERROR(INDEX(SCNtoISIC!$K:$K,MATCH($B39,SCNtoISIC!$I:$I,0)),0)</f>
        <v>Food products, beverages and tobacco</v>
      </c>
      <c r="D39" s="51" t="s">
        <v>234</v>
      </c>
      <c r="E39" s="52">
        <v>1074</v>
      </c>
      <c r="F39" s="52">
        <v>11180</v>
      </c>
      <c r="G39" s="52">
        <v>834</v>
      </c>
      <c r="H39" s="52">
        <v>0</v>
      </c>
      <c r="I39" s="52">
        <v>0</v>
      </c>
      <c r="J39" s="52">
        <v>0</v>
      </c>
      <c r="K39" s="52">
        <v>0</v>
      </c>
      <c r="L39" s="52">
        <v>9205</v>
      </c>
      <c r="M39" s="52">
        <v>0</v>
      </c>
      <c r="N39" s="52">
        <v>692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2">
        <v>0</v>
      </c>
      <c r="AG39" s="52">
        <v>0</v>
      </c>
      <c r="AH39" s="52">
        <v>0</v>
      </c>
      <c r="AI39" s="52">
        <v>0</v>
      </c>
      <c r="AJ39" s="52">
        <v>0</v>
      </c>
      <c r="AK39" s="52">
        <v>0</v>
      </c>
      <c r="AL39" s="52">
        <v>0</v>
      </c>
      <c r="AM39" s="52">
        <v>0</v>
      </c>
      <c r="AN39" s="52">
        <v>0</v>
      </c>
      <c r="AO39" s="52">
        <v>0</v>
      </c>
      <c r="AP39" s="52">
        <v>0</v>
      </c>
      <c r="AQ39" s="52">
        <v>0</v>
      </c>
      <c r="AR39" s="52">
        <v>0</v>
      </c>
      <c r="AS39" s="52">
        <v>0</v>
      </c>
      <c r="AT39" s="52">
        <v>0</v>
      </c>
      <c r="AU39" s="52">
        <v>0</v>
      </c>
      <c r="AV39" s="52">
        <v>0</v>
      </c>
      <c r="AW39" s="52">
        <v>0</v>
      </c>
      <c r="AX39" s="52">
        <v>0</v>
      </c>
      <c r="AY39" s="52">
        <v>0</v>
      </c>
      <c r="AZ39" s="52">
        <v>0</v>
      </c>
      <c r="BA39" s="52">
        <v>0</v>
      </c>
      <c r="BB39" s="52">
        <v>0</v>
      </c>
      <c r="BC39" s="52">
        <v>0</v>
      </c>
      <c r="BD39" s="52">
        <v>0</v>
      </c>
      <c r="BE39" s="52">
        <v>0</v>
      </c>
      <c r="BF39" s="52">
        <v>0</v>
      </c>
      <c r="BG39" s="52">
        <v>0</v>
      </c>
      <c r="BH39" s="52">
        <v>0</v>
      </c>
      <c r="BI39" s="52">
        <v>20</v>
      </c>
      <c r="BJ39" s="52">
        <v>0</v>
      </c>
      <c r="BK39" s="52">
        <v>0</v>
      </c>
      <c r="BL39" s="52">
        <v>0</v>
      </c>
      <c r="BM39" s="52">
        <v>62</v>
      </c>
      <c r="BN39" s="52">
        <v>62</v>
      </c>
      <c r="BO39" s="52">
        <v>0</v>
      </c>
      <c r="BP39" s="52">
        <v>5</v>
      </c>
      <c r="BQ39" s="52">
        <v>4</v>
      </c>
      <c r="BR39" s="52">
        <v>29</v>
      </c>
      <c r="BS39" s="52">
        <v>737</v>
      </c>
      <c r="BT39" s="52">
        <v>0</v>
      </c>
      <c r="BU39" s="52">
        <v>23904</v>
      </c>
      <c r="BV39" s="52">
        <v>331</v>
      </c>
      <c r="BW39" s="52">
        <v>0</v>
      </c>
      <c r="BX39" s="52">
        <v>0</v>
      </c>
      <c r="BY39" s="52">
        <v>9240</v>
      </c>
      <c r="BZ39" s="52">
        <v>0</v>
      </c>
      <c r="CA39" s="52">
        <v>1395</v>
      </c>
      <c r="CB39" s="52">
        <v>10966</v>
      </c>
      <c r="CC39" s="52">
        <v>34870</v>
      </c>
    </row>
    <row r="40" spans="1:81" ht="8.25" customHeight="1">
      <c r="A40" s="48">
        <v>10937</v>
      </c>
      <c r="B40" s="49" t="str">
        <f>IFERROR(INDEX(SCNtoISIC!$I:$I,MATCH($A40,SCNtoISIC!$G:$G,0)),0)</f>
        <v>ISIC 10T12</v>
      </c>
      <c r="C40" s="50" t="str">
        <f>IFERROR(INDEX(SCNtoISIC!$K:$K,MATCH($B40,SCNtoISIC!$I:$I,0)),0)</f>
        <v>Food products, beverages and tobacco</v>
      </c>
      <c r="D40" s="51" t="s">
        <v>153</v>
      </c>
      <c r="E40" s="52">
        <v>11</v>
      </c>
      <c r="F40" s="52">
        <v>99</v>
      </c>
      <c r="G40" s="52">
        <v>5</v>
      </c>
      <c r="H40" s="52">
        <v>0</v>
      </c>
      <c r="I40" s="52">
        <v>0</v>
      </c>
      <c r="J40" s="52">
        <v>0</v>
      </c>
      <c r="K40" s="52">
        <v>0</v>
      </c>
      <c r="L40" s="52">
        <v>2660</v>
      </c>
      <c r="M40" s="52">
        <v>0</v>
      </c>
      <c r="N40" s="52">
        <v>5229</v>
      </c>
      <c r="O40" s="52">
        <v>273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15</v>
      </c>
      <c r="AA40" s="52">
        <v>0</v>
      </c>
      <c r="AB40" s="52">
        <v>5</v>
      </c>
      <c r="AC40" s="52">
        <v>0</v>
      </c>
      <c r="AD40" s="52">
        <v>0</v>
      </c>
      <c r="AE40" s="52">
        <v>0</v>
      </c>
      <c r="AF40" s="52">
        <v>0</v>
      </c>
      <c r="AG40" s="52">
        <v>0</v>
      </c>
      <c r="AH40" s="52">
        <v>0</v>
      </c>
      <c r="AI40" s="52">
        <v>0</v>
      </c>
      <c r="AJ40" s="52">
        <v>0</v>
      </c>
      <c r="AK40" s="52">
        <v>0</v>
      </c>
      <c r="AL40" s="52">
        <v>2</v>
      </c>
      <c r="AM40" s="52">
        <v>0</v>
      </c>
      <c r="AN40" s="52">
        <v>0</v>
      </c>
      <c r="AO40" s="52">
        <v>0</v>
      </c>
      <c r="AP40" s="52">
        <v>0</v>
      </c>
      <c r="AQ40" s="52">
        <v>0</v>
      </c>
      <c r="AR40" s="52">
        <v>0</v>
      </c>
      <c r="AS40" s="52">
        <v>0</v>
      </c>
      <c r="AT40" s="52">
        <v>260</v>
      </c>
      <c r="AU40" s="52">
        <v>2</v>
      </c>
      <c r="AV40" s="52">
        <v>0</v>
      </c>
      <c r="AW40" s="52">
        <v>0</v>
      </c>
      <c r="AX40" s="52">
        <v>16</v>
      </c>
      <c r="AY40" s="52">
        <v>208</v>
      </c>
      <c r="AZ40" s="52">
        <v>3942</v>
      </c>
      <c r="BA40" s="52">
        <v>0</v>
      </c>
      <c r="BB40" s="52">
        <v>0</v>
      </c>
      <c r="BC40" s="52">
        <v>27</v>
      </c>
      <c r="BD40" s="52">
        <v>0</v>
      </c>
      <c r="BE40" s="52">
        <v>2</v>
      </c>
      <c r="BF40" s="52">
        <v>0</v>
      </c>
      <c r="BG40" s="52">
        <v>16</v>
      </c>
      <c r="BH40" s="52">
        <v>5</v>
      </c>
      <c r="BI40" s="52">
        <v>16</v>
      </c>
      <c r="BJ40" s="52">
        <v>0</v>
      </c>
      <c r="BK40" s="52">
        <v>0</v>
      </c>
      <c r="BL40" s="52">
        <v>0</v>
      </c>
      <c r="BM40" s="52">
        <v>848</v>
      </c>
      <c r="BN40" s="52">
        <v>924</v>
      </c>
      <c r="BO40" s="52">
        <v>116</v>
      </c>
      <c r="BP40" s="52">
        <v>1204</v>
      </c>
      <c r="BQ40" s="52">
        <v>365</v>
      </c>
      <c r="BR40" s="52">
        <v>7</v>
      </c>
      <c r="BS40" s="52">
        <v>36</v>
      </c>
      <c r="BT40" s="52">
        <v>0</v>
      </c>
      <c r="BU40" s="52">
        <v>16293</v>
      </c>
      <c r="BV40" s="52">
        <v>2630</v>
      </c>
      <c r="BW40" s="52">
        <v>103</v>
      </c>
      <c r="BX40" s="52">
        <v>0</v>
      </c>
      <c r="BY40" s="52">
        <v>101514</v>
      </c>
      <c r="BZ40" s="52">
        <v>0</v>
      </c>
      <c r="CA40" s="52">
        <v>3836</v>
      </c>
      <c r="CB40" s="52">
        <v>108083</v>
      </c>
      <c r="CC40" s="52">
        <v>124376</v>
      </c>
    </row>
    <row r="41" spans="1:81" ht="8.25" customHeight="1">
      <c r="A41" s="48">
        <v>11001</v>
      </c>
      <c r="B41" s="49" t="str">
        <f>IFERROR(INDEX(SCNtoISIC!$I:$I,MATCH($A41,SCNtoISIC!$G:$G,0)),0)</f>
        <v>ISIC 10T12</v>
      </c>
      <c r="C41" s="50" t="str">
        <f>IFERROR(INDEX(SCNtoISIC!$K:$K,MATCH($B41,SCNtoISIC!$I:$I,0)),0)</f>
        <v>Food products, beverages and tobacco</v>
      </c>
      <c r="D41" s="51" t="s">
        <v>241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428</v>
      </c>
      <c r="M41" s="52">
        <v>0</v>
      </c>
      <c r="N41" s="52">
        <v>1</v>
      </c>
      <c r="O41" s="52">
        <v>9594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2">
        <v>0</v>
      </c>
      <c r="AG41" s="52">
        <v>0</v>
      </c>
      <c r="AH41" s="52">
        <v>0</v>
      </c>
      <c r="AI41" s="52">
        <v>0</v>
      </c>
      <c r="AJ41" s="52">
        <v>0</v>
      </c>
      <c r="AK41" s="52">
        <v>0</v>
      </c>
      <c r="AL41" s="52">
        <v>0</v>
      </c>
      <c r="AM41" s="52">
        <v>0</v>
      </c>
      <c r="AN41" s="52">
        <v>0</v>
      </c>
      <c r="AO41" s="52">
        <v>0</v>
      </c>
      <c r="AP41" s="52">
        <v>0</v>
      </c>
      <c r="AQ41" s="52">
        <v>0</v>
      </c>
      <c r="AR41" s="52">
        <v>0</v>
      </c>
      <c r="AS41" s="52">
        <v>1</v>
      </c>
      <c r="AT41" s="52">
        <v>13</v>
      </c>
      <c r="AU41" s="52">
        <v>7</v>
      </c>
      <c r="AV41" s="52">
        <v>0</v>
      </c>
      <c r="AW41" s="52">
        <v>9</v>
      </c>
      <c r="AX41" s="52">
        <v>0</v>
      </c>
      <c r="AY41" s="52">
        <v>614</v>
      </c>
      <c r="AZ41" s="52">
        <v>35781</v>
      </c>
      <c r="BA41" s="52">
        <v>0</v>
      </c>
      <c r="BB41" s="52">
        <v>0</v>
      </c>
      <c r="BC41" s="52">
        <v>0</v>
      </c>
      <c r="BD41" s="52">
        <v>0</v>
      </c>
      <c r="BE41" s="52">
        <v>181</v>
      </c>
      <c r="BF41" s="52">
        <v>0</v>
      </c>
      <c r="BG41" s="52">
        <v>2</v>
      </c>
      <c r="BH41" s="52">
        <v>0</v>
      </c>
      <c r="BI41" s="52">
        <v>0</v>
      </c>
      <c r="BJ41" s="52">
        <v>0</v>
      </c>
      <c r="BK41" s="52">
        <v>1</v>
      </c>
      <c r="BL41" s="52">
        <v>0</v>
      </c>
      <c r="BM41" s="52">
        <v>116</v>
      </c>
      <c r="BN41" s="52">
        <v>94</v>
      </c>
      <c r="BO41" s="52">
        <v>9</v>
      </c>
      <c r="BP41" s="52">
        <v>44</v>
      </c>
      <c r="BQ41" s="52">
        <v>161</v>
      </c>
      <c r="BR41" s="52">
        <v>38</v>
      </c>
      <c r="BS41" s="52">
        <v>18</v>
      </c>
      <c r="BT41" s="52">
        <v>0</v>
      </c>
      <c r="BU41" s="52">
        <v>47112</v>
      </c>
      <c r="BV41" s="52">
        <v>2160</v>
      </c>
      <c r="BW41" s="52">
        <v>0</v>
      </c>
      <c r="BX41" s="52">
        <v>0</v>
      </c>
      <c r="BY41" s="52">
        <v>62409</v>
      </c>
      <c r="BZ41" s="52">
        <v>0</v>
      </c>
      <c r="CA41" s="52">
        <v>-1621</v>
      </c>
      <c r="CB41" s="52">
        <v>62948</v>
      </c>
      <c r="CC41" s="52">
        <v>110060</v>
      </c>
    </row>
    <row r="42" spans="1:81" ht="8.25" customHeight="1">
      <c r="A42" s="53">
        <v>12001</v>
      </c>
      <c r="B42" s="49" t="str">
        <f>IFERROR(INDEX(SCNtoISIC!$I:$I,MATCH($A42,SCNtoISIC!$G:$G,0)),0)</f>
        <v>ISIC 10T12</v>
      </c>
      <c r="C42" s="50" t="str">
        <f>IFERROR(INDEX(SCNtoISIC!$K:$K,MATCH($B42,SCNtoISIC!$I:$I,0)),0)</f>
        <v>Food products, beverages and tobacco</v>
      </c>
      <c r="D42" s="54" t="s">
        <v>243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1104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32">
        <v>0</v>
      </c>
      <c r="AV42" s="32">
        <v>0</v>
      </c>
      <c r="AW42" s="32">
        <v>0</v>
      </c>
      <c r="AX42" s="32">
        <v>0</v>
      </c>
      <c r="AY42" s="32">
        <v>0</v>
      </c>
      <c r="AZ42" s="32">
        <v>0</v>
      </c>
      <c r="BA42" s="32">
        <v>0</v>
      </c>
      <c r="BB42" s="32">
        <v>0</v>
      </c>
      <c r="BC42" s="32">
        <v>0</v>
      </c>
      <c r="BD42" s="32">
        <v>0</v>
      </c>
      <c r="BE42" s="32">
        <v>0</v>
      </c>
      <c r="BF42" s="32">
        <v>0</v>
      </c>
      <c r="BG42" s="32">
        <v>0</v>
      </c>
      <c r="BH42" s="32">
        <v>0</v>
      </c>
      <c r="BI42" s="32">
        <v>0</v>
      </c>
      <c r="BJ42" s="32">
        <v>0</v>
      </c>
      <c r="BK42" s="32">
        <v>0</v>
      </c>
      <c r="BL42" s="32">
        <v>0</v>
      </c>
      <c r="BM42" s="32">
        <v>0</v>
      </c>
      <c r="BN42" s="32">
        <v>0</v>
      </c>
      <c r="BO42" s="32">
        <v>0</v>
      </c>
      <c r="BP42" s="32">
        <v>0</v>
      </c>
      <c r="BQ42" s="32">
        <v>0</v>
      </c>
      <c r="BR42" s="32">
        <v>0</v>
      </c>
      <c r="BS42" s="32">
        <v>0</v>
      </c>
      <c r="BT42" s="32">
        <v>0</v>
      </c>
      <c r="BU42" s="32">
        <v>1104</v>
      </c>
      <c r="BV42" s="32">
        <v>6303</v>
      </c>
      <c r="BW42" s="32">
        <v>0</v>
      </c>
      <c r="BX42" s="32">
        <v>0</v>
      </c>
      <c r="BY42" s="32">
        <v>20697</v>
      </c>
      <c r="BZ42" s="32">
        <v>0</v>
      </c>
      <c r="CA42" s="32">
        <v>-275</v>
      </c>
      <c r="CB42" s="32">
        <v>26725</v>
      </c>
      <c r="CC42" s="32">
        <v>27829</v>
      </c>
    </row>
    <row r="43" spans="1:81" ht="8.25" customHeight="1">
      <c r="A43" s="53">
        <v>13001</v>
      </c>
      <c r="B43" s="49" t="str">
        <f>IFERROR(INDEX(SCNtoISIC!$I:$I,MATCH($A43,SCNtoISIC!$G:$G,0)),0)</f>
        <v>ISIC 13T15</v>
      </c>
      <c r="C43" s="50" t="str">
        <f>IFERROR(INDEX(SCNtoISIC!$K:$K,MATCH($B43,SCNtoISIC!$I:$I,0)),0)</f>
        <v>Textiles, wearing apparel, leather and related products</v>
      </c>
      <c r="D43" s="54" t="s">
        <v>247</v>
      </c>
      <c r="E43" s="32">
        <v>102</v>
      </c>
      <c r="F43" s="32">
        <v>3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7488</v>
      </c>
      <c r="R43" s="32">
        <v>5651</v>
      </c>
      <c r="S43" s="32">
        <v>53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112</v>
      </c>
      <c r="AC43" s="32">
        <v>65</v>
      </c>
      <c r="AD43" s="32">
        <v>0</v>
      </c>
      <c r="AE43" s="32">
        <v>0</v>
      </c>
      <c r="AF43" s="32">
        <v>0</v>
      </c>
      <c r="AG43" s="32">
        <v>18</v>
      </c>
      <c r="AH43" s="32">
        <v>0</v>
      </c>
      <c r="AI43" s="32">
        <v>0</v>
      </c>
      <c r="AJ43" s="32">
        <v>0</v>
      </c>
      <c r="AK43" s="32">
        <v>0</v>
      </c>
      <c r="AL43" s="32">
        <v>0</v>
      </c>
      <c r="AM43" s="32">
        <v>1</v>
      </c>
      <c r="AN43" s="32">
        <v>84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2">
        <v>0</v>
      </c>
      <c r="AX43" s="32">
        <v>0</v>
      </c>
      <c r="AY43" s="32">
        <v>0</v>
      </c>
      <c r="AZ43" s="32">
        <v>0</v>
      </c>
      <c r="BA43" s="32">
        <v>0</v>
      </c>
      <c r="BB43" s="32">
        <v>0</v>
      </c>
      <c r="BC43" s="32">
        <v>0</v>
      </c>
      <c r="BD43" s="32">
        <v>0</v>
      </c>
      <c r="BE43" s="32">
        <v>0</v>
      </c>
      <c r="BF43" s="32">
        <v>0</v>
      </c>
      <c r="BG43" s="32">
        <v>0</v>
      </c>
      <c r="BH43" s="32">
        <v>3</v>
      </c>
      <c r="BI43" s="32">
        <v>0</v>
      </c>
      <c r="BJ43" s="32">
        <v>0</v>
      </c>
      <c r="BK43" s="32">
        <v>0</v>
      </c>
      <c r="BL43" s="32">
        <v>0</v>
      </c>
      <c r="BM43" s="32">
        <v>0</v>
      </c>
      <c r="BN43" s="32">
        <v>0</v>
      </c>
      <c r="BO43" s="32">
        <v>0</v>
      </c>
      <c r="BP43" s="32">
        <v>0</v>
      </c>
      <c r="BQ43" s="32">
        <v>0</v>
      </c>
      <c r="BR43" s="32">
        <v>0</v>
      </c>
      <c r="BS43" s="32">
        <v>0</v>
      </c>
      <c r="BT43" s="32">
        <v>0</v>
      </c>
      <c r="BU43" s="32">
        <v>13580</v>
      </c>
      <c r="BV43" s="32">
        <v>193</v>
      </c>
      <c r="BW43" s="32">
        <v>0</v>
      </c>
      <c r="BX43" s="32">
        <v>0</v>
      </c>
      <c r="BY43" s="32">
        <v>71</v>
      </c>
      <c r="BZ43" s="32">
        <v>0</v>
      </c>
      <c r="CA43" s="32">
        <v>464</v>
      </c>
      <c r="CB43" s="32">
        <v>728</v>
      </c>
      <c r="CC43" s="32">
        <v>14308</v>
      </c>
    </row>
    <row r="44" spans="1:81" ht="8.25" customHeight="1">
      <c r="A44" s="53">
        <v>13002</v>
      </c>
      <c r="B44" s="49" t="str">
        <f>IFERROR(INDEX(SCNtoISIC!$I:$I,MATCH($A44,SCNtoISIC!$G:$G,0)),0)</f>
        <v>ISIC 13T15</v>
      </c>
      <c r="C44" s="50" t="str">
        <f>IFERROR(INDEX(SCNtoISIC!$K:$K,MATCH($B44,SCNtoISIC!$I:$I,0)),0)</f>
        <v>Textiles, wearing apparel, leather and related products</v>
      </c>
      <c r="D44" s="54" t="s">
        <v>250</v>
      </c>
      <c r="E44" s="32">
        <v>246</v>
      </c>
      <c r="F44" s="32">
        <v>0</v>
      </c>
      <c r="G44" s="32">
        <v>0</v>
      </c>
      <c r="H44" s="32">
        <v>129</v>
      </c>
      <c r="I44" s="32">
        <v>0</v>
      </c>
      <c r="J44" s="32">
        <v>0</v>
      </c>
      <c r="K44" s="32">
        <v>1</v>
      </c>
      <c r="L44" s="32">
        <v>0</v>
      </c>
      <c r="M44" s="32">
        <v>50</v>
      </c>
      <c r="N44" s="32">
        <v>100</v>
      </c>
      <c r="O44" s="32">
        <v>0</v>
      </c>
      <c r="P44" s="32">
        <v>0</v>
      </c>
      <c r="Q44" s="32">
        <v>3314</v>
      </c>
      <c r="R44" s="32">
        <v>15434</v>
      </c>
      <c r="S44" s="32">
        <v>2999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2">
        <v>0</v>
      </c>
      <c r="Z44" s="32">
        <v>10</v>
      </c>
      <c r="AA44" s="32">
        <v>0</v>
      </c>
      <c r="AB44" s="32">
        <v>16</v>
      </c>
      <c r="AC44" s="32">
        <v>16</v>
      </c>
      <c r="AD44" s="32">
        <v>5</v>
      </c>
      <c r="AE44" s="32">
        <v>0</v>
      </c>
      <c r="AF44" s="32">
        <v>0</v>
      </c>
      <c r="AG44" s="32">
        <v>40</v>
      </c>
      <c r="AH44" s="32">
        <v>0</v>
      </c>
      <c r="AI44" s="32">
        <v>3</v>
      </c>
      <c r="AJ44" s="32">
        <v>0</v>
      </c>
      <c r="AK44" s="32">
        <v>0</v>
      </c>
      <c r="AL44" s="32">
        <v>1985</v>
      </c>
      <c r="AM44" s="32">
        <v>56</v>
      </c>
      <c r="AN44" s="32">
        <v>1343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  <c r="AT44" s="32">
        <v>5</v>
      </c>
      <c r="AU44" s="32">
        <v>0</v>
      </c>
      <c r="AV44" s="32">
        <v>0</v>
      </c>
      <c r="AW44" s="32">
        <v>0</v>
      </c>
      <c r="AX44" s="32">
        <v>0</v>
      </c>
      <c r="AY44" s="32">
        <v>0</v>
      </c>
      <c r="AZ44" s="32">
        <v>0</v>
      </c>
      <c r="BA44" s="32">
        <v>0</v>
      </c>
      <c r="BB44" s="32">
        <v>5</v>
      </c>
      <c r="BC44" s="32">
        <v>0</v>
      </c>
      <c r="BD44" s="32">
        <v>0</v>
      </c>
      <c r="BE44" s="32">
        <v>0</v>
      </c>
      <c r="BF44" s="32">
        <v>0</v>
      </c>
      <c r="BG44" s="32">
        <v>0</v>
      </c>
      <c r="BH44" s="32">
        <v>0</v>
      </c>
      <c r="BI44" s="32">
        <v>0</v>
      </c>
      <c r="BJ44" s="32">
        <v>0</v>
      </c>
      <c r="BK44" s="32">
        <v>0</v>
      </c>
      <c r="BL44" s="32">
        <v>0</v>
      </c>
      <c r="BM44" s="32">
        <v>18</v>
      </c>
      <c r="BN44" s="32">
        <v>0</v>
      </c>
      <c r="BO44" s="32">
        <v>0</v>
      </c>
      <c r="BP44" s="32">
        <v>0</v>
      </c>
      <c r="BQ44" s="32">
        <v>0</v>
      </c>
      <c r="BR44" s="32">
        <v>0</v>
      </c>
      <c r="BS44" s="32">
        <v>44</v>
      </c>
      <c r="BT44" s="32">
        <v>0</v>
      </c>
      <c r="BU44" s="32">
        <v>25819</v>
      </c>
      <c r="BV44" s="32">
        <v>586</v>
      </c>
      <c r="BW44" s="32">
        <v>0</v>
      </c>
      <c r="BX44" s="32">
        <v>0</v>
      </c>
      <c r="BY44" s="32">
        <v>1636</v>
      </c>
      <c r="BZ44" s="32">
        <v>0</v>
      </c>
      <c r="CA44" s="32">
        <v>-320</v>
      </c>
      <c r="CB44" s="32">
        <v>1902</v>
      </c>
      <c r="CC44" s="32">
        <v>27721</v>
      </c>
    </row>
    <row r="45" spans="1:81" ht="8.25" customHeight="1">
      <c r="A45" s="53">
        <v>13003</v>
      </c>
      <c r="B45" s="49" t="str">
        <f>IFERROR(INDEX(SCNtoISIC!$I:$I,MATCH($A45,SCNtoISIC!$G:$G,0)),0)</f>
        <v>ISIC 13T15</v>
      </c>
      <c r="C45" s="50" t="str">
        <f>IFERROR(INDEX(SCNtoISIC!$K:$K,MATCH($B45,SCNtoISIC!$I:$I,0)),0)</f>
        <v>Textiles, wearing apparel, leather and related products</v>
      </c>
      <c r="D45" s="54" t="s">
        <v>254</v>
      </c>
      <c r="E45" s="32">
        <v>409</v>
      </c>
      <c r="F45" s="32">
        <v>9</v>
      </c>
      <c r="G45" s="32">
        <v>9</v>
      </c>
      <c r="H45" s="32">
        <v>135</v>
      </c>
      <c r="I45" s="32">
        <v>85</v>
      </c>
      <c r="J45" s="32">
        <v>0</v>
      </c>
      <c r="K45" s="32">
        <v>5</v>
      </c>
      <c r="L45" s="32">
        <v>0</v>
      </c>
      <c r="M45" s="32">
        <v>118</v>
      </c>
      <c r="N45" s="32">
        <v>141</v>
      </c>
      <c r="O45" s="32">
        <v>0</v>
      </c>
      <c r="P45" s="32">
        <v>0</v>
      </c>
      <c r="Q45" s="32">
        <v>3609</v>
      </c>
      <c r="R45" s="32">
        <v>675</v>
      </c>
      <c r="S45" s="32">
        <v>1127</v>
      </c>
      <c r="T45" s="32">
        <v>0</v>
      </c>
      <c r="U45" s="32">
        <v>136</v>
      </c>
      <c r="V45" s="32">
        <v>0</v>
      </c>
      <c r="W45" s="32">
        <v>0</v>
      </c>
      <c r="X45" s="32">
        <v>0</v>
      </c>
      <c r="Y45" s="32">
        <v>0</v>
      </c>
      <c r="Z45" s="32">
        <v>25</v>
      </c>
      <c r="AA45" s="32">
        <v>0</v>
      </c>
      <c r="AB45" s="32">
        <v>1</v>
      </c>
      <c r="AC45" s="32">
        <v>602</v>
      </c>
      <c r="AD45" s="32">
        <v>12</v>
      </c>
      <c r="AE45" s="32">
        <v>0</v>
      </c>
      <c r="AF45" s="32">
        <v>0</v>
      </c>
      <c r="AG45" s="32">
        <v>2</v>
      </c>
      <c r="AH45" s="32">
        <v>0</v>
      </c>
      <c r="AI45" s="32">
        <v>5</v>
      </c>
      <c r="AJ45" s="32">
        <v>8</v>
      </c>
      <c r="AK45" s="32">
        <v>6</v>
      </c>
      <c r="AL45" s="32">
        <v>0</v>
      </c>
      <c r="AM45" s="32">
        <v>63</v>
      </c>
      <c r="AN45" s="32">
        <v>454</v>
      </c>
      <c r="AO45" s="32">
        <v>1</v>
      </c>
      <c r="AP45" s="32">
        <v>24</v>
      </c>
      <c r="AQ45" s="32">
        <v>12</v>
      </c>
      <c r="AR45" s="32">
        <v>909</v>
      </c>
      <c r="AS45" s="32">
        <v>3</v>
      </c>
      <c r="AT45" s="32">
        <v>131</v>
      </c>
      <c r="AU45" s="32">
        <v>44</v>
      </c>
      <c r="AV45" s="32">
        <v>16</v>
      </c>
      <c r="AW45" s="32">
        <v>0</v>
      </c>
      <c r="AX45" s="32">
        <v>0</v>
      </c>
      <c r="AY45" s="32">
        <v>344</v>
      </c>
      <c r="AZ45" s="32">
        <v>226</v>
      </c>
      <c r="BA45" s="32">
        <v>0</v>
      </c>
      <c r="BB45" s="32">
        <v>0</v>
      </c>
      <c r="BC45" s="32">
        <v>0</v>
      </c>
      <c r="BD45" s="32">
        <v>0</v>
      </c>
      <c r="BE45" s="32">
        <v>0</v>
      </c>
      <c r="BF45" s="32">
        <v>0</v>
      </c>
      <c r="BG45" s="32">
        <v>0</v>
      </c>
      <c r="BH45" s="32">
        <v>4</v>
      </c>
      <c r="BI45" s="32">
        <v>0</v>
      </c>
      <c r="BJ45" s="32">
        <v>0</v>
      </c>
      <c r="BK45" s="32">
        <v>12</v>
      </c>
      <c r="BL45" s="32">
        <v>0</v>
      </c>
      <c r="BM45" s="32">
        <v>55</v>
      </c>
      <c r="BN45" s="32">
        <v>61</v>
      </c>
      <c r="BO45" s="32">
        <v>0</v>
      </c>
      <c r="BP45" s="32">
        <v>25</v>
      </c>
      <c r="BQ45" s="32">
        <v>15</v>
      </c>
      <c r="BR45" s="32">
        <v>0</v>
      </c>
      <c r="BS45" s="32">
        <v>836</v>
      </c>
      <c r="BT45" s="32">
        <v>0</v>
      </c>
      <c r="BU45" s="32">
        <v>10354</v>
      </c>
      <c r="BV45" s="32">
        <v>1082</v>
      </c>
      <c r="BW45" s="32">
        <v>0</v>
      </c>
      <c r="BX45" s="32">
        <v>0</v>
      </c>
      <c r="BY45" s="32">
        <v>27928</v>
      </c>
      <c r="BZ45" s="32">
        <v>0</v>
      </c>
      <c r="CA45" s="32">
        <v>-584</v>
      </c>
      <c r="CB45" s="32">
        <v>28426</v>
      </c>
      <c r="CC45" s="32">
        <v>38780</v>
      </c>
    </row>
    <row r="46" spans="1:81" ht="8.25" customHeight="1">
      <c r="A46" s="53">
        <v>14001</v>
      </c>
      <c r="B46" s="49" t="str">
        <f>IFERROR(INDEX(SCNtoISIC!$I:$I,MATCH($A46,SCNtoISIC!$G:$G,0)),0)</f>
        <v>ISIC 13T15</v>
      </c>
      <c r="C46" s="50" t="str">
        <f>IFERROR(INDEX(SCNtoISIC!$K:$K,MATCH($B46,SCNtoISIC!$I:$I,0)),0)</f>
        <v>Textiles, wearing apparel, leather and related products</v>
      </c>
      <c r="D46" s="54" t="s">
        <v>256</v>
      </c>
      <c r="E46" s="32">
        <v>2</v>
      </c>
      <c r="F46" s="32">
        <v>2</v>
      </c>
      <c r="G46" s="32">
        <v>19</v>
      </c>
      <c r="H46" s="32">
        <v>6</v>
      </c>
      <c r="I46" s="32">
        <v>97</v>
      </c>
      <c r="J46" s="32">
        <v>0</v>
      </c>
      <c r="K46" s="32">
        <v>0</v>
      </c>
      <c r="L46" s="32">
        <v>8</v>
      </c>
      <c r="M46" s="32">
        <v>0</v>
      </c>
      <c r="N46" s="32">
        <v>9</v>
      </c>
      <c r="O46" s="32">
        <v>0</v>
      </c>
      <c r="P46" s="32">
        <v>0</v>
      </c>
      <c r="Q46" s="32">
        <v>13</v>
      </c>
      <c r="R46" s="32">
        <v>3350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9</v>
      </c>
      <c r="AA46" s="32">
        <v>0</v>
      </c>
      <c r="AB46" s="32">
        <v>0</v>
      </c>
      <c r="AC46" s="32">
        <v>0</v>
      </c>
      <c r="AD46" s="32">
        <v>22</v>
      </c>
      <c r="AE46" s="32">
        <v>6</v>
      </c>
      <c r="AF46" s="32">
        <v>0</v>
      </c>
      <c r="AG46" s="32">
        <v>94</v>
      </c>
      <c r="AH46" s="32">
        <v>0</v>
      </c>
      <c r="AI46" s="32">
        <v>2</v>
      </c>
      <c r="AJ46" s="32">
        <v>2</v>
      </c>
      <c r="AK46" s="32">
        <v>0</v>
      </c>
      <c r="AL46" s="32">
        <v>0</v>
      </c>
      <c r="AM46" s="32">
        <v>0</v>
      </c>
      <c r="AN46" s="32">
        <v>0</v>
      </c>
      <c r="AO46" s="32">
        <v>1</v>
      </c>
      <c r="AP46" s="32">
        <v>145</v>
      </c>
      <c r="AQ46" s="32">
        <v>165</v>
      </c>
      <c r="AR46" s="32">
        <v>71</v>
      </c>
      <c r="AS46" s="32">
        <v>1</v>
      </c>
      <c r="AT46" s="32">
        <v>490</v>
      </c>
      <c r="AU46" s="32">
        <v>285</v>
      </c>
      <c r="AV46" s="32">
        <v>13</v>
      </c>
      <c r="AW46" s="32">
        <v>249</v>
      </c>
      <c r="AX46" s="32">
        <v>129</v>
      </c>
      <c r="AY46" s="32">
        <v>129</v>
      </c>
      <c r="AZ46" s="32">
        <v>281</v>
      </c>
      <c r="BA46" s="32">
        <v>0</v>
      </c>
      <c r="BB46" s="32">
        <v>184</v>
      </c>
      <c r="BC46" s="32">
        <v>81</v>
      </c>
      <c r="BD46" s="32">
        <v>0</v>
      </c>
      <c r="BE46" s="32">
        <v>1225</v>
      </c>
      <c r="BF46" s="32">
        <v>54</v>
      </c>
      <c r="BG46" s="32">
        <v>9</v>
      </c>
      <c r="BH46" s="32">
        <v>297</v>
      </c>
      <c r="BI46" s="32">
        <v>51</v>
      </c>
      <c r="BJ46" s="32">
        <v>0</v>
      </c>
      <c r="BK46" s="32">
        <v>222</v>
      </c>
      <c r="BL46" s="32">
        <v>284</v>
      </c>
      <c r="BM46" s="32">
        <v>749</v>
      </c>
      <c r="BN46" s="32">
        <v>878</v>
      </c>
      <c r="BO46" s="32">
        <v>0</v>
      </c>
      <c r="BP46" s="32">
        <v>55</v>
      </c>
      <c r="BQ46" s="32">
        <v>39</v>
      </c>
      <c r="BR46" s="32">
        <v>165</v>
      </c>
      <c r="BS46" s="32">
        <v>1477</v>
      </c>
      <c r="BT46" s="32">
        <v>0</v>
      </c>
      <c r="BU46" s="32">
        <v>11370</v>
      </c>
      <c r="BV46" s="32">
        <v>1356</v>
      </c>
      <c r="BW46" s="32">
        <v>7</v>
      </c>
      <c r="BX46" s="32">
        <v>0</v>
      </c>
      <c r="BY46" s="32">
        <v>113401</v>
      </c>
      <c r="BZ46" s="32">
        <v>0</v>
      </c>
      <c r="CA46" s="32">
        <v>630</v>
      </c>
      <c r="CB46" s="32">
        <v>115394</v>
      </c>
      <c r="CC46" s="32">
        <v>126764</v>
      </c>
    </row>
    <row r="47" spans="1:81" ht="8.25" customHeight="1">
      <c r="A47" s="48">
        <v>15001</v>
      </c>
      <c r="B47" s="49" t="str">
        <f>IFERROR(INDEX(SCNtoISIC!$I:$I,MATCH($A47,SCNtoISIC!$G:$G,0)),0)</f>
        <v>ISIC 13T15</v>
      </c>
      <c r="C47" s="50" t="str">
        <f>IFERROR(INDEX(SCNtoISIC!$K:$K,MATCH($B47,SCNtoISIC!$I:$I,0)),0)</f>
        <v>Textiles, wearing apparel, leather and related products</v>
      </c>
      <c r="D47" s="51" t="s">
        <v>260</v>
      </c>
      <c r="E47" s="52">
        <v>2</v>
      </c>
      <c r="F47" s="52">
        <v>1</v>
      </c>
      <c r="G47" s="52">
        <v>0</v>
      </c>
      <c r="H47" s="52">
        <v>0</v>
      </c>
      <c r="I47" s="52">
        <v>4</v>
      </c>
      <c r="J47" s="52">
        <v>0</v>
      </c>
      <c r="K47" s="52">
        <v>0</v>
      </c>
      <c r="L47" s="52">
        <v>5</v>
      </c>
      <c r="M47" s="52">
        <v>0</v>
      </c>
      <c r="N47" s="52">
        <v>9</v>
      </c>
      <c r="O47" s="52">
        <v>0</v>
      </c>
      <c r="P47" s="52">
        <v>0</v>
      </c>
      <c r="Q47" s="52">
        <v>0</v>
      </c>
      <c r="R47" s="52">
        <v>0</v>
      </c>
      <c r="S47" s="52">
        <v>6497</v>
      </c>
      <c r="T47" s="52">
        <v>0</v>
      </c>
      <c r="U47" s="52">
        <v>96</v>
      </c>
      <c r="V47" s="52">
        <v>0</v>
      </c>
      <c r="W47" s="52">
        <v>0</v>
      </c>
      <c r="X47" s="52">
        <v>0</v>
      </c>
      <c r="Y47" s="52">
        <v>0</v>
      </c>
      <c r="Z47" s="52">
        <v>3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2">
        <v>0</v>
      </c>
      <c r="AG47" s="52">
        <v>47</v>
      </c>
      <c r="AH47" s="52">
        <v>0</v>
      </c>
      <c r="AI47" s="52">
        <v>0</v>
      </c>
      <c r="AJ47" s="52">
        <v>0</v>
      </c>
      <c r="AK47" s="52">
        <v>2</v>
      </c>
      <c r="AL47" s="52">
        <v>6</v>
      </c>
      <c r="AM47" s="52">
        <v>0</v>
      </c>
      <c r="AN47" s="52">
        <v>44</v>
      </c>
      <c r="AO47" s="52">
        <v>0</v>
      </c>
      <c r="AP47" s="52">
        <v>152</v>
      </c>
      <c r="AQ47" s="52">
        <v>0</v>
      </c>
      <c r="AR47" s="52">
        <v>45</v>
      </c>
      <c r="AS47" s="52">
        <v>0</v>
      </c>
      <c r="AT47" s="52">
        <v>0</v>
      </c>
      <c r="AU47" s="52">
        <v>0</v>
      </c>
      <c r="AV47" s="52">
        <v>0</v>
      </c>
      <c r="AW47" s="52">
        <v>0</v>
      </c>
      <c r="AX47" s="52">
        <v>0</v>
      </c>
      <c r="AY47" s="52">
        <v>1</v>
      </c>
      <c r="AZ47" s="52">
        <v>0</v>
      </c>
      <c r="BA47" s="52">
        <v>0</v>
      </c>
      <c r="BB47" s="52">
        <v>40</v>
      </c>
      <c r="BC47" s="52">
        <v>0</v>
      </c>
      <c r="BD47" s="52">
        <v>3</v>
      </c>
      <c r="BE47" s="52">
        <v>0</v>
      </c>
      <c r="BF47" s="52">
        <v>0</v>
      </c>
      <c r="BG47" s="52">
        <v>0</v>
      </c>
      <c r="BH47" s="52">
        <v>0</v>
      </c>
      <c r="BI47" s="52">
        <v>0</v>
      </c>
      <c r="BJ47" s="52">
        <v>0</v>
      </c>
      <c r="BK47" s="52">
        <v>6</v>
      </c>
      <c r="BL47" s="52">
        <v>73</v>
      </c>
      <c r="BM47" s="52">
        <v>27</v>
      </c>
      <c r="BN47" s="52">
        <v>1</v>
      </c>
      <c r="BO47" s="52">
        <v>0</v>
      </c>
      <c r="BP47" s="52">
        <v>0</v>
      </c>
      <c r="BQ47" s="52">
        <v>0</v>
      </c>
      <c r="BR47" s="52">
        <v>0</v>
      </c>
      <c r="BS47" s="52">
        <v>0</v>
      </c>
      <c r="BT47" s="52">
        <v>0</v>
      </c>
      <c r="BU47" s="52">
        <v>7064</v>
      </c>
      <c r="BV47" s="52">
        <v>6669</v>
      </c>
      <c r="BW47" s="52">
        <v>0</v>
      </c>
      <c r="BX47" s="52">
        <v>0</v>
      </c>
      <c r="BY47" s="52">
        <v>49358</v>
      </c>
      <c r="BZ47" s="52">
        <v>0</v>
      </c>
      <c r="CA47" s="52">
        <v>-1906</v>
      </c>
      <c r="CB47" s="52">
        <v>54121</v>
      </c>
      <c r="CC47" s="52">
        <v>61185</v>
      </c>
    </row>
    <row r="48" spans="1:81" ht="8.25" customHeight="1">
      <c r="A48" s="48">
        <v>16001</v>
      </c>
      <c r="B48" s="49" t="str">
        <f>IFERROR(INDEX(SCNtoISIC!$I:$I,MATCH($A48,SCNtoISIC!$G:$G,0)),0)</f>
        <v>ISIC 16</v>
      </c>
      <c r="C48" s="50" t="str">
        <f>IFERROR(INDEX(SCNtoISIC!$K:$K,MATCH($B48,SCNtoISIC!$I:$I,0)),0)</f>
        <v>Wood and of products of wood and cork (except furniture)</v>
      </c>
      <c r="D48" s="51" t="s">
        <v>264</v>
      </c>
      <c r="E48" s="52">
        <v>476</v>
      </c>
      <c r="F48" s="52">
        <v>306</v>
      </c>
      <c r="G48" s="52">
        <v>18</v>
      </c>
      <c r="H48" s="52">
        <v>8</v>
      </c>
      <c r="I48" s="52">
        <v>0</v>
      </c>
      <c r="J48" s="52">
        <v>0</v>
      </c>
      <c r="K48" s="52">
        <v>0</v>
      </c>
      <c r="L48" s="52">
        <v>41</v>
      </c>
      <c r="M48" s="52">
        <v>0</v>
      </c>
      <c r="N48" s="52">
        <v>420</v>
      </c>
      <c r="O48" s="52">
        <v>104</v>
      </c>
      <c r="P48" s="52">
        <v>0</v>
      </c>
      <c r="Q48" s="52">
        <v>35</v>
      </c>
      <c r="R48" s="52">
        <v>0</v>
      </c>
      <c r="S48" s="52">
        <v>0</v>
      </c>
      <c r="T48" s="52">
        <v>4183</v>
      </c>
      <c r="U48" s="52">
        <v>495</v>
      </c>
      <c r="V48" s="52">
        <v>0</v>
      </c>
      <c r="W48" s="52">
        <v>0</v>
      </c>
      <c r="X48" s="52">
        <v>0</v>
      </c>
      <c r="Y48" s="52">
        <v>22</v>
      </c>
      <c r="Z48" s="52">
        <v>51</v>
      </c>
      <c r="AA48" s="52">
        <v>0</v>
      </c>
      <c r="AB48" s="52">
        <v>0</v>
      </c>
      <c r="AC48" s="52">
        <v>0</v>
      </c>
      <c r="AD48" s="52">
        <v>49</v>
      </c>
      <c r="AE48" s="52">
        <v>18</v>
      </c>
      <c r="AF48" s="52">
        <v>0</v>
      </c>
      <c r="AG48" s="52">
        <v>310</v>
      </c>
      <c r="AH48" s="52">
        <v>0</v>
      </c>
      <c r="AI48" s="52">
        <v>3</v>
      </c>
      <c r="AJ48" s="52">
        <v>469</v>
      </c>
      <c r="AK48" s="52">
        <v>298</v>
      </c>
      <c r="AL48" s="52">
        <v>105</v>
      </c>
      <c r="AM48" s="52">
        <v>301</v>
      </c>
      <c r="AN48" s="52">
        <v>7707</v>
      </c>
      <c r="AO48" s="52">
        <v>0</v>
      </c>
      <c r="AP48" s="52">
        <v>475</v>
      </c>
      <c r="AQ48" s="52">
        <v>7</v>
      </c>
      <c r="AR48" s="52">
        <v>7266</v>
      </c>
      <c r="AS48" s="52">
        <v>0</v>
      </c>
      <c r="AT48" s="52">
        <v>2474</v>
      </c>
      <c r="AU48" s="52">
        <v>0</v>
      </c>
      <c r="AV48" s="52">
        <v>0</v>
      </c>
      <c r="AW48" s="52">
        <v>0</v>
      </c>
      <c r="AX48" s="52">
        <v>92</v>
      </c>
      <c r="AY48" s="52">
        <v>0</v>
      </c>
      <c r="AZ48" s="52">
        <v>0</v>
      </c>
      <c r="BA48" s="52">
        <v>0</v>
      </c>
      <c r="BB48" s="52">
        <v>224</v>
      </c>
      <c r="BC48" s="52">
        <v>0</v>
      </c>
      <c r="BD48" s="52">
        <v>0</v>
      </c>
      <c r="BE48" s="52">
        <v>0</v>
      </c>
      <c r="BF48" s="52">
        <v>632</v>
      </c>
      <c r="BG48" s="52">
        <v>0</v>
      </c>
      <c r="BH48" s="52">
        <v>0</v>
      </c>
      <c r="BI48" s="52">
        <v>0</v>
      </c>
      <c r="BJ48" s="52">
        <v>0</v>
      </c>
      <c r="BK48" s="52">
        <v>142</v>
      </c>
      <c r="BL48" s="52">
        <v>0</v>
      </c>
      <c r="BM48" s="52">
        <v>77</v>
      </c>
      <c r="BN48" s="52">
        <v>28</v>
      </c>
      <c r="BO48" s="52">
        <v>0</v>
      </c>
      <c r="BP48" s="52">
        <v>2</v>
      </c>
      <c r="BQ48" s="52">
        <v>0</v>
      </c>
      <c r="BR48" s="52">
        <v>0</v>
      </c>
      <c r="BS48" s="52">
        <v>245</v>
      </c>
      <c r="BT48" s="52">
        <v>0</v>
      </c>
      <c r="BU48" s="52">
        <v>27083</v>
      </c>
      <c r="BV48" s="52">
        <v>3684</v>
      </c>
      <c r="BW48" s="52">
        <v>0</v>
      </c>
      <c r="BX48" s="52">
        <v>0</v>
      </c>
      <c r="BY48" s="52">
        <v>2326</v>
      </c>
      <c r="BZ48" s="52">
        <v>105</v>
      </c>
      <c r="CA48" s="52">
        <v>539</v>
      </c>
      <c r="CB48" s="52">
        <v>6654</v>
      </c>
      <c r="CC48" s="52">
        <v>33737</v>
      </c>
    </row>
    <row r="49" spans="1:81" ht="8.25" customHeight="1">
      <c r="A49" s="48">
        <v>17001</v>
      </c>
      <c r="B49" s="49" t="str">
        <f>IFERROR(INDEX(SCNtoISIC!$I:$I,MATCH($A49,SCNtoISIC!$G:$G,0)),0)</f>
        <v>ISIC 16</v>
      </c>
      <c r="C49" s="50" t="str">
        <f>IFERROR(INDEX(SCNtoISIC!$K:$K,MATCH($B49,SCNtoISIC!$I:$I,0)),0)</f>
        <v>Wood and of products of wood and cork (except furniture)</v>
      </c>
      <c r="D49" s="51" t="s">
        <v>269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4879</v>
      </c>
      <c r="V49" s="52">
        <v>0</v>
      </c>
      <c r="W49" s="52">
        <v>0</v>
      </c>
      <c r="X49" s="52">
        <v>0</v>
      </c>
      <c r="Y49" s="52">
        <v>17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2">
        <v>0</v>
      </c>
      <c r="AG49" s="52">
        <v>0</v>
      </c>
      <c r="AH49" s="52">
        <v>0</v>
      </c>
      <c r="AI49" s="52">
        <v>0</v>
      </c>
      <c r="AJ49" s="52">
        <v>0</v>
      </c>
      <c r="AK49" s="52">
        <v>0</v>
      </c>
      <c r="AL49" s="52">
        <v>0</v>
      </c>
      <c r="AM49" s="52">
        <v>0</v>
      </c>
      <c r="AN49" s="52">
        <v>0</v>
      </c>
      <c r="AO49" s="52">
        <v>0</v>
      </c>
      <c r="AP49" s="52">
        <v>0</v>
      </c>
      <c r="AQ49" s="52">
        <v>0</v>
      </c>
      <c r="AR49" s="52">
        <v>0</v>
      </c>
      <c r="AS49" s="52">
        <v>0</v>
      </c>
      <c r="AT49" s="52">
        <v>0</v>
      </c>
      <c r="AU49" s="52">
        <v>0</v>
      </c>
      <c r="AV49" s="52">
        <v>0</v>
      </c>
      <c r="AW49" s="52">
        <v>0</v>
      </c>
      <c r="AX49" s="52">
        <v>0</v>
      </c>
      <c r="AY49" s="52">
        <v>0</v>
      </c>
      <c r="AZ49" s="52">
        <v>0</v>
      </c>
      <c r="BA49" s="52">
        <v>0</v>
      </c>
      <c r="BB49" s="52">
        <v>0</v>
      </c>
      <c r="BC49" s="52">
        <v>0</v>
      </c>
      <c r="BD49" s="52">
        <v>0</v>
      </c>
      <c r="BE49" s="52">
        <v>0</v>
      </c>
      <c r="BF49" s="52">
        <v>0</v>
      </c>
      <c r="BG49" s="52">
        <v>0</v>
      </c>
      <c r="BH49" s="52">
        <v>0</v>
      </c>
      <c r="BI49" s="52">
        <v>0</v>
      </c>
      <c r="BJ49" s="52">
        <v>0</v>
      </c>
      <c r="BK49" s="52">
        <v>0</v>
      </c>
      <c r="BL49" s="52">
        <v>0</v>
      </c>
      <c r="BM49" s="52">
        <v>0</v>
      </c>
      <c r="BN49" s="52">
        <v>0</v>
      </c>
      <c r="BO49" s="52">
        <v>0</v>
      </c>
      <c r="BP49" s="52">
        <v>0</v>
      </c>
      <c r="BQ49" s="52">
        <v>0</v>
      </c>
      <c r="BR49" s="52">
        <v>0</v>
      </c>
      <c r="BS49" s="52">
        <v>0</v>
      </c>
      <c r="BT49" s="52">
        <v>0</v>
      </c>
      <c r="BU49" s="52">
        <v>4896</v>
      </c>
      <c r="BV49" s="52">
        <v>9198</v>
      </c>
      <c r="BW49" s="52">
        <v>0</v>
      </c>
      <c r="BX49" s="52">
        <v>0</v>
      </c>
      <c r="BY49" s="52">
        <v>0</v>
      </c>
      <c r="BZ49" s="52">
        <v>0</v>
      </c>
      <c r="CA49" s="52">
        <v>238</v>
      </c>
      <c r="CB49" s="52">
        <v>9436</v>
      </c>
      <c r="CC49" s="52">
        <v>14332</v>
      </c>
    </row>
    <row r="50" spans="1:81" ht="8.25" customHeight="1">
      <c r="A50" s="48">
        <v>17002</v>
      </c>
      <c r="B50" s="49" t="str">
        <f>IFERROR(INDEX(SCNtoISIC!$I:$I,MATCH($A50,SCNtoISIC!$G:$G,0)),0)</f>
        <v>ISIC 17T18</v>
      </c>
      <c r="C50" s="50" t="str">
        <f>IFERROR(INDEX(SCNtoISIC!$K:$K,MATCH($B50,SCNtoISIC!$I:$I,0)),0)</f>
        <v>Paper products and printing</v>
      </c>
      <c r="D50" s="51" t="s">
        <v>273</v>
      </c>
      <c r="E50" s="52">
        <v>419</v>
      </c>
      <c r="F50" s="52">
        <v>142</v>
      </c>
      <c r="G50" s="52">
        <v>21</v>
      </c>
      <c r="H50" s="52">
        <v>5</v>
      </c>
      <c r="I50" s="52">
        <v>35</v>
      </c>
      <c r="J50" s="52">
        <v>75</v>
      </c>
      <c r="K50" s="52">
        <v>22</v>
      </c>
      <c r="L50" s="52">
        <v>2778</v>
      </c>
      <c r="M50" s="52">
        <v>30</v>
      </c>
      <c r="N50" s="52">
        <v>3564</v>
      </c>
      <c r="O50" s="52">
        <v>234</v>
      </c>
      <c r="P50" s="52">
        <v>1085</v>
      </c>
      <c r="Q50" s="52">
        <v>713</v>
      </c>
      <c r="R50" s="52">
        <v>688</v>
      </c>
      <c r="S50" s="52">
        <v>723</v>
      </c>
      <c r="T50" s="52">
        <v>653</v>
      </c>
      <c r="U50" s="52">
        <v>8341</v>
      </c>
      <c r="V50" s="52">
        <v>1647</v>
      </c>
      <c r="W50" s="52">
        <v>111</v>
      </c>
      <c r="X50" s="52">
        <v>35</v>
      </c>
      <c r="Y50" s="52">
        <v>70</v>
      </c>
      <c r="Z50" s="52">
        <v>202</v>
      </c>
      <c r="AA50" s="52">
        <v>1527</v>
      </c>
      <c r="AB50" s="52">
        <v>863</v>
      </c>
      <c r="AC50" s="52">
        <v>2166</v>
      </c>
      <c r="AD50" s="52">
        <v>2118</v>
      </c>
      <c r="AE50" s="52">
        <v>32</v>
      </c>
      <c r="AF50" s="52">
        <v>14</v>
      </c>
      <c r="AG50" s="52">
        <v>1435</v>
      </c>
      <c r="AH50" s="52">
        <v>1374</v>
      </c>
      <c r="AI50" s="52">
        <v>488</v>
      </c>
      <c r="AJ50" s="52">
        <v>202</v>
      </c>
      <c r="AK50" s="52">
        <v>444</v>
      </c>
      <c r="AL50" s="52">
        <v>853</v>
      </c>
      <c r="AM50" s="52">
        <v>76</v>
      </c>
      <c r="AN50" s="52">
        <v>999</v>
      </c>
      <c r="AO50" s="52">
        <v>14</v>
      </c>
      <c r="AP50" s="52">
        <v>63</v>
      </c>
      <c r="AQ50" s="52">
        <v>60</v>
      </c>
      <c r="AR50" s="52">
        <v>506</v>
      </c>
      <c r="AS50" s="52">
        <v>800</v>
      </c>
      <c r="AT50" s="52">
        <v>5268</v>
      </c>
      <c r="AU50" s="52">
        <v>179</v>
      </c>
      <c r="AV50" s="52">
        <v>65</v>
      </c>
      <c r="AW50" s="52">
        <v>20</v>
      </c>
      <c r="AX50" s="52">
        <v>260</v>
      </c>
      <c r="AY50" s="52">
        <v>198</v>
      </c>
      <c r="AZ50" s="52">
        <v>1233</v>
      </c>
      <c r="BA50" s="52">
        <v>1743</v>
      </c>
      <c r="BB50" s="52">
        <v>112</v>
      </c>
      <c r="BC50" s="52">
        <v>50</v>
      </c>
      <c r="BD50" s="52">
        <v>315</v>
      </c>
      <c r="BE50" s="52">
        <v>1925</v>
      </c>
      <c r="BF50" s="52">
        <v>294</v>
      </c>
      <c r="BG50" s="52">
        <v>1535</v>
      </c>
      <c r="BH50" s="52">
        <v>540</v>
      </c>
      <c r="BI50" s="52">
        <v>543</v>
      </c>
      <c r="BJ50" s="52">
        <v>462</v>
      </c>
      <c r="BK50" s="52">
        <v>2193</v>
      </c>
      <c r="BL50" s="52">
        <v>43</v>
      </c>
      <c r="BM50" s="52">
        <v>989</v>
      </c>
      <c r="BN50" s="52">
        <v>825</v>
      </c>
      <c r="BO50" s="52">
        <v>417</v>
      </c>
      <c r="BP50" s="52">
        <v>119</v>
      </c>
      <c r="BQ50" s="52">
        <v>703</v>
      </c>
      <c r="BR50" s="52">
        <v>34</v>
      </c>
      <c r="BS50" s="52">
        <v>601</v>
      </c>
      <c r="BT50" s="52">
        <v>0</v>
      </c>
      <c r="BU50" s="52">
        <v>56293</v>
      </c>
      <c r="BV50" s="52">
        <v>4013</v>
      </c>
      <c r="BW50" s="52">
        <v>0</v>
      </c>
      <c r="BX50" s="52">
        <v>0</v>
      </c>
      <c r="BY50" s="52">
        <v>12934</v>
      </c>
      <c r="BZ50" s="52">
        <v>0</v>
      </c>
      <c r="CA50" s="52">
        <v>609</v>
      </c>
      <c r="CB50" s="52">
        <v>17556</v>
      </c>
      <c r="CC50" s="52">
        <v>73849</v>
      </c>
    </row>
    <row r="51" spans="1:81" ht="8.25" customHeight="1">
      <c r="A51" s="48">
        <v>18001</v>
      </c>
      <c r="B51" s="49" t="str">
        <f>IFERROR(INDEX(SCNtoISIC!$I:$I,MATCH($A51,SCNtoISIC!$G:$G,0)),0)</f>
        <v>ISIC 17T18</v>
      </c>
      <c r="C51" s="50" t="str">
        <f>IFERROR(INDEX(SCNtoISIC!$K:$K,MATCH($B51,SCNtoISIC!$I:$I,0)),0)</f>
        <v>Paper products and printing</v>
      </c>
      <c r="D51" s="51" t="s">
        <v>278</v>
      </c>
      <c r="E51" s="52">
        <v>5</v>
      </c>
      <c r="F51" s="52">
        <v>0</v>
      </c>
      <c r="G51" s="52">
        <v>4</v>
      </c>
      <c r="H51" s="52">
        <v>0</v>
      </c>
      <c r="I51" s="52">
        <v>6</v>
      </c>
      <c r="J51" s="52">
        <v>13</v>
      </c>
      <c r="K51" s="52">
        <v>5</v>
      </c>
      <c r="L51" s="52">
        <v>53</v>
      </c>
      <c r="M51" s="52">
        <v>20</v>
      </c>
      <c r="N51" s="52">
        <v>94</v>
      </c>
      <c r="O51" s="52">
        <v>290</v>
      </c>
      <c r="P51" s="52">
        <v>0</v>
      </c>
      <c r="Q51" s="52">
        <v>14</v>
      </c>
      <c r="R51" s="52">
        <v>15</v>
      </c>
      <c r="S51" s="52">
        <v>6</v>
      </c>
      <c r="T51" s="52">
        <v>18</v>
      </c>
      <c r="U51" s="52">
        <v>168</v>
      </c>
      <c r="V51" s="52">
        <v>2088</v>
      </c>
      <c r="W51" s="52">
        <v>5</v>
      </c>
      <c r="X51" s="52">
        <v>6</v>
      </c>
      <c r="Y51" s="52">
        <v>1</v>
      </c>
      <c r="Z51" s="52">
        <v>22</v>
      </c>
      <c r="AA51" s="52">
        <v>0</v>
      </c>
      <c r="AB51" s="52">
        <v>10</v>
      </c>
      <c r="AC51" s="52">
        <v>29</v>
      </c>
      <c r="AD51" s="52">
        <v>14</v>
      </c>
      <c r="AE51" s="52">
        <v>17</v>
      </c>
      <c r="AF51" s="52">
        <v>2</v>
      </c>
      <c r="AG51" s="52">
        <v>28</v>
      </c>
      <c r="AH51" s="52">
        <v>222</v>
      </c>
      <c r="AI51" s="52">
        <v>16</v>
      </c>
      <c r="AJ51" s="52">
        <v>28</v>
      </c>
      <c r="AK51" s="52">
        <v>35</v>
      </c>
      <c r="AL51" s="52">
        <v>24</v>
      </c>
      <c r="AM51" s="52">
        <v>8</v>
      </c>
      <c r="AN51" s="52">
        <v>37</v>
      </c>
      <c r="AO51" s="52">
        <v>0</v>
      </c>
      <c r="AP51" s="52">
        <v>26</v>
      </c>
      <c r="AQ51" s="52">
        <v>10</v>
      </c>
      <c r="AR51" s="52">
        <v>54</v>
      </c>
      <c r="AS51" s="52">
        <v>144</v>
      </c>
      <c r="AT51" s="52">
        <v>8441</v>
      </c>
      <c r="AU51" s="52">
        <v>74</v>
      </c>
      <c r="AV51" s="52">
        <v>1</v>
      </c>
      <c r="AW51" s="52">
        <v>49</v>
      </c>
      <c r="AX51" s="52">
        <v>55</v>
      </c>
      <c r="AY51" s="52">
        <v>3</v>
      </c>
      <c r="AZ51" s="52">
        <v>67</v>
      </c>
      <c r="BA51" s="52">
        <v>3426</v>
      </c>
      <c r="BB51" s="52">
        <v>518</v>
      </c>
      <c r="BC51" s="52">
        <v>1163</v>
      </c>
      <c r="BD51" s="52">
        <v>1283</v>
      </c>
      <c r="BE51" s="52">
        <v>2685</v>
      </c>
      <c r="BF51" s="52">
        <v>413</v>
      </c>
      <c r="BG51" s="52">
        <v>659</v>
      </c>
      <c r="BH51" s="52">
        <v>435</v>
      </c>
      <c r="BI51" s="52">
        <v>4744</v>
      </c>
      <c r="BJ51" s="52">
        <v>68</v>
      </c>
      <c r="BK51" s="52">
        <v>2010</v>
      </c>
      <c r="BL51" s="52">
        <v>2</v>
      </c>
      <c r="BM51" s="52">
        <v>1428</v>
      </c>
      <c r="BN51" s="52">
        <v>325</v>
      </c>
      <c r="BO51" s="52">
        <v>15</v>
      </c>
      <c r="BP51" s="52">
        <v>122</v>
      </c>
      <c r="BQ51" s="52">
        <v>21</v>
      </c>
      <c r="BR51" s="52">
        <v>526</v>
      </c>
      <c r="BS51" s="52">
        <v>648</v>
      </c>
      <c r="BT51" s="52">
        <v>0</v>
      </c>
      <c r="BU51" s="52">
        <v>32718</v>
      </c>
      <c r="BV51" s="52">
        <v>62</v>
      </c>
      <c r="BW51" s="52">
        <v>0</v>
      </c>
      <c r="BX51" s="52">
        <v>0</v>
      </c>
      <c r="BY51" s="52">
        <v>545</v>
      </c>
      <c r="BZ51" s="52">
        <v>0</v>
      </c>
      <c r="CA51" s="52">
        <v>-1305</v>
      </c>
      <c r="CB51" s="52">
        <v>-698</v>
      </c>
      <c r="CC51" s="52">
        <v>32020</v>
      </c>
    </row>
    <row r="52" spans="1:81" ht="8.25" customHeight="1">
      <c r="A52" s="53">
        <v>19911</v>
      </c>
      <c r="B52" s="49" t="str">
        <f>IFERROR(INDEX(SCNtoISIC!$I:$I,MATCH($A52,SCNtoISIC!$G:$G,0)),0)</f>
        <v>ISIC 19</v>
      </c>
      <c r="C52" s="50" t="str">
        <f>IFERROR(INDEX(SCNtoISIC!$K:$K,MATCH($B52,SCNtoISIC!$I:$I,0)),0)</f>
        <v>Coke and refined petroleum products</v>
      </c>
      <c r="D52" s="54" t="s">
        <v>282</v>
      </c>
      <c r="E52" s="32">
        <v>0</v>
      </c>
      <c r="F52" s="32">
        <v>0</v>
      </c>
      <c r="G52" s="32">
        <v>0</v>
      </c>
      <c r="H52" s="32">
        <v>0</v>
      </c>
      <c r="I52" s="32">
        <v>1196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0</v>
      </c>
      <c r="AB52" s="32">
        <v>0</v>
      </c>
      <c r="AC52" s="32">
        <v>0</v>
      </c>
      <c r="AD52" s="32">
        <v>0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32">
        <v>0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0</v>
      </c>
      <c r="AS52" s="32">
        <v>0</v>
      </c>
      <c r="AT52" s="32">
        <v>0</v>
      </c>
      <c r="AU52" s="32">
        <v>0</v>
      </c>
      <c r="AV52" s="32">
        <v>0</v>
      </c>
      <c r="AW52" s="32">
        <v>11823</v>
      </c>
      <c r="AX52" s="32">
        <v>0</v>
      </c>
      <c r="AY52" s="32">
        <v>0</v>
      </c>
      <c r="AZ52" s="32">
        <v>0</v>
      </c>
      <c r="BA52" s="32">
        <v>0</v>
      </c>
      <c r="BB52" s="32">
        <v>0</v>
      </c>
      <c r="BC52" s="32">
        <v>0</v>
      </c>
      <c r="BD52" s="32">
        <v>0</v>
      </c>
      <c r="BE52" s="32">
        <v>0</v>
      </c>
      <c r="BF52" s="32">
        <v>0</v>
      </c>
      <c r="BG52" s="32">
        <v>0</v>
      </c>
      <c r="BH52" s="32">
        <v>0</v>
      </c>
      <c r="BI52" s="32">
        <v>0</v>
      </c>
      <c r="BJ52" s="32">
        <v>0</v>
      </c>
      <c r="BK52" s="32">
        <v>0</v>
      </c>
      <c r="BL52" s="32">
        <v>0</v>
      </c>
      <c r="BM52" s="32">
        <v>631</v>
      </c>
      <c r="BN52" s="32">
        <v>0</v>
      </c>
      <c r="BO52" s="32">
        <v>0</v>
      </c>
      <c r="BP52" s="32">
        <v>0</v>
      </c>
      <c r="BQ52" s="32">
        <v>0</v>
      </c>
      <c r="BR52" s="32">
        <v>0</v>
      </c>
      <c r="BS52" s="32">
        <v>0</v>
      </c>
      <c r="BT52" s="32">
        <v>0</v>
      </c>
      <c r="BU52" s="32">
        <v>13650</v>
      </c>
      <c r="BV52" s="32">
        <v>5057</v>
      </c>
      <c r="BW52" s="32">
        <v>0</v>
      </c>
      <c r="BX52" s="32">
        <v>0</v>
      </c>
      <c r="BY52" s="32">
        <v>431</v>
      </c>
      <c r="BZ52" s="32">
        <v>0</v>
      </c>
      <c r="CA52" s="32">
        <v>281</v>
      </c>
      <c r="CB52" s="32">
        <v>5769</v>
      </c>
      <c r="CC52" s="32">
        <v>19419</v>
      </c>
    </row>
    <row r="53" spans="1:81" ht="8.25" customHeight="1">
      <c r="A53" s="53">
        <v>19912</v>
      </c>
      <c r="B53" s="49" t="str">
        <f>IFERROR(INDEX(SCNtoISIC!$I:$I,MATCH($A53,SCNtoISIC!$G:$G,0)),0)</f>
        <v>ISIC 19</v>
      </c>
      <c r="C53" s="50" t="str">
        <f>IFERROR(INDEX(SCNtoISIC!$K:$K,MATCH($B53,SCNtoISIC!$I:$I,0)),0)</f>
        <v>Coke and refined petroleum products</v>
      </c>
      <c r="D53" s="54" t="s">
        <v>285</v>
      </c>
      <c r="E53" s="32">
        <v>614</v>
      </c>
      <c r="F53" s="32">
        <v>686</v>
      </c>
      <c r="G53" s="32">
        <v>85</v>
      </c>
      <c r="H53" s="32">
        <v>1</v>
      </c>
      <c r="I53" s="32">
        <v>25</v>
      </c>
      <c r="J53" s="32">
        <v>2</v>
      </c>
      <c r="K53" s="32">
        <v>4</v>
      </c>
      <c r="L53" s="32">
        <v>456</v>
      </c>
      <c r="M53" s="32">
        <v>1</v>
      </c>
      <c r="N53" s="32">
        <v>56</v>
      </c>
      <c r="O53" s="32">
        <v>94</v>
      </c>
      <c r="P53" s="32">
        <v>1</v>
      </c>
      <c r="Q53" s="32">
        <v>1</v>
      </c>
      <c r="R53" s="32">
        <v>0</v>
      </c>
      <c r="S53" s="32">
        <v>0</v>
      </c>
      <c r="T53" s="32">
        <v>143</v>
      </c>
      <c r="U53" s="32">
        <v>23</v>
      </c>
      <c r="V53" s="32">
        <v>0</v>
      </c>
      <c r="W53" s="32">
        <v>1</v>
      </c>
      <c r="X53" s="32">
        <v>0</v>
      </c>
      <c r="Y53" s="32">
        <v>1</v>
      </c>
      <c r="Z53" s="32">
        <v>3</v>
      </c>
      <c r="AA53" s="32">
        <v>0</v>
      </c>
      <c r="AB53" s="32">
        <v>0</v>
      </c>
      <c r="AC53" s="32">
        <v>0</v>
      </c>
      <c r="AD53" s="32">
        <v>3</v>
      </c>
      <c r="AE53" s="32">
        <v>2</v>
      </c>
      <c r="AF53" s="32">
        <v>1</v>
      </c>
      <c r="AG53" s="32">
        <v>4</v>
      </c>
      <c r="AH53" s="32">
        <v>0</v>
      </c>
      <c r="AI53" s="32">
        <v>2</v>
      </c>
      <c r="AJ53" s="32">
        <v>7</v>
      </c>
      <c r="AK53" s="32">
        <v>41</v>
      </c>
      <c r="AL53" s="32">
        <v>9</v>
      </c>
      <c r="AM53" s="32">
        <v>2</v>
      </c>
      <c r="AN53" s="32">
        <v>7</v>
      </c>
      <c r="AO53" s="32">
        <v>10</v>
      </c>
      <c r="AP53" s="32">
        <v>29</v>
      </c>
      <c r="AQ53" s="32">
        <v>126</v>
      </c>
      <c r="AR53" s="32">
        <v>1321</v>
      </c>
      <c r="AS53" s="32">
        <v>1071</v>
      </c>
      <c r="AT53" s="32">
        <v>1730</v>
      </c>
      <c r="AU53" s="32">
        <v>1744</v>
      </c>
      <c r="AV53" s="32">
        <v>26</v>
      </c>
      <c r="AW53" s="32">
        <v>105</v>
      </c>
      <c r="AX53" s="32">
        <v>94</v>
      </c>
      <c r="AY53" s="32">
        <v>58</v>
      </c>
      <c r="AZ53" s="32">
        <v>181</v>
      </c>
      <c r="BA53" s="32">
        <v>54</v>
      </c>
      <c r="BB53" s="32">
        <v>67</v>
      </c>
      <c r="BC53" s="32">
        <v>152</v>
      </c>
      <c r="BD53" s="32">
        <v>167</v>
      </c>
      <c r="BE53" s="32">
        <v>936</v>
      </c>
      <c r="BF53" s="32">
        <v>111</v>
      </c>
      <c r="BG53" s="32">
        <v>651</v>
      </c>
      <c r="BH53" s="32">
        <v>516</v>
      </c>
      <c r="BI53" s="32">
        <v>135</v>
      </c>
      <c r="BJ53" s="32">
        <v>560</v>
      </c>
      <c r="BK53" s="32">
        <v>694</v>
      </c>
      <c r="BL53" s="32">
        <v>125</v>
      </c>
      <c r="BM53" s="32">
        <v>1545</v>
      </c>
      <c r="BN53" s="32">
        <v>202</v>
      </c>
      <c r="BO53" s="32">
        <v>32</v>
      </c>
      <c r="BP53" s="32">
        <v>56</v>
      </c>
      <c r="BQ53" s="32">
        <v>243</v>
      </c>
      <c r="BR53" s="32">
        <v>107</v>
      </c>
      <c r="BS53" s="32">
        <v>247</v>
      </c>
      <c r="BT53" s="32">
        <v>0</v>
      </c>
      <c r="BU53" s="32">
        <v>15370</v>
      </c>
      <c r="BV53" s="32">
        <v>0</v>
      </c>
      <c r="BW53" s="32">
        <v>0</v>
      </c>
      <c r="BX53" s="32">
        <v>0</v>
      </c>
      <c r="BY53" s="32">
        <v>96513</v>
      </c>
      <c r="BZ53" s="32">
        <v>0</v>
      </c>
      <c r="CA53" s="32">
        <v>0</v>
      </c>
      <c r="CB53" s="32">
        <v>96513</v>
      </c>
      <c r="CC53" s="32">
        <v>111883</v>
      </c>
    </row>
    <row r="54" spans="1:81" ht="8.25" customHeight="1">
      <c r="A54" s="53">
        <v>19913</v>
      </c>
      <c r="B54" s="49" t="str">
        <f>IFERROR(INDEX(SCNtoISIC!$I:$I,MATCH($A54,SCNtoISIC!$G:$G,0)),0)</f>
        <v>ISIC 19</v>
      </c>
      <c r="C54" s="50" t="str">
        <f>IFERROR(INDEX(SCNtoISIC!$K:$K,MATCH($B54,SCNtoISIC!$I:$I,0)),0)</f>
        <v>Coke and refined petroleum products</v>
      </c>
      <c r="D54" s="54" t="s">
        <v>287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1613</v>
      </c>
      <c r="X54" s="32">
        <v>0</v>
      </c>
      <c r="Y54" s="32">
        <v>16327</v>
      </c>
      <c r="Z54" s="32">
        <v>0</v>
      </c>
      <c r="AA54" s="32">
        <v>0</v>
      </c>
      <c r="AB54" s="32">
        <v>0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v>0</v>
      </c>
      <c r="AY54" s="32">
        <v>0</v>
      </c>
      <c r="AZ54" s="32">
        <v>0</v>
      </c>
      <c r="BA54" s="32">
        <v>0</v>
      </c>
      <c r="BB54" s="32">
        <v>0</v>
      </c>
      <c r="BC54" s="32">
        <v>0</v>
      </c>
      <c r="BD54" s="32">
        <v>0</v>
      </c>
      <c r="BE54" s="32">
        <v>0</v>
      </c>
      <c r="BF54" s="32">
        <v>0</v>
      </c>
      <c r="BG54" s="32">
        <v>0</v>
      </c>
      <c r="BH54" s="32">
        <v>0</v>
      </c>
      <c r="BI54" s="32">
        <v>0</v>
      </c>
      <c r="BJ54" s="32">
        <v>0</v>
      </c>
      <c r="BK54" s="32">
        <v>0</v>
      </c>
      <c r="BL54" s="32">
        <v>0</v>
      </c>
      <c r="BM54" s="32">
        <v>0</v>
      </c>
      <c r="BN54" s="32">
        <v>0</v>
      </c>
      <c r="BO54" s="32">
        <v>0</v>
      </c>
      <c r="BP54" s="32">
        <v>0</v>
      </c>
      <c r="BQ54" s="32">
        <v>0</v>
      </c>
      <c r="BR54" s="32">
        <v>0</v>
      </c>
      <c r="BS54" s="32">
        <v>0</v>
      </c>
      <c r="BT54" s="32">
        <v>0</v>
      </c>
      <c r="BU54" s="32">
        <v>17940</v>
      </c>
      <c r="BV54" s="32">
        <v>0</v>
      </c>
      <c r="BW54" s="32">
        <v>0</v>
      </c>
      <c r="BX54" s="32">
        <v>0</v>
      </c>
      <c r="BY54" s="32">
        <v>0</v>
      </c>
      <c r="BZ54" s="32">
        <v>0</v>
      </c>
      <c r="CA54" s="32">
        <v>168</v>
      </c>
      <c r="CB54" s="32">
        <v>168</v>
      </c>
      <c r="CC54" s="32">
        <v>18108</v>
      </c>
    </row>
    <row r="55" spans="1:81" ht="8.25" customHeight="1">
      <c r="A55" s="53">
        <v>19914</v>
      </c>
      <c r="B55" s="49" t="str">
        <f>IFERROR(INDEX(SCNtoISIC!$I:$I,MATCH($A55,SCNtoISIC!$G:$G,0)),0)</f>
        <v>ISIC 19</v>
      </c>
      <c r="C55" s="50" t="str">
        <f>IFERROR(INDEX(SCNtoISIC!$K:$K,MATCH($B55,SCNtoISIC!$I:$I,0)),0)</f>
        <v>Coke and refined petroleum products</v>
      </c>
      <c r="D55" s="54" t="s">
        <v>289</v>
      </c>
      <c r="E55" s="32">
        <v>61</v>
      </c>
      <c r="F55" s="32">
        <v>37</v>
      </c>
      <c r="G55" s="32">
        <v>10</v>
      </c>
      <c r="H55" s="32">
        <v>409</v>
      </c>
      <c r="I55" s="32">
        <v>51</v>
      </c>
      <c r="J55" s="32">
        <v>0</v>
      </c>
      <c r="K55" s="32">
        <v>239</v>
      </c>
      <c r="L55" s="32">
        <v>361</v>
      </c>
      <c r="M55" s="32">
        <v>0</v>
      </c>
      <c r="N55" s="32">
        <v>278</v>
      </c>
      <c r="O55" s="32">
        <v>85</v>
      </c>
      <c r="P55" s="32">
        <v>0</v>
      </c>
      <c r="Q55" s="32">
        <v>34</v>
      </c>
      <c r="R55" s="32">
        <v>0</v>
      </c>
      <c r="S55" s="32">
        <v>0</v>
      </c>
      <c r="T55" s="32">
        <v>23</v>
      </c>
      <c r="U55" s="32">
        <v>629</v>
      </c>
      <c r="V55" s="32">
        <v>0</v>
      </c>
      <c r="W55" s="32">
        <v>166</v>
      </c>
      <c r="X55" s="32">
        <v>0</v>
      </c>
      <c r="Y55" s="32">
        <v>608</v>
      </c>
      <c r="Z55" s="32">
        <v>94</v>
      </c>
      <c r="AA55" s="32">
        <v>9</v>
      </c>
      <c r="AB55" s="32">
        <v>7</v>
      </c>
      <c r="AC55" s="32">
        <v>32</v>
      </c>
      <c r="AD55" s="32">
        <v>431</v>
      </c>
      <c r="AE55" s="32">
        <v>221</v>
      </c>
      <c r="AF55" s="32">
        <v>1233</v>
      </c>
      <c r="AG55" s="32">
        <v>19</v>
      </c>
      <c r="AH55" s="32">
        <v>0</v>
      </c>
      <c r="AI55" s="32">
        <v>5</v>
      </c>
      <c r="AJ55" s="32">
        <v>75</v>
      </c>
      <c r="AK55" s="32">
        <v>5</v>
      </c>
      <c r="AL55" s="32">
        <v>3</v>
      </c>
      <c r="AM55" s="32">
        <v>8</v>
      </c>
      <c r="AN55" s="32">
        <v>3</v>
      </c>
      <c r="AO55" s="32">
        <v>5</v>
      </c>
      <c r="AP55" s="32">
        <v>1242</v>
      </c>
      <c r="AQ55" s="32">
        <v>63</v>
      </c>
      <c r="AR55" s="32">
        <v>860</v>
      </c>
      <c r="AS55" s="32">
        <v>5</v>
      </c>
      <c r="AT55" s="32">
        <v>449</v>
      </c>
      <c r="AU55" s="32">
        <v>3</v>
      </c>
      <c r="AV55" s="32">
        <v>964</v>
      </c>
      <c r="AW55" s="32">
        <v>0</v>
      </c>
      <c r="AX55" s="32">
        <v>299</v>
      </c>
      <c r="AY55" s="32">
        <v>0</v>
      </c>
      <c r="AZ55" s="32">
        <v>0</v>
      </c>
      <c r="BA55" s="32">
        <v>0</v>
      </c>
      <c r="BB55" s="32">
        <v>0</v>
      </c>
      <c r="BC55" s="32">
        <v>0</v>
      </c>
      <c r="BD55" s="32">
        <v>0</v>
      </c>
      <c r="BE55" s="32">
        <v>0</v>
      </c>
      <c r="BF55" s="32">
        <v>0</v>
      </c>
      <c r="BG55" s="32">
        <v>0</v>
      </c>
      <c r="BH55" s="32">
        <v>3</v>
      </c>
      <c r="BI55" s="32">
        <v>0</v>
      </c>
      <c r="BJ55" s="32">
        <v>6</v>
      </c>
      <c r="BK55" s="32">
        <v>15</v>
      </c>
      <c r="BL55" s="32">
        <v>0</v>
      </c>
      <c r="BM55" s="32">
        <v>0</v>
      </c>
      <c r="BN55" s="32">
        <v>0</v>
      </c>
      <c r="BO55" s="32">
        <v>0</v>
      </c>
      <c r="BP55" s="32">
        <v>0</v>
      </c>
      <c r="BQ55" s="32">
        <v>0</v>
      </c>
      <c r="BR55" s="32">
        <v>0</v>
      </c>
      <c r="BS55" s="32">
        <v>0</v>
      </c>
      <c r="BT55" s="32">
        <v>0</v>
      </c>
      <c r="BU55" s="32">
        <v>9050</v>
      </c>
      <c r="BV55" s="32">
        <v>13256</v>
      </c>
      <c r="BW55" s="32">
        <v>0</v>
      </c>
      <c r="BX55" s="32">
        <v>0</v>
      </c>
      <c r="BY55" s="32">
        <v>0</v>
      </c>
      <c r="BZ55" s="32">
        <v>0</v>
      </c>
      <c r="CA55" s="32">
        <v>-1458</v>
      </c>
      <c r="CB55" s="32">
        <v>11798</v>
      </c>
      <c r="CC55" s="32">
        <v>20848</v>
      </c>
    </row>
    <row r="56" spans="1:81" ht="8.25" customHeight="1">
      <c r="A56" s="53">
        <v>19915</v>
      </c>
      <c r="B56" s="49" t="str">
        <f>IFERROR(INDEX(SCNtoISIC!$I:$I,MATCH($A56,SCNtoISIC!$G:$G,0)),0)</f>
        <v>ISIC 19</v>
      </c>
      <c r="C56" s="50" t="str">
        <f>IFERROR(INDEX(SCNtoISIC!$K:$K,MATCH($B56,SCNtoISIC!$I:$I,0)),0)</f>
        <v>Coke and refined petroleum products</v>
      </c>
      <c r="D56" s="54" t="s">
        <v>293</v>
      </c>
      <c r="E56" s="32">
        <v>6498</v>
      </c>
      <c r="F56" s="32">
        <v>2244</v>
      </c>
      <c r="G56" s="32">
        <v>504</v>
      </c>
      <c r="H56" s="32">
        <v>628</v>
      </c>
      <c r="I56" s="32">
        <v>104</v>
      </c>
      <c r="J56" s="32">
        <v>2161</v>
      </c>
      <c r="K56" s="32">
        <v>759</v>
      </c>
      <c r="L56" s="32">
        <v>1331</v>
      </c>
      <c r="M56" s="32">
        <v>1267</v>
      </c>
      <c r="N56" s="32">
        <v>2147</v>
      </c>
      <c r="O56" s="32">
        <v>376</v>
      </c>
      <c r="P56" s="32">
        <v>18</v>
      </c>
      <c r="Q56" s="32">
        <v>140</v>
      </c>
      <c r="R56" s="32">
        <v>103</v>
      </c>
      <c r="S56" s="32">
        <v>102</v>
      </c>
      <c r="T56" s="32">
        <v>51</v>
      </c>
      <c r="U56" s="32">
        <v>314</v>
      </c>
      <c r="V56" s="32">
        <v>27</v>
      </c>
      <c r="W56" s="32">
        <v>14</v>
      </c>
      <c r="X56" s="32">
        <v>512</v>
      </c>
      <c r="Y56" s="32">
        <v>695</v>
      </c>
      <c r="Z56" s="32">
        <v>237</v>
      </c>
      <c r="AA56" s="32">
        <v>187</v>
      </c>
      <c r="AB56" s="32">
        <v>124</v>
      </c>
      <c r="AC56" s="32">
        <v>517</v>
      </c>
      <c r="AD56" s="32">
        <v>911</v>
      </c>
      <c r="AE56" s="32">
        <v>580</v>
      </c>
      <c r="AF56" s="32">
        <v>135</v>
      </c>
      <c r="AG56" s="32">
        <v>275</v>
      </c>
      <c r="AH56" s="32">
        <v>166</v>
      </c>
      <c r="AI56" s="32">
        <v>210</v>
      </c>
      <c r="AJ56" s="32">
        <v>238</v>
      </c>
      <c r="AK56" s="32">
        <v>857</v>
      </c>
      <c r="AL56" s="32">
        <v>179</v>
      </c>
      <c r="AM56" s="32">
        <v>114</v>
      </c>
      <c r="AN56" s="32">
        <v>193</v>
      </c>
      <c r="AO56" s="32">
        <v>154</v>
      </c>
      <c r="AP56" s="32">
        <v>3096</v>
      </c>
      <c r="AQ56" s="32">
        <v>579</v>
      </c>
      <c r="AR56" s="32">
        <v>5935</v>
      </c>
      <c r="AS56" s="32">
        <v>152</v>
      </c>
      <c r="AT56" s="32">
        <v>6611</v>
      </c>
      <c r="AU56" s="32">
        <v>52670</v>
      </c>
      <c r="AV56" s="32">
        <v>384</v>
      </c>
      <c r="AW56" s="32">
        <v>53</v>
      </c>
      <c r="AX56" s="32">
        <v>939</v>
      </c>
      <c r="AY56" s="32">
        <v>14</v>
      </c>
      <c r="AZ56" s="32">
        <v>5</v>
      </c>
      <c r="BA56" s="32">
        <v>2</v>
      </c>
      <c r="BB56" s="32">
        <v>8</v>
      </c>
      <c r="BC56" s="32">
        <v>2</v>
      </c>
      <c r="BD56" s="32">
        <v>0</v>
      </c>
      <c r="BE56" s="32">
        <v>0</v>
      </c>
      <c r="BF56" s="32">
        <v>3</v>
      </c>
      <c r="BG56" s="32">
        <v>0</v>
      </c>
      <c r="BH56" s="32">
        <v>15</v>
      </c>
      <c r="BI56" s="32">
        <v>1</v>
      </c>
      <c r="BJ56" s="32">
        <v>67</v>
      </c>
      <c r="BK56" s="32">
        <v>1</v>
      </c>
      <c r="BL56" s="32">
        <v>254</v>
      </c>
      <c r="BM56" s="32">
        <v>361</v>
      </c>
      <c r="BN56" s="32">
        <v>111</v>
      </c>
      <c r="BO56" s="32">
        <v>66</v>
      </c>
      <c r="BP56" s="32">
        <v>23</v>
      </c>
      <c r="BQ56" s="32">
        <v>29</v>
      </c>
      <c r="BR56" s="32">
        <v>43</v>
      </c>
      <c r="BS56" s="32">
        <v>238</v>
      </c>
      <c r="BT56" s="32">
        <v>0</v>
      </c>
      <c r="BU56" s="32">
        <v>96734</v>
      </c>
      <c r="BV56" s="32">
        <v>0</v>
      </c>
      <c r="BW56" s="32">
        <v>0</v>
      </c>
      <c r="BX56" s="32">
        <v>0</v>
      </c>
      <c r="BY56" s="32">
        <v>4400</v>
      </c>
      <c r="BZ56" s="32">
        <v>0</v>
      </c>
      <c r="CA56" s="32">
        <v>0</v>
      </c>
      <c r="CB56" s="32">
        <v>4400</v>
      </c>
      <c r="CC56" s="32">
        <v>101134</v>
      </c>
    </row>
    <row r="57" spans="1:81" ht="8.25" customHeight="1">
      <c r="A57" s="48">
        <v>19916</v>
      </c>
      <c r="B57" s="49" t="str">
        <f>IFERROR(INDEX(SCNtoISIC!$I:$I,MATCH($A57,SCNtoISIC!$G:$G,0)),0)</f>
        <v>ISIC 19</v>
      </c>
      <c r="C57" s="50" t="str">
        <f>IFERROR(INDEX(SCNtoISIC!$K:$K,MATCH($B57,SCNtoISIC!$I:$I,0)),0)</f>
        <v>Coke and refined petroleum products</v>
      </c>
      <c r="D57" s="51" t="s">
        <v>295</v>
      </c>
      <c r="E57" s="52">
        <v>936</v>
      </c>
      <c r="F57" s="52">
        <v>823</v>
      </c>
      <c r="G57" s="52">
        <v>62</v>
      </c>
      <c r="H57" s="52">
        <v>15</v>
      </c>
      <c r="I57" s="52">
        <v>513</v>
      </c>
      <c r="J57" s="52">
        <v>345</v>
      </c>
      <c r="K57" s="52">
        <v>103</v>
      </c>
      <c r="L57" s="52">
        <v>63</v>
      </c>
      <c r="M57" s="52">
        <v>1</v>
      </c>
      <c r="N57" s="52">
        <v>531</v>
      </c>
      <c r="O57" s="52">
        <v>60</v>
      </c>
      <c r="P57" s="52">
        <v>4</v>
      </c>
      <c r="Q57" s="52">
        <v>88</v>
      </c>
      <c r="R57" s="52">
        <v>0</v>
      </c>
      <c r="S57" s="52">
        <v>122</v>
      </c>
      <c r="T57" s="52">
        <v>0</v>
      </c>
      <c r="U57" s="52">
        <v>419</v>
      </c>
      <c r="V57" s="52">
        <v>0</v>
      </c>
      <c r="W57" s="52">
        <v>126481</v>
      </c>
      <c r="X57" s="52">
        <v>0</v>
      </c>
      <c r="Y57" s="52">
        <v>1391</v>
      </c>
      <c r="Z57" s="52">
        <v>821</v>
      </c>
      <c r="AA57" s="52">
        <v>297</v>
      </c>
      <c r="AB57" s="52">
        <v>9</v>
      </c>
      <c r="AC57" s="52">
        <v>1504</v>
      </c>
      <c r="AD57" s="52">
        <v>3044</v>
      </c>
      <c r="AE57" s="52">
        <v>2198</v>
      </c>
      <c r="AF57" s="52">
        <v>170</v>
      </c>
      <c r="AG57" s="52">
        <v>145</v>
      </c>
      <c r="AH57" s="52">
        <v>1</v>
      </c>
      <c r="AI57" s="52">
        <v>663</v>
      </c>
      <c r="AJ57" s="52">
        <v>249</v>
      </c>
      <c r="AK57" s="52">
        <v>183</v>
      </c>
      <c r="AL57" s="52">
        <v>307</v>
      </c>
      <c r="AM57" s="52">
        <v>14</v>
      </c>
      <c r="AN57" s="52">
        <v>80</v>
      </c>
      <c r="AO57" s="52">
        <v>156</v>
      </c>
      <c r="AP57" s="52">
        <v>189</v>
      </c>
      <c r="AQ57" s="52">
        <v>145</v>
      </c>
      <c r="AR57" s="52">
        <v>2869</v>
      </c>
      <c r="AS57" s="52">
        <v>5</v>
      </c>
      <c r="AT57" s="52">
        <v>4140</v>
      </c>
      <c r="AU57" s="52">
        <v>3624</v>
      </c>
      <c r="AV57" s="52">
        <v>59</v>
      </c>
      <c r="AW57" s="52">
        <v>0</v>
      </c>
      <c r="AX57" s="52">
        <v>90</v>
      </c>
      <c r="AY57" s="52">
        <v>15</v>
      </c>
      <c r="AZ57" s="52">
        <v>1801</v>
      </c>
      <c r="BA57" s="52">
        <v>0</v>
      </c>
      <c r="BB57" s="52">
        <v>4</v>
      </c>
      <c r="BC57" s="52">
        <v>0</v>
      </c>
      <c r="BD57" s="52">
        <v>0</v>
      </c>
      <c r="BE57" s="52">
        <v>0</v>
      </c>
      <c r="BF57" s="52">
        <v>3</v>
      </c>
      <c r="BG57" s="52">
        <v>0</v>
      </c>
      <c r="BH57" s="52">
        <v>183</v>
      </c>
      <c r="BI57" s="52">
        <v>21</v>
      </c>
      <c r="BJ57" s="52">
        <v>187</v>
      </c>
      <c r="BK57" s="52">
        <v>3</v>
      </c>
      <c r="BL57" s="52">
        <v>0</v>
      </c>
      <c r="BM57" s="52">
        <v>567</v>
      </c>
      <c r="BN57" s="52">
        <v>121</v>
      </c>
      <c r="BO57" s="52">
        <v>0</v>
      </c>
      <c r="BP57" s="52">
        <v>16</v>
      </c>
      <c r="BQ57" s="52">
        <v>27</v>
      </c>
      <c r="BR57" s="52">
        <v>4</v>
      </c>
      <c r="BS57" s="52">
        <v>194</v>
      </c>
      <c r="BT57" s="52">
        <v>0</v>
      </c>
      <c r="BU57" s="52">
        <v>156065</v>
      </c>
      <c r="BV57" s="52">
        <v>2206</v>
      </c>
      <c r="BW57" s="52">
        <v>0</v>
      </c>
      <c r="BX57" s="52">
        <v>0</v>
      </c>
      <c r="BY57" s="52">
        <v>22127</v>
      </c>
      <c r="BZ57" s="52">
        <v>0</v>
      </c>
      <c r="CA57" s="52">
        <v>-2606</v>
      </c>
      <c r="CB57" s="52">
        <v>21727</v>
      </c>
      <c r="CC57" s="52">
        <v>177792</v>
      </c>
    </row>
    <row r="58" spans="1:81" ht="8.25" customHeight="1">
      <c r="A58" s="48">
        <v>19921</v>
      </c>
      <c r="B58" s="49" t="str">
        <f>IFERROR(INDEX(SCNtoISIC!$I:$I,MATCH($A58,SCNtoISIC!$G:$G,0)),0)</f>
        <v>ISIC 19</v>
      </c>
      <c r="C58" s="50" t="str">
        <f>IFERROR(INDEX(SCNtoISIC!$K:$K,MATCH($B58,SCNtoISIC!$I:$I,0)),0)</f>
        <v>Coke and refined petroleum products</v>
      </c>
      <c r="D58" s="51" t="s">
        <v>299</v>
      </c>
      <c r="E58" s="52">
        <v>110</v>
      </c>
      <c r="F58" s="52">
        <v>82</v>
      </c>
      <c r="G58" s="52">
        <v>6</v>
      </c>
      <c r="H58" s="52">
        <v>4</v>
      </c>
      <c r="I58" s="52">
        <v>338</v>
      </c>
      <c r="J58" s="52">
        <v>0</v>
      </c>
      <c r="K58" s="52">
        <v>0</v>
      </c>
      <c r="L58" s="52">
        <v>0</v>
      </c>
      <c r="M58" s="52">
        <v>146</v>
      </c>
      <c r="N58" s="52">
        <v>62</v>
      </c>
      <c r="O58" s="52">
        <v>29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1</v>
      </c>
      <c r="V58" s="52">
        <v>0</v>
      </c>
      <c r="W58" s="52">
        <v>19330</v>
      </c>
      <c r="X58" s="52">
        <v>226</v>
      </c>
      <c r="Y58" s="52">
        <v>305</v>
      </c>
      <c r="Z58" s="52">
        <v>353</v>
      </c>
      <c r="AA58" s="52">
        <v>1234</v>
      </c>
      <c r="AB58" s="52">
        <v>767</v>
      </c>
      <c r="AC58" s="52">
        <v>0</v>
      </c>
      <c r="AD58" s="52">
        <v>0</v>
      </c>
      <c r="AE58" s="52">
        <v>0</v>
      </c>
      <c r="AF58" s="52">
        <v>0</v>
      </c>
      <c r="AG58" s="52">
        <v>42</v>
      </c>
      <c r="AH58" s="52">
        <v>0</v>
      </c>
      <c r="AI58" s="52">
        <v>3</v>
      </c>
      <c r="AJ58" s="52">
        <v>1</v>
      </c>
      <c r="AK58" s="52">
        <v>14</v>
      </c>
      <c r="AL58" s="52">
        <v>1</v>
      </c>
      <c r="AM58" s="52">
        <v>0</v>
      </c>
      <c r="AN58" s="52">
        <v>3</v>
      </c>
      <c r="AO58" s="52">
        <v>0</v>
      </c>
      <c r="AP58" s="52">
        <v>5</v>
      </c>
      <c r="AQ58" s="52">
        <v>4</v>
      </c>
      <c r="AR58" s="52">
        <v>436</v>
      </c>
      <c r="AS58" s="52">
        <v>135</v>
      </c>
      <c r="AT58" s="52">
        <v>157</v>
      </c>
      <c r="AU58" s="52">
        <v>713</v>
      </c>
      <c r="AV58" s="52">
        <v>0</v>
      </c>
      <c r="AW58" s="52">
        <v>0</v>
      </c>
      <c r="AX58" s="52">
        <v>45</v>
      </c>
      <c r="AY58" s="52">
        <v>0</v>
      </c>
      <c r="AZ58" s="52">
        <v>2</v>
      </c>
      <c r="BA58" s="52">
        <v>0</v>
      </c>
      <c r="BB58" s="52">
        <v>1</v>
      </c>
      <c r="BC58" s="52">
        <v>0</v>
      </c>
      <c r="BD58" s="52">
        <v>0</v>
      </c>
      <c r="BE58" s="52">
        <v>0</v>
      </c>
      <c r="BF58" s="52">
        <v>0</v>
      </c>
      <c r="BG58" s="52">
        <v>0</v>
      </c>
      <c r="BH58" s="52">
        <v>80</v>
      </c>
      <c r="BI58" s="52">
        <v>20</v>
      </c>
      <c r="BJ58" s="52">
        <v>0</v>
      </c>
      <c r="BK58" s="52">
        <v>0</v>
      </c>
      <c r="BL58" s="52">
        <v>69</v>
      </c>
      <c r="BM58" s="52">
        <v>903</v>
      </c>
      <c r="BN58" s="52">
        <v>130</v>
      </c>
      <c r="BO58" s="52">
        <v>0</v>
      </c>
      <c r="BP58" s="52">
        <v>37</v>
      </c>
      <c r="BQ58" s="52">
        <v>38</v>
      </c>
      <c r="BR58" s="52">
        <v>0</v>
      </c>
      <c r="BS58" s="52">
        <v>114</v>
      </c>
      <c r="BT58" s="52">
        <v>0</v>
      </c>
      <c r="BU58" s="52">
        <v>25946</v>
      </c>
      <c r="BV58" s="52">
        <v>4451</v>
      </c>
      <c r="BW58" s="52">
        <v>0</v>
      </c>
      <c r="BX58" s="52">
        <v>0</v>
      </c>
      <c r="BY58" s="52">
        <v>20650</v>
      </c>
      <c r="BZ58" s="52">
        <v>0</v>
      </c>
      <c r="CA58" s="52">
        <v>1565</v>
      </c>
      <c r="CB58" s="52">
        <v>26666</v>
      </c>
      <c r="CC58" s="52">
        <v>52612</v>
      </c>
    </row>
    <row r="59" spans="1:81" ht="8.25" customHeight="1">
      <c r="A59" s="48">
        <v>20911</v>
      </c>
      <c r="B59" s="49" t="str">
        <f>IFERROR(INDEX(SCNtoISIC!$I:$I,MATCH($A59,SCNtoISIC!$G:$G,0)),0)</f>
        <v>ISIC 20</v>
      </c>
      <c r="C59" s="50" t="str">
        <f>IFERROR(INDEX(SCNtoISIC!$K:$K,MATCH($B59,SCNtoISIC!$I:$I,0)),0)</f>
        <v>Chemicals</v>
      </c>
      <c r="D59" s="51" t="s">
        <v>302</v>
      </c>
      <c r="E59" s="52">
        <v>4881</v>
      </c>
      <c r="F59" s="52">
        <v>1648</v>
      </c>
      <c r="G59" s="52">
        <v>93</v>
      </c>
      <c r="H59" s="52">
        <v>109</v>
      </c>
      <c r="I59" s="52">
        <v>1007</v>
      </c>
      <c r="J59" s="52">
        <v>1</v>
      </c>
      <c r="K59" s="52">
        <v>94</v>
      </c>
      <c r="L59" s="52">
        <v>1</v>
      </c>
      <c r="M59" s="52">
        <v>178</v>
      </c>
      <c r="N59" s="52">
        <v>697</v>
      </c>
      <c r="O59" s="52">
        <v>112</v>
      </c>
      <c r="P59" s="52">
        <v>0</v>
      </c>
      <c r="Q59" s="52">
        <v>250</v>
      </c>
      <c r="R59" s="52">
        <v>0</v>
      </c>
      <c r="S59" s="52">
        <v>263</v>
      </c>
      <c r="T59" s="52">
        <v>0</v>
      </c>
      <c r="U59" s="52">
        <v>2633</v>
      </c>
      <c r="V59" s="52">
        <v>13</v>
      </c>
      <c r="W59" s="52">
        <v>0</v>
      </c>
      <c r="X59" s="52">
        <v>9</v>
      </c>
      <c r="Y59" s="52">
        <v>27487</v>
      </c>
      <c r="Z59" s="52">
        <v>4161</v>
      </c>
      <c r="AA59" s="52">
        <v>1293</v>
      </c>
      <c r="AB59" s="52">
        <v>225</v>
      </c>
      <c r="AC59" s="52">
        <v>628</v>
      </c>
      <c r="AD59" s="52">
        <v>2019</v>
      </c>
      <c r="AE59" s="52">
        <v>851</v>
      </c>
      <c r="AF59" s="52">
        <v>1028</v>
      </c>
      <c r="AG59" s="52">
        <v>513</v>
      </c>
      <c r="AH59" s="52">
        <v>0</v>
      </c>
      <c r="AI59" s="52">
        <v>234</v>
      </c>
      <c r="AJ59" s="52">
        <v>30</v>
      </c>
      <c r="AK59" s="52">
        <v>11</v>
      </c>
      <c r="AL59" s="52">
        <v>15</v>
      </c>
      <c r="AM59" s="52">
        <v>271</v>
      </c>
      <c r="AN59" s="52">
        <v>270</v>
      </c>
      <c r="AO59" s="52">
        <v>240</v>
      </c>
      <c r="AP59" s="52">
        <v>211</v>
      </c>
      <c r="AQ59" s="52">
        <v>978</v>
      </c>
      <c r="AR59" s="52">
        <v>1</v>
      </c>
      <c r="AS59" s="52">
        <v>0</v>
      </c>
      <c r="AT59" s="52">
        <v>507</v>
      </c>
      <c r="AU59" s="52">
        <v>1</v>
      </c>
      <c r="AV59" s="52">
        <v>0</v>
      </c>
      <c r="AW59" s="52">
        <v>0</v>
      </c>
      <c r="AX59" s="52">
        <v>0</v>
      </c>
      <c r="AY59" s="52">
        <v>0</v>
      </c>
      <c r="AZ59" s="52">
        <v>0</v>
      </c>
      <c r="BA59" s="52">
        <v>0</v>
      </c>
      <c r="BB59" s="52">
        <v>0</v>
      </c>
      <c r="BC59" s="52">
        <v>0</v>
      </c>
      <c r="BD59" s="52">
        <v>0</v>
      </c>
      <c r="BE59" s="52">
        <v>0</v>
      </c>
      <c r="BF59" s="52">
        <v>0</v>
      </c>
      <c r="BG59" s="52">
        <v>0</v>
      </c>
      <c r="BH59" s="52">
        <v>12</v>
      </c>
      <c r="BI59" s="52">
        <v>3</v>
      </c>
      <c r="BJ59" s="52">
        <v>0</v>
      </c>
      <c r="BK59" s="52">
        <v>0</v>
      </c>
      <c r="BL59" s="52">
        <v>0</v>
      </c>
      <c r="BM59" s="52">
        <v>8</v>
      </c>
      <c r="BN59" s="52">
        <v>29</v>
      </c>
      <c r="BO59" s="52">
        <v>0</v>
      </c>
      <c r="BP59" s="52">
        <v>232</v>
      </c>
      <c r="BQ59" s="52">
        <v>761</v>
      </c>
      <c r="BR59" s="52">
        <v>0</v>
      </c>
      <c r="BS59" s="52">
        <v>431</v>
      </c>
      <c r="BT59" s="52">
        <v>0</v>
      </c>
      <c r="BU59" s="52">
        <v>54439</v>
      </c>
      <c r="BV59" s="52">
        <v>1501</v>
      </c>
      <c r="BW59" s="52">
        <v>0</v>
      </c>
      <c r="BX59" s="52">
        <v>0</v>
      </c>
      <c r="BY59" s="52">
        <v>19</v>
      </c>
      <c r="BZ59" s="52">
        <v>0</v>
      </c>
      <c r="CA59" s="52">
        <v>1229</v>
      </c>
      <c r="CB59" s="52">
        <v>2749</v>
      </c>
      <c r="CC59" s="52">
        <v>57188</v>
      </c>
    </row>
    <row r="60" spans="1:81" ht="8.25" customHeight="1">
      <c r="A60" s="48">
        <v>20912</v>
      </c>
      <c r="B60" s="49" t="str">
        <f>IFERROR(INDEX(SCNtoISIC!$I:$I,MATCH($A60,SCNtoISIC!$G:$G,0)),0)</f>
        <v>ISIC 20</v>
      </c>
      <c r="C60" s="50" t="str">
        <f>IFERROR(INDEX(SCNtoISIC!$K:$K,MATCH($B60,SCNtoISIC!$I:$I,0)),0)</f>
        <v>Chemicals</v>
      </c>
      <c r="D60" s="51" t="s">
        <v>307</v>
      </c>
      <c r="E60" s="52">
        <v>32317</v>
      </c>
      <c r="F60" s="52">
        <v>2702</v>
      </c>
      <c r="G60" s="52">
        <v>348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212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1742</v>
      </c>
      <c r="Z60" s="52">
        <v>18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2">
        <v>0</v>
      </c>
      <c r="AG60" s="52">
        <v>0</v>
      </c>
      <c r="AH60" s="52">
        <v>0</v>
      </c>
      <c r="AI60" s="52">
        <v>0</v>
      </c>
      <c r="AJ60" s="52">
        <v>0</v>
      </c>
      <c r="AK60" s="52">
        <v>0</v>
      </c>
      <c r="AL60" s="52">
        <v>0</v>
      </c>
      <c r="AM60" s="52">
        <v>0</v>
      </c>
      <c r="AN60" s="52">
        <v>0</v>
      </c>
      <c r="AO60" s="52">
        <v>0</v>
      </c>
      <c r="AP60" s="52">
        <v>0</v>
      </c>
      <c r="AQ60" s="52">
        <v>0</v>
      </c>
      <c r="AR60" s="52">
        <v>0</v>
      </c>
      <c r="AS60" s="52">
        <v>0</v>
      </c>
      <c r="AT60" s="52">
        <v>0</v>
      </c>
      <c r="AU60" s="52">
        <v>0</v>
      </c>
      <c r="AV60" s="52">
        <v>0</v>
      </c>
      <c r="AW60" s="52">
        <v>0</v>
      </c>
      <c r="AX60" s="52">
        <v>0</v>
      </c>
      <c r="AY60" s="52">
        <v>0</v>
      </c>
      <c r="AZ60" s="52">
        <v>0</v>
      </c>
      <c r="BA60" s="52">
        <v>0</v>
      </c>
      <c r="BB60" s="52">
        <v>0</v>
      </c>
      <c r="BC60" s="52">
        <v>0</v>
      </c>
      <c r="BD60" s="52">
        <v>0</v>
      </c>
      <c r="BE60" s="52">
        <v>0</v>
      </c>
      <c r="BF60" s="52">
        <v>0</v>
      </c>
      <c r="BG60" s="52">
        <v>0</v>
      </c>
      <c r="BH60" s="52">
        <v>0</v>
      </c>
      <c r="BI60" s="52">
        <v>0</v>
      </c>
      <c r="BJ60" s="52">
        <v>0</v>
      </c>
      <c r="BK60" s="52">
        <v>0</v>
      </c>
      <c r="BL60" s="52">
        <v>0</v>
      </c>
      <c r="BM60" s="52">
        <v>3</v>
      </c>
      <c r="BN60" s="52">
        <v>0</v>
      </c>
      <c r="BO60" s="52">
        <v>0</v>
      </c>
      <c r="BP60" s="52">
        <v>0</v>
      </c>
      <c r="BQ60" s="52">
        <v>0</v>
      </c>
      <c r="BR60" s="52">
        <v>0</v>
      </c>
      <c r="BS60" s="52">
        <v>0</v>
      </c>
      <c r="BT60" s="52">
        <v>0</v>
      </c>
      <c r="BU60" s="52">
        <v>37342</v>
      </c>
      <c r="BV60" s="52">
        <v>596</v>
      </c>
      <c r="BW60" s="52">
        <v>0</v>
      </c>
      <c r="BX60" s="52">
        <v>0</v>
      </c>
      <c r="BY60" s="52">
        <v>0</v>
      </c>
      <c r="BZ60" s="52">
        <v>0</v>
      </c>
      <c r="CA60" s="52">
        <v>1996</v>
      </c>
      <c r="CB60" s="52">
        <v>2592</v>
      </c>
      <c r="CC60" s="52">
        <v>39934</v>
      </c>
    </row>
    <row r="61" spans="1:81" ht="8.25" customHeight="1">
      <c r="A61" s="48">
        <v>20913</v>
      </c>
      <c r="B61" s="49" t="str">
        <f>IFERROR(INDEX(SCNtoISIC!$I:$I,MATCH($A61,SCNtoISIC!$G:$G,0)),0)</f>
        <v>ISIC 20</v>
      </c>
      <c r="C61" s="50" t="str">
        <f>IFERROR(INDEX(SCNtoISIC!$K:$K,MATCH($B61,SCNtoISIC!$I:$I,0)),0)</f>
        <v>Chemicals</v>
      </c>
      <c r="D61" s="51" t="s">
        <v>311</v>
      </c>
      <c r="E61" s="52">
        <v>0</v>
      </c>
      <c r="F61" s="52">
        <v>3</v>
      </c>
      <c r="G61" s="52">
        <v>0</v>
      </c>
      <c r="H61" s="52">
        <v>0</v>
      </c>
      <c r="I61" s="52">
        <v>1077</v>
      </c>
      <c r="J61" s="52">
        <v>232</v>
      </c>
      <c r="K61" s="52">
        <v>92</v>
      </c>
      <c r="L61" s="52">
        <v>357</v>
      </c>
      <c r="M61" s="52">
        <v>0</v>
      </c>
      <c r="N61" s="52">
        <v>343</v>
      </c>
      <c r="O61" s="52">
        <v>25</v>
      </c>
      <c r="P61" s="52">
        <v>0</v>
      </c>
      <c r="Q61" s="52">
        <v>1270</v>
      </c>
      <c r="R61" s="52">
        <v>211</v>
      </c>
      <c r="S61" s="52">
        <v>712</v>
      </c>
      <c r="T61" s="52">
        <v>0</v>
      </c>
      <c r="U61" s="52">
        <v>1408</v>
      </c>
      <c r="V61" s="52">
        <v>0</v>
      </c>
      <c r="W61" s="52">
        <v>0</v>
      </c>
      <c r="X61" s="52">
        <v>491</v>
      </c>
      <c r="Y61" s="52">
        <v>19901</v>
      </c>
      <c r="Z61" s="52">
        <v>12547</v>
      </c>
      <c r="AA61" s="52">
        <v>3653</v>
      </c>
      <c r="AB61" s="52">
        <v>2050</v>
      </c>
      <c r="AC61" s="52">
        <v>2456</v>
      </c>
      <c r="AD61" s="52">
        <v>0</v>
      </c>
      <c r="AE61" s="52">
        <v>482</v>
      </c>
      <c r="AF61" s="52">
        <v>289</v>
      </c>
      <c r="AG61" s="52">
        <v>512</v>
      </c>
      <c r="AH61" s="52">
        <v>0</v>
      </c>
      <c r="AI61" s="52">
        <v>105</v>
      </c>
      <c r="AJ61" s="52">
        <v>10</v>
      </c>
      <c r="AK61" s="52">
        <v>31</v>
      </c>
      <c r="AL61" s="52">
        <v>0</v>
      </c>
      <c r="AM61" s="52">
        <v>2</v>
      </c>
      <c r="AN61" s="52">
        <v>276</v>
      </c>
      <c r="AO61" s="52">
        <v>0</v>
      </c>
      <c r="AP61" s="52">
        <v>8</v>
      </c>
      <c r="AQ61" s="52">
        <v>148</v>
      </c>
      <c r="AR61" s="52">
        <v>0</v>
      </c>
      <c r="AS61" s="52">
        <v>0</v>
      </c>
      <c r="AT61" s="52">
        <v>62</v>
      </c>
      <c r="AU61" s="52">
        <v>0</v>
      </c>
      <c r="AV61" s="52">
        <v>0</v>
      </c>
      <c r="AW61" s="52">
        <v>0</v>
      </c>
      <c r="AX61" s="52">
        <v>0</v>
      </c>
      <c r="AY61" s="52">
        <v>0</v>
      </c>
      <c r="AZ61" s="52">
        <v>0</v>
      </c>
      <c r="BA61" s="52">
        <v>0</v>
      </c>
      <c r="BB61" s="52">
        <v>0</v>
      </c>
      <c r="BC61" s="52">
        <v>0</v>
      </c>
      <c r="BD61" s="52">
        <v>0</v>
      </c>
      <c r="BE61" s="52">
        <v>0</v>
      </c>
      <c r="BF61" s="52">
        <v>0</v>
      </c>
      <c r="BG61" s="52">
        <v>0</v>
      </c>
      <c r="BH61" s="52">
        <v>44</v>
      </c>
      <c r="BI61" s="52">
        <v>0</v>
      </c>
      <c r="BJ61" s="52">
        <v>0</v>
      </c>
      <c r="BK61" s="52">
        <v>0</v>
      </c>
      <c r="BL61" s="52">
        <v>0</v>
      </c>
      <c r="BM61" s="52">
        <v>9</v>
      </c>
      <c r="BN61" s="52">
        <v>34</v>
      </c>
      <c r="BO61" s="52">
        <v>0</v>
      </c>
      <c r="BP61" s="52">
        <v>88</v>
      </c>
      <c r="BQ61" s="52">
        <v>72</v>
      </c>
      <c r="BR61" s="52">
        <v>0</v>
      </c>
      <c r="BS61" s="52">
        <v>0</v>
      </c>
      <c r="BT61" s="52">
        <v>0</v>
      </c>
      <c r="BU61" s="52">
        <v>49000</v>
      </c>
      <c r="BV61" s="52">
        <v>6834</v>
      </c>
      <c r="BW61" s="52">
        <v>0</v>
      </c>
      <c r="BX61" s="52">
        <v>0</v>
      </c>
      <c r="BY61" s="52">
        <v>0</v>
      </c>
      <c r="BZ61" s="52">
        <v>0</v>
      </c>
      <c r="CA61" s="52">
        <v>1342</v>
      </c>
      <c r="CB61" s="52">
        <v>8176</v>
      </c>
      <c r="CC61" s="52">
        <v>57176</v>
      </c>
    </row>
    <row r="62" spans="1:81" ht="8.25" customHeight="1">
      <c r="A62" s="53">
        <v>20914</v>
      </c>
      <c r="B62" s="49" t="str">
        <f>IFERROR(INDEX(SCNtoISIC!$I:$I,MATCH($A62,SCNtoISIC!$G:$G,0)),0)</f>
        <v>ISIC 20</v>
      </c>
      <c r="C62" s="50" t="str">
        <f>IFERROR(INDEX(SCNtoISIC!$K:$K,MATCH($B62,SCNtoISIC!$I:$I,0)),0)</f>
        <v>Chemicals</v>
      </c>
      <c r="D62" s="54" t="s">
        <v>315</v>
      </c>
      <c r="E62" s="32">
        <v>125</v>
      </c>
      <c r="F62" s="32">
        <v>7</v>
      </c>
      <c r="G62" s="32">
        <v>0</v>
      </c>
      <c r="H62" s="32">
        <v>0</v>
      </c>
      <c r="I62" s="32">
        <v>738</v>
      </c>
      <c r="J62" s="32">
        <v>0</v>
      </c>
      <c r="K62" s="32">
        <v>0</v>
      </c>
      <c r="L62" s="32">
        <v>2</v>
      </c>
      <c r="M62" s="32">
        <v>4</v>
      </c>
      <c r="N62" s="32">
        <v>9</v>
      </c>
      <c r="O62" s="32">
        <v>0</v>
      </c>
      <c r="P62" s="32">
        <v>32</v>
      </c>
      <c r="Q62" s="32">
        <v>4305</v>
      </c>
      <c r="R62" s="32">
        <v>0</v>
      </c>
      <c r="S62" s="32">
        <v>1319</v>
      </c>
      <c r="T62" s="32">
        <v>600</v>
      </c>
      <c r="U62" s="32">
        <v>1557</v>
      </c>
      <c r="V62" s="32">
        <v>50</v>
      </c>
      <c r="W62" s="32">
        <v>0</v>
      </c>
      <c r="X62" s="32">
        <v>0</v>
      </c>
      <c r="Y62" s="32">
        <v>2129</v>
      </c>
      <c r="Z62" s="32">
        <v>2131</v>
      </c>
      <c r="AA62" s="32">
        <v>1074</v>
      </c>
      <c r="AB62" s="32">
        <v>70</v>
      </c>
      <c r="AC62" s="32">
        <v>18554</v>
      </c>
      <c r="AD62" s="32">
        <v>1905</v>
      </c>
      <c r="AE62" s="32">
        <v>1</v>
      </c>
      <c r="AF62" s="32">
        <v>231</v>
      </c>
      <c r="AG62" s="32">
        <v>1171</v>
      </c>
      <c r="AH62" s="32">
        <v>217</v>
      </c>
      <c r="AI62" s="32">
        <v>3890</v>
      </c>
      <c r="AJ62" s="32">
        <v>206</v>
      </c>
      <c r="AK62" s="32">
        <v>94</v>
      </c>
      <c r="AL62" s="32">
        <v>1826</v>
      </c>
      <c r="AM62" s="32">
        <v>382</v>
      </c>
      <c r="AN62" s="32">
        <v>2004</v>
      </c>
      <c r="AO62" s="32">
        <v>0</v>
      </c>
      <c r="AP62" s="32">
        <v>0</v>
      </c>
      <c r="AQ62" s="32">
        <v>0</v>
      </c>
      <c r="AR62" s="32">
        <v>1</v>
      </c>
      <c r="AS62" s="32">
        <v>0</v>
      </c>
      <c r="AT62" s="32">
        <v>0</v>
      </c>
      <c r="AU62" s="32">
        <v>0</v>
      </c>
      <c r="AV62" s="32">
        <v>0</v>
      </c>
      <c r="AW62" s="32">
        <v>0</v>
      </c>
      <c r="AX62" s="32">
        <v>0</v>
      </c>
      <c r="AY62" s="32">
        <v>0</v>
      </c>
      <c r="AZ62" s="32">
        <v>0</v>
      </c>
      <c r="BA62" s="32">
        <v>0</v>
      </c>
      <c r="BB62" s="32">
        <v>0</v>
      </c>
      <c r="BC62" s="32">
        <v>0</v>
      </c>
      <c r="BD62" s="32">
        <v>0</v>
      </c>
      <c r="BE62" s="32">
        <v>0</v>
      </c>
      <c r="BF62" s="32">
        <v>0</v>
      </c>
      <c r="BG62" s="32">
        <v>0</v>
      </c>
      <c r="BH62" s="32">
        <v>13</v>
      </c>
      <c r="BI62" s="32">
        <v>0</v>
      </c>
      <c r="BJ62" s="32">
        <v>0</v>
      </c>
      <c r="BK62" s="32">
        <v>0</v>
      </c>
      <c r="BL62" s="32">
        <v>0</v>
      </c>
      <c r="BM62" s="32">
        <v>0</v>
      </c>
      <c r="BN62" s="32">
        <v>0</v>
      </c>
      <c r="BO62" s="32">
        <v>0</v>
      </c>
      <c r="BP62" s="32">
        <v>0</v>
      </c>
      <c r="BQ62" s="32">
        <v>0</v>
      </c>
      <c r="BR62" s="32">
        <v>0</v>
      </c>
      <c r="BS62" s="32">
        <v>0</v>
      </c>
      <c r="BT62" s="32">
        <v>0</v>
      </c>
      <c r="BU62" s="32">
        <v>44647</v>
      </c>
      <c r="BV62" s="32">
        <v>5814</v>
      </c>
      <c r="BW62" s="32">
        <v>0</v>
      </c>
      <c r="BX62" s="32">
        <v>0</v>
      </c>
      <c r="BY62" s="32">
        <v>0</v>
      </c>
      <c r="BZ62" s="32">
        <v>0</v>
      </c>
      <c r="CA62" s="32">
        <v>-2261</v>
      </c>
      <c r="CB62" s="32">
        <v>3553</v>
      </c>
      <c r="CC62" s="32">
        <v>48200</v>
      </c>
    </row>
    <row r="63" spans="1:81" ht="8.25" customHeight="1">
      <c r="A63" s="53">
        <v>20921</v>
      </c>
      <c r="B63" s="49" t="str">
        <f>IFERROR(INDEX(SCNtoISIC!$I:$I,MATCH($A63,SCNtoISIC!$G:$G,0)),0)</f>
        <v>ISIC 20</v>
      </c>
      <c r="C63" s="50" t="str">
        <f>IFERROR(INDEX(SCNtoISIC!$K:$K,MATCH($B63,SCNtoISIC!$I:$I,0)),0)</f>
        <v>Chemicals</v>
      </c>
      <c r="D63" s="54" t="s">
        <v>319</v>
      </c>
      <c r="E63" s="32">
        <v>20242</v>
      </c>
      <c r="F63" s="32">
        <v>1620</v>
      </c>
      <c r="G63" s="32">
        <v>78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36</v>
      </c>
      <c r="N63" s="32">
        <v>1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  <c r="Z63" s="32">
        <v>4359</v>
      </c>
      <c r="AA63" s="32">
        <v>560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45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32">
        <v>7</v>
      </c>
      <c r="AZ63" s="32">
        <v>0</v>
      </c>
      <c r="BA63" s="32">
        <v>0</v>
      </c>
      <c r="BB63" s="32">
        <v>0</v>
      </c>
      <c r="BC63" s="32">
        <v>0</v>
      </c>
      <c r="BD63" s="32">
        <v>0</v>
      </c>
      <c r="BE63" s="32">
        <v>0</v>
      </c>
      <c r="BF63" s="32">
        <v>0</v>
      </c>
      <c r="BG63" s="32">
        <v>0</v>
      </c>
      <c r="BH63" s="32">
        <v>18</v>
      </c>
      <c r="BI63" s="32">
        <v>12</v>
      </c>
      <c r="BJ63" s="32">
        <v>0</v>
      </c>
      <c r="BK63" s="32">
        <v>970</v>
      </c>
      <c r="BL63" s="32">
        <v>0</v>
      </c>
      <c r="BM63" s="32">
        <v>0</v>
      </c>
      <c r="BN63" s="32">
        <v>0</v>
      </c>
      <c r="BO63" s="32">
        <v>0</v>
      </c>
      <c r="BP63" s="32">
        <v>0</v>
      </c>
      <c r="BQ63" s="32">
        <v>0</v>
      </c>
      <c r="BR63" s="32">
        <v>5</v>
      </c>
      <c r="BS63" s="32">
        <v>0</v>
      </c>
      <c r="BT63" s="32">
        <v>0</v>
      </c>
      <c r="BU63" s="32">
        <v>27953</v>
      </c>
      <c r="BV63" s="32">
        <v>916</v>
      </c>
      <c r="BW63" s="32">
        <v>0</v>
      </c>
      <c r="BX63" s="32">
        <v>0</v>
      </c>
      <c r="BY63" s="32">
        <v>449</v>
      </c>
      <c r="BZ63" s="32">
        <v>0</v>
      </c>
      <c r="CA63" s="32">
        <v>1439</v>
      </c>
      <c r="CB63" s="32">
        <v>2804</v>
      </c>
      <c r="CC63" s="32">
        <v>30757</v>
      </c>
    </row>
    <row r="64" spans="1:81" ht="8.25" customHeight="1">
      <c r="A64" s="53">
        <v>20922</v>
      </c>
      <c r="B64" s="49" t="str">
        <f>IFERROR(INDEX(SCNtoISIC!$I:$I,MATCH($A64,SCNtoISIC!$G:$G,0)),0)</f>
        <v>ISIC 20</v>
      </c>
      <c r="C64" s="50" t="str">
        <f>IFERROR(INDEX(SCNtoISIC!$K:$K,MATCH($B64,SCNtoISIC!$I:$I,0)),0)</f>
        <v>Chemicals</v>
      </c>
      <c r="D64" s="54" t="s">
        <v>323</v>
      </c>
      <c r="E64" s="32">
        <v>0</v>
      </c>
      <c r="F64" s="32">
        <v>27</v>
      </c>
      <c r="G64" s="32">
        <v>0</v>
      </c>
      <c r="H64" s="32">
        <v>2856</v>
      </c>
      <c r="I64" s="32">
        <v>214</v>
      </c>
      <c r="J64" s="32">
        <v>242</v>
      </c>
      <c r="K64" s="32">
        <v>166</v>
      </c>
      <c r="L64" s="32">
        <v>972</v>
      </c>
      <c r="M64" s="32">
        <v>18</v>
      </c>
      <c r="N64" s="32">
        <v>2984</v>
      </c>
      <c r="O64" s="32">
        <v>140</v>
      </c>
      <c r="P64" s="32">
        <v>9</v>
      </c>
      <c r="Q64" s="32">
        <v>189</v>
      </c>
      <c r="R64" s="32">
        <v>0</v>
      </c>
      <c r="S64" s="32">
        <v>129</v>
      </c>
      <c r="T64" s="32">
        <v>384</v>
      </c>
      <c r="U64" s="32">
        <v>574</v>
      </c>
      <c r="V64" s="32">
        <v>347</v>
      </c>
      <c r="W64" s="32">
        <v>262</v>
      </c>
      <c r="X64" s="32">
        <v>106</v>
      </c>
      <c r="Y64" s="32">
        <v>806</v>
      </c>
      <c r="Z64" s="32">
        <v>3255</v>
      </c>
      <c r="AA64" s="32">
        <v>1117</v>
      </c>
      <c r="AB64" s="32">
        <v>992</v>
      </c>
      <c r="AC64" s="32">
        <v>1410</v>
      </c>
      <c r="AD64" s="32">
        <v>565</v>
      </c>
      <c r="AE64" s="32">
        <v>443</v>
      </c>
      <c r="AF64" s="32">
        <v>50</v>
      </c>
      <c r="AG64" s="32">
        <v>228</v>
      </c>
      <c r="AH64" s="32">
        <v>5</v>
      </c>
      <c r="AI64" s="32">
        <v>133</v>
      </c>
      <c r="AJ64" s="32">
        <v>251</v>
      </c>
      <c r="AK64" s="32">
        <v>96</v>
      </c>
      <c r="AL64" s="32">
        <v>20</v>
      </c>
      <c r="AM64" s="32">
        <v>31</v>
      </c>
      <c r="AN64" s="32">
        <v>424</v>
      </c>
      <c r="AO64" s="32">
        <v>268</v>
      </c>
      <c r="AP64" s="32">
        <v>18</v>
      </c>
      <c r="AQ64" s="32">
        <v>210</v>
      </c>
      <c r="AR64" s="32">
        <v>904</v>
      </c>
      <c r="AS64" s="32">
        <v>46</v>
      </c>
      <c r="AT64" s="32">
        <v>1821</v>
      </c>
      <c r="AU64" s="32">
        <v>9</v>
      </c>
      <c r="AV64" s="32">
        <v>0</v>
      </c>
      <c r="AW64" s="32">
        <v>0</v>
      </c>
      <c r="AX64" s="32">
        <v>42</v>
      </c>
      <c r="AY64" s="32">
        <v>0</v>
      </c>
      <c r="AZ64" s="32">
        <v>0</v>
      </c>
      <c r="BA64" s="32">
        <v>0</v>
      </c>
      <c r="BB64" s="32">
        <v>0</v>
      </c>
      <c r="BC64" s="32">
        <v>1</v>
      </c>
      <c r="BD64" s="32">
        <v>1</v>
      </c>
      <c r="BE64" s="32">
        <v>35</v>
      </c>
      <c r="BF64" s="32">
        <v>33</v>
      </c>
      <c r="BG64" s="32">
        <v>0</v>
      </c>
      <c r="BH64" s="32">
        <v>17</v>
      </c>
      <c r="BI64" s="32">
        <v>17</v>
      </c>
      <c r="BJ64" s="32">
        <v>0</v>
      </c>
      <c r="BK64" s="32">
        <v>94</v>
      </c>
      <c r="BL64" s="32">
        <v>1</v>
      </c>
      <c r="BM64" s="32">
        <v>73</v>
      </c>
      <c r="BN64" s="32">
        <v>337</v>
      </c>
      <c r="BO64" s="32">
        <v>0</v>
      </c>
      <c r="BP64" s="32">
        <v>873</v>
      </c>
      <c r="BQ64" s="32">
        <v>0</v>
      </c>
      <c r="BR64" s="32">
        <v>12</v>
      </c>
      <c r="BS64" s="32">
        <v>9</v>
      </c>
      <c r="BT64" s="32">
        <v>0</v>
      </c>
      <c r="BU64" s="32">
        <v>24266</v>
      </c>
      <c r="BV64" s="32">
        <v>3807</v>
      </c>
      <c r="BW64" s="32">
        <v>0</v>
      </c>
      <c r="BX64" s="32">
        <v>0</v>
      </c>
      <c r="BY64" s="32">
        <v>465</v>
      </c>
      <c r="BZ64" s="32">
        <v>0</v>
      </c>
      <c r="CA64" s="32">
        <v>378</v>
      </c>
      <c r="CB64" s="32">
        <v>4650</v>
      </c>
      <c r="CC64" s="32">
        <v>28916</v>
      </c>
    </row>
    <row r="65" spans="1:81" ht="8.25" customHeight="1">
      <c r="A65" s="53">
        <v>20923</v>
      </c>
      <c r="B65" s="49" t="str">
        <f>IFERROR(INDEX(SCNtoISIC!$I:$I,MATCH($A65,SCNtoISIC!$G:$G,0)),0)</f>
        <v>ISIC 20</v>
      </c>
      <c r="C65" s="50" t="str">
        <f>IFERROR(INDEX(SCNtoISIC!$K:$K,MATCH($B65,SCNtoISIC!$I:$I,0)),0)</f>
        <v>Chemicals</v>
      </c>
      <c r="D65" s="54" t="s">
        <v>325</v>
      </c>
      <c r="E65" s="32">
        <v>16</v>
      </c>
      <c r="F65" s="32">
        <v>36</v>
      </c>
      <c r="G65" s="32">
        <v>2</v>
      </c>
      <c r="H65" s="32">
        <v>0</v>
      </c>
      <c r="I65" s="32">
        <v>0</v>
      </c>
      <c r="J65" s="32">
        <v>0</v>
      </c>
      <c r="K65" s="32">
        <v>0</v>
      </c>
      <c r="L65" s="32">
        <v>2</v>
      </c>
      <c r="M65" s="32">
        <v>0</v>
      </c>
      <c r="N65" s="32">
        <v>47</v>
      </c>
      <c r="O65" s="32">
        <v>0</v>
      </c>
      <c r="P65" s="32">
        <v>0</v>
      </c>
      <c r="Q65" s="32">
        <v>63</v>
      </c>
      <c r="R65" s="32">
        <v>55</v>
      </c>
      <c r="S65" s="32">
        <v>95</v>
      </c>
      <c r="T65" s="32">
        <v>262</v>
      </c>
      <c r="U65" s="32">
        <v>1179</v>
      </c>
      <c r="V65" s="32">
        <v>938</v>
      </c>
      <c r="W65" s="32">
        <v>0</v>
      </c>
      <c r="X65" s="32">
        <v>0</v>
      </c>
      <c r="Y65" s="32">
        <v>0</v>
      </c>
      <c r="Z65" s="32">
        <v>149</v>
      </c>
      <c r="AA65" s="32">
        <v>15</v>
      </c>
      <c r="AB65" s="32">
        <v>1</v>
      </c>
      <c r="AC65" s="32">
        <v>1483</v>
      </c>
      <c r="AD65" s="32">
        <v>738</v>
      </c>
      <c r="AE65" s="32">
        <v>0</v>
      </c>
      <c r="AF65" s="32">
        <v>0</v>
      </c>
      <c r="AG65" s="32">
        <v>589</v>
      </c>
      <c r="AH65" s="32">
        <v>376</v>
      </c>
      <c r="AI65" s="32">
        <v>24</v>
      </c>
      <c r="AJ65" s="32">
        <v>64</v>
      </c>
      <c r="AK65" s="32">
        <v>627</v>
      </c>
      <c r="AL65" s="32">
        <v>248</v>
      </c>
      <c r="AM65" s="32">
        <v>147</v>
      </c>
      <c r="AN65" s="32">
        <v>292</v>
      </c>
      <c r="AO65" s="32">
        <v>520</v>
      </c>
      <c r="AP65" s="32">
        <v>113</v>
      </c>
      <c r="AQ65" s="32">
        <v>130</v>
      </c>
      <c r="AR65" s="32">
        <v>8897</v>
      </c>
      <c r="AS65" s="32">
        <v>1334</v>
      </c>
      <c r="AT65" s="32">
        <v>0</v>
      </c>
      <c r="AU65" s="32">
        <v>248</v>
      </c>
      <c r="AV65" s="32">
        <v>0</v>
      </c>
      <c r="AW65" s="32">
        <v>0</v>
      </c>
      <c r="AX65" s="32">
        <v>0</v>
      </c>
      <c r="AY65" s="32">
        <v>9</v>
      </c>
      <c r="AZ65" s="32">
        <v>0</v>
      </c>
      <c r="BA65" s="32">
        <v>232</v>
      </c>
      <c r="BB65" s="32">
        <v>136</v>
      </c>
      <c r="BC65" s="32">
        <v>0</v>
      </c>
      <c r="BD65" s="32">
        <v>0</v>
      </c>
      <c r="BE65" s="32">
        <v>1</v>
      </c>
      <c r="BF65" s="32">
        <v>1273</v>
      </c>
      <c r="BG65" s="32">
        <v>0</v>
      </c>
      <c r="BH65" s="32">
        <v>4</v>
      </c>
      <c r="BI65" s="32">
        <v>1</v>
      </c>
      <c r="BJ65" s="32">
        <v>18</v>
      </c>
      <c r="BK65" s="32">
        <v>421</v>
      </c>
      <c r="BL65" s="32">
        <v>0</v>
      </c>
      <c r="BM65" s="32">
        <v>188</v>
      </c>
      <c r="BN65" s="32">
        <v>76</v>
      </c>
      <c r="BO65" s="32">
        <v>0</v>
      </c>
      <c r="BP65" s="32">
        <v>5</v>
      </c>
      <c r="BQ65" s="32">
        <v>0</v>
      </c>
      <c r="BR65" s="32">
        <v>5</v>
      </c>
      <c r="BS65" s="32">
        <v>102</v>
      </c>
      <c r="BT65" s="32">
        <v>0</v>
      </c>
      <c r="BU65" s="32">
        <v>21161</v>
      </c>
      <c r="BV65" s="32">
        <v>560</v>
      </c>
      <c r="BW65" s="32">
        <v>0</v>
      </c>
      <c r="BX65" s="32">
        <v>0</v>
      </c>
      <c r="BY65" s="32">
        <v>285</v>
      </c>
      <c r="BZ65" s="32">
        <v>0</v>
      </c>
      <c r="CA65" s="32">
        <v>908</v>
      </c>
      <c r="CB65" s="32">
        <v>1753</v>
      </c>
      <c r="CC65" s="32">
        <v>22914</v>
      </c>
    </row>
    <row r="66" spans="1:81" ht="8.25" customHeight="1">
      <c r="A66" s="53">
        <v>20931</v>
      </c>
      <c r="B66" s="49" t="str">
        <f>IFERROR(INDEX(SCNtoISIC!$I:$I,MATCH($A66,SCNtoISIC!$G:$G,0)),0)</f>
        <v>ISIC 20</v>
      </c>
      <c r="C66" s="50" t="str">
        <f>IFERROR(INDEX(SCNtoISIC!$K:$K,MATCH($B66,SCNtoISIC!$I:$I,0)),0)</f>
        <v>Chemicals</v>
      </c>
      <c r="D66" s="54" t="s">
        <v>327</v>
      </c>
      <c r="E66" s="32">
        <v>3</v>
      </c>
      <c r="F66" s="32">
        <v>31</v>
      </c>
      <c r="G66" s="32">
        <v>0</v>
      </c>
      <c r="H66" s="32">
        <v>0</v>
      </c>
      <c r="I66" s="32">
        <v>67</v>
      </c>
      <c r="J66" s="32">
        <v>59</v>
      </c>
      <c r="K66" s="32">
        <v>16</v>
      </c>
      <c r="L66" s="32">
        <v>56</v>
      </c>
      <c r="M66" s="32">
        <v>22</v>
      </c>
      <c r="N66" s="32">
        <v>222</v>
      </c>
      <c r="O66" s="32">
        <v>25</v>
      </c>
      <c r="P66" s="32">
        <v>0</v>
      </c>
      <c r="Q66" s="32">
        <v>53</v>
      </c>
      <c r="R66" s="32">
        <v>53</v>
      </c>
      <c r="S66" s="32">
        <v>1</v>
      </c>
      <c r="T66" s="32">
        <v>22</v>
      </c>
      <c r="U66" s="32">
        <v>44</v>
      </c>
      <c r="V66" s="32">
        <v>1</v>
      </c>
      <c r="W66" s="32">
        <v>30</v>
      </c>
      <c r="X66" s="32">
        <v>1</v>
      </c>
      <c r="Y66" s="32">
        <v>67</v>
      </c>
      <c r="Z66" s="32">
        <v>157</v>
      </c>
      <c r="AA66" s="32">
        <v>1670</v>
      </c>
      <c r="AB66" s="32">
        <v>20</v>
      </c>
      <c r="AC66" s="32">
        <v>37</v>
      </c>
      <c r="AD66" s="32">
        <v>74</v>
      </c>
      <c r="AE66" s="32">
        <v>21</v>
      </c>
      <c r="AF66" s="32">
        <v>54</v>
      </c>
      <c r="AG66" s="32">
        <v>633</v>
      </c>
      <c r="AH66" s="32">
        <v>78</v>
      </c>
      <c r="AI66" s="32">
        <v>15</v>
      </c>
      <c r="AJ66" s="32">
        <v>44</v>
      </c>
      <c r="AK66" s="32">
        <v>31</v>
      </c>
      <c r="AL66" s="32">
        <v>40</v>
      </c>
      <c r="AM66" s="32">
        <v>4</v>
      </c>
      <c r="AN66" s="32">
        <v>8</v>
      </c>
      <c r="AO66" s="32">
        <v>0</v>
      </c>
      <c r="AP66" s="32">
        <v>18</v>
      </c>
      <c r="AQ66" s="32">
        <v>63</v>
      </c>
      <c r="AR66" s="32">
        <v>165</v>
      </c>
      <c r="AS66" s="32">
        <v>282</v>
      </c>
      <c r="AT66" s="32">
        <v>2558</v>
      </c>
      <c r="AU66" s="32">
        <v>406</v>
      </c>
      <c r="AV66" s="32">
        <v>12</v>
      </c>
      <c r="AW66" s="32">
        <v>1</v>
      </c>
      <c r="AX66" s="32">
        <v>120</v>
      </c>
      <c r="AY66" s="32">
        <v>100</v>
      </c>
      <c r="AZ66" s="32">
        <v>92</v>
      </c>
      <c r="BA66" s="32">
        <v>16</v>
      </c>
      <c r="BB66" s="32">
        <v>59</v>
      </c>
      <c r="BC66" s="32">
        <v>190</v>
      </c>
      <c r="BD66" s="32">
        <v>11</v>
      </c>
      <c r="BE66" s="32">
        <v>27</v>
      </c>
      <c r="BF66" s="32">
        <v>0</v>
      </c>
      <c r="BG66" s="32">
        <v>325</v>
      </c>
      <c r="BH66" s="32">
        <v>170</v>
      </c>
      <c r="BI66" s="32">
        <v>352</v>
      </c>
      <c r="BJ66" s="32">
        <v>139</v>
      </c>
      <c r="BK66" s="32">
        <v>2270</v>
      </c>
      <c r="BL66" s="32">
        <v>2</v>
      </c>
      <c r="BM66" s="32">
        <v>275</v>
      </c>
      <c r="BN66" s="32">
        <v>248</v>
      </c>
      <c r="BO66" s="32">
        <v>173</v>
      </c>
      <c r="BP66" s="32">
        <v>64</v>
      </c>
      <c r="BQ66" s="32">
        <v>641</v>
      </c>
      <c r="BR66" s="32">
        <v>238</v>
      </c>
      <c r="BS66" s="32">
        <v>1495</v>
      </c>
      <c r="BT66" s="32">
        <v>0</v>
      </c>
      <c r="BU66" s="32">
        <v>14171</v>
      </c>
      <c r="BV66" s="32">
        <v>2812</v>
      </c>
      <c r="BW66" s="32">
        <v>0</v>
      </c>
      <c r="BX66" s="32">
        <v>0</v>
      </c>
      <c r="BY66" s="32">
        <v>64090</v>
      </c>
      <c r="BZ66" s="32">
        <v>0</v>
      </c>
      <c r="CA66" s="32">
        <v>-7</v>
      </c>
      <c r="CB66" s="32">
        <v>66895</v>
      </c>
      <c r="CC66" s="32">
        <v>81066</v>
      </c>
    </row>
    <row r="67" spans="1:81" ht="8.25" customHeight="1">
      <c r="A67" s="48">
        <v>21001</v>
      </c>
      <c r="B67" s="49" t="str">
        <f>IFERROR(INDEX(SCNtoISIC!$I:$I,MATCH($A67,SCNtoISIC!$G:$G,0)),0)</f>
        <v>ISIC 21</v>
      </c>
      <c r="C67" s="50" t="str">
        <f>IFERROR(INDEX(SCNtoISIC!$K:$K,MATCH($B67,SCNtoISIC!$I:$I,0)),0)</f>
        <v>Pharmaceuticals</v>
      </c>
      <c r="D67" s="51" t="s">
        <v>329</v>
      </c>
      <c r="E67" s="52">
        <v>520</v>
      </c>
      <c r="F67" s="52">
        <v>3992</v>
      </c>
      <c r="G67" s="52">
        <v>22</v>
      </c>
      <c r="H67" s="52">
        <v>0</v>
      </c>
      <c r="I67" s="52">
        <v>219</v>
      </c>
      <c r="J67" s="52">
        <v>0</v>
      </c>
      <c r="K67" s="52">
        <v>0</v>
      </c>
      <c r="L67" s="52">
        <v>0</v>
      </c>
      <c r="M67" s="52">
        <v>0</v>
      </c>
      <c r="N67" s="52">
        <v>315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3</v>
      </c>
      <c r="Z67" s="52">
        <v>356</v>
      </c>
      <c r="AA67" s="52">
        <v>0</v>
      </c>
      <c r="AB67" s="52">
        <v>5522</v>
      </c>
      <c r="AC67" s="52">
        <v>0</v>
      </c>
      <c r="AD67" s="52">
        <v>0</v>
      </c>
      <c r="AE67" s="52">
        <v>0</v>
      </c>
      <c r="AF67" s="52">
        <v>0</v>
      </c>
      <c r="AG67" s="52">
        <v>0</v>
      </c>
      <c r="AH67" s="52">
        <v>0</v>
      </c>
      <c r="AI67" s="52">
        <v>0</v>
      </c>
      <c r="AJ67" s="52">
        <v>0</v>
      </c>
      <c r="AK67" s="52">
        <v>0</v>
      </c>
      <c r="AL67" s="52">
        <v>0</v>
      </c>
      <c r="AM67" s="52">
        <v>0</v>
      </c>
      <c r="AN67" s="52">
        <v>0</v>
      </c>
      <c r="AO67" s="52">
        <v>0</v>
      </c>
      <c r="AP67" s="52">
        <v>0</v>
      </c>
      <c r="AQ67" s="52">
        <v>0</v>
      </c>
      <c r="AR67" s="52">
        <v>0</v>
      </c>
      <c r="AS67" s="52">
        <v>0</v>
      </c>
      <c r="AT67" s="52">
        <v>327</v>
      </c>
      <c r="AU67" s="52">
        <v>0</v>
      </c>
      <c r="AV67" s="52">
        <v>0</v>
      </c>
      <c r="AW67" s="52">
        <v>0</v>
      </c>
      <c r="AX67" s="52">
        <v>0</v>
      </c>
      <c r="AY67" s="52">
        <v>0</v>
      </c>
      <c r="AZ67" s="52">
        <v>0</v>
      </c>
      <c r="BA67" s="52">
        <v>0</v>
      </c>
      <c r="BB67" s="52">
        <v>0</v>
      </c>
      <c r="BC67" s="52">
        <v>0</v>
      </c>
      <c r="BD67" s="52">
        <v>0</v>
      </c>
      <c r="BE67" s="52">
        <v>0</v>
      </c>
      <c r="BF67" s="52">
        <v>0</v>
      </c>
      <c r="BG67" s="52">
        <v>0</v>
      </c>
      <c r="BH67" s="52">
        <v>21</v>
      </c>
      <c r="BI67" s="52">
        <v>52</v>
      </c>
      <c r="BJ67" s="52">
        <v>0</v>
      </c>
      <c r="BK67" s="52">
        <v>0</v>
      </c>
      <c r="BL67" s="52">
        <v>0</v>
      </c>
      <c r="BM67" s="52">
        <v>1215</v>
      </c>
      <c r="BN67" s="52">
        <v>798</v>
      </c>
      <c r="BO67" s="52">
        <v>225</v>
      </c>
      <c r="BP67" s="52">
        <v>4200</v>
      </c>
      <c r="BQ67" s="52">
        <v>9830</v>
      </c>
      <c r="BR67" s="52">
        <v>9</v>
      </c>
      <c r="BS67" s="52">
        <v>896</v>
      </c>
      <c r="BT67" s="52">
        <v>0</v>
      </c>
      <c r="BU67" s="52">
        <v>28522</v>
      </c>
      <c r="BV67" s="52">
        <v>3002</v>
      </c>
      <c r="BW67" s="52">
        <v>7325</v>
      </c>
      <c r="BX67" s="52">
        <v>0</v>
      </c>
      <c r="BY67" s="52">
        <v>71202</v>
      </c>
      <c r="BZ67" s="52">
        <v>0</v>
      </c>
      <c r="CA67" s="52">
        <v>454</v>
      </c>
      <c r="CB67" s="52">
        <v>81983</v>
      </c>
      <c r="CC67" s="52">
        <v>110505</v>
      </c>
    </row>
    <row r="68" spans="1:81" ht="8.25" customHeight="1">
      <c r="A68" s="48">
        <v>22001</v>
      </c>
      <c r="B68" s="49" t="str">
        <f>IFERROR(INDEX(SCNtoISIC!$I:$I,MATCH($A68,SCNtoISIC!$G:$G,0)),0)</f>
        <v>ISIC 22</v>
      </c>
      <c r="C68" s="50" t="str">
        <f>IFERROR(INDEX(SCNtoISIC!$K:$K,MATCH($B68,SCNtoISIC!$I:$I,0)),0)</f>
        <v>Rubber and plastics products</v>
      </c>
      <c r="D68" s="51" t="s">
        <v>332</v>
      </c>
      <c r="E68" s="52">
        <v>0</v>
      </c>
      <c r="F68" s="52">
        <v>0</v>
      </c>
      <c r="G68" s="52">
        <v>0</v>
      </c>
      <c r="H68" s="52">
        <v>18</v>
      </c>
      <c r="I68" s="52">
        <v>72</v>
      </c>
      <c r="J68" s="52">
        <v>468</v>
      </c>
      <c r="K68" s="52">
        <v>63</v>
      </c>
      <c r="L68" s="52">
        <v>0</v>
      </c>
      <c r="M68" s="52">
        <v>0</v>
      </c>
      <c r="N68" s="52">
        <v>4</v>
      </c>
      <c r="O68" s="52">
        <v>0</v>
      </c>
      <c r="P68" s="52">
        <v>0</v>
      </c>
      <c r="Q68" s="52">
        <v>34</v>
      </c>
      <c r="R68" s="52">
        <v>0</v>
      </c>
      <c r="S68" s="52">
        <v>504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4</v>
      </c>
      <c r="AA68" s="52">
        <v>0</v>
      </c>
      <c r="AB68" s="52">
        <v>1</v>
      </c>
      <c r="AC68" s="52">
        <v>1906</v>
      </c>
      <c r="AD68" s="52">
        <v>81</v>
      </c>
      <c r="AE68" s="52">
        <v>234</v>
      </c>
      <c r="AF68" s="52">
        <v>19</v>
      </c>
      <c r="AG68" s="52">
        <v>7</v>
      </c>
      <c r="AH68" s="52">
        <v>0</v>
      </c>
      <c r="AI68" s="52">
        <v>139</v>
      </c>
      <c r="AJ68" s="52">
        <v>1390</v>
      </c>
      <c r="AK68" s="52">
        <v>9114</v>
      </c>
      <c r="AL68" s="52">
        <v>1941</v>
      </c>
      <c r="AM68" s="52">
        <v>872</v>
      </c>
      <c r="AN68" s="52">
        <v>41</v>
      </c>
      <c r="AO68" s="52">
        <v>576</v>
      </c>
      <c r="AP68" s="52">
        <v>0</v>
      </c>
      <c r="AQ68" s="52">
        <v>15</v>
      </c>
      <c r="AR68" s="52">
        <v>46</v>
      </c>
      <c r="AS68" s="52">
        <v>714</v>
      </c>
      <c r="AT68" s="52">
        <v>289</v>
      </c>
      <c r="AU68" s="52">
        <v>6696</v>
      </c>
      <c r="AV68" s="52">
        <v>0</v>
      </c>
      <c r="AW68" s="52">
        <v>974</v>
      </c>
      <c r="AX68" s="52">
        <v>0</v>
      </c>
      <c r="AY68" s="52">
        <v>0</v>
      </c>
      <c r="AZ68" s="52">
        <v>0</v>
      </c>
      <c r="BA68" s="52">
        <v>0</v>
      </c>
      <c r="BB68" s="52">
        <v>0</v>
      </c>
      <c r="BC68" s="52">
        <v>0</v>
      </c>
      <c r="BD68" s="52">
        <v>0</v>
      </c>
      <c r="BE68" s="52">
        <v>0</v>
      </c>
      <c r="BF68" s="52">
        <v>0</v>
      </c>
      <c r="BG68" s="52">
        <v>0</v>
      </c>
      <c r="BH68" s="52">
        <v>4</v>
      </c>
      <c r="BI68" s="52">
        <v>0</v>
      </c>
      <c r="BJ68" s="52">
        <v>383</v>
      </c>
      <c r="BK68" s="52">
        <v>0</v>
      </c>
      <c r="BL68" s="52">
        <v>0</v>
      </c>
      <c r="BM68" s="52">
        <v>2</v>
      </c>
      <c r="BN68" s="52">
        <v>5</v>
      </c>
      <c r="BO68" s="52">
        <v>0</v>
      </c>
      <c r="BP68" s="52">
        <v>12</v>
      </c>
      <c r="BQ68" s="52">
        <v>7</v>
      </c>
      <c r="BR68" s="52">
        <v>0</v>
      </c>
      <c r="BS68" s="52">
        <v>19</v>
      </c>
      <c r="BT68" s="52">
        <v>0</v>
      </c>
      <c r="BU68" s="52">
        <v>26654</v>
      </c>
      <c r="BV68" s="52">
        <v>3966</v>
      </c>
      <c r="BW68" s="52">
        <v>0</v>
      </c>
      <c r="BX68" s="52">
        <v>0</v>
      </c>
      <c r="BY68" s="52">
        <v>7369</v>
      </c>
      <c r="BZ68" s="52">
        <v>0</v>
      </c>
      <c r="CA68" s="52">
        <v>904</v>
      </c>
      <c r="CB68" s="52">
        <v>12239</v>
      </c>
      <c r="CC68" s="52">
        <v>38893</v>
      </c>
    </row>
    <row r="69" spans="1:81" ht="8.25" customHeight="1">
      <c r="A69" s="48">
        <v>22002</v>
      </c>
      <c r="B69" s="49" t="str">
        <f>IFERROR(INDEX(SCNtoISIC!$I:$I,MATCH($A69,SCNtoISIC!$G:$G,0)),0)</f>
        <v>ISIC 22</v>
      </c>
      <c r="C69" s="50" t="str">
        <f>IFERROR(INDEX(SCNtoISIC!$K:$K,MATCH($B69,SCNtoISIC!$I:$I,0)),0)</f>
        <v>Rubber and plastics products</v>
      </c>
      <c r="D69" s="51" t="s">
        <v>335</v>
      </c>
      <c r="E69" s="52">
        <v>566</v>
      </c>
      <c r="F69" s="52">
        <v>186</v>
      </c>
      <c r="G69" s="52">
        <v>43</v>
      </c>
      <c r="H69" s="52">
        <v>167</v>
      </c>
      <c r="I69" s="52">
        <v>96</v>
      </c>
      <c r="J69" s="52">
        <v>0</v>
      </c>
      <c r="K69" s="52">
        <v>0</v>
      </c>
      <c r="L69" s="52">
        <v>2402</v>
      </c>
      <c r="M69" s="52">
        <v>204</v>
      </c>
      <c r="N69" s="52">
        <v>7070</v>
      </c>
      <c r="O69" s="52">
        <v>2937</v>
      </c>
      <c r="P69" s="52">
        <v>0</v>
      </c>
      <c r="Q69" s="52">
        <v>88</v>
      </c>
      <c r="R69" s="52">
        <v>90</v>
      </c>
      <c r="S69" s="52">
        <v>359</v>
      </c>
      <c r="T69" s="52">
        <v>190</v>
      </c>
      <c r="U69" s="52">
        <v>713</v>
      </c>
      <c r="V69" s="52">
        <v>1190</v>
      </c>
      <c r="W69" s="52">
        <v>68</v>
      </c>
      <c r="X69" s="52">
        <v>23</v>
      </c>
      <c r="Y69" s="52">
        <v>1328</v>
      </c>
      <c r="Z69" s="52">
        <v>671</v>
      </c>
      <c r="AA69" s="52">
        <v>1636</v>
      </c>
      <c r="AB69" s="52">
        <v>416</v>
      </c>
      <c r="AC69" s="52">
        <v>14566</v>
      </c>
      <c r="AD69" s="52">
        <v>2292</v>
      </c>
      <c r="AE69" s="52">
        <v>258</v>
      </c>
      <c r="AF69" s="52">
        <v>0</v>
      </c>
      <c r="AG69" s="52">
        <v>833</v>
      </c>
      <c r="AH69" s="52">
        <v>1413</v>
      </c>
      <c r="AI69" s="52">
        <v>2299</v>
      </c>
      <c r="AJ69" s="52">
        <v>1364</v>
      </c>
      <c r="AK69" s="52">
        <v>3077</v>
      </c>
      <c r="AL69" s="52">
        <v>2867</v>
      </c>
      <c r="AM69" s="52">
        <v>249</v>
      </c>
      <c r="AN69" s="52">
        <v>2672</v>
      </c>
      <c r="AO69" s="52">
        <v>679</v>
      </c>
      <c r="AP69" s="52">
        <v>167</v>
      </c>
      <c r="AQ69" s="52">
        <v>291</v>
      </c>
      <c r="AR69" s="52">
        <v>13258</v>
      </c>
      <c r="AS69" s="52">
        <v>1115</v>
      </c>
      <c r="AT69" s="52">
        <v>4839</v>
      </c>
      <c r="AU69" s="52">
        <v>61</v>
      </c>
      <c r="AV69" s="52">
        <v>0</v>
      </c>
      <c r="AW69" s="52">
        <v>7</v>
      </c>
      <c r="AX69" s="52">
        <v>103</v>
      </c>
      <c r="AY69" s="52">
        <v>9</v>
      </c>
      <c r="AZ69" s="52">
        <v>465</v>
      </c>
      <c r="BA69" s="52">
        <v>0</v>
      </c>
      <c r="BB69" s="52">
        <v>0</v>
      </c>
      <c r="BC69" s="52">
        <v>0</v>
      </c>
      <c r="BD69" s="52">
        <v>3</v>
      </c>
      <c r="BE69" s="52">
        <v>32</v>
      </c>
      <c r="BF69" s="52">
        <v>92</v>
      </c>
      <c r="BG69" s="52">
        <v>471</v>
      </c>
      <c r="BH69" s="52">
        <v>11</v>
      </c>
      <c r="BI69" s="52">
        <v>0</v>
      </c>
      <c r="BJ69" s="52">
        <v>0</v>
      </c>
      <c r="BK69" s="52">
        <v>593</v>
      </c>
      <c r="BL69" s="52">
        <v>0</v>
      </c>
      <c r="BM69" s="52">
        <v>171</v>
      </c>
      <c r="BN69" s="52">
        <v>218</v>
      </c>
      <c r="BO69" s="52">
        <v>0</v>
      </c>
      <c r="BP69" s="52">
        <v>488</v>
      </c>
      <c r="BQ69" s="52">
        <v>372</v>
      </c>
      <c r="BR69" s="52">
        <v>0</v>
      </c>
      <c r="BS69" s="52">
        <v>100</v>
      </c>
      <c r="BT69" s="52">
        <v>0</v>
      </c>
      <c r="BU69" s="52">
        <v>75878</v>
      </c>
      <c r="BV69" s="52">
        <v>2126</v>
      </c>
      <c r="BW69" s="52">
        <v>0</v>
      </c>
      <c r="BX69" s="52">
        <v>0</v>
      </c>
      <c r="BY69" s="52">
        <v>7061</v>
      </c>
      <c r="BZ69" s="52">
        <v>0</v>
      </c>
      <c r="CA69" s="52">
        <v>-1109</v>
      </c>
      <c r="CB69" s="52">
        <v>8078</v>
      </c>
      <c r="CC69" s="52">
        <v>83956</v>
      </c>
    </row>
    <row r="70" spans="1:81" ht="8.25" customHeight="1">
      <c r="A70" s="48">
        <v>23001</v>
      </c>
      <c r="B70" s="49" t="str">
        <f>IFERROR(INDEX(SCNtoISIC!$I:$I,MATCH($A70,SCNtoISIC!$G:$G,0)),0)</f>
        <v>ISIC 239</v>
      </c>
      <c r="C70" s="50" t="str">
        <f>IFERROR(INDEX(SCNtoISIC!$K:$K,MATCH($B70,SCNtoISIC!$I:$I,0)),0)</f>
        <v>Cement and other nometallic minerals</v>
      </c>
      <c r="D70" s="51" t="s">
        <v>339</v>
      </c>
      <c r="E70" s="52">
        <v>52</v>
      </c>
      <c r="F70" s="52">
        <v>126</v>
      </c>
      <c r="G70" s="52">
        <v>8</v>
      </c>
      <c r="H70" s="52">
        <v>0</v>
      </c>
      <c r="I70" s="52">
        <v>98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  <c r="AA70" s="52">
        <v>0</v>
      </c>
      <c r="AB70" s="52">
        <v>0</v>
      </c>
      <c r="AC70" s="52">
        <v>0</v>
      </c>
      <c r="AD70" s="52">
        <v>6827</v>
      </c>
      <c r="AE70" s="52">
        <v>0</v>
      </c>
      <c r="AF70" s="52">
        <v>0</v>
      </c>
      <c r="AG70" s="52">
        <v>0</v>
      </c>
      <c r="AH70" s="52">
        <v>0</v>
      </c>
      <c r="AI70" s="52">
        <v>0</v>
      </c>
      <c r="AJ70" s="52">
        <v>0</v>
      </c>
      <c r="AK70" s="52">
        <v>0</v>
      </c>
      <c r="AL70" s="52">
        <v>0</v>
      </c>
      <c r="AM70" s="52">
        <v>0</v>
      </c>
      <c r="AN70" s="52">
        <v>0</v>
      </c>
      <c r="AO70" s="52">
        <v>0</v>
      </c>
      <c r="AP70" s="52">
        <v>548</v>
      </c>
      <c r="AQ70" s="52">
        <v>120</v>
      </c>
      <c r="AR70" s="52">
        <v>12023</v>
      </c>
      <c r="AS70" s="52">
        <v>0</v>
      </c>
      <c r="AT70" s="52">
        <v>0</v>
      </c>
      <c r="AU70" s="52">
        <v>0</v>
      </c>
      <c r="AV70" s="52">
        <v>0</v>
      </c>
      <c r="AW70" s="52">
        <v>0</v>
      </c>
      <c r="AX70" s="52">
        <v>0</v>
      </c>
      <c r="AY70" s="52">
        <v>0</v>
      </c>
      <c r="AZ70" s="52">
        <v>0</v>
      </c>
      <c r="BA70" s="52">
        <v>0</v>
      </c>
      <c r="BB70" s="52">
        <v>0</v>
      </c>
      <c r="BC70" s="52">
        <v>0</v>
      </c>
      <c r="BD70" s="52">
        <v>0</v>
      </c>
      <c r="BE70" s="52">
        <v>0</v>
      </c>
      <c r="BF70" s="52">
        <v>938</v>
      </c>
      <c r="BG70" s="52">
        <v>0</v>
      </c>
      <c r="BH70" s="52">
        <v>0</v>
      </c>
      <c r="BI70" s="52">
        <v>0</v>
      </c>
      <c r="BJ70" s="52">
        <v>0</v>
      </c>
      <c r="BK70" s="52">
        <v>0</v>
      </c>
      <c r="BL70" s="52">
        <v>0</v>
      </c>
      <c r="BM70" s="52">
        <v>71</v>
      </c>
      <c r="BN70" s="52">
        <v>18</v>
      </c>
      <c r="BO70" s="52">
        <v>0</v>
      </c>
      <c r="BP70" s="52">
        <v>2</v>
      </c>
      <c r="BQ70" s="52">
        <v>0</v>
      </c>
      <c r="BR70" s="52">
        <v>0</v>
      </c>
      <c r="BS70" s="52">
        <v>0</v>
      </c>
      <c r="BT70" s="52">
        <v>0</v>
      </c>
      <c r="BU70" s="52">
        <v>20831</v>
      </c>
      <c r="BV70" s="52">
        <v>18</v>
      </c>
      <c r="BW70" s="52">
        <v>0</v>
      </c>
      <c r="BX70" s="52">
        <v>0</v>
      </c>
      <c r="BY70" s="52">
        <v>0</v>
      </c>
      <c r="BZ70" s="52">
        <v>0</v>
      </c>
      <c r="CA70" s="52">
        <v>198</v>
      </c>
      <c r="CB70" s="52">
        <v>216</v>
      </c>
      <c r="CC70" s="52">
        <v>21047</v>
      </c>
    </row>
    <row r="71" spans="1:81" ht="8.25" customHeight="1">
      <c r="A71" s="48">
        <v>23002</v>
      </c>
      <c r="B71" s="49" t="str">
        <f>IFERROR(INDEX(SCNtoISIC!$I:$I,MATCH($A71,SCNtoISIC!$G:$G,0)),0)</f>
        <v>ISIC 239</v>
      </c>
      <c r="C71" s="50" t="str">
        <f>IFERROR(INDEX(SCNtoISIC!$K:$K,MATCH($B71,SCNtoISIC!$I:$I,0)),0)</f>
        <v>Cement and other nometallic minerals</v>
      </c>
      <c r="D71" s="51" t="s">
        <v>344</v>
      </c>
      <c r="E71" s="52">
        <v>84</v>
      </c>
      <c r="F71" s="52">
        <v>159</v>
      </c>
      <c r="G71" s="52">
        <v>11</v>
      </c>
      <c r="H71" s="52">
        <v>0</v>
      </c>
      <c r="I71" s="52">
        <v>43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15</v>
      </c>
      <c r="AE71" s="52">
        <v>0</v>
      </c>
      <c r="AF71" s="52">
        <v>0</v>
      </c>
      <c r="AG71" s="52">
        <v>0</v>
      </c>
      <c r="AH71" s="52">
        <v>0</v>
      </c>
      <c r="AI71" s="52">
        <v>0</v>
      </c>
      <c r="AJ71" s="52">
        <v>0</v>
      </c>
      <c r="AK71" s="52">
        <v>0</v>
      </c>
      <c r="AL71" s="52">
        <v>0</v>
      </c>
      <c r="AM71" s="52">
        <v>0</v>
      </c>
      <c r="AN71" s="52">
        <v>0</v>
      </c>
      <c r="AO71" s="52">
        <v>0</v>
      </c>
      <c r="AP71" s="52">
        <v>921</v>
      </c>
      <c r="AQ71" s="52">
        <v>623</v>
      </c>
      <c r="AR71" s="52">
        <v>27442</v>
      </c>
      <c r="AS71" s="52">
        <v>0</v>
      </c>
      <c r="AT71" s="52">
        <v>0</v>
      </c>
      <c r="AU71" s="52">
        <v>0</v>
      </c>
      <c r="AV71" s="52">
        <v>0</v>
      </c>
      <c r="AW71" s="52">
        <v>0</v>
      </c>
      <c r="AX71" s="52">
        <v>7</v>
      </c>
      <c r="AY71" s="52">
        <v>0</v>
      </c>
      <c r="AZ71" s="52">
        <v>0</v>
      </c>
      <c r="BA71" s="52">
        <v>0</v>
      </c>
      <c r="BB71" s="52">
        <v>0</v>
      </c>
      <c r="BC71" s="52">
        <v>0</v>
      </c>
      <c r="BD71" s="52">
        <v>0</v>
      </c>
      <c r="BE71" s="52">
        <v>0</v>
      </c>
      <c r="BF71" s="52">
        <v>885</v>
      </c>
      <c r="BG71" s="52">
        <v>0</v>
      </c>
      <c r="BH71" s="52">
        <v>0</v>
      </c>
      <c r="BI71" s="52">
        <v>0</v>
      </c>
      <c r="BJ71" s="52">
        <v>0</v>
      </c>
      <c r="BK71" s="52">
        <v>0</v>
      </c>
      <c r="BL71" s="52">
        <v>0</v>
      </c>
      <c r="BM71" s="52">
        <v>48</v>
      </c>
      <c r="BN71" s="52">
        <v>9</v>
      </c>
      <c r="BO71" s="52">
        <v>0</v>
      </c>
      <c r="BP71" s="52">
        <v>3</v>
      </c>
      <c r="BQ71" s="52">
        <v>0</v>
      </c>
      <c r="BR71" s="52">
        <v>0</v>
      </c>
      <c r="BS71" s="52">
        <v>154</v>
      </c>
      <c r="BT71" s="52">
        <v>0</v>
      </c>
      <c r="BU71" s="52">
        <v>30404</v>
      </c>
      <c r="BV71" s="52">
        <v>35</v>
      </c>
      <c r="BW71" s="52">
        <v>0</v>
      </c>
      <c r="BX71" s="52">
        <v>0</v>
      </c>
      <c r="BY71" s="52">
        <v>0</v>
      </c>
      <c r="BZ71" s="52">
        <v>0</v>
      </c>
      <c r="CA71" s="52">
        <v>380</v>
      </c>
      <c r="CB71" s="52">
        <v>415</v>
      </c>
      <c r="CC71" s="52">
        <v>30819</v>
      </c>
    </row>
    <row r="72" spans="1:81" ht="8.25" customHeight="1">
      <c r="A72" s="53">
        <v>23003</v>
      </c>
      <c r="B72" s="49" t="str">
        <f>IFERROR(INDEX(SCNtoISIC!$I:$I,MATCH($A72,SCNtoISIC!$G:$G,0)),0)</f>
        <v>ISIC 231</v>
      </c>
      <c r="C72" s="50" t="str">
        <f>IFERROR(INDEX(SCNtoISIC!$K:$K,MATCH($B72,SCNtoISIC!$I:$I,0)),0)</f>
        <v>Glass</v>
      </c>
      <c r="D72" s="54" t="s">
        <v>211</v>
      </c>
      <c r="E72" s="32">
        <v>3194</v>
      </c>
      <c r="F72" s="32">
        <v>2072</v>
      </c>
      <c r="G72" s="32">
        <v>59</v>
      </c>
      <c r="H72" s="32">
        <v>61</v>
      </c>
      <c r="I72" s="32">
        <v>34</v>
      </c>
      <c r="J72" s="32">
        <v>2</v>
      </c>
      <c r="K72" s="32">
        <v>11</v>
      </c>
      <c r="L72" s="32">
        <v>1</v>
      </c>
      <c r="M72" s="32">
        <v>180</v>
      </c>
      <c r="N72" s="32">
        <v>1618</v>
      </c>
      <c r="O72" s="32">
        <v>1699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191</v>
      </c>
      <c r="V72" s="32">
        <v>0</v>
      </c>
      <c r="W72" s="32">
        <v>0</v>
      </c>
      <c r="X72" s="32">
        <v>0</v>
      </c>
      <c r="Y72" s="32">
        <v>497</v>
      </c>
      <c r="Z72" s="32">
        <v>185</v>
      </c>
      <c r="AA72" s="32">
        <v>334</v>
      </c>
      <c r="AB72" s="32">
        <v>57</v>
      </c>
      <c r="AC72" s="32">
        <v>517</v>
      </c>
      <c r="AD72" s="32">
        <v>3678</v>
      </c>
      <c r="AE72" s="32">
        <v>331</v>
      </c>
      <c r="AF72" s="32">
        <v>6</v>
      </c>
      <c r="AG72" s="32">
        <v>194</v>
      </c>
      <c r="AH72" s="32">
        <v>1</v>
      </c>
      <c r="AI72" s="32">
        <v>349</v>
      </c>
      <c r="AJ72" s="32">
        <v>383</v>
      </c>
      <c r="AK72" s="32">
        <v>2573</v>
      </c>
      <c r="AL72" s="32">
        <v>116</v>
      </c>
      <c r="AM72" s="32">
        <v>174</v>
      </c>
      <c r="AN72" s="32">
        <v>563</v>
      </c>
      <c r="AO72" s="32">
        <v>219</v>
      </c>
      <c r="AP72" s="32">
        <v>141</v>
      </c>
      <c r="AQ72" s="32">
        <v>61</v>
      </c>
      <c r="AR72" s="32">
        <v>30896</v>
      </c>
      <c r="AS72" s="32">
        <v>221</v>
      </c>
      <c r="AT72" s="32">
        <v>4</v>
      </c>
      <c r="AU72" s="32">
        <v>0</v>
      </c>
      <c r="AV72" s="32">
        <v>0</v>
      </c>
      <c r="AW72" s="32">
        <v>0</v>
      </c>
      <c r="AX72" s="32">
        <v>0</v>
      </c>
      <c r="AY72" s="32">
        <v>205</v>
      </c>
      <c r="AZ72" s="32">
        <v>645</v>
      </c>
      <c r="BA72" s="32">
        <v>0</v>
      </c>
      <c r="BB72" s="32">
        <v>0</v>
      </c>
      <c r="BC72" s="32">
        <v>0</v>
      </c>
      <c r="BD72" s="32">
        <v>0</v>
      </c>
      <c r="BE72" s="32">
        <v>0</v>
      </c>
      <c r="BF72" s="32">
        <v>1181</v>
      </c>
      <c r="BG72" s="32">
        <v>0</v>
      </c>
      <c r="BH72" s="32">
        <v>4</v>
      </c>
      <c r="BI72" s="32">
        <v>0</v>
      </c>
      <c r="BJ72" s="32">
        <v>0</v>
      </c>
      <c r="BK72" s="32">
        <v>89</v>
      </c>
      <c r="BL72" s="32">
        <v>0</v>
      </c>
      <c r="BM72" s="32">
        <v>315</v>
      </c>
      <c r="BN72" s="32">
        <v>156</v>
      </c>
      <c r="BO72" s="32">
        <v>0</v>
      </c>
      <c r="BP72" s="32">
        <v>133</v>
      </c>
      <c r="BQ72" s="32">
        <v>70</v>
      </c>
      <c r="BR72" s="32">
        <v>1</v>
      </c>
      <c r="BS72" s="32">
        <v>64</v>
      </c>
      <c r="BT72" s="32">
        <v>0</v>
      </c>
      <c r="BU72" s="32">
        <v>53485</v>
      </c>
      <c r="BV72" s="32">
        <v>3993</v>
      </c>
      <c r="BW72" s="32">
        <v>0</v>
      </c>
      <c r="BX72" s="32">
        <v>0</v>
      </c>
      <c r="BY72" s="32">
        <v>2886</v>
      </c>
      <c r="BZ72" s="32">
        <v>0</v>
      </c>
      <c r="CA72" s="32">
        <v>1523</v>
      </c>
      <c r="CB72" s="32">
        <v>8402</v>
      </c>
      <c r="CC72" s="32">
        <v>61887</v>
      </c>
    </row>
    <row r="73" spans="1:81" ht="8.25" customHeight="1">
      <c r="A73" s="53">
        <v>24911</v>
      </c>
      <c r="B73" s="49" t="str">
        <f>IFERROR(INDEX(SCNtoISIC!$I:$I,MATCH($A73,SCNtoISIC!$G:$G,0)),0)</f>
        <v>ISIC 241</v>
      </c>
      <c r="C73" s="50" t="str">
        <f>IFERROR(INDEX(SCNtoISIC!$K:$K,MATCH($B73,SCNtoISIC!$I:$I,0)),0)</f>
        <v>Iron and steel</v>
      </c>
      <c r="D73" s="54" t="s">
        <v>350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36</v>
      </c>
      <c r="AE73" s="32">
        <v>4113</v>
      </c>
      <c r="AF73" s="32">
        <v>860</v>
      </c>
      <c r="AG73" s="32">
        <v>0</v>
      </c>
      <c r="AH73" s="32">
        <v>0</v>
      </c>
      <c r="AI73" s="32">
        <v>0</v>
      </c>
      <c r="AJ73" s="32">
        <v>9</v>
      </c>
      <c r="AK73" s="32">
        <v>23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32">
        <v>0</v>
      </c>
      <c r="AT73" s="32">
        <v>0</v>
      </c>
      <c r="AU73" s="32">
        <v>0</v>
      </c>
      <c r="AV73" s="32">
        <v>0</v>
      </c>
      <c r="AW73" s="32">
        <v>0</v>
      </c>
      <c r="AX73" s="32">
        <v>0</v>
      </c>
      <c r="AY73" s="32">
        <v>0</v>
      </c>
      <c r="AZ73" s="32">
        <v>0</v>
      </c>
      <c r="BA73" s="32">
        <v>0</v>
      </c>
      <c r="BB73" s="32">
        <v>0</v>
      </c>
      <c r="BC73" s="32">
        <v>0</v>
      </c>
      <c r="BD73" s="32">
        <v>0</v>
      </c>
      <c r="BE73" s="32">
        <v>0</v>
      </c>
      <c r="BF73" s="32">
        <v>0</v>
      </c>
      <c r="BG73" s="32">
        <v>0</v>
      </c>
      <c r="BH73" s="32">
        <v>4</v>
      </c>
      <c r="BI73" s="32">
        <v>0</v>
      </c>
      <c r="BJ73" s="32">
        <v>0</v>
      </c>
      <c r="BK73" s="32">
        <v>0</v>
      </c>
      <c r="BL73" s="32">
        <v>0</v>
      </c>
      <c r="BM73" s="32">
        <v>0</v>
      </c>
      <c r="BN73" s="32">
        <v>0</v>
      </c>
      <c r="BO73" s="32">
        <v>0</v>
      </c>
      <c r="BP73" s="32">
        <v>0</v>
      </c>
      <c r="BQ73" s="32">
        <v>0</v>
      </c>
      <c r="BR73" s="32">
        <v>0</v>
      </c>
      <c r="BS73" s="32">
        <v>0</v>
      </c>
      <c r="BT73" s="32">
        <v>0</v>
      </c>
      <c r="BU73" s="32">
        <v>5045</v>
      </c>
      <c r="BV73" s="32">
        <v>8053</v>
      </c>
      <c r="BW73" s="32">
        <v>0</v>
      </c>
      <c r="BX73" s="32">
        <v>0</v>
      </c>
      <c r="BY73" s="32">
        <v>0</v>
      </c>
      <c r="BZ73" s="32">
        <v>0</v>
      </c>
      <c r="CA73" s="32">
        <v>-742</v>
      </c>
      <c r="CB73" s="32">
        <v>7311</v>
      </c>
      <c r="CC73" s="32">
        <v>12356</v>
      </c>
    </row>
    <row r="74" spans="1:81" ht="8.25" customHeight="1">
      <c r="A74" s="53">
        <v>24912</v>
      </c>
      <c r="B74" s="49" t="str">
        <f>IFERROR(INDEX(SCNtoISIC!$I:$I,MATCH($A74,SCNtoISIC!$G:$G,0)),0)</f>
        <v>ISIC 241</v>
      </c>
      <c r="C74" s="50" t="str">
        <f>IFERROR(INDEX(SCNtoISIC!$K:$K,MATCH($B74,SCNtoISIC!$I:$I,0)),0)</f>
        <v>Iron and steel</v>
      </c>
      <c r="D74" s="54" t="s">
        <v>353</v>
      </c>
      <c r="E74" s="32">
        <v>160</v>
      </c>
      <c r="F74" s="32">
        <v>301</v>
      </c>
      <c r="G74" s="32">
        <v>13</v>
      </c>
      <c r="H74" s="32">
        <v>104</v>
      </c>
      <c r="I74" s="32">
        <v>2434</v>
      </c>
      <c r="J74" s="32">
        <v>0</v>
      </c>
      <c r="K74" s="32">
        <v>60</v>
      </c>
      <c r="L74" s="32">
        <v>162</v>
      </c>
      <c r="M74" s="32">
        <v>0</v>
      </c>
      <c r="N74" s="32">
        <v>38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139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1</v>
      </c>
      <c r="AC74" s="32">
        <v>873</v>
      </c>
      <c r="AD74" s="32">
        <v>844</v>
      </c>
      <c r="AE74" s="32">
        <v>7890</v>
      </c>
      <c r="AF74" s="32">
        <v>115</v>
      </c>
      <c r="AG74" s="32">
        <v>20249</v>
      </c>
      <c r="AH74" s="32">
        <v>50</v>
      </c>
      <c r="AI74" s="32">
        <v>3215</v>
      </c>
      <c r="AJ74" s="32">
        <v>9771</v>
      </c>
      <c r="AK74" s="32">
        <v>7741</v>
      </c>
      <c r="AL74" s="32">
        <v>8725</v>
      </c>
      <c r="AM74" s="32">
        <v>1197</v>
      </c>
      <c r="AN74" s="32">
        <v>1336</v>
      </c>
      <c r="AO74" s="32">
        <v>939</v>
      </c>
      <c r="AP74" s="32">
        <v>202</v>
      </c>
      <c r="AQ74" s="32">
        <v>84</v>
      </c>
      <c r="AR74" s="32">
        <v>21508</v>
      </c>
      <c r="AS74" s="32">
        <v>0</v>
      </c>
      <c r="AT74" s="32">
        <v>1006</v>
      </c>
      <c r="AU74" s="32">
        <v>28</v>
      </c>
      <c r="AV74" s="32">
        <v>0</v>
      </c>
      <c r="AW74" s="32">
        <v>0</v>
      </c>
      <c r="AX74" s="32">
        <v>5</v>
      </c>
      <c r="AY74" s="32">
        <v>0</v>
      </c>
      <c r="AZ74" s="32">
        <v>0</v>
      </c>
      <c r="BA74" s="32">
        <v>0</v>
      </c>
      <c r="BB74" s="32">
        <v>0</v>
      </c>
      <c r="BC74" s="32">
        <v>0</v>
      </c>
      <c r="BD74" s="32">
        <v>14</v>
      </c>
      <c r="BE74" s="32">
        <v>0</v>
      </c>
      <c r="BF74" s="32">
        <v>0</v>
      </c>
      <c r="BG74" s="32">
        <v>0</v>
      </c>
      <c r="BH74" s="32">
        <v>32</v>
      </c>
      <c r="BI74" s="32">
        <v>0</v>
      </c>
      <c r="BJ74" s="32">
        <v>237</v>
      </c>
      <c r="BK74" s="32">
        <v>0</v>
      </c>
      <c r="BL74" s="32">
        <v>0</v>
      </c>
      <c r="BM74" s="32">
        <v>150</v>
      </c>
      <c r="BN74" s="32">
        <v>40</v>
      </c>
      <c r="BO74" s="32">
        <v>0</v>
      </c>
      <c r="BP74" s="32">
        <v>5</v>
      </c>
      <c r="BQ74" s="32">
        <v>0</v>
      </c>
      <c r="BR74" s="32">
        <v>0</v>
      </c>
      <c r="BS74" s="32">
        <v>0</v>
      </c>
      <c r="BT74" s="32">
        <v>0</v>
      </c>
      <c r="BU74" s="32">
        <v>89668</v>
      </c>
      <c r="BV74" s="32">
        <v>15533</v>
      </c>
      <c r="BW74" s="32">
        <v>0</v>
      </c>
      <c r="BX74" s="32">
        <v>0</v>
      </c>
      <c r="BY74" s="32">
        <v>239</v>
      </c>
      <c r="BZ74" s="32">
        <v>121</v>
      </c>
      <c r="CA74" s="32">
        <v>2374</v>
      </c>
      <c r="CB74" s="32">
        <v>18267</v>
      </c>
      <c r="CC74" s="32">
        <v>107935</v>
      </c>
    </row>
    <row r="75" spans="1:81" ht="8.25" customHeight="1">
      <c r="A75" s="53">
        <v>24921</v>
      </c>
      <c r="B75" s="49" t="str">
        <f>IFERROR(INDEX(SCNtoISIC!$I:$I,MATCH($A75,SCNtoISIC!$G:$G,0)),0)</f>
        <v>ISIC 242</v>
      </c>
      <c r="C75" s="50" t="str">
        <f>IFERROR(INDEX(SCNtoISIC!$K:$K,MATCH($B75,SCNtoISIC!$I:$I,0)),0)</f>
        <v>Other metals</v>
      </c>
      <c r="D75" s="54" t="s">
        <v>357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5</v>
      </c>
      <c r="L75" s="32">
        <v>266</v>
      </c>
      <c r="M75" s="32">
        <v>0</v>
      </c>
      <c r="N75" s="32">
        <v>453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224</v>
      </c>
      <c r="V75" s="32">
        <v>314</v>
      </c>
      <c r="W75" s="32">
        <v>0</v>
      </c>
      <c r="X75" s="32">
        <v>0</v>
      </c>
      <c r="Y75" s="32">
        <v>25</v>
      </c>
      <c r="Z75" s="32">
        <v>200</v>
      </c>
      <c r="AA75" s="32">
        <v>0</v>
      </c>
      <c r="AB75" s="32">
        <v>7</v>
      </c>
      <c r="AC75" s="32">
        <v>78</v>
      </c>
      <c r="AD75" s="32">
        <v>106</v>
      </c>
      <c r="AE75" s="32">
        <v>1263</v>
      </c>
      <c r="AF75" s="32">
        <v>9029</v>
      </c>
      <c r="AG75" s="32">
        <v>2400</v>
      </c>
      <c r="AH75" s="32">
        <v>223</v>
      </c>
      <c r="AI75" s="32">
        <v>8607</v>
      </c>
      <c r="AJ75" s="32">
        <v>1624</v>
      </c>
      <c r="AK75" s="32">
        <v>716</v>
      </c>
      <c r="AL75" s="32">
        <v>3706</v>
      </c>
      <c r="AM75" s="32">
        <v>954</v>
      </c>
      <c r="AN75" s="32">
        <v>2761</v>
      </c>
      <c r="AO75" s="32">
        <v>422</v>
      </c>
      <c r="AP75" s="32">
        <v>11</v>
      </c>
      <c r="AQ75" s="32">
        <v>102</v>
      </c>
      <c r="AR75" s="32">
        <v>4431</v>
      </c>
      <c r="AS75" s="32">
        <v>0</v>
      </c>
      <c r="AT75" s="32">
        <v>23</v>
      </c>
      <c r="AU75" s="32">
        <v>12</v>
      </c>
      <c r="AV75" s="32">
        <v>0</v>
      </c>
      <c r="AW75" s="32">
        <v>0</v>
      </c>
      <c r="AX75" s="32">
        <v>0</v>
      </c>
      <c r="AY75" s="32">
        <v>0</v>
      </c>
      <c r="AZ75" s="32">
        <v>0</v>
      </c>
      <c r="BA75" s="32">
        <v>0</v>
      </c>
      <c r="BB75" s="32">
        <v>0</v>
      </c>
      <c r="BC75" s="32">
        <v>0</v>
      </c>
      <c r="BD75" s="32">
        <v>0</v>
      </c>
      <c r="BE75" s="32">
        <v>0</v>
      </c>
      <c r="BF75" s="32">
        <v>73</v>
      </c>
      <c r="BG75" s="32">
        <v>0</v>
      </c>
      <c r="BH75" s="32">
        <v>1</v>
      </c>
      <c r="BI75" s="32">
        <v>0</v>
      </c>
      <c r="BJ75" s="32">
        <v>0</v>
      </c>
      <c r="BK75" s="32">
        <v>0</v>
      </c>
      <c r="BL75" s="32">
        <v>0</v>
      </c>
      <c r="BM75" s="32">
        <v>16</v>
      </c>
      <c r="BN75" s="32">
        <v>3</v>
      </c>
      <c r="BO75" s="32">
        <v>0</v>
      </c>
      <c r="BP75" s="32">
        <v>0</v>
      </c>
      <c r="BQ75" s="32">
        <v>0</v>
      </c>
      <c r="BR75" s="32">
        <v>0</v>
      </c>
      <c r="BS75" s="32">
        <v>0</v>
      </c>
      <c r="BT75" s="32">
        <v>0</v>
      </c>
      <c r="BU75" s="32">
        <v>38055</v>
      </c>
      <c r="BV75" s="32">
        <v>15240</v>
      </c>
      <c r="BW75" s="32">
        <v>0</v>
      </c>
      <c r="BX75" s="32">
        <v>0</v>
      </c>
      <c r="BY75" s="32">
        <v>392</v>
      </c>
      <c r="BZ75" s="32">
        <v>0</v>
      </c>
      <c r="CA75" s="32">
        <v>927</v>
      </c>
      <c r="CB75" s="32">
        <v>16559</v>
      </c>
      <c r="CC75" s="32">
        <v>54614</v>
      </c>
    </row>
    <row r="76" spans="1:81" ht="8.25" customHeight="1">
      <c r="A76" s="53">
        <v>24922</v>
      </c>
      <c r="B76" s="49" t="str">
        <f>IFERROR(INDEX(SCNtoISIC!$I:$I,MATCH($A76,SCNtoISIC!$G:$G,0)),0)</f>
        <v>ISIC 242</v>
      </c>
      <c r="C76" s="50" t="str">
        <f>IFERROR(INDEX(SCNtoISIC!$K:$K,MATCH($B76,SCNtoISIC!$I:$I,0)),0)</f>
        <v>Other metals</v>
      </c>
      <c r="D76" s="54" t="s">
        <v>360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68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1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0</v>
      </c>
      <c r="AA76" s="32">
        <v>0</v>
      </c>
      <c r="AB76" s="32">
        <v>0</v>
      </c>
      <c r="AC76" s="32">
        <v>0</v>
      </c>
      <c r="AD76" s="32">
        <v>0</v>
      </c>
      <c r="AE76" s="32">
        <v>141</v>
      </c>
      <c r="AF76" s="32">
        <v>460</v>
      </c>
      <c r="AG76" s="32">
        <v>0</v>
      </c>
      <c r="AH76" s="32">
        <v>0</v>
      </c>
      <c r="AI76" s="32">
        <v>1302</v>
      </c>
      <c r="AJ76" s="32">
        <v>1013</v>
      </c>
      <c r="AK76" s="32">
        <v>0</v>
      </c>
      <c r="AL76" s="32">
        <v>2671</v>
      </c>
      <c r="AM76" s="32">
        <v>26</v>
      </c>
      <c r="AN76" s="32">
        <v>0</v>
      </c>
      <c r="AO76" s="32">
        <v>1290</v>
      </c>
      <c r="AP76" s="32">
        <v>0</v>
      </c>
      <c r="AQ76" s="32">
        <v>0</v>
      </c>
      <c r="AR76" s="32">
        <v>429</v>
      </c>
      <c r="AS76" s="32">
        <v>575</v>
      </c>
      <c r="AT76" s="32">
        <v>0</v>
      </c>
      <c r="AU76" s="32">
        <v>0</v>
      </c>
      <c r="AV76" s="32">
        <v>0</v>
      </c>
      <c r="AW76" s="32">
        <v>0</v>
      </c>
      <c r="AX76" s="32">
        <v>0</v>
      </c>
      <c r="AY76" s="32">
        <v>0</v>
      </c>
      <c r="AZ76" s="32">
        <v>0</v>
      </c>
      <c r="BA76" s="32">
        <v>0</v>
      </c>
      <c r="BB76" s="32">
        <v>0</v>
      </c>
      <c r="BC76" s="32">
        <v>0</v>
      </c>
      <c r="BD76" s="32">
        <v>0</v>
      </c>
      <c r="BE76" s="32">
        <v>0</v>
      </c>
      <c r="BF76" s="32">
        <v>0</v>
      </c>
      <c r="BG76" s="32">
        <v>0</v>
      </c>
      <c r="BH76" s="32">
        <v>0</v>
      </c>
      <c r="BI76" s="32">
        <v>0</v>
      </c>
      <c r="BJ76" s="32">
        <v>0</v>
      </c>
      <c r="BK76" s="32">
        <v>0</v>
      </c>
      <c r="BL76" s="32">
        <v>0</v>
      </c>
      <c r="BM76" s="32">
        <v>0</v>
      </c>
      <c r="BN76" s="32">
        <v>0</v>
      </c>
      <c r="BO76" s="32">
        <v>0</v>
      </c>
      <c r="BP76" s="32">
        <v>0</v>
      </c>
      <c r="BQ76" s="32">
        <v>0</v>
      </c>
      <c r="BR76" s="32">
        <v>0</v>
      </c>
      <c r="BS76" s="32">
        <v>0</v>
      </c>
      <c r="BT76" s="32">
        <v>0</v>
      </c>
      <c r="BU76" s="32">
        <v>7976</v>
      </c>
      <c r="BV76" s="32">
        <v>52</v>
      </c>
      <c r="BW76" s="32">
        <v>0</v>
      </c>
      <c r="BX76" s="32">
        <v>0</v>
      </c>
      <c r="BY76" s="32">
        <v>0</v>
      </c>
      <c r="BZ76" s="32">
        <v>0</v>
      </c>
      <c r="CA76" s="32">
        <v>-356</v>
      </c>
      <c r="CB76" s="32">
        <v>-304</v>
      </c>
      <c r="CC76" s="32">
        <v>7672</v>
      </c>
    </row>
    <row r="77" spans="1:81" ht="8.25" customHeight="1">
      <c r="A77" s="48">
        <v>25001</v>
      </c>
      <c r="B77" s="49" t="str">
        <f>IFERROR(INDEX(SCNtoISIC!$I:$I,MATCH($A77,SCNtoISIC!$G:$G,0)),0)</f>
        <v>ISIC 25</v>
      </c>
      <c r="C77" s="50" t="str">
        <f>IFERROR(INDEX(SCNtoISIC!$K:$K,MATCH($B77,SCNtoISIC!$I:$I,0)),0)</f>
        <v>Fabricated metal products, except machinery and equipment</v>
      </c>
      <c r="D77" s="51" t="s">
        <v>364</v>
      </c>
      <c r="E77" s="52">
        <v>390</v>
      </c>
      <c r="F77" s="52">
        <v>624</v>
      </c>
      <c r="G77" s="52">
        <v>55</v>
      </c>
      <c r="H77" s="52">
        <v>65</v>
      </c>
      <c r="I77" s="52">
        <v>1064</v>
      </c>
      <c r="J77" s="52">
        <v>574</v>
      </c>
      <c r="K77" s="52">
        <v>245</v>
      </c>
      <c r="L77" s="52">
        <v>2117</v>
      </c>
      <c r="M77" s="52">
        <v>115</v>
      </c>
      <c r="N77" s="52">
        <v>2278</v>
      </c>
      <c r="O77" s="52">
        <v>3634</v>
      </c>
      <c r="P77" s="52">
        <v>30</v>
      </c>
      <c r="Q77" s="52">
        <v>88</v>
      </c>
      <c r="R77" s="52">
        <v>100</v>
      </c>
      <c r="S77" s="52">
        <v>69</v>
      </c>
      <c r="T77" s="52">
        <v>429</v>
      </c>
      <c r="U77" s="52">
        <v>127</v>
      </c>
      <c r="V77" s="52">
        <v>28</v>
      </c>
      <c r="W77" s="52">
        <v>227</v>
      </c>
      <c r="X77" s="52">
        <v>43</v>
      </c>
      <c r="Y77" s="52">
        <v>472</v>
      </c>
      <c r="Z77" s="52">
        <v>863</v>
      </c>
      <c r="AA77" s="52">
        <v>902</v>
      </c>
      <c r="AB77" s="52">
        <v>146</v>
      </c>
      <c r="AC77" s="52">
        <v>177</v>
      </c>
      <c r="AD77" s="52">
        <v>231</v>
      </c>
      <c r="AE77" s="52">
        <v>2084</v>
      </c>
      <c r="AF77" s="52">
        <v>202</v>
      </c>
      <c r="AG77" s="52">
        <v>10259</v>
      </c>
      <c r="AH77" s="52">
        <v>1117</v>
      </c>
      <c r="AI77" s="52">
        <v>2688</v>
      </c>
      <c r="AJ77" s="52">
        <v>7063</v>
      </c>
      <c r="AK77" s="52">
        <v>5142</v>
      </c>
      <c r="AL77" s="52">
        <v>2718</v>
      </c>
      <c r="AM77" s="52">
        <v>2739</v>
      </c>
      <c r="AN77" s="52">
        <v>1641</v>
      </c>
      <c r="AO77" s="52">
        <v>3215</v>
      </c>
      <c r="AP77" s="52">
        <v>2510</v>
      </c>
      <c r="AQ77" s="52">
        <v>535</v>
      </c>
      <c r="AR77" s="52">
        <v>31021</v>
      </c>
      <c r="AS77" s="52">
        <v>336</v>
      </c>
      <c r="AT77" s="52">
        <v>1340</v>
      </c>
      <c r="AU77" s="52">
        <v>90</v>
      </c>
      <c r="AV77" s="52">
        <v>1</v>
      </c>
      <c r="AW77" s="52">
        <v>0</v>
      </c>
      <c r="AX77" s="52">
        <v>5</v>
      </c>
      <c r="AY77" s="52">
        <v>153</v>
      </c>
      <c r="AZ77" s="52">
        <v>2074</v>
      </c>
      <c r="BA77" s="52">
        <v>0</v>
      </c>
      <c r="BB77" s="52">
        <v>12</v>
      </c>
      <c r="BC77" s="52">
        <v>24</v>
      </c>
      <c r="BD77" s="52">
        <v>3</v>
      </c>
      <c r="BE77" s="52">
        <v>0</v>
      </c>
      <c r="BF77" s="52">
        <v>510</v>
      </c>
      <c r="BG77" s="52">
        <v>0</v>
      </c>
      <c r="BH77" s="52">
        <v>32</v>
      </c>
      <c r="BI77" s="52">
        <v>0</v>
      </c>
      <c r="BJ77" s="52">
        <v>0</v>
      </c>
      <c r="BK77" s="52">
        <v>256</v>
      </c>
      <c r="BL77" s="52">
        <v>87</v>
      </c>
      <c r="BM77" s="52">
        <v>1221</v>
      </c>
      <c r="BN77" s="52">
        <v>107</v>
      </c>
      <c r="BO77" s="52">
        <v>0</v>
      </c>
      <c r="BP77" s="52">
        <v>185</v>
      </c>
      <c r="BQ77" s="52">
        <v>0</v>
      </c>
      <c r="BR77" s="52">
        <v>0</v>
      </c>
      <c r="BS77" s="52">
        <v>102</v>
      </c>
      <c r="BT77" s="52">
        <v>0</v>
      </c>
      <c r="BU77" s="52">
        <v>94565</v>
      </c>
      <c r="BV77" s="52">
        <v>5378</v>
      </c>
      <c r="BW77" s="52">
        <v>0</v>
      </c>
      <c r="BX77" s="52">
        <v>0</v>
      </c>
      <c r="BY77" s="52">
        <v>16798</v>
      </c>
      <c r="BZ77" s="52">
        <v>10684</v>
      </c>
      <c r="CA77" s="52">
        <v>3007</v>
      </c>
      <c r="CB77" s="52">
        <v>35867</v>
      </c>
      <c r="CC77" s="52">
        <v>130432</v>
      </c>
    </row>
    <row r="78" spans="1:81" ht="8.25" customHeight="1">
      <c r="A78" s="48">
        <v>26001</v>
      </c>
      <c r="B78" s="49" t="str">
        <f>IFERROR(INDEX(SCNtoISIC!$I:$I,MATCH($A78,SCNtoISIC!$G:$G,0)),0)</f>
        <v>ISIC 26</v>
      </c>
      <c r="C78" s="50" t="str">
        <f>IFERROR(INDEX(SCNtoISIC!$K:$K,MATCH($B78,SCNtoISIC!$I:$I,0)),0)</f>
        <v>Computer, electronic and optical products</v>
      </c>
      <c r="D78" s="51" t="s">
        <v>366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318</v>
      </c>
      <c r="W78" s="52">
        <v>0</v>
      </c>
      <c r="X78" s="52">
        <v>0</v>
      </c>
      <c r="Y78" s="52">
        <v>0</v>
      </c>
      <c r="Z78" s="52">
        <v>0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2">
        <v>0</v>
      </c>
      <c r="AG78" s="52">
        <v>0</v>
      </c>
      <c r="AH78" s="52">
        <v>16929</v>
      </c>
      <c r="AI78" s="52">
        <v>718</v>
      </c>
      <c r="AJ78" s="52">
        <v>117</v>
      </c>
      <c r="AK78" s="52">
        <v>44</v>
      </c>
      <c r="AL78" s="52">
        <v>378</v>
      </c>
      <c r="AM78" s="52">
        <v>7</v>
      </c>
      <c r="AN78" s="52">
        <v>44</v>
      </c>
      <c r="AO78" s="52">
        <v>534</v>
      </c>
      <c r="AP78" s="52">
        <v>175</v>
      </c>
      <c r="AQ78" s="52">
        <v>0</v>
      </c>
      <c r="AR78" s="52">
        <v>0</v>
      </c>
      <c r="AS78" s="52">
        <v>0</v>
      </c>
      <c r="AT78" s="52">
        <v>40</v>
      </c>
      <c r="AU78" s="52">
        <v>0</v>
      </c>
      <c r="AV78" s="52">
        <v>0</v>
      </c>
      <c r="AW78" s="52">
        <v>0</v>
      </c>
      <c r="AX78" s="52">
        <v>217</v>
      </c>
      <c r="AY78" s="52">
        <v>0</v>
      </c>
      <c r="AZ78" s="52">
        <v>0</v>
      </c>
      <c r="BA78" s="52">
        <v>0</v>
      </c>
      <c r="BB78" s="52">
        <v>0</v>
      </c>
      <c r="BC78" s="52">
        <v>0</v>
      </c>
      <c r="BD78" s="52">
        <v>476</v>
      </c>
      <c r="BE78" s="52">
        <v>0</v>
      </c>
      <c r="BF78" s="52">
        <v>0</v>
      </c>
      <c r="BG78" s="52">
        <v>0</v>
      </c>
      <c r="BH78" s="52">
        <v>9</v>
      </c>
      <c r="BI78" s="52">
        <v>0</v>
      </c>
      <c r="BJ78" s="52">
        <v>0</v>
      </c>
      <c r="BK78" s="52">
        <v>0</v>
      </c>
      <c r="BL78" s="52">
        <v>0</v>
      </c>
      <c r="BM78" s="52">
        <v>75</v>
      </c>
      <c r="BN78" s="52">
        <v>35</v>
      </c>
      <c r="BO78" s="52">
        <v>0</v>
      </c>
      <c r="BP78" s="52">
        <v>3</v>
      </c>
      <c r="BQ78" s="52">
        <v>1</v>
      </c>
      <c r="BR78" s="52">
        <v>16</v>
      </c>
      <c r="BS78" s="52">
        <v>166</v>
      </c>
      <c r="BT78" s="52">
        <v>0</v>
      </c>
      <c r="BU78" s="52">
        <v>20302</v>
      </c>
      <c r="BV78" s="52">
        <v>362</v>
      </c>
      <c r="BW78" s="52">
        <v>0</v>
      </c>
      <c r="BX78" s="52">
        <v>0</v>
      </c>
      <c r="BY78" s="52">
        <v>0</v>
      </c>
      <c r="BZ78" s="52">
        <v>0</v>
      </c>
      <c r="CA78" s="52">
        <v>-710</v>
      </c>
      <c r="CB78" s="52">
        <v>-348</v>
      </c>
      <c r="CC78" s="52">
        <v>19954</v>
      </c>
    </row>
    <row r="79" spans="1:81" ht="8.25" customHeight="1">
      <c r="A79" s="48">
        <v>26002</v>
      </c>
      <c r="B79" s="49" t="str">
        <f>IFERROR(INDEX(SCNtoISIC!$I:$I,MATCH($A79,SCNtoISIC!$G:$G,0)),0)</f>
        <v>ISIC 26</v>
      </c>
      <c r="C79" s="50" t="str">
        <f>IFERROR(INDEX(SCNtoISIC!$K:$K,MATCH($B79,SCNtoISIC!$I:$I,0)),0)</f>
        <v>Computer, electronic and optical products</v>
      </c>
      <c r="D79" s="51" t="s">
        <v>368</v>
      </c>
      <c r="E79" s="52">
        <v>1</v>
      </c>
      <c r="F79" s="52">
        <v>0</v>
      </c>
      <c r="G79" s="52">
        <v>0</v>
      </c>
      <c r="H79" s="52">
        <v>0</v>
      </c>
      <c r="I79" s="52">
        <v>53</v>
      </c>
      <c r="J79" s="52">
        <v>0</v>
      </c>
      <c r="K79" s="52">
        <v>0</v>
      </c>
      <c r="L79" s="52">
        <v>0</v>
      </c>
      <c r="M79" s="52">
        <v>0</v>
      </c>
      <c r="N79" s="52">
        <v>0</v>
      </c>
      <c r="O79" s="52">
        <v>0</v>
      </c>
      <c r="P79" s="52">
        <v>0</v>
      </c>
      <c r="Q79" s="52">
        <v>0</v>
      </c>
      <c r="R79" s="52">
        <v>0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2">
        <v>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2">
        <v>0</v>
      </c>
      <c r="AG79" s="52">
        <v>0</v>
      </c>
      <c r="AH79" s="52">
        <v>4996</v>
      </c>
      <c r="AI79" s="52">
        <v>0</v>
      </c>
      <c r="AJ79" s="52">
        <v>27</v>
      </c>
      <c r="AK79" s="52">
        <v>0</v>
      </c>
      <c r="AL79" s="52">
        <v>2</v>
      </c>
      <c r="AM79" s="52">
        <v>28</v>
      </c>
      <c r="AN79" s="52">
        <v>0</v>
      </c>
      <c r="AO79" s="52">
        <v>158</v>
      </c>
      <c r="AP79" s="52">
        <v>30</v>
      </c>
      <c r="AQ79" s="52">
        <v>14</v>
      </c>
      <c r="AR79" s="52">
        <v>0</v>
      </c>
      <c r="AS79" s="52">
        <v>3</v>
      </c>
      <c r="AT79" s="52">
        <v>129</v>
      </c>
      <c r="AU79" s="52">
        <v>0</v>
      </c>
      <c r="AV79" s="52">
        <v>0</v>
      </c>
      <c r="AW79" s="52">
        <v>0</v>
      </c>
      <c r="AX79" s="52">
        <v>44</v>
      </c>
      <c r="AY79" s="52">
        <v>1</v>
      </c>
      <c r="AZ79" s="52">
        <v>0</v>
      </c>
      <c r="BA79" s="52">
        <v>0</v>
      </c>
      <c r="BB79" s="52">
        <v>387</v>
      </c>
      <c r="BC79" s="52">
        <v>11</v>
      </c>
      <c r="BD79" s="52">
        <v>2733</v>
      </c>
      <c r="BE79" s="52">
        <v>530</v>
      </c>
      <c r="BF79" s="52">
        <v>1</v>
      </c>
      <c r="BG79" s="52">
        <v>414</v>
      </c>
      <c r="BH79" s="52">
        <v>556</v>
      </c>
      <c r="BI79" s="52">
        <v>189</v>
      </c>
      <c r="BJ79" s="52">
        <v>64</v>
      </c>
      <c r="BK79" s="52">
        <v>641</v>
      </c>
      <c r="BL79" s="52">
        <v>39</v>
      </c>
      <c r="BM79" s="52">
        <v>504</v>
      </c>
      <c r="BN79" s="52">
        <v>1272</v>
      </c>
      <c r="BO79" s="52">
        <v>170</v>
      </c>
      <c r="BP79" s="52">
        <v>146</v>
      </c>
      <c r="BQ79" s="52">
        <v>104</v>
      </c>
      <c r="BR79" s="52">
        <v>5</v>
      </c>
      <c r="BS79" s="52">
        <v>650</v>
      </c>
      <c r="BT79" s="52">
        <v>0</v>
      </c>
      <c r="BU79" s="52">
        <v>13902</v>
      </c>
      <c r="BV79" s="52">
        <v>527</v>
      </c>
      <c r="BW79" s="52">
        <v>0</v>
      </c>
      <c r="BX79" s="52">
        <v>0</v>
      </c>
      <c r="BY79" s="52">
        <v>18417</v>
      </c>
      <c r="BZ79" s="52">
        <v>19264</v>
      </c>
      <c r="CA79" s="52">
        <v>725</v>
      </c>
      <c r="CB79" s="52">
        <v>38933</v>
      </c>
      <c r="CC79" s="52">
        <v>52835</v>
      </c>
    </row>
    <row r="80" spans="1:81" ht="8.25" customHeight="1">
      <c r="A80" s="48">
        <v>26003</v>
      </c>
      <c r="B80" s="49" t="str">
        <f>IFERROR(INDEX(SCNtoISIC!$I:$I,MATCH($A80,SCNtoISIC!$G:$G,0)),0)</f>
        <v>ISIC 26</v>
      </c>
      <c r="C80" s="50" t="str">
        <f>IFERROR(INDEX(SCNtoISIC!$K:$K,MATCH($B80,SCNtoISIC!$I:$I,0)),0)</f>
        <v>Computer, electronic and optical products</v>
      </c>
      <c r="D80" s="51" t="s">
        <v>369</v>
      </c>
      <c r="E80" s="52">
        <v>0</v>
      </c>
      <c r="F80" s="52">
        <v>0</v>
      </c>
      <c r="G80" s="52">
        <v>0</v>
      </c>
      <c r="H80" s="52">
        <v>0</v>
      </c>
      <c r="I80" s="52">
        <v>0</v>
      </c>
      <c r="J80" s="52">
        <v>0</v>
      </c>
      <c r="K80" s="52">
        <v>0</v>
      </c>
      <c r="L80" s="52">
        <v>0</v>
      </c>
      <c r="M80" s="52">
        <v>0</v>
      </c>
      <c r="N80" s="52">
        <v>0</v>
      </c>
      <c r="O80" s="52">
        <v>0</v>
      </c>
      <c r="P80" s="52">
        <v>0</v>
      </c>
      <c r="Q80" s="52">
        <v>0</v>
      </c>
      <c r="R80" s="52">
        <v>0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2">
        <v>0</v>
      </c>
      <c r="Y80" s="52">
        <v>0</v>
      </c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2">
        <v>0</v>
      </c>
      <c r="AG80" s="52">
        <v>0</v>
      </c>
      <c r="AH80" s="52">
        <v>16123</v>
      </c>
      <c r="AI80" s="52">
        <v>8</v>
      </c>
      <c r="AJ80" s="52">
        <v>0</v>
      </c>
      <c r="AK80" s="52">
        <v>304</v>
      </c>
      <c r="AL80" s="52">
        <v>0</v>
      </c>
      <c r="AM80" s="52">
        <v>40</v>
      </c>
      <c r="AN80" s="52">
        <v>37</v>
      </c>
      <c r="AO80" s="52">
        <v>3</v>
      </c>
      <c r="AP80" s="52">
        <v>0</v>
      </c>
      <c r="AQ80" s="52">
        <v>0</v>
      </c>
      <c r="AR80" s="52">
        <v>14</v>
      </c>
      <c r="AS80" s="52">
        <v>0</v>
      </c>
      <c r="AT80" s="52">
        <v>23</v>
      </c>
      <c r="AU80" s="52">
        <v>4</v>
      </c>
      <c r="AV80" s="52">
        <v>0</v>
      </c>
      <c r="AW80" s="52">
        <v>12</v>
      </c>
      <c r="AX80" s="52">
        <v>31</v>
      </c>
      <c r="AY80" s="52">
        <v>0</v>
      </c>
      <c r="AZ80" s="52">
        <v>0</v>
      </c>
      <c r="BA80" s="52">
        <v>0</v>
      </c>
      <c r="BB80" s="52">
        <v>150</v>
      </c>
      <c r="BC80" s="52">
        <v>327</v>
      </c>
      <c r="BD80" s="52">
        <v>0</v>
      </c>
      <c r="BE80" s="52">
        <v>168</v>
      </c>
      <c r="BF80" s="52">
        <v>0</v>
      </c>
      <c r="BG80" s="52">
        <v>164</v>
      </c>
      <c r="BH80" s="52">
        <v>194</v>
      </c>
      <c r="BI80" s="52">
        <v>3</v>
      </c>
      <c r="BJ80" s="52">
        <v>0</v>
      </c>
      <c r="BK80" s="52">
        <v>1398</v>
      </c>
      <c r="BL80" s="52">
        <v>166</v>
      </c>
      <c r="BM80" s="52">
        <v>13</v>
      </c>
      <c r="BN80" s="52">
        <v>6</v>
      </c>
      <c r="BO80" s="52">
        <v>3</v>
      </c>
      <c r="BP80" s="52">
        <v>1</v>
      </c>
      <c r="BQ80" s="52">
        <v>3</v>
      </c>
      <c r="BR80" s="52">
        <v>115</v>
      </c>
      <c r="BS80" s="52">
        <v>680</v>
      </c>
      <c r="BT80" s="52">
        <v>0</v>
      </c>
      <c r="BU80" s="52">
        <v>19990</v>
      </c>
      <c r="BV80" s="52">
        <v>1575</v>
      </c>
      <c r="BW80" s="52">
        <v>0</v>
      </c>
      <c r="BX80" s="52">
        <v>0</v>
      </c>
      <c r="BY80" s="52">
        <v>45672</v>
      </c>
      <c r="BZ80" s="52">
        <v>23218</v>
      </c>
      <c r="CA80" s="52">
        <v>1265</v>
      </c>
      <c r="CB80" s="52">
        <v>71730</v>
      </c>
      <c r="CC80" s="52">
        <v>91720</v>
      </c>
    </row>
    <row r="81" spans="1:81" ht="8.25" customHeight="1">
      <c r="A81" s="48">
        <v>26004</v>
      </c>
      <c r="B81" s="49" t="str">
        <f>IFERROR(INDEX(SCNtoISIC!$I:$I,MATCH($A81,SCNtoISIC!$G:$G,0)),0)</f>
        <v>ISIC 26</v>
      </c>
      <c r="C81" s="50" t="str">
        <f>IFERROR(INDEX(SCNtoISIC!$K:$K,MATCH($B81,SCNtoISIC!$I:$I,0)),0)</f>
        <v>Computer, electronic and optical products</v>
      </c>
      <c r="D81" s="51" t="s">
        <v>370</v>
      </c>
      <c r="E81" s="52">
        <v>0</v>
      </c>
      <c r="F81" s="52">
        <v>0</v>
      </c>
      <c r="G81" s="52">
        <v>0</v>
      </c>
      <c r="H81" s="52">
        <v>0</v>
      </c>
      <c r="I81" s="52">
        <v>283</v>
      </c>
      <c r="J81" s="52">
        <v>0</v>
      </c>
      <c r="K81" s="52">
        <v>0</v>
      </c>
      <c r="L81" s="52">
        <v>28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293</v>
      </c>
      <c r="W81" s="52">
        <v>0</v>
      </c>
      <c r="X81" s="52">
        <v>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2521</v>
      </c>
      <c r="AI81" s="52">
        <v>42</v>
      </c>
      <c r="AJ81" s="52">
        <v>807</v>
      </c>
      <c r="AK81" s="52">
        <v>240</v>
      </c>
      <c r="AL81" s="52">
        <v>2</v>
      </c>
      <c r="AM81" s="52">
        <v>44</v>
      </c>
      <c r="AN81" s="52">
        <v>54</v>
      </c>
      <c r="AO81" s="52">
        <v>331</v>
      </c>
      <c r="AP81" s="52">
        <v>7</v>
      </c>
      <c r="AQ81" s="52">
        <v>4</v>
      </c>
      <c r="AR81" s="52">
        <v>925</v>
      </c>
      <c r="AS81" s="52">
        <v>0</v>
      </c>
      <c r="AT81" s="52">
        <v>117</v>
      </c>
      <c r="AU81" s="52">
        <v>0</v>
      </c>
      <c r="AV81" s="52">
        <v>0</v>
      </c>
      <c r="AW81" s="52">
        <v>0</v>
      </c>
      <c r="AX81" s="52">
        <v>35</v>
      </c>
      <c r="AY81" s="52">
        <v>0</v>
      </c>
      <c r="AZ81" s="52">
        <v>0</v>
      </c>
      <c r="BA81" s="52">
        <v>0</v>
      </c>
      <c r="BB81" s="52">
        <v>53</v>
      </c>
      <c r="BC81" s="52">
        <v>0</v>
      </c>
      <c r="BD81" s="52">
        <v>25</v>
      </c>
      <c r="BE81" s="52">
        <v>0</v>
      </c>
      <c r="BF81" s="52">
        <v>0</v>
      </c>
      <c r="BG81" s="52">
        <v>0</v>
      </c>
      <c r="BH81" s="52">
        <v>1808</v>
      </c>
      <c r="BI81" s="52">
        <v>6</v>
      </c>
      <c r="BJ81" s="52">
        <v>0</v>
      </c>
      <c r="BK81" s="52">
        <v>0</v>
      </c>
      <c r="BL81" s="52">
        <v>0</v>
      </c>
      <c r="BM81" s="52">
        <v>84</v>
      </c>
      <c r="BN81" s="52">
        <v>156</v>
      </c>
      <c r="BO81" s="52">
        <v>0</v>
      </c>
      <c r="BP81" s="52">
        <v>376</v>
      </c>
      <c r="BQ81" s="52">
        <v>218</v>
      </c>
      <c r="BR81" s="52">
        <v>0</v>
      </c>
      <c r="BS81" s="52">
        <v>40</v>
      </c>
      <c r="BT81" s="52">
        <v>0</v>
      </c>
      <c r="BU81" s="52">
        <v>8499</v>
      </c>
      <c r="BV81" s="52">
        <v>1070</v>
      </c>
      <c r="BW81" s="52">
        <v>0</v>
      </c>
      <c r="BX81" s="52">
        <v>0</v>
      </c>
      <c r="BY81" s="52">
        <v>7413</v>
      </c>
      <c r="BZ81" s="52">
        <v>13113</v>
      </c>
      <c r="CA81" s="52">
        <v>7</v>
      </c>
      <c r="CB81" s="52">
        <v>21603</v>
      </c>
      <c r="CC81" s="52">
        <v>30102</v>
      </c>
    </row>
    <row r="82" spans="1:81" ht="8.25" customHeight="1">
      <c r="A82" s="53">
        <v>27001</v>
      </c>
      <c r="B82" s="49" t="str">
        <f>IFERROR(INDEX(SCNtoISIC!$I:$I,MATCH($A82,SCNtoISIC!$G:$G,0)),0)</f>
        <v>ISIC 27</v>
      </c>
      <c r="C82" s="50" t="str">
        <f>IFERROR(INDEX(SCNtoISIC!$K:$K,MATCH($B82,SCNtoISIC!$I:$I,0)),0)</f>
        <v>Electrical equipment</v>
      </c>
      <c r="D82" s="54" t="s">
        <v>371</v>
      </c>
      <c r="E82" s="32">
        <v>48</v>
      </c>
      <c r="F82" s="32">
        <v>113</v>
      </c>
      <c r="G82" s="32">
        <v>6</v>
      </c>
      <c r="H82" s="32">
        <v>33</v>
      </c>
      <c r="I82" s="32">
        <v>173</v>
      </c>
      <c r="J82" s="32">
        <v>25</v>
      </c>
      <c r="K82" s="32">
        <v>19</v>
      </c>
      <c r="L82" s="32">
        <v>55</v>
      </c>
      <c r="M82" s="32">
        <v>35</v>
      </c>
      <c r="N82" s="32">
        <v>92</v>
      </c>
      <c r="O82" s="32">
        <v>24</v>
      </c>
      <c r="P82" s="32">
        <v>3</v>
      </c>
      <c r="Q82" s="32">
        <v>57</v>
      </c>
      <c r="R82" s="32">
        <v>8</v>
      </c>
      <c r="S82" s="32">
        <v>11</v>
      </c>
      <c r="T82" s="32">
        <v>27</v>
      </c>
      <c r="U82" s="32">
        <v>71</v>
      </c>
      <c r="V82" s="32">
        <v>7</v>
      </c>
      <c r="W82" s="32">
        <v>5</v>
      </c>
      <c r="X82" s="32">
        <v>6</v>
      </c>
      <c r="Y82" s="32">
        <v>132</v>
      </c>
      <c r="Z82" s="32">
        <v>22</v>
      </c>
      <c r="AA82" s="32">
        <v>8</v>
      </c>
      <c r="AB82" s="32">
        <v>11</v>
      </c>
      <c r="AC82" s="32">
        <v>95</v>
      </c>
      <c r="AD82" s="32">
        <v>171</v>
      </c>
      <c r="AE82" s="32">
        <v>27</v>
      </c>
      <c r="AF82" s="32">
        <v>101</v>
      </c>
      <c r="AG82" s="32">
        <v>48</v>
      </c>
      <c r="AH82" s="32">
        <v>2457</v>
      </c>
      <c r="AI82" s="32">
        <v>10247</v>
      </c>
      <c r="AJ82" s="32">
        <v>3898</v>
      </c>
      <c r="AK82" s="32">
        <v>1529</v>
      </c>
      <c r="AL82" s="32">
        <v>1488</v>
      </c>
      <c r="AM82" s="32">
        <v>444</v>
      </c>
      <c r="AN82" s="32">
        <v>335</v>
      </c>
      <c r="AO82" s="32">
        <v>2806</v>
      </c>
      <c r="AP82" s="32">
        <v>6352</v>
      </c>
      <c r="AQ82" s="32">
        <v>228</v>
      </c>
      <c r="AR82" s="32">
        <v>14705</v>
      </c>
      <c r="AS82" s="32">
        <v>593</v>
      </c>
      <c r="AT82" s="32">
        <v>1085</v>
      </c>
      <c r="AU82" s="32">
        <v>1512</v>
      </c>
      <c r="AV82" s="32">
        <v>25</v>
      </c>
      <c r="AW82" s="32">
        <v>1</v>
      </c>
      <c r="AX82" s="32">
        <v>88</v>
      </c>
      <c r="AY82" s="32">
        <v>39</v>
      </c>
      <c r="AZ82" s="32">
        <v>26</v>
      </c>
      <c r="BA82" s="32">
        <v>9</v>
      </c>
      <c r="BB82" s="32">
        <v>84</v>
      </c>
      <c r="BC82" s="32">
        <v>1232</v>
      </c>
      <c r="BD82" s="32">
        <v>16</v>
      </c>
      <c r="BE82" s="32">
        <v>60</v>
      </c>
      <c r="BF82" s="32">
        <v>744</v>
      </c>
      <c r="BG82" s="32">
        <v>786</v>
      </c>
      <c r="BH82" s="32">
        <v>77</v>
      </c>
      <c r="BI82" s="32">
        <v>50</v>
      </c>
      <c r="BJ82" s="32">
        <v>41</v>
      </c>
      <c r="BK82" s="32">
        <v>805</v>
      </c>
      <c r="BL82" s="32">
        <v>2</v>
      </c>
      <c r="BM82" s="32">
        <v>131</v>
      </c>
      <c r="BN82" s="32">
        <v>83</v>
      </c>
      <c r="BO82" s="32">
        <v>0</v>
      </c>
      <c r="BP82" s="32">
        <v>9</v>
      </c>
      <c r="BQ82" s="32">
        <v>3</v>
      </c>
      <c r="BR82" s="32">
        <v>88</v>
      </c>
      <c r="BS82" s="32">
        <v>775</v>
      </c>
      <c r="BT82" s="32">
        <v>0</v>
      </c>
      <c r="BU82" s="32">
        <v>54286</v>
      </c>
      <c r="BV82" s="32">
        <v>6368</v>
      </c>
      <c r="BW82" s="32">
        <v>0</v>
      </c>
      <c r="BX82" s="32">
        <v>0</v>
      </c>
      <c r="BY82" s="32">
        <v>3947</v>
      </c>
      <c r="BZ82" s="32">
        <v>18821</v>
      </c>
      <c r="CA82" s="32">
        <v>783</v>
      </c>
      <c r="CB82" s="32">
        <v>29919</v>
      </c>
      <c r="CC82" s="32">
        <v>84205</v>
      </c>
    </row>
    <row r="83" spans="1:81" ht="8.25" customHeight="1">
      <c r="A83" s="53">
        <v>27002</v>
      </c>
      <c r="B83" s="49" t="str">
        <f>IFERROR(INDEX(SCNtoISIC!$I:$I,MATCH($A83,SCNtoISIC!$G:$G,0)),0)</f>
        <v>ISIC 27</v>
      </c>
      <c r="C83" s="50" t="str">
        <f>IFERROR(INDEX(SCNtoISIC!$K:$K,MATCH($B83,SCNtoISIC!$I:$I,0)),0)</f>
        <v>Electrical equipment</v>
      </c>
      <c r="D83" s="54" t="s">
        <v>373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  <c r="Y83" s="32">
        <v>0</v>
      </c>
      <c r="Z83" s="32">
        <v>0</v>
      </c>
      <c r="AA83" s="32">
        <v>7</v>
      </c>
      <c r="AB83" s="32">
        <v>0</v>
      </c>
      <c r="AC83" s="32">
        <v>0</v>
      </c>
      <c r="AD83" s="32">
        <v>0</v>
      </c>
      <c r="AE83" s="32">
        <v>0</v>
      </c>
      <c r="AF83" s="32">
        <v>0</v>
      </c>
      <c r="AG83" s="32">
        <v>1</v>
      </c>
      <c r="AH83" s="32">
        <v>0</v>
      </c>
      <c r="AI83" s="32">
        <v>1264</v>
      </c>
      <c r="AJ83" s="32">
        <v>13</v>
      </c>
      <c r="AK83" s="32">
        <v>20</v>
      </c>
      <c r="AL83" s="32">
        <v>0</v>
      </c>
      <c r="AM83" s="32">
        <v>2</v>
      </c>
      <c r="AN83" s="32">
        <v>0</v>
      </c>
      <c r="AO83" s="32">
        <v>0</v>
      </c>
      <c r="AP83" s="32">
        <v>0</v>
      </c>
      <c r="AQ83" s="32">
        <v>0</v>
      </c>
      <c r="AR83" s="32">
        <v>0</v>
      </c>
      <c r="AS83" s="32">
        <v>0</v>
      </c>
      <c r="AT83" s="32">
        <v>0</v>
      </c>
      <c r="AU83" s="32">
        <v>0</v>
      </c>
      <c r="AV83" s="32">
        <v>0</v>
      </c>
      <c r="AW83" s="32">
        <v>0</v>
      </c>
      <c r="AX83" s="32">
        <v>0</v>
      </c>
      <c r="AY83" s="32">
        <v>3</v>
      </c>
      <c r="AZ83" s="32">
        <v>0</v>
      </c>
      <c r="BA83" s="32">
        <v>0</v>
      </c>
      <c r="BB83" s="32">
        <v>0</v>
      </c>
      <c r="BC83" s="32">
        <v>0</v>
      </c>
      <c r="BD83" s="32">
        <v>0</v>
      </c>
      <c r="BE83" s="32">
        <v>0</v>
      </c>
      <c r="BF83" s="32">
        <v>0</v>
      </c>
      <c r="BG83" s="32">
        <v>0</v>
      </c>
      <c r="BH83" s="32">
        <v>0</v>
      </c>
      <c r="BI83" s="32">
        <v>2</v>
      </c>
      <c r="BJ83" s="32">
        <v>0</v>
      </c>
      <c r="BK83" s="32">
        <v>0</v>
      </c>
      <c r="BL83" s="32">
        <v>0</v>
      </c>
      <c r="BM83" s="32">
        <v>0</v>
      </c>
      <c r="BN83" s="32">
        <v>0</v>
      </c>
      <c r="BO83" s="32">
        <v>0</v>
      </c>
      <c r="BP83" s="32">
        <v>0</v>
      </c>
      <c r="BQ83" s="32">
        <v>0</v>
      </c>
      <c r="BR83" s="32">
        <v>0</v>
      </c>
      <c r="BS83" s="32">
        <v>539</v>
      </c>
      <c r="BT83" s="32">
        <v>0</v>
      </c>
      <c r="BU83" s="32">
        <v>1851</v>
      </c>
      <c r="BV83" s="32">
        <v>599</v>
      </c>
      <c r="BW83" s="32">
        <v>0</v>
      </c>
      <c r="BX83" s="32">
        <v>0</v>
      </c>
      <c r="BY83" s="32">
        <v>34684</v>
      </c>
      <c r="BZ83" s="32">
        <v>1685</v>
      </c>
      <c r="CA83" s="32">
        <v>9</v>
      </c>
      <c r="CB83" s="32">
        <v>36977</v>
      </c>
      <c r="CC83" s="32">
        <v>38828</v>
      </c>
    </row>
    <row r="84" spans="1:81" ht="8.25" customHeight="1">
      <c r="A84" s="53">
        <v>28001</v>
      </c>
      <c r="B84" s="49" t="str">
        <f>IFERROR(INDEX(SCNtoISIC!$I:$I,MATCH($A84,SCNtoISIC!$G:$G,0)),0)</f>
        <v>ISIC 28</v>
      </c>
      <c r="C84" s="50" t="str">
        <f>IFERROR(INDEX(SCNtoISIC!$K:$K,MATCH($B84,SCNtoISIC!$I:$I,0)),0)</f>
        <v>Machinery and equipment n.e.c.</v>
      </c>
      <c r="D84" s="54" t="s">
        <v>374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2">
        <v>0</v>
      </c>
      <c r="Z84" s="32">
        <v>0</v>
      </c>
      <c r="AA84" s="32">
        <v>0</v>
      </c>
      <c r="AB84" s="32">
        <v>0</v>
      </c>
      <c r="AC84" s="32">
        <v>0</v>
      </c>
      <c r="AD84" s="32">
        <v>0</v>
      </c>
      <c r="AE84" s="32">
        <v>0</v>
      </c>
      <c r="AF84" s="32">
        <v>0</v>
      </c>
      <c r="AG84" s="32">
        <v>0</v>
      </c>
      <c r="AH84" s="32">
        <v>0</v>
      </c>
      <c r="AI84" s="32">
        <v>0</v>
      </c>
      <c r="AJ84" s="32">
        <v>2851</v>
      </c>
      <c r="AK84" s="32">
        <v>0</v>
      </c>
      <c r="AL84" s="32">
        <v>0</v>
      </c>
      <c r="AM84" s="32">
        <v>0</v>
      </c>
      <c r="AN84" s="32">
        <v>0</v>
      </c>
      <c r="AO84" s="32">
        <v>1137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v>0</v>
      </c>
      <c r="AY84" s="32">
        <v>0</v>
      </c>
      <c r="AZ84" s="32">
        <v>0</v>
      </c>
      <c r="BA84" s="32">
        <v>0</v>
      </c>
      <c r="BB84" s="32">
        <v>0</v>
      </c>
      <c r="BC84" s="32">
        <v>0</v>
      </c>
      <c r="BD84" s="32">
        <v>0</v>
      </c>
      <c r="BE84" s="32">
        <v>0</v>
      </c>
      <c r="BF84" s="32">
        <v>0</v>
      </c>
      <c r="BG84" s="32">
        <v>0</v>
      </c>
      <c r="BH84" s="32">
        <v>0</v>
      </c>
      <c r="BI84" s="32">
        <v>0</v>
      </c>
      <c r="BJ84" s="32">
        <v>0</v>
      </c>
      <c r="BK84" s="32">
        <v>0</v>
      </c>
      <c r="BL84" s="32">
        <v>0</v>
      </c>
      <c r="BM84" s="32">
        <v>0</v>
      </c>
      <c r="BN84" s="32">
        <v>0</v>
      </c>
      <c r="BO84" s="32">
        <v>0</v>
      </c>
      <c r="BP84" s="32">
        <v>0</v>
      </c>
      <c r="BQ84" s="32">
        <v>0</v>
      </c>
      <c r="BR84" s="32">
        <v>0</v>
      </c>
      <c r="BS84" s="32">
        <v>0</v>
      </c>
      <c r="BT84" s="32">
        <v>0</v>
      </c>
      <c r="BU84" s="32">
        <v>3988</v>
      </c>
      <c r="BV84" s="32">
        <v>1769</v>
      </c>
      <c r="BW84" s="32">
        <v>0</v>
      </c>
      <c r="BX84" s="32">
        <v>0</v>
      </c>
      <c r="BY84" s="32">
        <v>237</v>
      </c>
      <c r="BZ84" s="32">
        <v>25264</v>
      </c>
      <c r="CA84" s="32">
        <v>107</v>
      </c>
      <c r="CB84" s="32">
        <v>27377</v>
      </c>
      <c r="CC84" s="32">
        <v>31365</v>
      </c>
    </row>
    <row r="85" spans="1:81" ht="8.25" customHeight="1">
      <c r="A85" s="53">
        <v>28002</v>
      </c>
      <c r="B85" s="49" t="str">
        <f>IFERROR(INDEX(SCNtoISIC!$I:$I,MATCH($A85,SCNtoISIC!$G:$G,0)),0)</f>
        <v>ISIC 28</v>
      </c>
      <c r="C85" s="50" t="str">
        <f>IFERROR(INDEX(SCNtoISIC!$K:$K,MATCH($B85,SCNtoISIC!$I:$I,0)),0)</f>
        <v>Machinery and equipment n.e.c.</v>
      </c>
      <c r="D85" s="54" t="s">
        <v>376</v>
      </c>
      <c r="E85" s="32">
        <v>0</v>
      </c>
      <c r="F85" s="32">
        <v>0</v>
      </c>
      <c r="G85" s="32">
        <v>0</v>
      </c>
      <c r="H85" s="32">
        <v>156</v>
      </c>
      <c r="I85" s="32">
        <v>2286</v>
      </c>
      <c r="J85" s="32">
        <v>1034</v>
      </c>
      <c r="K85" s="32">
        <v>395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  <c r="Y85" s="32">
        <v>0</v>
      </c>
      <c r="Z85" s="32">
        <v>0</v>
      </c>
      <c r="AA85" s="32">
        <v>0</v>
      </c>
      <c r="AB85" s="32">
        <v>0</v>
      </c>
      <c r="AC85" s="32">
        <v>0</v>
      </c>
      <c r="AD85" s="32">
        <v>0</v>
      </c>
      <c r="AE85" s="32">
        <v>0</v>
      </c>
      <c r="AF85" s="32">
        <v>9</v>
      </c>
      <c r="AG85" s="32">
        <v>0</v>
      </c>
      <c r="AH85" s="32">
        <v>0</v>
      </c>
      <c r="AI85" s="32">
        <v>0</v>
      </c>
      <c r="AJ85" s="32">
        <v>2552</v>
      </c>
      <c r="AK85" s="32">
        <v>0</v>
      </c>
      <c r="AL85" s="32">
        <v>0</v>
      </c>
      <c r="AM85" s="32">
        <v>0</v>
      </c>
      <c r="AN85" s="32">
        <v>0</v>
      </c>
      <c r="AO85" s="32">
        <v>1064</v>
      </c>
      <c r="AP85" s="32">
        <v>0</v>
      </c>
      <c r="AQ85" s="32">
        <v>0</v>
      </c>
      <c r="AR85" s="32">
        <v>0</v>
      </c>
      <c r="AS85" s="32">
        <v>0</v>
      </c>
      <c r="AT85" s="32">
        <v>0</v>
      </c>
      <c r="AU85" s="32">
        <v>0</v>
      </c>
      <c r="AV85" s="32">
        <v>0</v>
      </c>
      <c r="AW85" s="32">
        <v>0</v>
      </c>
      <c r="AX85" s="32">
        <v>0</v>
      </c>
      <c r="AY85" s="32">
        <v>0</v>
      </c>
      <c r="AZ85" s="32">
        <v>0</v>
      </c>
      <c r="BA85" s="32">
        <v>0</v>
      </c>
      <c r="BB85" s="32">
        <v>0</v>
      </c>
      <c r="BC85" s="32">
        <v>0</v>
      </c>
      <c r="BD85" s="32">
        <v>0</v>
      </c>
      <c r="BE85" s="32">
        <v>0</v>
      </c>
      <c r="BF85" s="32">
        <v>0</v>
      </c>
      <c r="BG85" s="32">
        <v>0</v>
      </c>
      <c r="BH85" s="32">
        <v>6</v>
      </c>
      <c r="BI85" s="32">
        <v>0</v>
      </c>
      <c r="BJ85" s="32">
        <v>0</v>
      </c>
      <c r="BK85" s="32">
        <v>0</v>
      </c>
      <c r="BL85" s="32">
        <v>0</v>
      </c>
      <c r="BM85" s="32">
        <v>0</v>
      </c>
      <c r="BN85" s="32">
        <v>0</v>
      </c>
      <c r="BO85" s="32">
        <v>0</v>
      </c>
      <c r="BP85" s="32">
        <v>0</v>
      </c>
      <c r="BQ85" s="32">
        <v>0</v>
      </c>
      <c r="BR85" s="32">
        <v>0</v>
      </c>
      <c r="BS85" s="32">
        <v>0</v>
      </c>
      <c r="BT85" s="32">
        <v>0</v>
      </c>
      <c r="BU85" s="32">
        <v>7502</v>
      </c>
      <c r="BV85" s="32">
        <v>6418</v>
      </c>
      <c r="BW85" s="32">
        <v>0</v>
      </c>
      <c r="BX85" s="32">
        <v>0</v>
      </c>
      <c r="BY85" s="32">
        <v>0</v>
      </c>
      <c r="BZ85" s="32">
        <v>16532</v>
      </c>
      <c r="CA85" s="32">
        <v>651</v>
      </c>
      <c r="CB85" s="32">
        <v>23601</v>
      </c>
      <c r="CC85" s="32">
        <v>31103</v>
      </c>
    </row>
    <row r="86" spans="1:81" ht="8.25" customHeight="1">
      <c r="A86" s="53">
        <v>28003</v>
      </c>
      <c r="B86" s="49" t="str">
        <f>IFERROR(INDEX(SCNtoISIC!$I:$I,MATCH($A86,SCNtoISIC!$G:$G,0)),0)</f>
        <v>ISIC 28</v>
      </c>
      <c r="C86" s="50" t="str">
        <f>IFERROR(INDEX(SCNtoISIC!$K:$K,MATCH($B86,SCNtoISIC!$I:$I,0)),0)</f>
        <v>Machinery and equipment n.e.c.</v>
      </c>
      <c r="D86" s="54" t="s">
        <v>377</v>
      </c>
      <c r="E86" s="32">
        <v>14</v>
      </c>
      <c r="F86" s="32">
        <v>34</v>
      </c>
      <c r="G86" s="32">
        <v>14</v>
      </c>
      <c r="H86" s="32">
        <v>61</v>
      </c>
      <c r="I86" s="32">
        <v>2304</v>
      </c>
      <c r="J86" s="32">
        <v>2190</v>
      </c>
      <c r="K86" s="32">
        <v>587</v>
      </c>
      <c r="L86" s="32">
        <v>0</v>
      </c>
      <c r="M86" s="32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87</v>
      </c>
      <c r="U86" s="32">
        <v>0</v>
      </c>
      <c r="V86" s="32">
        <v>0</v>
      </c>
      <c r="W86" s="32">
        <v>0</v>
      </c>
      <c r="X86" s="32">
        <v>0</v>
      </c>
      <c r="Y86" s="32">
        <v>0</v>
      </c>
      <c r="Z86" s="32">
        <v>0</v>
      </c>
      <c r="AA86" s="32">
        <v>0</v>
      </c>
      <c r="AB86" s="32">
        <v>0</v>
      </c>
      <c r="AC86" s="32">
        <v>102</v>
      </c>
      <c r="AD86" s="32">
        <v>2</v>
      </c>
      <c r="AE86" s="32">
        <v>0</v>
      </c>
      <c r="AF86" s="32">
        <v>14</v>
      </c>
      <c r="AG86" s="32">
        <v>72</v>
      </c>
      <c r="AH86" s="32">
        <v>78</v>
      </c>
      <c r="AI86" s="32">
        <v>784</v>
      </c>
      <c r="AJ86" s="32">
        <v>23005</v>
      </c>
      <c r="AK86" s="32">
        <v>2333</v>
      </c>
      <c r="AL86" s="32">
        <v>31</v>
      </c>
      <c r="AM86" s="32">
        <v>956</v>
      </c>
      <c r="AN86" s="32">
        <v>0</v>
      </c>
      <c r="AO86" s="32">
        <v>10083</v>
      </c>
      <c r="AP86" s="32">
        <v>25</v>
      </c>
      <c r="AQ86" s="32">
        <v>94</v>
      </c>
      <c r="AR86" s="32">
        <v>6105</v>
      </c>
      <c r="AS86" s="32">
        <v>476</v>
      </c>
      <c r="AT86" s="32">
        <v>591</v>
      </c>
      <c r="AU86" s="32">
        <v>49</v>
      </c>
      <c r="AV86" s="32">
        <v>219</v>
      </c>
      <c r="AW86" s="32">
        <v>0</v>
      </c>
      <c r="AX86" s="32">
        <v>255</v>
      </c>
      <c r="AY86" s="32">
        <v>10</v>
      </c>
      <c r="AZ86" s="32">
        <v>0</v>
      </c>
      <c r="BA86" s="32">
        <v>0</v>
      </c>
      <c r="BB86" s="32">
        <v>0</v>
      </c>
      <c r="BC86" s="32">
        <v>84</v>
      </c>
      <c r="BD86" s="32">
        <v>0</v>
      </c>
      <c r="BE86" s="32">
        <v>5</v>
      </c>
      <c r="BF86" s="32">
        <v>0</v>
      </c>
      <c r="BG86" s="32">
        <v>0</v>
      </c>
      <c r="BH86" s="32">
        <v>6</v>
      </c>
      <c r="BI86" s="32">
        <v>2</v>
      </c>
      <c r="BJ86" s="32">
        <v>0</v>
      </c>
      <c r="BK86" s="32">
        <v>1669</v>
      </c>
      <c r="BL86" s="32">
        <v>0</v>
      </c>
      <c r="BM86" s="32">
        <v>100</v>
      </c>
      <c r="BN86" s="32">
        <v>13</v>
      </c>
      <c r="BO86" s="32">
        <v>0</v>
      </c>
      <c r="BP86" s="32">
        <v>148</v>
      </c>
      <c r="BQ86" s="32">
        <v>0</v>
      </c>
      <c r="BR86" s="32">
        <v>5</v>
      </c>
      <c r="BS86" s="32">
        <v>0</v>
      </c>
      <c r="BT86" s="32">
        <v>0</v>
      </c>
      <c r="BU86" s="32">
        <v>52607</v>
      </c>
      <c r="BV86" s="32">
        <v>12465</v>
      </c>
      <c r="BW86" s="32">
        <v>0</v>
      </c>
      <c r="BX86" s="32">
        <v>0</v>
      </c>
      <c r="BY86" s="32">
        <v>5140</v>
      </c>
      <c r="BZ86" s="32">
        <v>79863</v>
      </c>
      <c r="CA86" s="32">
        <v>1299</v>
      </c>
      <c r="CB86" s="32">
        <v>98767</v>
      </c>
      <c r="CC86" s="32">
        <v>151374</v>
      </c>
    </row>
    <row r="87" spans="1:81" ht="8.25" customHeight="1">
      <c r="A87" s="48">
        <v>29911</v>
      </c>
      <c r="B87" s="49" t="str">
        <f>IFERROR(INDEX(SCNtoISIC!$I:$I,MATCH($A87,SCNtoISIC!$G:$G,0)),0)</f>
        <v>ISIC 29</v>
      </c>
      <c r="C87" s="50" t="str">
        <f>IFERROR(INDEX(SCNtoISIC!$K:$K,MATCH($B87,SCNtoISIC!$I:$I,0)),0)</f>
        <v>Motor vehicles, trailers and semi-trailers</v>
      </c>
      <c r="D87" s="51" t="s">
        <v>378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2">
        <v>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2">
        <v>0</v>
      </c>
      <c r="AG87" s="52">
        <v>0</v>
      </c>
      <c r="AH87" s="52">
        <v>0</v>
      </c>
      <c r="AI87" s="52">
        <v>0</v>
      </c>
      <c r="AJ87" s="52">
        <v>0</v>
      </c>
      <c r="AK87" s="52">
        <v>2120</v>
      </c>
      <c r="AL87" s="52">
        <v>0</v>
      </c>
      <c r="AM87" s="52">
        <v>0</v>
      </c>
      <c r="AN87" s="52">
        <v>0</v>
      </c>
      <c r="AO87" s="52">
        <v>0</v>
      </c>
      <c r="AP87" s="52">
        <v>0</v>
      </c>
      <c r="AQ87" s="52">
        <v>0</v>
      </c>
      <c r="AR87" s="52">
        <v>0</v>
      </c>
      <c r="AS87" s="52">
        <v>165</v>
      </c>
      <c r="AT87" s="52">
        <v>0</v>
      </c>
      <c r="AU87" s="52">
        <v>0</v>
      </c>
      <c r="AV87" s="52">
        <v>0</v>
      </c>
      <c r="AW87" s="52">
        <v>0</v>
      </c>
      <c r="AX87" s="52">
        <v>0</v>
      </c>
      <c r="AY87" s="52">
        <v>0</v>
      </c>
      <c r="AZ87" s="52">
        <v>0</v>
      </c>
      <c r="BA87" s="52">
        <v>0</v>
      </c>
      <c r="BB87" s="52">
        <v>0</v>
      </c>
      <c r="BC87" s="52">
        <v>0</v>
      </c>
      <c r="BD87" s="52">
        <v>0</v>
      </c>
      <c r="BE87" s="52">
        <v>0</v>
      </c>
      <c r="BF87" s="52">
        <v>0</v>
      </c>
      <c r="BG87" s="52">
        <v>0</v>
      </c>
      <c r="BH87" s="52">
        <v>24</v>
      </c>
      <c r="BI87" s="52">
        <v>0</v>
      </c>
      <c r="BJ87" s="52">
        <v>0</v>
      </c>
      <c r="BK87" s="52">
        <v>0</v>
      </c>
      <c r="BL87" s="52">
        <v>0</v>
      </c>
      <c r="BM87" s="52">
        <v>23</v>
      </c>
      <c r="BN87" s="52">
        <v>0</v>
      </c>
      <c r="BO87" s="52">
        <v>0</v>
      </c>
      <c r="BP87" s="52">
        <v>0</v>
      </c>
      <c r="BQ87" s="52">
        <v>0</v>
      </c>
      <c r="BR87" s="52">
        <v>0</v>
      </c>
      <c r="BS87" s="52">
        <v>0</v>
      </c>
      <c r="BT87" s="52">
        <v>0</v>
      </c>
      <c r="BU87" s="52">
        <v>2332</v>
      </c>
      <c r="BV87" s="52">
        <v>9705</v>
      </c>
      <c r="BW87" s="52">
        <v>0</v>
      </c>
      <c r="BX87" s="52">
        <v>0</v>
      </c>
      <c r="BY87" s="52">
        <v>143750</v>
      </c>
      <c r="BZ87" s="52">
        <v>60000</v>
      </c>
      <c r="CA87" s="52">
        <v>-481</v>
      </c>
      <c r="CB87" s="52">
        <v>212974</v>
      </c>
      <c r="CC87" s="52">
        <v>215306</v>
      </c>
    </row>
    <row r="88" spans="1:81" ht="8.25" customHeight="1">
      <c r="A88" s="48">
        <v>29912</v>
      </c>
      <c r="B88" s="49" t="str">
        <f>IFERROR(INDEX(SCNtoISIC!$I:$I,MATCH($A88,SCNtoISIC!$G:$G,0)),0)</f>
        <v>ISIC 29</v>
      </c>
      <c r="C88" s="50" t="str">
        <f>IFERROR(INDEX(SCNtoISIC!$K:$K,MATCH($B88,SCNtoISIC!$I:$I,0)),0)</f>
        <v>Motor vehicles, trailers and semi-trailers</v>
      </c>
      <c r="D88" s="51" t="s">
        <v>380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69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Z88" s="52">
        <v>23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0</v>
      </c>
      <c r="AK88" s="52">
        <v>6513</v>
      </c>
      <c r="AL88" s="52">
        <v>35</v>
      </c>
      <c r="AM88" s="52">
        <v>0</v>
      </c>
      <c r="AN88" s="52">
        <v>0</v>
      </c>
      <c r="AO88" s="52">
        <v>0</v>
      </c>
      <c r="AP88" s="52">
        <v>0</v>
      </c>
      <c r="AQ88" s="52">
        <v>0</v>
      </c>
      <c r="AR88" s="52">
        <v>0</v>
      </c>
      <c r="AS88" s="52">
        <v>238</v>
      </c>
      <c r="AT88" s="52">
        <v>0</v>
      </c>
      <c r="AU88" s="52">
        <v>631</v>
      </c>
      <c r="AV88" s="52">
        <v>0</v>
      </c>
      <c r="AW88" s="52">
        <v>0</v>
      </c>
      <c r="AX88" s="52">
        <v>0</v>
      </c>
      <c r="AY88" s="52">
        <v>0</v>
      </c>
      <c r="AZ88" s="52">
        <v>0</v>
      </c>
      <c r="BA88" s="52">
        <v>0</v>
      </c>
      <c r="BB88" s="52">
        <v>0</v>
      </c>
      <c r="BC88" s="52">
        <v>0</v>
      </c>
      <c r="BD88" s="52">
        <v>0</v>
      </c>
      <c r="BE88" s="52">
        <v>0</v>
      </c>
      <c r="BF88" s="52">
        <v>0</v>
      </c>
      <c r="BG88" s="52">
        <v>0</v>
      </c>
      <c r="BH88" s="52">
        <v>0</v>
      </c>
      <c r="BI88" s="52">
        <v>0</v>
      </c>
      <c r="BJ88" s="52">
        <v>0</v>
      </c>
      <c r="BK88" s="52">
        <v>0</v>
      </c>
      <c r="BL88" s="52">
        <v>0</v>
      </c>
      <c r="BM88" s="52">
        <v>0</v>
      </c>
      <c r="BN88" s="52">
        <v>0</v>
      </c>
      <c r="BO88" s="52">
        <v>0</v>
      </c>
      <c r="BP88" s="52">
        <v>0</v>
      </c>
      <c r="BQ88" s="52">
        <v>0</v>
      </c>
      <c r="BR88" s="52">
        <v>0</v>
      </c>
      <c r="BS88" s="52">
        <v>0</v>
      </c>
      <c r="BT88" s="52">
        <v>0</v>
      </c>
      <c r="BU88" s="52">
        <v>7509</v>
      </c>
      <c r="BV88" s="52">
        <v>7924</v>
      </c>
      <c r="BW88" s="52">
        <v>0</v>
      </c>
      <c r="BX88" s="52">
        <v>0</v>
      </c>
      <c r="BY88" s="52">
        <v>1354</v>
      </c>
      <c r="BZ88" s="52">
        <v>50879</v>
      </c>
      <c r="CA88" s="52">
        <v>-647</v>
      </c>
      <c r="CB88" s="52">
        <v>59510</v>
      </c>
      <c r="CC88" s="52">
        <v>67019</v>
      </c>
    </row>
    <row r="89" spans="1:81" ht="8.25" customHeight="1">
      <c r="A89" s="48">
        <v>29921</v>
      </c>
      <c r="B89" s="49" t="str">
        <f>IFERROR(INDEX(SCNtoISIC!$I:$I,MATCH($A89,SCNtoISIC!$G:$G,0)),0)</f>
        <v>ISIC 29</v>
      </c>
      <c r="C89" s="50" t="str">
        <f>IFERROR(INDEX(SCNtoISIC!$K:$K,MATCH($B89,SCNtoISIC!$I:$I,0)),0)</f>
        <v>Motor vehicles, trailers and semi-trailers</v>
      </c>
      <c r="D89" s="51" t="s">
        <v>381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2">
        <v>0</v>
      </c>
      <c r="AG89" s="52">
        <v>0</v>
      </c>
      <c r="AH89" s="52">
        <v>0</v>
      </c>
      <c r="AI89" s="52">
        <v>0</v>
      </c>
      <c r="AJ89" s="52">
        <v>0</v>
      </c>
      <c r="AK89" s="52">
        <v>57377</v>
      </c>
      <c r="AL89" s="52">
        <v>14767</v>
      </c>
      <c r="AM89" s="52">
        <v>27</v>
      </c>
      <c r="AN89" s="52">
        <v>0</v>
      </c>
      <c r="AO89" s="52">
        <v>0</v>
      </c>
      <c r="AP89" s="52">
        <v>0</v>
      </c>
      <c r="AQ89" s="52">
        <v>0</v>
      </c>
      <c r="AR89" s="52">
        <v>0</v>
      </c>
      <c r="AS89" s="52">
        <v>17770</v>
      </c>
      <c r="AT89" s="52">
        <v>0</v>
      </c>
      <c r="AU89" s="52">
        <v>12531</v>
      </c>
      <c r="AV89" s="52">
        <v>0</v>
      </c>
      <c r="AW89" s="52">
        <v>0</v>
      </c>
      <c r="AX89" s="52">
        <v>0</v>
      </c>
      <c r="AY89" s="52">
        <v>0</v>
      </c>
      <c r="AZ89" s="52">
        <v>0</v>
      </c>
      <c r="BA89" s="52">
        <v>0</v>
      </c>
      <c r="BB89" s="52">
        <v>0</v>
      </c>
      <c r="BC89" s="52">
        <v>0</v>
      </c>
      <c r="BD89" s="52">
        <v>0</v>
      </c>
      <c r="BE89" s="52">
        <v>0</v>
      </c>
      <c r="BF89" s="52">
        <v>0</v>
      </c>
      <c r="BG89" s="52">
        <v>0</v>
      </c>
      <c r="BH89" s="52">
        <v>53</v>
      </c>
      <c r="BI89" s="52">
        <v>0</v>
      </c>
      <c r="BJ89" s="52">
        <v>205</v>
      </c>
      <c r="BK89" s="52">
        <v>0</v>
      </c>
      <c r="BL89" s="52">
        <v>0</v>
      </c>
      <c r="BM89" s="52">
        <v>1259</v>
      </c>
      <c r="BN89" s="52">
        <v>381</v>
      </c>
      <c r="BO89" s="52">
        <v>0</v>
      </c>
      <c r="BP89" s="52">
        <v>143</v>
      </c>
      <c r="BQ89" s="52">
        <v>0</v>
      </c>
      <c r="BR89" s="52">
        <v>0</v>
      </c>
      <c r="BS89" s="52">
        <v>0</v>
      </c>
      <c r="BT89" s="52">
        <v>0</v>
      </c>
      <c r="BU89" s="52">
        <v>104513</v>
      </c>
      <c r="BV89" s="52">
        <v>14249</v>
      </c>
      <c r="BW89" s="52">
        <v>0</v>
      </c>
      <c r="BX89" s="52">
        <v>0</v>
      </c>
      <c r="BY89" s="52">
        <v>0</v>
      </c>
      <c r="BZ89" s="52">
        <v>0</v>
      </c>
      <c r="CA89" s="52">
        <v>4142</v>
      </c>
      <c r="CB89" s="52">
        <v>18391</v>
      </c>
      <c r="CC89" s="52">
        <v>122904</v>
      </c>
    </row>
    <row r="90" spans="1:81" ht="8.25" customHeight="1">
      <c r="A90" s="48">
        <v>30001</v>
      </c>
      <c r="B90" s="49" t="str">
        <f>IFERROR(INDEX(SCNtoISIC!$I:$I,MATCH($A90,SCNtoISIC!$G:$G,0)),0)</f>
        <v>ISIC 30</v>
      </c>
      <c r="C90" s="50" t="str">
        <f>IFERROR(INDEX(SCNtoISIC!$K:$K,MATCH($B90,SCNtoISIC!$I:$I,0)),0)</f>
        <v>Other transport equipment</v>
      </c>
      <c r="D90" s="51" t="s">
        <v>382</v>
      </c>
      <c r="E90" s="52">
        <v>0</v>
      </c>
      <c r="F90" s="52">
        <v>0</v>
      </c>
      <c r="G90" s="52">
        <v>0</v>
      </c>
      <c r="H90" s="52">
        <v>0</v>
      </c>
      <c r="I90" s="52">
        <v>0</v>
      </c>
      <c r="J90" s="52">
        <v>0</v>
      </c>
      <c r="K90" s="52">
        <v>0</v>
      </c>
      <c r="L90" s="52">
        <v>0</v>
      </c>
      <c r="M90" s="52">
        <v>0</v>
      </c>
      <c r="N90" s="52">
        <v>0</v>
      </c>
      <c r="O90" s="52">
        <v>0</v>
      </c>
      <c r="P90" s="52">
        <v>0</v>
      </c>
      <c r="Q90" s="52">
        <v>0</v>
      </c>
      <c r="R90" s="52">
        <v>0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2">
        <v>0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2">
        <v>0</v>
      </c>
      <c r="AG90" s="52">
        <v>0</v>
      </c>
      <c r="AH90" s="52">
        <v>0</v>
      </c>
      <c r="AI90" s="52">
        <v>0</v>
      </c>
      <c r="AJ90" s="52">
        <v>0</v>
      </c>
      <c r="AK90" s="52">
        <v>0</v>
      </c>
      <c r="AL90" s="52">
        <v>0</v>
      </c>
      <c r="AM90" s="52">
        <v>13307</v>
      </c>
      <c r="AN90" s="52">
        <v>0</v>
      </c>
      <c r="AO90" s="52">
        <v>1703</v>
      </c>
      <c r="AP90" s="52">
        <v>0</v>
      </c>
      <c r="AQ90" s="52">
        <v>0</v>
      </c>
      <c r="AR90" s="52">
        <v>0</v>
      </c>
      <c r="AS90" s="52">
        <v>170</v>
      </c>
      <c r="AT90" s="52">
        <v>0</v>
      </c>
      <c r="AU90" s="52">
        <v>1275</v>
      </c>
      <c r="AV90" s="52">
        <v>0</v>
      </c>
      <c r="AW90" s="52">
        <v>0</v>
      </c>
      <c r="AX90" s="52">
        <v>0</v>
      </c>
      <c r="AY90" s="52">
        <v>0</v>
      </c>
      <c r="AZ90" s="52">
        <v>0</v>
      </c>
      <c r="BA90" s="52">
        <v>0</v>
      </c>
      <c r="BB90" s="52">
        <v>0</v>
      </c>
      <c r="BC90" s="52">
        <v>0</v>
      </c>
      <c r="BD90" s="52">
        <v>0</v>
      </c>
      <c r="BE90" s="52">
        <v>0</v>
      </c>
      <c r="BF90" s="52">
        <v>0</v>
      </c>
      <c r="BG90" s="52">
        <v>0</v>
      </c>
      <c r="BH90" s="52">
        <v>0</v>
      </c>
      <c r="BI90" s="52">
        <v>0</v>
      </c>
      <c r="BJ90" s="52">
        <v>0</v>
      </c>
      <c r="BK90" s="52">
        <v>0</v>
      </c>
      <c r="BL90" s="52">
        <v>0</v>
      </c>
      <c r="BM90" s="52">
        <v>226</v>
      </c>
      <c r="BN90" s="52">
        <v>1</v>
      </c>
      <c r="BO90" s="52">
        <v>0</v>
      </c>
      <c r="BP90" s="52">
        <v>0</v>
      </c>
      <c r="BQ90" s="52">
        <v>0</v>
      </c>
      <c r="BR90" s="52">
        <v>0</v>
      </c>
      <c r="BS90" s="52">
        <v>88</v>
      </c>
      <c r="BT90" s="52">
        <v>0</v>
      </c>
      <c r="BU90" s="52">
        <v>16770</v>
      </c>
      <c r="BV90" s="52">
        <v>14790</v>
      </c>
      <c r="BW90" s="52">
        <v>0</v>
      </c>
      <c r="BX90" s="52">
        <v>0</v>
      </c>
      <c r="BY90" s="52">
        <v>17816</v>
      </c>
      <c r="BZ90" s="52">
        <v>14234</v>
      </c>
      <c r="CA90" s="52">
        <v>2696</v>
      </c>
      <c r="CB90" s="52">
        <v>49536</v>
      </c>
      <c r="CC90" s="52">
        <v>66306</v>
      </c>
    </row>
    <row r="91" spans="1:81" ht="8.25" customHeight="1">
      <c r="A91" s="48">
        <v>31801</v>
      </c>
      <c r="B91" s="49" t="str">
        <f>IFERROR(INDEX(SCNtoISIC!$I:$I,MATCH($A91,SCNtoISIC!$G:$G,0)),0)</f>
        <v>ISIC 30</v>
      </c>
      <c r="C91" s="50" t="str">
        <f>IFERROR(INDEX(SCNtoISIC!$K:$K,MATCH($B91,SCNtoISIC!$I:$I,0)),0)</f>
        <v>Other transport equipment</v>
      </c>
      <c r="D91" s="51" t="s">
        <v>384</v>
      </c>
      <c r="E91" s="52">
        <v>0</v>
      </c>
      <c r="F91" s="52">
        <v>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  <c r="Q91" s="52">
        <v>0</v>
      </c>
      <c r="R91" s="52">
        <v>0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2">
        <v>0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2">
        <v>0</v>
      </c>
      <c r="AG91" s="52">
        <v>0</v>
      </c>
      <c r="AH91" s="52">
        <v>0</v>
      </c>
      <c r="AI91" s="52">
        <v>0</v>
      </c>
      <c r="AJ91" s="52">
        <v>0</v>
      </c>
      <c r="AK91" s="52">
        <v>0</v>
      </c>
      <c r="AL91" s="52">
        <v>643</v>
      </c>
      <c r="AM91" s="52">
        <v>0</v>
      </c>
      <c r="AN91" s="52">
        <v>2829</v>
      </c>
      <c r="AO91" s="52">
        <v>0</v>
      </c>
      <c r="AP91" s="52">
        <v>0</v>
      </c>
      <c r="AQ91" s="52">
        <v>0</v>
      </c>
      <c r="AR91" s="52">
        <v>1</v>
      </c>
      <c r="AS91" s="52">
        <v>15</v>
      </c>
      <c r="AT91" s="52">
        <v>104</v>
      </c>
      <c r="AU91" s="52">
        <v>0</v>
      </c>
      <c r="AV91" s="52">
        <v>0</v>
      </c>
      <c r="AW91" s="52">
        <v>0</v>
      </c>
      <c r="AX91" s="52">
        <v>42</v>
      </c>
      <c r="AY91" s="52">
        <v>0</v>
      </c>
      <c r="AZ91" s="52">
        <v>0</v>
      </c>
      <c r="BA91" s="52">
        <v>0</v>
      </c>
      <c r="BB91" s="52">
        <v>0</v>
      </c>
      <c r="BC91" s="52">
        <v>0</v>
      </c>
      <c r="BD91" s="52">
        <v>0</v>
      </c>
      <c r="BE91" s="52">
        <v>0</v>
      </c>
      <c r="BF91" s="52">
        <v>0</v>
      </c>
      <c r="BG91" s="52">
        <v>0</v>
      </c>
      <c r="BH91" s="52">
        <v>0</v>
      </c>
      <c r="BI91" s="52">
        <v>0</v>
      </c>
      <c r="BJ91" s="52">
        <v>0</v>
      </c>
      <c r="BK91" s="52">
        <v>0</v>
      </c>
      <c r="BL91" s="52">
        <v>0</v>
      </c>
      <c r="BM91" s="52">
        <v>146</v>
      </c>
      <c r="BN91" s="52">
        <v>104</v>
      </c>
      <c r="BO91" s="52">
        <v>0</v>
      </c>
      <c r="BP91" s="52">
        <v>42</v>
      </c>
      <c r="BQ91" s="52">
        <v>24</v>
      </c>
      <c r="BR91" s="52">
        <v>13</v>
      </c>
      <c r="BS91" s="52">
        <v>0</v>
      </c>
      <c r="BT91" s="52">
        <v>0</v>
      </c>
      <c r="BU91" s="52">
        <v>3963</v>
      </c>
      <c r="BV91" s="52">
        <v>1397</v>
      </c>
      <c r="BW91" s="52">
        <v>0</v>
      </c>
      <c r="BX91" s="52">
        <v>0</v>
      </c>
      <c r="BY91" s="52">
        <v>48514</v>
      </c>
      <c r="BZ91" s="52">
        <v>13061</v>
      </c>
      <c r="CA91" s="52">
        <v>3365</v>
      </c>
      <c r="CB91" s="52">
        <v>66337</v>
      </c>
      <c r="CC91" s="52">
        <v>70300</v>
      </c>
    </row>
    <row r="92" spans="1:81" ht="8.25" customHeight="1">
      <c r="A92" s="53">
        <v>31802</v>
      </c>
      <c r="B92" s="49" t="str">
        <f>IFERROR(INDEX(SCNtoISIC!$I:$I,MATCH($A92,SCNtoISIC!$G:$G,0)),0)</f>
        <v>ISIC 30</v>
      </c>
      <c r="C92" s="50" t="str">
        <f>IFERROR(INDEX(SCNtoISIC!$K:$K,MATCH($B92,SCNtoISIC!$I:$I,0)),0)</f>
        <v>Other transport equipment</v>
      </c>
      <c r="D92" s="54" t="s">
        <v>385</v>
      </c>
      <c r="E92" s="32">
        <v>8</v>
      </c>
      <c r="F92" s="32">
        <v>2</v>
      </c>
      <c r="G92" s="32">
        <v>17</v>
      </c>
      <c r="H92" s="32">
        <v>0</v>
      </c>
      <c r="I92" s="32">
        <v>58</v>
      </c>
      <c r="J92" s="32">
        <v>35</v>
      </c>
      <c r="K92" s="32">
        <v>6</v>
      </c>
      <c r="L92" s="32">
        <v>14</v>
      </c>
      <c r="M92" s="32">
        <v>10</v>
      </c>
      <c r="N92" s="32">
        <v>26</v>
      </c>
      <c r="O92" s="32">
        <v>9</v>
      </c>
      <c r="P92" s="32">
        <v>0</v>
      </c>
      <c r="Q92" s="32">
        <v>15</v>
      </c>
      <c r="R92" s="32">
        <v>2498</v>
      </c>
      <c r="S92" s="32">
        <v>418</v>
      </c>
      <c r="T92" s="32">
        <v>12</v>
      </c>
      <c r="U92" s="32">
        <v>2</v>
      </c>
      <c r="V92" s="32">
        <v>0</v>
      </c>
      <c r="W92" s="32">
        <v>5</v>
      </c>
      <c r="X92" s="32">
        <v>2</v>
      </c>
      <c r="Y92" s="32">
        <v>146</v>
      </c>
      <c r="Z92" s="32">
        <v>64</v>
      </c>
      <c r="AA92" s="32">
        <v>0</v>
      </c>
      <c r="AB92" s="32">
        <v>78</v>
      </c>
      <c r="AC92" s="32">
        <v>2</v>
      </c>
      <c r="AD92" s="32">
        <v>223</v>
      </c>
      <c r="AE92" s="32">
        <v>11</v>
      </c>
      <c r="AF92" s="32">
        <v>1</v>
      </c>
      <c r="AG92" s="32">
        <v>5</v>
      </c>
      <c r="AH92" s="32">
        <v>36</v>
      </c>
      <c r="AI92" s="32">
        <v>3</v>
      </c>
      <c r="AJ92" s="32">
        <v>880</v>
      </c>
      <c r="AK92" s="32">
        <v>578</v>
      </c>
      <c r="AL92" s="32">
        <v>47</v>
      </c>
      <c r="AM92" s="32">
        <v>10</v>
      </c>
      <c r="AN92" s="32">
        <v>1095</v>
      </c>
      <c r="AO92" s="32">
        <v>168</v>
      </c>
      <c r="AP92" s="32">
        <v>86</v>
      </c>
      <c r="AQ92" s="32">
        <v>52</v>
      </c>
      <c r="AR92" s="32">
        <v>1413</v>
      </c>
      <c r="AS92" s="32">
        <v>34</v>
      </c>
      <c r="AT92" s="32">
        <v>489</v>
      </c>
      <c r="AU92" s="32">
        <v>155</v>
      </c>
      <c r="AV92" s="32">
        <v>166</v>
      </c>
      <c r="AW92" s="32">
        <v>2</v>
      </c>
      <c r="AX92" s="32">
        <v>192</v>
      </c>
      <c r="AY92" s="32">
        <v>5</v>
      </c>
      <c r="AZ92" s="32">
        <v>9</v>
      </c>
      <c r="BA92" s="32">
        <v>2</v>
      </c>
      <c r="BB92" s="32">
        <v>92</v>
      </c>
      <c r="BC92" s="32">
        <v>3</v>
      </c>
      <c r="BD92" s="32">
        <v>124</v>
      </c>
      <c r="BE92" s="32">
        <v>417</v>
      </c>
      <c r="BF92" s="32">
        <v>193</v>
      </c>
      <c r="BG92" s="32">
        <v>379</v>
      </c>
      <c r="BH92" s="32">
        <v>716</v>
      </c>
      <c r="BI92" s="32">
        <v>479</v>
      </c>
      <c r="BJ92" s="32">
        <v>826</v>
      </c>
      <c r="BK92" s="32">
        <v>318</v>
      </c>
      <c r="BL92" s="32">
        <v>28</v>
      </c>
      <c r="BM92" s="32">
        <v>1318</v>
      </c>
      <c r="BN92" s="32">
        <v>1340</v>
      </c>
      <c r="BO92" s="32">
        <v>43</v>
      </c>
      <c r="BP92" s="32">
        <v>3140</v>
      </c>
      <c r="BQ92" s="32">
        <v>13539</v>
      </c>
      <c r="BR92" s="32">
        <v>264</v>
      </c>
      <c r="BS92" s="32">
        <v>171</v>
      </c>
      <c r="BT92" s="32">
        <v>0</v>
      </c>
      <c r="BU92" s="32">
        <v>32479</v>
      </c>
      <c r="BV92" s="32">
        <v>1992</v>
      </c>
      <c r="BW92" s="32">
        <v>0</v>
      </c>
      <c r="BX92" s="32">
        <v>0</v>
      </c>
      <c r="BY92" s="32">
        <v>30491</v>
      </c>
      <c r="BZ92" s="32">
        <v>7327</v>
      </c>
      <c r="CA92" s="32">
        <v>3850</v>
      </c>
      <c r="CB92" s="32">
        <v>43660</v>
      </c>
      <c r="CC92" s="32">
        <v>76139</v>
      </c>
    </row>
    <row r="93" spans="1:81" ht="8.25" customHeight="1">
      <c r="A93" s="53">
        <v>33001</v>
      </c>
      <c r="B93" s="49" t="str">
        <f>IFERROR(INDEX(SCNtoISIC!$I:$I,MATCH($A93,SCNtoISIC!$G:$G,0)),0)</f>
        <v>ISIC 31T33</v>
      </c>
      <c r="C93" s="50" t="str">
        <f>IFERROR(INDEX(SCNtoISIC!$K:$K,MATCH($B93,SCNtoISIC!$I:$I,0)),0)</f>
        <v>Other manufacturing; repair and installation of machinery and equipment</v>
      </c>
      <c r="D93" s="54" t="s">
        <v>251</v>
      </c>
      <c r="E93" s="32">
        <v>78</v>
      </c>
      <c r="F93" s="32">
        <v>33</v>
      </c>
      <c r="G93" s="32">
        <v>138</v>
      </c>
      <c r="H93" s="32">
        <v>918</v>
      </c>
      <c r="I93" s="32">
        <v>2088</v>
      </c>
      <c r="J93" s="32">
        <v>1176</v>
      </c>
      <c r="K93" s="32">
        <v>744</v>
      </c>
      <c r="L93" s="32">
        <v>950</v>
      </c>
      <c r="M93" s="32">
        <v>714</v>
      </c>
      <c r="N93" s="32">
        <v>577</v>
      </c>
      <c r="O93" s="32">
        <v>387</v>
      </c>
      <c r="P93" s="32">
        <v>17</v>
      </c>
      <c r="Q93" s="32">
        <v>304</v>
      </c>
      <c r="R93" s="32">
        <v>540</v>
      </c>
      <c r="S93" s="32">
        <v>174</v>
      </c>
      <c r="T93" s="32">
        <v>464</v>
      </c>
      <c r="U93" s="32">
        <v>2454</v>
      </c>
      <c r="V93" s="32">
        <v>1461</v>
      </c>
      <c r="W93" s="32">
        <v>436</v>
      </c>
      <c r="X93" s="32">
        <v>435</v>
      </c>
      <c r="Y93" s="32">
        <v>1205</v>
      </c>
      <c r="Z93" s="32">
        <v>610</v>
      </c>
      <c r="AA93" s="32">
        <v>163</v>
      </c>
      <c r="AB93" s="32">
        <v>611</v>
      </c>
      <c r="AC93" s="32">
        <v>567</v>
      </c>
      <c r="AD93" s="32">
        <v>2800</v>
      </c>
      <c r="AE93" s="32">
        <v>7862</v>
      </c>
      <c r="AF93" s="32">
        <v>1911</v>
      </c>
      <c r="AG93" s="32">
        <v>767</v>
      </c>
      <c r="AH93" s="32">
        <v>81</v>
      </c>
      <c r="AI93" s="32">
        <v>508</v>
      </c>
      <c r="AJ93" s="32">
        <v>1688</v>
      </c>
      <c r="AK93" s="32">
        <v>225</v>
      </c>
      <c r="AL93" s="32">
        <v>766</v>
      </c>
      <c r="AM93" s="32">
        <v>321</v>
      </c>
      <c r="AN93" s="32">
        <v>734</v>
      </c>
      <c r="AO93" s="32">
        <v>719</v>
      </c>
      <c r="AP93" s="32">
        <v>1443</v>
      </c>
      <c r="AQ93" s="32">
        <v>1024</v>
      </c>
      <c r="AR93" s="32">
        <v>2709</v>
      </c>
      <c r="AS93" s="32">
        <v>809</v>
      </c>
      <c r="AT93" s="32">
        <v>4046</v>
      </c>
      <c r="AU93" s="32">
        <v>570</v>
      </c>
      <c r="AV93" s="32">
        <v>601</v>
      </c>
      <c r="AW93" s="32">
        <v>267</v>
      </c>
      <c r="AX93" s="32">
        <v>2875</v>
      </c>
      <c r="AY93" s="32">
        <v>7</v>
      </c>
      <c r="AZ93" s="32">
        <v>264</v>
      </c>
      <c r="BA93" s="32">
        <v>815</v>
      </c>
      <c r="BB93" s="32">
        <v>148</v>
      </c>
      <c r="BC93" s="32">
        <v>856</v>
      </c>
      <c r="BD93" s="32">
        <v>777</v>
      </c>
      <c r="BE93" s="32">
        <v>333</v>
      </c>
      <c r="BF93" s="32">
        <v>107</v>
      </c>
      <c r="BG93" s="32">
        <v>844</v>
      </c>
      <c r="BH93" s="32">
        <v>249</v>
      </c>
      <c r="BI93" s="32">
        <v>154</v>
      </c>
      <c r="BJ93" s="32">
        <v>946</v>
      </c>
      <c r="BK93" s="32">
        <v>966</v>
      </c>
      <c r="BL93" s="32">
        <v>218</v>
      </c>
      <c r="BM93" s="32">
        <v>1010</v>
      </c>
      <c r="BN93" s="32">
        <v>124</v>
      </c>
      <c r="BO93" s="32">
        <v>0</v>
      </c>
      <c r="BP93" s="32">
        <v>896</v>
      </c>
      <c r="BQ93" s="32">
        <v>442</v>
      </c>
      <c r="BR93" s="32">
        <v>497</v>
      </c>
      <c r="BS93" s="32">
        <v>525</v>
      </c>
      <c r="BT93" s="32">
        <v>0</v>
      </c>
      <c r="BU93" s="32">
        <v>60148</v>
      </c>
      <c r="BV93" s="32">
        <v>2650</v>
      </c>
      <c r="BW93" s="32">
        <v>0</v>
      </c>
      <c r="BX93" s="32">
        <v>0</v>
      </c>
      <c r="BY93" s="32">
        <v>139</v>
      </c>
      <c r="BZ93" s="32">
        <v>8110</v>
      </c>
      <c r="CA93" s="32">
        <v>0</v>
      </c>
      <c r="CB93" s="32">
        <v>10899</v>
      </c>
      <c r="CC93" s="32">
        <v>71047</v>
      </c>
    </row>
    <row r="94" spans="1:81" ht="8.25" customHeight="1">
      <c r="A94" s="53">
        <v>35001</v>
      </c>
      <c r="B94" s="49" t="str">
        <f>IFERROR(INDEX(SCNtoISIC!$I:$I,MATCH($A94,SCNtoISIC!$G:$G,0)),0)</f>
        <v>ISIC 352T353</v>
      </c>
      <c r="C94" s="50" t="str">
        <f>IFERROR(INDEX(SCNtoISIC!$K:$K,MATCH($B94,SCNtoISIC!$I:$I,0)),0)</f>
        <v>Electricity generation and distribution</v>
      </c>
      <c r="D94" s="54" t="s">
        <v>387</v>
      </c>
      <c r="E94" s="32">
        <v>5582</v>
      </c>
      <c r="F94" s="32">
        <v>3573</v>
      </c>
      <c r="G94" s="32">
        <v>327</v>
      </c>
      <c r="H94" s="32">
        <v>602</v>
      </c>
      <c r="I94" s="32">
        <v>151</v>
      </c>
      <c r="J94" s="32">
        <v>840</v>
      </c>
      <c r="K94" s="32">
        <v>252</v>
      </c>
      <c r="L94" s="32">
        <v>1103</v>
      </c>
      <c r="M94" s="32">
        <v>65</v>
      </c>
      <c r="N94" s="32">
        <v>2388</v>
      </c>
      <c r="O94" s="32">
        <v>536</v>
      </c>
      <c r="P94" s="32">
        <v>58</v>
      </c>
      <c r="Q94" s="32">
        <v>1324</v>
      </c>
      <c r="R94" s="32">
        <v>190</v>
      </c>
      <c r="S94" s="32">
        <v>240</v>
      </c>
      <c r="T94" s="32">
        <v>626</v>
      </c>
      <c r="U94" s="32">
        <v>1879</v>
      </c>
      <c r="V94" s="32">
        <v>141</v>
      </c>
      <c r="W94" s="32">
        <v>74</v>
      </c>
      <c r="X94" s="32">
        <v>82</v>
      </c>
      <c r="Y94" s="32">
        <v>3807</v>
      </c>
      <c r="Z94" s="32">
        <v>537</v>
      </c>
      <c r="AA94" s="32">
        <v>166</v>
      </c>
      <c r="AB94" s="32">
        <v>220</v>
      </c>
      <c r="AC94" s="32">
        <v>1806</v>
      </c>
      <c r="AD94" s="32">
        <v>3606</v>
      </c>
      <c r="AE94" s="32">
        <v>2930</v>
      </c>
      <c r="AF94" s="32">
        <v>2052</v>
      </c>
      <c r="AG94" s="32">
        <v>1147</v>
      </c>
      <c r="AH94" s="32">
        <v>134</v>
      </c>
      <c r="AI94" s="32">
        <v>532</v>
      </c>
      <c r="AJ94" s="32">
        <v>586</v>
      </c>
      <c r="AK94" s="32">
        <v>513</v>
      </c>
      <c r="AL94" s="32">
        <v>1224</v>
      </c>
      <c r="AM94" s="32">
        <v>245</v>
      </c>
      <c r="AN94" s="32">
        <v>327</v>
      </c>
      <c r="AO94" s="32">
        <v>164</v>
      </c>
      <c r="AP94" s="32">
        <v>63265</v>
      </c>
      <c r="AQ94" s="32">
        <v>2495</v>
      </c>
      <c r="AR94" s="32">
        <v>567</v>
      </c>
      <c r="AS94" s="32">
        <v>1255</v>
      </c>
      <c r="AT94" s="32">
        <v>13748</v>
      </c>
      <c r="AU94" s="32">
        <v>1203</v>
      </c>
      <c r="AV94" s="32">
        <v>43</v>
      </c>
      <c r="AW94" s="32">
        <v>27</v>
      </c>
      <c r="AX94" s="32">
        <v>829</v>
      </c>
      <c r="AY94" s="32">
        <v>952</v>
      </c>
      <c r="AZ94" s="32">
        <v>1335</v>
      </c>
      <c r="BA94" s="32">
        <v>159</v>
      </c>
      <c r="BB94" s="32">
        <v>341</v>
      </c>
      <c r="BC94" s="32">
        <v>1753</v>
      </c>
      <c r="BD94" s="32">
        <v>377</v>
      </c>
      <c r="BE94" s="32">
        <v>1964</v>
      </c>
      <c r="BF94" s="32">
        <v>383</v>
      </c>
      <c r="BG94" s="32">
        <v>778</v>
      </c>
      <c r="BH94" s="32">
        <v>267</v>
      </c>
      <c r="BI94" s="32">
        <v>165</v>
      </c>
      <c r="BJ94" s="32">
        <v>117</v>
      </c>
      <c r="BK94" s="32">
        <v>4851</v>
      </c>
      <c r="BL94" s="32">
        <v>63</v>
      </c>
      <c r="BM94" s="32">
        <v>5165</v>
      </c>
      <c r="BN94" s="32">
        <v>1533</v>
      </c>
      <c r="BO94" s="32">
        <v>1658</v>
      </c>
      <c r="BP94" s="32">
        <v>1008</v>
      </c>
      <c r="BQ94" s="32">
        <v>1101</v>
      </c>
      <c r="BR94" s="32">
        <v>681</v>
      </c>
      <c r="BS94" s="32">
        <v>2803</v>
      </c>
      <c r="BT94" s="32">
        <v>0</v>
      </c>
      <c r="BU94" s="32">
        <v>150915</v>
      </c>
      <c r="BV94" s="32">
        <v>733</v>
      </c>
      <c r="BW94" s="32">
        <v>0</v>
      </c>
      <c r="BX94" s="32">
        <v>0</v>
      </c>
      <c r="BY94" s="32">
        <v>68578</v>
      </c>
      <c r="BZ94" s="32">
        <v>0</v>
      </c>
      <c r="CA94" s="32">
        <v>0</v>
      </c>
      <c r="CB94" s="32">
        <v>69311</v>
      </c>
      <c r="CC94" s="32">
        <v>220226</v>
      </c>
    </row>
    <row r="95" spans="1:81" ht="8.25" customHeight="1">
      <c r="A95" s="53">
        <v>36801</v>
      </c>
      <c r="B95" s="49" t="str">
        <f>IFERROR(INDEX(SCNtoISIC!$I:$I,MATCH($A95,SCNtoISIC!$G:$G,0)),0)</f>
        <v>ISIC 36T39</v>
      </c>
      <c r="C95" s="50" t="str">
        <f>IFERROR(INDEX(SCNtoISIC!$K:$K,MATCH($B95,SCNtoISIC!$I:$I,0)),0)</f>
        <v>Water and waste</v>
      </c>
      <c r="D95" s="54" t="s">
        <v>390</v>
      </c>
      <c r="E95" s="32">
        <v>3</v>
      </c>
      <c r="F95" s="32">
        <v>1</v>
      </c>
      <c r="G95" s="32">
        <v>1</v>
      </c>
      <c r="H95" s="32">
        <v>26</v>
      </c>
      <c r="I95" s="32">
        <v>22</v>
      </c>
      <c r="J95" s="32">
        <v>119</v>
      </c>
      <c r="K95" s="32">
        <v>41</v>
      </c>
      <c r="L95" s="32">
        <v>108</v>
      </c>
      <c r="M95" s="32">
        <v>57</v>
      </c>
      <c r="N95" s="32">
        <v>230</v>
      </c>
      <c r="O95" s="32">
        <v>333</v>
      </c>
      <c r="P95" s="32">
        <v>1</v>
      </c>
      <c r="Q95" s="32">
        <v>57</v>
      </c>
      <c r="R95" s="32">
        <v>28</v>
      </c>
      <c r="S95" s="32">
        <v>20</v>
      </c>
      <c r="T95" s="32">
        <v>140</v>
      </c>
      <c r="U95" s="32">
        <v>267</v>
      </c>
      <c r="V95" s="32">
        <v>9</v>
      </c>
      <c r="W95" s="32">
        <v>187</v>
      </c>
      <c r="X95" s="32">
        <v>14</v>
      </c>
      <c r="Y95" s="32">
        <v>437</v>
      </c>
      <c r="Z95" s="32">
        <v>265</v>
      </c>
      <c r="AA95" s="32">
        <v>96</v>
      </c>
      <c r="AB95" s="32">
        <v>55</v>
      </c>
      <c r="AC95" s="32">
        <v>447</v>
      </c>
      <c r="AD95" s="32">
        <v>619</v>
      </c>
      <c r="AE95" s="32">
        <v>3245</v>
      </c>
      <c r="AF95" s="32">
        <v>1681</v>
      </c>
      <c r="AG95" s="32">
        <v>144</v>
      </c>
      <c r="AH95" s="32">
        <v>26</v>
      </c>
      <c r="AI95" s="32">
        <v>52</v>
      </c>
      <c r="AJ95" s="32">
        <v>86</v>
      </c>
      <c r="AK95" s="32">
        <v>98</v>
      </c>
      <c r="AL95" s="32">
        <v>267</v>
      </c>
      <c r="AM95" s="32">
        <v>117</v>
      </c>
      <c r="AN95" s="32">
        <v>60</v>
      </c>
      <c r="AO95" s="32">
        <v>20</v>
      </c>
      <c r="AP95" s="32">
        <v>54</v>
      </c>
      <c r="AQ95" s="32">
        <v>519</v>
      </c>
      <c r="AR95" s="32">
        <v>277</v>
      </c>
      <c r="AS95" s="32">
        <v>329</v>
      </c>
      <c r="AT95" s="32">
        <v>2597</v>
      </c>
      <c r="AU95" s="32">
        <v>235</v>
      </c>
      <c r="AV95" s="32">
        <v>9</v>
      </c>
      <c r="AW95" s="32">
        <v>5</v>
      </c>
      <c r="AX95" s="32">
        <v>474</v>
      </c>
      <c r="AY95" s="32">
        <v>249</v>
      </c>
      <c r="AZ95" s="32">
        <v>814</v>
      </c>
      <c r="BA95" s="32">
        <v>35</v>
      </c>
      <c r="BB95" s="32">
        <v>45</v>
      </c>
      <c r="BC95" s="32">
        <v>41</v>
      </c>
      <c r="BD95" s="32">
        <v>69</v>
      </c>
      <c r="BE95" s="32">
        <v>352</v>
      </c>
      <c r="BF95" s="32">
        <v>248</v>
      </c>
      <c r="BG95" s="32">
        <v>365</v>
      </c>
      <c r="BH95" s="32">
        <v>63</v>
      </c>
      <c r="BI95" s="32">
        <v>26</v>
      </c>
      <c r="BJ95" s="32">
        <v>38</v>
      </c>
      <c r="BK95" s="32">
        <v>3602</v>
      </c>
      <c r="BL95" s="32">
        <v>24</v>
      </c>
      <c r="BM95" s="32">
        <v>9258</v>
      </c>
      <c r="BN95" s="32">
        <v>1180</v>
      </c>
      <c r="BO95" s="32">
        <v>161</v>
      </c>
      <c r="BP95" s="32">
        <v>1204</v>
      </c>
      <c r="BQ95" s="32">
        <v>1044</v>
      </c>
      <c r="BR95" s="32">
        <v>80</v>
      </c>
      <c r="BS95" s="32">
        <v>1516</v>
      </c>
      <c r="BT95" s="32">
        <v>0</v>
      </c>
      <c r="BU95" s="32">
        <v>34292</v>
      </c>
      <c r="BV95" s="32">
        <v>20</v>
      </c>
      <c r="BW95" s="32">
        <v>0</v>
      </c>
      <c r="BX95" s="32">
        <v>0</v>
      </c>
      <c r="BY95" s="32">
        <v>21860</v>
      </c>
      <c r="BZ95" s="32">
        <v>0</v>
      </c>
      <c r="CA95" s="32">
        <v>127</v>
      </c>
      <c r="CB95" s="32">
        <v>22007</v>
      </c>
      <c r="CC95" s="32">
        <v>56299</v>
      </c>
    </row>
    <row r="96" spans="1:81" ht="8.25" customHeight="1">
      <c r="A96" s="53">
        <v>41801</v>
      </c>
      <c r="B96" s="49" t="str">
        <f>IFERROR(INDEX(SCNtoISIC!$I:$I,MATCH($A96,SCNtoISIC!$G:$G,0)),0)</f>
        <v>ISIC 41T43</v>
      </c>
      <c r="C96" s="50" t="str">
        <f>IFERROR(INDEX(SCNtoISIC!$K:$K,MATCH($B96,SCNtoISIC!$I:$I,0)),0)</f>
        <v>Construction</v>
      </c>
      <c r="D96" s="54" t="s">
        <v>392</v>
      </c>
      <c r="E96" s="32">
        <v>15</v>
      </c>
      <c r="F96" s="32">
        <v>31</v>
      </c>
      <c r="G96" s="32">
        <v>2</v>
      </c>
      <c r="H96" s="32">
        <v>1</v>
      </c>
      <c r="I96" s="32">
        <v>214</v>
      </c>
      <c r="J96" s="32">
        <v>174</v>
      </c>
      <c r="K96" s="32">
        <v>31</v>
      </c>
      <c r="L96" s="32">
        <v>0</v>
      </c>
      <c r="M96" s="32">
        <v>0</v>
      </c>
      <c r="N96" s="32">
        <v>6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8</v>
      </c>
      <c r="V96" s="32">
        <v>0</v>
      </c>
      <c r="W96" s="32">
        <v>0</v>
      </c>
      <c r="X96" s="32">
        <v>15</v>
      </c>
      <c r="Y96" s="32">
        <v>56</v>
      </c>
      <c r="Z96" s="32">
        <v>0</v>
      </c>
      <c r="AA96" s="32">
        <v>0</v>
      </c>
      <c r="AB96" s="32">
        <v>0</v>
      </c>
      <c r="AC96" s="32">
        <v>0</v>
      </c>
      <c r="AD96" s="32">
        <v>4</v>
      </c>
      <c r="AE96" s="32">
        <v>17</v>
      </c>
      <c r="AF96" s="32">
        <v>11</v>
      </c>
      <c r="AG96" s="32">
        <v>34</v>
      </c>
      <c r="AH96" s="32">
        <v>60</v>
      </c>
      <c r="AI96" s="32">
        <v>3</v>
      </c>
      <c r="AJ96" s="32">
        <v>53</v>
      </c>
      <c r="AK96" s="32">
        <v>249</v>
      </c>
      <c r="AL96" s="32">
        <v>19</v>
      </c>
      <c r="AM96" s="32">
        <v>239</v>
      </c>
      <c r="AN96" s="32">
        <v>10</v>
      </c>
      <c r="AO96" s="32">
        <v>0</v>
      </c>
      <c r="AP96" s="32">
        <v>0</v>
      </c>
      <c r="AQ96" s="32">
        <v>0</v>
      </c>
      <c r="AR96" s="32">
        <v>27011</v>
      </c>
      <c r="AS96" s="32">
        <v>507</v>
      </c>
      <c r="AT96" s="32">
        <v>483</v>
      </c>
      <c r="AU96" s="32">
        <v>18</v>
      </c>
      <c r="AV96" s="32">
        <v>5</v>
      </c>
      <c r="AW96" s="32">
        <v>2</v>
      </c>
      <c r="AX96" s="32">
        <v>231</v>
      </c>
      <c r="AY96" s="32">
        <v>196</v>
      </c>
      <c r="AZ96" s="32">
        <v>0</v>
      </c>
      <c r="BA96" s="32">
        <v>11</v>
      </c>
      <c r="BB96" s="32">
        <v>230</v>
      </c>
      <c r="BC96" s="32">
        <v>2</v>
      </c>
      <c r="BD96" s="32">
        <v>697</v>
      </c>
      <c r="BE96" s="32">
        <v>350</v>
      </c>
      <c r="BF96" s="32">
        <v>477</v>
      </c>
      <c r="BG96" s="32">
        <v>45</v>
      </c>
      <c r="BH96" s="32">
        <v>157</v>
      </c>
      <c r="BI96" s="32">
        <v>0</v>
      </c>
      <c r="BJ96" s="32">
        <v>156</v>
      </c>
      <c r="BK96" s="32">
        <v>1716</v>
      </c>
      <c r="BL96" s="32">
        <v>0</v>
      </c>
      <c r="BM96" s="32">
        <v>3155</v>
      </c>
      <c r="BN96" s="32">
        <v>834</v>
      </c>
      <c r="BO96" s="32">
        <v>298</v>
      </c>
      <c r="BP96" s="32">
        <v>1241</v>
      </c>
      <c r="BQ96" s="32">
        <v>0</v>
      </c>
      <c r="BR96" s="32">
        <v>7</v>
      </c>
      <c r="BS96" s="32">
        <v>282</v>
      </c>
      <c r="BT96" s="32">
        <v>0</v>
      </c>
      <c r="BU96" s="32">
        <v>39363</v>
      </c>
      <c r="BV96" s="32">
        <v>305</v>
      </c>
      <c r="BW96" s="32">
        <v>0</v>
      </c>
      <c r="BX96" s="32">
        <v>0</v>
      </c>
      <c r="BY96" s="32">
        <v>0</v>
      </c>
      <c r="BZ96" s="32">
        <v>293268</v>
      </c>
      <c r="CA96" s="32">
        <v>0</v>
      </c>
      <c r="CB96" s="32">
        <v>293573</v>
      </c>
      <c r="CC96" s="32">
        <v>332936</v>
      </c>
    </row>
    <row r="97" spans="1:81" ht="8.25" customHeight="1">
      <c r="A97" s="48">
        <v>41802</v>
      </c>
      <c r="B97" s="49" t="str">
        <f>IFERROR(INDEX(SCNtoISIC!$I:$I,MATCH($A97,SCNtoISIC!$G:$G,0)),0)</f>
        <v>ISIC 41T43</v>
      </c>
      <c r="C97" s="50" t="str">
        <f>IFERROR(INDEX(SCNtoISIC!$K:$K,MATCH($B97,SCNtoISIC!$I:$I,0)),0)</f>
        <v>Construction</v>
      </c>
      <c r="D97" s="51" t="s">
        <v>394</v>
      </c>
      <c r="E97" s="52">
        <v>0</v>
      </c>
      <c r="F97" s="52">
        <v>0</v>
      </c>
      <c r="G97" s="52">
        <v>0</v>
      </c>
      <c r="H97" s="52">
        <v>0</v>
      </c>
      <c r="I97" s="52">
        <v>1974</v>
      </c>
      <c r="J97" s="52">
        <v>723</v>
      </c>
      <c r="K97" s="52">
        <v>128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70</v>
      </c>
      <c r="AF97" s="52">
        <v>38</v>
      </c>
      <c r="AG97" s="52">
        <v>0</v>
      </c>
      <c r="AH97" s="52">
        <v>0</v>
      </c>
      <c r="AI97" s="52">
        <v>0</v>
      </c>
      <c r="AJ97" s="52">
        <v>0</v>
      </c>
      <c r="AK97" s="52">
        <v>0</v>
      </c>
      <c r="AL97" s="52">
        <v>0</v>
      </c>
      <c r="AM97" s="52">
        <v>0</v>
      </c>
      <c r="AN97" s="52">
        <v>0</v>
      </c>
      <c r="AO97" s="52">
        <v>0</v>
      </c>
      <c r="AP97" s="52">
        <v>0</v>
      </c>
      <c r="AQ97" s="52">
        <v>3510</v>
      </c>
      <c r="AR97" s="52">
        <v>10906</v>
      </c>
      <c r="AS97" s="52">
        <v>0</v>
      </c>
      <c r="AT97" s="52">
        <v>0</v>
      </c>
      <c r="AU97" s="52">
        <v>265</v>
      </c>
      <c r="AV97" s="52">
        <v>0</v>
      </c>
      <c r="AW97" s="52">
        <v>0</v>
      </c>
      <c r="AX97" s="52">
        <v>274</v>
      </c>
      <c r="AY97" s="52">
        <v>0</v>
      </c>
      <c r="AZ97" s="52">
        <v>0</v>
      </c>
      <c r="BA97" s="52">
        <v>0</v>
      </c>
      <c r="BB97" s="52">
        <v>0</v>
      </c>
      <c r="BC97" s="52">
        <v>975</v>
      </c>
      <c r="BD97" s="52">
        <v>0</v>
      </c>
      <c r="BE97" s="52">
        <v>0</v>
      </c>
      <c r="BF97" s="52">
        <v>0</v>
      </c>
      <c r="BG97" s="52">
        <v>0</v>
      </c>
      <c r="BH97" s="52">
        <v>0</v>
      </c>
      <c r="BI97" s="52">
        <v>0</v>
      </c>
      <c r="BJ97" s="52">
        <v>0</v>
      </c>
      <c r="BK97" s="52">
        <v>0</v>
      </c>
      <c r="BL97" s="52">
        <v>0</v>
      </c>
      <c r="BM97" s="52">
        <v>7276</v>
      </c>
      <c r="BN97" s="52">
        <v>5</v>
      </c>
      <c r="BO97" s="52">
        <v>0</v>
      </c>
      <c r="BP97" s="52">
        <v>0</v>
      </c>
      <c r="BQ97" s="52">
        <v>0</v>
      </c>
      <c r="BR97" s="52">
        <v>0</v>
      </c>
      <c r="BS97" s="52">
        <v>99</v>
      </c>
      <c r="BT97" s="52">
        <v>0</v>
      </c>
      <c r="BU97" s="52">
        <v>26243</v>
      </c>
      <c r="BV97" s="52">
        <v>0</v>
      </c>
      <c r="BW97" s="52">
        <v>0</v>
      </c>
      <c r="BX97" s="52">
        <v>0</v>
      </c>
      <c r="BY97" s="52">
        <v>0</v>
      </c>
      <c r="BZ97" s="52">
        <v>139731</v>
      </c>
      <c r="CA97" s="52">
        <v>0</v>
      </c>
      <c r="CB97" s="52">
        <v>139731</v>
      </c>
      <c r="CC97" s="52">
        <v>165974</v>
      </c>
    </row>
    <row r="98" spans="1:81" ht="8.25" customHeight="1">
      <c r="A98" s="48">
        <v>41803</v>
      </c>
      <c r="B98" s="49" t="str">
        <f>IFERROR(INDEX(SCNtoISIC!$I:$I,MATCH($A98,SCNtoISIC!$G:$G,0)),0)</f>
        <v>ISIC 41T43</v>
      </c>
      <c r="C98" s="50" t="str">
        <f>IFERROR(INDEX(SCNtoISIC!$K:$K,MATCH($B98,SCNtoISIC!$I:$I,0)),0)</f>
        <v>Construction</v>
      </c>
      <c r="D98" s="51" t="s">
        <v>395</v>
      </c>
      <c r="E98" s="52">
        <v>44</v>
      </c>
      <c r="F98" s="52">
        <v>109</v>
      </c>
      <c r="G98" s="52">
        <v>5</v>
      </c>
      <c r="H98" s="52">
        <v>3</v>
      </c>
      <c r="I98" s="52">
        <v>171</v>
      </c>
      <c r="J98" s="52">
        <v>8</v>
      </c>
      <c r="K98" s="52">
        <v>109</v>
      </c>
      <c r="L98" s="52">
        <v>0</v>
      </c>
      <c r="M98" s="52">
        <v>6</v>
      </c>
      <c r="N98" s="52">
        <v>1</v>
      </c>
      <c r="O98" s="52">
        <v>0</v>
      </c>
      <c r="P98" s="52">
        <v>0</v>
      </c>
      <c r="Q98" s="52">
        <v>23</v>
      </c>
      <c r="R98" s="52">
        <v>0</v>
      </c>
      <c r="S98" s="52">
        <v>0</v>
      </c>
      <c r="T98" s="52">
        <v>0</v>
      </c>
      <c r="U98" s="52">
        <v>8</v>
      </c>
      <c r="V98" s="52">
        <v>18</v>
      </c>
      <c r="W98" s="52">
        <v>13</v>
      </c>
      <c r="X98" s="52">
        <v>0</v>
      </c>
      <c r="Y98" s="52">
        <v>0</v>
      </c>
      <c r="Z98" s="52">
        <v>2</v>
      </c>
      <c r="AA98" s="52">
        <v>0</v>
      </c>
      <c r="AB98" s="52">
        <v>0</v>
      </c>
      <c r="AC98" s="52">
        <v>0</v>
      </c>
      <c r="AD98" s="52">
        <v>20</v>
      </c>
      <c r="AE98" s="52">
        <v>14</v>
      </c>
      <c r="AF98" s="52">
        <v>1136</v>
      </c>
      <c r="AG98" s="52">
        <v>19</v>
      </c>
      <c r="AH98" s="52">
        <v>0</v>
      </c>
      <c r="AI98" s="52">
        <v>8</v>
      </c>
      <c r="AJ98" s="52">
        <v>23</v>
      </c>
      <c r="AK98" s="52">
        <v>0</v>
      </c>
      <c r="AL98" s="52">
        <v>8</v>
      </c>
      <c r="AM98" s="52">
        <v>0</v>
      </c>
      <c r="AN98" s="52">
        <v>3</v>
      </c>
      <c r="AO98" s="52">
        <v>0</v>
      </c>
      <c r="AP98" s="52">
        <v>0</v>
      </c>
      <c r="AQ98" s="52">
        <v>0</v>
      </c>
      <c r="AR98" s="52">
        <v>23742</v>
      </c>
      <c r="AS98" s="52">
        <v>15</v>
      </c>
      <c r="AT98" s="52">
        <v>34</v>
      </c>
      <c r="AU98" s="52">
        <v>8</v>
      </c>
      <c r="AV98" s="52">
        <v>0</v>
      </c>
      <c r="AW98" s="52">
        <v>0</v>
      </c>
      <c r="AX98" s="52">
        <v>553</v>
      </c>
      <c r="AY98" s="52">
        <v>34</v>
      </c>
      <c r="AZ98" s="52">
        <v>313</v>
      </c>
      <c r="BA98" s="52">
        <v>0</v>
      </c>
      <c r="BB98" s="52">
        <v>0</v>
      </c>
      <c r="BC98" s="52">
        <v>3686</v>
      </c>
      <c r="BD98" s="52">
        <v>0</v>
      </c>
      <c r="BE98" s="52">
        <v>995</v>
      </c>
      <c r="BF98" s="52">
        <v>1072</v>
      </c>
      <c r="BG98" s="52">
        <v>155</v>
      </c>
      <c r="BH98" s="52">
        <v>604</v>
      </c>
      <c r="BI98" s="52">
        <v>3</v>
      </c>
      <c r="BJ98" s="52">
        <v>2</v>
      </c>
      <c r="BK98" s="52">
        <v>711</v>
      </c>
      <c r="BL98" s="52">
        <v>7</v>
      </c>
      <c r="BM98" s="52">
        <v>1383</v>
      </c>
      <c r="BN98" s="52">
        <v>206</v>
      </c>
      <c r="BO98" s="52">
        <v>0</v>
      </c>
      <c r="BP98" s="52">
        <v>1386</v>
      </c>
      <c r="BQ98" s="52">
        <v>0</v>
      </c>
      <c r="BR98" s="52">
        <v>72</v>
      </c>
      <c r="BS98" s="52">
        <v>9</v>
      </c>
      <c r="BT98" s="52">
        <v>0</v>
      </c>
      <c r="BU98" s="52">
        <v>36741</v>
      </c>
      <c r="BV98" s="52">
        <v>2621</v>
      </c>
      <c r="BW98" s="52">
        <v>0</v>
      </c>
      <c r="BX98" s="52">
        <v>0</v>
      </c>
      <c r="BY98" s="52">
        <v>0</v>
      </c>
      <c r="BZ98" s="52">
        <v>83805</v>
      </c>
      <c r="CA98" s="52">
        <v>0</v>
      </c>
      <c r="CB98" s="52">
        <v>86426</v>
      </c>
      <c r="CC98" s="52">
        <v>123167</v>
      </c>
    </row>
    <row r="99" spans="1:81" ht="8.25" customHeight="1">
      <c r="A99" s="48">
        <v>45001</v>
      </c>
      <c r="B99" s="49" t="str">
        <f>IFERROR(INDEX(SCNtoISIC!$I:$I,MATCH($A99,SCNtoISIC!$G:$G,0)),0)</f>
        <v>ISIC 45T47</v>
      </c>
      <c r="C99" s="50" t="str">
        <f>IFERROR(INDEX(SCNtoISIC!$K:$K,MATCH($B99,SCNtoISIC!$I:$I,0)),0)</f>
        <v>Wholesale and retail trade; repair of motor vehicles</v>
      </c>
      <c r="D99" s="51" t="s">
        <v>396</v>
      </c>
      <c r="E99" s="52">
        <v>164</v>
      </c>
      <c r="F99" s="52">
        <v>37</v>
      </c>
      <c r="G99" s="52">
        <v>25</v>
      </c>
      <c r="H99" s="52">
        <v>57</v>
      </c>
      <c r="I99" s="52">
        <v>31</v>
      </c>
      <c r="J99" s="52">
        <v>487</v>
      </c>
      <c r="K99" s="52">
        <v>63</v>
      </c>
      <c r="L99" s="52">
        <v>5</v>
      </c>
      <c r="M99" s="52">
        <v>3</v>
      </c>
      <c r="N99" s="52">
        <v>11</v>
      </c>
      <c r="O99" s="52">
        <v>23</v>
      </c>
      <c r="P99" s="52">
        <v>0</v>
      </c>
      <c r="Q99" s="52">
        <v>4</v>
      </c>
      <c r="R99" s="52">
        <v>0</v>
      </c>
      <c r="S99" s="52">
        <v>3</v>
      </c>
      <c r="T99" s="52">
        <v>0</v>
      </c>
      <c r="U99" s="52">
        <v>0</v>
      </c>
      <c r="V99" s="52">
        <v>0</v>
      </c>
      <c r="W99" s="52">
        <v>0</v>
      </c>
      <c r="X99" s="52">
        <v>3</v>
      </c>
      <c r="Y99" s="52">
        <v>0</v>
      </c>
      <c r="Z99" s="52">
        <v>7</v>
      </c>
      <c r="AA99" s="52">
        <v>0</v>
      </c>
      <c r="AB99" s="52">
        <v>31</v>
      </c>
      <c r="AC99" s="52">
        <v>165</v>
      </c>
      <c r="AD99" s="52">
        <v>242</v>
      </c>
      <c r="AE99" s="52">
        <v>3</v>
      </c>
      <c r="AF99" s="52">
        <v>39</v>
      </c>
      <c r="AG99" s="52">
        <v>1</v>
      </c>
      <c r="AH99" s="52">
        <v>270</v>
      </c>
      <c r="AI99" s="52">
        <v>26</v>
      </c>
      <c r="AJ99" s="52">
        <v>2078</v>
      </c>
      <c r="AK99" s="52">
        <v>324</v>
      </c>
      <c r="AL99" s="52">
        <v>2</v>
      </c>
      <c r="AM99" s="52">
        <v>0</v>
      </c>
      <c r="AN99" s="52">
        <v>29</v>
      </c>
      <c r="AO99" s="52">
        <v>41</v>
      </c>
      <c r="AP99" s="52">
        <v>223</v>
      </c>
      <c r="AQ99" s="52">
        <v>523</v>
      </c>
      <c r="AR99" s="52">
        <v>506</v>
      </c>
      <c r="AS99" s="52">
        <v>1295</v>
      </c>
      <c r="AT99" s="52">
        <v>2305</v>
      </c>
      <c r="AU99" s="52">
        <v>4571</v>
      </c>
      <c r="AV99" s="52">
        <v>0</v>
      </c>
      <c r="AW99" s="52">
        <v>0</v>
      </c>
      <c r="AX99" s="52">
        <v>270</v>
      </c>
      <c r="AY99" s="52">
        <v>0</v>
      </c>
      <c r="AZ99" s="52">
        <v>75</v>
      </c>
      <c r="BA99" s="52">
        <v>6</v>
      </c>
      <c r="BB99" s="52">
        <v>43</v>
      </c>
      <c r="BC99" s="52">
        <v>23</v>
      </c>
      <c r="BD99" s="52">
        <v>2</v>
      </c>
      <c r="BE99" s="52">
        <v>97</v>
      </c>
      <c r="BF99" s="52">
        <v>17</v>
      </c>
      <c r="BG99" s="52">
        <v>0</v>
      </c>
      <c r="BH99" s="52">
        <v>90</v>
      </c>
      <c r="BI99" s="52">
        <v>15</v>
      </c>
      <c r="BJ99" s="52">
        <v>623</v>
      </c>
      <c r="BK99" s="52">
        <v>54</v>
      </c>
      <c r="BL99" s="52">
        <v>111</v>
      </c>
      <c r="BM99" s="52">
        <v>1398</v>
      </c>
      <c r="BN99" s="52">
        <v>237</v>
      </c>
      <c r="BO99" s="52">
        <v>0</v>
      </c>
      <c r="BP99" s="52">
        <v>701</v>
      </c>
      <c r="BQ99" s="52">
        <v>420</v>
      </c>
      <c r="BR99" s="52">
        <v>37</v>
      </c>
      <c r="BS99" s="52">
        <v>23</v>
      </c>
      <c r="BT99" s="52">
        <v>0</v>
      </c>
      <c r="BU99" s="52">
        <v>17839</v>
      </c>
      <c r="BV99" s="52">
        <v>0</v>
      </c>
      <c r="BW99" s="52">
        <v>0</v>
      </c>
      <c r="BX99" s="52">
        <v>0</v>
      </c>
      <c r="BY99" s="52">
        <v>38350</v>
      </c>
      <c r="BZ99" s="52">
        <v>0</v>
      </c>
      <c r="CA99" s="52">
        <v>0</v>
      </c>
      <c r="CB99" s="52">
        <v>38350</v>
      </c>
      <c r="CC99" s="52">
        <v>56189</v>
      </c>
    </row>
    <row r="100" spans="1:81" ht="8.25" customHeight="1">
      <c r="A100" s="48">
        <v>46801</v>
      </c>
      <c r="B100" s="49" t="str">
        <f>IFERROR(INDEX(SCNtoISIC!$I:$I,MATCH($A100,SCNtoISIC!$G:$G,0)),0)</f>
        <v>ISIC 45T47</v>
      </c>
      <c r="C100" s="50" t="str">
        <f>IFERROR(INDEX(SCNtoISIC!$K:$K,MATCH($B100,SCNtoISIC!$I:$I,0)),0)</f>
        <v>Wholesale and retail trade; repair of motor vehicles</v>
      </c>
      <c r="D100" s="51" t="s">
        <v>398</v>
      </c>
      <c r="E100" s="52">
        <v>4</v>
      </c>
      <c r="F100" s="52">
        <v>2</v>
      </c>
      <c r="G100" s="52">
        <v>0</v>
      </c>
      <c r="H100" s="52">
        <v>28</v>
      </c>
      <c r="I100" s="52">
        <v>27</v>
      </c>
      <c r="J100" s="52">
        <v>45</v>
      </c>
      <c r="K100" s="52">
        <v>33</v>
      </c>
      <c r="L100" s="52">
        <v>4317</v>
      </c>
      <c r="M100" s="52">
        <v>322</v>
      </c>
      <c r="N100" s="52">
        <v>3179</v>
      </c>
      <c r="O100" s="52">
        <v>135</v>
      </c>
      <c r="P100" s="52">
        <v>197</v>
      </c>
      <c r="Q100" s="52">
        <v>506</v>
      </c>
      <c r="R100" s="52">
        <v>634</v>
      </c>
      <c r="S100" s="52">
        <v>749</v>
      </c>
      <c r="T100" s="52">
        <v>191</v>
      </c>
      <c r="U100" s="52">
        <v>1299</v>
      </c>
      <c r="V100" s="52">
        <v>64</v>
      </c>
      <c r="W100" s="52">
        <v>264</v>
      </c>
      <c r="X100" s="52">
        <v>206</v>
      </c>
      <c r="Y100" s="52">
        <v>649</v>
      </c>
      <c r="Z100" s="52">
        <v>878</v>
      </c>
      <c r="AA100" s="52">
        <v>63</v>
      </c>
      <c r="AB100" s="52">
        <v>960</v>
      </c>
      <c r="AC100" s="52">
        <v>1232</v>
      </c>
      <c r="AD100" s="52">
        <v>886</v>
      </c>
      <c r="AE100" s="52">
        <v>1044</v>
      </c>
      <c r="AF100" s="52">
        <v>393</v>
      </c>
      <c r="AG100" s="52">
        <v>1169</v>
      </c>
      <c r="AH100" s="52">
        <v>657</v>
      </c>
      <c r="AI100" s="52">
        <v>829</v>
      </c>
      <c r="AJ100" s="52">
        <v>2226</v>
      </c>
      <c r="AK100" s="52">
        <v>105</v>
      </c>
      <c r="AL100" s="52">
        <v>28</v>
      </c>
      <c r="AM100" s="52">
        <v>136</v>
      </c>
      <c r="AN100" s="52">
        <v>522</v>
      </c>
      <c r="AO100" s="52">
        <v>7</v>
      </c>
      <c r="AP100" s="52">
        <v>0</v>
      </c>
      <c r="AQ100" s="52">
        <v>7</v>
      </c>
      <c r="AR100" s="52">
        <v>1</v>
      </c>
      <c r="AS100" s="52">
        <v>0</v>
      </c>
      <c r="AT100" s="52">
        <v>3825</v>
      </c>
      <c r="AU100" s="52">
        <v>0</v>
      </c>
      <c r="AV100" s="52">
        <v>0</v>
      </c>
      <c r="AW100" s="52">
        <v>0</v>
      </c>
      <c r="AX100" s="52">
        <v>0</v>
      </c>
      <c r="AY100" s="52">
        <v>0</v>
      </c>
      <c r="AZ100" s="52">
        <v>0</v>
      </c>
      <c r="BA100" s="52">
        <v>483</v>
      </c>
      <c r="BB100" s="52">
        <v>472</v>
      </c>
      <c r="BC100" s="52">
        <v>3430</v>
      </c>
      <c r="BD100" s="52">
        <v>234</v>
      </c>
      <c r="BE100" s="52">
        <v>29</v>
      </c>
      <c r="BF100" s="52">
        <v>0</v>
      </c>
      <c r="BG100" s="52">
        <v>280</v>
      </c>
      <c r="BH100" s="52">
        <v>41</v>
      </c>
      <c r="BI100" s="52">
        <v>137</v>
      </c>
      <c r="BJ100" s="52">
        <v>0</v>
      </c>
      <c r="BK100" s="52">
        <v>285</v>
      </c>
      <c r="BL100" s="52">
        <v>31</v>
      </c>
      <c r="BM100" s="52">
        <v>0</v>
      </c>
      <c r="BN100" s="52">
        <v>0</v>
      </c>
      <c r="BO100" s="52">
        <v>8</v>
      </c>
      <c r="BP100" s="52">
        <v>0</v>
      </c>
      <c r="BQ100" s="52">
        <v>0</v>
      </c>
      <c r="BR100" s="52">
        <v>12</v>
      </c>
      <c r="BS100" s="52">
        <v>11</v>
      </c>
      <c r="BT100" s="52">
        <v>0</v>
      </c>
      <c r="BU100" s="52">
        <v>33272</v>
      </c>
      <c r="BV100" s="52">
        <v>2259</v>
      </c>
      <c r="BW100" s="52">
        <v>0</v>
      </c>
      <c r="BX100" s="52">
        <v>0</v>
      </c>
      <c r="BY100" s="52">
        <v>0</v>
      </c>
      <c r="BZ100" s="52">
        <v>0</v>
      </c>
      <c r="CA100" s="52">
        <v>0</v>
      </c>
      <c r="CB100" s="52">
        <v>2259</v>
      </c>
      <c r="CC100" s="52">
        <v>35531</v>
      </c>
    </row>
    <row r="101" spans="1:81" ht="8.25" customHeight="1">
      <c r="A101" s="48">
        <v>49001</v>
      </c>
      <c r="B101" s="49" t="str">
        <f>IFERROR(INDEX(SCNtoISIC!$I:$I,MATCH($A101,SCNtoISIC!$G:$G,0)),0)</f>
        <v>ISIC 45T47</v>
      </c>
      <c r="C101" s="50" t="str">
        <f>IFERROR(INDEX(SCNtoISIC!$K:$K,MATCH($B101,SCNtoISIC!$I:$I,0)),0)</f>
        <v>Wholesale and retail trade; repair of motor vehicles</v>
      </c>
      <c r="D101" s="51" t="s">
        <v>399</v>
      </c>
      <c r="E101" s="52">
        <v>2852</v>
      </c>
      <c r="F101" s="52">
        <v>498</v>
      </c>
      <c r="G101" s="52">
        <v>380</v>
      </c>
      <c r="H101" s="52">
        <v>636</v>
      </c>
      <c r="I101" s="52">
        <v>3717</v>
      </c>
      <c r="J101" s="52">
        <v>1945</v>
      </c>
      <c r="K101" s="52">
        <v>432</v>
      </c>
      <c r="L101" s="52">
        <v>5748</v>
      </c>
      <c r="M101" s="52">
        <v>1580</v>
      </c>
      <c r="N101" s="52">
        <v>8348</v>
      </c>
      <c r="O101" s="52">
        <v>1877</v>
      </c>
      <c r="P101" s="52">
        <v>135</v>
      </c>
      <c r="Q101" s="52">
        <v>700</v>
      </c>
      <c r="R101" s="52">
        <v>409</v>
      </c>
      <c r="S101" s="52">
        <v>622</v>
      </c>
      <c r="T101" s="52">
        <v>341</v>
      </c>
      <c r="U101" s="52">
        <v>1727</v>
      </c>
      <c r="V101" s="52">
        <v>234</v>
      </c>
      <c r="W101" s="52">
        <v>2541</v>
      </c>
      <c r="X101" s="52">
        <v>391</v>
      </c>
      <c r="Y101" s="52">
        <v>3396</v>
      </c>
      <c r="Z101" s="52">
        <v>1213</v>
      </c>
      <c r="AA101" s="52">
        <v>910</v>
      </c>
      <c r="AB101" s="52">
        <v>1664</v>
      </c>
      <c r="AC101" s="52">
        <v>1747</v>
      </c>
      <c r="AD101" s="52">
        <v>1883</v>
      </c>
      <c r="AE101" s="52">
        <v>2911</v>
      </c>
      <c r="AF101" s="52">
        <v>373</v>
      </c>
      <c r="AG101" s="52">
        <v>1597</v>
      </c>
      <c r="AH101" s="52">
        <v>971</v>
      </c>
      <c r="AI101" s="52">
        <v>926</v>
      </c>
      <c r="AJ101" s="52">
        <v>1199</v>
      </c>
      <c r="AK101" s="52">
        <v>3453</v>
      </c>
      <c r="AL101" s="52">
        <v>1066</v>
      </c>
      <c r="AM101" s="52">
        <v>492</v>
      </c>
      <c r="AN101" s="52">
        <v>1006</v>
      </c>
      <c r="AO101" s="52">
        <v>31</v>
      </c>
      <c r="AP101" s="52">
        <v>2474</v>
      </c>
      <c r="AQ101" s="52">
        <v>220</v>
      </c>
      <c r="AR101" s="52">
        <v>1710</v>
      </c>
      <c r="AS101" s="52">
        <v>968</v>
      </c>
      <c r="AT101" s="52">
        <v>23860</v>
      </c>
      <c r="AU101" s="52">
        <v>22912</v>
      </c>
      <c r="AV101" s="52">
        <v>88</v>
      </c>
      <c r="AW101" s="52">
        <v>48</v>
      </c>
      <c r="AX101" s="52">
        <v>3025</v>
      </c>
      <c r="AY101" s="52">
        <v>15</v>
      </c>
      <c r="AZ101" s="52">
        <v>555</v>
      </c>
      <c r="BA101" s="52">
        <v>364</v>
      </c>
      <c r="BB101" s="52">
        <v>89</v>
      </c>
      <c r="BC101" s="52">
        <v>172</v>
      </c>
      <c r="BD101" s="52">
        <v>99</v>
      </c>
      <c r="BE101" s="52">
        <v>376</v>
      </c>
      <c r="BF101" s="52">
        <v>10</v>
      </c>
      <c r="BG101" s="52">
        <v>355</v>
      </c>
      <c r="BH101" s="52">
        <v>256</v>
      </c>
      <c r="BI101" s="52">
        <v>45</v>
      </c>
      <c r="BJ101" s="52">
        <v>269</v>
      </c>
      <c r="BK101" s="52">
        <v>97</v>
      </c>
      <c r="BL101" s="52">
        <v>46</v>
      </c>
      <c r="BM101" s="52">
        <v>688</v>
      </c>
      <c r="BN101" s="52">
        <v>83</v>
      </c>
      <c r="BO101" s="52">
        <v>2</v>
      </c>
      <c r="BP101" s="52">
        <v>234</v>
      </c>
      <c r="BQ101" s="52">
        <v>0</v>
      </c>
      <c r="BR101" s="52">
        <v>53</v>
      </c>
      <c r="BS101" s="52">
        <v>82</v>
      </c>
      <c r="BT101" s="52">
        <v>0</v>
      </c>
      <c r="BU101" s="52">
        <v>119146</v>
      </c>
      <c r="BV101" s="52">
        <v>305</v>
      </c>
      <c r="BW101" s="52">
        <v>0</v>
      </c>
      <c r="BX101" s="52">
        <v>0</v>
      </c>
      <c r="BY101" s="52">
        <v>1181</v>
      </c>
      <c r="BZ101" s="52">
        <v>0</v>
      </c>
      <c r="CA101" s="52">
        <v>0</v>
      </c>
      <c r="CB101" s="52">
        <v>1486</v>
      </c>
      <c r="CC101" s="52">
        <v>120632</v>
      </c>
    </row>
    <row r="102" spans="1:81" ht="8.25" customHeight="1">
      <c r="A102" s="53">
        <v>49002</v>
      </c>
      <c r="B102" s="49" t="str">
        <f>IFERROR(INDEX(SCNtoISIC!$I:$I,MATCH($A102,SCNtoISIC!$G:$G,0)),0)</f>
        <v>ISIC 49T53</v>
      </c>
      <c r="C102" s="50" t="str">
        <f>IFERROR(INDEX(SCNtoISIC!$K:$K,MATCH($B102,SCNtoISIC!$I:$I,0)),0)</f>
        <v>Transportation and storage</v>
      </c>
      <c r="D102" s="54" t="s">
        <v>400</v>
      </c>
      <c r="E102" s="32">
        <v>5</v>
      </c>
      <c r="F102" s="32">
        <v>2</v>
      </c>
      <c r="G102" s="32">
        <v>28</v>
      </c>
      <c r="H102" s="32">
        <v>13</v>
      </c>
      <c r="I102" s="32">
        <v>249</v>
      </c>
      <c r="J102" s="32">
        <v>210</v>
      </c>
      <c r="K102" s="32">
        <v>87</v>
      </c>
      <c r="L102" s="32">
        <v>53</v>
      </c>
      <c r="M102" s="32">
        <v>42</v>
      </c>
      <c r="N102" s="32">
        <v>103</v>
      </c>
      <c r="O102" s="32">
        <v>13</v>
      </c>
      <c r="P102" s="32">
        <v>0</v>
      </c>
      <c r="Q102" s="32">
        <v>2</v>
      </c>
      <c r="R102" s="32">
        <v>118</v>
      </c>
      <c r="S102" s="32">
        <v>6</v>
      </c>
      <c r="T102" s="32">
        <v>436</v>
      </c>
      <c r="U102" s="32">
        <v>1</v>
      </c>
      <c r="V102" s="32">
        <v>0</v>
      </c>
      <c r="W102" s="32">
        <v>0</v>
      </c>
      <c r="X102" s="32">
        <v>32</v>
      </c>
      <c r="Y102" s="32">
        <v>148</v>
      </c>
      <c r="Z102" s="32">
        <v>113</v>
      </c>
      <c r="AA102" s="32">
        <v>11</v>
      </c>
      <c r="AB102" s="32">
        <v>79</v>
      </c>
      <c r="AC102" s="32">
        <v>150</v>
      </c>
      <c r="AD102" s="32">
        <v>248</v>
      </c>
      <c r="AE102" s="32">
        <v>59</v>
      </c>
      <c r="AF102" s="32">
        <v>12</v>
      </c>
      <c r="AG102" s="32">
        <v>308</v>
      </c>
      <c r="AH102" s="32">
        <v>3</v>
      </c>
      <c r="AI102" s="32">
        <v>48</v>
      </c>
      <c r="AJ102" s="32">
        <v>482</v>
      </c>
      <c r="AK102" s="32">
        <v>0</v>
      </c>
      <c r="AL102" s="32">
        <v>254</v>
      </c>
      <c r="AM102" s="32">
        <v>2</v>
      </c>
      <c r="AN102" s="32">
        <v>9</v>
      </c>
      <c r="AO102" s="32">
        <v>44</v>
      </c>
      <c r="AP102" s="32">
        <v>0</v>
      </c>
      <c r="AQ102" s="32">
        <v>7</v>
      </c>
      <c r="AR102" s="32">
        <v>80</v>
      </c>
      <c r="AS102" s="32">
        <v>0</v>
      </c>
      <c r="AT102" s="32">
        <v>43</v>
      </c>
      <c r="AU102" s="32">
        <v>123</v>
      </c>
      <c r="AV102" s="32">
        <v>0</v>
      </c>
      <c r="AW102" s="32">
        <v>0</v>
      </c>
      <c r="AX102" s="32">
        <v>31</v>
      </c>
      <c r="AY102" s="32">
        <v>15</v>
      </c>
      <c r="AZ102" s="32">
        <v>50</v>
      </c>
      <c r="BA102" s="32">
        <v>0</v>
      </c>
      <c r="BB102" s="32">
        <v>86</v>
      </c>
      <c r="BC102" s="32">
        <v>15</v>
      </c>
      <c r="BD102" s="32">
        <v>140</v>
      </c>
      <c r="BE102" s="32">
        <v>218</v>
      </c>
      <c r="BF102" s="32">
        <v>23</v>
      </c>
      <c r="BG102" s="32">
        <v>8</v>
      </c>
      <c r="BH102" s="32">
        <v>718</v>
      </c>
      <c r="BI102" s="32">
        <v>33</v>
      </c>
      <c r="BJ102" s="32">
        <v>18</v>
      </c>
      <c r="BK102" s="32">
        <v>197</v>
      </c>
      <c r="BL102" s="32">
        <v>24</v>
      </c>
      <c r="BM102" s="32">
        <v>1814</v>
      </c>
      <c r="BN102" s="32">
        <v>1679</v>
      </c>
      <c r="BO102" s="32">
        <v>764</v>
      </c>
      <c r="BP102" s="32">
        <v>650</v>
      </c>
      <c r="BQ102" s="32">
        <v>0</v>
      </c>
      <c r="BR102" s="32">
        <v>8</v>
      </c>
      <c r="BS102" s="32">
        <v>1914</v>
      </c>
      <c r="BT102" s="32">
        <v>0</v>
      </c>
      <c r="BU102" s="32">
        <v>12028</v>
      </c>
      <c r="BV102" s="32">
        <v>317</v>
      </c>
      <c r="BW102" s="32">
        <v>0</v>
      </c>
      <c r="BX102" s="32">
        <v>0</v>
      </c>
      <c r="BY102" s="32">
        <v>74259</v>
      </c>
      <c r="BZ102" s="32">
        <v>0</v>
      </c>
      <c r="CA102" s="32">
        <v>0</v>
      </c>
      <c r="CB102" s="32">
        <v>74576</v>
      </c>
      <c r="CC102" s="32">
        <v>86604</v>
      </c>
    </row>
    <row r="103" spans="1:81" ht="8.25" customHeight="1">
      <c r="A103" s="53">
        <v>50001</v>
      </c>
      <c r="B103" s="49" t="str">
        <f>IFERROR(INDEX(SCNtoISIC!$I:$I,MATCH($A103,SCNtoISIC!$G:$G,0)),0)</f>
        <v>ISIC 49T53</v>
      </c>
      <c r="C103" s="50" t="str">
        <f>IFERROR(INDEX(SCNtoISIC!$K:$K,MATCH($B103,SCNtoISIC!$I:$I,0)),0)</f>
        <v>Transportation and storage</v>
      </c>
      <c r="D103" s="54" t="s">
        <v>284</v>
      </c>
      <c r="E103" s="32">
        <v>0</v>
      </c>
      <c r="F103" s="32">
        <v>0</v>
      </c>
      <c r="G103" s="32">
        <v>0</v>
      </c>
      <c r="H103" s="32">
        <v>0</v>
      </c>
      <c r="I103" s="32">
        <v>4926</v>
      </c>
      <c r="J103" s="32">
        <v>0</v>
      </c>
      <c r="K103" s="32">
        <v>13</v>
      </c>
      <c r="L103" s="32">
        <v>1420</v>
      </c>
      <c r="M103" s="32">
        <v>128</v>
      </c>
      <c r="N103" s="32">
        <v>488</v>
      </c>
      <c r="O103" s="32">
        <v>2</v>
      </c>
      <c r="P103" s="32">
        <v>1</v>
      </c>
      <c r="Q103" s="32">
        <v>12</v>
      </c>
      <c r="R103" s="32">
        <v>19</v>
      </c>
      <c r="S103" s="32">
        <v>7</v>
      </c>
      <c r="T103" s="32">
        <v>145</v>
      </c>
      <c r="U103" s="32">
        <v>1300</v>
      </c>
      <c r="V103" s="32">
        <v>27</v>
      </c>
      <c r="W103" s="32">
        <v>44</v>
      </c>
      <c r="X103" s="32">
        <v>7</v>
      </c>
      <c r="Y103" s="32">
        <v>807</v>
      </c>
      <c r="Z103" s="32">
        <v>14</v>
      </c>
      <c r="AA103" s="32">
        <v>46</v>
      </c>
      <c r="AB103" s="32">
        <v>3</v>
      </c>
      <c r="AC103" s="32">
        <v>52</v>
      </c>
      <c r="AD103" s="32">
        <v>134</v>
      </c>
      <c r="AE103" s="32">
        <v>357</v>
      </c>
      <c r="AF103" s="32">
        <v>14</v>
      </c>
      <c r="AG103" s="32">
        <v>40</v>
      </c>
      <c r="AH103" s="32">
        <v>106</v>
      </c>
      <c r="AI103" s="32">
        <v>56</v>
      </c>
      <c r="AJ103" s="32">
        <v>345</v>
      </c>
      <c r="AK103" s="32">
        <v>273</v>
      </c>
      <c r="AL103" s="32">
        <v>106</v>
      </c>
      <c r="AM103" s="32">
        <v>188</v>
      </c>
      <c r="AN103" s="32">
        <v>1</v>
      </c>
      <c r="AO103" s="32">
        <v>6</v>
      </c>
      <c r="AP103" s="32">
        <v>0</v>
      </c>
      <c r="AQ103" s="32">
        <v>0</v>
      </c>
      <c r="AR103" s="32">
        <v>7</v>
      </c>
      <c r="AS103" s="32">
        <v>3</v>
      </c>
      <c r="AT103" s="32">
        <v>1098</v>
      </c>
      <c r="AU103" s="32">
        <v>721</v>
      </c>
      <c r="AV103" s="32">
        <v>1384</v>
      </c>
      <c r="AW103" s="32">
        <v>0</v>
      </c>
      <c r="AX103" s="32">
        <v>57</v>
      </c>
      <c r="AY103" s="32">
        <v>0</v>
      </c>
      <c r="AZ103" s="32">
        <v>18</v>
      </c>
      <c r="BA103" s="32">
        <v>0</v>
      </c>
      <c r="BB103" s="32">
        <v>3</v>
      </c>
      <c r="BC103" s="32">
        <v>0</v>
      </c>
      <c r="BD103" s="32">
        <v>16</v>
      </c>
      <c r="BE103" s="32">
        <v>0</v>
      </c>
      <c r="BF103" s="32">
        <v>0</v>
      </c>
      <c r="BG103" s="32">
        <v>1</v>
      </c>
      <c r="BH103" s="32">
        <v>3</v>
      </c>
      <c r="BI103" s="32">
        <v>0</v>
      </c>
      <c r="BJ103" s="32">
        <v>0</v>
      </c>
      <c r="BK103" s="32">
        <v>290</v>
      </c>
      <c r="BL103" s="32">
        <v>1</v>
      </c>
      <c r="BM103" s="32">
        <v>0</v>
      </c>
      <c r="BN103" s="32">
        <v>0</v>
      </c>
      <c r="BO103" s="32">
        <v>0</v>
      </c>
      <c r="BP103" s="32">
        <v>0</v>
      </c>
      <c r="BQ103" s="32">
        <v>0</v>
      </c>
      <c r="BR103" s="32">
        <v>1</v>
      </c>
      <c r="BS103" s="32">
        <v>0</v>
      </c>
      <c r="BT103" s="32">
        <v>0</v>
      </c>
      <c r="BU103" s="32">
        <v>14690</v>
      </c>
      <c r="BV103" s="32">
        <v>3167</v>
      </c>
      <c r="BW103" s="32">
        <v>0</v>
      </c>
      <c r="BX103" s="32">
        <v>0</v>
      </c>
      <c r="BY103" s="32">
        <v>1571</v>
      </c>
      <c r="BZ103" s="32">
        <v>0</v>
      </c>
      <c r="CA103" s="32">
        <v>0</v>
      </c>
      <c r="CB103" s="32">
        <v>4738</v>
      </c>
      <c r="CC103" s="32">
        <v>19428</v>
      </c>
    </row>
    <row r="104" spans="1:81" ht="8.25" customHeight="1">
      <c r="A104" s="53">
        <v>51001</v>
      </c>
      <c r="B104" s="49" t="str">
        <f>IFERROR(INDEX(SCNtoISIC!$I:$I,MATCH($A104,SCNtoISIC!$G:$G,0)),0)</f>
        <v>ISIC 49T53</v>
      </c>
      <c r="C104" s="50" t="str">
        <f>IFERROR(INDEX(SCNtoISIC!$K:$K,MATCH($B104,SCNtoISIC!$I:$I,0)),0)</f>
        <v>Transportation and storage</v>
      </c>
      <c r="D104" s="54" t="s">
        <v>286</v>
      </c>
      <c r="E104" s="32">
        <v>1</v>
      </c>
      <c r="F104" s="32">
        <v>0</v>
      </c>
      <c r="G104" s="32">
        <v>6</v>
      </c>
      <c r="H104" s="32">
        <v>7</v>
      </c>
      <c r="I104" s="32">
        <v>1083</v>
      </c>
      <c r="J104" s="32">
        <v>8</v>
      </c>
      <c r="K104" s="32">
        <v>26</v>
      </c>
      <c r="L104" s="32">
        <v>214</v>
      </c>
      <c r="M104" s="32">
        <v>9</v>
      </c>
      <c r="N104" s="32">
        <v>206</v>
      </c>
      <c r="O104" s="32">
        <v>42</v>
      </c>
      <c r="P104" s="32">
        <v>30</v>
      </c>
      <c r="Q104" s="32">
        <v>32</v>
      </c>
      <c r="R104" s="32">
        <v>34</v>
      </c>
      <c r="S104" s="32">
        <v>45</v>
      </c>
      <c r="T104" s="32">
        <v>34</v>
      </c>
      <c r="U104" s="32">
        <v>82</v>
      </c>
      <c r="V104" s="32">
        <v>24</v>
      </c>
      <c r="W104" s="32">
        <v>25</v>
      </c>
      <c r="X104" s="32">
        <v>3</v>
      </c>
      <c r="Y104" s="32">
        <v>231</v>
      </c>
      <c r="Z104" s="32">
        <v>233</v>
      </c>
      <c r="AA104" s="32">
        <v>10</v>
      </c>
      <c r="AB104" s="32">
        <v>107</v>
      </c>
      <c r="AC104" s="32">
        <v>40</v>
      </c>
      <c r="AD104" s="32">
        <v>117</v>
      </c>
      <c r="AE104" s="32">
        <v>75</v>
      </c>
      <c r="AF104" s="32">
        <v>12</v>
      </c>
      <c r="AG104" s="32">
        <v>51</v>
      </c>
      <c r="AH104" s="32">
        <v>261</v>
      </c>
      <c r="AI104" s="32">
        <v>151</v>
      </c>
      <c r="AJ104" s="32">
        <v>211</v>
      </c>
      <c r="AK104" s="32">
        <v>255</v>
      </c>
      <c r="AL104" s="32">
        <v>90</v>
      </c>
      <c r="AM104" s="32">
        <v>38</v>
      </c>
      <c r="AN104" s="32">
        <v>36</v>
      </c>
      <c r="AO104" s="32">
        <v>45</v>
      </c>
      <c r="AP104" s="32">
        <v>404</v>
      </c>
      <c r="AQ104" s="32">
        <v>45</v>
      </c>
      <c r="AR104" s="32">
        <v>1582</v>
      </c>
      <c r="AS104" s="32">
        <v>215</v>
      </c>
      <c r="AT104" s="32">
        <v>2434</v>
      </c>
      <c r="AU104" s="32">
        <v>203</v>
      </c>
      <c r="AV104" s="32">
        <v>85</v>
      </c>
      <c r="AW104" s="32">
        <v>9</v>
      </c>
      <c r="AX104" s="32">
        <v>554</v>
      </c>
      <c r="AY104" s="32">
        <v>58</v>
      </c>
      <c r="AZ104" s="32">
        <v>46</v>
      </c>
      <c r="BA104" s="32">
        <v>23</v>
      </c>
      <c r="BB104" s="32">
        <v>154</v>
      </c>
      <c r="BC104" s="32">
        <v>201</v>
      </c>
      <c r="BD104" s="32">
        <v>524</v>
      </c>
      <c r="BE104" s="32">
        <v>2242</v>
      </c>
      <c r="BF104" s="32">
        <v>50</v>
      </c>
      <c r="BG104" s="32">
        <v>718</v>
      </c>
      <c r="BH104" s="32">
        <v>346</v>
      </c>
      <c r="BI104" s="32">
        <v>506</v>
      </c>
      <c r="BJ104" s="32">
        <v>76</v>
      </c>
      <c r="BK104" s="32">
        <v>332</v>
      </c>
      <c r="BL104" s="32">
        <v>22</v>
      </c>
      <c r="BM104" s="32">
        <v>1019</v>
      </c>
      <c r="BN104" s="32">
        <v>318</v>
      </c>
      <c r="BO104" s="32">
        <v>1612</v>
      </c>
      <c r="BP104" s="32">
        <v>357</v>
      </c>
      <c r="BQ104" s="32">
        <v>0</v>
      </c>
      <c r="BR104" s="32">
        <v>85</v>
      </c>
      <c r="BS104" s="32">
        <v>8206</v>
      </c>
      <c r="BT104" s="32">
        <v>0</v>
      </c>
      <c r="BU104" s="32">
        <v>26300</v>
      </c>
      <c r="BV104" s="32">
        <v>4135</v>
      </c>
      <c r="BW104" s="32">
        <v>0</v>
      </c>
      <c r="BX104" s="32">
        <v>0</v>
      </c>
      <c r="BY104" s="32">
        <v>8138</v>
      </c>
      <c r="BZ104" s="32">
        <v>0</v>
      </c>
      <c r="CA104" s="32">
        <v>0</v>
      </c>
      <c r="CB104" s="32">
        <v>12273</v>
      </c>
      <c r="CC104" s="32">
        <v>38573</v>
      </c>
    </row>
    <row r="105" spans="1:81" ht="8.25" customHeight="1">
      <c r="A105" s="53">
        <v>52801</v>
      </c>
      <c r="B105" s="49" t="str">
        <f>IFERROR(INDEX(SCNtoISIC!$I:$I,MATCH($A105,SCNtoISIC!$G:$G,0)),0)</f>
        <v>ISIC 49T53</v>
      </c>
      <c r="C105" s="50" t="str">
        <f>IFERROR(INDEX(SCNtoISIC!$K:$K,MATCH($B105,SCNtoISIC!$I:$I,0)),0)</f>
        <v>Transportation and storage</v>
      </c>
      <c r="D105" s="54" t="s">
        <v>402</v>
      </c>
      <c r="E105" s="32">
        <v>623</v>
      </c>
      <c r="F105" s="32">
        <v>43</v>
      </c>
      <c r="G105" s="32">
        <v>133</v>
      </c>
      <c r="H105" s="32">
        <v>26</v>
      </c>
      <c r="I105" s="32">
        <v>2111</v>
      </c>
      <c r="J105" s="32">
        <v>1993</v>
      </c>
      <c r="K105" s="32">
        <v>671</v>
      </c>
      <c r="L105" s="32">
        <v>2029</v>
      </c>
      <c r="M105" s="32">
        <v>2112</v>
      </c>
      <c r="N105" s="32">
        <v>2905</v>
      </c>
      <c r="O105" s="32">
        <v>1769</v>
      </c>
      <c r="P105" s="32">
        <v>29</v>
      </c>
      <c r="Q105" s="32">
        <v>97</v>
      </c>
      <c r="R105" s="32">
        <v>6</v>
      </c>
      <c r="S105" s="32">
        <v>61</v>
      </c>
      <c r="T105" s="32">
        <v>170</v>
      </c>
      <c r="U105" s="32">
        <v>757</v>
      </c>
      <c r="V105" s="32">
        <v>145</v>
      </c>
      <c r="W105" s="32">
        <v>400</v>
      </c>
      <c r="X105" s="32">
        <v>396</v>
      </c>
      <c r="Y105" s="32">
        <v>848</v>
      </c>
      <c r="Z105" s="32">
        <v>329</v>
      </c>
      <c r="AA105" s="32">
        <v>310</v>
      </c>
      <c r="AB105" s="32">
        <v>422</v>
      </c>
      <c r="AC105" s="32">
        <v>158</v>
      </c>
      <c r="AD105" s="32">
        <v>201</v>
      </c>
      <c r="AE105" s="32">
        <v>2109</v>
      </c>
      <c r="AF105" s="32">
        <v>104</v>
      </c>
      <c r="AG105" s="32">
        <v>798</v>
      </c>
      <c r="AH105" s="32">
        <v>570</v>
      </c>
      <c r="AI105" s="32">
        <v>746</v>
      </c>
      <c r="AJ105" s="32">
        <v>285</v>
      </c>
      <c r="AK105" s="32">
        <v>3527</v>
      </c>
      <c r="AL105" s="32">
        <v>567</v>
      </c>
      <c r="AM105" s="32">
        <v>293</v>
      </c>
      <c r="AN105" s="32">
        <v>164</v>
      </c>
      <c r="AO105" s="32">
        <v>124</v>
      </c>
      <c r="AP105" s="32">
        <v>56</v>
      </c>
      <c r="AQ105" s="32">
        <v>8</v>
      </c>
      <c r="AR105" s="32">
        <v>300</v>
      </c>
      <c r="AS105" s="32">
        <v>287</v>
      </c>
      <c r="AT105" s="32">
        <v>7465</v>
      </c>
      <c r="AU105" s="32">
        <v>6359</v>
      </c>
      <c r="AV105" s="32">
        <v>3054</v>
      </c>
      <c r="AW105" s="32">
        <v>3539</v>
      </c>
      <c r="AX105" s="32">
        <v>2444</v>
      </c>
      <c r="AY105" s="32">
        <v>2</v>
      </c>
      <c r="AZ105" s="32">
        <v>28</v>
      </c>
      <c r="BA105" s="32">
        <v>19</v>
      </c>
      <c r="BB105" s="32">
        <v>39</v>
      </c>
      <c r="BC105" s="32">
        <v>105</v>
      </c>
      <c r="BD105" s="32">
        <v>13</v>
      </c>
      <c r="BE105" s="32">
        <v>137</v>
      </c>
      <c r="BF105" s="32">
        <v>1</v>
      </c>
      <c r="BG105" s="32">
        <v>48</v>
      </c>
      <c r="BH105" s="32">
        <v>94</v>
      </c>
      <c r="BI105" s="32">
        <v>172</v>
      </c>
      <c r="BJ105" s="32">
        <v>23</v>
      </c>
      <c r="BK105" s="32">
        <v>115</v>
      </c>
      <c r="BL105" s="32">
        <v>27</v>
      </c>
      <c r="BM105" s="32">
        <v>1721</v>
      </c>
      <c r="BN105" s="32">
        <v>101</v>
      </c>
      <c r="BO105" s="32">
        <v>0</v>
      </c>
      <c r="BP105" s="32">
        <v>127</v>
      </c>
      <c r="BQ105" s="32">
        <v>0</v>
      </c>
      <c r="BR105" s="32">
        <v>2</v>
      </c>
      <c r="BS105" s="32">
        <v>995</v>
      </c>
      <c r="BT105" s="32">
        <v>0</v>
      </c>
      <c r="BU105" s="32">
        <v>55312</v>
      </c>
      <c r="BV105" s="32">
        <v>5648</v>
      </c>
      <c r="BW105" s="32">
        <v>0</v>
      </c>
      <c r="BX105" s="32">
        <v>0</v>
      </c>
      <c r="BY105" s="32">
        <v>19249</v>
      </c>
      <c r="BZ105" s="32">
        <v>0</v>
      </c>
      <c r="CA105" s="32">
        <v>0</v>
      </c>
      <c r="CB105" s="32">
        <v>24897</v>
      </c>
      <c r="CC105" s="32">
        <v>80209</v>
      </c>
    </row>
    <row r="106" spans="1:81" ht="8.25" customHeight="1">
      <c r="A106" s="53">
        <v>52802</v>
      </c>
      <c r="B106" s="49" t="str">
        <f>IFERROR(INDEX(SCNtoISIC!$I:$I,MATCH($A106,SCNtoISIC!$G:$G,0)),0)</f>
        <v>ISIC 49T53</v>
      </c>
      <c r="C106" s="50" t="str">
        <f>IFERROR(INDEX(SCNtoISIC!$K:$K,MATCH($B106,SCNtoISIC!$I:$I,0)),0)</f>
        <v>Transportation and storage</v>
      </c>
      <c r="D106" s="54" t="s">
        <v>403</v>
      </c>
      <c r="E106" s="32">
        <v>1</v>
      </c>
      <c r="F106" s="32">
        <v>0</v>
      </c>
      <c r="G106" s="32">
        <v>1</v>
      </c>
      <c r="H106" s="32">
        <v>4</v>
      </c>
      <c r="I106" s="32">
        <v>17</v>
      </c>
      <c r="J106" s="32">
        <v>0</v>
      </c>
      <c r="K106" s="32">
        <v>4</v>
      </c>
      <c r="L106" s="32">
        <v>65</v>
      </c>
      <c r="M106" s="32">
        <v>70</v>
      </c>
      <c r="N106" s="32">
        <v>136</v>
      </c>
      <c r="O106" s="32">
        <v>21</v>
      </c>
      <c r="P106" s="32">
        <v>5</v>
      </c>
      <c r="Q106" s="32">
        <v>69</v>
      </c>
      <c r="R106" s="32">
        <v>102</v>
      </c>
      <c r="S106" s="32">
        <v>89</v>
      </c>
      <c r="T106" s="32">
        <v>16</v>
      </c>
      <c r="U106" s="32">
        <v>124</v>
      </c>
      <c r="V106" s="32">
        <v>50</v>
      </c>
      <c r="W106" s="32">
        <v>22</v>
      </c>
      <c r="X106" s="32">
        <v>11</v>
      </c>
      <c r="Y106" s="32">
        <v>40</v>
      </c>
      <c r="Z106" s="32">
        <v>315</v>
      </c>
      <c r="AA106" s="32">
        <v>12</v>
      </c>
      <c r="AB106" s="32">
        <v>85</v>
      </c>
      <c r="AC106" s="32">
        <v>67</v>
      </c>
      <c r="AD106" s="32">
        <v>101</v>
      </c>
      <c r="AE106" s="32">
        <v>17</v>
      </c>
      <c r="AF106" s="32">
        <v>10</v>
      </c>
      <c r="AG106" s="32">
        <v>88</v>
      </c>
      <c r="AH106" s="32">
        <v>150</v>
      </c>
      <c r="AI106" s="32">
        <v>77</v>
      </c>
      <c r="AJ106" s="32">
        <v>63</v>
      </c>
      <c r="AK106" s="32">
        <v>163</v>
      </c>
      <c r="AL106" s="32">
        <v>127</v>
      </c>
      <c r="AM106" s="32">
        <v>99</v>
      </c>
      <c r="AN106" s="32">
        <v>123</v>
      </c>
      <c r="AO106" s="32">
        <v>13</v>
      </c>
      <c r="AP106" s="32">
        <v>394</v>
      </c>
      <c r="AQ106" s="32">
        <v>12</v>
      </c>
      <c r="AR106" s="32">
        <v>342</v>
      </c>
      <c r="AS106" s="32">
        <v>419</v>
      </c>
      <c r="AT106" s="32">
        <v>2951</v>
      </c>
      <c r="AU106" s="32">
        <v>132</v>
      </c>
      <c r="AV106" s="32">
        <v>9</v>
      </c>
      <c r="AW106" s="32">
        <v>7</v>
      </c>
      <c r="AX106" s="32">
        <v>1043</v>
      </c>
      <c r="AY106" s="32">
        <v>43</v>
      </c>
      <c r="AZ106" s="32">
        <v>165</v>
      </c>
      <c r="BA106" s="32">
        <v>66</v>
      </c>
      <c r="BB106" s="32">
        <v>36</v>
      </c>
      <c r="BC106" s="32">
        <v>470</v>
      </c>
      <c r="BD106" s="32">
        <v>94</v>
      </c>
      <c r="BE106" s="32">
        <v>4050</v>
      </c>
      <c r="BF106" s="32">
        <v>186</v>
      </c>
      <c r="BG106" s="32">
        <v>381</v>
      </c>
      <c r="BH106" s="32">
        <v>144</v>
      </c>
      <c r="BI106" s="32">
        <v>59</v>
      </c>
      <c r="BJ106" s="32">
        <v>149</v>
      </c>
      <c r="BK106" s="32">
        <v>511</v>
      </c>
      <c r="BL106" s="32">
        <v>31</v>
      </c>
      <c r="BM106" s="32">
        <v>1727</v>
      </c>
      <c r="BN106" s="32">
        <v>166</v>
      </c>
      <c r="BO106" s="32">
        <v>315</v>
      </c>
      <c r="BP106" s="32">
        <v>214</v>
      </c>
      <c r="BQ106" s="32">
        <v>166</v>
      </c>
      <c r="BR106" s="32">
        <v>48</v>
      </c>
      <c r="BS106" s="32">
        <v>387</v>
      </c>
      <c r="BT106" s="32">
        <v>0</v>
      </c>
      <c r="BU106" s="32">
        <v>17074</v>
      </c>
      <c r="BV106" s="32">
        <v>4</v>
      </c>
      <c r="BW106" s="32">
        <v>0</v>
      </c>
      <c r="BX106" s="32">
        <v>0</v>
      </c>
      <c r="BY106" s="32">
        <v>1910</v>
      </c>
      <c r="BZ106" s="32">
        <v>0</v>
      </c>
      <c r="CA106" s="32">
        <v>0</v>
      </c>
      <c r="CB106" s="32">
        <v>1914</v>
      </c>
      <c r="CC106" s="32">
        <v>18988</v>
      </c>
    </row>
    <row r="107" spans="1:81" ht="8.25" customHeight="1">
      <c r="A107" s="48">
        <v>55001</v>
      </c>
      <c r="B107" s="49" t="str">
        <f>IFERROR(INDEX(SCNtoISIC!$I:$I,MATCH($A107,SCNtoISIC!$G:$G,0)),0)</f>
        <v>ISIC 55T56</v>
      </c>
      <c r="C107" s="50" t="str">
        <f>IFERROR(INDEX(SCNtoISIC!$K:$K,MATCH($B107,SCNtoISIC!$I:$I,0)),0)</f>
        <v>Accomodation and food services</v>
      </c>
      <c r="D107" s="51" t="s">
        <v>404</v>
      </c>
      <c r="E107" s="52">
        <v>4</v>
      </c>
      <c r="F107" s="52">
        <v>1</v>
      </c>
      <c r="G107" s="52">
        <v>4</v>
      </c>
      <c r="H107" s="52">
        <v>11</v>
      </c>
      <c r="I107" s="52">
        <v>166</v>
      </c>
      <c r="J107" s="52">
        <v>53</v>
      </c>
      <c r="K107" s="52">
        <v>17</v>
      </c>
      <c r="L107" s="52">
        <v>237</v>
      </c>
      <c r="M107" s="52">
        <v>36</v>
      </c>
      <c r="N107" s="52">
        <v>262</v>
      </c>
      <c r="O107" s="52">
        <v>49</v>
      </c>
      <c r="P107" s="52">
        <v>36</v>
      </c>
      <c r="Q107" s="52">
        <v>30</v>
      </c>
      <c r="R107" s="52">
        <v>26</v>
      </c>
      <c r="S107" s="52">
        <v>30</v>
      </c>
      <c r="T107" s="52">
        <v>8</v>
      </c>
      <c r="U107" s="52">
        <v>75</v>
      </c>
      <c r="V107" s="52">
        <v>13</v>
      </c>
      <c r="W107" s="52">
        <v>21</v>
      </c>
      <c r="X107" s="52">
        <v>9</v>
      </c>
      <c r="Y107" s="52">
        <v>129</v>
      </c>
      <c r="Z107" s="52">
        <v>132</v>
      </c>
      <c r="AA107" s="52">
        <v>36</v>
      </c>
      <c r="AB107" s="52">
        <v>178</v>
      </c>
      <c r="AC107" s="52">
        <v>100</v>
      </c>
      <c r="AD107" s="52">
        <v>82</v>
      </c>
      <c r="AE107" s="52">
        <v>155</v>
      </c>
      <c r="AF107" s="52">
        <v>26</v>
      </c>
      <c r="AG107" s="52">
        <v>175</v>
      </c>
      <c r="AH107" s="52">
        <v>142</v>
      </c>
      <c r="AI107" s="52">
        <v>127</v>
      </c>
      <c r="AJ107" s="52">
        <v>347</v>
      </c>
      <c r="AK107" s="52">
        <v>158</v>
      </c>
      <c r="AL107" s="52">
        <v>99</v>
      </c>
      <c r="AM107" s="52">
        <v>62</v>
      </c>
      <c r="AN107" s="52">
        <v>107</v>
      </c>
      <c r="AO107" s="52">
        <v>50</v>
      </c>
      <c r="AP107" s="52">
        <v>173</v>
      </c>
      <c r="AQ107" s="52">
        <v>15</v>
      </c>
      <c r="AR107" s="52">
        <v>1510</v>
      </c>
      <c r="AS107" s="52">
        <v>399</v>
      </c>
      <c r="AT107" s="52">
        <v>2336</v>
      </c>
      <c r="AU107" s="52">
        <v>188</v>
      </c>
      <c r="AV107" s="52">
        <v>6</v>
      </c>
      <c r="AW107" s="52">
        <v>65</v>
      </c>
      <c r="AX107" s="52">
        <v>168</v>
      </c>
      <c r="AY107" s="52">
        <v>0</v>
      </c>
      <c r="AZ107" s="52">
        <v>28</v>
      </c>
      <c r="BA107" s="52">
        <v>106</v>
      </c>
      <c r="BB107" s="52">
        <v>151</v>
      </c>
      <c r="BC107" s="52">
        <v>115</v>
      </c>
      <c r="BD107" s="52">
        <v>401</v>
      </c>
      <c r="BE107" s="52">
        <v>933</v>
      </c>
      <c r="BF107" s="52">
        <v>51</v>
      </c>
      <c r="BG107" s="52">
        <v>265</v>
      </c>
      <c r="BH107" s="52">
        <v>324</v>
      </c>
      <c r="BI107" s="52">
        <v>133</v>
      </c>
      <c r="BJ107" s="52">
        <v>135</v>
      </c>
      <c r="BK107" s="52">
        <v>150</v>
      </c>
      <c r="BL107" s="52">
        <v>41</v>
      </c>
      <c r="BM107" s="52">
        <v>2520</v>
      </c>
      <c r="BN107" s="52">
        <v>357</v>
      </c>
      <c r="BO107" s="52">
        <v>290</v>
      </c>
      <c r="BP107" s="52">
        <v>367</v>
      </c>
      <c r="BQ107" s="52">
        <v>0</v>
      </c>
      <c r="BR107" s="52">
        <v>143</v>
      </c>
      <c r="BS107" s="52">
        <v>7986</v>
      </c>
      <c r="BT107" s="52">
        <v>0</v>
      </c>
      <c r="BU107" s="52">
        <v>22549</v>
      </c>
      <c r="BV107" s="52">
        <v>4185</v>
      </c>
      <c r="BW107" s="52">
        <v>0</v>
      </c>
      <c r="BX107" s="52">
        <v>0</v>
      </c>
      <c r="BY107" s="52">
        <v>8109</v>
      </c>
      <c r="BZ107" s="52">
        <v>0</v>
      </c>
      <c r="CA107" s="52">
        <v>0</v>
      </c>
      <c r="CB107" s="52">
        <v>12294</v>
      </c>
      <c r="CC107" s="52">
        <v>34843</v>
      </c>
    </row>
    <row r="108" spans="1:81" ht="8.25" customHeight="1">
      <c r="A108" s="48">
        <v>56001</v>
      </c>
      <c r="B108" s="49" t="str">
        <f>IFERROR(INDEX(SCNtoISIC!$I:$I,MATCH($A108,SCNtoISIC!$G:$G,0)),0)</f>
        <v>ISIC 58T60</v>
      </c>
      <c r="C108" s="50" t="str">
        <f>IFERROR(INDEX(SCNtoISIC!$K:$K,MATCH($B108,SCNtoISIC!$I:$I,0)),0)</f>
        <v>Publishing, audiovisual and broadcasting activities</v>
      </c>
      <c r="D108" s="51" t="s">
        <v>406</v>
      </c>
      <c r="E108" s="52">
        <v>1</v>
      </c>
      <c r="F108" s="52">
        <v>0</v>
      </c>
      <c r="G108" s="52">
        <v>2</v>
      </c>
      <c r="H108" s="52">
        <v>1</v>
      </c>
      <c r="I108" s="52">
        <v>105</v>
      </c>
      <c r="J108" s="52">
        <v>0</v>
      </c>
      <c r="K108" s="52">
        <v>5</v>
      </c>
      <c r="L108" s="52">
        <v>2</v>
      </c>
      <c r="M108" s="52">
        <v>0</v>
      </c>
      <c r="N108" s="52">
        <v>89</v>
      </c>
      <c r="O108" s="52">
        <v>1</v>
      </c>
      <c r="P108" s="52">
        <v>0</v>
      </c>
      <c r="Q108" s="52">
        <v>7</v>
      </c>
      <c r="R108" s="52">
        <v>2</v>
      </c>
      <c r="S108" s="52">
        <v>0</v>
      </c>
      <c r="T108" s="52">
        <v>0</v>
      </c>
      <c r="U108" s="52">
        <v>4</v>
      </c>
      <c r="V108" s="52">
        <v>11</v>
      </c>
      <c r="W108" s="52">
        <v>0</v>
      </c>
      <c r="X108" s="52">
        <v>1</v>
      </c>
      <c r="Y108" s="52">
        <v>68</v>
      </c>
      <c r="Z108" s="52">
        <v>82</v>
      </c>
      <c r="AA108" s="52">
        <v>1</v>
      </c>
      <c r="AB108" s="52">
        <v>178</v>
      </c>
      <c r="AC108" s="52">
        <v>9</v>
      </c>
      <c r="AD108" s="52">
        <v>0</v>
      </c>
      <c r="AE108" s="52">
        <v>21</v>
      </c>
      <c r="AF108" s="52">
        <v>39</v>
      </c>
      <c r="AG108" s="52">
        <v>24</v>
      </c>
      <c r="AH108" s="52">
        <v>1</v>
      </c>
      <c r="AI108" s="52">
        <v>0</v>
      </c>
      <c r="AJ108" s="52">
        <v>78</v>
      </c>
      <c r="AK108" s="52">
        <v>332</v>
      </c>
      <c r="AL108" s="52">
        <v>8</v>
      </c>
      <c r="AM108" s="52">
        <v>0</v>
      </c>
      <c r="AN108" s="52">
        <v>0</v>
      </c>
      <c r="AO108" s="52">
        <v>48</v>
      </c>
      <c r="AP108" s="52">
        <v>166</v>
      </c>
      <c r="AQ108" s="52">
        <v>1</v>
      </c>
      <c r="AR108" s="52">
        <v>0</v>
      </c>
      <c r="AS108" s="52">
        <v>126</v>
      </c>
      <c r="AT108" s="52">
        <v>360</v>
      </c>
      <c r="AU108" s="52">
        <v>10</v>
      </c>
      <c r="AV108" s="52">
        <v>0</v>
      </c>
      <c r="AW108" s="52">
        <v>726</v>
      </c>
      <c r="AX108" s="52">
        <v>16</v>
      </c>
      <c r="AY108" s="52">
        <v>162</v>
      </c>
      <c r="AZ108" s="52">
        <v>0</v>
      </c>
      <c r="BA108" s="52">
        <v>0</v>
      </c>
      <c r="BB108" s="52">
        <v>312</v>
      </c>
      <c r="BC108" s="52">
        <v>44</v>
      </c>
      <c r="BD108" s="52">
        <v>5</v>
      </c>
      <c r="BE108" s="52">
        <v>2655</v>
      </c>
      <c r="BF108" s="52">
        <v>50</v>
      </c>
      <c r="BG108" s="52">
        <v>949</v>
      </c>
      <c r="BH108" s="52">
        <v>1</v>
      </c>
      <c r="BI108" s="52">
        <v>180</v>
      </c>
      <c r="BJ108" s="52">
        <v>0</v>
      </c>
      <c r="BK108" s="52">
        <v>1035</v>
      </c>
      <c r="BL108" s="52">
        <v>4</v>
      </c>
      <c r="BM108" s="52">
        <v>8903</v>
      </c>
      <c r="BN108" s="52">
        <v>1398</v>
      </c>
      <c r="BO108" s="52">
        <v>145</v>
      </c>
      <c r="BP108" s="52">
        <v>3772</v>
      </c>
      <c r="BQ108" s="52">
        <v>2153</v>
      </c>
      <c r="BR108" s="52">
        <v>34</v>
      </c>
      <c r="BS108" s="52">
        <v>8068</v>
      </c>
      <c r="BT108" s="52">
        <v>0</v>
      </c>
      <c r="BU108" s="52">
        <v>32395</v>
      </c>
      <c r="BV108" s="52">
        <v>2963</v>
      </c>
      <c r="BW108" s="52">
        <v>0</v>
      </c>
      <c r="BX108" s="52">
        <v>0</v>
      </c>
      <c r="BY108" s="52">
        <v>170847</v>
      </c>
      <c r="BZ108" s="52">
        <v>0</v>
      </c>
      <c r="CA108" s="52">
        <v>0</v>
      </c>
      <c r="CB108" s="52">
        <v>173810</v>
      </c>
      <c r="CC108" s="52">
        <v>206205</v>
      </c>
    </row>
    <row r="109" spans="1:81" ht="8.25" customHeight="1">
      <c r="A109" s="48">
        <v>58001</v>
      </c>
      <c r="B109" s="49" t="str">
        <f>IFERROR(INDEX(SCNtoISIC!$I:$I,MATCH($A109,SCNtoISIC!$G:$G,0)),0)</f>
        <v>ISIC 58T60</v>
      </c>
      <c r="C109" s="50" t="str">
        <f>IFERROR(INDEX(SCNtoISIC!$K:$K,MATCH($B109,SCNtoISIC!$I:$I,0)),0)</f>
        <v>Publishing, audiovisual and broadcasting activities</v>
      </c>
      <c r="D109" s="51" t="s">
        <v>408</v>
      </c>
      <c r="E109" s="52">
        <v>0</v>
      </c>
      <c r="F109" s="52">
        <v>0</v>
      </c>
      <c r="G109" s="52">
        <v>0</v>
      </c>
      <c r="H109" s="52">
        <v>0</v>
      </c>
      <c r="I109" s="52">
        <v>0</v>
      </c>
      <c r="J109" s="52">
        <v>0</v>
      </c>
      <c r="K109" s="52">
        <v>0</v>
      </c>
      <c r="L109" s="52">
        <v>0</v>
      </c>
      <c r="M109" s="52">
        <v>0</v>
      </c>
      <c r="N109" s="52">
        <v>0</v>
      </c>
      <c r="O109" s="52">
        <v>0</v>
      </c>
      <c r="P109" s="52">
        <v>0</v>
      </c>
      <c r="Q109" s="52">
        <v>0</v>
      </c>
      <c r="R109" s="52">
        <v>0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2">
        <v>0</v>
      </c>
      <c r="Y109" s="52">
        <v>166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2">
        <v>0</v>
      </c>
      <c r="AG109" s="52">
        <v>0</v>
      </c>
      <c r="AH109" s="52">
        <v>0</v>
      </c>
      <c r="AI109" s="52">
        <v>0</v>
      </c>
      <c r="AJ109" s="52">
        <v>0</v>
      </c>
      <c r="AK109" s="52">
        <v>0</v>
      </c>
      <c r="AL109" s="52">
        <v>3</v>
      </c>
      <c r="AM109" s="52">
        <v>0</v>
      </c>
      <c r="AN109" s="52">
        <v>0</v>
      </c>
      <c r="AO109" s="52">
        <v>15</v>
      </c>
      <c r="AP109" s="52">
        <v>117</v>
      </c>
      <c r="AQ109" s="52">
        <v>5</v>
      </c>
      <c r="AR109" s="52">
        <v>0</v>
      </c>
      <c r="AS109" s="52">
        <v>0</v>
      </c>
      <c r="AT109" s="52">
        <v>263</v>
      </c>
      <c r="AU109" s="52">
        <v>0</v>
      </c>
      <c r="AV109" s="52">
        <v>0</v>
      </c>
      <c r="AW109" s="52">
        <v>0</v>
      </c>
      <c r="AX109" s="52">
        <v>0</v>
      </c>
      <c r="AY109" s="52">
        <v>72</v>
      </c>
      <c r="AZ109" s="52">
        <v>0</v>
      </c>
      <c r="BA109" s="52">
        <v>32</v>
      </c>
      <c r="BB109" s="52">
        <v>3</v>
      </c>
      <c r="BC109" s="52">
        <v>186</v>
      </c>
      <c r="BD109" s="52">
        <v>1</v>
      </c>
      <c r="BE109" s="52">
        <v>2404</v>
      </c>
      <c r="BF109" s="52">
        <v>51</v>
      </c>
      <c r="BG109" s="52">
        <v>335</v>
      </c>
      <c r="BH109" s="52">
        <v>188</v>
      </c>
      <c r="BI109" s="52">
        <v>3425</v>
      </c>
      <c r="BJ109" s="52">
        <v>24</v>
      </c>
      <c r="BK109" s="52">
        <v>4</v>
      </c>
      <c r="BL109" s="52">
        <v>0</v>
      </c>
      <c r="BM109" s="52">
        <v>1010</v>
      </c>
      <c r="BN109" s="52">
        <v>3167</v>
      </c>
      <c r="BO109" s="52">
        <v>2045</v>
      </c>
      <c r="BP109" s="52">
        <v>34</v>
      </c>
      <c r="BQ109" s="52">
        <v>140</v>
      </c>
      <c r="BR109" s="52">
        <v>0</v>
      </c>
      <c r="BS109" s="52">
        <v>248</v>
      </c>
      <c r="BT109" s="52">
        <v>0</v>
      </c>
      <c r="BU109" s="52">
        <v>13938</v>
      </c>
      <c r="BV109" s="52">
        <v>744</v>
      </c>
      <c r="BW109" s="52">
        <v>0</v>
      </c>
      <c r="BX109" s="52">
        <v>0</v>
      </c>
      <c r="BY109" s="52">
        <v>18390</v>
      </c>
      <c r="BZ109" s="52">
        <v>0</v>
      </c>
      <c r="CA109" s="52">
        <v>335</v>
      </c>
      <c r="CB109" s="52">
        <v>19469</v>
      </c>
      <c r="CC109" s="52">
        <v>33407</v>
      </c>
    </row>
    <row r="110" spans="1:81" ht="8.25" customHeight="1">
      <c r="A110" s="48">
        <v>59801</v>
      </c>
      <c r="B110" s="49" t="str">
        <f>IFERROR(INDEX(SCNtoISIC!$I:$I,MATCH($A110,SCNtoISIC!$G:$G,0)),0)</f>
        <v>ISIC 58T60</v>
      </c>
      <c r="C110" s="50" t="str">
        <f>IFERROR(INDEX(SCNtoISIC!$K:$K,MATCH($B110,SCNtoISIC!$I:$I,0)),0)</f>
        <v>Publishing, audiovisual and broadcasting activities</v>
      </c>
      <c r="D110" s="51" t="s">
        <v>409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2">
        <v>0</v>
      </c>
      <c r="AG110" s="52">
        <v>0</v>
      </c>
      <c r="AH110" s="52">
        <v>0</v>
      </c>
      <c r="AI110" s="52">
        <v>0</v>
      </c>
      <c r="AJ110" s="52">
        <v>0</v>
      </c>
      <c r="AK110" s="52">
        <v>0</v>
      </c>
      <c r="AL110" s="52">
        <v>0</v>
      </c>
      <c r="AM110" s="52">
        <v>0</v>
      </c>
      <c r="AN110" s="52">
        <v>0</v>
      </c>
      <c r="AO110" s="52">
        <v>0</v>
      </c>
      <c r="AP110" s="52">
        <v>0</v>
      </c>
      <c r="AQ110" s="52">
        <v>0</v>
      </c>
      <c r="AR110" s="52">
        <v>0</v>
      </c>
      <c r="AS110" s="52">
        <v>0</v>
      </c>
      <c r="AT110" s="52">
        <v>0</v>
      </c>
      <c r="AU110" s="52">
        <v>1</v>
      </c>
      <c r="AV110" s="52">
        <v>0</v>
      </c>
      <c r="AW110" s="52">
        <v>0</v>
      </c>
      <c r="AX110" s="52">
        <v>0</v>
      </c>
      <c r="AY110" s="52">
        <v>4</v>
      </c>
      <c r="AZ110" s="52">
        <v>0</v>
      </c>
      <c r="BA110" s="52">
        <v>13</v>
      </c>
      <c r="BB110" s="52">
        <v>4043</v>
      </c>
      <c r="BC110" s="52">
        <v>4091</v>
      </c>
      <c r="BD110" s="52">
        <v>1</v>
      </c>
      <c r="BE110" s="52">
        <v>2</v>
      </c>
      <c r="BF110" s="52">
        <v>0</v>
      </c>
      <c r="BG110" s="52">
        <v>0</v>
      </c>
      <c r="BH110" s="52">
        <v>0</v>
      </c>
      <c r="BI110" s="52">
        <v>28579</v>
      </c>
      <c r="BJ110" s="52">
        <v>0</v>
      </c>
      <c r="BK110" s="52">
        <v>18</v>
      </c>
      <c r="BL110" s="52">
        <v>3</v>
      </c>
      <c r="BM110" s="52">
        <v>0</v>
      </c>
      <c r="BN110" s="52">
        <v>0</v>
      </c>
      <c r="BO110" s="52">
        <v>0</v>
      </c>
      <c r="BP110" s="52">
        <v>0</v>
      </c>
      <c r="BQ110" s="52">
        <v>0</v>
      </c>
      <c r="BR110" s="52">
        <v>75</v>
      </c>
      <c r="BS110" s="52">
        <v>0</v>
      </c>
      <c r="BT110" s="52">
        <v>0</v>
      </c>
      <c r="BU110" s="52">
        <v>36830</v>
      </c>
      <c r="BV110" s="52">
        <v>42</v>
      </c>
      <c r="BW110" s="52">
        <v>0</v>
      </c>
      <c r="BX110" s="52">
        <v>0</v>
      </c>
      <c r="BY110" s="52">
        <v>1554</v>
      </c>
      <c r="BZ110" s="52">
        <v>0</v>
      </c>
      <c r="CA110" s="52">
        <v>0</v>
      </c>
      <c r="CB110" s="52">
        <v>1596</v>
      </c>
      <c r="CC110" s="52">
        <v>38426</v>
      </c>
    </row>
    <row r="111" spans="1:81" ht="8.25" customHeight="1">
      <c r="A111" s="48">
        <v>61001</v>
      </c>
      <c r="B111" s="49" t="str">
        <f>IFERROR(INDEX(SCNtoISIC!$I:$I,MATCH($A111,SCNtoISIC!$G:$G,0)),0)</f>
        <v>ISIC 61</v>
      </c>
      <c r="C111" s="50" t="str">
        <f>IFERROR(INDEX(SCNtoISIC!$K:$K,MATCH($B111,SCNtoISIC!$I:$I,0)),0)</f>
        <v>Telecommunications</v>
      </c>
      <c r="D111" s="51" t="s">
        <v>410</v>
      </c>
      <c r="E111" s="52">
        <v>7</v>
      </c>
      <c r="F111" s="52">
        <v>4</v>
      </c>
      <c r="G111" s="52">
        <v>10</v>
      </c>
      <c r="H111" s="52">
        <v>35</v>
      </c>
      <c r="I111" s="52">
        <v>474</v>
      </c>
      <c r="J111" s="52">
        <v>70</v>
      </c>
      <c r="K111" s="52">
        <v>28</v>
      </c>
      <c r="L111" s="52">
        <v>646</v>
      </c>
      <c r="M111" s="52">
        <v>243</v>
      </c>
      <c r="N111" s="52">
        <v>1363</v>
      </c>
      <c r="O111" s="52">
        <v>383</v>
      </c>
      <c r="P111" s="52">
        <v>25</v>
      </c>
      <c r="Q111" s="52">
        <v>254</v>
      </c>
      <c r="R111" s="52">
        <v>690</v>
      </c>
      <c r="S111" s="52">
        <v>189</v>
      </c>
      <c r="T111" s="52">
        <v>88</v>
      </c>
      <c r="U111" s="52">
        <v>367</v>
      </c>
      <c r="V111" s="52">
        <v>438</v>
      </c>
      <c r="W111" s="52">
        <v>165</v>
      </c>
      <c r="X111" s="52">
        <v>91</v>
      </c>
      <c r="Y111" s="52">
        <v>301</v>
      </c>
      <c r="Z111" s="52">
        <v>279</v>
      </c>
      <c r="AA111" s="52">
        <v>31</v>
      </c>
      <c r="AB111" s="52">
        <v>242</v>
      </c>
      <c r="AC111" s="52">
        <v>380</v>
      </c>
      <c r="AD111" s="52">
        <v>552</v>
      </c>
      <c r="AE111" s="52">
        <v>186</v>
      </c>
      <c r="AF111" s="52">
        <v>69</v>
      </c>
      <c r="AG111" s="52">
        <v>477</v>
      </c>
      <c r="AH111" s="52">
        <v>787</v>
      </c>
      <c r="AI111" s="52">
        <v>513</v>
      </c>
      <c r="AJ111" s="52">
        <v>584</v>
      </c>
      <c r="AK111" s="52">
        <v>1701</v>
      </c>
      <c r="AL111" s="52">
        <v>1529</v>
      </c>
      <c r="AM111" s="52">
        <v>252</v>
      </c>
      <c r="AN111" s="52">
        <v>523</v>
      </c>
      <c r="AO111" s="52">
        <v>104</v>
      </c>
      <c r="AP111" s="52">
        <v>419</v>
      </c>
      <c r="AQ111" s="52">
        <v>167</v>
      </c>
      <c r="AR111" s="52">
        <v>1639</v>
      </c>
      <c r="AS111" s="52">
        <v>1386</v>
      </c>
      <c r="AT111" s="52">
        <v>6485</v>
      </c>
      <c r="AU111" s="52">
        <v>976</v>
      </c>
      <c r="AV111" s="52">
        <v>39</v>
      </c>
      <c r="AW111" s="52">
        <v>70</v>
      </c>
      <c r="AX111" s="52">
        <v>757</v>
      </c>
      <c r="AY111" s="52">
        <v>233</v>
      </c>
      <c r="AZ111" s="52">
        <v>693</v>
      </c>
      <c r="BA111" s="52">
        <v>225</v>
      </c>
      <c r="BB111" s="52">
        <v>384</v>
      </c>
      <c r="BC111" s="52">
        <v>27993</v>
      </c>
      <c r="BD111" s="52">
        <v>1379</v>
      </c>
      <c r="BE111" s="52">
        <v>10840</v>
      </c>
      <c r="BF111" s="52">
        <v>660</v>
      </c>
      <c r="BG111" s="52">
        <v>2608</v>
      </c>
      <c r="BH111" s="52">
        <v>505</v>
      </c>
      <c r="BI111" s="52">
        <v>2041</v>
      </c>
      <c r="BJ111" s="52">
        <v>136</v>
      </c>
      <c r="BK111" s="52">
        <v>1943</v>
      </c>
      <c r="BL111" s="52">
        <v>286</v>
      </c>
      <c r="BM111" s="52">
        <v>5099</v>
      </c>
      <c r="BN111" s="52">
        <v>950</v>
      </c>
      <c r="BO111" s="52">
        <v>1207</v>
      </c>
      <c r="BP111" s="52">
        <v>415</v>
      </c>
      <c r="BQ111" s="52">
        <v>943</v>
      </c>
      <c r="BR111" s="52">
        <v>278</v>
      </c>
      <c r="BS111" s="52">
        <v>1985</v>
      </c>
      <c r="BT111" s="52">
        <v>0</v>
      </c>
      <c r="BU111" s="52">
        <v>86821</v>
      </c>
      <c r="BV111" s="52">
        <v>736</v>
      </c>
      <c r="BW111" s="52">
        <v>0</v>
      </c>
      <c r="BX111" s="52">
        <v>0</v>
      </c>
      <c r="BY111" s="52">
        <v>107459</v>
      </c>
      <c r="BZ111" s="52">
        <v>0</v>
      </c>
      <c r="CA111" s="52">
        <v>0</v>
      </c>
      <c r="CB111" s="52">
        <v>108195</v>
      </c>
      <c r="CC111" s="52">
        <v>195016</v>
      </c>
    </row>
    <row r="112" spans="1:81" ht="8.25" customHeight="1">
      <c r="A112" s="53">
        <v>62801</v>
      </c>
      <c r="B112" s="49" t="str">
        <f>IFERROR(INDEX(SCNtoISIC!$I:$I,MATCH($A112,SCNtoISIC!$G:$G,0)),0)</f>
        <v>ISIC 62T63</v>
      </c>
      <c r="C112" s="50" t="str">
        <f>IFERROR(INDEX(SCNtoISIC!$K:$K,MATCH($B112,SCNtoISIC!$I:$I,0)),0)</f>
        <v>IT and other information services</v>
      </c>
      <c r="D112" s="54" t="s">
        <v>308</v>
      </c>
      <c r="E112" s="32">
        <v>14</v>
      </c>
      <c r="F112" s="32">
        <v>8</v>
      </c>
      <c r="G112" s="32">
        <v>1</v>
      </c>
      <c r="H112" s="32">
        <v>1</v>
      </c>
      <c r="I112" s="32">
        <v>40</v>
      </c>
      <c r="J112" s="32">
        <v>134</v>
      </c>
      <c r="K112" s="32">
        <v>24</v>
      </c>
      <c r="L112" s="32">
        <v>310</v>
      </c>
      <c r="M112" s="32">
        <v>11</v>
      </c>
      <c r="N112" s="32">
        <v>605</v>
      </c>
      <c r="O112" s="32">
        <v>52</v>
      </c>
      <c r="P112" s="32">
        <v>36</v>
      </c>
      <c r="Q112" s="32">
        <v>36</v>
      </c>
      <c r="R112" s="32">
        <v>46</v>
      </c>
      <c r="S112" s="32">
        <v>11</v>
      </c>
      <c r="T112" s="32">
        <v>9</v>
      </c>
      <c r="U112" s="32">
        <v>116</v>
      </c>
      <c r="V112" s="32">
        <v>5</v>
      </c>
      <c r="W112" s="32">
        <v>24</v>
      </c>
      <c r="X112" s="32">
        <v>2</v>
      </c>
      <c r="Y112" s="32">
        <v>273</v>
      </c>
      <c r="Z112" s="32">
        <v>173</v>
      </c>
      <c r="AA112" s="32">
        <v>14</v>
      </c>
      <c r="AB112" s="32">
        <v>274</v>
      </c>
      <c r="AC112" s="32">
        <v>112</v>
      </c>
      <c r="AD112" s="32">
        <v>80</v>
      </c>
      <c r="AE112" s="32">
        <v>126</v>
      </c>
      <c r="AF112" s="32">
        <v>18</v>
      </c>
      <c r="AG112" s="32">
        <v>94</v>
      </c>
      <c r="AH112" s="32">
        <v>178</v>
      </c>
      <c r="AI112" s="32">
        <v>280</v>
      </c>
      <c r="AJ112" s="32">
        <v>164</v>
      </c>
      <c r="AK112" s="32">
        <v>775</v>
      </c>
      <c r="AL112" s="32">
        <v>107</v>
      </c>
      <c r="AM112" s="32">
        <v>59</v>
      </c>
      <c r="AN112" s="32">
        <v>96</v>
      </c>
      <c r="AO112" s="32">
        <v>51</v>
      </c>
      <c r="AP112" s="32">
        <v>799</v>
      </c>
      <c r="AQ112" s="32">
        <v>188</v>
      </c>
      <c r="AR112" s="32">
        <v>462</v>
      </c>
      <c r="AS112" s="32">
        <v>377</v>
      </c>
      <c r="AT112" s="32">
        <v>5518</v>
      </c>
      <c r="AU112" s="32">
        <v>635</v>
      </c>
      <c r="AV112" s="32">
        <v>1</v>
      </c>
      <c r="AW112" s="32">
        <v>550</v>
      </c>
      <c r="AX112" s="32">
        <v>750</v>
      </c>
      <c r="AY112" s="32">
        <v>53</v>
      </c>
      <c r="AZ112" s="32">
        <v>65</v>
      </c>
      <c r="BA112" s="32">
        <v>546</v>
      </c>
      <c r="BB112" s="32">
        <v>831</v>
      </c>
      <c r="BC112" s="32">
        <v>2660</v>
      </c>
      <c r="BD112" s="32">
        <v>5142</v>
      </c>
      <c r="BE112" s="32">
        <v>12035</v>
      </c>
      <c r="BF112" s="32">
        <v>266</v>
      </c>
      <c r="BG112" s="32">
        <v>1712</v>
      </c>
      <c r="BH112" s="32">
        <v>38</v>
      </c>
      <c r="BI112" s="32">
        <v>2644</v>
      </c>
      <c r="BJ112" s="32">
        <v>283</v>
      </c>
      <c r="BK112" s="32">
        <v>735</v>
      </c>
      <c r="BL112" s="32">
        <v>114</v>
      </c>
      <c r="BM112" s="32">
        <v>8685</v>
      </c>
      <c r="BN112" s="32">
        <v>1053</v>
      </c>
      <c r="BO112" s="32">
        <v>273</v>
      </c>
      <c r="BP112" s="32">
        <v>1710</v>
      </c>
      <c r="BQ112" s="32">
        <v>0</v>
      </c>
      <c r="BR112" s="32">
        <v>116</v>
      </c>
      <c r="BS112" s="32">
        <v>1156</v>
      </c>
      <c r="BT112" s="32">
        <v>0</v>
      </c>
      <c r="BU112" s="32">
        <v>53756</v>
      </c>
      <c r="BV112" s="32">
        <v>1184</v>
      </c>
      <c r="BW112" s="32">
        <v>0</v>
      </c>
      <c r="BX112" s="32">
        <v>0</v>
      </c>
      <c r="BY112" s="32">
        <v>342</v>
      </c>
      <c r="BZ112" s="32">
        <v>49237</v>
      </c>
      <c r="CA112" s="32">
        <v>60</v>
      </c>
      <c r="CB112" s="32">
        <v>50823</v>
      </c>
      <c r="CC112" s="32">
        <v>104579</v>
      </c>
    </row>
    <row r="113" spans="1:81" ht="8.25" customHeight="1">
      <c r="A113" s="53">
        <v>64801</v>
      </c>
      <c r="B113" s="49" t="str">
        <f>IFERROR(INDEX(SCNtoISIC!$I:$I,MATCH($A113,SCNtoISIC!$G:$G,0)),0)</f>
        <v>ISIC 64T66</v>
      </c>
      <c r="C113" s="50" t="str">
        <f>IFERROR(INDEX(SCNtoISIC!$K:$K,MATCH($B113,SCNtoISIC!$I:$I,0)),0)</f>
        <v>Financial and insurance activities</v>
      </c>
      <c r="D113" s="54" t="s">
        <v>312</v>
      </c>
      <c r="E113" s="32">
        <v>4357</v>
      </c>
      <c r="F113" s="32">
        <v>1649</v>
      </c>
      <c r="G113" s="32">
        <v>396</v>
      </c>
      <c r="H113" s="32">
        <v>624</v>
      </c>
      <c r="I113" s="32">
        <v>4150</v>
      </c>
      <c r="J113" s="32">
        <v>2001</v>
      </c>
      <c r="K113" s="32">
        <v>353</v>
      </c>
      <c r="L113" s="32">
        <v>4471</v>
      </c>
      <c r="M113" s="32">
        <v>1804</v>
      </c>
      <c r="N113" s="32">
        <v>4434</v>
      </c>
      <c r="O113" s="32">
        <v>1417</v>
      </c>
      <c r="P113" s="32">
        <v>350</v>
      </c>
      <c r="Q113" s="32">
        <v>884</v>
      </c>
      <c r="R113" s="32">
        <v>1047</v>
      </c>
      <c r="S113" s="32">
        <v>753</v>
      </c>
      <c r="T113" s="32">
        <v>507</v>
      </c>
      <c r="U113" s="32">
        <v>1842</v>
      </c>
      <c r="V113" s="32">
        <v>397</v>
      </c>
      <c r="W113" s="32">
        <v>2985</v>
      </c>
      <c r="X113" s="32">
        <v>626</v>
      </c>
      <c r="Y113" s="32">
        <v>3233</v>
      </c>
      <c r="Z113" s="32">
        <v>1260</v>
      </c>
      <c r="AA113" s="32">
        <v>681</v>
      </c>
      <c r="AB113" s="32">
        <v>869</v>
      </c>
      <c r="AC113" s="32">
        <v>1812</v>
      </c>
      <c r="AD113" s="32">
        <v>2115</v>
      </c>
      <c r="AE113" s="32">
        <v>2743</v>
      </c>
      <c r="AF113" s="32">
        <v>1034</v>
      </c>
      <c r="AG113" s="32">
        <v>1730</v>
      </c>
      <c r="AH113" s="32">
        <v>1500</v>
      </c>
      <c r="AI113" s="32">
        <v>1466</v>
      </c>
      <c r="AJ113" s="32">
        <v>2361</v>
      </c>
      <c r="AK113" s="32">
        <v>3755</v>
      </c>
      <c r="AL113" s="32">
        <v>1417</v>
      </c>
      <c r="AM113" s="32">
        <v>942</v>
      </c>
      <c r="AN113" s="32">
        <v>1032</v>
      </c>
      <c r="AO113" s="32">
        <v>584</v>
      </c>
      <c r="AP113" s="32">
        <v>5350</v>
      </c>
      <c r="AQ113" s="32">
        <v>1028</v>
      </c>
      <c r="AR113" s="32">
        <v>9605</v>
      </c>
      <c r="AS113" s="32">
        <v>2659</v>
      </c>
      <c r="AT113" s="32">
        <v>21704</v>
      </c>
      <c r="AU113" s="32">
        <v>7469</v>
      </c>
      <c r="AV113" s="32">
        <v>433</v>
      </c>
      <c r="AW113" s="32">
        <v>1114</v>
      </c>
      <c r="AX113" s="32">
        <v>2651</v>
      </c>
      <c r="AY113" s="32">
        <v>449</v>
      </c>
      <c r="AZ113" s="32">
        <v>2527</v>
      </c>
      <c r="BA113" s="32">
        <v>551</v>
      </c>
      <c r="BB113" s="32">
        <v>851</v>
      </c>
      <c r="BC113" s="32">
        <v>5943</v>
      </c>
      <c r="BD113" s="32">
        <v>1795</v>
      </c>
      <c r="BE113" s="32">
        <v>58105</v>
      </c>
      <c r="BF113" s="32">
        <v>16613</v>
      </c>
      <c r="BG113" s="32">
        <v>3384</v>
      </c>
      <c r="BH113" s="32">
        <v>1431</v>
      </c>
      <c r="BI113" s="32">
        <v>695</v>
      </c>
      <c r="BJ113" s="32">
        <v>1151</v>
      </c>
      <c r="BK113" s="32">
        <v>3821</v>
      </c>
      <c r="BL113" s="32">
        <v>733</v>
      </c>
      <c r="BM113" s="32">
        <v>44736</v>
      </c>
      <c r="BN113" s="32">
        <v>411</v>
      </c>
      <c r="BO113" s="32">
        <v>1171</v>
      </c>
      <c r="BP113" s="32">
        <v>302</v>
      </c>
      <c r="BQ113" s="32">
        <v>3536</v>
      </c>
      <c r="BR113" s="32">
        <v>670</v>
      </c>
      <c r="BS113" s="32">
        <v>2176</v>
      </c>
      <c r="BT113" s="32">
        <v>0</v>
      </c>
      <c r="BU113" s="32">
        <v>266645</v>
      </c>
      <c r="BV113" s="32">
        <v>8293</v>
      </c>
      <c r="BW113" s="32">
        <v>2225</v>
      </c>
      <c r="BX113" s="32">
        <v>0</v>
      </c>
      <c r="BY113" s="32">
        <v>209581</v>
      </c>
      <c r="BZ113" s="32">
        <v>0</v>
      </c>
      <c r="CA113" s="32">
        <v>0</v>
      </c>
      <c r="CB113" s="32">
        <v>220099</v>
      </c>
      <c r="CC113" s="32">
        <v>486744</v>
      </c>
    </row>
    <row r="114" spans="1:81" ht="8.25" customHeight="1">
      <c r="A114" s="53">
        <v>68001</v>
      </c>
      <c r="B114" s="49" t="str">
        <f>IFERROR(INDEX(SCNtoISIC!$I:$I,MATCH($A114,SCNtoISIC!$G:$G,0)),0)</f>
        <v>ISIC 68</v>
      </c>
      <c r="C114" s="50" t="str">
        <f>IFERROR(INDEX(SCNtoISIC!$K:$K,MATCH($B114,SCNtoISIC!$I:$I,0)),0)</f>
        <v>Real estate activities</v>
      </c>
      <c r="D114" s="54" t="s">
        <v>414</v>
      </c>
      <c r="E114" s="32">
        <v>7</v>
      </c>
      <c r="F114" s="32">
        <v>4</v>
      </c>
      <c r="G114" s="32">
        <v>8</v>
      </c>
      <c r="H114" s="32">
        <v>22</v>
      </c>
      <c r="I114" s="32">
        <v>171</v>
      </c>
      <c r="J114" s="32">
        <v>20</v>
      </c>
      <c r="K114" s="32">
        <v>17</v>
      </c>
      <c r="L114" s="32">
        <v>465</v>
      </c>
      <c r="M114" s="32">
        <v>173</v>
      </c>
      <c r="N114" s="32">
        <v>406</v>
      </c>
      <c r="O114" s="32">
        <v>56</v>
      </c>
      <c r="P114" s="32">
        <v>28</v>
      </c>
      <c r="Q114" s="32">
        <v>282</v>
      </c>
      <c r="R114" s="32">
        <v>359</v>
      </c>
      <c r="S114" s="32">
        <v>86</v>
      </c>
      <c r="T114" s="32">
        <v>27</v>
      </c>
      <c r="U114" s="32">
        <v>127</v>
      </c>
      <c r="V114" s="32">
        <v>53</v>
      </c>
      <c r="W114" s="32">
        <v>98</v>
      </c>
      <c r="X114" s="32">
        <v>97</v>
      </c>
      <c r="Y114" s="32">
        <v>148</v>
      </c>
      <c r="Z114" s="32">
        <v>84</v>
      </c>
      <c r="AA114" s="32">
        <v>133</v>
      </c>
      <c r="AB114" s="32">
        <v>196</v>
      </c>
      <c r="AC114" s="32">
        <v>344</v>
      </c>
      <c r="AD114" s="32">
        <v>189</v>
      </c>
      <c r="AE114" s="32">
        <v>223</v>
      </c>
      <c r="AF114" s="32">
        <v>10</v>
      </c>
      <c r="AG114" s="32">
        <v>228</v>
      </c>
      <c r="AH114" s="32">
        <v>172</v>
      </c>
      <c r="AI114" s="32">
        <v>106</v>
      </c>
      <c r="AJ114" s="32">
        <v>214</v>
      </c>
      <c r="AK114" s="32">
        <v>130</v>
      </c>
      <c r="AL114" s="32">
        <v>201</v>
      </c>
      <c r="AM114" s="32">
        <v>60</v>
      </c>
      <c r="AN114" s="32">
        <v>219</v>
      </c>
      <c r="AO114" s="32">
        <v>46</v>
      </c>
      <c r="AP114" s="32">
        <v>852</v>
      </c>
      <c r="AQ114" s="32">
        <v>244</v>
      </c>
      <c r="AR114" s="32">
        <v>1432</v>
      </c>
      <c r="AS114" s="32">
        <v>3621</v>
      </c>
      <c r="AT114" s="32">
        <v>29032</v>
      </c>
      <c r="AU114" s="32">
        <v>1027</v>
      </c>
      <c r="AV114" s="32">
        <v>65</v>
      </c>
      <c r="AW114" s="32">
        <v>95</v>
      </c>
      <c r="AX114" s="32">
        <v>1962</v>
      </c>
      <c r="AY114" s="32">
        <v>956</v>
      </c>
      <c r="AZ114" s="32">
        <v>4061</v>
      </c>
      <c r="BA114" s="32">
        <v>301</v>
      </c>
      <c r="BB114" s="32">
        <v>494</v>
      </c>
      <c r="BC114" s="32">
        <v>2617</v>
      </c>
      <c r="BD114" s="32">
        <v>1177</v>
      </c>
      <c r="BE114" s="32">
        <v>5795</v>
      </c>
      <c r="BF114" s="32">
        <v>1761</v>
      </c>
      <c r="BG114" s="32">
        <v>3804</v>
      </c>
      <c r="BH114" s="32">
        <v>904</v>
      </c>
      <c r="BI114" s="32">
        <v>864</v>
      </c>
      <c r="BJ114" s="32">
        <v>920</v>
      </c>
      <c r="BK114" s="32">
        <v>2739</v>
      </c>
      <c r="BL114" s="32">
        <v>206</v>
      </c>
      <c r="BM114" s="32">
        <v>2355</v>
      </c>
      <c r="BN114" s="32">
        <v>545</v>
      </c>
      <c r="BO114" s="32">
        <v>3307</v>
      </c>
      <c r="BP114" s="32">
        <v>355</v>
      </c>
      <c r="BQ114" s="32">
        <v>1419</v>
      </c>
      <c r="BR114" s="32">
        <v>3239</v>
      </c>
      <c r="BS114" s="32">
        <v>2524</v>
      </c>
      <c r="BT114" s="32">
        <v>0</v>
      </c>
      <c r="BU114" s="32">
        <v>83882</v>
      </c>
      <c r="BV114" s="32">
        <v>4270</v>
      </c>
      <c r="BW114" s="32">
        <v>0</v>
      </c>
      <c r="BX114" s="32">
        <v>0</v>
      </c>
      <c r="BY114" s="32">
        <v>64404</v>
      </c>
      <c r="BZ114" s="32">
        <v>0</v>
      </c>
      <c r="CA114" s="32">
        <v>0</v>
      </c>
      <c r="CB114" s="32">
        <v>68674</v>
      </c>
      <c r="CC114" s="32">
        <v>152556</v>
      </c>
    </row>
    <row r="115" spans="1:81" ht="8.25" customHeight="1">
      <c r="A115" s="53">
        <v>68002</v>
      </c>
      <c r="B115" s="49" t="str">
        <f>IFERROR(INDEX(SCNtoISIC!$I:$I,MATCH($A115,SCNtoISIC!$G:$G,0)),0)</f>
        <v>ISIC 68</v>
      </c>
      <c r="C115" s="50" t="str">
        <f>IFERROR(INDEX(SCNtoISIC!$K:$K,MATCH($B115,SCNtoISIC!$I:$I,0)),0)</f>
        <v>Real estate activities</v>
      </c>
      <c r="D115" s="54" t="s">
        <v>416</v>
      </c>
      <c r="E115" s="32">
        <v>0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0</v>
      </c>
      <c r="U115" s="32">
        <v>0</v>
      </c>
      <c r="V115" s="32">
        <v>0</v>
      </c>
      <c r="W115" s="32">
        <v>0</v>
      </c>
      <c r="X115" s="32">
        <v>0</v>
      </c>
      <c r="Y115" s="32">
        <v>0</v>
      </c>
      <c r="Z115" s="32">
        <v>0</v>
      </c>
      <c r="AA115" s="32">
        <v>0</v>
      </c>
      <c r="AB115" s="32">
        <v>0</v>
      </c>
      <c r="AC115" s="32">
        <v>0</v>
      </c>
      <c r="AD115" s="32">
        <v>0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 s="32">
        <v>0</v>
      </c>
      <c r="BD115" s="32">
        <v>0</v>
      </c>
      <c r="BE115" s="32">
        <v>0</v>
      </c>
      <c r="BF115" s="32">
        <v>0</v>
      </c>
      <c r="BG115" s="32">
        <v>0</v>
      </c>
      <c r="BH115" s="32">
        <v>0</v>
      </c>
      <c r="BI115" s="32">
        <v>0</v>
      </c>
      <c r="BJ115" s="32">
        <v>0</v>
      </c>
      <c r="BK115" s="32">
        <v>0</v>
      </c>
      <c r="BL115" s="32">
        <v>0</v>
      </c>
      <c r="BM115" s="32">
        <v>0</v>
      </c>
      <c r="BN115" s="32">
        <v>0</v>
      </c>
      <c r="BO115" s="32">
        <v>0</v>
      </c>
      <c r="BP115" s="32">
        <v>0</v>
      </c>
      <c r="BQ115" s="32">
        <v>0</v>
      </c>
      <c r="BR115" s="32">
        <v>0</v>
      </c>
      <c r="BS115" s="32">
        <v>0</v>
      </c>
      <c r="BT115" s="32">
        <v>0</v>
      </c>
      <c r="BU115" s="32">
        <v>0</v>
      </c>
      <c r="BV115" s="32">
        <v>0</v>
      </c>
      <c r="BW115" s="32">
        <v>0</v>
      </c>
      <c r="BX115" s="32">
        <v>0</v>
      </c>
      <c r="BY115" s="32">
        <v>287350</v>
      </c>
      <c r="BZ115" s="32">
        <v>0</v>
      </c>
      <c r="CA115" s="32">
        <v>0</v>
      </c>
      <c r="CB115" s="32">
        <v>287350</v>
      </c>
      <c r="CC115" s="32">
        <v>287350</v>
      </c>
    </row>
    <row r="116" spans="1:81" ht="8.25" customHeight="1">
      <c r="A116" s="53">
        <v>69801</v>
      </c>
      <c r="B116" s="49" t="str">
        <f>IFERROR(INDEX(SCNtoISIC!$I:$I,MATCH($A116,SCNtoISIC!$G:$G,0)),0)</f>
        <v>ISIC 69T82</v>
      </c>
      <c r="C116" s="50" t="str">
        <f>IFERROR(INDEX(SCNtoISIC!$K:$K,MATCH($B116,SCNtoISIC!$I:$I,0)),0)</f>
        <v>Other business sector services</v>
      </c>
      <c r="D116" s="54" t="s">
        <v>417</v>
      </c>
      <c r="E116" s="32">
        <v>17</v>
      </c>
      <c r="F116" s="32">
        <v>9</v>
      </c>
      <c r="G116" s="32">
        <v>47</v>
      </c>
      <c r="H116" s="32">
        <v>401</v>
      </c>
      <c r="I116" s="32">
        <v>6442</v>
      </c>
      <c r="J116" s="32">
        <v>1326</v>
      </c>
      <c r="K116" s="32">
        <v>208</v>
      </c>
      <c r="L116" s="32">
        <v>2485</v>
      </c>
      <c r="M116" s="32">
        <v>827</v>
      </c>
      <c r="N116" s="32">
        <v>5574</v>
      </c>
      <c r="O116" s="32">
        <v>1494</v>
      </c>
      <c r="P116" s="32">
        <v>730</v>
      </c>
      <c r="Q116" s="32">
        <v>360</v>
      </c>
      <c r="R116" s="32">
        <v>226</v>
      </c>
      <c r="S116" s="32">
        <v>185</v>
      </c>
      <c r="T116" s="32">
        <v>251</v>
      </c>
      <c r="U116" s="32">
        <v>1928</v>
      </c>
      <c r="V116" s="32">
        <v>125</v>
      </c>
      <c r="W116" s="32">
        <v>4088</v>
      </c>
      <c r="X116" s="32">
        <v>300</v>
      </c>
      <c r="Y116" s="32">
        <v>2586</v>
      </c>
      <c r="Z116" s="32">
        <v>2455</v>
      </c>
      <c r="AA116" s="32">
        <v>897</v>
      </c>
      <c r="AB116" s="32">
        <v>3517</v>
      </c>
      <c r="AC116" s="32">
        <v>1339</v>
      </c>
      <c r="AD116" s="32">
        <v>1683</v>
      </c>
      <c r="AE116" s="32">
        <v>1452</v>
      </c>
      <c r="AF116" s="32">
        <v>859</v>
      </c>
      <c r="AG116" s="32">
        <v>829</v>
      </c>
      <c r="AH116" s="32">
        <v>1918</v>
      </c>
      <c r="AI116" s="32">
        <v>2101</v>
      </c>
      <c r="AJ116" s="32">
        <v>1433</v>
      </c>
      <c r="AK116" s="32">
        <v>2108</v>
      </c>
      <c r="AL116" s="32">
        <v>991</v>
      </c>
      <c r="AM116" s="32">
        <v>455</v>
      </c>
      <c r="AN116" s="32">
        <v>398</v>
      </c>
      <c r="AO116" s="32">
        <v>460</v>
      </c>
      <c r="AP116" s="32">
        <v>671</v>
      </c>
      <c r="AQ116" s="32">
        <v>923</v>
      </c>
      <c r="AR116" s="32">
        <v>4364</v>
      </c>
      <c r="AS116" s="32">
        <v>5621</v>
      </c>
      <c r="AT116" s="32">
        <v>15807</v>
      </c>
      <c r="AU116" s="32">
        <v>1779</v>
      </c>
      <c r="AV116" s="32">
        <v>161</v>
      </c>
      <c r="AW116" s="32">
        <v>338</v>
      </c>
      <c r="AX116" s="32">
        <v>1329</v>
      </c>
      <c r="AY116" s="32">
        <v>154</v>
      </c>
      <c r="AZ116" s="32">
        <v>667</v>
      </c>
      <c r="BA116" s="32">
        <v>458</v>
      </c>
      <c r="BB116" s="32">
        <v>2086</v>
      </c>
      <c r="BC116" s="32">
        <v>2643</v>
      </c>
      <c r="BD116" s="32">
        <v>1952</v>
      </c>
      <c r="BE116" s="32">
        <v>12826</v>
      </c>
      <c r="BF116" s="32">
        <v>1576</v>
      </c>
      <c r="BG116" s="32">
        <v>11990</v>
      </c>
      <c r="BH116" s="32">
        <v>4144</v>
      </c>
      <c r="BI116" s="32">
        <v>290</v>
      </c>
      <c r="BJ116" s="32">
        <v>614</v>
      </c>
      <c r="BK116" s="32">
        <v>2888</v>
      </c>
      <c r="BL116" s="32">
        <v>887</v>
      </c>
      <c r="BM116" s="32">
        <v>3663</v>
      </c>
      <c r="BN116" s="32">
        <v>1126</v>
      </c>
      <c r="BO116" s="32">
        <v>1335</v>
      </c>
      <c r="BP116" s="32">
        <v>243</v>
      </c>
      <c r="BQ116" s="32">
        <v>1322</v>
      </c>
      <c r="BR116" s="32">
        <v>802</v>
      </c>
      <c r="BS116" s="32">
        <v>2792</v>
      </c>
      <c r="BT116" s="32">
        <v>0</v>
      </c>
      <c r="BU116" s="32">
        <v>137955</v>
      </c>
      <c r="BV116" s="32">
        <v>9112</v>
      </c>
      <c r="BW116" s="32">
        <v>0</v>
      </c>
      <c r="BX116" s="32">
        <v>0</v>
      </c>
      <c r="BY116" s="32">
        <v>10492</v>
      </c>
      <c r="BZ116" s="32">
        <v>0</v>
      </c>
      <c r="CA116" s="32">
        <v>0</v>
      </c>
      <c r="CB116" s="32">
        <v>19604</v>
      </c>
      <c r="CC116" s="32">
        <v>157559</v>
      </c>
    </row>
    <row r="117" spans="1:81" ht="8.25" customHeight="1">
      <c r="A117" s="48">
        <v>71801</v>
      </c>
      <c r="B117" s="49" t="str">
        <f>IFERROR(INDEX(SCNtoISIC!$I:$I,MATCH($A117,SCNtoISIC!$G:$G,0)),0)</f>
        <v>ISIC 69T82</v>
      </c>
      <c r="C117" s="50" t="str">
        <f>IFERROR(INDEX(SCNtoISIC!$K:$K,MATCH($B117,SCNtoISIC!$I:$I,0)),0)</f>
        <v>Other business sector services</v>
      </c>
      <c r="D117" s="51" t="s">
        <v>419</v>
      </c>
      <c r="E117" s="52">
        <v>0</v>
      </c>
      <c r="F117" s="52">
        <v>0</v>
      </c>
      <c r="G117" s="52">
        <v>0</v>
      </c>
      <c r="H117" s="52">
        <v>1</v>
      </c>
      <c r="I117" s="52">
        <v>0</v>
      </c>
      <c r="J117" s="52">
        <v>78</v>
      </c>
      <c r="K117" s="52">
        <v>0</v>
      </c>
      <c r="L117" s="52">
        <v>64</v>
      </c>
      <c r="M117" s="52">
        <v>12</v>
      </c>
      <c r="N117" s="52">
        <v>39</v>
      </c>
      <c r="O117" s="52">
        <v>71</v>
      </c>
      <c r="P117" s="52">
        <v>19</v>
      </c>
      <c r="Q117" s="52">
        <v>0</v>
      </c>
      <c r="R117" s="52">
        <v>16</v>
      </c>
      <c r="S117" s="52">
        <v>24</v>
      </c>
      <c r="T117" s="52">
        <v>8</v>
      </c>
      <c r="U117" s="52">
        <v>27</v>
      </c>
      <c r="V117" s="52">
        <v>1</v>
      </c>
      <c r="W117" s="52">
        <v>0</v>
      </c>
      <c r="X117" s="52">
        <v>0</v>
      </c>
      <c r="Y117" s="52">
        <v>80</v>
      </c>
      <c r="Z117" s="52">
        <v>24</v>
      </c>
      <c r="AA117" s="52">
        <v>62</v>
      </c>
      <c r="AB117" s="52">
        <v>178</v>
      </c>
      <c r="AC117" s="52">
        <v>32</v>
      </c>
      <c r="AD117" s="52">
        <v>27</v>
      </c>
      <c r="AE117" s="52">
        <v>25</v>
      </c>
      <c r="AF117" s="52">
        <v>86</v>
      </c>
      <c r="AG117" s="52">
        <v>9</v>
      </c>
      <c r="AH117" s="52">
        <v>52</v>
      </c>
      <c r="AI117" s="52">
        <v>126</v>
      </c>
      <c r="AJ117" s="52">
        <v>119</v>
      </c>
      <c r="AK117" s="52">
        <v>264</v>
      </c>
      <c r="AL117" s="52">
        <v>134</v>
      </c>
      <c r="AM117" s="52">
        <v>30</v>
      </c>
      <c r="AN117" s="52">
        <v>23</v>
      </c>
      <c r="AO117" s="52">
        <v>1</v>
      </c>
      <c r="AP117" s="52">
        <v>75</v>
      </c>
      <c r="AQ117" s="52">
        <v>8</v>
      </c>
      <c r="AR117" s="52">
        <v>25</v>
      </c>
      <c r="AS117" s="52">
        <v>0</v>
      </c>
      <c r="AT117" s="52">
        <v>113</v>
      </c>
      <c r="AU117" s="52">
        <v>0</v>
      </c>
      <c r="AV117" s="52">
        <v>0</v>
      </c>
      <c r="AW117" s="52">
        <v>0</v>
      </c>
      <c r="AX117" s="52">
        <v>0</v>
      </c>
      <c r="AY117" s="52">
        <v>0</v>
      </c>
      <c r="AZ117" s="52">
        <v>0</v>
      </c>
      <c r="BA117" s="52">
        <v>2</v>
      </c>
      <c r="BB117" s="52">
        <v>0</v>
      </c>
      <c r="BC117" s="52">
        <v>84</v>
      </c>
      <c r="BD117" s="52">
        <v>47</v>
      </c>
      <c r="BE117" s="52">
        <v>9</v>
      </c>
      <c r="BF117" s="52">
        <v>0</v>
      </c>
      <c r="BG117" s="52">
        <v>0</v>
      </c>
      <c r="BH117" s="52">
        <v>1002</v>
      </c>
      <c r="BI117" s="52">
        <v>0</v>
      </c>
      <c r="BJ117" s="52">
        <v>27</v>
      </c>
      <c r="BK117" s="52">
        <v>5</v>
      </c>
      <c r="BL117" s="52">
        <v>0</v>
      </c>
      <c r="BM117" s="52">
        <v>0</v>
      </c>
      <c r="BN117" s="52">
        <v>0</v>
      </c>
      <c r="BO117" s="52">
        <v>1</v>
      </c>
      <c r="BP117" s="52">
        <v>0</v>
      </c>
      <c r="BQ117" s="52">
        <v>8</v>
      </c>
      <c r="BR117" s="52">
        <v>0</v>
      </c>
      <c r="BS117" s="52">
        <v>0</v>
      </c>
      <c r="BT117" s="52">
        <v>0</v>
      </c>
      <c r="BU117" s="52">
        <v>3038</v>
      </c>
      <c r="BV117" s="52">
        <v>0</v>
      </c>
      <c r="BW117" s="52">
        <v>0</v>
      </c>
      <c r="BX117" s="52">
        <v>0</v>
      </c>
      <c r="BY117" s="52">
        <v>0</v>
      </c>
      <c r="BZ117" s="52">
        <v>41715</v>
      </c>
      <c r="CA117" s="52">
        <v>0</v>
      </c>
      <c r="CB117" s="52">
        <v>41715</v>
      </c>
      <c r="CC117" s="52">
        <v>44753</v>
      </c>
    </row>
    <row r="118" spans="1:81" ht="8.25" customHeight="1">
      <c r="A118" s="48">
        <v>71802</v>
      </c>
      <c r="B118" s="49" t="str">
        <f>IFERROR(INDEX(SCNtoISIC!$I:$I,MATCH($A118,SCNtoISIC!$G:$G,0)),0)</f>
        <v>ISIC 69T82</v>
      </c>
      <c r="C118" s="50" t="str">
        <f>IFERROR(INDEX(SCNtoISIC!$K:$K,MATCH($B118,SCNtoISIC!$I:$I,0)),0)</f>
        <v>Other business sector services</v>
      </c>
      <c r="D118" s="51" t="s">
        <v>420</v>
      </c>
      <c r="E118" s="52">
        <v>548</v>
      </c>
      <c r="F118" s="52">
        <v>23</v>
      </c>
      <c r="G118" s="52">
        <v>0</v>
      </c>
      <c r="H118" s="52">
        <v>79</v>
      </c>
      <c r="I118" s="52">
        <v>2138</v>
      </c>
      <c r="J118" s="52">
        <v>339</v>
      </c>
      <c r="K118" s="52">
        <v>153</v>
      </c>
      <c r="L118" s="52">
        <v>1222</v>
      </c>
      <c r="M118" s="52">
        <v>462</v>
      </c>
      <c r="N118" s="52">
        <v>1244</v>
      </c>
      <c r="O118" s="52">
        <v>264</v>
      </c>
      <c r="P118" s="52">
        <v>184</v>
      </c>
      <c r="Q118" s="52">
        <v>191</v>
      </c>
      <c r="R118" s="52">
        <v>223</v>
      </c>
      <c r="S118" s="52">
        <v>149</v>
      </c>
      <c r="T118" s="52">
        <v>53</v>
      </c>
      <c r="U118" s="52">
        <v>574</v>
      </c>
      <c r="V118" s="52">
        <v>54</v>
      </c>
      <c r="W118" s="52">
        <v>201</v>
      </c>
      <c r="X118" s="52">
        <v>189</v>
      </c>
      <c r="Y118" s="52">
        <v>900</v>
      </c>
      <c r="Z118" s="52">
        <v>698</v>
      </c>
      <c r="AA118" s="52">
        <v>488</v>
      </c>
      <c r="AB118" s="52">
        <v>1051</v>
      </c>
      <c r="AC118" s="52">
        <v>1085</v>
      </c>
      <c r="AD118" s="52">
        <v>790</v>
      </c>
      <c r="AE118" s="52">
        <v>461</v>
      </c>
      <c r="AF118" s="52">
        <v>312</v>
      </c>
      <c r="AG118" s="52">
        <v>614</v>
      </c>
      <c r="AH118" s="52">
        <v>865</v>
      </c>
      <c r="AI118" s="52">
        <v>501</v>
      </c>
      <c r="AJ118" s="52">
        <v>2143</v>
      </c>
      <c r="AK118" s="52">
        <v>2721</v>
      </c>
      <c r="AL118" s="52">
        <v>960</v>
      </c>
      <c r="AM118" s="52">
        <v>252</v>
      </c>
      <c r="AN118" s="52">
        <v>337</v>
      </c>
      <c r="AO118" s="52">
        <v>194</v>
      </c>
      <c r="AP118" s="52">
        <v>3714</v>
      </c>
      <c r="AQ118" s="52">
        <v>530</v>
      </c>
      <c r="AR118" s="52">
        <v>6429</v>
      </c>
      <c r="AS118" s="52">
        <v>133</v>
      </c>
      <c r="AT118" s="52">
        <v>1647</v>
      </c>
      <c r="AU118" s="52">
        <v>460</v>
      </c>
      <c r="AV118" s="52">
        <v>17</v>
      </c>
      <c r="AW118" s="52">
        <v>0</v>
      </c>
      <c r="AX118" s="52">
        <v>4977</v>
      </c>
      <c r="AY118" s="52">
        <v>6</v>
      </c>
      <c r="AZ118" s="52">
        <v>0</v>
      </c>
      <c r="BA118" s="52">
        <v>0</v>
      </c>
      <c r="BB118" s="52">
        <v>0</v>
      </c>
      <c r="BC118" s="52">
        <v>9</v>
      </c>
      <c r="BD118" s="52">
        <v>376</v>
      </c>
      <c r="BE118" s="52">
        <v>998</v>
      </c>
      <c r="BF118" s="52">
        <v>22</v>
      </c>
      <c r="BG118" s="52">
        <v>0</v>
      </c>
      <c r="BH118" s="52">
        <v>4094</v>
      </c>
      <c r="BI118" s="52">
        <v>0</v>
      </c>
      <c r="BJ118" s="52">
        <v>90</v>
      </c>
      <c r="BK118" s="52">
        <v>27</v>
      </c>
      <c r="BL118" s="52">
        <v>0</v>
      </c>
      <c r="BM118" s="52">
        <v>5060</v>
      </c>
      <c r="BN118" s="52">
        <v>1347</v>
      </c>
      <c r="BO118" s="52">
        <v>118</v>
      </c>
      <c r="BP118" s="52">
        <v>1411</v>
      </c>
      <c r="BQ118" s="52">
        <v>0</v>
      </c>
      <c r="BR118" s="52">
        <v>0</v>
      </c>
      <c r="BS118" s="52">
        <v>0</v>
      </c>
      <c r="BT118" s="52">
        <v>0</v>
      </c>
      <c r="BU118" s="52">
        <v>54127</v>
      </c>
      <c r="BV118" s="52">
        <v>14900</v>
      </c>
      <c r="BW118" s="52">
        <v>0</v>
      </c>
      <c r="BX118" s="52">
        <v>0</v>
      </c>
      <c r="BY118" s="52">
        <v>514</v>
      </c>
      <c r="BZ118" s="52">
        <v>3139</v>
      </c>
      <c r="CA118" s="52">
        <v>0</v>
      </c>
      <c r="CB118" s="52">
        <v>18553</v>
      </c>
      <c r="CC118" s="52">
        <v>72680</v>
      </c>
    </row>
    <row r="119" spans="1:81" ht="8.25" customHeight="1">
      <c r="A119" s="48">
        <v>73801</v>
      </c>
      <c r="B119" s="49" t="str">
        <f>IFERROR(INDEX(SCNtoISIC!$I:$I,MATCH($A119,SCNtoISIC!$G:$G,0)),0)</f>
        <v>ISIC 69T82</v>
      </c>
      <c r="C119" s="50" t="str">
        <f>IFERROR(INDEX(SCNtoISIC!$K:$K,MATCH($B119,SCNtoISIC!$I:$I,0)),0)</f>
        <v>Other business sector services</v>
      </c>
      <c r="D119" s="51" t="s">
        <v>421</v>
      </c>
      <c r="E119" s="52">
        <v>15</v>
      </c>
      <c r="F119" s="52">
        <v>363</v>
      </c>
      <c r="G119" s="52">
        <v>75</v>
      </c>
      <c r="H119" s="52">
        <v>42</v>
      </c>
      <c r="I119" s="52">
        <v>318</v>
      </c>
      <c r="J119" s="52">
        <v>7</v>
      </c>
      <c r="K119" s="52">
        <v>1</v>
      </c>
      <c r="L119" s="52">
        <v>1921</v>
      </c>
      <c r="M119" s="52">
        <v>179</v>
      </c>
      <c r="N119" s="52">
        <v>3379</v>
      </c>
      <c r="O119" s="52">
        <v>4916</v>
      </c>
      <c r="P119" s="52">
        <v>453</v>
      </c>
      <c r="Q119" s="52">
        <v>106</v>
      </c>
      <c r="R119" s="52">
        <v>472</v>
      </c>
      <c r="S119" s="52">
        <v>874</v>
      </c>
      <c r="T119" s="52">
        <v>31</v>
      </c>
      <c r="U119" s="52">
        <v>545</v>
      </c>
      <c r="V119" s="52">
        <v>83</v>
      </c>
      <c r="W119" s="52">
        <v>116</v>
      </c>
      <c r="X119" s="52">
        <v>51</v>
      </c>
      <c r="Y119" s="52">
        <v>108</v>
      </c>
      <c r="Z119" s="52">
        <v>510</v>
      </c>
      <c r="AA119" s="52">
        <v>1243</v>
      </c>
      <c r="AB119" s="52">
        <v>1844</v>
      </c>
      <c r="AC119" s="52">
        <v>539</v>
      </c>
      <c r="AD119" s="52">
        <v>301</v>
      </c>
      <c r="AE119" s="52">
        <v>199</v>
      </c>
      <c r="AF119" s="52">
        <v>19</v>
      </c>
      <c r="AG119" s="52">
        <v>551</v>
      </c>
      <c r="AH119" s="52">
        <v>1574</v>
      </c>
      <c r="AI119" s="52">
        <v>800</v>
      </c>
      <c r="AJ119" s="52">
        <v>536</v>
      </c>
      <c r="AK119" s="52">
        <v>5377</v>
      </c>
      <c r="AL119" s="52">
        <v>184</v>
      </c>
      <c r="AM119" s="52">
        <v>322</v>
      </c>
      <c r="AN119" s="52">
        <v>453</v>
      </c>
      <c r="AO119" s="52">
        <v>83</v>
      </c>
      <c r="AP119" s="52">
        <v>2564</v>
      </c>
      <c r="AQ119" s="52">
        <v>184</v>
      </c>
      <c r="AR119" s="52">
        <v>2339</v>
      </c>
      <c r="AS119" s="52">
        <v>3050</v>
      </c>
      <c r="AT119" s="52">
        <v>15700</v>
      </c>
      <c r="AU119" s="52">
        <v>615</v>
      </c>
      <c r="AV119" s="52">
        <v>41</v>
      </c>
      <c r="AW119" s="52">
        <v>203</v>
      </c>
      <c r="AX119" s="52">
        <v>942</v>
      </c>
      <c r="AY119" s="52">
        <v>287</v>
      </c>
      <c r="AZ119" s="52">
        <v>710</v>
      </c>
      <c r="BA119" s="52">
        <v>1230</v>
      </c>
      <c r="BB119" s="52">
        <v>2121</v>
      </c>
      <c r="BC119" s="52">
        <v>4582</v>
      </c>
      <c r="BD119" s="52">
        <v>1716</v>
      </c>
      <c r="BE119" s="52">
        <v>12095</v>
      </c>
      <c r="BF119" s="52">
        <v>894</v>
      </c>
      <c r="BG119" s="52">
        <v>4199</v>
      </c>
      <c r="BH119" s="52">
        <v>427</v>
      </c>
      <c r="BI119" s="52">
        <v>1701</v>
      </c>
      <c r="BJ119" s="52">
        <v>940</v>
      </c>
      <c r="BK119" s="52">
        <v>1610</v>
      </c>
      <c r="BL119" s="52">
        <v>162</v>
      </c>
      <c r="BM119" s="52">
        <v>4217</v>
      </c>
      <c r="BN119" s="52">
        <v>780</v>
      </c>
      <c r="BO119" s="52">
        <v>2324</v>
      </c>
      <c r="BP119" s="52">
        <v>1049</v>
      </c>
      <c r="BQ119" s="52">
        <v>30</v>
      </c>
      <c r="BR119" s="52">
        <v>1475</v>
      </c>
      <c r="BS119" s="52">
        <v>1713</v>
      </c>
      <c r="BT119" s="52">
        <v>0</v>
      </c>
      <c r="BU119" s="52">
        <v>98490</v>
      </c>
      <c r="BV119" s="52">
        <v>1748</v>
      </c>
      <c r="BW119" s="52">
        <v>0</v>
      </c>
      <c r="BX119" s="52">
        <v>0</v>
      </c>
      <c r="BY119" s="52">
        <v>1110</v>
      </c>
      <c r="BZ119" s="52">
        <v>0</v>
      </c>
      <c r="CA119" s="52">
        <v>0</v>
      </c>
      <c r="CB119" s="52">
        <v>2858</v>
      </c>
      <c r="CC119" s="52">
        <v>101348</v>
      </c>
    </row>
    <row r="120" spans="1:81" ht="8.25" customHeight="1">
      <c r="A120" s="48">
        <v>77001</v>
      </c>
      <c r="B120" s="49" t="str">
        <f>IFERROR(INDEX(SCNtoISIC!$I:$I,MATCH($A120,SCNtoISIC!$G:$G,0)),0)</f>
        <v>ISIC 69T82</v>
      </c>
      <c r="C120" s="50" t="str">
        <f>IFERROR(INDEX(SCNtoISIC!$K:$K,MATCH($B120,SCNtoISIC!$I:$I,0)),0)</f>
        <v>Other business sector services</v>
      </c>
      <c r="D120" s="51" t="s">
        <v>422</v>
      </c>
      <c r="E120" s="52">
        <v>304</v>
      </c>
      <c r="F120" s="52">
        <v>59</v>
      </c>
      <c r="G120" s="52">
        <v>145</v>
      </c>
      <c r="H120" s="52">
        <v>250</v>
      </c>
      <c r="I120" s="52">
        <v>9833</v>
      </c>
      <c r="J120" s="52">
        <v>997</v>
      </c>
      <c r="K120" s="52">
        <v>252</v>
      </c>
      <c r="L120" s="52">
        <v>298</v>
      </c>
      <c r="M120" s="52">
        <v>491</v>
      </c>
      <c r="N120" s="52">
        <v>1161</v>
      </c>
      <c r="O120" s="52">
        <v>406</v>
      </c>
      <c r="P120" s="52">
        <v>54</v>
      </c>
      <c r="Q120" s="52">
        <v>54</v>
      </c>
      <c r="R120" s="52">
        <v>103</v>
      </c>
      <c r="S120" s="52">
        <v>73</v>
      </c>
      <c r="T120" s="52">
        <v>116</v>
      </c>
      <c r="U120" s="52">
        <v>681</v>
      </c>
      <c r="V120" s="52">
        <v>179</v>
      </c>
      <c r="W120" s="52">
        <v>341</v>
      </c>
      <c r="X120" s="52">
        <v>41</v>
      </c>
      <c r="Y120" s="52">
        <v>411</v>
      </c>
      <c r="Z120" s="52">
        <v>467</v>
      </c>
      <c r="AA120" s="52">
        <v>88</v>
      </c>
      <c r="AB120" s="52">
        <v>176</v>
      </c>
      <c r="AC120" s="52">
        <v>595</v>
      </c>
      <c r="AD120" s="52">
        <v>375</v>
      </c>
      <c r="AE120" s="52">
        <v>447</v>
      </c>
      <c r="AF120" s="52">
        <v>203</v>
      </c>
      <c r="AG120" s="52">
        <v>806</v>
      </c>
      <c r="AH120" s="52">
        <v>593</v>
      </c>
      <c r="AI120" s="52">
        <v>236</v>
      </c>
      <c r="AJ120" s="52">
        <v>737</v>
      </c>
      <c r="AK120" s="52">
        <v>1837</v>
      </c>
      <c r="AL120" s="52">
        <v>608</v>
      </c>
      <c r="AM120" s="52">
        <v>623</v>
      </c>
      <c r="AN120" s="52">
        <v>261</v>
      </c>
      <c r="AO120" s="52">
        <v>335</v>
      </c>
      <c r="AP120" s="52">
        <v>818</v>
      </c>
      <c r="AQ120" s="52">
        <v>1573</v>
      </c>
      <c r="AR120" s="52">
        <v>5714</v>
      </c>
      <c r="AS120" s="52">
        <v>925</v>
      </c>
      <c r="AT120" s="52">
        <v>6788</v>
      </c>
      <c r="AU120" s="52">
        <v>4106</v>
      </c>
      <c r="AV120" s="52">
        <v>1152</v>
      </c>
      <c r="AW120" s="52">
        <v>2789</v>
      </c>
      <c r="AX120" s="52">
        <v>1747</v>
      </c>
      <c r="AY120" s="52">
        <v>137</v>
      </c>
      <c r="AZ120" s="52">
        <v>1049</v>
      </c>
      <c r="BA120" s="52">
        <v>855</v>
      </c>
      <c r="BB120" s="52">
        <v>1056</v>
      </c>
      <c r="BC120" s="52">
        <v>6079</v>
      </c>
      <c r="BD120" s="52">
        <v>1981</v>
      </c>
      <c r="BE120" s="52">
        <v>1860</v>
      </c>
      <c r="BF120" s="52">
        <v>255</v>
      </c>
      <c r="BG120" s="52">
        <v>677</v>
      </c>
      <c r="BH120" s="52">
        <v>1258</v>
      </c>
      <c r="BI120" s="52">
        <v>269</v>
      </c>
      <c r="BJ120" s="52">
        <v>1662</v>
      </c>
      <c r="BK120" s="52">
        <v>1175</v>
      </c>
      <c r="BL120" s="52">
        <v>318</v>
      </c>
      <c r="BM120" s="52">
        <v>4227</v>
      </c>
      <c r="BN120" s="52">
        <v>1514</v>
      </c>
      <c r="BO120" s="52">
        <v>1980</v>
      </c>
      <c r="BP120" s="52">
        <v>1642</v>
      </c>
      <c r="BQ120" s="52">
        <v>648</v>
      </c>
      <c r="BR120" s="52">
        <v>514</v>
      </c>
      <c r="BS120" s="52">
        <v>216</v>
      </c>
      <c r="BT120" s="52">
        <v>0</v>
      </c>
      <c r="BU120" s="52">
        <v>79620</v>
      </c>
      <c r="BV120" s="52">
        <v>2071</v>
      </c>
      <c r="BW120" s="52">
        <v>0</v>
      </c>
      <c r="BX120" s="52">
        <v>0</v>
      </c>
      <c r="BY120" s="52">
        <v>3212</v>
      </c>
      <c r="BZ120" s="52">
        <v>0</v>
      </c>
      <c r="CA120" s="52">
        <v>0</v>
      </c>
      <c r="CB120" s="52">
        <v>5283</v>
      </c>
      <c r="CC120" s="52">
        <v>84903</v>
      </c>
    </row>
    <row r="121" spans="1:81" ht="8.25" customHeight="1">
      <c r="A121" s="48">
        <v>78801</v>
      </c>
      <c r="B121" s="49" t="str">
        <f>IFERROR(INDEX(SCNtoISIC!$I:$I,MATCH($A121,SCNtoISIC!$G:$G,0)),0)</f>
        <v>ISIC 69T82</v>
      </c>
      <c r="C121" s="50" t="str">
        <f>IFERROR(INDEX(SCNtoISIC!$K:$K,MATCH($B121,SCNtoISIC!$I:$I,0)),0)</f>
        <v>Other business sector services</v>
      </c>
      <c r="D121" s="51" t="s">
        <v>423</v>
      </c>
      <c r="E121" s="52">
        <v>22</v>
      </c>
      <c r="F121" s="52">
        <v>13</v>
      </c>
      <c r="G121" s="52">
        <v>14</v>
      </c>
      <c r="H121" s="52">
        <v>8</v>
      </c>
      <c r="I121" s="52">
        <v>218</v>
      </c>
      <c r="J121" s="52">
        <v>108</v>
      </c>
      <c r="K121" s="52">
        <v>27</v>
      </c>
      <c r="L121" s="52">
        <v>264</v>
      </c>
      <c r="M121" s="52">
        <v>291</v>
      </c>
      <c r="N121" s="52">
        <v>359</v>
      </c>
      <c r="O121" s="52">
        <v>129</v>
      </c>
      <c r="P121" s="52">
        <v>37</v>
      </c>
      <c r="Q121" s="52">
        <v>57</v>
      </c>
      <c r="R121" s="52">
        <v>32</v>
      </c>
      <c r="S121" s="52">
        <v>44</v>
      </c>
      <c r="T121" s="52">
        <v>22</v>
      </c>
      <c r="U121" s="52">
        <v>393</v>
      </c>
      <c r="V121" s="52">
        <v>25</v>
      </c>
      <c r="W121" s="52">
        <v>108</v>
      </c>
      <c r="X121" s="52">
        <v>182</v>
      </c>
      <c r="Y121" s="52">
        <v>189</v>
      </c>
      <c r="Z121" s="52">
        <v>423</v>
      </c>
      <c r="AA121" s="52">
        <v>115</v>
      </c>
      <c r="AB121" s="52">
        <v>286</v>
      </c>
      <c r="AC121" s="52">
        <v>439</v>
      </c>
      <c r="AD121" s="52">
        <v>151</v>
      </c>
      <c r="AE121" s="52">
        <v>162</v>
      </c>
      <c r="AF121" s="52">
        <v>73</v>
      </c>
      <c r="AG121" s="52">
        <v>187</v>
      </c>
      <c r="AH121" s="52">
        <v>149</v>
      </c>
      <c r="AI121" s="52">
        <v>171</v>
      </c>
      <c r="AJ121" s="52">
        <v>367</v>
      </c>
      <c r="AK121" s="52">
        <v>910</v>
      </c>
      <c r="AL121" s="52">
        <v>169</v>
      </c>
      <c r="AM121" s="52">
        <v>108</v>
      </c>
      <c r="AN121" s="52">
        <v>128</v>
      </c>
      <c r="AO121" s="52">
        <v>37</v>
      </c>
      <c r="AP121" s="52">
        <v>575</v>
      </c>
      <c r="AQ121" s="52">
        <v>218</v>
      </c>
      <c r="AR121" s="52">
        <v>1257</v>
      </c>
      <c r="AS121" s="52">
        <v>710</v>
      </c>
      <c r="AT121" s="52">
        <v>5764</v>
      </c>
      <c r="AU121" s="52">
        <v>795</v>
      </c>
      <c r="AV121" s="52">
        <v>5</v>
      </c>
      <c r="AW121" s="52">
        <v>296</v>
      </c>
      <c r="AX121" s="52">
        <v>1149</v>
      </c>
      <c r="AY121" s="52">
        <v>163</v>
      </c>
      <c r="AZ121" s="52">
        <v>789</v>
      </c>
      <c r="BA121" s="52">
        <v>100</v>
      </c>
      <c r="BB121" s="52">
        <v>528</v>
      </c>
      <c r="BC121" s="52">
        <v>1252</v>
      </c>
      <c r="BD121" s="52">
        <v>964</v>
      </c>
      <c r="BE121" s="52">
        <v>3118</v>
      </c>
      <c r="BF121" s="52">
        <v>664</v>
      </c>
      <c r="BG121" s="52">
        <v>1261</v>
      </c>
      <c r="BH121" s="52">
        <v>204</v>
      </c>
      <c r="BI121" s="52">
        <v>166</v>
      </c>
      <c r="BJ121" s="52">
        <v>146</v>
      </c>
      <c r="BK121" s="52">
        <v>2388</v>
      </c>
      <c r="BL121" s="52">
        <v>55</v>
      </c>
      <c r="BM121" s="52">
        <v>4772</v>
      </c>
      <c r="BN121" s="52">
        <v>3088</v>
      </c>
      <c r="BO121" s="52">
        <v>1149</v>
      </c>
      <c r="BP121" s="52">
        <v>1909</v>
      </c>
      <c r="BQ121" s="52">
        <v>1169</v>
      </c>
      <c r="BR121" s="52">
        <v>456</v>
      </c>
      <c r="BS121" s="52">
        <v>1359</v>
      </c>
      <c r="BT121" s="52">
        <v>0</v>
      </c>
      <c r="BU121" s="52">
        <v>42886</v>
      </c>
      <c r="BV121" s="52">
        <v>2574</v>
      </c>
      <c r="BW121" s="52">
        <v>0</v>
      </c>
      <c r="BX121" s="52">
        <v>21887</v>
      </c>
      <c r="BY121" s="52">
        <v>1999</v>
      </c>
      <c r="BZ121" s="52">
        <v>0</v>
      </c>
      <c r="CA121" s="52">
        <v>0</v>
      </c>
      <c r="CB121" s="52">
        <v>26460</v>
      </c>
      <c r="CC121" s="52">
        <v>69346</v>
      </c>
    </row>
    <row r="122" spans="1:81" ht="8.25" customHeight="1">
      <c r="A122" s="53">
        <v>78802</v>
      </c>
      <c r="B122" s="49" t="str">
        <f>IFERROR(INDEX(SCNtoISIC!$I:$I,MATCH($A122,SCNtoISIC!$G:$G,0)),0)</f>
        <v>ISIC 69T82</v>
      </c>
      <c r="C122" s="50" t="str">
        <f>IFERROR(INDEX(SCNtoISIC!$K:$K,MATCH($B122,SCNtoISIC!$I:$I,0)),0)</f>
        <v>Other business sector services</v>
      </c>
      <c r="D122" s="54" t="s">
        <v>424</v>
      </c>
      <c r="E122" s="32">
        <v>3</v>
      </c>
      <c r="F122" s="32">
        <v>1</v>
      </c>
      <c r="G122" s="32">
        <v>20</v>
      </c>
      <c r="H122" s="32">
        <v>483</v>
      </c>
      <c r="I122" s="32">
        <v>142</v>
      </c>
      <c r="J122" s="32">
        <v>167</v>
      </c>
      <c r="K122" s="32">
        <v>97</v>
      </c>
      <c r="L122" s="32">
        <v>211</v>
      </c>
      <c r="M122" s="32">
        <v>145</v>
      </c>
      <c r="N122" s="32">
        <v>567</v>
      </c>
      <c r="O122" s="32">
        <v>628</v>
      </c>
      <c r="P122" s="32">
        <v>98</v>
      </c>
      <c r="Q122" s="32">
        <v>116</v>
      </c>
      <c r="R122" s="32">
        <v>111</v>
      </c>
      <c r="S122" s="32">
        <v>142</v>
      </c>
      <c r="T122" s="32">
        <v>10</v>
      </c>
      <c r="U122" s="32">
        <v>50</v>
      </c>
      <c r="V122" s="32">
        <v>11</v>
      </c>
      <c r="W122" s="32">
        <v>17</v>
      </c>
      <c r="X122" s="32">
        <v>10</v>
      </c>
      <c r="Y122" s="32">
        <v>219</v>
      </c>
      <c r="Z122" s="32">
        <v>192</v>
      </c>
      <c r="AA122" s="32">
        <v>166</v>
      </c>
      <c r="AB122" s="32">
        <v>543</v>
      </c>
      <c r="AC122" s="32">
        <v>67</v>
      </c>
      <c r="AD122" s="32">
        <v>564</v>
      </c>
      <c r="AE122" s="32">
        <v>212</v>
      </c>
      <c r="AF122" s="32">
        <v>288</v>
      </c>
      <c r="AG122" s="32">
        <v>397</v>
      </c>
      <c r="AH122" s="32">
        <v>560</v>
      </c>
      <c r="AI122" s="32">
        <v>401</v>
      </c>
      <c r="AJ122" s="32">
        <v>1219</v>
      </c>
      <c r="AK122" s="32">
        <v>412</v>
      </c>
      <c r="AL122" s="32">
        <v>173</v>
      </c>
      <c r="AM122" s="32">
        <v>47</v>
      </c>
      <c r="AN122" s="32">
        <v>96</v>
      </c>
      <c r="AO122" s="32">
        <v>204</v>
      </c>
      <c r="AP122" s="32">
        <v>1504</v>
      </c>
      <c r="AQ122" s="32">
        <v>65</v>
      </c>
      <c r="AR122" s="32">
        <v>1028</v>
      </c>
      <c r="AS122" s="32">
        <v>950</v>
      </c>
      <c r="AT122" s="32">
        <v>14568</v>
      </c>
      <c r="AU122" s="32">
        <v>742</v>
      </c>
      <c r="AV122" s="32">
        <v>89</v>
      </c>
      <c r="AW122" s="32">
        <v>396</v>
      </c>
      <c r="AX122" s="32">
        <v>840</v>
      </c>
      <c r="AY122" s="32">
        <v>501</v>
      </c>
      <c r="AZ122" s="32">
        <v>562</v>
      </c>
      <c r="BA122" s="32">
        <v>206</v>
      </c>
      <c r="BB122" s="32">
        <v>188</v>
      </c>
      <c r="BC122" s="32">
        <v>13209</v>
      </c>
      <c r="BD122" s="32">
        <v>3024</v>
      </c>
      <c r="BE122" s="32">
        <v>14987</v>
      </c>
      <c r="BF122" s="32">
        <v>321</v>
      </c>
      <c r="BG122" s="32">
        <v>1392</v>
      </c>
      <c r="BH122" s="32">
        <v>380</v>
      </c>
      <c r="BI122" s="32">
        <v>358</v>
      </c>
      <c r="BJ122" s="32">
        <v>335</v>
      </c>
      <c r="BK122" s="32">
        <v>2210</v>
      </c>
      <c r="BL122" s="32">
        <v>232</v>
      </c>
      <c r="BM122" s="32">
        <v>13768</v>
      </c>
      <c r="BN122" s="32">
        <v>5601</v>
      </c>
      <c r="BO122" s="32">
        <v>1209</v>
      </c>
      <c r="BP122" s="32">
        <v>5437</v>
      </c>
      <c r="BQ122" s="32">
        <v>735</v>
      </c>
      <c r="BR122" s="32">
        <v>346</v>
      </c>
      <c r="BS122" s="32">
        <v>3496</v>
      </c>
      <c r="BT122" s="32">
        <v>0</v>
      </c>
      <c r="BU122" s="32">
        <v>97468</v>
      </c>
      <c r="BV122" s="32">
        <v>4127</v>
      </c>
      <c r="BW122" s="32">
        <v>0</v>
      </c>
      <c r="BX122" s="32">
        <v>0</v>
      </c>
      <c r="BY122" s="32">
        <v>7105</v>
      </c>
      <c r="BZ122" s="32">
        <v>0</v>
      </c>
      <c r="CA122" s="32">
        <v>0</v>
      </c>
      <c r="CB122" s="32">
        <v>11232</v>
      </c>
      <c r="CC122" s="32">
        <v>108700</v>
      </c>
    </row>
    <row r="123" spans="1:81" ht="8.25" customHeight="1">
      <c r="A123" s="53">
        <v>80001</v>
      </c>
      <c r="B123" s="49" t="str">
        <f>IFERROR(INDEX(SCNtoISIC!$I:$I,MATCH($A123,SCNtoISIC!$G:$G,0)),0)</f>
        <v>ISIC 69T82</v>
      </c>
      <c r="C123" s="50" t="str">
        <f>IFERROR(INDEX(SCNtoISIC!$K:$K,MATCH($B123,SCNtoISIC!$I:$I,0)),0)</f>
        <v>Other business sector services</v>
      </c>
      <c r="D123" s="54" t="s">
        <v>425</v>
      </c>
      <c r="E123" s="32">
        <v>1</v>
      </c>
      <c r="F123" s="32">
        <v>0</v>
      </c>
      <c r="G123" s="32">
        <v>3</v>
      </c>
      <c r="H123" s="32">
        <v>6</v>
      </c>
      <c r="I123" s="32">
        <v>54</v>
      </c>
      <c r="J123" s="32">
        <v>34</v>
      </c>
      <c r="K123" s="32">
        <v>11</v>
      </c>
      <c r="L123" s="32">
        <v>192</v>
      </c>
      <c r="M123" s="32">
        <v>105</v>
      </c>
      <c r="N123" s="32">
        <v>198</v>
      </c>
      <c r="O123" s="32">
        <v>78</v>
      </c>
      <c r="P123" s="32">
        <v>116</v>
      </c>
      <c r="Q123" s="32">
        <v>26</v>
      </c>
      <c r="R123" s="32">
        <v>25</v>
      </c>
      <c r="S123" s="32">
        <v>30</v>
      </c>
      <c r="T123" s="32">
        <v>30</v>
      </c>
      <c r="U123" s="32">
        <v>245</v>
      </c>
      <c r="V123" s="32">
        <v>16</v>
      </c>
      <c r="W123" s="32">
        <v>56</v>
      </c>
      <c r="X123" s="32">
        <v>1</v>
      </c>
      <c r="Y123" s="32">
        <v>169</v>
      </c>
      <c r="Z123" s="32">
        <v>118</v>
      </c>
      <c r="AA123" s="32">
        <v>23</v>
      </c>
      <c r="AB123" s="32">
        <v>142</v>
      </c>
      <c r="AC123" s="32">
        <v>145</v>
      </c>
      <c r="AD123" s="32">
        <v>337</v>
      </c>
      <c r="AE123" s="32">
        <v>50</v>
      </c>
      <c r="AF123" s="32">
        <v>41</v>
      </c>
      <c r="AG123" s="32">
        <v>162</v>
      </c>
      <c r="AH123" s="32">
        <v>113</v>
      </c>
      <c r="AI123" s="32">
        <v>72</v>
      </c>
      <c r="AJ123" s="32">
        <v>209</v>
      </c>
      <c r="AK123" s="32">
        <v>474</v>
      </c>
      <c r="AL123" s="32">
        <v>213</v>
      </c>
      <c r="AM123" s="32">
        <v>79</v>
      </c>
      <c r="AN123" s="32">
        <v>43</v>
      </c>
      <c r="AO123" s="32">
        <v>100</v>
      </c>
      <c r="AP123" s="32">
        <v>193</v>
      </c>
      <c r="AQ123" s="32">
        <v>291</v>
      </c>
      <c r="AR123" s="32">
        <v>628</v>
      </c>
      <c r="AS123" s="32">
        <v>562</v>
      </c>
      <c r="AT123" s="32">
        <v>3032</v>
      </c>
      <c r="AU123" s="32">
        <v>992</v>
      </c>
      <c r="AV123" s="32">
        <v>16</v>
      </c>
      <c r="AW123" s="32">
        <v>134</v>
      </c>
      <c r="AX123" s="32">
        <v>1686</v>
      </c>
      <c r="AY123" s="32">
        <v>67</v>
      </c>
      <c r="AZ123" s="32">
        <v>386</v>
      </c>
      <c r="BA123" s="32">
        <v>40</v>
      </c>
      <c r="BB123" s="32">
        <v>210</v>
      </c>
      <c r="BC123" s="32">
        <v>531</v>
      </c>
      <c r="BD123" s="32">
        <v>279</v>
      </c>
      <c r="BE123" s="32">
        <v>4617</v>
      </c>
      <c r="BF123" s="32">
        <v>130</v>
      </c>
      <c r="BG123" s="32">
        <v>526</v>
      </c>
      <c r="BH123" s="32">
        <v>13</v>
      </c>
      <c r="BI123" s="32">
        <v>131</v>
      </c>
      <c r="BJ123" s="32">
        <v>82</v>
      </c>
      <c r="BK123" s="32">
        <v>495</v>
      </c>
      <c r="BL123" s="32">
        <v>31</v>
      </c>
      <c r="BM123" s="32">
        <v>5104</v>
      </c>
      <c r="BN123" s="32">
        <v>2136</v>
      </c>
      <c r="BO123" s="32">
        <v>845</v>
      </c>
      <c r="BP123" s="32">
        <v>922</v>
      </c>
      <c r="BQ123" s="32">
        <v>0</v>
      </c>
      <c r="BR123" s="32">
        <v>109</v>
      </c>
      <c r="BS123" s="32">
        <v>3</v>
      </c>
      <c r="BT123" s="32">
        <v>0</v>
      </c>
      <c r="BU123" s="32">
        <v>27908</v>
      </c>
      <c r="BV123" s="32">
        <v>0</v>
      </c>
      <c r="BW123" s="32">
        <v>0</v>
      </c>
      <c r="BX123" s="32">
        <v>0</v>
      </c>
      <c r="BY123" s="32">
        <v>310</v>
      </c>
      <c r="BZ123" s="32">
        <v>0</v>
      </c>
      <c r="CA123" s="32">
        <v>0</v>
      </c>
      <c r="CB123" s="32">
        <v>310</v>
      </c>
      <c r="CC123" s="32">
        <v>28218</v>
      </c>
    </row>
    <row r="124" spans="1:81" ht="8.25" customHeight="1">
      <c r="A124" s="53">
        <v>84001</v>
      </c>
      <c r="B124" s="49" t="str">
        <f>IFERROR(INDEX(SCNtoISIC!$I:$I,MATCH($A124,SCNtoISIC!$G:$G,0)),0)</f>
        <v>ISIC 84</v>
      </c>
      <c r="C124" s="50" t="str">
        <f>IFERROR(INDEX(SCNtoISIC!$K:$K,MATCH($B124,SCNtoISIC!$I:$I,0)),0)</f>
        <v>Public administration and defence; compulsory social security</v>
      </c>
      <c r="D124" s="54" t="s">
        <v>426</v>
      </c>
      <c r="E124" s="32">
        <v>0</v>
      </c>
      <c r="F124" s="32">
        <v>0</v>
      </c>
      <c r="G124" s="32">
        <v>0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  <c r="X124" s="32">
        <v>0</v>
      </c>
      <c r="Y124" s="32">
        <v>0</v>
      </c>
      <c r="Z124" s="32">
        <v>0</v>
      </c>
      <c r="AA124" s="32">
        <v>0</v>
      </c>
      <c r="AB124" s="32">
        <v>0</v>
      </c>
      <c r="AC124" s="32">
        <v>0</v>
      </c>
      <c r="AD124" s="32">
        <v>0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0</v>
      </c>
      <c r="AR124" s="32">
        <v>0</v>
      </c>
      <c r="AS124" s="32"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 s="32">
        <v>0</v>
      </c>
      <c r="BD124" s="32">
        <v>0</v>
      </c>
      <c r="BE124" s="32">
        <v>0</v>
      </c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2">
        <v>0</v>
      </c>
      <c r="BP124" s="32">
        <v>0</v>
      </c>
      <c r="BQ124" s="32">
        <v>0</v>
      </c>
      <c r="BR124" s="32">
        <v>0</v>
      </c>
      <c r="BS124" s="32">
        <v>0</v>
      </c>
      <c r="BT124" s="32">
        <v>0</v>
      </c>
      <c r="BU124" s="32">
        <v>0</v>
      </c>
      <c r="BV124" s="32">
        <v>0</v>
      </c>
      <c r="BW124" s="32">
        <v>526359</v>
      </c>
      <c r="BX124" s="32">
        <v>0</v>
      </c>
      <c r="BY124" s="32">
        <v>0</v>
      </c>
      <c r="BZ124" s="32">
        <v>0</v>
      </c>
      <c r="CA124" s="32">
        <v>0</v>
      </c>
      <c r="CB124" s="32">
        <v>526359</v>
      </c>
      <c r="CC124" s="32">
        <v>526359</v>
      </c>
    </row>
    <row r="125" spans="1:81" ht="8.25" customHeight="1">
      <c r="A125" s="53">
        <v>84002</v>
      </c>
      <c r="B125" s="49" t="str">
        <f>IFERROR(INDEX(SCNtoISIC!$I:$I,MATCH($A125,SCNtoISIC!$G:$G,0)),0)</f>
        <v>ISIC 84</v>
      </c>
      <c r="C125" s="50" t="str">
        <f>IFERROR(INDEX(SCNtoISIC!$K:$K,MATCH($B125,SCNtoISIC!$I:$I,0)),0)</f>
        <v>Public administration and defence; compulsory social security</v>
      </c>
      <c r="D125" s="54" t="s">
        <v>428</v>
      </c>
      <c r="E125" s="32">
        <v>0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  <c r="X125" s="32">
        <v>0</v>
      </c>
      <c r="Y125" s="32">
        <v>0</v>
      </c>
      <c r="Z125" s="32">
        <v>0</v>
      </c>
      <c r="AA125" s="32">
        <v>0</v>
      </c>
      <c r="AB125" s="32">
        <v>0</v>
      </c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 s="32">
        <v>0</v>
      </c>
      <c r="BD125" s="32">
        <v>0</v>
      </c>
      <c r="BE125" s="32">
        <v>0</v>
      </c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2">
        <v>0</v>
      </c>
      <c r="BP125" s="32">
        <v>0</v>
      </c>
      <c r="BQ125" s="32">
        <v>0</v>
      </c>
      <c r="BR125" s="32">
        <v>0</v>
      </c>
      <c r="BS125" s="32">
        <v>0</v>
      </c>
      <c r="BT125" s="32">
        <v>0</v>
      </c>
      <c r="BU125" s="32">
        <v>0</v>
      </c>
      <c r="BV125" s="32">
        <v>0</v>
      </c>
      <c r="BW125" s="32">
        <v>11474</v>
      </c>
      <c r="BX125" s="32">
        <v>0</v>
      </c>
      <c r="BY125" s="32">
        <v>0</v>
      </c>
      <c r="BZ125" s="32">
        <v>0</v>
      </c>
      <c r="CA125" s="32">
        <v>0</v>
      </c>
      <c r="CB125" s="32">
        <v>11474</v>
      </c>
      <c r="CC125" s="32">
        <v>11474</v>
      </c>
    </row>
    <row r="126" spans="1:81" ht="8.25" customHeight="1">
      <c r="A126" s="53">
        <v>85911</v>
      </c>
      <c r="B126" s="49" t="str">
        <f>IFERROR(INDEX(SCNtoISIC!$I:$I,MATCH($A126,SCNtoISIC!$G:$G,0)),0)</f>
        <v>ISIC 85</v>
      </c>
      <c r="C126" s="50" t="str">
        <f>IFERROR(INDEX(SCNtoISIC!$K:$K,MATCH($B126,SCNtoISIC!$I:$I,0)),0)</f>
        <v>Education</v>
      </c>
      <c r="D126" s="54" t="s">
        <v>341</v>
      </c>
      <c r="E126" s="32">
        <v>0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2">
        <v>0</v>
      </c>
      <c r="X126" s="32">
        <v>0</v>
      </c>
      <c r="Y126" s="32">
        <v>0</v>
      </c>
      <c r="Z126" s="32">
        <v>0</v>
      </c>
      <c r="AA126" s="32">
        <v>0</v>
      </c>
      <c r="AB126" s="32">
        <v>0</v>
      </c>
      <c r="AC126" s="32">
        <v>0</v>
      </c>
      <c r="AD126" s="32">
        <v>0</v>
      </c>
      <c r="AE126" s="32">
        <v>0</v>
      </c>
      <c r="AF126" s="32">
        <v>0</v>
      </c>
      <c r="AG126" s="32">
        <v>0</v>
      </c>
      <c r="AH126" s="32">
        <v>0</v>
      </c>
      <c r="AI126" s="32">
        <v>0</v>
      </c>
      <c r="AJ126" s="32">
        <v>0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0</v>
      </c>
      <c r="AS126" s="32">
        <v>0</v>
      </c>
      <c r="AT126" s="32">
        <v>0</v>
      </c>
      <c r="AU126" s="32">
        <v>0</v>
      </c>
      <c r="AV126" s="32">
        <v>0</v>
      </c>
      <c r="AW126" s="32">
        <v>0</v>
      </c>
      <c r="AX126" s="32">
        <v>0</v>
      </c>
      <c r="AY126" s="32">
        <v>0</v>
      </c>
      <c r="AZ126" s="32">
        <v>0</v>
      </c>
      <c r="BA126" s="32">
        <v>0</v>
      </c>
      <c r="BB126" s="32">
        <v>0</v>
      </c>
      <c r="BC126" s="32">
        <v>0</v>
      </c>
      <c r="BD126" s="32">
        <v>0</v>
      </c>
      <c r="BE126" s="32">
        <v>0</v>
      </c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2">
        <v>0</v>
      </c>
      <c r="BP126" s="32">
        <v>0</v>
      </c>
      <c r="BQ126" s="32">
        <v>0</v>
      </c>
      <c r="BR126" s="32">
        <v>0</v>
      </c>
      <c r="BS126" s="32">
        <v>0</v>
      </c>
      <c r="BT126" s="32">
        <v>0</v>
      </c>
      <c r="BU126" s="32">
        <v>0</v>
      </c>
      <c r="BV126" s="32">
        <v>0</v>
      </c>
      <c r="BW126" s="32">
        <v>192730</v>
      </c>
      <c r="BX126" s="32">
        <v>0</v>
      </c>
      <c r="BY126" s="32">
        <v>0</v>
      </c>
      <c r="BZ126" s="32">
        <v>0</v>
      </c>
      <c r="CA126" s="32">
        <v>0</v>
      </c>
      <c r="CB126" s="32">
        <v>192730</v>
      </c>
      <c r="CC126" s="32">
        <v>192730</v>
      </c>
    </row>
    <row r="127" spans="1:81" ht="8.25" customHeight="1">
      <c r="A127" s="48">
        <v>85921</v>
      </c>
      <c r="B127" s="49" t="str">
        <f>IFERROR(INDEX(SCNtoISIC!$I:$I,MATCH($A127,SCNtoISIC!$G:$G,0)),0)</f>
        <v>ISIC 85</v>
      </c>
      <c r="C127" s="50" t="str">
        <f>IFERROR(INDEX(SCNtoISIC!$K:$K,MATCH($B127,SCNtoISIC!$I:$I,0)),0)</f>
        <v>Education</v>
      </c>
      <c r="D127" s="51" t="s">
        <v>345</v>
      </c>
      <c r="E127" s="52">
        <v>3</v>
      </c>
      <c r="F127" s="52">
        <v>1</v>
      </c>
      <c r="G127" s="52">
        <v>0</v>
      </c>
      <c r="H127" s="52">
        <v>1</v>
      </c>
      <c r="I127" s="52">
        <v>27</v>
      </c>
      <c r="J127" s="52">
        <v>77</v>
      </c>
      <c r="K127" s="52">
        <v>18</v>
      </c>
      <c r="L127" s="52">
        <v>3</v>
      </c>
      <c r="M127" s="52">
        <v>0</v>
      </c>
      <c r="N127" s="52">
        <v>15</v>
      </c>
      <c r="O127" s="52">
        <v>0</v>
      </c>
      <c r="P127" s="52">
        <v>0</v>
      </c>
      <c r="Q127" s="52">
        <v>1</v>
      </c>
      <c r="R127" s="52">
        <v>0</v>
      </c>
      <c r="S127" s="52">
        <v>0</v>
      </c>
      <c r="T127" s="52">
        <v>0</v>
      </c>
      <c r="U127" s="52">
        <v>29</v>
      </c>
      <c r="V127" s="52">
        <v>0</v>
      </c>
      <c r="W127" s="52">
        <v>5</v>
      </c>
      <c r="X127" s="52">
        <v>0</v>
      </c>
      <c r="Y127" s="52">
        <v>9</v>
      </c>
      <c r="Z127" s="52">
        <v>21</v>
      </c>
      <c r="AA127" s="52">
        <v>0</v>
      </c>
      <c r="AB127" s="52">
        <v>0</v>
      </c>
      <c r="AC127" s="52">
        <v>2</v>
      </c>
      <c r="AD127" s="52">
        <v>0</v>
      </c>
      <c r="AE127" s="52">
        <v>139</v>
      </c>
      <c r="AF127" s="52">
        <v>48</v>
      </c>
      <c r="AG127" s="52">
        <v>53</v>
      </c>
      <c r="AH127" s="52">
        <v>1</v>
      </c>
      <c r="AI127" s="52">
        <v>0</v>
      </c>
      <c r="AJ127" s="52">
        <v>22</v>
      </c>
      <c r="AK127" s="52">
        <v>96</v>
      </c>
      <c r="AL127" s="52">
        <v>3</v>
      </c>
      <c r="AM127" s="52">
        <v>0</v>
      </c>
      <c r="AN127" s="52">
        <v>0</v>
      </c>
      <c r="AO127" s="52">
        <v>5</v>
      </c>
      <c r="AP127" s="52">
        <v>79</v>
      </c>
      <c r="AQ127" s="52">
        <v>1</v>
      </c>
      <c r="AR127" s="52">
        <v>2</v>
      </c>
      <c r="AS127" s="52">
        <v>22</v>
      </c>
      <c r="AT127" s="52">
        <v>496</v>
      </c>
      <c r="AU127" s="52">
        <v>766</v>
      </c>
      <c r="AV127" s="52">
        <v>60</v>
      </c>
      <c r="AW127" s="52">
        <v>10</v>
      </c>
      <c r="AX127" s="52">
        <v>174</v>
      </c>
      <c r="AY127" s="52">
        <v>1</v>
      </c>
      <c r="AZ127" s="52">
        <v>0</v>
      </c>
      <c r="BA127" s="52">
        <v>0</v>
      </c>
      <c r="BB127" s="52">
        <v>0</v>
      </c>
      <c r="BC127" s="52">
        <v>51</v>
      </c>
      <c r="BD127" s="52">
        <v>0</v>
      </c>
      <c r="BE127" s="52">
        <v>1501</v>
      </c>
      <c r="BF127" s="52">
        <v>0</v>
      </c>
      <c r="BG127" s="52">
        <v>1849</v>
      </c>
      <c r="BH127" s="52">
        <v>156</v>
      </c>
      <c r="BI127" s="52">
        <v>445</v>
      </c>
      <c r="BJ127" s="52">
        <v>46</v>
      </c>
      <c r="BK127" s="52">
        <v>1235</v>
      </c>
      <c r="BL127" s="52">
        <v>103</v>
      </c>
      <c r="BM127" s="52">
        <v>197</v>
      </c>
      <c r="BN127" s="52">
        <v>563</v>
      </c>
      <c r="BO127" s="52">
        <v>0</v>
      </c>
      <c r="BP127" s="52">
        <v>420</v>
      </c>
      <c r="BQ127" s="52">
        <v>0</v>
      </c>
      <c r="BR127" s="52">
        <v>0</v>
      </c>
      <c r="BS127" s="52">
        <v>337</v>
      </c>
      <c r="BT127" s="52">
        <v>0</v>
      </c>
      <c r="BU127" s="52">
        <v>9093</v>
      </c>
      <c r="BV127" s="52">
        <v>62</v>
      </c>
      <c r="BW127" s="52">
        <v>0</v>
      </c>
      <c r="BX127" s="52">
        <v>0</v>
      </c>
      <c r="BY127" s="52">
        <v>67963</v>
      </c>
      <c r="BZ127" s="52">
        <v>0</v>
      </c>
      <c r="CA127" s="52">
        <v>0</v>
      </c>
      <c r="CB127" s="52">
        <v>68025</v>
      </c>
      <c r="CC127" s="52">
        <v>77118</v>
      </c>
    </row>
    <row r="128" spans="1:81" ht="8.25" customHeight="1">
      <c r="A128" s="48">
        <v>86911</v>
      </c>
      <c r="B128" s="49" t="str">
        <f>IFERROR(INDEX(SCNtoISIC!$I:$I,MATCH($A128,SCNtoISIC!$G:$G,0)),0)</f>
        <v>ISIC 86T88</v>
      </c>
      <c r="C128" s="50" t="str">
        <f>IFERROR(INDEX(SCNtoISIC!$K:$K,MATCH($B128,SCNtoISIC!$I:$I,0)),0)</f>
        <v>Human health and social work</v>
      </c>
      <c r="D128" s="51" t="s">
        <v>347</v>
      </c>
      <c r="E128" s="52">
        <v>0</v>
      </c>
      <c r="F128" s="52">
        <v>0</v>
      </c>
      <c r="G128" s="52">
        <v>0</v>
      </c>
      <c r="H128" s="52">
        <v>0</v>
      </c>
      <c r="I128" s="52">
        <v>0</v>
      </c>
      <c r="J128" s="52">
        <v>0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  <c r="Q128" s="52">
        <v>0</v>
      </c>
      <c r="R128" s="52">
        <v>0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2">
        <v>0</v>
      </c>
      <c r="Y128" s="52">
        <v>0</v>
      </c>
      <c r="Z128" s="52">
        <v>0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2">
        <v>0</v>
      </c>
      <c r="AG128" s="52">
        <v>0</v>
      </c>
      <c r="AH128" s="52">
        <v>0</v>
      </c>
      <c r="AI128" s="52">
        <v>0</v>
      </c>
      <c r="AJ128" s="52">
        <v>0</v>
      </c>
      <c r="AK128" s="52">
        <v>0</v>
      </c>
      <c r="AL128" s="52">
        <v>0</v>
      </c>
      <c r="AM128" s="52">
        <v>0</v>
      </c>
      <c r="AN128" s="52">
        <v>0</v>
      </c>
      <c r="AO128" s="52">
        <v>0</v>
      </c>
      <c r="AP128" s="52">
        <v>0</v>
      </c>
      <c r="AQ128" s="52">
        <v>0</v>
      </c>
      <c r="AR128" s="52">
        <v>0</v>
      </c>
      <c r="AS128" s="52">
        <v>0</v>
      </c>
      <c r="AT128" s="52">
        <v>0</v>
      </c>
      <c r="AU128" s="52">
        <v>0</v>
      </c>
      <c r="AV128" s="52">
        <v>0</v>
      </c>
      <c r="AW128" s="52">
        <v>0</v>
      </c>
      <c r="AX128" s="52">
        <v>0</v>
      </c>
      <c r="AY128" s="52">
        <v>0</v>
      </c>
      <c r="AZ128" s="52">
        <v>0</v>
      </c>
      <c r="BA128" s="52">
        <v>0</v>
      </c>
      <c r="BB128" s="52">
        <v>0</v>
      </c>
      <c r="BC128" s="52">
        <v>0</v>
      </c>
      <c r="BD128" s="52">
        <v>0</v>
      </c>
      <c r="BE128" s="52">
        <v>0</v>
      </c>
      <c r="BF128" s="52">
        <v>0</v>
      </c>
      <c r="BG128" s="52">
        <v>0</v>
      </c>
      <c r="BH128" s="52">
        <v>0</v>
      </c>
      <c r="BI128" s="52">
        <v>0</v>
      </c>
      <c r="BJ128" s="52">
        <v>0</v>
      </c>
      <c r="BK128" s="52">
        <v>0</v>
      </c>
      <c r="BL128" s="52">
        <v>0</v>
      </c>
      <c r="BM128" s="52">
        <v>0</v>
      </c>
      <c r="BN128" s="52">
        <v>0</v>
      </c>
      <c r="BO128" s="52">
        <v>0</v>
      </c>
      <c r="BP128" s="52">
        <v>0</v>
      </c>
      <c r="BQ128" s="52">
        <v>0</v>
      </c>
      <c r="BR128" s="52">
        <v>0</v>
      </c>
      <c r="BS128" s="52">
        <v>0</v>
      </c>
      <c r="BT128" s="52">
        <v>0</v>
      </c>
      <c r="BU128" s="52">
        <v>0</v>
      </c>
      <c r="BV128" s="52">
        <v>0</v>
      </c>
      <c r="BW128" s="52">
        <v>120490</v>
      </c>
      <c r="BX128" s="52">
        <v>0</v>
      </c>
      <c r="BY128" s="52">
        <v>0</v>
      </c>
      <c r="BZ128" s="52">
        <v>0</v>
      </c>
      <c r="CA128" s="52">
        <v>0</v>
      </c>
      <c r="CB128" s="52">
        <v>120490</v>
      </c>
      <c r="CC128" s="52">
        <v>120490</v>
      </c>
    </row>
    <row r="129" spans="1:81" ht="8.25" customHeight="1">
      <c r="A129" s="48">
        <v>86921</v>
      </c>
      <c r="B129" s="49" t="str">
        <f>IFERROR(INDEX(SCNtoISIC!$I:$I,MATCH($A129,SCNtoISIC!$G:$G,0)),0)</f>
        <v>ISIC 86T88</v>
      </c>
      <c r="C129" s="50" t="str">
        <f>IFERROR(INDEX(SCNtoISIC!$K:$K,MATCH($B129,SCNtoISIC!$I:$I,0)),0)</f>
        <v>Human health and social work</v>
      </c>
      <c r="D129" s="51" t="s">
        <v>352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2">
        <v>0</v>
      </c>
      <c r="AG129" s="52">
        <v>0</v>
      </c>
      <c r="AH129" s="52">
        <v>0</v>
      </c>
      <c r="AI129" s="52">
        <v>0</v>
      </c>
      <c r="AJ129" s="52">
        <v>0</v>
      </c>
      <c r="AK129" s="52">
        <v>0</v>
      </c>
      <c r="AL129" s="52">
        <v>0</v>
      </c>
      <c r="AM129" s="52">
        <v>0</v>
      </c>
      <c r="AN129" s="52">
        <v>0</v>
      </c>
      <c r="AO129" s="52">
        <v>0</v>
      </c>
      <c r="AP129" s="52">
        <v>0</v>
      </c>
      <c r="AQ129" s="52">
        <v>0</v>
      </c>
      <c r="AR129" s="52">
        <v>0</v>
      </c>
      <c r="AS129" s="52">
        <v>0</v>
      </c>
      <c r="AT129" s="52">
        <v>0</v>
      </c>
      <c r="AU129" s="52">
        <v>0</v>
      </c>
      <c r="AV129" s="52">
        <v>0</v>
      </c>
      <c r="AW129" s="52">
        <v>0</v>
      </c>
      <c r="AX129" s="52">
        <v>0</v>
      </c>
      <c r="AY129" s="52">
        <v>0</v>
      </c>
      <c r="AZ129" s="52">
        <v>0</v>
      </c>
      <c r="BA129" s="52">
        <v>0</v>
      </c>
      <c r="BB129" s="52">
        <v>0</v>
      </c>
      <c r="BC129" s="52">
        <v>0</v>
      </c>
      <c r="BD129" s="52">
        <v>0</v>
      </c>
      <c r="BE129" s="52">
        <v>0</v>
      </c>
      <c r="BF129" s="52">
        <v>0</v>
      </c>
      <c r="BG129" s="52">
        <v>0</v>
      </c>
      <c r="BH129" s="52">
        <v>0</v>
      </c>
      <c r="BI129" s="52">
        <v>0</v>
      </c>
      <c r="BJ129" s="52">
        <v>0</v>
      </c>
      <c r="BK129" s="52">
        <v>0</v>
      </c>
      <c r="BL129" s="52">
        <v>0</v>
      </c>
      <c r="BM129" s="52">
        <v>60</v>
      </c>
      <c r="BN129" s="52">
        <v>2</v>
      </c>
      <c r="BO129" s="52">
        <v>0</v>
      </c>
      <c r="BP129" s="52">
        <v>10</v>
      </c>
      <c r="BQ129" s="52">
        <v>13558</v>
      </c>
      <c r="BR129" s="52">
        <v>0</v>
      </c>
      <c r="BS129" s="52">
        <v>0</v>
      </c>
      <c r="BT129" s="52">
        <v>0</v>
      </c>
      <c r="BU129" s="52">
        <v>13630</v>
      </c>
      <c r="BV129" s="52">
        <v>42</v>
      </c>
      <c r="BW129" s="52">
        <v>31028</v>
      </c>
      <c r="BX129" s="52">
        <v>4615</v>
      </c>
      <c r="BY129" s="52">
        <v>104804</v>
      </c>
      <c r="BZ129" s="52">
        <v>0</v>
      </c>
      <c r="CA129" s="52">
        <v>0</v>
      </c>
      <c r="CB129" s="52">
        <v>140489</v>
      </c>
      <c r="CC129" s="52">
        <v>154119</v>
      </c>
    </row>
    <row r="130" spans="1:81" ht="8.25" customHeight="1">
      <c r="A130" s="48">
        <v>90801</v>
      </c>
      <c r="B130" s="49" t="str">
        <f>IFERROR(INDEX(SCNtoISIC!$I:$I,MATCH($A130,SCNtoISIC!$G:$G,0)),0)</f>
        <v>ISIC 90T96</v>
      </c>
      <c r="C130" s="50" t="str">
        <f>IFERROR(INDEX(SCNtoISIC!$K:$K,MATCH($B130,SCNtoISIC!$I:$I,0)),0)</f>
        <v>Arts, entertainment, recreation and other service activities</v>
      </c>
      <c r="D130" s="51" t="s">
        <v>431</v>
      </c>
      <c r="E130" s="52">
        <v>0</v>
      </c>
      <c r="F130" s="52">
        <v>0</v>
      </c>
      <c r="G130" s="52">
        <v>0</v>
      </c>
      <c r="H130" s="52">
        <v>0</v>
      </c>
      <c r="I130" s="52">
        <v>0</v>
      </c>
      <c r="J130" s="52">
        <v>0</v>
      </c>
      <c r="K130" s="52">
        <v>0</v>
      </c>
      <c r="L130" s="52">
        <v>0</v>
      </c>
      <c r="M130" s="52">
        <v>0</v>
      </c>
      <c r="N130" s="52">
        <v>0</v>
      </c>
      <c r="O130" s="52">
        <v>0</v>
      </c>
      <c r="P130" s="52">
        <v>0</v>
      </c>
      <c r="Q130" s="52">
        <v>0</v>
      </c>
      <c r="R130" s="52">
        <v>0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2">
        <v>0</v>
      </c>
      <c r="Y130" s="52">
        <v>0</v>
      </c>
      <c r="Z130" s="52">
        <v>0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2">
        <v>0</v>
      </c>
      <c r="AG130" s="52">
        <v>0</v>
      </c>
      <c r="AH130" s="52">
        <v>0</v>
      </c>
      <c r="AI130" s="52">
        <v>0</v>
      </c>
      <c r="AJ130" s="52">
        <v>0</v>
      </c>
      <c r="AK130" s="52">
        <v>0</v>
      </c>
      <c r="AL130" s="52">
        <v>0</v>
      </c>
      <c r="AM130" s="52">
        <v>0</v>
      </c>
      <c r="AN130" s="52">
        <v>0</v>
      </c>
      <c r="AO130" s="52">
        <v>0</v>
      </c>
      <c r="AP130" s="52">
        <v>0</v>
      </c>
      <c r="AQ130" s="52">
        <v>0</v>
      </c>
      <c r="AR130" s="52">
        <v>0</v>
      </c>
      <c r="AS130" s="52">
        <v>0</v>
      </c>
      <c r="AT130" s="52">
        <v>1</v>
      </c>
      <c r="AU130" s="52">
        <v>0</v>
      </c>
      <c r="AV130" s="52">
        <v>0</v>
      </c>
      <c r="AW130" s="52">
        <v>0</v>
      </c>
      <c r="AX130" s="52">
        <v>0</v>
      </c>
      <c r="AY130" s="52">
        <v>11</v>
      </c>
      <c r="AZ130" s="52">
        <v>0</v>
      </c>
      <c r="BA130" s="52">
        <v>0</v>
      </c>
      <c r="BB130" s="52">
        <v>2026</v>
      </c>
      <c r="BC130" s="52">
        <v>334</v>
      </c>
      <c r="BD130" s="52">
        <v>0</v>
      </c>
      <c r="BE130" s="52">
        <v>0</v>
      </c>
      <c r="BF130" s="52">
        <v>0</v>
      </c>
      <c r="BG130" s="52">
        <v>0</v>
      </c>
      <c r="BH130" s="52">
        <v>0</v>
      </c>
      <c r="BI130" s="52">
        <v>53</v>
      </c>
      <c r="BJ130" s="52">
        <v>0</v>
      </c>
      <c r="BK130" s="52">
        <v>20</v>
      </c>
      <c r="BL130" s="52">
        <v>0</v>
      </c>
      <c r="BM130" s="52">
        <v>650</v>
      </c>
      <c r="BN130" s="52">
        <v>71</v>
      </c>
      <c r="BO130" s="52">
        <v>0</v>
      </c>
      <c r="BP130" s="52">
        <v>47</v>
      </c>
      <c r="BQ130" s="52">
        <v>0</v>
      </c>
      <c r="BR130" s="52">
        <v>589</v>
      </c>
      <c r="BS130" s="52">
        <v>993</v>
      </c>
      <c r="BT130" s="52">
        <v>0</v>
      </c>
      <c r="BU130" s="52">
        <v>4795</v>
      </c>
      <c r="BV130" s="52">
        <v>1216</v>
      </c>
      <c r="BW130" s="52">
        <v>0</v>
      </c>
      <c r="BX130" s="52">
        <v>6028</v>
      </c>
      <c r="BY130" s="52">
        <v>22967</v>
      </c>
      <c r="BZ130" s="52">
        <v>0</v>
      </c>
      <c r="CA130" s="52">
        <v>0</v>
      </c>
      <c r="CB130" s="52">
        <v>30211</v>
      </c>
      <c r="CC130" s="52">
        <v>35006</v>
      </c>
    </row>
    <row r="131" spans="1:81" ht="8.25" customHeight="1">
      <c r="A131" s="48">
        <v>94801</v>
      </c>
      <c r="B131" s="49" t="str">
        <f>IFERROR(INDEX(SCNtoISIC!$I:$I,MATCH($A131,SCNtoISIC!$G:$G,0)),0)</f>
        <v>ISIC 90T96</v>
      </c>
      <c r="C131" s="50" t="str">
        <f>IFERROR(INDEX(SCNtoISIC!$K:$K,MATCH($B131,SCNtoISIC!$I:$I,0)),0)</f>
        <v>Arts, entertainment, recreation and other service activities</v>
      </c>
      <c r="D131" s="51" t="s">
        <v>433</v>
      </c>
      <c r="E131" s="52">
        <v>86</v>
      </c>
      <c r="F131" s="52">
        <v>26</v>
      </c>
      <c r="G131" s="52">
        <v>13</v>
      </c>
      <c r="H131" s="52">
        <v>34</v>
      </c>
      <c r="I131" s="52">
        <v>210</v>
      </c>
      <c r="J131" s="52">
        <v>128</v>
      </c>
      <c r="K131" s="52">
        <v>36</v>
      </c>
      <c r="L131" s="52">
        <v>126</v>
      </c>
      <c r="M131" s="52">
        <v>69</v>
      </c>
      <c r="N131" s="52">
        <v>151</v>
      </c>
      <c r="O131" s="52">
        <v>90</v>
      </c>
      <c r="P131" s="52">
        <v>15</v>
      </c>
      <c r="Q131" s="52">
        <v>41</v>
      </c>
      <c r="R131" s="52">
        <v>90</v>
      </c>
      <c r="S131" s="52">
        <v>46</v>
      </c>
      <c r="T131" s="52">
        <v>40</v>
      </c>
      <c r="U131" s="52">
        <v>90</v>
      </c>
      <c r="V131" s="52">
        <v>32</v>
      </c>
      <c r="W131" s="52">
        <v>71</v>
      </c>
      <c r="X131" s="52">
        <v>22</v>
      </c>
      <c r="Y131" s="52">
        <v>81</v>
      </c>
      <c r="Z131" s="52">
        <v>40</v>
      </c>
      <c r="AA131" s="52">
        <v>33</v>
      </c>
      <c r="AB131" s="52">
        <v>71</v>
      </c>
      <c r="AC131" s="52">
        <v>132</v>
      </c>
      <c r="AD131" s="52">
        <v>125</v>
      </c>
      <c r="AE131" s="52">
        <v>78</v>
      </c>
      <c r="AF131" s="52">
        <v>36</v>
      </c>
      <c r="AG131" s="52">
        <v>173</v>
      </c>
      <c r="AH131" s="52">
        <v>78</v>
      </c>
      <c r="AI131" s="52">
        <v>78</v>
      </c>
      <c r="AJ131" s="52">
        <v>179</v>
      </c>
      <c r="AK131" s="52">
        <v>224</v>
      </c>
      <c r="AL131" s="52">
        <v>123</v>
      </c>
      <c r="AM131" s="52">
        <v>44</v>
      </c>
      <c r="AN131" s="52">
        <v>86</v>
      </c>
      <c r="AO131" s="52">
        <v>0</v>
      </c>
      <c r="AP131" s="52">
        <v>0</v>
      </c>
      <c r="AQ131" s="52">
        <v>0</v>
      </c>
      <c r="AR131" s="52">
        <v>0</v>
      </c>
      <c r="AS131" s="52">
        <v>16</v>
      </c>
      <c r="AT131" s="52">
        <v>80</v>
      </c>
      <c r="AU131" s="52">
        <v>42</v>
      </c>
      <c r="AV131" s="52">
        <v>2</v>
      </c>
      <c r="AW131" s="52">
        <v>5</v>
      </c>
      <c r="AX131" s="52">
        <v>722</v>
      </c>
      <c r="AY131" s="52">
        <v>6</v>
      </c>
      <c r="AZ131" s="52">
        <v>27</v>
      </c>
      <c r="BA131" s="52">
        <v>6</v>
      </c>
      <c r="BB131" s="52">
        <v>10</v>
      </c>
      <c r="BC131" s="52">
        <v>58</v>
      </c>
      <c r="BD131" s="52">
        <v>33</v>
      </c>
      <c r="BE131" s="52">
        <v>43</v>
      </c>
      <c r="BF131" s="52">
        <v>9</v>
      </c>
      <c r="BG131" s="52">
        <v>48</v>
      </c>
      <c r="BH131" s="52">
        <v>23</v>
      </c>
      <c r="BI131" s="52">
        <v>13</v>
      </c>
      <c r="BJ131" s="52">
        <v>15</v>
      </c>
      <c r="BK131" s="52">
        <v>54</v>
      </c>
      <c r="BL131" s="52">
        <v>15</v>
      </c>
      <c r="BM131" s="52">
        <v>0</v>
      </c>
      <c r="BN131" s="52">
        <v>0</v>
      </c>
      <c r="BO131" s="52">
        <v>0</v>
      </c>
      <c r="BP131" s="52">
        <v>0</v>
      </c>
      <c r="BQ131" s="52">
        <v>0</v>
      </c>
      <c r="BR131" s="52">
        <v>0</v>
      </c>
      <c r="BS131" s="52">
        <v>7</v>
      </c>
      <c r="BT131" s="52">
        <v>0</v>
      </c>
      <c r="BU131" s="52">
        <v>4231</v>
      </c>
      <c r="BV131" s="52">
        <v>0</v>
      </c>
      <c r="BW131" s="52">
        <v>0</v>
      </c>
      <c r="BX131" s="52">
        <v>40375</v>
      </c>
      <c r="BY131" s="52">
        <v>30583</v>
      </c>
      <c r="BZ131" s="52">
        <v>0</v>
      </c>
      <c r="CA131" s="52">
        <v>0</v>
      </c>
      <c r="CB131" s="52">
        <v>70958</v>
      </c>
      <c r="CC131" s="52">
        <v>75189</v>
      </c>
    </row>
    <row r="132" spans="1:81" ht="8.25" customHeight="1">
      <c r="A132" s="53">
        <v>94802</v>
      </c>
      <c r="B132" s="49" t="str">
        <f>IFERROR(INDEX(SCNtoISIC!$I:$I,MATCH($A132,SCNtoISIC!$G:$G,0)),0)</f>
        <v>ISIC 90T96</v>
      </c>
      <c r="C132" s="50" t="str">
        <f>IFERROR(INDEX(SCNtoISIC!$K:$K,MATCH($B132,SCNtoISIC!$I:$I,0)),0)</f>
        <v>Arts, entertainment, recreation and other service activities</v>
      </c>
      <c r="D132" s="54" t="s">
        <v>434</v>
      </c>
      <c r="E132" s="32">
        <v>0</v>
      </c>
      <c r="F132" s="32">
        <v>0</v>
      </c>
      <c r="G132" s="32">
        <v>6</v>
      </c>
      <c r="H132" s="32">
        <v>0</v>
      </c>
      <c r="I132" s="32">
        <v>37</v>
      </c>
      <c r="J132" s="32">
        <v>0</v>
      </c>
      <c r="K132" s="32">
        <v>2</v>
      </c>
      <c r="L132" s="32">
        <v>0</v>
      </c>
      <c r="M132" s="32">
        <v>0</v>
      </c>
      <c r="N132" s="32">
        <v>2</v>
      </c>
      <c r="O132" s="32">
        <v>0</v>
      </c>
      <c r="P132" s="32">
        <v>0</v>
      </c>
      <c r="Q132" s="32">
        <v>11</v>
      </c>
      <c r="R132" s="32">
        <v>0</v>
      </c>
      <c r="S132" s="32">
        <v>0</v>
      </c>
      <c r="T132" s="32">
        <v>0</v>
      </c>
      <c r="U132" s="32">
        <v>0</v>
      </c>
      <c r="V132" s="32">
        <v>17</v>
      </c>
      <c r="W132" s="32">
        <v>0</v>
      </c>
      <c r="X132" s="32">
        <v>0</v>
      </c>
      <c r="Y132" s="32">
        <v>0</v>
      </c>
      <c r="Z132" s="32">
        <v>0</v>
      </c>
      <c r="AA132" s="32">
        <v>0</v>
      </c>
      <c r="AB132" s="32">
        <v>0</v>
      </c>
      <c r="AC132" s="32">
        <v>0</v>
      </c>
      <c r="AD132" s="32">
        <v>2</v>
      </c>
      <c r="AE132" s="32">
        <v>18</v>
      </c>
      <c r="AF132" s="32">
        <v>3</v>
      </c>
      <c r="AG132" s="32">
        <v>32</v>
      </c>
      <c r="AH132" s="32">
        <v>351</v>
      </c>
      <c r="AI132" s="32">
        <v>65</v>
      </c>
      <c r="AJ132" s="32">
        <v>23</v>
      </c>
      <c r="AK132" s="32">
        <v>2</v>
      </c>
      <c r="AL132" s="32">
        <v>0</v>
      </c>
      <c r="AM132" s="32">
        <v>0</v>
      </c>
      <c r="AN132" s="32">
        <v>4</v>
      </c>
      <c r="AO132" s="32">
        <v>2</v>
      </c>
      <c r="AP132" s="32">
        <v>542</v>
      </c>
      <c r="AQ132" s="32">
        <v>0</v>
      </c>
      <c r="AR132" s="32">
        <v>161</v>
      </c>
      <c r="AS132" s="32">
        <v>62</v>
      </c>
      <c r="AT132" s="32">
        <v>2526</v>
      </c>
      <c r="AU132" s="32">
        <v>370</v>
      </c>
      <c r="AV132" s="32">
        <v>3</v>
      </c>
      <c r="AW132" s="32">
        <v>1</v>
      </c>
      <c r="AX132" s="32">
        <v>138</v>
      </c>
      <c r="AY132" s="32">
        <v>43</v>
      </c>
      <c r="AZ132" s="32">
        <v>111</v>
      </c>
      <c r="BA132" s="32">
        <v>55</v>
      </c>
      <c r="BB132" s="32">
        <v>185</v>
      </c>
      <c r="BC132" s="32">
        <v>4508</v>
      </c>
      <c r="BD132" s="32">
        <v>1054</v>
      </c>
      <c r="BE132" s="32">
        <v>1651</v>
      </c>
      <c r="BF132" s="32">
        <v>98</v>
      </c>
      <c r="BG132" s="32">
        <v>371</v>
      </c>
      <c r="BH132" s="32">
        <v>57</v>
      </c>
      <c r="BI132" s="32">
        <v>84</v>
      </c>
      <c r="BJ132" s="32">
        <v>76</v>
      </c>
      <c r="BK132" s="32">
        <v>1173</v>
      </c>
      <c r="BL132" s="32">
        <v>14</v>
      </c>
      <c r="BM132" s="32">
        <v>736</v>
      </c>
      <c r="BN132" s="32">
        <v>72</v>
      </c>
      <c r="BO132" s="32">
        <v>451</v>
      </c>
      <c r="BP132" s="32">
        <v>256</v>
      </c>
      <c r="BQ132" s="32">
        <v>536</v>
      </c>
      <c r="BR132" s="32">
        <v>20</v>
      </c>
      <c r="BS132" s="32">
        <v>154</v>
      </c>
      <c r="BT132" s="32">
        <v>0</v>
      </c>
      <c r="BU132" s="32">
        <v>16085</v>
      </c>
      <c r="BV132" s="32">
        <v>0</v>
      </c>
      <c r="BW132" s="32">
        <v>0</v>
      </c>
      <c r="BX132" s="32">
        <v>0</v>
      </c>
      <c r="BY132" s="32">
        <v>8000</v>
      </c>
      <c r="BZ132" s="32">
        <v>0</v>
      </c>
      <c r="CA132" s="32">
        <v>0</v>
      </c>
      <c r="CB132" s="32">
        <v>8000</v>
      </c>
      <c r="CC132" s="32">
        <v>24085</v>
      </c>
    </row>
    <row r="133" spans="1:81" ht="8.25" customHeight="1">
      <c r="A133" s="53">
        <v>94803</v>
      </c>
      <c r="B133" s="49" t="str">
        <f>IFERROR(INDEX(SCNtoISIC!$I:$I,MATCH($A133,SCNtoISIC!$G:$G,0)),0)</f>
        <v>ISIC 90T96</v>
      </c>
      <c r="C133" s="50" t="str">
        <f>IFERROR(INDEX(SCNtoISIC!$K:$K,MATCH($B133,SCNtoISIC!$I:$I,0)),0)</f>
        <v>Arts, entertainment, recreation and other service activities</v>
      </c>
      <c r="D133" s="54" t="s">
        <v>435</v>
      </c>
      <c r="E133" s="32">
        <v>0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  <c r="X133" s="32">
        <v>0</v>
      </c>
      <c r="Y133" s="32">
        <v>0</v>
      </c>
      <c r="Z133" s="32">
        <v>0</v>
      </c>
      <c r="AA133" s="32">
        <v>0</v>
      </c>
      <c r="AB133" s="32">
        <v>0</v>
      </c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2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55</v>
      </c>
      <c r="AZ133" s="32">
        <v>12</v>
      </c>
      <c r="BA133" s="32">
        <v>0</v>
      </c>
      <c r="BB133" s="32">
        <v>0</v>
      </c>
      <c r="BC133" s="32">
        <v>0</v>
      </c>
      <c r="BD133" s="32">
        <v>0</v>
      </c>
      <c r="BE133" s="32">
        <v>530</v>
      </c>
      <c r="BF133" s="32">
        <v>3</v>
      </c>
      <c r="BG133" s="32">
        <v>0</v>
      </c>
      <c r="BH133" s="32">
        <v>0</v>
      </c>
      <c r="BI133" s="32">
        <v>231</v>
      </c>
      <c r="BJ133" s="32">
        <v>0</v>
      </c>
      <c r="BK133" s="32">
        <v>12</v>
      </c>
      <c r="BL133" s="32">
        <v>0</v>
      </c>
      <c r="BM133" s="32">
        <v>2</v>
      </c>
      <c r="BN133" s="32">
        <v>29</v>
      </c>
      <c r="BO133" s="32">
        <v>0</v>
      </c>
      <c r="BP133" s="32">
        <v>870</v>
      </c>
      <c r="BQ133" s="32">
        <v>957</v>
      </c>
      <c r="BR133" s="32">
        <v>0</v>
      </c>
      <c r="BS133" s="32">
        <v>176</v>
      </c>
      <c r="BT133" s="32">
        <v>0</v>
      </c>
      <c r="BU133" s="32">
        <v>2877</v>
      </c>
      <c r="BV133" s="32">
        <v>0</v>
      </c>
      <c r="BW133" s="32">
        <v>0</v>
      </c>
      <c r="BX133" s="32">
        <v>0</v>
      </c>
      <c r="BY133" s="32">
        <v>30341</v>
      </c>
      <c r="BZ133" s="32">
        <v>0</v>
      </c>
      <c r="CA133" s="32">
        <v>0</v>
      </c>
      <c r="CB133" s="32">
        <v>30341</v>
      </c>
      <c r="CC133" s="32">
        <v>33218</v>
      </c>
    </row>
    <row r="134" spans="1:81" ht="8.25" customHeight="1">
      <c r="A134" s="53">
        <v>97001</v>
      </c>
      <c r="B134" s="49" t="str">
        <f>IFERROR(INDEX(SCNtoISIC!$I:$I,MATCH($A134,SCNtoISIC!$G:$G,0)),0)</f>
        <v>ISIC 97T98</v>
      </c>
      <c r="C134" s="50" t="str">
        <f>IFERROR(INDEX(SCNtoISIC!$K:$K,MATCH($B134,SCNtoISIC!$I:$I,0)),0)</f>
        <v>Private households with employed persons</v>
      </c>
      <c r="D134" s="54" t="s">
        <v>361</v>
      </c>
      <c r="E134" s="32">
        <v>0</v>
      </c>
      <c r="F134" s="32">
        <v>0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  <c r="X134" s="32">
        <v>0</v>
      </c>
      <c r="Y134" s="32">
        <v>0</v>
      </c>
      <c r="Z134" s="32">
        <v>0</v>
      </c>
      <c r="AA134" s="32">
        <v>0</v>
      </c>
      <c r="AB134" s="32">
        <v>0</v>
      </c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32">
        <v>0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 s="32">
        <v>0</v>
      </c>
      <c r="BD134" s="32">
        <v>0</v>
      </c>
      <c r="BE134" s="32">
        <v>0</v>
      </c>
      <c r="BF134" s="32">
        <v>0</v>
      </c>
      <c r="BG134" s="32">
        <v>0</v>
      </c>
      <c r="BH134" s="32">
        <v>0</v>
      </c>
      <c r="BI134" s="32">
        <v>0</v>
      </c>
      <c r="BJ134" s="32">
        <v>0</v>
      </c>
      <c r="BK134" s="32">
        <v>0</v>
      </c>
      <c r="BL134" s="32">
        <v>0</v>
      </c>
      <c r="BM134" s="32">
        <v>0</v>
      </c>
      <c r="BN134" s="32">
        <v>0</v>
      </c>
      <c r="BO134" s="32">
        <v>0</v>
      </c>
      <c r="BP134" s="32">
        <v>0</v>
      </c>
      <c r="BQ134" s="32">
        <v>0</v>
      </c>
      <c r="BR134" s="32">
        <v>0</v>
      </c>
      <c r="BS134" s="32">
        <v>0</v>
      </c>
      <c r="BT134" s="32">
        <v>0</v>
      </c>
      <c r="BU134" s="32">
        <v>0</v>
      </c>
      <c r="BV134" s="32">
        <v>0</v>
      </c>
      <c r="BW134" s="32">
        <v>0</v>
      </c>
      <c r="BX134" s="32">
        <v>0</v>
      </c>
      <c r="BY134" s="32">
        <v>47365</v>
      </c>
      <c r="BZ134" s="32">
        <v>0</v>
      </c>
      <c r="CA134" s="32">
        <v>0</v>
      </c>
      <c r="CB134" s="32">
        <v>47365</v>
      </c>
      <c r="CC134" s="32">
        <v>47365</v>
      </c>
    </row>
    <row r="135" spans="1:81" ht="8.25" customHeight="1">
      <c r="A135" s="55"/>
      <c r="B135" s="55"/>
      <c r="C135" s="55"/>
      <c r="D135" s="54"/>
      <c r="E135" s="56">
        <v>0</v>
      </c>
      <c r="F135" s="56">
        <v>0</v>
      </c>
      <c r="G135" s="56">
        <v>0</v>
      </c>
      <c r="H135" s="56">
        <v>0</v>
      </c>
      <c r="I135" s="56">
        <v>0</v>
      </c>
      <c r="J135" s="56">
        <v>0</v>
      </c>
      <c r="K135" s="56">
        <v>0</v>
      </c>
      <c r="L135" s="56">
        <v>0</v>
      </c>
      <c r="M135" s="56">
        <v>0</v>
      </c>
      <c r="N135" s="56">
        <v>0</v>
      </c>
      <c r="O135" s="56">
        <v>0</v>
      </c>
      <c r="P135" s="56">
        <v>0</v>
      </c>
      <c r="Q135" s="56">
        <v>0</v>
      </c>
      <c r="R135" s="56">
        <v>0</v>
      </c>
      <c r="S135" s="56">
        <v>0</v>
      </c>
      <c r="T135" s="56">
        <v>0</v>
      </c>
      <c r="U135" s="56">
        <v>0</v>
      </c>
      <c r="V135" s="56">
        <v>0</v>
      </c>
      <c r="W135" s="56">
        <v>0</v>
      </c>
      <c r="X135" s="56">
        <v>0</v>
      </c>
      <c r="Y135" s="56">
        <v>0</v>
      </c>
      <c r="Z135" s="56">
        <v>0</v>
      </c>
      <c r="AA135" s="56">
        <v>0</v>
      </c>
      <c r="AB135" s="56">
        <v>0</v>
      </c>
      <c r="AC135" s="56">
        <v>0</v>
      </c>
      <c r="AD135" s="56">
        <v>0</v>
      </c>
      <c r="AE135" s="56">
        <v>0</v>
      </c>
      <c r="AF135" s="56">
        <v>0</v>
      </c>
      <c r="AG135" s="56">
        <v>0</v>
      </c>
      <c r="AH135" s="56">
        <v>0</v>
      </c>
      <c r="AI135" s="56">
        <v>0</v>
      </c>
      <c r="AJ135" s="56">
        <v>0</v>
      </c>
      <c r="AK135" s="56">
        <v>0</v>
      </c>
      <c r="AL135" s="56">
        <v>0</v>
      </c>
      <c r="AM135" s="56">
        <v>0</v>
      </c>
      <c r="AN135" s="56">
        <v>0</v>
      </c>
      <c r="AO135" s="56">
        <v>0</v>
      </c>
      <c r="AP135" s="56">
        <v>0</v>
      </c>
      <c r="AQ135" s="56">
        <v>0</v>
      </c>
      <c r="AR135" s="56">
        <v>0</v>
      </c>
      <c r="AS135" s="56">
        <v>0</v>
      </c>
      <c r="AT135" s="56">
        <v>0</v>
      </c>
      <c r="AU135" s="56">
        <v>0</v>
      </c>
      <c r="AV135" s="56">
        <v>0</v>
      </c>
      <c r="AW135" s="56">
        <v>0</v>
      </c>
      <c r="AX135" s="56">
        <v>0</v>
      </c>
      <c r="AY135" s="56">
        <v>0</v>
      </c>
      <c r="AZ135" s="56">
        <v>0</v>
      </c>
      <c r="BA135" s="56">
        <v>0</v>
      </c>
      <c r="BB135" s="56">
        <v>0</v>
      </c>
      <c r="BC135" s="56">
        <v>0</v>
      </c>
      <c r="BD135" s="56">
        <v>0</v>
      </c>
      <c r="BE135" s="56">
        <v>0</v>
      </c>
      <c r="BF135" s="56">
        <v>0</v>
      </c>
      <c r="BG135" s="56">
        <v>0</v>
      </c>
      <c r="BH135" s="56">
        <v>0</v>
      </c>
      <c r="BI135" s="56">
        <v>0</v>
      </c>
      <c r="BJ135" s="56">
        <v>0</v>
      </c>
      <c r="BK135" s="56">
        <v>0</v>
      </c>
      <c r="BL135" s="56">
        <v>0</v>
      </c>
      <c r="BM135" s="56">
        <v>0</v>
      </c>
      <c r="BN135" s="56">
        <v>0</v>
      </c>
      <c r="BO135" s="56">
        <v>0</v>
      </c>
      <c r="BP135" s="56">
        <v>0</v>
      </c>
      <c r="BQ135" s="56">
        <v>0</v>
      </c>
      <c r="BR135" s="56">
        <v>0</v>
      </c>
      <c r="BS135" s="56">
        <v>0</v>
      </c>
      <c r="BT135" s="56">
        <v>0</v>
      </c>
      <c r="BU135" s="56">
        <v>0</v>
      </c>
      <c r="BV135" s="32"/>
      <c r="BW135" s="32"/>
      <c r="BX135" s="32"/>
      <c r="BY135" s="32"/>
      <c r="BZ135" s="32"/>
      <c r="CA135" s="32"/>
      <c r="CB135" s="32"/>
      <c r="CC135" s="32"/>
    </row>
    <row r="136" spans="1:81" s="60" customFormat="1" ht="9" customHeight="1">
      <c r="A136" s="57" t="s">
        <v>518</v>
      </c>
      <c r="B136" s="57"/>
      <c r="C136" s="57"/>
      <c r="D136" s="58"/>
      <c r="E136" s="59">
        <v>97767</v>
      </c>
      <c r="F136" s="59">
        <v>50400</v>
      </c>
      <c r="G136" s="59">
        <v>7273</v>
      </c>
      <c r="H136" s="59">
        <v>9784</v>
      </c>
      <c r="I136" s="59">
        <v>64782</v>
      </c>
      <c r="J136" s="59">
        <v>22119</v>
      </c>
      <c r="K136" s="59">
        <v>7767</v>
      </c>
      <c r="L136" s="59">
        <v>152991</v>
      </c>
      <c r="M136" s="59">
        <v>45728</v>
      </c>
      <c r="N136" s="59">
        <v>170180</v>
      </c>
      <c r="O136" s="59">
        <v>40478</v>
      </c>
      <c r="P136" s="59">
        <v>9900</v>
      </c>
      <c r="Q136" s="59">
        <v>31252</v>
      </c>
      <c r="R136" s="59">
        <v>34498</v>
      </c>
      <c r="S136" s="59">
        <v>22939</v>
      </c>
      <c r="T136" s="59">
        <v>14879</v>
      </c>
      <c r="U136" s="59">
        <v>46394</v>
      </c>
      <c r="V136" s="59">
        <v>10894</v>
      </c>
      <c r="W136" s="59">
        <v>305468</v>
      </c>
      <c r="X136" s="59">
        <v>18245</v>
      </c>
      <c r="Y136" s="59">
        <v>101162</v>
      </c>
      <c r="Z136" s="59">
        <v>43795</v>
      </c>
      <c r="AA136" s="59">
        <v>23281</v>
      </c>
      <c r="AB136" s="59">
        <v>25530</v>
      </c>
      <c r="AC136" s="59">
        <v>63347</v>
      </c>
      <c r="AD136" s="59">
        <v>52022</v>
      </c>
      <c r="AE136" s="59">
        <v>72540</v>
      </c>
      <c r="AF136" s="59">
        <v>35471</v>
      </c>
      <c r="AG136" s="59">
        <v>53355</v>
      </c>
      <c r="AH136" s="59">
        <v>60706</v>
      </c>
      <c r="AI136" s="59">
        <v>48546</v>
      </c>
      <c r="AJ136" s="59">
        <v>78734</v>
      </c>
      <c r="AK136" s="59">
        <v>132782</v>
      </c>
      <c r="AL136" s="59">
        <v>57523</v>
      </c>
      <c r="AM136" s="59">
        <v>28061</v>
      </c>
      <c r="AN136" s="59">
        <v>34516</v>
      </c>
      <c r="AO136" s="59">
        <v>30229</v>
      </c>
      <c r="AP136" s="59">
        <v>115061</v>
      </c>
      <c r="AQ136" s="59">
        <v>19157</v>
      </c>
      <c r="AR136" s="59">
        <v>310543</v>
      </c>
      <c r="AS136" s="59">
        <v>53226</v>
      </c>
      <c r="AT136" s="59">
        <v>255434</v>
      </c>
      <c r="AU136" s="59">
        <v>141353</v>
      </c>
      <c r="AV136" s="59">
        <v>9319</v>
      </c>
      <c r="AW136" s="59">
        <v>24032</v>
      </c>
      <c r="AX136" s="59">
        <v>35879</v>
      </c>
      <c r="AY136" s="59">
        <v>8060</v>
      </c>
      <c r="AZ136" s="59">
        <v>90883</v>
      </c>
      <c r="BA136" s="59">
        <v>12191</v>
      </c>
      <c r="BB136" s="59">
        <v>19301</v>
      </c>
      <c r="BC136" s="59">
        <v>92065</v>
      </c>
      <c r="BD136" s="59">
        <v>29543</v>
      </c>
      <c r="BE136" s="59">
        <v>166597</v>
      </c>
      <c r="BF136" s="59">
        <v>33889</v>
      </c>
      <c r="BG136" s="59">
        <v>44774</v>
      </c>
      <c r="BH136" s="59">
        <v>24204</v>
      </c>
      <c r="BI136" s="59">
        <v>50341</v>
      </c>
      <c r="BJ136" s="59">
        <v>12362</v>
      </c>
      <c r="BK136" s="59">
        <v>52385</v>
      </c>
      <c r="BL136" s="59">
        <v>4984</v>
      </c>
      <c r="BM136" s="59">
        <v>172473</v>
      </c>
      <c r="BN136" s="59">
        <v>43102</v>
      </c>
      <c r="BO136" s="59">
        <v>24263</v>
      </c>
      <c r="BP136" s="59">
        <v>42608</v>
      </c>
      <c r="BQ136" s="59">
        <v>58657</v>
      </c>
      <c r="BR136" s="59">
        <v>12184</v>
      </c>
      <c r="BS136" s="59">
        <v>64711</v>
      </c>
      <c r="BT136" s="59">
        <v>0</v>
      </c>
      <c r="BU136" s="59">
        <v>4128919</v>
      </c>
      <c r="BV136" s="59">
        <v>563474</v>
      </c>
      <c r="BW136" s="59">
        <v>892180</v>
      </c>
      <c r="BX136" s="59">
        <v>72905</v>
      </c>
      <c r="BY136" s="59">
        <v>2883929</v>
      </c>
      <c r="BZ136" s="59">
        <v>997460</v>
      </c>
      <c r="CA136" s="59">
        <v>33728</v>
      </c>
      <c r="CB136" s="59">
        <v>5443676</v>
      </c>
      <c r="CC136" s="59">
        <v>9572595</v>
      </c>
    </row>
    <row r="137" spans="1:81" ht="4.9000000000000004" customHeight="1">
      <c r="A137" s="61"/>
      <c r="B137" s="61"/>
      <c r="C137" s="61"/>
    </row>
  </sheetData>
  <mergeCells count="2">
    <mergeCell ref="A3:A4"/>
    <mergeCell ref="D3:D4"/>
  </mergeCells>
  <printOptions horizontalCentered="1"/>
  <pageMargins left="0.19685039370078741" right="0" top="0.19685039370078741" bottom="0.19685039370078741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A5" sqref="A5"/>
    </sheetView>
  </sheetViews>
  <sheetFormatPr baseColWidth="10" defaultColWidth="9.140625" defaultRowHeight="15"/>
  <cols>
    <col min="1" max="2" width="15.85546875" customWidth="1"/>
    <col min="3" max="3" width="14.5703125" customWidth="1"/>
    <col min="4" max="4" width="18" customWidth="1"/>
    <col min="5" max="5" width="15.28515625" customWidth="1"/>
    <col min="6" max="6" width="19.85546875" customWidth="1"/>
    <col min="7" max="7" width="13.5703125" customWidth="1"/>
    <col min="8" max="8" width="16.5703125" customWidth="1"/>
    <col min="9" max="10" width="13.5703125" customWidth="1"/>
    <col min="11" max="11" width="15.28515625" customWidth="1"/>
    <col min="12" max="12" width="14.42578125" customWidth="1"/>
    <col min="13" max="13" width="13.5703125" customWidth="1"/>
  </cols>
  <sheetData>
    <row r="1" spans="1:13" s="22" customFormat="1" ht="45">
      <c r="A1" s="23"/>
      <c r="B1" s="23" t="s">
        <v>25</v>
      </c>
      <c r="C1" s="21" t="s">
        <v>171</v>
      </c>
      <c r="D1" s="21" t="s">
        <v>178</v>
      </c>
      <c r="E1" s="21" t="s">
        <v>303</v>
      </c>
      <c r="F1" s="21" t="s">
        <v>330</v>
      </c>
      <c r="G1" s="21" t="s">
        <v>346</v>
      </c>
      <c r="H1" s="21" t="s">
        <v>519</v>
      </c>
      <c r="I1" s="21" t="s">
        <v>351</v>
      </c>
      <c r="J1" s="21" t="s">
        <v>358</v>
      </c>
      <c r="K1" s="21" t="s">
        <v>388</v>
      </c>
      <c r="L1" s="21" t="s">
        <v>389</v>
      </c>
      <c r="M1" s="21" t="s">
        <v>391</v>
      </c>
    </row>
    <row r="2" spans="1:13" s="4" customFormat="1">
      <c r="A2" s="20"/>
      <c r="B2" s="2"/>
      <c r="C2" s="19" t="s">
        <v>132</v>
      </c>
      <c r="D2" s="19" t="s">
        <v>136</v>
      </c>
      <c r="E2" s="19" t="s">
        <v>188</v>
      </c>
      <c r="F2" s="19" t="s">
        <v>197</v>
      </c>
      <c r="G2" s="19" t="s">
        <v>212</v>
      </c>
      <c r="H2" s="19" t="s">
        <v>208</v>
      </c>
      <c r="I2" s="19" t="s">
        <v>216</v>
      </c>
      <c r="J2" s="19" t="s">
        <v>220</v>
      </c>
      <c r="K2" s="19" t="s">
        <v>258</v>
      </c>
      <c r="L2" s="19" t="s">
        <v>262</v>
      </c>
      <c r="M2" s="19" t="s">
        <v>267</v>
      </c>
    </row>
    <row r="3" spans="1:13">
      <c r="A3" t="s">
        <v>520</v>
      </c>
      <c r="B3" t="s">
        <v>521</v>
      </c>
      <c r="C3" cm="1">
        <f t="array" ref="C3">SUMPRODUCT('DLIM IBGE Use Table'!$BM$7:$BN$134*('DLIM IBGE Use Table'!$B$7:$B$134=C$2))+SUMPRODUCT('DLIM IBGE Use Table'!$BP$7:$BP$134*('DLIM IBGE Use Table'!$B$7:$B$134=C$2))</f>
        <v>100</v>
      </c>
      <c r="D3" cm="1">
        <f t="array" ref="D3">SUMPRODUCT('DLIM IBGE Use Table'!$BM$7:$BN$134*('DLIM IBGE Use Table'!$B$7:$B$134=D$2))+SUMPRODUCT('DLIM IBGE Use Table'!$BP$7:$BP$134*('DLIM IBGE Use Table'!$B$7:$B$134=D$2))</f>
        <v>0</v>
      </c>
      <c r="E3" cm="1">
        <f t="array" ref="E3">SUMPRODUCT('DLIM IBGE Use Table'!$BM$7:$BN$134*('DLIM IBGE Use Table'!$B$7:$B$134=E$2))+SUMPRODUCT('DLIM IBGE Use Table'!$BP$7:$BP$134*('DLIM IBGE Use Table'!$B$7:$B$134=E$2))</f>
        <v>2542</v>
      </c>
      <c r="F3" cm="1">
        <f t="array" ref="F3">SUMPRODUCT('DLIM IBGE Use Table'!$BM$7:$BN$134*('DLIM IBGE Use Table'!$B$7:$B$134=F$2))+SUMPRODUCT('DLIM IBGE Use Table'!$BP$7:$BP$134*('DLIM IBGE Use Table'!$B$7:$B$134=F$2))</f>
        <v>6213</v>
      </c>
      <c r="G3" cm="1">
        <f t="array" ref="G3">SUMPRODUCT('DLIM IBGE Use Table'!$BM$7:$BN$134*('DLIM IBGE Use Table'!$B$7:$B$134=G$2))+SUMPRODUCT('DLIM IBGE Use Table'!$BP$7:$BP$134*('DLIM IBGE Use Table'!$B$7:$B$134=G$2))</f>
        <v>604</v>
      </c>
      <c r="H3" cm="1">
        <f t="array" ref="H3">SUMPRODUCT('DLIM IBGE Use Table'!$BM$7:$BN$134*('DLIM IBGE Use Table'!$B$7:$B$134=H$2))+SUMPRODUCT('DLIM IBGE Use Table'!$BP$7:$BP$134*('DLIM IBGE Use Table'!$B$7:$B$134=H$2))</f>
        <v>151</v>
      </c>
      <c r="I3" cm="1">
        <f t="array" ref="I3">SUMPRODUCT('DLIM IBGE Use Table'!$BM$7:$BN$134*('DLIM IBGE Use Table'!$B$7:$B$134=I$2))+SUMPRODUCT('DLIM IBGE Use Table'!$BP$7:$BP$134*('DLIM IBGE Use Table'!$B$7:$B$134=I$2))</f>
        <v>195</v>
      </c>
      <c r="J3" cm="1">
        <f t="array" ref="J3">SUMPRODUCT('DLIM IBGE Use Table'!$BM$7:$BN$134*('DLIM IBGE Use Table'!$B$7:$B$134=J$2))+SUMPRODUCT('DLIM IBGE Use Table'!$BP$7:$BP$134*('DLIM IBGE Use Table'!$B$7:$B$134=J$2))</f>
        <v>19</v>
      </c>
      <c r="K3" cm="1">
        <f t="array" ref="K3">SUMPRODUCT('DLIM IBGE Use Table'!$BM$7:$BN$134*('DLIM IBGE Use Table'!$B$7:$B$134=K$2))+SUMPRODUCT('DLIM IBGE Use Table'!$BP$7:$BP$134*('DLIM IBGE Use Table'!$B$7:$B$134=K$2))</f>
        <v>0</v>
      </c>
      <c r="L3" cm="1">
        <f t="array" ref="L3">SUMPRODUCT('DLIM IBGE Use Table'!$BM$7:$BN$134*('DLIM IBGE Use Table'!$B$7:$B$134=L$2))+SUMPRODUCT('DLIM IBGE Use Table'!$BP$7:$BP$134*('DLIM IBGE Use Table'!$B$7:$B$134=L$2))</f>
        <v>7706</v>
      </c>
      <c r="M3" cm="1">
        <f t="array" ref="M3">SUMPRODUCT('DLIM IBGE Use Table'!$BM$7:$BN$134*('DLIM IBGE Use Table'!$B$7:$B$134=M$2))+SUMPRODUCT('DLIM IBGE Use Table'!$BP$7:$BP$134*('DLIM IBGE Use Table'!$B$7:$B$134=M$2))</f>
        <v>11642</v>
      </c>
    </row>
    <row r="4" spans="1:13">
      <c r="A4" t="s">
        <v>522</v>
      </c>
      <c r="B4" t="s">
        <v>521</v>
      </c>
      <c r="C4" cm="1">
        <f t="array" ref="C4">SUMPRODUCT('DLIM IBGE Use Table'!$BY$7:$BY$134*('DLIM IBGE Use Table'!$B$7:$B$134=C$2))</f>
        <v>0</v>
      </c>
      <c r="D4" cm="1">
        <f t="array" ref="D4">SUMPRODUCT('DLIM IBGE Use Table'!$BY$7:$BY$134*('DLIM IBGE Use Table'!$B$7:$B$134=D$2))</f>
        <v>0</v>
      </c>
      <c r="E4" cm="1">
        <f t="array" ref="E4">SUMPRODUCT('DLIM IBGE Use Table'!$BY$7:$BY$134*('DLIM IBGE Use Table'!$B$7:$B$134=E$2))</f>
        <v>65308</v>
      </c>
      <c r="F4" cm="1">
        <f t="array" ref="F4">SUMPRODUCT('DLIM IBGE Use Table'!$BY$7:$BY$134*('DLIM IBGE Use Table'!$B$7:$B$134=F$2))</f>
        <v>71202</v>
      </c>
      <c r="G4" cm="1">
        <f t="array" ref="G4">SUMPRODUCT('DLIM IBGE Use Table'!$BY$7:$BY$134*('DLIM IBGE Use Table'!$B$7:$B$134=G$2))</f>
        <v>2886</v>
      </c>
      <c r="H4" cm="1">
        <f t="array" ref="H4">SUMPRODUCT('DLIM IBGE Use Table'!$BY$7:$BY$134*('DLIM IBGE Use Table'!$B$7:$B$134=H$2))</f>
        <v>0</v>
      </c>
      <c r="I4" cm="1">
        <f t="array" ref="I4">SUMPRODUCT('DLIM IBGE Use Table'!$BY$7:$BY$134*('DLIM IBGE Use Table'!$B$7:$B$134=I$2))</f>
        <v>239</v>
      </c>
      <c r="J4" cm="1">
        <f t="array" ref="J4">SUMPRODUCT('DLIM IBGE Use Table'!$BY$7:$BY$134*('DLIM IBGE Use Table'!$B$7:$B$134=J$2))</f>
        <v>392</v>
      </c>
      <c r="K4" cm="1">
        <f t="array" ref="K4">SUMPRODUCT('DLIM IBGE Use Table'!$BY$7:$BY$134*('DLIM IBGE Use Table'!$B$7:$B$134=K$2))</f>
        <v>0</v>
      </c>
      <c r="L4" cm="1">
        <f t="array" ref="L4">SUMPRODUCT('DLIM IBGE Use Table'!$BY$7:$BY$134*('DLIM IBGE Use Table'!$B$7:$B$134=L$2))</f>
        <v>68578</v>
      </c>
      <c r="M4" cm="1">
        <f t="array" ref="M4">SUMPRODUCT('DLIM IBGE Use Table'!$BY$7:$BY$134*('DLIM IBGE Use Table'!$B$7:$B$134=M$2))</f>
        <v>21860</v>
      </c>
    </row>
    <row r="6" spans="1:13">
      <c r="A6" t="s">
        <v>520</v>
      </c>
      <c r="B6" t="s">
        <v>523</v>
      </c>
      <c r="C6" s="16">
        <f>IFERROR(C3/SUM(C3:D3),0)</f>
        <v>1</v>
      </c>
      <c r="D6" s="16">
        <f>IFERROR(D3/SUM(C3:D3),0)</f>
        <v>0</v>
      </c>
      <c r="E6" s="16">
        <f>IFERROR(E3/SUM(E3:F3),0)</f>
        <v>0.29034837235865218</v>
      </c>
      <c r="F6" s="16">
        <f>IFERROR(F3/SUM(E3:F3),0)</f>
        <v>0.70965162764134782</v>
      </c>
      <c r="G6" s="16">
        <f>IFERROR(G3/SUM(G3:H3),0)</f>
        <v>0.8</v>
      </c>
      <c r="H6" s="16">
        <f>IFERROR(H3/SUM(G3:H3),0)</f>
        <v>0.2</v>
      </c>
      <c r="I6" s="16">
        <f>IFERROR(I3/SUM(I3:J3),0)</f>
        <v>0.91121495327102808</v>
      </c>
      <c r="J6" s="16">
        <f>IFERROR(J3/SUM(I3:J3),0)</f>
        <v>8.8785046728971959E-2</v>
      </c>
      <c r="K6" s="16">
        <f>IFERROR(K3/SUM($K3:$M3),0)</f>
        <v>0</v>
      </c>
      <c r="L6" s="16">
        <f t="shared" ref="L6:M6" si="0">IFERROR(L3/SUM($K3:$M3),0)</f>
        <v>0.39828406036799668</v>
      </c>
      <c r="M6" s="16">
        <f t="shared" si="0"/>
        <v>0.60171593963200332</v>
      </c>
    </row>
    <row r="7" spans="1:13">
      <c r="A7" t="s">
        <v>522</v>
      </c>
      <c r="B7" t="s">
        <v>523</v>
      </c>
      <c r="C7" s="16">
        <f>IFERROR(C4/SUM(C4:D4),0)</f>
        <v>0</v>
      </c>
      <c r="D7" s="16">
        <f>IFERROR(D4/SUM(C4:D4),0)</f>
        <v>0</v>
      </c>
      <c r="E7" s="16">
        <f>IFERROR(E4/SUM(E4:F4),0)</f>
        <v>0.47841183796058895</v>
      </c>
      <c r="F7" s="16">
        <f>IFERROR(F4/SUM(E4:F4),0)</f>
        <v>0.52158816203941105</v>
      </c>
      <c r="G7" s="16">
        <f>IFERROR(G4/SUM(G4:H4),0)</f>
        <v>1</v>
      </c>
      <c r="H7" s="16">
        <f>IFERROR(H4/SUM(G4:H4),0)</f>
        <v>0</v>
      </c>
      <c r="I7" s="16">
        <f>IFERROR(I4/SUM(I4:J4),0)</f>
        <v>0.37876386687797148</v>
      </c>
      <c r="J7" s="16">
        <f>IFERROR(J4/SUM(I4:J4),0)</f>
        <v>0.62123613312202852</v>
      </c>
      <c r="K7" s="16">
        <f>IFERROR(K4/SUM($K4:$M4),0)</f>
        <v>0</v>
      </c>
      <c r="L7" s="16">
        <f t="shared" ref="L7:M7" si="1">IFERROR(L4/SUM($K4:$M4),0)</f>
        <v>0.75828744554280281</v>
      </c>
      <c r="M7" s="16">
        <f t="shared" si="1"/>
        <v>0.24171255445719719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Q2"/>
  <sheetViews>
    <sheetView topLeftCell="AC1" workbookViewId="0">
      <selection activeCell="AM2" sqref="AM2"/>
    </sheetView>
  </sheetViews>
  <sheetFormatPr baseColWidth="10" defaultColWidth="9.140625" defaultRowHeight="15"/>
  <cols>
    <col min="1" max="1" width="26.42578125" customWidth="1"/>
    <col min="2" max="26" width="10.140625" customWidth="1"/>
    <col min="27" max="27" width="13.85546875" customWidth="1"/>
    <col min="28" max="39" width="10.140625" customWidth="1"/>
    <col min="40" max="40" width="12" bestFit="1" customWidth="1"/>
    <col min="41" max="41" width="10" bestFit="1" customWidth="1"/>
    <col min="42" max="42" width="11" bestFit="1" customWidth="1"/>
    <col min="43" max="43" width="9.28515625" bestFit="1" customWidth="1"/>
  </cols>
  <sheetData>
    <row r="1" spans="1:43" s="4" customFormat="1">
      <c r="A1" s="15" t="s">
        <v>524</v>
      </c>
      <c r="B1" s="4" t="s">
        <v>123</v>
      </c>
      <c r="C1" s="24" t="s">
        <v>132</v>
      </c>
      <c r="D1" s="25" t="s">
        <v>136</v>
      </c>
      <c r="E1" s="4" t="s">
        <v>140</v>
      </c>
      <c r="F1" s="4" t="s">
        <v>144</v>
      </c>
      <c r="G1" s="4" t="s">
        <v>148</v>
      </c>
      <c r="H1" s="4" t="s">
        <v>160</v>
      </c>
      <c r="I1" s="4" t="s">
        <v>168</v>
      </c>
      <c r="J1" s="4" t="s">
        <v>173</v>
      </c>
      <c r="K1" s="4" t="s">
        <v>180</v>
      </c>
      <c r="L1" s="24" t="s">
        <v>188</v>
      </c>
      <c r="M1" s="25" t="s">
        <v>197</v>
      </c>
      <c r="N1" s="4" t="s">
        <v>201</v>
      </c>
      <c r="O1" s="24" t="s">
        <v>212</v>
      </c>
      <c r="P1" s="25" t="s">
        <v>208</v>
      </c>
      <c r="Q1" s="24" t="s">
        <v>216</v>
      </c>
      <c r="R1" s="25" t="s">
        <v>220</v>
      </c>
      <c r="S1" s="4" t="s">
        <v>224</v>
      </c>
      <c r="T1" s="4" t="s">
        <v>228</v>
      </c>
      <c r="U1" s="4" t="s">
        <v>232</v>
      </c>
      <c r="V1" s="4" t="s">
        <v>236</v>
      </c>
      <c r="W1" s="4" t="s">
        <v>239</v>
      </c>
      <c r="X1" s="4" t="s">
        <v>245</v>
      </c>
      <c r="Y1" s="4" t="s">
        <v>252</v>
      </c>
      <c r="Z1" s="24" t="s">
        <v>258</v>
      </c>
      <c r="AA1" s="26" t="s">
        <v>262</v>
      </c>
      <c r="AB1" s="25" t="s">
        <v>267</v>
      </c>
      <c r="AC1" s="4" t="s">
        <v>271</v>
      </c>
      <c r="AD1" s="4" t="s">
        <v>276</v>
      </c>
      <c r="AE1" s="4" t="s">
        <v>280</v>
      </c>
      <c r="AF1" s="4" t="s">
        <v>291</v>
      </c>
      <c r="AG1" s="4" t="s">
        <v>297</v>
      </c>
      <c r="AH1" s="4" t="s">
        <v>305</v>
      </c>
      <c r="AI1" s="4" t="s">
        <v>309</v>
      </c>
      <c r="AJ1" s="4" t="s">
        <v>313</v>
      </c>
      <c r="AK1" s="4" t="s">
        <v>317</v>
      </c>
      <c r="AL1" s="4" t="s">
        <v>321</v>
      </c>
      <c r="AM1" s="4" t="s">
        <v>337</v>
      </c>
      <c r="AN1" s="4" t="s">
        <v>342</v>
      </c>
      <c r="AO1" s="4" t="s">
        <v>348</v>
      </c>
      <c r="AP1" s="4" t="s">
        <v>355</v>
      </c>
      <c r="AQ1" s="4" t="s">
        <v>362</v>
      </c>
    </row>
    <row r="2" spans="1:43" ht="15.75" thickBot="1">
      <c r="A2" t="s">
        <v>525</v>
      </c>
      <c r="B2" s="81">
        <f>'OECD TTL'!AO9*10^6*About!$A$22</f>
        <v>1958383532.8267593</v>
      </c>
      <c r="C2" s="82">
        <f>'OECD TTL'!AO10*10^6*About!$A$22*'Split ISIC Code Shares'!C6</f>
        <v>31675887.383605398</v>
      </c>
      <c r="D2" s="83">
        <f>'OECD TTL'!AO10*10^6*About!$A$22*'Split ISIC Code Shares'!D6</f>
        <v>0</v>
      </c>
      <c r="E2" s="81">
        <f t="array" ref="E2:K2">TRANSPOSE('OECD TTL'!AO11:AO17)*10^6*About!$A$22</f>
        <v>3487253.6569106858</v>
      </c>
      <c r="F2" s="81">
        <v>757315252.49243724</v>
      </c>
      <c r="G2" s="81">
        <v>1440623232.9326589</v>
      </c>
      <c r="H2" s="81">
        <v>170875429.18862361</v>
      </c>
      <c r="I2" s="81">
        <v>23538962.184147131</v>
      </c>
      <c r="J2" s="81">
        <v>86697000.63708511</v>
      </c>
      <c r="K2" s="81">
        <v>37487976.81178987</v>
      </c>
      <c r="L2" s="82">
        <f>'OECD TTL'!$AO$18*10^6*About!$A$22*'Split ISIC Code Shares'!E6</f>
        <v>2859886412.0824304</v>
      </c>
      <c r="M2" s="83">
        <f>'OECD TTL'!$AO$18*10^6*About!$A$22*'Split ISIC Code Shares'!F6</f>
        <v>6989958410.0189381</v>
      </c>
      <c r="N2" s="81">
        <f>'OECD TTL'!AO19*10^6*About!$A$22</f>
        <v>68679523.409713224</v>
      </c>
      <c r="O2" s="82">
        <f>'OECD TTL'!$AO$20*10^6*About!$A$22*'Split ISIC Code Shares'!G6</f>
        <v>38204801.17459929</v>
      </c>
      <c r="P2" s="83">
        <f>'OECD TTL'!$AO$20*10^6*About!$A$22*'Split ISIC Code Shares'!H6</f>
        <v>9551200.2936498225</v>
      </c>
      <c r="Q2" s="82">
        <f>'OECD TTL'!$AO$21*10^6*About!$A$22*'Split ISIC Code Shares'!I6</f>
        <v>133725585.61693138</v>
      </c>
      <c r="R2" s="83">
        <f>'OECD TTL'!$AO$21*10^6*About!$A$22*'Split ISIC Code Shares'!J6</f>
        <v>13029672.444726646</v>
      </c>
      <c r="S2" s="81">
        <f t="array" ref="S2:Y2">TRANSPOSE('OECD TTL'!AO22:AO28)*10^6*About!$A$22</f>
        <v>57442817.181889907</v>
      </c>
      <c r="T2" s="81">
        <v>21117258.255736932</v>
      </c>
      <c r="U2" s="81">
        <v>38650394.697426766</v>
      </c>
      <c r="V2" s="81">
        <v>28285501.883831117</v>
      </c>
      <c r="W2" s="81">
        <v>61511279.781619042</v>
      </c>
      <c r="X2" s="81">
        <v>2082665378.4327707</v>
      </c>
      <c r="Y2" s="81">
        <v>77591393.866262764</v>
      </c>
      <c r="Z2" s="82">
        <f>'OECD TTL'!$AO$29*10^6*About!$A$22*'Split ISIC Code Shares'!K6</f>
        <v>0</v>
      </c>
      <c r="AA2" s="84">
        <f>'OECD TTL'!$AO$29*10^6*About!$A$22*'Split ISIC Code Shares'!L6</f>
        <v>236308888.03600383</v>
      </c>
      <c r="AB2" s="83">
        <f>'OECD TTL'!$AO$29*10^6*About!$A$22*'Split ISIC Code Shares'!M6</f>
        <v>357008574.42449474</v>
      </c>
      <c r="AC2" s="81">
        <f t="array" ref="AC2:AQ2">TRANSPOSE('OECD TTL'!AO30:AO44)*10^6*About!$A$22</f>
        <v>44559352.282747649</v>
      </c>
      <c r="AD2" s="81">
        <v>7064885304.4296398</v>
      </c>
      <c r="AE2" s="81">
        <v>5348865900.7581739</v>
      </c>
      <c r="AF2" s="81">
        <v>48724683.039613195</v>
      </c>
      <c r="AG2" s="81">
        <v>18211213.541644692</v>
      </c>
      <c r="AH2" s="81">
        <v>39522208.111654438</v>
      </c>
      <c r="AI2" s="81">
        <v>19761104.055827219</v>
      </c>
      <c r="AJ2" s="81">
        <v>3088738058.4515038</v>
      </c>
      <c r="AK2" s="81">
        <v>7669052000.4894161</v>
      </c>
      <c r="AL2" s="81">
        <v>9711613961.8677139</v>
      </c>
      <c r="AM2" s="81">
        <v>190558457509.79889</v>
      </c>
      <c r="AN2" s="81">
        <v>90727684655.531036</v>
      </c>
      <c r="AO2" s="81">
        <v>4526261510.3557978</v>
      </c>
      <c r="AP2" s="81">
        <v>7232176611.8042164</v>
      </c>
      <c r="AQ2" s="81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Q2"/>
  <sheetViews>
    <sheetView tabSelected="1" workbookViewId="0">
      <selection activeCell="A2" sqref="A2"/>
    </sheetView>
  </sheetViews>
  <sheetFormatPr baseColWidth="10" defaultColWidth="9.140625" defaultRowHeight="15"/>
  <cols>
    <col min="1" max="1" width="26.42578125" customWidth="1"/>
    <col min="2" max="26" width="10.140625" customWidth="1"/>
    <col min="27" max="27" width="14.42578125" customWidth="1"/>
    <col min="28" max="39" width="10.140625" customWidth="1"/>
    <col min="40" max="43" width="12" bestFit="1" customWidth="1"/>
  </cols>
  <sheetData>
    <row r="1" spans="1:43" s="4" customFormat="1">
      <c r="A1" s="15" t="s">
        <v>524</v>
      </c>
      <c r="B1" s="4" t="s">
        <v>123</v>
      </c>
      <c r="C1" s="24" t="s">
        <v>132</v>
      </c>
      <c r="D1" s="25" t="s">
        <v>136</v>
      </c>
      <c r="E1" s="4" t="s">
        <v>140</v>
      </c>
      <c r="F1" s="4" t="s">
        <v>144</v>
      </c>
      <c r="G1" s="4" t="s">
        <v>148</v>
      </c>
      <c r="H1" s="4" t="s">
        <v>160</v>
      </c>
      <c r="I1" s="4" t="s">
        <v>168</v>
      </c>
      <c r="J1" s="4" t="s">
        <v>173</v>
      </c>
      <c r="K1" s="4" t="s">
        <v>180</v>
      </c>
      <c r="L1" s="24" t="s">
        <v>188</v>
      </c>
      <c r="M1" s="25" t="s">
        <v>197</v>
      </c>
      <c r="N1" s="4" t="s">
        <v>201</v>
      </c>
      <c r="O1" s="24" t="s">
        <v>212</v>
      </c>
      <c r="P1" s="25" t="s">
        <v>208</v>
      </c>
      <c r="Q1" s="24" t="s">
        <v>216</v>
      </c>
      <c r="R1" s="25" t="s">
        <v>220</v>
      </c>
      <c r="S1" s="4" t="s">
        <v>224</v>
      </c>
      <c r="T1" s="4" t="s">
        <v>228</v>
      </c>
      <c r="U1" s="4" t="s">
        <v>232</v>
      </c>
      <c r="V1" s="4" t="s">
        <v>236</v>
      </c>
      <c r="W1" s="4" t="s">
        <v>239</v>
      </c>
      <c r="X1" s="4" t="s">
        <v>245</v>
      </c>
      <c r="Y1" s="4" t="s">
        <v>252</v>
      </c>
      <c r="Z1" s="24" t="s">
        <v>258</v>
      </c>
      <c r="AA1" s="26" t="s">
        <v>262</v>
      </c>
      <c r="AB1" s="25" t="s">
        <v>267</v>
      </c>
      <c r="AC1" s="4" t="s">
        <v>271</v>
      </c>
      <c r="AD1" s="4" t="s">
        <v>276</v>
      </c>
      <c r="AE1" s="4" t="s">
        <v>280</v>
      </c>
      <c r="AF1" s="4" t="s">
        <v>291</v>
      </c>
      <c r="AG1" s="4" t="s">
        <v>297</v>
      </c>
      <c r="AH1" s="4" t="s">
        <v>305</v>
      </c>
      <c r="AI1" s="4" t="s">
        <v>309</v>
      </c>
      <c r="AJ1" s="4" t="s">
        <v>313</v>
      </c>
      <c r="AK1" s="4" t="s">
        <v>317</v>
      </c>
      <c r="AL1" s="4" t="s">
        <v>321</v>
      </c>
      <c r="AM1" s="4" t="s">
        <v>337</v>
      </c>
      <c r="AN1" s="4" t="s">
        <v>342</v>
      </c>
      <c r="AO1" s="4" t="s">
        <v>348</v>
      </c>
      <c r="AP1" s="4" t="s">
        <v>355</v>
      </c>
      <c r="AQ1" s="4" t="s">
        <v>362</v>
      </c>
    </row>
    <row r="2" spans="1:43" ht="15.75" thickBot="1">
      <c r="A2" t="s">
        <v>526</v>
      </c>
      <c r="B2" s="81">
        <f>'OECD TTL'!AM9*10^6*About!$A$22</f>
        <v>34379380781.125404</v>
      </c>
      <c r="C2" s="82">
        <f>'OECD TTL'!AM10*10^6*About!$A$22*'Split ISIC Code Shares'!C7</f>
        <v>0</v>
      </c>
      <c r="D2" s="83">
        <f>'OECD TTL'!AM10*10^6*About!$A$22*'Split ISIC Code Shares'!D7</f>
        <v>0</v>
      </c>
      <c r="E2" s="81">
        <f t="array" ref="E2:K2">TRANSPOSE('OECD TTL'!AM11:AM17)*10^6*About!$A$22</f>
        <v>83887824.080129281</v>
      </c>
      <c r="F2" s="81">
        <v>387472.62854563177</v>
      </c>
      <c r="G2" s="81">
        <v>106945738995.937</v>
      </c>
      <c r="H2" s="81">
        <v>32142501296.531471</v>
      </c>
      <c r="I2" s="81">
        <v>609591312.85941517</v>
      </c>
      <c r="J2" s="81">
        <v>3803140717.3325119</v>
      </c>
      <c r="K2" s="81">
        <v>23895437002.409111</v>
      </c>
      <c r="L2" s="82">
        <f>'OECD TTL'!$AM$18*10^6*About!$A$22*'Split ISIC Code Shares'!E7</f>
        <v>15424344795.243055</v>
      </c>
      <c r="M2" s="83">
        <f>'OECD TTL'!$AM$18*10^6*About!$A$22*'Split ISIC Code Shares'!F7</f>
        <v>16816380812.624735</v>
      </c>
      <c r="N2" s="81">
        <f>'OECD TTL'!AM19*10^6*About!$A$22</f>
        <v>4180151584.9074121</v>
      </c>
      <c r="O2" s="82">
        <f>'OECD TTL'!$AM$20*10^6*About!$A$22*'Split ISIC Code Shares'!G7</f>
        <v>1057994012.2438475</v>
      </c>
      <c r="P2" s="83">
        <f>'OECD TTL'!$AM$20*10^6*About!$A$22*'Split ISIC Code Shares'!H7</f>
        <v>0</v>
      </c>
      <c r="Q2" s="82">
        <f>'OECD TTL'!$AM$21*10^6*About!$A$22*'Split ISIC Code Shares'!I7</f>
        <v>362975730.86143517</v>
      </c>
      <c r="R2" s="83">
        <f>'OECD TTL'!$AM$21*10^6*About!$A$22*'Split ISIC Code Shares'!J7</f>
        <v>595340947.68904853</v>
      </c>
      <c r="S2" s="81">
        <f t="array" ref="S2:Y2">TRANSPOSE('OECD TTL'!AM22:AM28)*10^6*About!$A$22</f>
        <v>3788707361.9191875</v>
      </c>
      <c r="T2" s="81">
        <v>14005391895.096132</v>
      </c>
      <c r="U2" s="81">
        <v>7338247243.8685837</v>
      </c>
      <c r="V2" s="81">
        <v>2324932639.4309268</v>
      </c>
      <c r="W2" s="81">
        <v>26983400115.603523</v>
      </c>
      <c r="X2" s="81">
        <v>4374275371.808773</v>
      </c>
      <c r="Y2" s="81">
        <v>12301674747.380989</v>
      </c>
      <c r="Z2" s="82">
        <f t="array" ref="Z2">'OECD TTL'!$AM$29*10^6*About!$A$22*'Split ISIC Code Shares'!K7</f>
        <v>0</v>
      </c>
      <c r="AA2" s="84">
        <f t="array" ref="AA2">'OECD TTL'!$AM$29*10^6*About!$A$22*'Split ISIC Code Shares'!L7</f>
        <v>21588837932.576599</v>
      </c>
      <c r="AB2" s="83">
        <f t="array" ref="AB2">'OECD TTL'!$AM$29*10^6*About!$A$22*'Split ISIC Code Shares'!M7</f>
        <v>6881682131.3850574</v>
      </c>
      <c r="AC2" s="81">
        <f t="array" ref="AC2:AQ2">TRANSPOSE('OECD TTL'!AM30:AM44)*10^6*About!$A$22</f>
        <v>156248337.46102601</v>
      </c>
      <c r="AD2" s="81">
        <v>110120399109.76849</v>
      </c>
      <c r="AE2" s="81">
        <v>51994564551.909782</v>
      </c>
      <c r="AF2" s="81">
        <v>46787029292.413628</v>
      </c>
      <c r="AG2" s="81">
        <v>3037301067.0120711</v>
      </c>
      <c r="AH2" s="81">
        <v>26792472977.887661</v>
      </c>
      <c r="AI2" s="81">
        <v>344753771.24847585</v>
      </c>
      <c r="AJ2" s="81">
        <v>83975489762.337723</v>
      </c>
      <c r="AK2" s="81">
        <v>116611631187.63634</v>
      </c>
      <c r="AL2" s="81">
        <v>7969827628.3979635</v>
      </c>
      <c r="AM2" s="81">
        <v>9768669306.4210587</v>
      </c>
      <c r="AN2" s="81">
        <v>25547620290.527683</v>
      </c>
      <c r="AO2" s="81">
        <v>95340352562.052521</v>
      </c>
      <c r="AP2" s="81">
        <v>19686224970.360775</v>
      </c>
      <c r="AQ2" s="81">
        <v>18051090477.898209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About</vt:lpstr>
      <vt:lpstr>OECD TTL</vt:lpstr>
      <vt:lpstr>SCNtoISIC</vt:lpstr>
      <vt:lpstr>DLIM IBGE Use Table</vt:lpstr>
      <vt:lpstr>Split ISIC Code Shares</vt:lpstr>
      <vt:lpstr>GaHEbIC-government</vt:lpstr>
      <vt:lpstr>GaHEbIC-household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Saidou Sy</cp:lastModifiedBy>
  <cp:revision/>
  <dcterms:created xsi:type="dcterms:W3CDTF">2019-12-02T22:49:06Z</dcterms:created>
  <dcterms:modified xsi:type="dcterms:W3CDTF">2025-11-14T11:37:47Z</dcterms:modified>
  <cp:category/>
  <cp:contentStatus/>
</cp:coreProperties>
</file>