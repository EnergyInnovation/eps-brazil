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io-model/BDCSoCaESoPbIC/"/>
    </mc:Choice>
  </mc:AlternateContent>
  <xr:revisionPtr revIDLastSave="0" documentId="13_ncr:1_{E4573E5E-70F0-BE4E-A5DB-E0F278668B6E}" xr6:coauthVersionLast="47" xr6:coauthVersionMax="47" xr10:uidLastSave="{00000000-0000-0000-0000-000000000000}"/>
  <bookViews>
    <workbookView xWindow="0" yWindow="760" windowWidth="34200" windowHeight="21380" tabRatio="631" xr2:uid="{00000000-000D-0000-FFFF-FFFF00000000}"/>
  </bookViews>
  <sheets>
    <sheet name="About" sheetId="1" r:id="rId1"/>
    <sheet name="OECD TTL" sheetId="7" r:id="rId2"/>
    <sheet name="OECD ICESHR" sheetId="11" r:id="rId3"/>
    <sheet name="SCNUse128" sheetId="20" r:id="rId4"/>
    <sheet name="SCNSup128" sheetId="21" r:id="rId5"/>
    <sheet name="Split ISIC Code Shares" sheetId="14" r:id="rId6"/>
    <sheet name="Calculations" sheetId="9" r:id="rId7"/>
    <sheet name="SCNtoISIC" sheetId="19" r:id="rId8"/>
    <sheet name="BDCSoCbIC" sheetId="2" r:id="rId9"/>
    <sheet name="BESoP" sheetId="15" r:id="rId10"/>
  </sheets>
  <definedNames>
    <definedName name="_xlnm.Print_Area" localSheetId="4">SCNSup128!$A$1:$C$137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4" l="1" a="1"/>
  <c r="M4" i="14" s="1"/>
  <c r="L4" i="14" a="1"/>
  <c r="L4" i="14" s="1"/>
  <c r="K4" i="14" a="1"/>
  <c r="K4" i="14" s="1"/>
  <c r="J4" i="14" a="1"/>
  <c r="J4" i="14" s="1"/>
  <c r="I4" i="14" a="1"/>
  <c r="I4" i="14" s="1"/>
  <c r="H4" i="14" a="1"/>
  <c r="H4" i="14" s="1"/>
  <c r="G4" i="14" a="1"/>
  <c r="G4" i="14" s="1"/>
  <c r="F4" i="14" a="1"/>
  <c r="F4" i="14" s="1"/>
  <c r="E4" i="14" a="1"/>
  <c r="E4" i="14" s="1"/>
  <c r="D4" i="14" a="1"/>
  <c r="D4" i="14" s="1"/>
  <c r="C4" i="14" a="1"/>
  <c r="C4" i="14" s="1"/>
  <c r="B71" i="21"/>
  <c r="BT6" i="21" l="1"/>
  <c r="BS6" i="21"/>
  <c r="BR6" i="21"/>
  <c r="BQ6" i="21"/>
  <c r="BP6" i="21"/>
  <c r="BO6" i="21"/>
  <c r="BN6" i="21"/>
  <c r="BM6" i="21"/>
  <c r="BL6" i="21"/>
  <c r="BK6" i="21"/>
  <c r="BJ6" i="21"/>
  <c r="BI6" i="21"/>
  <c r="BH6" i="21"/>
  <c r="BG6" i="21"/>
  <c r="BF6" i="21"/>
  <c r="BE6" i="21"/>
  <c r="BD6" i="21"/>
  <c r="BC6" i="21"/>
  <c r="BB6" i="21"/>
  <c r="BA6" i="21"/>
  <c r="AZ6" i="21"/>
  <c r="AY6" i="21"/>
  <c r="AX6" i="21"/>
  <c r="AW6" i="21"/>
  <c r="AV6" i="21"/>
  <c r="AU6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AQ136" i="21"/>
  <c r="AP136" i="21"/>
  <c r="AD136" i="21"/>
  <c r="AC136" i="21"/>
  <c r="BY135" i="21"/>
  <c r="BY137" i="21" s="1"/>
  <c r="BX135" i="21"/>
  <c r="BX137" i="21" s="1"/>
  <c r="BT135" i="21"/>
  <c r="BT137" i="21" s="1"/>
  <c r="BS135" i="21"/>
  <c r="BS137" i="21" s="1"/>
  <c r="BR135" i="21"/>
  <c r="BR137" i="21" s="1"/>
  <c r="BQ135" i="21"/>
  <c r="BQ137" i="21" s="1"/>
  <c r="BP135" i="21"/>
  <c r="BP137" i="21" s="1"/>
  <c r="BO135" i="21"/>
  <c r="BO137" i="21" s="1"/>
  <c r="BN135" i="21"/>
  <c r="BN137" i="21" s="1"/>
  <c r="BM135" i="21"/>
  <c r="BM137" i="21" s="1"/>
  <c r="BL135" i="21"/>
  <c r="BL137" i="21" s="1"/>
  <c r="BK135" i="21"/>
  <c r="BK137" i="21" s="1"/>
  <c r="BJ135" i="21"/>
  <c r="BJ137" i="21" s="1"/>
  <c r="BI135" i="21"/>
  <c r="BI137" i="21" s="1"/>
  <c r="BH135" i="21"/>
  <c r="BH137" i="21" s="1"/>
  <c r="BG135" i="21"/>
  <c r="BG137" i="21" s="1"/>
  <c r="BF135" i="21"/>
  <c r="BF137" i="21" s="1"/>
  <c r="BE135" i="21"/>
  <c r="BE137" i="21" s="1"/>
  <c r="BD135" i="21"/>
  <c r="BD137" i="21" s="1"/>
  <c r="BC135" i="21"/>
  <c r="BC137" i="21" s="1"/>
  <c r="BB135" i="21"/>
  <c r="BB137" i="21" s="1"/>
  <c r="BA135" i="21"/>
  <c r="BA137" i="21" s="1"/>
  <c r="AZ135" i="21"/>
  <c r="AZ137" i="21" s="1"/>
  <c r="AY135" i="21"/>
  <c r="AY137" i="21" s="1"/>
  <c r="AX135" i="21"/>
  <c r="AX137" i="21" s="1"/>
  <c r="AW135" i="21"/>
  <c r="AW137" i="21" s="1"/>
  <c r="AV135" i="21"/>
  <c r="AV137" i="21" s="1"/>
  <c r="AU135" i="21"/>
  <c r="AU137" i="21" s="1"/>
  <c r="AT135" i="21"/>
  <c r="AT137" i="21" s="1"/>
  <c r="AS135" i="21"/>
  <c r="AS137" i="21" s="1"/>
  <c r="AR135" i="21"/>
  <c r="AR137" i="21" s="1"/>
  <c r="AQ135" i="21"/>
  <c r="AP135" i="21"/>
  <c r="AO135" i="21"/>
  <c r="AO137" i="21" s="1"/>
  <c r="AN135" i="21"/>
  <c r="AN137" i="21" s="1"/>
  <c r="AM135" i="21"/>
  <c r="AM137" i="21" s="1"/>
  <c r="AL135" i="21"/>
  <c r="AL137" i="21" s="1"/>
  <c r="AK135" i="21"/>
  <c r="AK137" i="21" s="1"/>
  <c r="AJ135" i="21"/>
  <c r="AJ137" i="21" s="1"/>
  <c r="AI135" i="21"/>
  <c r="AI137" i="21" s="1"/>
  <c r="AH135" i="21"/>
  <c r="AH137" i="21" s="1"/>
  <c r="AG135" i="21"/>
  <c r="AG137" i="21" s="1"/>
  <c r="AF135" i="21"/>
  <c r="AF137" i="21" s="1"/>
  <c r="AE135" i="21"/>
  <c r="AE137" i="21" s="1"/>
  <c r="AD135" i="21"/>
  <c r="AC135" i="21"/>
  <c r="AB135" i="21"/>
  <c r="AB137" i="21" s="1"/>
  <c r="AA135" i="21"/>
  <c r="AA137" i="21" s="1"/>
  <c r="Z135" i="21"/>
  <c r="Z137" i="21" s="1"/>
  <c r="Y135" i="21"/>
  <c r="Y137" i="21" s="1"/>
  <c r="X135" i="21"/>
  <c r="X137" i="21" s="1"/>
  <c r="W135" i="21"/>
  <c r="W137" i="21" s="1"/>
  <c r="V135" i="21"/>
  <c r="V137" i="21" s="1"/>
  <c r="U135" i="21"/>
  <c r="U137" i="21" s="1"/>
  <c r="T135" i="21"/>
  <c r="T137" i="21" s="1"/>
  <c r="S135" i="21"/>
  <c r="S137" i="21" s="1"/>
  <c r="R135" i="21"/>
  <c r="R137" i="21" s="1"/>
  <c r="Q135" i="21"/>
  <c r="Q137" i="21" s="1"/>
  <c r="P135" i="21"/>
  <c r="P137" i="21" s="1"/>
  <c r="O135" i="21"/>
  <c r="O137" i="21" s="1"/>
  <c r="N135" i="21"/>
  <c r="N137" i="21" s="1"/>
  <c r="M135" i="21"/>
  <c r="M137" i="21" s="1"/>
  <c r="L135" i="21"/>
  <c r="L137" i="21" s="1"/>
  <c r="K135" i="21"/>
  <c r="K137" i="21" s="1"/>
  <c r="J135" i="21"/>
  <c r="J137" i="21" s="1"/>
  <c r="I135" i="21"/>
  <c r="I137" i="21" s="1"/>
  <c r="H135" i="21"/>
  <c r="H137" i="21" s="1"/>
  <c r="G135" i="21"/>
  <c r="G137" i="21" s="1"/>
  <c r="F135" i="21"/>
  <c r="F137" i="21" s="1"/>
  <c r="E135" i="21"/>
  <c r="E137" i="21" s="1"/>
  <c r="D135" i="21"/>
  <c r="D137" i="21" s="1"/>
  <c r="BV70" i="21"/>
  <c r="BU70" i="21"/>
  <c r="BU135" i="21" s="1"/>
  <c r="BU137" i="21" s="1"/>
  <c r="BV135" i="21" l="1"/>
  <c r="AQ137" i="21"/>
  <c r="AP137" i="21"/>
  <c r="BV137" i="21" l="1"/>
  <c r="BM142" i="20"/>
  <c r="BL142" i="20"/>
  <c r="BK142" i="20"/>
  <c r="BJ142" i="20"/>
  <c r="BI142" i="20"/>
  <c r="BH142" i="20"/>
  <c r="AW142" i="20"/>
  <c r="AV142" i="20"/>
  <c r="AU142" i="20"/>
  <c r="AT142" i="20"/>
  <c r="AS142" i="20"/>
  <c r="AR142" i="20"/>
  <c r="AG142" i="20"/>
  <c r="AF142" i="20"/>
  <c r="AE142" i="20"/>
  <c r="AD142" i="20"/>
  <c r="AC142" i="20"/>
  <c r="AB142" i="20"/>
  <c r="Q142" i="20"/>
  <c r="P142" i="20"/>
  <c r="O142" i="20"/>
  <c r="N142" i="20"/>
  <c r="M142" i="20"/>
  <c r="L142" i="20"/>
  <c r="BU140" i="20"/>
  <c r="BU142" i="20" s="1"/>
  <c r="BT140" i="20"/>
  <c r="BT142" i="20" s="1"/>
  <c r="BS140" i="20"/>
  <c r="BS142" i="20" s="1"/>
  <c r="BR140" i="20"/>
  <c r="BR142" i="20" s="1"/>
  <c r="BQ140" i="20"/>
  <c r="BQ142" i="20" s="1"/>
  <c r="BP140" i="20"/>
  <c r="BP142" i="20" s="1"/>
  <c r="BO140" i="20"/>
  <c r="BO142" i="20" s="1"/>
  <c r="BN140" i="20"/>
  <c r="BN142" i="20" s="1"/>
  <c r="BM140" i="20"/>
  <c r="BL140" i="20"/>
  <c r="BK140" i="20"/>
  <c r="BJ140" i="20"/>
  <c r="BI140" i="20"/>
  <c r="BH140" i="20"/>
  <c r="BG140" i="20"/>
  <c r="BG142" i="20" s="1"/>
  <c r="BF140" i="20"/>
  <c r="BF142" i="20" s="1"/>
  <c r="BE140" i="20"/>
  <c r="BE142" i="20" s="1"/>
  <c r="BD140" i="20"/>
  <c r="BD142" i="20" s="1"/>
  <c r="BC140" i="20"/>
  <c r="BC142" i="20" s="1"/>
  <c r="BB140" i="20"/>
  <c r="BB142" i="20" s="1"/>
  <c r="BA140" i="20"/>
  <c r="BA142" i="20" s="1"/>
  <c r="AZ140" i="20"/>
  <c r="AZ142" i="20" s="1"/>
  <c r="AY140" i="20"/>
  <c r="AY142" i="20" s="1"/>
  <c r="AX140" i="20"/>
  <c r="AX142" i="20" s="1"/>
  <c r="AW140" i="20"/>
  <c r="AV140" i="20"/>
  <c r="AU140" i="20"/>
  <c r="AT140" i="20"/>
  <c r="AS140" i="20"/>
  <c r="AR140" i="20"/>
  <c r="M3" i="14" s="1"/>
  <c r="AQ140" i="20"/>
  <c r="L3" i="14" s="1"/>
  <c r="AP140" i="20"/>
  <c r="K3" i="14" s="1"/>
  <c r="AO140" i="20"/>
  <c r="AO142" i="20" s="1"/>
  <c r="AN140" i="20"/>
  <c r="AN142" i="20" s="1"/>
  <c r="AM140" i="20"/>
  <c r="AM142" i="20" s="1"/>
  <c r="AL140" i="20"/>
  <c r="AL142" i="20" s="1"/>
  <c r="AK140" i="20"/>
  <c r="AK142" i="20" s="1"/>
  <c r="AJ140" i="20"/>
  <c r="AJ142" i="20" s="1"/>
  <c r="AI140" i="20"/>
  <c r="AI142" i="20" s="1"/>
  <c r="AH140" i="20"/>
  <c r="AH142" i="20" s="1"/>
  <c r="AG140" i="20"/>
  <c r="AF140" i="20"/>
  <c r="J3" i="14" s="1"/>
  <c r="AE140" i="20"/>
  <c r="I3" i="14" s="1"/>
  <c r="AD140" i="20"/>
  <c r="G3" i="14" s="1"/>
  <c r="AC140" i="20"/>
  <c r="H3" i="14" s="1"/>
  <c r="AB140" i="20"/>
  <c r="AA140" i="20"/>
  <c r="F3" i="14" s="1"/>
  <c r="Z140" i="20"/>
  <c r="Z142" i="20" s="1"/>
  <c r="Y140" i="20"/>
  <c r="Y142" i="20" s="1"/>
  <c r="X140" i="20"/>
  <c r="E3" i="14" s="1"/>
  <c r="W140" i="20"/>
  <c r="W142" i="20" s="1"/>
  <c r="V140" i="20"/>
  <c r="V142" i="20" s="1"/>
  <c r="U140" i="20"/>
  <c r="U142" i="20" s="1"/>
  <c r="T140" i="20"/>
  <c r="T142" i="20" s="1"/>
  <c r="S140" i="20"/>
  <c r="S142" i="20" s="1"/>
  <c r="R140" i="20"/>
  <c r="R142" i="20" s="1"/>
  <c r="Q140" i="20"/>
  <c r="P140" i="20"/>
  <c r="O140" i="20"/>
  <c r="N140" i="20"/>
  <c r="M140" i="20"/>
  <c r="L140" i="20"/>
  <c r="K140" i="20"/>
  <c r="K142" i="20" s="1"/>
  <c r="J140" i="20"/>
  <c r="J142" i="20" s="1"/>
  <c r="I140" i="20"/>
  <c r="I142" i="20" s="1"/>
  <c r="H140" i="20"/>
  <c r="D3" i="14" s="1"/>
  <c r="G140" i="20"/>
  <c r="G142" i="20" s="1"/>
  <c r="F140" i="20"/>
  <c r="F142" i="20" s="1"/>
  <c r="E140" i="20"/>
  <c r="E142" i="20" s="1"/>
  <c r="D140" i="20"/>
  <c r="D142" i="20" s="1"/>
  <c r="H142" i="20" l="1"/>
  <c r="X142" i="20"/>
  <c r="C3" i="14"/>
  <c r="AP142" i="20"/>
  <c r="AA142" i="20"/>
  <c r="AQ142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G6" i="20"/>
  <c r="BF6" i="20"/>
  <c r="AQ6" i="20"/>
  <c r="AP6" i="20"/>
  <c r="AA6" i="20"/>
  <c r="K6" i="20"/>
  <c r="J6" i="20"/>
  <c r="AQ136" i="20"/>
  <c r="AP136" i="20"/>
  <c r="AD136" i="20"/>
  <c r="AC136" i="20"/>
  <c r="AQ134" i="20"/>
  <c r="AP134" i="20"/>
  <c r="AD134" i="20"/>
  <c r="AC134" i="20"/>
  <c r="AQ133" i="20"/>
  <c r="AP133" i="20"/>
  <c r="AD133" i="20"/>
  <c r="AC133" i="20"/>
  <c r="AQ132" i="20"/>
  <c r="AP132" i="20"/>
  <c r="AD132" i="20"/>
  <c r="AC132" i="20"/>
  <c r="AQ131" i="20"/>
  <c r="AP131" i="20"/>
  <c r="AD131" i="20"/>
  <c r="AC131" i="20"/>
  <c r="AQ130" i="20"/>
  <c r="AP130" i="20"/>
  <c r="AD130" i="20"/>
  <c r="AC130" i="20"/>
  <c r="AQ129" i="20"/>
  <c r="AP129" i="20"/>
  <c r="AD129" i="20"/>
  <c r="AC129" i="20"/>
  <c r="AQ128" i="20"/>
  <c r="AP128" i="20"/>
  <c r="AD128" i="20"/>
  <c r="AC128" i="20"/>
  <c r="AQ127" i="20"/>
  <c r="AP127" i="20"/>
  <c r="AD127" i="20"/>
  <c r="AC127" i="20"/>
  <c r="AQ126" i="20"/>
  <c r="AP126" i="20"/>
  <c r="AD126" i="20"/>
  <c r="AC126" i="20"/>
  <c r="AQ125" i="20"/>
  <c r="AP125" i="20"/>
  <c r="AD125" i="20"/>
  <c r="AC125" i="20"/>
  <c r="AQ124" i="20"/>
  <c r="AP124" i="20"/>
  <c r="AD124" i="20"/>
  <c r="AC124" i="20"/>
  <c r="AQ123" i="20"/>
  <c r="AP123" i="20"/>
  <c r="AD123" i="20"/>
  <c r="AC123" i="20"/>
  <c r="AQ122" i="20"/>
  <c r="AP122" i="20"/>
  <c r="AD122" i="20"/>
  <c r="AC122" i="20"/>
  <c r="AQ121" i="20"/>
  <c r="AP121" i="20"/>
  <c r="AD121" i="20"/>
  <c r="AC121" i="20"/>
  <c r="AQ120" i="20"/>
  <c r="AP120" i="20"/>
  <c r="AD120" i="20"/>
  <c r="AC120" i="20"/>
  <c r="AQ119" i="20"/>
  <c r="AP119" i="20"/>
  <c r="AD119" i="20"/>
  <c r="AC119" i="20"/>
  <c r="AQ118" i="20"/>
  <c r="AP118" i="20"/>
  <c r="AD118" i="20"/>
  <c r="AC118" i="20"/>
  <c r="AQ117" i="20"/>
  <c r="AP117" i="20"/>
  <c r="AD117" i="20"/>
  <c r="AC117" i="20"/>
  <c r="AQ116" i="20"/>
  <c r="AP116" i="20"/>
  <c r="AD116" i="20"/>
  <c r="AC116" i="20"/>
  <c r="AQ115" i="20"/>
  <c r="AP115" i="20"/>
  <c r="AD115" i="20"/>
  <c r="AC115" i="20"/>
  <c r="AQ114" i="20"/>
  <c r="AP114" i="20"/>
  <c r="AD114" i="20"/>
  <c r="AC114" i="20"/>
  <c r="AQ113" i="20"/>
  <c r="AP113" i="20"/>
  <c r="AD113" i="20"/>
  <c r="AC113" i="20"/>
  <c r="AQ112" i="20"/>
  <c r="AP112" i="20"/>
  <c r="AD112" i="20"/>
  <c r="AC112" i="20"/>
  <c r="AQ111" i="20"/>
  <c r="AP111" i="20"/>
  <c r="AD111" i="20"/>
  <c r="AC111" i="20"/>
  <c r="AQ110" i="20"/>
  <c r="AP110" i="20"/>
  <c r="AD110" i="20"/>
  <c r="AC110" i="20"/>
  <c r="AQ109" i="20"/>
  <c r="AP109" i="20"/>
  <c r="AD109" i="20"/>
  <c r="AC109" i="20"/>
  <c r="AQ108" i="20"/>
  <c r="AP108" i="20"/>
  <c r="AD108" i="20"/>
  <c r="AC108" i="20"/>
  <c r="AQ107" i="20"/>
  <c r="AP107" i="20"/>
  <c r="AD107" i="20"/>
  <c r="AC107" i="20"/>
  <c r="AQ106" i="20"/>
  <c r="AP106" i="20"/>
  <c r="AD106" i="20"/>
  <c r="AC106" i="20"/>
  <c r="AQ105" i="20"/>
  <c r="AP105" i="20"/>
  <c r="AD105" i="20"/>
  <c r="AC105" i="20"/>
  <c r="AQ104" i="20"/>
  <c r="AP104" i="20"/>
  <c r="AD104" i="20"/>
  <c r="AC104" i="20"/>
  <c r="AQ103" i="20"/>
  <c r="AP103" i="20"/>
  <c r="AD103" i="20"/>
  <c r="AC103" i="20"/>
  <c r="AQ102" i="20"/>
  <c r="AP102" i="20"/>
  <c r="AD102" i="20"/>
  <c r="AC102" i="20"/>
  <c r="AQ101" i="20"/>
  <c r="AP101" i="20"/>
  <c r="AD101" i="20"/>
  <c r="AC101" i="20"/>
  <c r="AQ100" i="20"/>
  <c r="AP100" i="20"/>
  <c r="AD100" i="20"/>
  <c r="AC100" i="20"/>
  <c r="AQ99" i="20"/>
  <c r="AP99" i="20"/>
  <c r="AD99" i="20"/>
  <c r="AC99" i="20"/>
  <c r="AQ98" i="20"/>
  <c r="AP98" i="20"/>
  <c r="AD98" i="20"/>
  <c r="AC98" i="20"/>
  <c r="AQ97" i="20"/>
  <c r="AP97" i="20"/>
  <c r="AD97" i="20"/>
  <c r="AC97" i="20"/>
  <c r="AQ96" i="20"/>
  <c r="AP96" i="20"/>
  <c r="AD96" i="20"/>
  <c r="AC96" i="20"/>
  <c r="CF95" i="20"/>
  <c r="AQ95" i="20" s="1"/>
  <c r="CE95" i="20"/>
  <c r="AD95" i="20" s="1"/>
  <c r="CC95" i="20"/>
  <c r="CB95" i="20"/>
  <c r="CA95" i="20"/>
  <c r="BZ95" i="20"/>
  <c r="BY95" i="20"/>
  <c r="BX95" i="20"/>
  <c r="BW95" i="20"/>
  <c r="BV95" i="20"/>
  <c r="BU95" i="20"/>
  <c r="BT95" i="20"/>
  <c r="BS95" i="20"/>
  <c r="BR95" i="20"/>
  <c r="BQ95" i="20"/>
  <c r="BP95" i="20"/>
  <c r="BO95" i="20"/>
  <c r="BN95" i="20"/>
  <c r="BM95" i="20"/>
  <c r="BL95" i="20"/>
  <c r="BK95" i="20"/>
  <c r="BJ95" i="20"/>
  <c r="BI95" i="20"/>
  <c r="BH95" i="20"/>
  <c r="BG95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O95" i="20"/>
  <c r="AN95" i="20"/>
  <c r="AM95" i="20"/>
  <c r="AL95" i="20"/>
  <c r="AK95" i="20"/>
  <c r="AJ95" i="20"/>
  <c r="AI95" i="20"/>
  <c r="AH95" i="20"/>
  <c r="AG95" i="20"/>
  <c r="AF95" i="20"/>
  <c r="AE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J135" i="20" s="1"/>
  <c r="I95" i="20"/>
  <c r="H95" i="20"/>
  <c r="G95" i="20"/>
  <c r="F95" i="20"/>
  <c r="E95" i="20"/>
  <c r="D95" i="20"/>
  <c r="CF94" i="20"/>
  <c r="AQ94" i="20" s="1"/>
  <c r="CE94" i="20"/>
  <c r="AD94" i="20" s="1"/>
  <c r="CC94" i="20"/>
  <c r="CB94" i="20"/>
  <c r="CA94" i="20"/>
  <c r="BZ94" i="20"/>
  <c r="BY94" i="20"/>
  <c r="BX94" i="20"/>
  <c r="BW94" i="20"/>
  <c r="BV94" i="20"/>
  <c r="BU94" i="20"/>
  <c r="BT94" i="20"/>
  <c r="BS94" i="20"/>
  <c r="BR94" i="20"/>
  <c r="BQ94" i="20"/>
  <c r="BP94" i="20"/>
  <c r="BO94" i="20"/>
  <c r="BN94" i="20"/>
  <c r="BM94" i="20"/>
  <c r="BL94" i="20"/>
  <c r="BK94" i="20"/>
  <c r="BJ94" i="20"/>
  <c r="BI94" i="20"/>
  <c r="BH94" i="20"/>
  <c r="BG94" i="20"/>
  <c r="BF94" i="20"/>
  <c r="BE94" i="20"/>
  <c r="BD94" i="20"/>
  <c r="BC94" i="20"/>
  <c r="BB94" i="20"/>
  <c r="BA94" i="20"/>
  <c r="AZ94" i="20"/>
  <c r="AY94" i="20"/>
  <c r="AX94" i="20"/>
  <c r="AX135" i="20" s="1"/>
  <c r="AW94" i="20"/>
  <c r="AV94" i="20"/>
  <c r="AU94" i="20"/>
  <c r="AT94" i="20"/>
  <c r="AS94" i="20"/>
  <c r="AR94" i="20"/>
  <c r="AO94" i="20"/>
  <c r="AN94" i="20"/>
  <c r="AM94" i="20"/>
  <c r="AL94" i="20"/>
  <c r="AK94" i="20"/>
  <c r="AJ94" i="20"/>
  <c r="AI94" i="20"/>
  <c r="AH94" i="20"/>
  <c r="AG94" i="20"/>
  <c r="AF94" i="20"/>
  <c r="AE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AQ93" i="20"/>
  <c r="AP93" i="20"/>
  <c r="AD93" i="20"/>
  <c r="AC93" i="20"/>
  <c r="AQ92" i="20"/>
  <c r="AP92" i="20"/>
  <c r="AD92" i="20"/>
  <c r="AC92" i="20"/>
  <c r="AQ91" i="20"/>
  <c r="AP91" i="20"/>
  <c r="AD91" i="20"/>
  <c r="AC91" i="20"/>
  <c r="AQ90" i="20"/>
  <c r="AP90" i="20"/>
  <c r="AD90" i="20"/>
  <c r="AC90" i="20"/>
  <c r="AQ89" i="20"/>
  <c r="AP89" i="20"/>
  <c r="AD89" i="20"/>
  <c r="AC89" i="20"/>
  <c r="AQ88" i="20"/>
  <c r="AP88" i="20"/>
  <c r="AD88" i="20"/>
  <c r="AC88" i="20"/>
  <c r="AQ87" i="20"/>
  <c r="AP87" i="20"/>
  <c r="AD87" i="20"/>
  <c r="AC87" i="20"/>
  <c r="AQ86" i="20"/>
  <c r="AP86" i="20"/>
  <c r="AD86" i="20"/>
  <c r="AC86" i="20"/>
  <c r="AQ85" i="20"/>
  <c r="AP85" i="20"/>
  <c r="AD85" i="20"/>
  <c r="AC85" i="20"/>
  <c r="AQ84" i="20"/>
  <c r="AP84" i="20"/>
  <c r="AD84" i="20"/>
  <c r="AC84" i="20"/>
  <c r="AQ83" i="20"/>
  <c r="AP83" i="20"/>
  <c r="AD83" i="20"/>
  <c r="AC83" i="20"/>
  <c r="AQ82" i="20"/>
  <c r="AP82" i="20"/>
  <c r="AD82" i="20"/>
  <c r="AC82" i="20"/>
  <c r="AQ81" i="20"/>
  <c r="AP81" i="20"/>
  <c r="AD81" i="20"/>
  <c r="AC81" i="20"/>
  <c r="AQ80" i="20"/>
  <c r="AP80" i="20"/>
  <c r="AD80" i="20"/>
  <c r="AC80" i="20"/>
  <c r="AQ79" i="20"/>
  <c r="AP79" i="20"/>
  <c r="AD79" i="20"/>
  <c r="AC79" i="20"/>
  <c r="AQ78" i="20"/>
  <c r="AP78" i="20"/>
  <c r="AD78" i="20"/>
  <c r="AC78" i="20"/>
  <c r="AQ77" i="20"/>
  <c r="AP77" i="20"/>
  <c r="AD77" i="20"/>
  <c r="AC77" i="20"/>
  <c r="AQ76" i="20"/>
  <c r="AP76" i="20"/>
  <c r="AD76" i="20"/>
  <c r="AC76" i="20"/>
  <c r="AQ75" i="20"/>
  <c r="AP75" i="20"/>
  <c r="AD75" i="20"/>
  <c r="AC75" i="20"/>
  <c r="AQ74" i="20"/>
  <c r="AP74" i="20"/>
  <c r="AD74" i="20"/>
  <c r="AC74" i="20"/>
  <c r="AQ73" i="20"/>
  <c r="AP73" i="20"/>
  <c r="AD73" i="20"/>
  <c r="AC73" i="20"/>
  <c r="AQ72" i="20"/>
  <c r="AP72" i="20"/>
  <c r="AD72" i="20"/>
  <c r="AC72" i="20"/>
  <c r="AQ71" i="20"/>
  <c r="AP71" i="20"/>
  <c r="AD71" i="20"/>
  <c r="AC71" i="20"/>
  <c r="AQ70" i="20"/>
  <c r="AP70" i="20"/>
  <c r="AD70" i="20"/>
  <c r="AC70" i="20"/>
  <c r="AQ69" i="20"/>
  <c r="AP69" i="20"/>
  <c r="AD69" i="20"/>
  <c r="AC69" i="20"/>
  <c r="AQ68" i="20"/>
  <c r="AP68" i="20"/>
  <c r="AD68" i="20"/>
  <c r="AC68" i="20"/>
  <c r="AQ67" i="20"/>
  <c r="AP67" i="20"/>
  <c r="AD67" i="20"/>
  <c r="AC67" i="20"/>
  <c r="AQ66" i="20"/>
  <c r="AP66" i="20"/>
  <c r="AD66" i="20"/>
  <c r="AC66" i="20"/>
  <c r="AQ65" i="20"/>
  <c r="AP65" i="20"/>
  <c r="AD65" i="20"/>
  <c r="AC65" i="20"/>
  <c r="AQ64" i="20"/>
  <c r="AP64" i="20"/>
  <c r="AD64" i="20"/>
  <c r="AC64" i="20"/>
  <c r="AQ63" i="20"/>
  <c r="AP63" i="20"/>
  <c r="AD63" i="20"/>
  <c r="AC63" i="20"/>
  <c r="AQ62" i="20"/>
  <c r="AP62" i="20"/>
  <c r="AD62" i="20"/>
  <c r="AC62" i="20"/>
  <c r="AQ61" i="20"/>
  <c r="AP61" i="20"/>
  <c r="AD61" i="20"/>
  <c r="AC61" i="20"/>
  <c r="AQ60" i="20"/>
  <c r="AP60" i="20"/>
  <c r="AD60" i="20"/>
  <c r="AC60" i="20"/>
  <c r="AQ59" i="20"/>
  <c r="AP59" i="20"/>
  <c r="AD59" i="20"/>
  <c r="AC59" i="20"/>
  <c r="AQ58" i="20"/>
  <c r="AP58" i="20"/>
  <c r="AD58" i="20"/>
  <c r="AC58" i="20"/>
  <c r="AQ57" i="20"/>
  <c r="AP57" i="20"/>
  <c r="AD57" i="20"/>
  <c r="AC57" i="20"/>
  <c r="AQ56" i="20"/>
  <c r="AP56" i="20"/>
  <c r="AD56" i="20"/>
  <c r="AC56" i="20"/>
  <c r="AQ55" i="20"/>
  <c r="AP55" i="20"/>
  <c r="AD55" i="20"/>
  <c r="AC55" i="20"/>
  <c r="AQ54" i="20"/>
  <c r="AP54" i="20"/>
  <c r="AD54" i="20"/>
  <c r="AC54" i="20"/>
  <c r="AQ53" i="20"/>
  <c r="AP53" i="20"/>
  <c r="AD53" i="20"/>
  <c r="AC53" i="20"/>
  <c r="AQ52" i="20"/>
  <c r="AP52" i="20"/>
  <c r="AD52" i="20"/>
  <c r="AC52" i="20"/>
  <c r="AQ51" i="20"/>
  <c r="AP51" i="20"/>
  <c r="AD51" i="20"/>
  <c r="AC51" i="20"/>
  <c r="AQ50" i="20"/>
  <c r="AP50" i="20"/>
  <c r="AD50" i="20"/>
  <c r="AC50" i="20"/>
  <c r="AQ49" i="20"/>
  <c r="AP49" i="20"/>
  <c r="AD49" i="20"/>
  <c r="AC49" i="20"/>
  <c r="AQ48" i="20"/>
  <c r="AP48" i="20"/>
  <c r="AD48" i="20"/>
  <c r="AC48" i="20"/>
  <c r="AQ47" i="20"/>
  <c r="AP47" i="20"/>
  <c r="AD47" i="20"/>
  <c r="AC47" i="20"/>
  <c r="AQ46" i="20"/>
  <c r="AP46" i="20"/>
  <c r="AD46" i="20"/>
  <c r="AC46" i="20"/>
  <c r="AQ45" i="20"/>
  <c r="AP45" i="20"/>
  <c r="AD45" i="20"/>
  <c r="AC45" i="20"/>
  <c r="AQ44" i="20"/>
  <c r="AP44" i="20"/>
  <c r="AD44" i="20"/>
  <c r="AC44" i="20"/>
  <c r="AQ43" i="20"/>
  <c r="AP43" i="20"/>
  <c r="AD43" i="20"/>
  <c r="AC43" i="20"/>
  <c r="AQ42" i="20"/>
  <c r="AP42" i="20"/>
  <c r="AD42" i="20"/>
  <c r="AC42" i="20"/>
  <c r="AQ41" i="20"/>
  <c r="AP41" i="20"/>
  <c r="AD41" i="20"/>
  <c r="AC41" i="20"/>
  <c r="AQ40" i="20"/>
  <c r="AP40" i="20"/>
  <c r="AD40" i="20"/>
  <c r="AC40" i="20"/>
  <c r="AQ39" i="20"/>
  <c r="AP39" i="20"/>
  <c r="AD39" i="20"/>
  <c r="AC39" i="20"/>
  <c r="AQ38" i="20"/>
  <c r="AP38" i="20"/>
  <c r="AD38" i="20"/>
  <c r="AC38" i="20"/>
  <c r="AQ37" i="20"/>
  <c r="AP37" i="20"/>
  <c r="AD37" i="20"/>
  <c r="AC37" i="20"/>
  <c r="AQ36" i="20"/>
  <c r="AP36" i="20"/>
  <c r="AD36" i="20"/>
  <c r="AC36" i="20"/>
  <c r="AQ35" i="20"/>
  <c r="AP35" i="20"/>
  <c r="AD35" i="20"/>
  <c r="AC35" i="20"/>
  <c r="AQ34" i="20"/>
  <c r="AP34" i="20"/>
  <c r="AD34" i="20"/>
  <c r="AC34" i="20"/>
  <c r="AQ33" i="20"/>
  <c r="AP33" i="20"/>
  <c r="AD33" i="20"/>
  <c r="AC33" i="20"/>
  <c r="AQ32" i="20"/>
  <c r="AP32" i="20"/>
  <c r="AD32" i="20"/>
  <c r="AC32" i="20"/>
  <c r="AQ31" i="20"/>
  <c r="AP31" i="20"/>
  <c r="AD31" i="20"/>
  <c r="AC31" i="20"/>
  <c r="AQ30" i="20"/>
  <c r="AP30" i="20"/>
  <c r="AD30" i="20"/>
  <c r="AC30" i="20"/>
  <c r="AQ29" i="20"/>
  <c r="AP29" i="20"/>
  <c r="AD29" i="20"/>
  <c r="AC29" i="20"/>
  <c r="AQ28" i="20"/>
  <c r="AP28" i="20"/>
  <c r="AD28" i="20"/>
  <c r="AC28" i="20"/>
  <c r="AQ27" i="20"/>
  <c r="AP27" i="20"/>
  <c r="AD27" i="20"/>
  <c r="AC27" i="20"/>
  <c r="AQ26" i="20"/>
  <c r="AP26" i="20"/>
  <c r="AD26" i="20"/>
  <c r="AC26" i="20"/>
  <c r="AQ25" i="20"/>
  <c r="AP25" i="20"/>
  <c r="AD25" i="20"/>
  <c r="AC25" i="20"/>
  <c r="AQ24" i="20"/>
  <c r="AP24" i="20"/>
  <c r="AD24" i="20"/>
  <c r="AC24" i="20"/>
  <c r="AQ23" i="20"/>
  <c r="AP23" i="20"/>
  <c r="AD23" i="20"/>
  <c r="AC23" i="20"/>
  <c r="AQ22" i="20"/>
  <c r="AP22" i="20"/>
  <c r="AD22" i="20"/>
  <c r="AC22" i="20"/>
  <c r="AQ21" i="20"/>
  <c r="AP21" i="20"/>
  <c r="AD21" i="20"/>
  <c r="AC21" i="20"/>
  <c r="AQ20" i="20"/>
  <c r="AP20" i="20"/>
  <c r="AD20" i="20"/>
  <c r="AC20" i="20"/>
  <c r="AQ19" i="20"/>
  <c r="AP19" i="20"/>
  <c r="AD19" i="20"/>
  <c r="AC19" i="20"/>
  <c r="AQ18" i="20"/>
  <c r="AP18" i="20"/>
  <c r="AD18" i="20"/>
  <c r="AC18" i="20"/>
  <c r="AQ17" i="20"/>
  <c r="AP17" i="20"/>
  <c r="AD17" i="20"/>
  <c r="AC17" i="20"/>
  <c r="AQ16" i="20"/>
  <c r="AP16" i="20"/>
  <c r="AD16" i="20"/>
  <c r="AC16" i="20"/>
  <c r="AQ15" i="20"/>
  <c r="AP15" i="20"/>
  <c r="AD15" i="20"/>
  <c r="AC15" i="20"/>
  <c r="AQ14" i="20"/>
  <c r="AP14" i="20"/>
  <c r="AD14" i="20"/>
  <c r="AC14" i="20"/>
  <c r="AQ13" i="20"/>
  <c r="AP13" i="20"/>
  <c r="AD13" i="20"/>
  <c r="AC13" i="20"/>
  <c r="AQ12" i="20"/>
  <c r="AP12" i="20"/>
  <c r="AD12" i="20"/>
  <c r="AC12" i="20"/>
  <c r="AQ11" i="20"/>
  <c r="AP11" i="20"/>
  <c r="AD11" i="20"/>
  <c r="AC11" i="20"/>
  <c r="AQ10" i="20"/>
  <c r="AP10" i="20"/>
  <c r="AD10" i="20"/>
  <c r="AC10" i="20"/>
  <c r="AQ9" i="20"/>
  <c r="AP9" i="20"/>
  <c r="AD9" i="20"/>
  <c r="AC9" i="20"/>
  <c r="AQ8" i="20"/>
  <c r="AP8" i="20"/>
  <c r="AD8" i="20"/>
  <c r="AC8" i="20"/>
  <c r="AQ7" i="20"/>
  <c r="AP7" i="20"/>
  <c r="AD7" i="20"/>
  <c r="AC7" i="20"/>
  <c r="BT5" i="20"/>
  <c r="BT6" i="20" s="1"/>
  <c r="BS5" i="20"/>
  <c r="BS6" i="20" s="1"/>
  <c r="BR5" i="20"/>
  <c r="BR6" i="20" s="1"/>
  <c r="BQ5" i="20"/>
  <c r="BQ6" i="20" s="1"/>
  <c r="BP5" i="20"/>
  <c r="BP6" i="20" s="1"/>
  <c r="BO5" i="20"/>
  <c r="BO6" i="20" s="1"/>
  <c r="BN5" i="20"/>
  <c r="BN6" i="20" s="1"/>
  <c r="BM5" i="20"/>
  <c r="BM6" i="20" s="1"/>
  <c r="BL5" i="20"/>
  <c r="BL6" i="20" s="1"/>
  <c r="BK5" i="20"/>
  <c r="BK6" i="20" s="1"/>
  <c r="BJ5" i="20"/>
  <c r="BJ6" i="20" s="1"/>
  <c r="BI5" i="20"/>
  <c r="BI6" i="20" s="1"/>
  <c r="BH5" i="20"/>
  <c r="BH6" i="20" s="1"/>
  <c r="BG5" i="20"/>
  <c r="BF5" i="20"/>
  <c r="BE5" i="20"/>
  <c r="BE6" i="20" s="1"/>
  <c r="BD5" i="20"/>
  <c r="BD6" i="20" s="1"/>
  <c r="BC5" i="20"/>
  <c r="BC6" i="20" s="1"/>
  <c r="BB5" i="20"/>
  <c r="BB6" i="20" s="1"/>
  <c r="BA5" i="20"/>
  <c r="BA6" i="20" s="1"/>
  <c r="AZ5" i="20"/>
  <c r="AZ6" i="20" s="1"/>
  <c r="AY5" i="20"/>
  <c r="AY6" i="20" s="1"/>
  <c r="AX5" i="20"/>
  <c r="AX6" i="20" s="1"/>
  <c r="AW5" i="20"/>
  <c r="AW6" i="20" s="1"/>
  <c r="AV5" i="20"/>
  <c r="AV6" i="20" s="1"/>
  <c r="AU5" i="20"/>
  <c r="AU6" i="20" s="1"/>
  <c r="AT5" i="20"/>
  <c r="AT6" i="20" s="1"/>
  <c r="AS5" i="20"/>
  <c r="AS6" i="20" s="1"/>
  <c r="AR5" i="20"/>
  <c r="AR6" i="20" s="1"/>
  <c r="AQ5" i="20"/>
  <c r="AP5" i="20"/>
  <c r="AO5" i="20"/>
  <c r="AO6" i="20" s="1"/>
  <c r="AN5" i="20"/>
  <c r="AN6" i="20" s="1"/>
  <c r="AM5" i="20"/>
  <c r="AM6" i="20" s="1"/>
  <c r="AL5" i="20"/>
  <c r="AL6" i="20" s="1"/>
  <c r="AK5" i="20"/>
  <c r="AK6" i="20" s="1"/>
  <c r="AJ5" i="20"/>
  <c r="AJ6" i="20" s="1"/>
  <c r="AI5" i="20"/>
  <c r="AI6" i="20" s="1"/>
  <c r="AH5" i="20"/>
  <c r="AH6" i="20" s="1"/>
  <c r="AG5" i="20"/>
  <c r="AG6" i="20" s="1"/>
  <c r="AF5" i="20"/>
  <c r="AF6" i="20" s="1"/>
  <c r="AE5" i="20"/>
  <c r="AE6" i="20" s="1"/>
  <c r="AD5" i="20"/>
  <c r="AD6" i="20" s="1"/>
  <c r="AC5" i="20"/>
  <c r="AC6" i="20" s="1"/>
  <c r="AB5" i="20"/>
  <c r="AB6" i="20" s="1"/>
  <c r="AA5" i="20"/>
  <c r="Z5" i="20"/>
  <c r="Z6" i="20" s="1"/>
  <c r="Y5" i="20"/>
  <c r="Y6" i="20" s="1"/>
  <c r="X5" i="20"/>
  <c r="X6" i="20" s="1"/>
  <c r="W5" i="20"/>
  <c r="W6" i="20" s="1"/>
  <c r="V5" i="20"/>
  <c r="V6" i="20" s="1"/>
  <c r="U5" i="20"/>
  <c r="U6" i="20" s="1"/>
  <c r="T5" i="20"/>
  <c r="T6" i="20" s="1"/>
  <c r="S5" i="20"/>
  <c r="S6" i="20" s="1"/>
  <c r="R5" i="20"/>
  <c r="R6" i="20" s="1"/>
  <c r="Q5" i="20"/>
  <c r="Q6" i="20" s="1"/>
  <c r="P5" i="20"/>
  <c r="P6" i="20" s="1"/>
  <c r="O5" i="20"/>
  <c r="O6" i="20" s="1"/>
  <c r="N5" i="20"/>
  <c r="N6" i="20" s="1"/>
  <c r="M5" i="20"/>
  <c r="M6" i="20" s="1"/>
  <c r="L5" i="20"/>
  <c r="L6" i="20" s="1"/>
  <c r="K5" i="20"/>
  <c r="J5" i="20"/>
  <c r="I5" i="20"/>
  <c r="I6" i="20" s="1"/>
  <c r="H5" i="20"/>
  <c r="H6" i="20" s="1"/>
  <c r="G5" i="20"/>
  <c r="G6" i="20" s="1"/>
  <c r="F5" i="20"/>
  <c r="F6" i="20" s="1"/>
  <c r="E5" i="20"/>
  <c r="E6" i="20" s="1"/>
  <c r="D5" i="20"/>
  <c r="D6" i="20" s="1"/>
  <c r="M5" i="14" l="1" a="1"/>
  <c r="M5" i="14" s="1"/>
  <c r="L5" i="14" a="1"/>
  <c r="L5" i="14" s="1"/>
  <c r="K5" i="14" a="1"/>
  <c r="K5" i="14" s="1"/>
  <c r="J5" i="14" a="1"/>
  <c r="J5" i="14" s="1"/>
  <c r="I5" i="14" a="1"/>
  <c r="I5" i="14" s="1"/>
  <c r="H5" i="14" a="1"/>
  <c r="H5" i="14" s="1"/>
  <c r="G5" i="14" a="1"/>
  <c r="G5" i="14" s="1"/>
  <c r="F5" i="14" a="1"/>
  <c r="F5" i="14" s="1"/>
  <c r="E5" i="14" a="1"/>
  <c r="E5" i="14" s="1"/>
  <c r="D5" i="14" a="1"/>
  <c r="D5" i="14" s="1"/>
  <c r="C5" i="14" a="1"/>
  <c r="C5" i="14" s="1"/>
  <c r="BB135" i="20"/>
  <c r="AU135" i="20"/>
  <c r="AE135" i="20"/>
  <c r="D135" i="20"/>
  <c r="T135" i="20"/>
  <c r="AL135" i="20"/>
  <c r="BD135" i="20"/>
  <c r="BT135" i="20"/>
  <c r="AM135" i="20"/>
  <c r="BE135" i="20"/>
  <c r="BU135" i="20"/>
  <c r="V135" i="20"/>
  <c r="AN135" i="20"/>
  <c r="BF135" i="20"/>
  <c r="Y135" i="20"/>
  <c r="Z135" i="20"/>
  <c r="O135" i="20"/>
  <c r="W135" i="20"/>
  <c r="AO135" i="20"/>
  <c r="X135" i="20"/>
  <c r="BK135" i="20"/>
  <c r="S135" i="20"/>
  <c r="BC135" i="20"/>
  <c r="BS135" i="20"/>
  <c r="AY135" i="20"/>
  <c r="P135" i="20"/>
  <c r="AZ135" i="20"/>
  <c r="BP135" i="20"/>
  <c r="Q135" i="20"/>
  <c r="AI135" i="20"/>
  <c r="F135" i="20"/>
  <c r="G135" i="20"/>
  <c r="BG135" i="20"/>
  <c r="H135" i="20"/>
  <c r="AR135" i="20"/>
  <c r="BH135" i="20"/>
  <c r="I135" i="20"/>
  <c r="AS135" i="20"/>
  <c r="BI135" i="20"/>
  <c r="AT135" i="20"/>
  <c r="BJ135" i="20"/>
  <c r="K135" i="20"/>
  <c r="AA135" i="20"/>
  <c r="L135" i="20"/>
  <c r="AB135" i="20"/>
  <c r="AV135" i="20"/>
  <c r="BL135" i="20"/>
  <c r="M135" i="20"/>
  <c r="AW135" i="20"/>
  <c r="BM135" i="20"/>
  <c r="N135" i="20"/>
  <c r="AF135" i="20"/>
  <c r="BN135" i="20"/>
  <c r="AG135" i="20"/>
  <c r="BO135" i="20"/>
  <c r="AH135" i="20"/>
  <c r="R135" i="20"/>
  <c r="AJ135" i="20"/>
  <c r="BR135" i="20"/>
  <c r="AK135" i="20"/>
  <c r="BA135" i="20"/>
  <c r="BQ135" i="20"/>
  <c r="E135" i="20"/>
  <c r="U135" i="20"/>
  <c r="AP94" i="20"/>
  <c r="AP95" i="20"/>
  <c r="AD135" i="20"/>
  <c r="AQ135" i="20"/>
  <c r="AC94" i="20"/>
  <c r="AC95" i="20"/>
  <c r="BV137" i="20"/>
  <c r="BV142" i="20"/>
  <c r="AP135" i="20" l="1"/>
  <c r="AC135" i="20"/>
  <c r="AA6" i="9" l="1"/>
  <c r="AB6" i="9"/>
  <c r="Z6" i="9"/>
  <c r="R6" i="9"/>
  <c r="Q6" i="9"/>
  <c r="P6" i="9"/>
  <c r="O6" i="9"/>
  <c r="AC4" i="9" a="1"/>
  <c r="AH4" i="9" s="1"/>
  <c r="AC3" i="9" a="1"/>
  <c r="AE3" i="9" s="1"/>
  <c r="S6" i="9" a="1"/>
  <c r="U6" i="9" s="1"/>
  <c r="S4" i="9" a="1"/>
  <c r="U4" i="9" s="1"/>
  <c r="S3" i="9" a="1"/>
  <c r="U3" i="9" s="1"/>
  <c r="N6" i="9"/>
  <c r="N4" i="9"/>
  <c r="E6" i="9" a="1"/>
  <c r="F6" i="9" s="1"/>
  <c r="N3" i="9"/>
  <c r="G9" i="14"/>
  <c r="O4" i="9" s="1"/>
  <c r="H9" i="14"/>
  <c r="P4" i="9" s="1"/>
  <c r="M9" i="14"/>
  <c r="AB4" i="9" s="1"/>
  <c r="H8" i="14"/>
  <c r="P3" i="9" s="1"/>
  <c r="L8" i="14"/>
  <c r="AA3" i="9" s="1"/>
  <c r="I7" i="14" l="1"/>
  <c r="Q2" i="9" s="1"/>
  <c r="L7" i="14"/>
  <c r="AA2" i="9" s="1"/>
  <c r="M7" i="14"/>
  <c r="AB2" i="9" s="1"/>
  <c r="AB11" i="9" s="1"/>
  <c r="AB2" i="15" s="1"/>
  <c r="J8" i="14"/>
  <c r="R3" i="9" s="1"/>
  <c r="R7" i="9" s="1"/>
  <c r="G7" i="14"/>
  <c r="O2" i="9" s="1"/>
  <c r="O11" i="9" s="1"/>
  <c r="O2" i="15" s="1"/>
  <c r="I9" i="14"/>
  <c r="Q4" i="9" s="1"/>
  <c r="G8" i="14"/>
  <c r="O3" i="9" s="1"/>
  <c r="I8" i="14"/>
  <c r="Q3" i="9" s="1"/>
  <c r="Q7" i="9" s="1"/>
  <c r="J9" i="14"/>
  <c r="R4" i="9" s="1"/>
  <c r="K9" i="14"/>
  <c r="Z4" i="9" s="1"/>
  <c r="H7" i="14"/>
  <c r="P2" i="9" s="1"/>
  <c r="P11" i="9" s="1"/>
  <c r="P2" i="15" s="1"/>
  <c r="K7" i="14"/>
  <c r="Z2" i="9" s="1"/>
  <c r="K8" i="14"/>
  <c r="Z3" i="9" s="1"/>
  <c r="L9" i="14"/>
  <c r="AA4" i="9" s="1"/>
  <c r="J7" i="14"/>
  <c r="R2" i="9" s="1"/>
  <c r="M8" i="14"/>
  <c r="AB3" i="9" s="1"/>
  <c r="AB7" i="9" s="1"/>
  <c r="P7" i="9"/>
  <c r="AA7" i="9"/>
  <c r="AQ4" i="9"/>
  <c r="AI4" i="9"/>
  <c r="AO4" i="9"/>
  <c r="AG4" i="9"/>
  <c r="AN4" i="9"/>
  <c r="AF4" i="9"/>
  <c r="AM4" i="9"/>
  <c r="AE4" i="9"/>
  <c r="AL4" i="9"/>
  <c r="AD4" i="9"/>
  <c r="AK4" i="9"/>
  <c r="AC4" i="9"/>
  <c r="AJ4" i="9"/>
  <c r="AP4" i="9"/>
  <c r="AQ3" i="9"/>
  <c r="AI3" i="9"/>
  <c r="AL3" i="9"/>
  <c r="AD3" i="9"/>
  <c r="AK3" i="9"/>
  <c r="AC3" i="9"/>
  <c r="AJ3" i="9"/>
  <c r="AP3" i="9"/>
  <c r="AH3" i="9"/>
  <c r="AO3" i="9"/>
  <c r="AG3" i="9"/>
  <c r="AN3" i="9"/>
  <c r="AF3" i="9"/>
  <c r="AM3" i="9"/>
  <c r="Y6" i="9"/>
  <c r="T6" i="9"/>
  <c r="S6" i="9"/>
  <c r="X6" i="9"/>
  <c r="W6" i="9"/>
  <c r="V6" i="9"/>
  <c r="Y4" i="9"/>
  <c r="T4" i="9"/>
  <c r="S4" i="9"/>
  <c r="X4" i="9"/>
  <c r="W4" i="9"/>
  <c r="V4" i="9"/>
  <c r="Y3" i="9"/>
  <c r="S3" i="9"/>
  <c r="W3" i="9"/>
  <c r="V3" i="9"/>
  <c r="T3" i="9"/>
  <c r="X3" i="9"/>
  <c r="K6" i="9"/>
  <c r="I6" i="9"/>
  <c r="H6" i="9"/>
  <c r="J6" i="9"/>
  <c r="G6" i="9"/>
  <c r="E6" i="9"/>
  <c r="D6" i="9"/>
  <c r="B6" i="9"/>
  <c r="E4" i="9" a="1"/>
  <c r="K4" i="9" s="1"/>
  <c r="B4" i="9"/>
  <c r="E3" i="9" a="1"/>
  <c r="K3" i="9" s="1"/>
  <c r="B3" i="9"/>
  <c r="AA5" i="9" l="1"/>
  <c r="AA8" i="9" s="1"/>
  <c r="AA9" i="9" s="1"/>
  <c r="AA2" i="2" s="1"/>
  <c r="Q11" i="9"/>
  <c r="Q2" i="15" s="1"/>
  <c r="R5" i="9"/>
  <c r="R8" i="9" s="1"/>
  <c r="R9" i="9" s="1"/>
  <c r="Q5" i="9"/>
  <c r="Q8" i="9" s="1"/>
  <c r="Q9" i="9" s="1"/>
  <c r="P5" i="9"/>
  <c r="P8" i="9" s="1"/>
  <c r="P9" i="9" s="1"/>
  <c r="P2" i="2" s="1"/>
  <c r="AA11" i="9"/>
  <c r="AA2" i="15" s="1"/>
  <c r="AB5" i="9"/>
  <c r="Z11" i="9"/>
  <c r="Z2" i="15" s="1"/>
  <c r="R11" i="9"/>
  <c r="R2" i="15" s="1"/>
  <c r="AB8" i="9"/>
  <c r="AB9" i="9" s="1"/>
  <c r="G4" i="9"/>
  <c r="H4" i="9"/>
  <c r="I4" i="9"/>
  <c r="E4" i="9"/>
  <c r="F4" i="9"/>
  <c r="J4" i="9"/>
  <c r="F3" i="9"/>
  <c r="G3" i="9"/>
  <c r="H3" i="9"/>
  <c r="I3" i="9"/>
  <c r="E3" i="9"/>
  <c r="J3" i="9"/>
  <c r="C9" i="14"/>
  <c r="C4" i="9" s="1"/>
  <c r="D9" i="14"/>
  <c r="D4" i="9" s="1"/>
  <c r="C8" i="14"/>
  <c r="C3" i="9" s="1"/>
  <c r="C7" i="14"/>
  <c r="C2" i="9" s="1"/>
  <c r="D7" i="14"/>
  <c r="D2" i="9" s="1"/>
  <c r="D8" i="14"/>
  <c r="D3" i="9" s="1"/>
  <c r="D7" i="9" s="1"/>
  <c r="Q2" i="2" l="1"/>
  <c r="AB2" i="2"/>
  <c r="C11" i="9"/>
  <c r="C2" i="15" s="1"/>
  <c r="R2" i="2"/>
  <c r="D11" i="9"/>
  <c r="D2" i="15" s="1"/>
  <c r="D5" i="9"/>
  <c r="D8" i="9" s="1"/>
  <c r="D9" i="9" s="1"/>
  <c r="D2" i="2" l="1"/>
  <c r="E7" i="9"/>
  <c r="I7" i="9"/>
  <c r="M6" i="9"/>
  <c r="L6" i="9"/>
  <c r="AC6" i="9" a="1"/>
  <c r="E2" i="9"/>
  <c r="E11" i="9" s="1"/>
  <c r="E2" i="15" s="1"/>
  <c r="F2" i="9"/>
  <c r="G2" i="9"/>
  <c r="G11" i="9" s="1"/>
  <c r="G2" i="15" s="1"/>
  <c r="H2" i="9"/>
  <c r="H11" i="9" s="1"/>
  <c r="H2" i="15" s="1"/>
  <c r="I2" i="9"/>
  <c r="J2" i="9"/>
  <c r="K2" i="9"/>
  <c r="K11" i="9" s="1"/>
  <c r="K2" i="15" s="1"/>
  <c r="N2" i="9"/>
  <c r="N11" i="9" s="1"/>
  <c r="N2" i="15" s="1"/>
  <c r="S2" i="9"/>
  <c r="S11" i="9" s="1"/>
  <c r="S2" i="15" s="1"/>
  <c r="T2" i="9"/>
  <c r="T11" i="9" s="1"/>
  <c r="T2" i="15" s="1"/>
  <c r="U2" i="9"/>
  <c r="U11" i="9" s="1"/>
  <c r="U2" i="15" s="1"/>
  <c r="V2" i="9"/>
  <c r="V11" i="9" s="1"/>
  <c r="V2" i="15" s="1"/>
  <c r="W2" i="9"/>
  <c r="W11" i="9" s="1"/>
  <c r="W2" i="15" s="1"/>
  <c r="X2" i="9"/>
  <c r="X11" i="9" s="1"/>
  <c r="X2" i="15" s="1"/>
  <c r="Y2" i="9"/>
  <c r="Y11" i="9" s="1"/>
  <c r="Y2" i="15" s="1"/>
  <c r="AC2" i="9"/>
  <c r="AC11" i="9" s="1"/>
  <c r="AC2" i="15" s="1"/>
  <c r="AD2" i="9"/>
  <c r="AD11" i="9" s="1"/>
  <c r="AD2" i="15" s="1"/>
  <c r="AE2" i="9"/>
  <c r="AE11" i="9" s="1"/>
  <c r="AE2" i="15" s="1"/>
  <c r="AF2" i="9"/>
  <c r="AF11" i="9" s="1"/>
  <c r="AF2" i="15" s="1"/>
  <c r="AG2" i="9"/>
  <c r="AG11" i="9" s="1"/>
  <c r="AG2" i="15" s="1"/>
  <c r="AH2" i="9"/>
  <c r="AH11" i="9" s="1"/>
  <c r="AH2" i="15" s="1"/>
  <c r="AI2" i="9"/>
  <c r="AI11" i="9" s="1"/>
  <c r="AI2" i="15" s="1"/>
  <c r="AJ2" i="9"/>
  <c r="AJ11" i="9" s="1"/>
  <c r="AJ2" i="15" s="1"/>
  <c r="AK2" i="9"/>
  <c r="AK11" i="9" s="1"/>
  <c r="AK2" i="15" s="1"/>
  <c r="AL2" i="9"/>
  <c r="AL11" i="9" s="1"/>
  <c r="AL2" i="15" s="1"/>
  <c r="AM2" i="9"/>
  <c r="AM11" i="9" s="1"/>
  <c r="AM2" i="15" s="1"/>
  <c r="AN2" i="9"/>
  <c r="AN11" i="9" s="1"/>
  <c r="AN2" i="15" s="1"/>
  <c r="AO2" i="9"/>
  <c r="AO11" i="9" s="1"/>
  <c r="AO2" i="15" s="1"/>
  <c r="AP2" i="9"/>
  <c r="AP11" i="9" s="1"/>
  <c r="AP2" i="15" s="1"/>
  <c r="AQ2" i="9"/>
  <c r="AQ11" i="9" s="1"/>
  <c r="AQ2" i="15" s="1"/>
  <c r="B2" i="9"/>
  <c r="B11" i="9" s="1"/>
  <c r="B2" i="15" s="1"/>
  <c r="A1" i="7"/>
  <c r="A1" i="11"/>
  <c r="E7" i="14" l="1"/>
  <c r="L2" i="9" s="1"/>
  <c r="AE6" i="9"/>
  <c r="AI6" i="9"/>
  <c r="AQ6" i="9"/>
  <c r="AL6" i="9"/>
  <c r="AD6" i="9"/>
  <c r="AF6" i="9"/>
  <c r="AK6" i="9"/>
  <c r="AC6" i="9"/>
  <c r="AJ6" i="9"/>
  <c r="AP6" i="9"/>
  <c r="AH6" i="9"/>
  <c r="AN6" i="9"/>
  <c r="AG6" i="9"/>
  <c r="AO6" i="9"/>
  <c r="AM6" i="9"/>
  <c r="AM7" i="9" s="1"/>
  <c r="F5" i="9"/>
  <c r="F11" i="9"/>
  <c r="F2" i="15" s="1"/>
  <c r="J5" i="9"/>
  <c r="J11" i="9"/>
  <c r="J2" i="15" s="1"/>
  <c r="I5" i="9"/>
  <c r="I11" i="9"/>
  <c r="I2" i="15" s="1"/>
  <c r="F8" i="14"/>
  <c r="M3" i="9" s="1"/>
  <c r="M7" i="9" s="1"/>
  <c r="F9" i="14"/>
  <c r="M4" i="9" s="1"/>
  <c r="F7" i="14"/>
  <c r="M2" i="9" s="1"/>
  <c r="AM5" i="9"/>
  <c r="Y5" i="9"/>
  <c r="F7" i="9"/>
  <c r="AI5" i="9"/>
  <c r="I8" i="9"/>
  <c r="I9" i="9" s="1"/>
  <c r="AE5" i="9"/>
  <c r="J7" i="9"/>
  <c r="J8" i="9" s="1"/>
  <c r="J9" i="9" s="1"/>
  <c r="C7" i="9"/>
  <c r="U5" i="9"/>
  <c r="AQ5" i="9"/>
  <c r="O5" i="9"/>
  <c r="E8" i="14"/>
  <c r="L3" i="9" s="1"/>
  <c r="L7" i="9" s="1"/>
  <c r="H7" i="9"/>
  <c r="H5" i="9"/>
  <c r="AE7" i="9"/>
  <c r="AQ7" i="9"/>
  <c r="E9" i="14"/>
  <c r="L4" i="9" s="1"/>
  <c r="C5" i="9"/>
  <c r="E5" i="9"/>
  <c r="E8" i="9" s="1"/>
  <c r="E9" i="9" s="1"/>
  <c r="B7" i="9"/>
  <c r="AP5" i="9"/>
  <c r="AH5" i="9"/>
  <c r="X7" i="9"/>
  <c r="T7" i="9"/>
  <c r="AO5" i="9"/>
  <c r="S7" i="9"/>
  <c r="K7" i="9"/>
  <c r="Z5" i="9"/>
  <c r="V5" i="9"/>
  <c r="K5" i="9"/>
  <c r="L11" i="9" l="1"/>
  <c r="L2" i="15" s="1"/>
  <c r="F8" i="9"/>
  <c r="F9" i="9" s="1"/>
  <c r="F2" i="2" s="1"/>
  <c r="M11" i="9"/>
  <c r="M2" i="15" s="1"/>
  <c r="J2" i="2"/>
  <c r="E2" i="2"/>
  <c r="I2" i="2"/>
  <c r="AM8" i="9"/>
  <c r="AM9" i="9" s="1"/>
  <c r="AQ8" i="9"/>
  <c r="AQ9" i="9" s="1"/>
  <c r="M5" i="9"/>
  <c r="M8" i="9" s="1"/>
  <c r="M9" i="9" s="1"/>
  <c r="AC7" i="9"/>
  <c r="AI7" i="9"/>
  <c r="AI8" i="9" s="1"/>
  <c r="AI9" i="9" s="1"/>
  <c r="AN7" i="9"/>
  <c r="O7" i="9"/>
  <c r="O8" i="9" s="1"/>
  <c r="O9" i="9" s="1"/>
  <c r="C8" i="9"/>
  <c r="C9" i="9" s="1"/>
  <c r="AJ7" i="9"/>
  <c r="AH7" i="9"/>
  <c r="AH8" i="9" s="1"/>
  <c r="AH9" i="9" s="1"/>
  <c r="AE8" i="9"/>
  <c r="AE9" i="9" s="1"/>
  <c r="U7" i="9"/>
  <c r="U8" i="9" s="1"/>
  <c r="U9" i="9" s="1"/>
  <c r="AD7" i="9"/>
  <c r="S5" i="9"/>
  <c r="S8" i="9" s="1"/>
  <c r="S9" i="9" s="1"/>
  <c r="AO7" i="9"/>
  <c r="AO8" i="9" s="1"/>
  <c r="AO9" i="9" s="1"/>
  <c r="K8" i="9"/>
  <c r="K9" i="9" s="1"/>
  <c r="Y7" i="9"/>
  <c r="Y8" i="9" s="1"/>
  <c r="Y9" i="9" s="1"/>
  <c r="L5" i="9"/>
  <c r="L8" i="9" s="1"/>
  <c r="L9" i="9" s="1"/>
  <c r="AN5" i="9"/>
  <c r="N5" i="9"/>
  <c r="N7" i="9"/>
  <c r="AG7" i="9"/>
  <c r="AC5" i="9"/>
  <c r="AC8" i="9" s="1"/>
  <c r="AC9" i="9" s="1"/>
  <c r="X5" i="9"/>
  <c r="X8" i="9" s="1"/>
  <c r="X9" i="9" s="1"/>
  <c r="AK7" i="9"/>
  <c r="AK5" i="9"/>
  <c r="AG5" i="9"/>
  <c r="H8" i="9"/>
  <c r="H9" i="9" s="1"/>
  <c r="AL5" i="9"/>
  <c r="AL7" i="9"/>
  <c r="AJ5" i="9"/>
  <c r="V7" i="9"/>
  <c r="V8" i="9" s="1"/>
  <c r="V9" i="9" s="1"/>
  <c r="AP7" i="9"/>
  <c r="AP8" i="9" s="1"/>
  <c r="AP9" i="9" s="1"/>
  <c r="G5" i="9"/>
  <c r="G7" i="9"/>
  <c r="B5" i="9"/>
  <c r="B8" i="9" s="1"/>
  <c r="B9" i="9" s="1"/>
  <c r="W7" i="9"/>
  <c r="W5" i="9"/>
  <c r="Z7" i="9"/>
  <c r="Z8" i="9" s="1"/>
  <c r="Z9" i="9" s="1"/>
  <c r="AF7" i="9"/>
  <c r="AF5" i="9"/>
  <c r="T5" i="9"/>
  <c r="T8" i="9" s="1"/>
  <c r="T9" i="9" s="1"/>
  <c r="AD5" i="9"/>
  <c r="X2" i="2" l="1"/>
  <c r="K2" i="2"/>
  <c r="AI2" i="2"/>
  <c r="Z2" i="2"/>
  <c r="S2" i="2"/>
  <c r="U2" i="2"/>
  <c r="V2" i="2"/>
  <c r="AC2" i="2"/>
  <c r="B2" i="2"/>
  <c r="H2" i="2"/>
  <c r="AE2" i="2"/>
  <c r="M2" i="2"/>
  <c r="C2" i="2"/>
  <c r="AO2" i="2"/>
  <c r="T2" i="2"/>
  <c r="L2" i="2"/>
  <c r="AH2" i="2"/>
  <c r="AQ2" i="2"/>
  <c r="O2" i="2"/>
  <c r="AP2" i="2"/>
  <c r="Y2" i="2"/>
  <c r="AM2" i="2"/>
  <c r="AN8" i="9"/>
  <c r="AN9" i="9" s="1"/>
  <c r="AD8" i="9"/>
  <c r="AD9" i="9" s="1"/>
  <c r="AK8" i="9"/>
  <c r="AK9" i="9" s="1"/>
  <c r="AJ8" i="9"/>
  <c r="AJ9" i="9" s="1"/>
  <c r="AF8" i="9"/>
  <c r="AF9" i="9" s="1"/>
  <c r="W8" i="9"/>
  <c r="W9" i="9" s="1"/>
  <c r="G8" i="9"/>
  <c r="G9" i="9" s="1"/>
  <c r="AL8" i="9"/>
  <c r="AL9" i="9" s="1"/>
  <c r="AG8" i="9"/>
  <c r="AG9" i="9" s="1"/>
  <c r="N8" i="9"/>
  <c r="N9" i="9" s="1"/>
  <c r="N2" i="2" l="1"/>
  <c r="AD2" i="2"/>
  <c r="AG2" i="2"/>
  <c r="G2" i="2"/>
  <c r="W2" i="2"/>
  <c r="AJ2" i="2"/>
  <c r="AK2" i="2"/>
  <c r="AN2" i="2"/>
  <c r="AL2" i="2"/>
  <c r="A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tc={71AF0BC2-376D-4BFC-849F-051332BCA34C}</author>
    <author>tc={3C243302-5840-4CB4-BEC6-E6A90A0E54E4}</author>
    <author>tc={CA279FFD-35D0-48A1-9193-EFB8EAA3BE84}</author>
    <author>tc={8860147B-1685-4BB6-B797-E8817BA696AC}</author>
    <author>tc={BE16670F-0290-4236-85EB-74FE227D2F56}</author>
    <author>tc={C8578D00-2836-4AF8-AFCE-8FE09EE373F6}</author>
    <author>tc={AF9EA6E8-CE7F-4B4E-951D-D618839204C9}</author>
    <author>tc={3DCD31B1-36F8-43B3-A870-DC72062D88F0}</author>
    <author>tc={E9D6B354-1ABB-4D45-A562-53F47EB6DFB8}</author>
    <author>tc={D1134A43-33D8-4EEC-A707-F1584DB72E03}</author>
  </authors>
  <commentList>
    <comment ref="D44" authorId="0" shapeId="0" xr:uid="{71AF0BC2-376D-4BFC-849F-051332BCA34C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D45" authorId="1" shapeId="0" xr:uid="{3C243302-5840-4CB4-BEC6-E6A90A0E54E4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  <comment ref="X90" authorId="2" shapeId="0" xr:uid="{CA279FFD-35D0-48A1-9193-EFB8EAA3BE84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X91" authorId="3" shapeId="0" xr:uid="{8860147B-1685-4BB6-B797-E8817BA696AC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  <comment ref="K92" authorId="4" shapeId="0" xr:uid="{BE16670F-0290-4236-85EB-74FE227D2F56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R92" authorId="5" shapeId="0" xr:uid="{C8578D00-2836-4AF8-AFCE-8FE09EE373F6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U92" authorId="6" shapeId="0" xr:uid="{AF9EA6E8-CE7F-4B4E-951D-D618839204C9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K93" authorId="7" shapeId="0" xr:uid="{3DCD31B1-36F8-43B3-A870-DC72062D88F0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  <comment ref="R93" authorId="8" shapeId="0" xr:uid="{E9D6B354-1ABB-4D45-A562-53F47EB6DFB8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  <comment ref="U93" authorId="9" shapeId="0" xr:uid="{D1134A43-33D8-4EEC-A707-F1584DB72E03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<sst xmlns="http://schemas.openxmlformats.org/spreadsheetml/2006/main" count="1716" uniqueCount="639">
  <si>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</si>
  <si>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</si>
  <si>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</si>
  <si>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</si>
  <si>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</si>
  <si>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</si>
  <si>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</si>
  <si>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</si>
  <si>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</si>
  <si>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</si>
  <si>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</si>
  <si>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</si>
  <si>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</si>
  <si>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</si>
  <si>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</si>
  <si>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</si>
  <si>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</si>
  <si>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</si>
  <si>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</si>
  <si>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</si>
  <si>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</si>
  <si>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</si>
  <si>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</si>
  <si>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</si>
  <si>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</si>
  <si>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</si>
  <si>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</si>
  <si>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</si>
  <si>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</si>
  <si>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</si>
  <si>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</si>
  <si>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</si>
  <si>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</si>
  <si>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</si>
  <si>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</si>
  <si>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</si>
  <si>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</si>
  <si>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</si>
  <si>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</si>
  <si>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</si>
  <si>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</si>
  <si>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</si>
  <si>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</si>
  <si>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</si>
  <si>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</si>
  <si>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</si>
  <si>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</si>
  <si>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</si>
  <si>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</si>
  <si>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</si>
  <si>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</si>
  <si>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</si>
  <si>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</si>
  <si>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</si>
  <si>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</si>
  <si>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</si>
  <si>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</si>
  <si>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</si>
  <si>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</si>
  <si>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</si>
  <si>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</si>
  <si>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</si>
  <si>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</si>
  <si>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</si>
  <si>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</si>
  <si>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</si>
  <si>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</si>
  <si>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</si>
  <si>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</si>
  <si>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</si>
  <si>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</si>
  <si>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</si>
  <si>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</si>
  <si>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</si>
  <si>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</si>
  <si>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</si>
  <si>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</si>
  <si>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</si>
  <si>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</si>
  <si>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</si>
  <si>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</si>
  <si>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</si>
  <si>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</si>
  <si>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</si>
  <si>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</si>
  <si>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</si>
  <si>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</si>
  <si>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</si>
  <si>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</si>
  <si>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</si>
  <si>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</si>
  <si>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</si>
  <si>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</si>
  <si>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</si>
  <si>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</si>
  <si>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</si>
  <si>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</si>
  <si>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</si>
  <si>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</si>
  <si>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</si>
  <si>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</si>
  <si>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</si>
  <si>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</si>
  <si>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</si>
  <si>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</si>
  <si>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</si>
  <si>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</si>
  <si>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</si>
  <si>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</si>
  <si>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</si>
  <si>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</si>
  <si>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</si>
  <si>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</si>
  <si>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</si>
  <si>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</si>
  <si>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</si>
  <si>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</si>
  <si>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</si>
  <si>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</si>
  <si>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</si>
  <si>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</si>
  <si>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</si>
  <si>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</si>
  <si>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</si>
  <si>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</si>
  <si>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</si>
  <si>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</si>
  <si>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</si>
  <si>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</si>
  <si>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</si>
  <si>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</si>
  <si>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Input-Output Tables 2018 Edition (ISIC Rev. 4)</t>
  </si>
  <si>
    <t>We convert 2015 USD to 2012 USD with the following conversion factor:</t>
  </si>
  <si>
    <t>TOTAL: Total</t>
  </si>
  <si>
    <t>Imports</t>
  </si>
  <si>
    <t>Domestic Production</t>
  </si>
  <si>
    <t>This variable is used to determine the share of a policy-driven increase in the domestic need</t>
  </si>
  <si>
    <t>than by increased imports.</t>
  </si>
  <si>
    <t>Domestic Consumption</t>
  </si>
  <si>
    <t>Exports</t>
  </si>
  <si>
    <t>ICESHR: Imports content of exports shares</t>
  </si>
  <si>
    <t>Percentage</t>
  </si>
  <si>
    <t>ICESHR: Imports content of exports, as % of exports</t>
  </si>
  <si>
    <t>Variables: TTL and ICESHR</t>
  </si>
  <si>
    <t>Imported Content Share of Exports</t>
  </si>
  <si>
    <t>Imports Consumed Domestically</t>
  </si>
  <si>
    <t>Domestic Content Share of Domestic Consumption</t>
  </si>
  <si>
    <t>Domestic Production Consumed Domestically</t>
  </si>
  <si>
    <t>Percent of Consumption that is Domestic Content</t>
  </si>
  <si>
    <t>Unit: dimensionless (%)</t>
  </si>
  <si>
    <t>for a type of economic output that is satisfied by increased domestic production rather</t>
  </si>
  <si>
    <t>This variable contains the share of the domestic consumption of goods/services</t>
  </si>
  <si>
    <t>within each ISIC code that was produced domestically rather than imported.</t>
  </si>
  <si>
    <t>Many non-European countries in the OECD database, in variable ICESHR, omit a value for</t>
  </si>
  <si>
    <t>ISIC code 84 (Public administration and defence; compulsory social security).</t>
  </si>
  <si>
    <t>Though this value may be low, it is unlikely to be zero, due to imported content in</t>
  </si>
  <si>
    <t>Note on ISIC 84 in variable ICESHR</t>
  </si>
  <si>
    <t>The U.S. is one of the countries for which the OECD lacks ICESHR data for ISIC 84.</t>
  </si>
  <si>
    <t>Currency Conversion</t>
  </si>
  <si>
    <t>2015 USD / 2012 USD</t>
  </si>
  <si>
    <t>The calculations appear on the "Calculations" tab and are straightforward to follow</t>
  </si>
  <si>
    <t>by looking at the formulas in Excel.</t>
  </si>
  <si>
    <t>We fill in using the value from ISIC 69T82, "Other Business Services."</t>
  </si>
  <si>
    <t>new data includes a row for ISIC 84.  If not, be sure to add this row before you paste</t>
  </si>
  <si>
    <t>your data into this spreadsheet.</t>
  </si>
  <si>
    <r>
      <rPr>
        <b/>
        <i/>
        <sz val="11"/>
        <color theme="1"/>
        <rFont val="Calibri"/>
        <family val="2"/>
        <scheme val="minor"/>
      </rPr>
      <t>Before pasting data for a new country over the OECD ICESHR tab</t>
    </r>
    <r>
      <rPr>
        <i/>
        <sz val="11"/>
        <color theme="1"/>
        <rFont val="Calibri"/>
        <family val="2"/>
        <scheme val="minor"/>
      </rPr>
      <t>, check whether your</t>
    </r>
  </si>
  <si>
    <t>exported defense equipment (and potentially other government products).</t>
  </si>
  <si>
    <t>Oil and gas extraction</t>
  </si>
  <si>
    <t>Coal mining</t>
  </si>
  <si>
    <t>Matching ISIC Code</t>
  </si>
  <si>
    <t>ISIC 20</t>
  </si>
  <si>
    <t>ISIC 21</t>
  </si>
  <si>
    <t>Total industry output (basic value)</t>
  </si>
  <si>
    <t>Chemicals</t>
  </si>
  <si>
    <t>Pharmaceuticals</t>
  </si>
  <si>
    <t>percent</t>
  </si>
  <si>
    <t>million $</t>
  </si>
  <si>
    <t>Most Industries</t>
  </si>
  <si>
    <t>https://stats.oecd.org/Index.aspx?DataSetCode=IOTSI4_2018</t>
  </si>
  <si>
    <t>see variable io-model/DLIM</t>
  </si>
  <si>
    <t>we use data from DLIM on government and household expenditures to apportion the</t>
  </si>
  <si>
    <t>If you are updating this variable for a new region, update io-model/DLIM first, then</t>
  </si>
  <si>
    <t>update this variable.  Data from DLIM is in the tab beginning with "DLIM".</t>
  </si>
  <si>
    <t>We also use the BEA "Supply" table (from the same source as the BEA "Use" table).</t>
  </si>
  <si>
    <t>ISIC 06</t>
  </si>
  <si>
    <t>ISIC 05</t>
  </si>
  <si>
    <t>ISIC Code Splits</t>
  </si>
  <si>
    <t>ISIC 351</t>
  </si>
  <si>
    <t>ISIC 352T353</t>
  </si>
  <si>
    <t>ISIC 36T39</t>
  </si>
  <si>
    <t>ISIC 239</t>
  </si>
  <si>
    <t>ISIC 231</t>
  </si>
  <si>
    <t>ISIC 241</t>
  </si>
  <si>
    <t>ISIC 242</t>
  </si>
  <si>
    <t>To separate certain ISIC codes that are grouped in the OECD data files,</t>
  </si>
  <si>
    <t>OECD's values into the split ISIC codes.</t>
  </si>
  <si>
    <t>The yellow cells in this variable's versions of these tables are pasted as values from the original sheet in DLIM.</t>
  </si>
  <si>
    <t>It uses the same ISIC code assignmnments as the Use table.</t>
  </si>
  <si>
    <t>Metric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</si>
  <si>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</si>
  <si>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</si>
  <si>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</si>
  <si>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</si>
  <si>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</si>
  <si>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</si>
  <si>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</si>
  <si>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OECD TTL row number</t>
  </si>
  <si>
    <t>Export Share of Production</t>
  </si>
  <si>
    <t>BDCSoCaESoPbIC BAU Domestic Content Share of Consumption and Export Share of Production by ISIC Code</t>
  </si>
  <si>
    <t>Data extracted on 15 May 2024 14:54 UTC (GMT) from OECD.Stat</t>
  </si>
  <si>
    <t>BRA: Brazil</t>
  </si>
  <si>
    <t>Dataset: Input-Output Tables (IOTs) 2018 ed.</t>
  </si>
  <si>
    <t>Data extracted on 15 May 2024 16:48 UTC (GMT) from OECD.Stat</t>
  </si>
  <si>
    <t>Tabela 02 - Usos de bens e serviços - 2015</t>
  </si>
  <si>
    <t>Código
do
produto
nível 67</t>
  </si>
  <si>
    <t>Consumo intermediário das atividades  (valores correntes em 1 000 000 R$)</t>
  </si>
  <si>
    <t>Descrição do produto
nível 67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</si>
  <si>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</si>
  <si>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</si>
  <si>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</si>
  <si>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 metálicos</t>
  </si>
  <si>
    <t>Extração de petróleo e gás, inclusive as atividades de apoio</t>
  </si>
  <si>
    <t>Extração de minério de ferro, inclusive beneficiamentos e a aglomeração</t>
  </si>
  <si>
    <t>Extração de minerais metálicos não 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</si>
  <si>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</si>
  <si>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</si>
  <si>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</si>
  <si>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</si>
  <si>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</si>
  <si>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</si>
  <si>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</si>
  <si>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</si>
  <si>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</si>
  <si>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</si>
  <si>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</si>
  <si>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</si>
  <si>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</si>
  <si>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</si>
  <si>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</si>
  <si>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</si>
  <si>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</si>
  <si>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</si>
  <si>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Cimento / Artefatos de cimento, gesso e semelhantes</t>
  </si>
  <si>
    <t>Vidros, cerâmicos e outros prod. de minerais não-metálicos</t>
  </si>
  <si>
    <t>Produção de ferro gusa/ferroligas, siderurgia e tubos de aço sem costura</t>
  </si>
  <si>
    <t>Metalurgia de metais não 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</si>
  <si>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</si>
  <si>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</si>
  <si>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</si>
  <si>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</si>
  <si>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</si>
  <si>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</si>
  <si>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</si>
  <si>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</si>
  <si>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</si>
  <si>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Transmissão de energia elétrica</t>
  </si>
  <si>
    <t>Produção de gás; processamento de gás natural; distribuição de combustíveis gasosos por redes urbanas</t>
  </si>
  <si>
    <t>Água, esgoto e gestão de resíduos</t>
  </si>
  <si>
    <t>Construção</t>
  </si>
  <si>
    <t>Comércio por atacado e varejo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</si>
  <si>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</si>
  <si>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</si>
  <si>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</si>
  <si>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</si>
  <si>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</si>
  <si>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</si>
  <si>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</si>
  <si>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</si>
  <si>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</si>
  <si>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</si>
  <si>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</si>
  <si>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</si>
  <si>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</si>
  <si>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</si>
  <si>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</si>
  <si>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 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</si>
  <si>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</si>
  <si>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</si>
  <si>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</si>
  <si>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</si>
  <si>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</si>
  <si>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</si>
  <si>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</si>
  <si>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</si>
  <si>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</si>
  <si>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</si>
  <si>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Total
do produto</t>
  </si>
  <si>
    <t>Total</t>
  </si>
  <si>
    <t>Valor adicionado bruto ( PIB )</t>
  </si>
  <si>
    <t>Fonte: IBGE, Diretoria de Pesquisas, Coordenação de Contas Nacionais.</t>
  </si>
  <si>
    <t>(1) Exportação de bens e serviços líquida de ajuste CIF/FOB.</t>
  </si>
  <si>
    <t>kidx</t>
  </si>
  <si>
    <t>SCN67</t>
  </si>
  <si>
    <t>Descrição do produto</t>
  </si>
  <si>
    <t>idx</t>
  </si>
  <si>
    <t>ISIC Code</t>
  </si>
  <si>
    <t>Meaning</t>
  </si>
  <si>
    <t>SCN128</t>
  </si>
  <si>
    <t>01T03: Agriculture, forestry and fishing</t>
  </si>
  <si>
    <t>Arroz, trigo e outros cereais</t>
  </si>
  <si>
    <t xml:space="preserve">
Agricultura, inclusive o apoio à agricultura e a pós-colheita</t>
  </si>
  <si>
    <t>Milho em grão</t>
  </si>
  <si>
    <t>Algodão herbáceo, outras fibras da lav. temporária</t>
  </si>
  <si>
    <t>05: Coal mining</t>
  </si>
  <si>
    <t>Cana-de-açúcar</t>
  </si>
  <si>
    <t>06: Oil and gas extraction</t>
  </si>
  <si>
    <t>Soja  em grão</t>
  </si>
  <si>
    <t>07T08: Mining and quarrying of non-energy producing products</t>
  </si>
  <si>
    <t>Outros produtos e serviços da lavoura temporária</t>
  </si>
  <si>
    <t>09: Mining support service activities</t>
  </si>
  <si>
    <t>Laranja</t>
  </si>
  <si>
    <t>10T12: Food products, beverages and tobacco</t>
  </si>
  <si>
    <t>Café em grão</t>
  </si>
  <si>
    <t>Outros produtos da lavoura permanente</t>
  </si>
  <si>
    <t>Bovinos e outros animais vivos, prods. animal, caça e serv.</t>
  </si>
  <si>
    <t xml:space="preserve">
Pecuária, inclusive o apoio à pecuária</t>
  </si>
  <si>
    <t>Leite de vaca e de outros animais</t>
  </si>
  <si>
    <t>Suínos</t>
  </si>
  <si>
    <t>13T15: Textiles, wearing apparel, leather and related products</t>
  </si>
  <si>
    <t>Aves e ovos</t>
  </si>
  <si>
    <t>Produtos da exploração florestal e da silvicultura</t>
  </si>
  <si>
    <t xml:space="preserve">
Produção florestal; pesca e aquicultura</t>
  </si>
  <si>
    <t>Pesca e aquicultura (peixe, crustáceos e moluscos)</t>
  </si>
  <si>
    <t>16: Wood and of products of wood and cork (except furniture)</t>
  </si>
  <si>
    <t>Carvão mineral</t>
  </si>
  <si>
    <t xml:space="preserve">
Extração de carvão mineral e de minerais não metálicos</t>
  </si>
  <si>
    <t>17T18: Paper products and printing</t>
  </si>
  <si>
    <t>Minerais não-metálicos</t>
  </si>
  <si>
    <t>Petróleo, gás natural e serviços de apoio</t>
  </si>
  <si>
    <t xml:space="preserve">
Extração de petróleo e gás, inclusive as atividades de apoio</t>
  </si>
  <si>
    <t>19: Coke and refined petroleum products</t>
  </si>
  <si>
    <t>Minério de ferro</t>
  </si>
  <si>
    <t xml:space="preserve">
Extração de minério de ferro, inclusive beneficiamentos e a aglomeração</t>
  </si>
  <si>
    <t>Minerais metálicos não-ferrosos</t>
  </si>
  <si>
    <t xml:space="preserve">
Extração de minerais metálicos não ferrosos, inclusive beneficiamentos</t>
  </si>
  <si>
    <t>20: Chemicals</t>
  </si>
  <si>
    <t>Carne de bovinos e outros prod. de carne</t>
  </si>
  <si>
    <t xml:space="preserve">
Abate e produtos de carne, inclusive os produtos do laticínio e da pesca</t>
  </si>
  <si>
    <t>Carne de suíno</t>
  </si>
  <si>
    <t>Carne de aves</t>
  </si>
  <si>
    <t>21: Pharmaceuticals</t>
  </si>
  <si>
    <t>Pescado industrializado</t>
  </si>
  <si>
    <t>22: Rubber and plastics products</t>
  </si>
  <si>
    <t>Leite resfriado, esterilizado e pasteurizado</t>
  </si>
  <si>
    <t>Fabricação de produtos de minerais não metálicos</t>
  </si>
  <si>
    <t>x</t>
  </si>
  <si>
    <t>Outros produtos do laticínio</t>
  </si>
  <si>
    <t>239: Cement and other nometallic minerals</t>
  </si>
  <si>
    <t>Açúcar</t>
  </si>
  <si>
    <t xml:space="preserve">
Fabricação e refino de açúcar</t>
  </si>
  <si>
    <t>231: Glass</t>
  </si>
  <si>
    <t>Conservas de frutas, legumes, outros vegetais e sucos de frutas</t>
  </si>
  <si>
    <t xml:space="preserve">
Outros produtos alimentares</t>
  </si>
  <si>
    <t>241: Iron and steel</t>
  </si>
  <si>
    <t>Óleos e gorduras vegetais e animais</t>
  </si>
  <si>
    <t>242: Other metals</t>
  </si>
  <si>
    <t>Café beneficiado</t>
  </si>
  <si>
    <t>25: Fabricated metal products, except machinery and equipment</t>
  </si>
  <si>
    <t>Arroz beneficiado e produtos derivados do arroz</t>
  </si>
  <si>
    <t>26: Computer, electronic and optical products</t>
  </si>
  <si>
    <t>Produtos derivados do trigo, mandioca ou milho</t>
  </si>
  <si>
    <t>27: Electrical equipment</t>
  </si>
  <si>
    <t>Rações balanceadas para animais</t>
  </si>
  <si>
    <t>28: Machinery and equipment n.e.c.</t>
  </si>
  <si>
    <t>29: Motor vehicles, trailers and semi-trailers</t>
  </si>
  <si>
    <t>Bebidas</t>
  </si>
  <si>
    <t xml:space="preserve">
Fabricação de bebidas</t>
  </si>
  <si>
    <t>Produtos do fumo</t>
  </si>
  <si>
    <t xml:space="preserve">
Fabricação de produtos do fumo</t>
  </si>
  <si>
    <t>30: Other transport equipment</t>
  </si>
  <si>
    <t>Fios e fibras têxteis beneficiadas</t>
  </si>
  <si>
    <t xml:space="preserve">
Fabricação de produtos têxteis</t>
  </si>
  <si>
    <t>Tecidos</t>
  </si>
  <si>
    <t>31T33: Other manufacturing; repair and installation of machinery and equipment</t>
  </si>
  <si>
    <t>Art. têxteis de uso doméstico e outros têxteis</t>
  </si>
  <si>
    <t>Energia elétrica, gás natural e outras utilidades</t>
  </si>
  <si>
    <t>Artigos do vestuário e acessórios</t>
  </si>
  <si>
    <t xml:space="preserve">
Confecção de artefatos do vestuário e acessórios</t>
  </si>
  <si>
    <t>351: Electricity generation and distribution</t>
  </si>
  <si>
    <t>Calçados e artefatos de couro</t>
  </si>
  <si>
    <t xml:space="preserve">
Fabricação de calçados e de artefatos de couro</t>
  </si>
  <si>
    <t>352T353: Energy pipelines and gas processing</t>
  </si>
  <si>
    <t>Produtos de madeira, exclusive móveis</t>
  </si>
  <si>
    <t xml:space="preserve">
Fabricação de produtos da madeira</t>
  </si>
  <si>
    <t>36T39: Water and waste</t>
  </si>
  <si>
    <t>Celulose</t>
  </si>
  <si>
    <t xml:space="preserve">
Fabricação de celulose, papel e produtos de papel</t>
  </si>
  <si>
    <t>41T43: Construction</t>
  </si>
  <si>
    <t>Papel, papelão, embalagens e artefatos de papel</t>
  </si>
  <si>
    <t>45T47: Wholesale and retail trade; repair of motor vehicles</t>
  </si>
  <si>
    <t>Serviços de impressão e reprodução</t>
  </si>
  <si>
    <t xml:space="preserve">
Impressão e reprodução de gravações</t>
  </si>
  <si>
    <t>49T53: Transportation and storage</t>
  </si>
  <si>
    <t>Combustíveis para aviação</t>
  </si>
  <si>
    <t xml:space="preserve">
Refino de petróleo e coquerias</t>
  </si>
  <si>
    <t>Gasoálcool</t>
  </si>
  <si>
    <t>Naftas para petroquímica</t>
  </si>
  <si>
    <t xml:space="preserve">Óleo combustível  </t>
  </si>
  <si>
    <t>55T56: Accomodation and food services</t>
  </si>
  <si>
    <t>Diesel - biodiesel</t>
  </si>
  <si>
    <t>Outros produtos do refino do petróleo</t>
  </si>
  <si>
    <t>58T60: Publishing, audiovisual and broadcasting activities</t>
  </si>
  <si>
    <t>Etanol e outros biocombustíveis</t>
  </si>
  <si>
    <t>ISIC does not have a group for biofuels</t>
  </si>
  <si>
    <t xml:space="preserve">
Fabricação de biocombustíveis</t>
  </si>
  <si>
    <t>Produtos químicos inorgânicos</t>
  </si>
  <si>
    <t xml:space="preserve">
Fabricação de químicos orgânicos e inorgânicos, resinas e elastômeros</t>
  </si>
  <si>
    <t>61: Telecommunications</t>
  </si>
  <si>
    <t>Adubos e fertilizantes</t>
  </si>
  <si>
    <t>62T63: IT and other information services</t>
  </si>
  <si>
    <t>Produtos químicos orgânicos</t>
  </si>
  <si>
    <t>64T66: Financial and insurance activities</t>
  </si>
  <si>
    <t>Resinas,elastômeros e fibras artif. e sintéticas</t>
  </si>
  <si>
    <t>68: Real estate activities</t>
  </si>
  <si>
    <t>Defensivos agrícolas e desinfestantes domissanitários</t>
  </si>
  <si>
    <t xml:space="preserve">
Fabricação de defensivos, desinfestantes, tintas e químicos diversos</t>
  </si>
  <si>
    <t>69T82: Other business sector services</t>
  </si>
  <si>
    <t xml:space="preserve">Produtos químicos diversos </t>
  </si>
  <si>
    <t>Tintas, vernizes, esmaltes e lacas</t>
  </si>
  <si>
    <t>Perfumaria, sabões e artigos de limpeza</t>
  </si>
  <si>
    <t xml:space="preserve">
Fabricação de produtos de limpeza, cosméticos/perfumaria e higiene pessoal</t>
  </si>
  <si>
    <t>Produtos farmacêuticos</t>
  </si>
  <si>
    <t xml:space="preserve">
Fabricação de produtos farmoquímicos e farmacêuticos</t>
  </si>
  <si>
    <t>Artigos de borracha</t>
  </si>
  <si>
    <t xml:space="preserve">
Fabricação de produtos de borracha e de material plástico</t>
  </si>
  <si>
    <t>Artigos de plástico</t>
  </si>
  <si>
    <t>84: Public administration and defence; compulsory social security</t>
  </si>
  <si>
    <t>Cimento</t>
  </si>
  <si>
    <t xml:space="preserve">
Fabricação de produtos de minerais não metálicos</t>
  </si>
  <si>
    <t>85: Education</t>
  </si>
  <si>
    <t>Artefatos de cimento, gesso e semelhantes</t>
  </si>
  <si>
    <t xml:space="preserve">
Produção de ferro gusa/ferroligas, siderurgia e tubos de aço sem costura</t>
  </si>
  <si>
    <t>86T88: Human health and social work</t>
  </si>
  <si>
    <t>Ferro-gusa e ferroligas</t>
  </si>
  <si>
    <t>Semi-acabacados, laminados planos, longos e tubos de aço</t>
  </si>
  <si>
    <t>90T96: Arts, entertainment, recreation and other service activities</t>
  </si>
  <si>
    <t>Produtos da metalurgia de metais não-ferrosos</t>
  </si>
  <si>
    <t xml:space="preserve">
Metalurgia de metais não ferosos e a fundição de metais</t>
  </si>
  <si>
    <t>Peças fundidas de aço e de metais não ferrosos</t>
  </si>
  <si>
    <t xml:space="preserve">
Fabricação de produtos de metal, exceto máquinas e equipamentos</t>
  </si>
  <si>
    <t>97T98: Private households with employed persons</t>
  </si>
  <si>
    <t>Produtos de metal, excl. máquinas e equipamentos</t>
  </si>
  <si>
    <t xml:space="preserve">
Fabricação de equipamentos de informática, produtos eletrônicos e ópticos</t>
  </si>
  <si>
    <t>Componentes eletrônicos</t>
  </si>
  <si>
    <t>Máquinas para escritório e equip. de informática</t>
  </si>
  <si>
    <t>Material eletrônico e equip. de comunicações</t>
  </si>
  <si>
    <t>Equip. de medida, teste e controle, ópticos e eletromédicos</t>
  </si>
  <si>
    <t xml:space="preserve">
Fabricação de máquinas e equipamentos elétricos</t>
  </si>
  <si>
    <t>Máquinas, aparelhos e materiais elétricos</t>
  </si>
  <si>
    <t>Eletrodomésticos</t>
  </si>
  <si>
    <t xml:space="preserve">
Fabricação de máquinas e equipamentos mecânicos</t>
  </si>
  <si>
    <t>Tratores e outras máquinas agrícolas</t>
  </si>
  <si>
    <t>Máquinas para a extração mineral e a construção</t>
  </si>
  <si>
    <t>Outras máquinas e equipamentos mecânicos</t>
  </si>
  <si>
    <t xml:space="preserve">
Fabricação de automóveis, caminhões e ônibus, exceto peças</t>
  </si>
  <si>
    <t>Automóveis, camionetas e utilitários</t>
  </si>
  <si>
    <t>Caminhões e ônibus, incl. cabines, carrocerias e reboques</t>
  </si>
  <si>
    <t xml:space="preserve">
Fabricação de peças e acessórios para veículos automotores</t>
  </si>
  <si>
    <t>Peças e acessórios para veículos automotores</t>
  </si>
  <si>
    <t xml:space="preserve">
Fabricação de outros equipamentos de transporte, exceto veículos automotores</t>
  </si>
  <si>
    <t>Aeronaves, embarcações e outros equipamentos de transporte</t>
  </si>
  <si>
    <t xml:space="preserve">
Fabricação de móveis e de produtos de indústrias diversas</t>
  </si>
  <si>
    <t>Móveis</t>
  </si>
  <si>
    <t>Produtos de industrias diversas</t>
  </si>
  <si>
    <t xml:space="preserve">
Manutenção, reparação e instalação de máquinas e equipamentos</t>
  </si>
  <si>
    <t>Eletricidade, gás e outras utilidades</t>
  </si>
  <si>
    <t>-</t>
  </si>
  <si>
    <t xml:space="preserve">
Energia elétrica, gás natural e outras utilidades</t>
  </si>
  <si>
    <t xml:space="preserve">
Água, esgoto e gestão de resíduos</t>
  </si>
  <si>
    <t xml:space="preserve">
Construção</t>
  </si>
  <si>
    <t>Água, esgoto, reciclagem e gestão de resíduos</t>
  </si>
  <si>
    <t>Edificações</t>
  </si>
  <si>
    <t>Obras de infra-estrutura</t>
  </si>
  <si>
    <t xml:space="preserve">
Comércio por atacado e varejo</t>
  </si>
  <si>
    <t>Serviços especializados para construção</t>
  </si>
  <si>
    <t>Comércio e reparação de veículos</t>
  </si>
  <si>
    <t xml:space="preserve">
Transporte terrestre</t>
  </si>
  <si>
    <t>Comércio por atacado e a varejo, exceto veículos automotores</t>
  </si>
  <si>
    <t>Transporte terrestre de carga</t>
  </si>
  <si>
    <t xml:space="preserve">
Transporte aquaviário</t>
  </si>
  <si>
    <t>Transporte terrestre de passageiros</t>
  </si>
  <si>
    <t xml:space="preserve">
Transporte aéreo</t>
  </si>
  <si>
    <t xml:space="preserve">
Armazenamento, atividades auxiliares dos transportes e correio</t>
  </si>
  <si>
    <t>Armazenamento e serviços auxiliares aos transportes</t>
  </si>
  <si>
    <t xml:space="preserve">
Alojamento</t>
  </si>
  <si>
    <t>Correio e outros serviços de entrega</t>
  </si>
  <si>
    <t xml:space="preserve">
Alimentação</t>
  </si>
  <si>
    <t>Serviços de alojamento em hotéis e similares</t>
  </si>
  <si>
    <t xml:space="preserve">
Edição e edição integrada à impressão</t>
  </si>
  <si>
    <t>Serviços  de alimentação</t>
  </si>
  <si>
    <t xml:space="preserve">
Atividades de televisão, rádio, cinema e  gravação/edição de som e imagem</t>
  </si>
  <si>
    <t>Livros, jornais e revistas</t>
  </si>
  <si>
    <t xml:space="preserve">
Telecomunicações</t>
  </si>
  <si>
    <t>Serviços cinematográficos, música, rádio e televisão</t>
  </si>
  <si>
    <t xml:space="preserve">
Desenvolvimento de sistemas e outros serviços de informação</t>
  </si>
  <si>
    <t>Telecomunicações, TV por assinatura e outros serv. relacionados</t>
  </si>
  <si>
    <t xml:space="preserve">
Intermediação financeira, seguros e previdência complementar</t>
  </si>
  <si>
    <t xml:space="preserve">
Atividades imobiliárias</t>
  </si>
  <si>
    <t>Aluguel efetivo e serviços imobiliários</t>
  </si>
  <si>
    <t xml:space="preserve">
Atividades jurídicas, contábeis, consultoria e sedes de empresas </t>
  </si>
  <si>
    <t>Aluguel imputado</t>
  </si>
  <si>
    <t xml:space="preserve">
Serviços de arquitetura, engenharia, testes/análises técnicas e P &amp; D</t>
  </si>
  <si>
    <t>Serviços jurídicos, contabilidade e consultoria</t>
  </si>
  <si>
    <t>Pesquisa e desenvolvimento</t>
  </si>
  <si>
    <t xml:space="preserve">
Outras atividades profissionais, científicas e técnicas</t>
  </si>
  <si>
    <t>Serviços de arquitetura e engenharia</t>
  </si>
  <si>
    <t xml:space="preserve">
Aluguéis não imobiliários e gestão de ativos de propriedade intelectual</t>
  </si>
  <si>
    <t>Publicidade e outros serviços técnicos</t>
  </si>
  <si>
    <t xml:space="preserve">
Outras atividades administrativas e serviços complementares</t>
  </si>
  <si>
    <t>Aluguéis não-imob. e gestão de ativos de propriedade intelectual</t>
  </si>
  <si>
    <t>Condomínios e serviços para edifícios</t>
  </si>
  <si>
    <t xml:space="preserve">
Atividades de vigilância, segurança e investigação</t>
  </si>
  <si>
    <t>Outros serviços administrativos</t>
  </si>
  <si>
    <t xml:space="preserve">
Administração pública, defesa e seguridade social</t>
  </si>
  <si>
    <t>Serviços de vigilância, segurança e investigação</t>
  </si>
  <si>
    <t>Serviços coletivos da administração pública</t>
  </si>
  <si>
    <t xml:space="preserve">
Educação pública</t>
  </si>
  <si>
    <t>Serviços de previdência e assistência social</t>
  </si>
  <si>
    <t xml:space="preserve">
Educação privada</t>
  </si>
  <si>
    <t xml:space="preserve">
Saúde pública</t>
  </si>
  <si>
    <t xml:space="preserve">
Saúde privada</t>
  </si>
  <si>
    <t xml:space="preserve">
Atividades artísticas, criativas e de espetáculos</t>
  </si>
  <si>
    <t xml:space="preserve">
Organizações associativas e outros serviços pessoais</t>
  </si>
  <si>
    <t>Serviços de artes, cultura, esporte e recreação</t>
  </si>
  <si>
    <t>Organizações patronais, sindicais e outros serviços associativos</t>
  </si>
  <si>
    <t>Manutenção de computadores, telefones e objetos domésticos</t>
  </si>
  <si>
    <t xml:space="preserve">
Serviços domésticos</t>
  </si>
  <si>
    <t>Serviços pessoais</t>
  </si>
  <si>
    <t>SCNUse128</t>
  </si>
  <si>
    <t>Código
do
produto</t>
  </si>
  <si>
    <t>Demanda final  (valores correntes em 1 000 000 R$)</t>
  </si>
  <si>
    <t>0191
Agricultura, inclusive o apoio à agricultura e a pós-colheita</t>
  </si>
  <si>
    <t>0192
Pecuária, inclusive o apoio à pecuária</t>
  </si>
  <si>
    <t>0280
Produção florestal; pesca e aquicultura</t>
  </si>
  <si>
    <t>0580
Extração de carvão mineral e de minerais não metálicos</t>
  </si>
  <si>
    <t>0680
Extração de petróleo e gás, inclusive as atividades de apoio</t>
  </si>
  <si>
    <t>0791
Extração de minério de ferro, inclusive beneficiamentos e a aglomeração</t>
  </si>
  <si>
    <t>0792
Extração de minerais metálicos não ferrosos, inclusive beneficiamentos</t>
  </si>
  <si>
    <t>1091
Abate e produtos de carne, inclusive os produtos do laticínio e da pesca</t>
  </si>
  <si>
    <t>1092
Fabricação e refino de açúcar</t>
  </si>
  <si>
    <t>1093
Outros produtos alimentares</t>
  </si>
  <si>
    <t>1100
Fabricação de bebidas</t>
  </si>
  <si>
    <t>1200
Fabricação de produtos do fumo</t>
  </si>
  <si>
    <t>1300
Fabricação de produtos têxteis</t>
  </si>
  <si>
    <t>1400
Confecção de artefatos do vestuário e acessórios</t>
  </si>
  <si>
    <t>1500
Fabricação de calçados e de artefatos de couro</t>
  </si>
  <si>
    <t>1600
Fabricação de produtos da madeira</t>
  </si>
  <si>
    <t>1700
Fabricação de celulose, papel e produtos de papel</t>
  </si>
  <si>
    <t>1800
Impressão e reprodução de gravações</t>
  </si>
  <si>
    <t>1991
Refino de petróleo e coquerias</t>
  </si>
  <si>
    <t>1992
Fabricação de biocombustíveis</t>
  </si>
  <si>
    <t>2091
Fabricação de químicos orgânicos e inorgânicos, resinas e elastômeros</t>
  </si>
  <si>
    <t>2092
Fabricação de defensivos, desinfestantes, tintas e químicos diversos</t>
  </si>
  <si>
    <t>2093
Fabricação de produtos de limpeza, cosméticos/perfumaria e higiene pessoal</t>
  </si>
  <si>
    <t>2100
Fabricação de produtos farmoquímicos e farmacêuticos</t>
  </si>
  <si>
    <t>2200
Fabricação de produtos de borracha e de material plástico</t>
  </si>
  <si>
    <t>2310
Cimento / Artefatos de cimento, gesso e semelhantes</t>
  </si>
  <si>
    <t>2320
Vidros, cerâmicos e outros prod. de minerais não-metálicos</t>
  </si>
  <si>
    <t>2491
Produção de ferro gusa/ferroligas, siderurgia e tubos de aço sem costura</t>
  </si>
  <si>
    <t>2492
Metalurgia de metais não ferosos e a fundição de metais</t>
  </si>
  <si>
    <t>2500
Fabricação de produtos de metal, exceto máquinas e equipamentos</t>
  </si>
  <si>
    <t>2600
Fabricação de equipamentos de informática, produtos eletrônicos e ópticos</t>
  </si>
  <si>
    <t>2700
Fabricação de máquinas e equipamentos elétricos</t>
  </si>
  <si>
    <t>2800
Fabricação de máquinas e equipamentos mecânicos</t>
  </si>
  <si>
    <t>2991
Fabricação de automóveis, caminhões e ônibus, exceto peças</t>
  </si>
  <si>
    <t>2992
Fabricação de peças e acessórios para veículos automotores</t>
  </si>
  <si>
    <t>3000
Fabricação de outros equipamentos de transporte, exceto veículos automotores</t>
  </si>
  <si>
    <t>3180
Fabricação de móveis e de produtos de indústrias diversas</t>
  </si>
  <si>
    <t>3300
Manutenção, reparação e instalação de máquinas e equipamentos</t>
  </si>
  <si>
    <t>3510
Transmissão de energia elétrica</t>
  </si>
  <si>
    <t>3520
Produção de gás; processamento de gás natural; distribuição de combustíveis gasosos por redes urbanas</t>
  </si>
  <si>
    <t>3680
Água, esgoto e gestão de resíduos</t>
  </si>
  <si>
    <t>4180
Construção</t>
  </si>
  <si>
    <t>4580
Comércio por atacado e varejo</t>
  </si>
  <si>
    <t>4900
Transporte terrestre</t>
  </si>
  <si>
    <t>5000
Transporte aquaviário</t>
  </si>
  <si>
    <t>5100
Transporte aéreo</t>
  </si>
  <si>
    <t>5280
Armazenamento, atividades auxiliares dos transportes e correio</t>
  </si>
  <si>
    <t>5500
Alojamento</t>
  </si>
  <si>
    <t>5600
Alimentação</t>
  </si>
  <si>
    <t>5800
Edição e edição integrada à impressão</t>
  </si>
  <si>
    <t>5980
Atividades de televisão, rádio, cinema e  gravação/edição de som e imagem</t>
  </si>
  <si>
    <t>6100
Telecomunicações</t>
  </si>
  <si>
    <t>6280
Desenvolvimento de sistemas e outros serviços de informação</t>
  </si>
  <si>
    <t>6480
Intermediação financeira, seguros e previdência complementar</t>
  </si>
  <si>
    <t>6800
Atividades imobiliárias</t>
  </si>
  <si>
    <t xml:space="preserve">6980
Atividades jurídicas, contábeis, consultoria e sedes de empresas </t>
  </si>
  <si>
    <t>7180
Serviços de arquitetura, engenharia, testes/análises técnicas e P &amp; D</t>
  </si>
  <si>
    <t>7380
Outras atividades profissionais, científicas e técnicas</t>
  </si>
  <si>
    <t>7700
Aluguéis não imobiliários e gestão de ativos de propriedade intelectual</t>
  </si>
  <si>
    <t>7880
Outras atividades administrativas e serviços complementares</t>
  </si>
  <si>
    <t>8000
Atividades de vigilância, segurança e investigação</t>
  </si>
  <si>
    <t>8400
Administração pública, defesa e seguridade social</t>
  </si>
  <si>
    <t>8591
Educação pública</t>
  </si>
  <si>
    <t>8592
Educação privada</t>
  </si>
  <si>
    <t>8691
Saúde pública</t>
  </si>
  <si>
    <t>8692
Saúde privada</t>
  </si>
  <si>
    <t>9080
Atividades artísticas, criativas e de espetáculos</t>
  </si>
  <si>
    <t>9480
Organizações associativas e outros serviços pessoais</t>
  </si>
  <si>
    <t>9700
Serviços domésticos</t>
  </si>
  <si>
    <t>Exportação
de bens e
serviços (1)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</si>
  <si>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</si>
  <si>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</si>
  <si>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</si>
  <si>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</si>
  <si>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</si>
  <si>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</si>
  <si>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</si>
  <si>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2300
Fabricação de produtos de minerais não metálicos</t>
  </si>
  <si>
    <t>3500
Energia elétrica, gás natural e outras utilidades</t>
  </si>
  <si>
    <t>Algodão herbáceo, outras fibras da lavoura temporária</t>
  </si>
  <si>
    <t>Bovinos e outros animais vivos, produtos animal, caça e serviços</t>
  </si>
  <si>
    <t>Minerais não metálicos</t>
  </si>
  <si>
    <t>Minerais metálicos não ferrosos</t>
  </si>
  <si>
    <t>Carne de bovinos e outros produtos de carne</t>
  </si>
  <si>
    <t>Artigos têxteis de uso doméstico e outros têxteis</t>
  </si>
  <si>
    <t>Resinas, elastômeros e fibras artificiais e sintéticas</t>
  </si>
  <si>
    <t>Vidros, cerâmicos e outros produtos de minerais não metálicos</t>
  </si>
  <si>
    <t>Ferro gusa e ferroligas</t>
  </si>
  <si>
    <t>Semi acabados, laminados planos, longos e tubos de aço</t>
  </si>
  <si>
    <t>Produtos da metalurgia de metais não ferrosos</t>
  </si>
  <si>
    <t>Produtos de metal, exclusive máquinas e equipamentos</t>
  </si>
  <si>
    <t>Máquinas para escritório e equipamentos de informática</t>
  </si>
  <si>
    <t>Material eletrônico e equipamentos de comunicações</t>
  </si>
  <si>
    <t>Equipamentos de medida, teste e controle, ópticos e eletromédicos</t>
  </si>
  <si>
    <t>Caminhões e ônibus, inclusive cabines, carrocerias e reboques</t>
  </si>
  <si>
    <t>Obras de infraestrutura</t>
  </si>
  <si>
    <t>Telecomunicações, TV por assinatura e outros serviços relacionados</t>
  </si>
  <si>
    <t>Tabela 01 - Recursos de bens e serviços - 2015</t>
  </si>
  <si>
    <t>Produção das atividades (valores correntes em 1 000 000 R$)</t>
  </si>
  <si>
    <t>Importação de bens e serviços (valores correntes em
1 000 000 R$) (1)</t>
  </si>
  <si>
    <t>(1) Importação de bens e serviços líquida de ajuste CIF/FOB.</t>
  </si>
  <si>
    <t>Remunerações</t>
  </si>
  <si>
    <t>Outros impostos sobre a produção</t>
  </si>
  <si>
    <t>Outros subsídios à produção</t>
  </si>
  <si>
    <t>National Account System (SCN) version 2010</t>
  </si>
  <si>
    <t>https://ftp.ibge.gov.br/Contas_Nacionais/Matriz_de_Insumo_Produto/2015/Matriz_de_Insumo_Produto_2015_Nivel_67.xls</t>
  </si>
  <si>
    <t>This variables uses both the 128x27 IBGE "Recursos " and "Usos" tables (from the source specified in DLIM)</t>
  </si>
  <si>
    <t>ISIC codes are assigned to each SCN code in io-model/DLIM.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</si>
</sst>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_ ;\-#,##0.0\ "/>
    <numFmt numFmtId="165" formatCode="0.000"/>
    <numFmt numFmtId="166" formatCode="0.000E+00"/>
    <numFmt numFmtId="167" formatCode="0000"/>
    <numFmt numFmtId="168" formatCode="#\ ###\ ###\ ##0;\ \(\-\)\ ###\ ###\ ##0"/>
    <numFmt numFmtId="169" formatCode="#"/>
    <numFmt numFmtId="170" formatCode="00000"/>
    <numFmt numFmtId="171" formatCode="0.0"/>
  </numFmts>
  <fonts count="3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Univers"/>
      <family val="2"/>
    </font>
    <font>
      <sz val="6"/>
      <name val="Univers"/>
      <family val="2"/>
    </font>
    <font>
      <sz val="9"/>
      <name val="Univers"/>
      <family val="2"/>
    </font>
    <font>
      <sz val="10"/>
      <name val="Univers"/>
      <family val="2"/>
    </font>
    <font>
      <sz val="6"/>
      <color indexed="8"/>
      <name val="Univers"/>
      <family val="2"/>
    </font>
    <font>
      <sz val="6"/>
      <color theme="1"/>
      <name val="Univers"/>
      <family val="2"/>
    </font>
    <font>
      <b/>
      <sz val="10"/>
      <name val="Univers"/>
      <family val="2"/>
    </font>
    <font>
      <b/>
      <sz val="6"/>
      <name val="Univers"/>
      <family val="2"/>
    </font>
    <font>
      <sz val="9"/>
      <name val="Calibri"/>
      <family val="2"/>
    </font>
    <font>
      <sz val="8"/>
      <color theme="1"/>
      <name val="Calibri"/>
      <family val="2"/>
    </font>
    <font>
      <sz val="8"/>
      <name val="Univers"/>
      <family val="2"/>
    </font>
    <font>
      <b/>
      <sz val="6"/>
      <color theme="4"/>
      <name val="Calibri"/>
      <family val="2"/>
      <scheme val="minor"/>
    </font>
    <font>
      <b/>
      <sz val="6"/>
      <color theme="4"/>
      <name val="Calibri"/>
      <family val="2"/>
    </font>
    <font>
      <b/>
      <sz val="6"/>
      <color theme="4"/>
      <name val="Univers"/>
      <family val="2"/>
    </font>
  </fonts>
  <fills count="13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auto="1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9" fontId="15" fillId="0" borderId="0" applyFont="0" applyFill="0" applyBorder="0" applyAlignment="0" applyProtection="0"/>
    <xf numFmtId="0" fontId="16" fillId="0" borderId="0"/>
    <xf numFmtId="0" fontId="18" fillId="0" borderId="0"/>
    <xf numFmtId="0" fontId="15" fillId="0" borderId="0"/>
    <xf numFmtId="0" fontId="19" fillId="0" borderId="0"/>
    <xf numFmtId="0" fontId="15" fillId="0" borderId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" fillId="0" borderId="0"/>
  </cellStyleXfs>
  <cellXfs count="23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horizontal="right"/>
    </xf>
    <xf numFmtId="0" fontId="5" fillId="0" borderId="1" xfId="2" applyFont="1" applyBorder="1"/>
    <xf numFmtId="0" fontId="4" fillId="0" borderId="0" xfId="2"/>
    <xf numFmtId="0" fontId="6" fillId="0" borderId="1" xfId="2" applyFont="1" applyBorder="1" applyAlignment="1">
      <alignment horizontal="left" wrapText="1"/>
    </xf>
    <xf numFmtId="0" fontId="9" fillId="3" borderId="1" xfId="2" applyFont="1" applyFill="1" applyBorder="1" applyAlignment="1">
      <alignment horizontal="center" vertical="top" wrapText="1"/>
    </xf>
    <xf numFmtId="0" fontId="10" fillId="4" borderId="1" xfId="2" applyFont="1" applyFill="1" applyBorder="1" applyAlignment="1">
      <alignment wrapText="1"/>
    </xf>
    <xf numFmtId="0" fontId="11" fillId="5" borderId="1" xfId="2" applyFont="1" applyFill="1" applyBorder="1" applyAlignment="1">
      <alignment horizontal="center"/>
    </xf>
    <xf numFmtId="0" fontId="12" fillId="4" borderId="1" xfId="2" applyFont="1" applyFill="1" applyBorder="1" applyAlignment="1">
      <alignment vertical="top" wrapText="1"/>
    </xf>
    <xf numFmtId="164" fontId="5" fillId="0" borderId="1" xfId="2" applyNumberFormat="1" applyFont="1" applyBorder="1" applyAlignment="1">
      <alignment horizontal="right"/>
    </xf>
    <xf numFmtId="164" fontId="5" fillId="6" borderId="1" xfId="2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165" fontId="0" fillId="0" borderId="0" xfId="0" applyNumberFormat="1"/>
    <xf numFmtId="0" fontId="16" fillId="0" borderId="0" xfId="4"/>
    <xf numFmtId="0" fontId="5" fillId="0" borderId="1" xfId="4" applyFont="1" applyBorder="1"/>
    <xf numFmtId="0" fontId="0" fillId="7" borderId="0" xfId="0" applyFill="1"/>
    <xf numFmtId="1" fontId="0" fillId="0" borderId="0" xfId="0" applyNumberFormat="1"/>
    <xf numFmtId="165" fontId="0" fillId="0" borderId="0" xfId="3" applyNumberFormat="1" applyFont="1"/>
    <xf numFmtId="0" fontId="0" fillId="0" borderId="0" xfId="0" applyAlignment="1">
      <alignment horizontal="right" wrapText="1"/>
    </xf>
    <xf numFmtId="0" fontId="14" fillId="0" borderId="0" xfId="0" applyFont="1"/>
    <xf numFmtId="0" fontId="20" fillId="10" borderId="5" xfId="7" applyFont="1" applyFill="1" applyBorder="1" applyAlignment="1">
      <alignment horizontal="center"/>
    </xf>
    <xf numFmtId="0" fontId="20" fillId="10" borderId="6" xfId="7" applyFont="1" applyFill="1" applyBorder="1" applyAlignment="1">
      <alignment horizontal="center"/>
    </xf>
    <xf numFmtId="0" fontId="0" fillId="10" borderId="0" xfId="0" applyFill="1"/>
    <xf numFmtId="0" fontId="2" fillId="9" borderId="0" xfId="0" applyFont="1" applyFill="1"/>
    <xf numFmtId="0" fontId="14" fillId="8" borderId="0" xfId="0" applyFont="1" applyFill="1"/>
    <xf numFmtId="0" fontId="0" fillId="8" borderId="0" xfId="0" applyFill="1"/>
    <xf numFmtId="0" fontId="17" fillId="0" borderId="0" xfId="0" applyFont="1"/>
    <xf numFmtId="0" fontId="2" fillId="9" borderId="0" xfId="0" applyFont="1" applyFill="1" applyAlignment="1">
      <alignment horizontal="left" wrapText="1"/>
    </xf>
    <xf numFmtId="0" fontId="2" fillId="9" borderId="11" xfId="0" applyFont="1" applyFill="1" applyBorder="1" applyAlignment="1">
      <alignment horizontal="right" wrapText="1"/>
    </xf>
    <xf numFmtId="0" fontId="2" fillId="9" borderId="13" xfId="0" applyFont="1" applyFill="1" applyBorder="1" applyAlignment="1">
      <alignment horizontal="right" wrapText="1"/>
    </xf>
    <xf numFmtId="0" fontId="2" fillId="0" borderId="12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166" fontId="0" fillId="0" borderId="12" xfId="0" applyNumberFormat="1" applyBorder="1"/>
    <xf numFmtId="166" fontId="0" fillId="0" borderId="14" xfId="0" applyNumberFormat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9" borderId="17" xfId="0" applyFont="1" applyFill="1" applyBorder="1" applyAlignment="1">
      <alignment horizontal="right" wrapText="1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0" fillId="0" borderId="18" xfId="0" applyBorder="1"/>
    <xf numFmtId="0" fontId="0" fillId="10" borderId="11" xfId="0" applyFill="1" applyBorder="1" applyAlignment="1">
      <alignment horizontal="right"/>
    </xf>
    <xf numFmtId="0" fontId="0" fillId="10" borderId="13" xfId="0" applyFill="1" applyBorder="1" applyAlignment="1">
      <alignment horizontal="right"/>
    </xf>
    <xf numFmtId="1" fontId="0" fillId="10" borderId="12" xfId="0" applyNumberFormat="1" applyFill="1" applyBorder="1"/>
    <xf numFmtId="1" fontId="0" fillId="10" borderId="14" xfId="0" applyNumberFormat="1" applyFill="1" applyBorder="1"/>
    <xf numFmtId="0" fontId="0" fillId="10" borderId="12" xfId="0" applyFill="1" applyBorder="1"/>
    <xf numFmtId="0" fontId="0" fillId="10" borderId="14" xfId="0" applyFill="1" applyBorder="1"/>
    <xf numFmtId="165" fontId="0" fillId="10" borderId="15" xfId="3" applyNumberFormat="1" applyFont="1" applyFill="1" applyBorder="1"/>
    <xf numFmtId="165" fontId="0" fillId="10" borderId="16" xfId="3" applyNumberFormat="1" applyFont="1" applyFill="1" applyBorder="1"/>
    <xf numFmtId="0" fontId="0" fillId="8" borderId="12" xfId="0" applyFill="1" applyBorder="1"/>
    <xf numFmtId="0" fontId="0" fillId="10" borderId="17" xfId="0" applyFill="1" applyBorder="1" applyAlignment="1">
      <alignment horizontal="right"/>
    </xf>
    <xf numFmtId="1" fontId="0" fillId="10" borderId="0" xfId="0" applyNumberFormat="1" applyFill="1"/>
    <xf numFmtId="165" fontId="0" fillId="10" borderId="18" xfId="3" applyNumberFormat="1" applyFont="1" applyFill="1" applyBorder="1"/>
    <xf numFmtId="165" fontId="0" fillId="10" borderId="15" xfId="0" applyNumberFormat="1" applyFill="1" applyBorder="1"/>
    <xf numFmtId="165" fontId="0" fillId="10" borderId="18" xfId="0" applyNumberFormat="1" applyFill="1" applyBorder="1"/>
    <xf numFmtId="165" fontId="0" fillId="10" borderId="16" xfId="0" applyNumberFormat="1" applyFill="1" applyBorder="1"/>
    <xf numFmtId="0" fontId="13" fillId="0" borderId="0" xfId="0" applyFont="1" applyAlignment="1">
      <alignment horizontal="left"/>
    </xf>
    <xf numFmtId="0" fontId="12" fillId="0" borderId="0" xfId="4" applyFont="1"/>
    <xf numFmtId="0" fontId="6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22" fillId="11" borderId="0" xfId="2" applyFont="1" applyFill="1"/>
    <xf numFmtId="0" fontId="22" fillId="11" borderId="0" xfId="2" applyFont="1" applyFill="1" applyAlignment="1">
      <alignment horizontal="centerContinuous"/>
    </xf>
    <xf numFmtId="0" fontId="25" fillId="11" borderId="0" xfId="2" applyFont="1" applyFill="1"/>
    <xf numFmtId="0" fontId="23" fillId="11" borderId="20" xfId="2" applyFont="1" applyFill="1" applyBorder="1" applyAlignment="1">
      <alignment vertical="center"/>
    </xf>
    <xf numFmtId="167" fontId="23" fillId="10" borderId="21" xfId="2" applyNumberFormat="1" applyFont="1" applyFill="1" applyBorder="1" applyAlignment="1">
      <alignment horizontal="center"/>
    </xf>
    <xf numFmtId="167" fontId="23" fillId="0" borderId="0" xfId="2" applyNumberFormat="1" applyFont="1" applyAlignment="1">
      <alignment horizontal="center" vertical="center" wrapText="1"/>
    </xf>
    <xf numFmtId="0" fontId="27" fillId="10" borderId="0" xfId="5" applyFont="1" applyFill="1" applyAlignment="1">
      <alignment horizontal="center" vertical="center"/>
    </xf>
    <xf numFmtId="0" fontId="23" fillId="12" borderId="0" xfId="2" applyFont="1" applyFill="1"/>
    <xf numFmtId="168" fontId="23" fillId="12" borderId="0" xfId="2" applyNumberFormat="1" applyFont="1" applyFill="1"/>
    <xf numFmtId="168" fontId="23" fillId="8" borderId="0" xfId="2" applyNumberFormat="1" applyFont="1" applyFill="1"/>
    <xf numFmtId="0" fontId="23" fillId="11" borderId="0" xfId="2" applyFont="1" applyFill="1"/>
    <xf numFmtId="168" fontId="23" fillId="0" borderId="0" xfId="2" applyNumberFormat="1" applyFont="1"/>
    <xf numFmtId="0" fontId="23" fillId="12" borderId="0" xfId="2" applyFont="1" applyFill="1" applyAlignment="1">
      <alignment vertical="justify" wrapText="1"/>
    </xf>
    <xf numFmtId="0" fontId="27" fillId="8" borderId="0" xfId="5" applyFont="1" applyFill="1" applyAlignment="1">
      <alignment horizontal="center" vertical="center"/>
    </xf>
    <xf numFmtId="0" fontId="23" fillId="8" borderId="0" xfId="2" applyFont="1" applyFill="1"/>
    <xf numFmtId="0" fontId="23" fillId="11" borderId="0" xfId="2" applyFont="1" applyFill="1" applyAlignment="1">
      <alignment horizontal="left"/>
    </xf>
    <xf numFmtId="0" fontId="29" fillId="11" borderId="0" xfId="2" applyFont="1" applyFill="1"/>
    <xf numFmtId="168" fontId="29" fillId="0" borderId="0" xfId="2" applyNumberFormat="1" applyFont="1"/>
    <xf numFmtId="168" fontId="29" fillId="0" borderId="8" xfId="2" applyNumberFormat="1" applyFont="1" applyBorder="1"/>
    <xf numFmtId="0" fontId="29" fillId="11" borderId="0" xfId="2" applyFont="1" applyFill="1" applyAlignment="1">
      <alignment horizontal="center"/>
    </xf>
    <xf numFmtId="0" fontId="25" fillId="11" borderId="22" xfId="2" applyFont="1" applyFill="1" applyBorder="1" applyAlignment="1">
      <alignment horizontal="center"/>
    </xf>
    <xf numFmtId="0" fontId="25" fillId="11" borderId="22" xfId="2" applyFont="1" applyFill="1" applyBorder="1"/>
    <xf numFmtId="0" fontId="23" fillId="11" borderId="0" xfId="2" applyFont="1" applyFill="1" applyAlignment="1">
      <alignment vertical="center"/>
    </xf>
    <xf numFmtId="1" fontId="1" fillId="0" borderId="0" xfId="11" applyNumberFormat="1" applyAlignment="1">
      <alignment horizontal="center" vertical="center"/>
    </xf>
    <xf numFmtId="0" fontId="1" fillId="0" borderId="0" xfId="11" applyAlignment="1">
      <alignment horizontal="center" vertical="center"/>
    </xf>
    <xf numFmtId="0" fontId="1" fillId="0" borderId="0" xfId="11" applyAlignment="1">
      <alignment vertical="center"/>
    </xf>
    <xf numFmtId="0" fontId="30" fillId="0" borderId="0" xfId="2" applyFont="1" applyAlignment="1">
      <alignment horizontal="center" vertical="center"/>
    </xf>
    <xf numFmtId="0" fontId="1" fillId="0" borderId="0" xfId="11"/>
    <xf numFmtId="0" fontId="30" fillId="0" borderId="0" xfId="2" applyFont="1" applyAlignment="1">
      <alignment horizontal="center" vertical="center" wrapText="1"/>
    </xf>
    <xf numFmtId="0" fontId="21" fillId="9" borderId="0" xfId="5" applyFont="1" applyFill="1" applyAlignment="1">
      <alignment horizontal="center" vertical="center"/>
    </xf>
    <xf numFmtId="0" fontId="21" fillId="0" borderId="0" xfId="5" applyFont="1" applyAlignment="1">
      <alignment vertical="center"/>
    </xf>
    <xf numFmtId="0" fontId="21" fillId="0" borderId="0" xfId="5" applyFont="1" applyAlignment="1">
      <alignment horizontal="center" vertical="center"/>
    </xf>
    <xf numFmtId="167" fontId="30" fillId="0" borderId="0" xfId="2" applyNumberFormat="1" applyFont="1" applyAlignment="1">
      <alignment horizontal="center" vertical="center"/>
    </xf>
    <xf numFmtId="0" fontId="1" fillId="0" borderId="0" xfId="5" applyFont="1" applyAlignment="1">
      <alignment horizontal="center" vertical="center"/>
    </xf>
    <xf numFmtId="0" fontId="1" fillId="0" borderId="0" xfId="5" applyFont="1" applyAlignment="1">
      <alignment vertical="center"/>
    </xf>
    <xf numFmtId="170" fontId="30" fillId="0" borderId="0" xfId="2" applyNumberFormat="1" applyFont="1" applyAlignment="1">
      <alignment horizontal="center" vertical="center"/>
    </xf>
    <xf numFmtId="0" fontId="31" fillId="0" borderId="0" xfId="5" applyFont="1" applyAlignment="1">
      <alignment vertical="center"/>
    </xf>
    <xf numFmtId="1" fontId="1" fillId="8" borderId="0" xfId="11" applyNumberFormat="1" applyFill="1" applyAlignment="1">
      <alignment horizontal="center" vertical="center"/>
    </xf>
    <xf numFmtId="167" fontId="30" fillId="8" borderId="0" xfId="2" applyNumberFormat="1" applyFont="1" applyFill="1" applyAlignment="1">
      <alignment horizontal="center" vertical="center"/>
    </xf>
    <xf numFmtId="0" fontId="1" fillId="8" borderId="0" xfId="11" applyFill="1" applyAlignment="1">
      <alignment vertical="center"/>
    </xf>
    <xf numFmtId="0" fontId="31" fillId="0" borderId="0" xfId="5" applyFont="1" applyAlignment="1">
      <alignment horizontal="center" vertical="center"/>
    </xf>
    <xf numFmtId="171" fontId="1" fillId="8" borderId="0" xfId="11" applyNumberFormat="1" applyFill="1" applyAlignment="1">
      <alignment horizontal="center" vertical="center"/>
    </xf>
    <xf numFmtId="0" fontId="1" fillId="8" borderId="0" xfId="11" applyFill="1" applyAlignment="1">
      <alignment horizontal="center" vertical="center"/>
    </xf>
    <xf numFmtId="0" fontId="1" fillId="0" borderId="0" xfId="11" quotePrefix="1" applyAlignment="1">
      <alignment horizontal="center" vertical="center"/>
    </xf>
    <xf numFmtId="170" fontId="30" fillId="8" borderId="0" xfId="2" applyNumberFormat="1" applyFont="1" applyFill="1" applyAlignment="1">
      <alignment horizontal="center" vertical="center"/>
    </xf>
    <xf numFmtId="0" fontId="24" fillId="0" borderId="0" xfId="2" applyFont="1" applyAlignment="1">
      <alignment vertical="center"/>
    </xf>
    <xf numFmtId="0" fontId="22" fillId="11" borderId="0" xfId="2" applyFont="1" applyFill="1" applyAlignment="1">
      <alignment vertical="center"/>
    </xf>
    <xf numFmtId="0" fontId="29" fillId="11" borderId="0" xfId="2" applyFont="1" applyFill="1" applyAlignment="1">
      <alignment vertical="center"/>
    </xf>
    <xf numFmtId="0" fontId="22" fillId="11" borderId="0" xfId="2" applyFont="1" applyFill="1" applyAlignment="1">
      <alignment horizontal="centerContinuous" vertical="center"/>
    </xf>
    <xf numFmtId="0" fontId="24" fillId="11" borderId="0" xfId="2" applyFont="1" applyFill="1" applyAlignment="1">
      <alignment vertical="center"/>
    </xf>
    <xf numFmtId="0" fontId="25" fillId="0" borderId="0" xfId="2" applyFont="1" applyAlignment="1">
      <alignment vertical="center"/>
    </xf>
    <xf numFmtId="0" fontId="25" fillId="11" borderId="0" xfId="2" applyFont="1" applyFill="1" applyAlignment="1">
      <alignment vertical="center"/>
    </xf>
    <xf numFmtId="0" fontId="23" fillId="11" borderId="20" xfId="2" applyFont="1" applyFill="1" applyBorder="1" applyAlignment="1">
      <alignment horizontal="left" vertical="center"/>
    </xf>
    <xf numFmtId="0" fontId="25" fillId="11" borderId="0" xfId="2" quotePrefix="1" applyFont="1" applyFill="1" applyAlignment="1">
      <alignment vertical="center"/>
    </xf>
    <xf numFmtId="0" fontId="23" fillId="11" borderId="20" xfId="2" applyFont="1" applyFill="1" applyBorder="1" applyAlignment="1">
      <alignment horizontal="centerContinuous" vertical="center"/>
    </xf>
    <xf numFmtId="0" fontId="23" fillId="11" borderId="24" xfId="2" applyFont="1" applyFill="1" applyBorder="1" applyAlignment="1">
      <alignment horizontal="centerContinuous" vertical="center"/>
    </xf>
    <xf numFmtId="0" fontId="32" fillId="11" borderId="20" xfId="2" applyFont="1" applyFill="1" applyBorder="1" applyAlignment="1">
      <alignment horizontal="centerContinuous" vertical="center"/>
    </xf>
    <xf numFmtId="0" fontId="23" fillId="0" borderId="20" xfId="2" applyFont="1" applyBorder="1" applyAlignment="1">
      <alignment horizontal="centerContinuous" vertical="center"/>
    </xf>
    <xf numFmtId="0" fontId="32" fillId="0" borderId="25" xfId="2" applyFont="1" applyBorder="1" applyAlignment="1">
      <alignment horizontal="centerContinuous" vertical="center"/>
    </xf>
    <xf numFmtId="0" fontId="23" fillId="11" borderId="20" xfId="2" applyFont="1" applyFill="1" applyBorder="1" applyAlignment="1">
      <alignment vertical="center" wrapText="1"/>
    </xf>
    <xf numFmtId="0" fontId="23" fillId="11" borderId="20" xfId="2" applyFont="1" applyFill="1" applyBorder="1" applyAlignment="1">
      <alignment horizontal="center" vertical="center" wrapText="1"/>
    </xf>
    <xf numFmtId="0" fontId="23" fillId="8" borderId="20" xfId="2" applyFont="1" applyFill="1" applyBorder="1" applyAlignment="1">
      <alignment horizontal="center" vertical="center" wrapText="1"/>
    </xf>
    <xf numFmtId="0" fontId="23" fillId="11" borderId="25" xfId="2" applyFont="1" applyFill="1" applyBorder="1" applyAlignment="1">
      <alignment horizontal="center" vertical="center" wrapText="1"/>
    </xf>
    <xf numFmtId="0" fontId="23" fillId="0" borderId="20" xfId="2" applyFont="1" applyBorder="1" applyAlignment="1">
      <alignment horizontal="center" vertical="center" wrapText="1"/>
    </xf>
    <xf numFmtId="0" fontId="23" fillId="0" borderId="25" xfId="2" applyFont="1" applyBorder="1" applyAlignment="1">
      <alignment horizontal="center" vertical="center" wrapText="1"/>
    </xf>
    <xf numFmtId="0" fontId="4" fillId="0" borderId="0" xfId="2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3" fillId="8" borderId="0" xfId="2" applyFont="1" applyFill="1" applyAlignment="1">
      <alignment horizontal="center" vertical="center" wrapText="1"/>
    </xf>
    <xf numFmtId="0" fontId="26" fillId="10" borderId="5" xfId="7" applyFont="1" applyFill="1" applyBorder="1" applyAlignment="1">
      <alignment horizontal="left"/>
    </xf>
    <xf numFmtId="0" fontId="27" fillId="10" borderId="7" xfId="8" applyFont="1" applyFill="1" applyBorder="1" applyAlignment="1">
      <alignment horizontal="center" vertical="center"/>
    </xf>
    <xf numFmtId="0" fontId="23" fillId="10" borderId="0" xfId="2" applyFont="1" applyFill="1" applyAlignment="1">
      <alignment vertical="center"/>
    </xf>
    <xf numFmtId="0" fontId="23" fillId="0" borderId="0" xfId="2" applyFont="1" applyAlignment="1">
      <alignment vertical="center"/>
    </xf>
    <xf numFmtId="170" fontId="23" fillId="12" borderId="0" xfId="2" applyNumberFormat="1" applyFont="1" applyFill="1" applyAlignment="1">
      <alignment horizontal="center" vertical="center"/>
    </xf>
    <xf numFmtId="0" fontId="23" fillId="12" borderId="0" xfId="2" applyFont="1" applyFill="1" applyAlignment="1">
      <alignment vertical="center"/>
    </xf>
    <xf numFmtId="168" fontId="23" fillId="12" borderId="0" xfId="2" applyNumberFormat="1" applyFont="1" applyFill="1" applyAlignment="1">
      <alignment vertical="center"/>
    </xf>
    <xf numFmtId="168" fontId="23" fillId="8" borderId="0" xfId="2" applyNumberFormat="1" applyFont="1" applyFill="1" applyAlignment="1">
      <alignment vertical="center"/>
    </xf>
    <xf numFmtId="170" fontId="23" fillId="11" borderId="0" xfId="2" applyNumberFormat="1" applyFont="1" applyFill="1" applyAlignment="1">
      <alignment horizontal="center" vertical="center"/>
    </xf>
    <xf numFmtId="168" fontId="23" fillId="0" borderId="0" xfId="2" applyNumberFormat="1" applyFont="1" applyAlignment="1">
      <alignment vertical="center"/>
    </xf>
    <xf numFmtId="170" fontId="23" fillId="8" borderId="0" xfId="2" applyNumberFormat="1" applyFont="1" applyFill="1" applyAlignment="1">
      <alignment horizontal="center" vertical="center"/>
    </xf>
    <xf numFmtId="0" fontId="23" fillId="8" borderId="0" xfId="2" applyFont="1" applyFill="1" applyAlignment="1">
      <alignment vertical="center"/>
    </xf>
    <xf numFmtId="170" fontId="23" fillId="0" borderId="0" xfId="2" applyNumberFormat="1" applyFont="1" applyAlignment="1">
      <alignment horizontal="center" vertical="center"/>
    </xf>
    <xf numFmtId="0" fontId="23" fillId="11" borderId="0" xfId="2" applyFont="1" applyFill="1" applyAlignment="1">
      <alignment horizontal="left" vertical="center"/>
    </xf>
    <xf numFmtId="169" fontId="23" fillId="0" borderId="0" xfId="2" applyNumberFormat="1" applyFont="1" applyAlignment="1">
      <alignment vertical="center"/>
    </xf>
    <xf numFmtId="0" fontId="28" fillId="0" borderId="0" xfId="2" applyFont="1" applyAlignment="1">
      <alignment vertical="center"/>
    </xf>
    <xf numFmtId="0" fontId="29" fillId="11" borderId="0" xfId="2" applyFont="1" applyFill="1" applyAlignment="1">
      <alignment horizontal="center" vertical="center"/>
    </xf>
    <xf numFmtId="168" fontId="29" fillId="0" borderId="0" xfId="2" applyNumberFormat="1" applyFont="1" applyAlignment="1">
      <alignment vertical="center"/>
    </xf>
    <xf numFmtId="168" fontId="29" fillId="8" borderId="0" xfId="2" applyNumberFormat="1" applyFont="1" applyFill="1" applyAlignment="1">
      <alignment vertical="center"/>
    </xf>
    <xf numFmtId="0" fontId="25" fillId="11" borderId="22" xfId="2" applyFont="1" applyFill="1" applyBorder="1" applyAlignment="1">
      <alignment horizontal="center" vertical="center"/>
    </xf>
    <xf numFmtId="0" fontId="23" fillId="11" borderId="22" xfId="2" applyFont="1" applyFill="1" applyBorder="1" applyAlignment="1">
      <alignment horizontal="center" vertical="center"/>
    </xf>
    <xf numFmtId="0" fontId="25" fillId="11" borderId="22" xfId="2" applyFont="1" applyFill="1" applyBorder="1" applyAlignment="1">
      <alignment vertical="center"/>
    </xf>
    <xf numFmtId="168" fontId="25" fillId="11" borderId="22" xfId="2" applyNumberFormat="1" applyFont="1" applyFill="1" applyBorder="1" applyAlignment="1">
      <alignment vertical="center"/>
    </xf>
    <xf numFmtId="168" fontId="25" fillId="0" borderId="22" xfId="2" applyNumberFormat="1" applyFont="1" applyBorder="1" applyAlignment="1">
      <alignment vertical="center"/>
    </xf>
    <xf numFmtId="0" fontId="25" fillId="11" borderId="0" xfId="2" applyFont="1" applyFill="1" applyAlignment="1">
      <alignment horizontal="center" vertical="center"/>
    </xf>
    <xf numFmtId="0" fontId="23" fillId="11" borderId="0" xfId="2" applyFont="1" applyFill="1" applyAlignment="1">
      <alignment horizontal="center" vertical="center"/>
    </xf>
    <xf numFmtId="167" fontId="23" fillId="12" borderId="0" xfId="2" applyNumberFormat="1" applyFont="1" applyFill="1" applyAlignment="1">
      <alignment horizontal="center" vertical="center"/>
    </xf>
    <xf numFmtId="167" fontId="23" fillId="11" borderId="0" xfId="2" applyNumberFormat="1" applyFont="1" applyFill="1" applyAlignment="1">
      <alignment horizontal="center" vertical="center"/>
    </xf>
    <xf numFmtId="167" fontId="23" fillId="8" borderId="0" xfId="2" applyNumberFormat="1" applyFont="1" applyFill="1" applyAlignment="1">
      <alignment horizontal="center" vertical="center"/>
    </xf>
    <xf numFmtId="167" fontId="23" fillId="0" borderId="0" xfId="2" applyNumberFormat="1" applyFont="1" applyAlignment="1">
      <alignment horizontal="center" vertical="center"/>
    </xf>
    <xf numFmtId="0" fontId="26" fillId="10" borderId="5" xfId="7" applyFont="1" applyFill="1" applyBorder="1" applyAlignment="1">
      <alignment horizontal="center"/>
    </xf>
    <xf numFmtId="0" fontId="26" fillId="10" borderId="27" xfId="7" applyFont="1" applyFill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168" fontId="34" fillId="0" borderId="0" xfId="2" applyNumberFormat="1" applyFont="1"/>
    <xf numFmtId="168" fontId="35" fillId="0" borderId="8" xfId="2" applyNumberFormat="1" applyFont="1" applyBorder="1"/>
    <xf numFmtId="0" fontId="23" fillId="11" borderId="29" xfId="2" applyFont="1" applyFill="1" applyBorder="1" applyAlignment="1">
      <alignment vertical="center" wrapText="1"/>
    </xf>
    <xf numFmtId="0" fontId="23" fillId="11" borderId="30" xfId="2" applyFont="1" applyFill="1" applyBorder="1" applyAlignment="1">
      <alignment vertical="center"/>
    </xf>
    <xf numFmtId="0" fontId="23" fillId="11" borderId="31" xfId="2" applyFont="1" applyFill="1" applyBorder="1" applyAlignment="1">
      <alignment vertical="center"/>
    </xf>
    <xf numFmtId="0" fontId="23" fillId="11" borderId="32" xfId="2" applyFont="1" applyFill="1" applyBorder="1" applyAlignment="1">
      <alignment vertical="center"/>
    </xf>
    <xf numFmtId="0" fontId="23" fillId="11" borderId="29" xfId="2" applyFont="1" applyFill="1" applyBorder="1" applyAlignment="1">
      <alignment horizontal="center" vertical="center" wrapText="1"/>
    </xf>
    <xf numFmtId="0" fontId="23" fillId="8" borderId="29" xfId="2" applyFont="1" applyFill="1" applyBorder="1" applyAlignment="1">
      <alignment horizontal="center" vertical="center" wrapText="1"/>
    </xf>
    <xf numFmtId="0" fontId="23" fillId="11" borderId="30" xfId="2" applyFont="1" applyFill="1" applyBorder="1" applyAlignment="1">
      <alignment horizontal="center" vertical="center" wrapText="1"/>
    </xf>
    <xf numFmtId="0" fontId="23" fillId="11" borderId="33" xfId="2" applyFont="1" applyFill="1" applyBorder="1" applyAlignment="1">
      <alignment horizontal="center" vertical="center" wrapText="1"/>
    </xf>
    <xf numFmtId="0" fontId="23" fillId="11" borderId="34" xfId="2" applyFont="1" applyFill="1" applyBorder="1" applyAlignment="1">
      <alignment horizontal="center" vertical="center" wrapText="1"/>
    </xf>
    <xf numFmtId="167" fontId="23" fillId="10" borderId="10" xfId="2" applyNumberFormat="1" applyFont="1" applyFill="1" applyBorder="1" applyAlignment="1">
      <alignment horizontal="center"/>
    </xf>
    <xf numFmtId="167" fontId="23" fillId="10" borderId="9" xfId="2" applyNumberFormat="1" applyFont="1" applyFill="1" applyBorder="1" applyAlignment="1">
      <alignment horizontal="center"/>
    </xf>
    <xf numFmtId="170" fontId="23" fillId="12" borderId="0" xfId="2" applyNumberFormat="1" applyFont="1" applyFill="1" applyAlignment="1">
      <alignment horizontal="center"/>
    </xf>
    <xf numFmtId="168" fontId="23" fillId="12" borderId="10" xfId="2" applyNumberFormat="1" applyFont="1" applyFill="1" applyBorder="1"/>
    <xf numFmtId="168" fontId="23" fillId="12" borderId="9" xfId="2" applyNumberFormat="1" applyFont="1" applyFill="1" applyBorder="1"/>
    <xf numFmtId="170" fontId="23" fillId="11" borderId="0" xfId="2" applyNumberFormat="1" applyFont="1" applyFill="1" applyAlignment="1">
      <alignment horizontal="center"/>
    </xf>
    <xf numFmtId="168" fontId="23" fillId="0" borderId="10" xfId="2" applyNumberFormat="1" applyFont="1" applyBorder="1"/>
    <xf numFmtId="168" fontId="23" fillId="0" borderId="9" xfId="2" applyNumberFormat="1" applyFont="1" applyBorder="1"/>
    <xf numFmtId="170" fontId="23" fillId="8" borderId="0" xfId="2" applyNumberFormat="1" applyFont="1" applyFill="1" applyAlignment="1">
      <alignment horizontal="center"/>
    </xf>
    <xf numFmtId="168" fontId="23" fillId="8" borderId="10" xfId="2" applyNumberFormat="1" applyFont="1" applyFill="1" applyBorder="1"/>
    <xf numFmtId="168" fontId="23" fillId="8" borderId="9" xfId="2" applyNumberFormat="1" applyFont="1" applyFill="1" applyBorder="1"/>
    <xf numFmtId="170" fontId="23" fillId="0" borderId="0" xfId="2" applyNumberFormat="1" applyFont="1" applyAlignment="1">
      <alignment horizontal="center"/>
    </xf>
    <xf numFmtId="0" fontId="23" fillId="0" borderId="0" xfId="2" applyFont="1"/>
    <xf numFmtId="0" fontId="28" fillId="11" borderId="0" xfId="2" applyFont="1" applyFill="1"/>
    <xf numFmtId="168" fontId="29" fillId="0" borderId="10" xfId="2" applyNumberFormat="1" applyFont="1" applyBorder="1"/>
    <xf numFmtId="168" fontId="29" fillId="0" borderId="9" xfId="2" applyNumberFormat="1" applyFont="1" applyBorder="1"/>
    <xf numFmtId="168" fontId="23" fillId="11" borderId="22" xfId="2" applyNumberFormat="1" applyFont="1" applyFill="1" applyBorder="1"/>
    <xf numFmtId="168" fontId="23" fillId="8" borderId="22" xfId="2" applyNumberFormat="1" applyFont="1" applyFill="1" applyBorder="1"/>
    <xf numFmtId="168" fontId="23" fillId="11" borderId="35" xfId="2" applyNumberFormat="1" applyFont="1" applyFill="1" applyBorder="1"/>
    <xf numFmtId="168" fontId="23" fillId="11" borderId="36" xfId="2" applyNumberFormat="1" applyFont="1" applyFill="1" applyBorder="1"/>
    <xf numFmtId="0" fontId="23" fillId="11" borderId="39" xfId="2" applyFont="1" applyFill="1" applyBorder="1" applyAlignment="1">
      <alignment vertical="center" wrapText="1"/>
    </xf>
    <xf numFmtId="0" fontId="23" fillId="0" borderId="40" xfId="2" applyFont="1" applyBorder="1"/>
    <xf numFmtId="0" fontId="20" fillId="0" borderId="41" xfId="7" applyFont="1" applyBorder="1" applyAlignment="1">
      <alignment horizontal="center"/>
    </xf>
    <xf numFmtId="0" fontId="23" fillId="0" borderId="42" xfId="2" applyFont="1" applyBorder="1"/>
    <xf numFmtId="167" fontId="23" fillId="0" borderId="0" xfId="2" applyNumberFormat="1" applyFont="1" applyAlignment="1">
      <alignment horizontal="center"/>
    </xf>
    <xf numFmtId="0" fontId="3" fillId="0" borderId="0" xfId="1" applyAlignment="1">
      <alignment vertical="center"/>
    </xf>
    <xf numFmtId="0" fontId="7" fillId="2" borderId="2" xfId="2" applyFont="1" applyFill="1" applyBorder="1" applyAlignment="1">
      <alignment horizontal="right" vertical="top" wrapText="1"/>
    </xf>
    <xf numFmtId="0" fontId="7" fillId="2" borderId="3" xfId="2" applyFont="1" applyFill="1" applyBorder="1" applyAlignment="1">
      <alignment horizontal="right" vertical="top" wrapText="1"/>
    </xf>
    <xf numFmtId="0" fontId="9" fillId="2" borderId="2" xfId="2" applyFont="1" applyFill="1" applyBorder="1" applyAlignment="1">
      <alignment vertical="top" wrapText="1"/>
    </xf>
    <xf numFmtId="0" fontId="9" fillId="2" borderId="4" xfId="2" applyFont="1" applyFill="1" applyBorder="1" applyAlignment="1">
      <alignment vertical="top" wrapText="1"/>
    </xf>
    <xf numFmtId="0" fontId="9" fillId="2" borderId="3" xfId="2" applyFont="1" applyFill="1" applyBorder="1" applyAlignment="1">
      <alignment vertical="top" wrapText="1"/>
    </xf>
    <xf numFmtId="0" fontId="7" fillId="3" borderId="2" xfId="2" applyFont="1" applyFill="1" applyBorder="1" applyAlignment="1">
      <alignment horizontal="right" vertical="center" wrapText="1"/>
    </xf>
    <xf numFmtId="0" fontId="7" fillId="3" borderId="3" xfId="2" applyFont="1" applyFill="1" applyBorder="1" applyAlignment="1">
      <alignment horizontal="right" vertical="center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right" vertical="top" wrapText="1"/>
    </xf>
    <xf numFmtId="0" fontId="7" fillId="2" borderId="3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23" fillId="11" borderId="19" xfId="2" applyFont="1" applyFill="1" applyBorder="1" applyAlignment="1">
      <alignment horizontal="center" vertical="center" wrapText="1"/>
    </xf>
    <xf numFmtId="0" fontId="4" fillId="11" borderId="19" xfId="2" applyFill="1" applyBorder="1" applyAlignment="1">
      <alignment horizontal="center" vertical="center" wrapText="1"/>
    </xf>
    <xf numFmtId="0" fontId="26" fillId="10" borderId="23" xfId="7" applyFont="1" applyFill="1" applyBorder="1" applyAlignment="1">
      <alignment horizontal="center" vertical="center" wrapText="1"/>
    </xf>
    <xf numFmtId="0" fontId="26" fillId="10" borderId="26" xfId="7" applyFont="1" applyFill="1" applyBorder="1" applyAlignment="1">
      <alignment horizontal="center" vertical="center" wrapText="1"/>
    </xf>
    <xf numFmtId="0" fontId="23" fillId="11" borderId="28" xfId="2" applyFont="1" applyFill="1" applyBorder="1" applyAlignment="1">
      <alignment horizontal="center" vertical="center" wrapText="1"/>
    </xf>
    <xf numFmtId="0" fontId="4" fillId="11" borderId="37" xfId="2" applyFill="1" applyBorder="1" applyAlignment="1">
      <alignment horizontal="center" vertical="center" wrapText="1"/>
    </xf>
    <xf numFmtId="0" fontId="26" fillId="10" borderId="38" xfId="7" applyFont="1" applyFill="1" applyBorder="1" applyAlignment="1">
      <alignment horizontal="center" vertical="center" wrapText="1"/>
    </xf>
  </cellXfs>
  <cellStyles count="12">
    <cellStyle name="Comma 2" xfId="9" xr:uid="{00000000-0005-0000-0000-000000000000}"/>
    <cellStyle name="Comma 2 2" xfId="10" xr:uid="{00000000-0005-0000-0000-000001000000}"/>
    <cellStyle name="Hyperlink" xfId="1" builtinId="8"/>
    <cellStyle name="Normal" xfId="0" builtinId="0"/>
    <cellStyle name="Normal 2" xfId="2" xr:uid="{00000000-0005-0000-0000-000004000000}"/>
    <cellStyle name="Normal 2 2" xfId="6" xr:uid="{00000000-0005-0000-0000-000005000000}"/>
    <cellStyle name="Normal 3" xfId="4" xr:uid="{00000000-0005-0000-0000-000006000000}"/>
    <cellStyle name="Normal 3 2" xfId="5" xr:uid="{00000000-0005-0000-0000-000007000000}"/>
    <cellStyle name="Normal 4 2 2" xfId="8" xr:uid="{00000000-0005-0000-0000-000008000000}"/>
    <cellStyle name="Normal 5" xfId="11" xr:uid="{FF67A849-0F46-4D25-AB8C-32206800CBBB}"/>
    <cellStyle name="Normal_Sheet1" xfId="7" xr:uid="{00000000-0005-0000-0000-000009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gueo Watanabe Jr" id="{F2F5E395-43DE-45A7-A2EB-6ED346EF1FD8}" userId="f0a63f07fa30653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4" dT="2024-06-26T12:20:59.42" personId="{F2F5E395-43DE-45A7-A2EB-6ED346EF1FD8}" id="{71AF0BC2-376D-4BFC-849F-051332BCA34C}">
    <text>SCN 3510</text>
  </threadedComment>
  <threadedComment ref="D45" dT="2024-06-26T12:21:13.68" personId="{F2F5E395-43DE-45A7-A2EB-6ED346EF1FD8}" id="{3C243302-5840-4CB4-BEC6-E6A90A0E54E4}">
    <text>SCN 3520</text>
  </threadedComment>
  <threadedComment ref="X90" dT="2024-06-26T12:20:59.42" personId="{F2F5E395-43DE-45A7-A2EB-6ED346EF1FD8}" id="{CA279FFD-35D0-48A1-9193-EFB8EAA3BE84}">
    <text>SCN 3510</text>
  </threadedComment>
  <threadedComment ref="X91" dT="2024-06-26T12:21:13.68" personId="{F2F5E395-43DE-45A7-A2EB-6ED346EF1FD8}" id="{8860147B-1685-4BB6-B797-E8817BA696AC}">
    <text>SCN 3520</text>
  </threadedComment>
  <threadedComment ref="K92" dT="2024-06-26T12:20:59.42" personId="{F2F5E395-43DE-45A7-A2EB-6ED346EF1FD8}" id="{BE16670F-0290-4236-85EB-74FE227D2F56}">
    <text>SCN 3510</text>
  </threadedComment>
  <threadedComment ref="R92" dT="2024-06-26T12:20:59.42" personId="{F2F5E395-43DE-45A7-A2EB-6ED346EF1FD8}" id="{C8578D00-2836-4AF8-AFCE-8FE09EE373F6}">
    <text>SCN 3510</text>
  </threadedComment>
  <threadedComment ref="U92" dT="2024-06-26T12:20:59.42" personId="{F2F5E395-43DE-45A7-A2EB-6ED346EF1FD8}" id="{AF9EA6E8-CE7F-4B4E-951D-D618839204C9}">
    <text>SCN 3510</text>
  </threadedComment>
  <threadedComment ref="K93" dT="2024-06-26T12:21:13.68" personId="{F2F5E395-43DE-45A7-A2EB-6ED346EF1FD8}" id="{3DCD31B1-36F8-43B3-A870-DC72062D88F0}">
    <text>SCN 3520</text>
  </threadedComment>
  <threadedComment ref="R93" dT="2024-06-26T12:21:13.68" personId="{F2F5E395-43DE-45A7-A2EB-6ED346EF1FD8}" id="{E9D6B354-1ABB-4D45-A562-53F47EB6DFB8}">
    <text>SCN 3520</text>
  </threadedComment>
  <threadedComment ref="U93" dT="2024-06-26T12:21:13.68" personId="{F2F5E395-43DE-45A7-A2EB-6ED346EF1FD8}" id="{D1134A43-33D8-4EEC-A707-F1584DB72E03}">
    <text>SCN 3520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ICESHR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208</v>
      </c>
    </row>
    <row r="3" spans="1:2" x14ac:dyDescent="0.2">
      <c r="A3" s="1" t="s">
        <v>0</v>
      </c>
      <c r="B3" s="26" t="s">
        <v>177</v>
      </c>
    </row>
    <row r="4" spans="1:2" x14ac:dyDescent="0.2">
      <c r="B4" t="s">
        <v>1</v>
      </c>
    </row>
    <row r="5" spans="1:2" x14ac:dyDescent="0.2">
      <c r="B5" s="2">
        <v>2018</v>
      </c>
    </row>
    <row r="6" spans="1:2" x14ac:dyDescent="0.2">
      <c r="B6" t="s">
        <v>131</v>
      </c>
    </row>
    <row r="7" spans="1:2" x14ac:dyDescent="0.2">
      <c r="B7" s="3" t="s">
        <v>178</v>
      </c>
    </row>
    <row r="8" spans="1:2" x14ac:dyDescent="0.2">
      <c r="B8" t="s">
        <v>143</v>
      </c>
    </row>
    <row r="10" spans="1:2" x14ac:dyDescent="0.2">
      <c r="B10" s="26" t="s">
        <v>186</v>
      </c>
    </row>
    <row r="11" spans="1:2" x14ac:dyDescent="0.2">
      <c r="B11" s="22" t="s">
        <v>179</v>
      </c>
    </row>
    <row r="12" spans="1:2" x14ac:dyDescent="0.2">
      <c r="B12" t="s">
        <v>638</v>
      </c>
    </row>
    <row r="13" spans="1:2" x14ac:dyDescent="0.2">
      <c r="B13" t="s">
        <v>637</v>
      </c>
    </row>
    <row r="14" spans="1:2" x14ac:dyDescent="0.2">
      <c r="B14" t="s">
        <v>635</v>
      </c>
    </row>
    <row r="15" spans="1:2" x14ac:dyDescent="0.2">
      <c r="B15" s="208" t="s">
        <v>636</v>
      </c>
    </row>
    <row r="17" spans="1:1" x14ac:dyDescent="0.2">
      <c r="A17" s="1" t="s">
        <v>2</v>
      </c>
    </row>
    <row r="18" spans="1:1" x14ac:dyDescent="0.2">
      <c r="A18" t="s">
        <v>136</v>
      </c>
    </row>
    <row r="19" spans="1:1" x14ac:dyDescent="0.2">
      <c r="A19" t="s">
        <v>150</v>
      </c>
    </row>
    <row r="20" spans="1:1" x14ac:dyDescent="0.2">
      <c r="A20" t="s">
        <v>137</v>
      </c>
    </row>
    <row r="22" spans="1:1" x14ac:dyDescent="0.2">
      <c r="A22" t="s">
        <v>151</v>
      </c>
    </row>
    <row r="23" spans="1:1" x14ac:dyDescent="0.2">
      <c r="A23" t="s">
        <v>152</v>
      </c>
    </row>
    <row r="24" spans="1:1" x14ac:dyDescent="0.2">
      <c r="A24" t="s">
        <v>160</v>
      </c>
    </row>
    <row r="25" spans="1:1" x14ac:dyDescent="0.2">
      <c r="A25" t="s">
        <v>161</v>
      </c>
    </row>
    <row r="27" spans="1:1" x14ac:dyDescent="0.2">
      <c r="A27" s="1" t="s">
        <v>156</v>
      </c>
    </row>
    <row r="28" spans="1:1" x14ac:dyDescent="0.2">
      <c r="A28" t="s">
        <v>153</v>
      </c>
    </row>
    <row r="29" spans="1:1" x14ac:dyDescent="0.2">
      <c r="A29" t="s">
        <v>154</v>
      </c>
    </row>
    <row r="30" spans="1:1" x14ac:dyDescent="0.2">
      <c r="A30" t="s">
        <v>155</v>
      </c>
    </row>
    <row r="31" spans="1:1" x14ac:dyDescent="0.2">
      <c r="A31" t="s">
        <v>166</v>
      </c>
    </row>
    <row r="33" spans="1:2" x14ac:dyDescent="0.2">
      <c r="A33" t="s">
        <v>157</v>
      </c>
    </row>
    <row r="34" spans="1:2" x14ac:dyDescent="0.2">
      <c r="A34" t="s">
        <v>162</v>
      </c>
    </row>
    <row r="36" spans="1:2" x14ac:dyDescent="0.2">
      <c r="A36" s="27" t="s">
        <v>165</v>
      </c>
      <c r="B36" s="28"/>
    </row>
    <row r="37" spans="1:2" x14ac:dyDescent="0.2">
      <c r="A37" s="27" t="s">
        <v>163</v>
      </c>
      <c r="B37" s="28"/>
    </row>
    <row r="38" spans="1:2" x14ac:dyDescent="0.2">
      <c r="A38" s="27" t="s">
        <v>164</v>
      </c>
      <c r="B38" s="28"/>
    </row>
    <row r="40" spans="1:2" x14ac:dyDescent="0.2">
      <c r="A40" s="29" t="s">
        <v>186</v>
      </c>
    </row>
    <row r="41" spans="1:2" x14ac:dyDescent="0.2">
      <c r="A41" t="s">
        <v>194</v>
      </c>
    </row>
    <row r="42" spans="1:2" x14ac:dyDescent="0.2">
      <c r="A42" t="s">
        <v>180</v>
      </c>
    </row>
    <row r="43" spans="1:2" x14ac:dyDescent="0.2">
      <c r="A43" t="s">
        <v>195</v>
      </c>
    </row>
    <row r="45" spans="1:2" x14ac:dyDescent="0.2">
      <c r="A45" s="22" t="s">
        <v>181</v>
      </c>
    </row>
    <row r="46" spans="1:2" x14ac:dyDescent="0.2">
      <c r="A46" s="22" t="s">
        <v>182</v>
      </c>
    </row>
    <row r="47" spans="1:2" x14ac:dyDescent="0.2">
      <c r="A47" s="22" t="s">
        <v>196</v>
      </c>
    </row>
    <row r="48" spans="1:2" x14ac:dyDescent="0.2">
      <c r="A48" s="22" t="s">
        <v>183</v>
      </c>
    </row>
    <row r="49" spans="1:2" x14ac:dyDescent="0.2">
      <c r="A49" s="22" t="s">
        <v>197</v>
      </c>
    </row>
    <row r="50" spans="1:2" x14ac:dyDescent="0.2">
      <c r="A50" s="22"/>
    </row>
    <row r="51" spans="1:2" x14ac:dyDescent="0.2">
      <c r="A51" s="1" t="s">
        <v>158</v>
      </c>
    </row>
    <row r="52" spans="1:2" x14ac:dyDescent="0.2">
      <c r="A52" t="s">
        <v>132</v>
      </c>
    </row>
    <row r="53" spans="1:2" x14ac:dyDescent="0.2">
      <c r="A53" s="15">
        <v>0.9686815713640794</v>
      </c>
      <c r="B53" t="s">
        <v>159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1" width="27.5" style="6" customWidth="1"/>
    <col min="2" max="2" width="2.5" style="6" customWidth="1"/>
    <col min="3" max="23" width="9.33203125" style="6" bestFit="1" customWidth="1"/>
    <col min="24" max="26" width="9.5" style="6" bestFit="1" customWidth="1"/>
    <col min="27" max="30" width="9.33203125" style="6" bestFit="1" customWidth="1"/>
    <col min="31" max="36" width="9.5" style="6" bestFit="1" customWidth="1"/>
    <col min="37" max="38" width="9.33203125" style="6" bestFit="1" customWidth="1"/>
    <col min="39" max="39" width="10.5" style="6" bestFit="1" customWidth="1"/>
    <col min="40" max="40" width="9.33203125" style="6" bestFit="1" customWidth="1"/>
    <col min="41" max="42" width="9.5" style="6" bestFit="1" customWidth="1"/>
    <col min="43" max="45" width="9.33203125" style="6" bestFit="1" customWidth="1"/>
    <col min="46" max="46" width="9.5" style="6" bestFit="1" customWidth="1"/>
    <col min="47" max="47" width="10.1640625" style="6" bestFit="1" customWidth="1"/>
    <col min="48" max="16384" width="9.1640625" style="6"/>
  </cols>
  <sheetData>
    <row r="1" spans="1:47" hidden="1" x14ac:dyDescent="0.15">
      <c r="A1" s="5" t="e">
        <f ca="1">DotStatQuery(B1)</f>
        <v>#NAME?</v>
      </c>
      <c r="B1" s="5" t="s">
        <v>3</v>
      </c>
    </row>
    <row r="2" spans="1:47" ht="26" x14ac:dyDescent="0.15">
      <c r="A2" s="7" t="s">
        <v>211</v>
      </c>
    </row>
    <row r="3" spans="1:47" x14ac:dyDescent="0.15">
      <c r="A3" s="209" t="s">
        <v>40</v>
      </c>
      <c r="B3" s="210"/>
      <c r="C3" s="216" t="s">
        <v>41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8"/>
    </row>
    <row r="4" spans="1:47" ht="13.25" customHeight="1" x14ac:dyDescent="0.15">
      <c r="A4" s="209" t="s">
        <v>4</v>
      </c>
      <c r="B4" s="210"/>
      <c r="C4" s="219" t="s">
        <v>210</v>
      </c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1"/>
    </row>
    <row r="5" spans="1:47" x14ac:dyDescent="0.15">
      <c r="A5" s="209" t="s">
        <v>5</v>
      </c>
      <c r="B5" s="210"/>
      <c r="C5" s="211" t="s">
        <v>6</v>
      </c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3"/>
    </row>
    <row r="6" spans="1:47" x14ac:dyDescent="0.15">
      <c r="A6" s="209" t="s">
        <v>7</v>
      </c>
      <c r="B6" s="210"/>
      <c r="C6" s="211" t="s">
        <v>42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3"/>
    </row>
    <row r="7" spans="1:47" ht="120" x14ac:dyDescent="0.15">
      <c r="A7" s="214" t="s">
        <v>43</v>
      </c>
      <c r="B7" s="215"/>
      <c r="C7" s="8" t="s">
        <v>44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  <c r="K7" s="8" t="s">
        <v>52</v>
      </c>
      <c r="L7" s="8" t="s">
        <v>53</v>
      </c>
      <c r="M7" s="8" t="s">
        <v>54</v>
      </c>
      <c r="N7" s="8" t="s">
        <v>55</v>
      </c>
      <c r="O7" s="8" t="s">
        <v>56</v>
      </c>
      <c r="P7" s="8" t="s">
        <v>57</v>
      </c>
      <c r="Q7" s="8" t="s">
        <v>58</v>
      </c>
      <c r="R7" s="8" t="s">
        <v>59</v>
      </c>
      <c r="S7" s="8" t="s">
        <v>60</v>
      </c>
      <c r="T7" s="8" t="s">
        <v>61</v>
      </c>
      <c r="U7" s="8" t="s">
        <v>62</v>
      </c>
      <c r="V7" s="8" t="s">
        <v>63</v>
      </c>
      <c r="W7" s="8" t="s">
        <v>64</v>
      </c>
      <c r="X7" s="8" t="s">
        <v>65</v>
      </c>
      <c r="Y7" s="8" t="s">
        <v>66</v>
      </c>
      <c r="Z7" s="8" t="s">
        <v>67</v>
      </c>
      <c r="AA7" s="8" t="s">
        <v>68</v>
      </c>
      <c r="AB7" s="8" t="s">
        <v>69</v>
      </c>
      <c r="AC7" s="8" t="s">
        <v>70</v>
      </c>
      <c r="AD7" s="8" t="s">
        <v>71</v>
      </c>
      <c r="AE7" s="8" t="s">
        <v>72</v>
      </c>
      <c r="AF7" s="8" t="s">
        <v>73</v>
      </c>
      <c r="AG7" s="8" t="s">
        <v>74</v>
      </c>
      <c r="AH7" s="8" t="s">
        <v>75</v>
      </c>
      <c r="AI7" s="8" t="s">
        <v>76</v>
      </c>
      <c r="AJ7" s="8" t="s">
        <v>77</v>
      </c>
      <c r="AK7" s="8" t="s">
        <v>78</v>
      </c>
      <c r="AL7" s="8" t="s">
        <v>79</v>
      </c>
      <c r="AM7" s="8" t="s">
        <v>80</v>
      </c>
      <c r="AN7" s="8" t="s">
        <v>81</v>
      </c>
      <c r="AO7" s="8" t="s">
        <v>82</v>
      </c>
      <c r="AP7" s="8" t="s">
        <v>83</v>
      </c>
      <c r="AQ7" s="8" t="s">
        <v>84</v>
      </c>
      <c r="AR7" s="8" t="s">
        <v>85</v>
      </c>
      <c r="AS7" s="8" t="s">
        <v>86</v>
      </c>
      <c r="AT7" s="8" t="s">
        <v>87</v>
      </c>
      <c r="AU7" s="8" t="s">
        <v>88</v>
      </c>
    </row>
    <row r="8" spans="1:47" ht="14" x14ac:dyDescent="0.2">
      <c r="A8" s="9" t="s">
        <v>89</v>
      </c>
      <c r="B8" s="10" t="s">
        <v>8</v>
      </c>
      <c r="C8" s="10" t="s">
        <v>8</v>
      </c>
      <c r="D8" s="10" t="s">
        <v>8</v>
      </c>
      <c r="E8" s="10" t="s">
        <v>8</v>
      </c>
      <c r="F8" s="10" t="s">
        <v>8</v>
      </c>
      <c r="G8" s="10" t="s">
        <v>8</v>
      </c>
      <c r="H8" s="10" t="s">
        <v>8</v>
      </c>
      <c r="I8" s="10" t="s">
        <v>8</v>
      </c>
      <c r="J8" s="10" t="s">
        <v>8</v>
      </c>
      <c r="K8" s="10" t="s">
        <v>8</v>
      </c>
      <c r="L8" s="10" t="s">
        <v>8</v>
      </c>
      <c r="M8" s="10" t="s">
        <v>8</v>
      </c>
      <c r="N8" s="10" t="s">
        <v>8</v>
      </c>
      <c r="O8" s="10" t="s">
        <v>8</v>
      </c>
      <c r="P8" s="10" t="s">
        <v>8</v>
      </c>
      <c r="Q8" s="10" t="s">
        <v>8</v>
      </c>
      <c r="R8" s="10" t="s">
        <v>8</v>
      </c>
      <c r="S8" s="10" t="s">
        <v>8</v>
      </c>
      <c r="T8" s="10" t="s">
        <v>8</v>
      </c>
      <c r="U8" s="10" t="s">
        <v>8</v>
      </c>
      <c r="V8" s="10" t="s">
        <v>8</v>
      </c>
      <c r="W8" s="10" t="s">
        <v>8</v>
      </c>
      <c r="X8" s="10" t="s">
        <v>8</v>
      </c>
      <c r="Y8" s="10" t="s">
        <v>8</v>
      </c>
      <c r="Z8" s="10" t="s">
        <v>8</v>
      </c>
      <c r="AA8" s="10" t="s">
        <v>8</v>
      </c>
      <c r="AB8" s="10" t="s">
        <v>8</v>
      </c>
      <c r="AC8" s="10" t="s">
        <v>8</v>
      </c>
      <c r="AD8" s="10" t="s">
        <v>8</v>
      </c>
      <c r="AE8" s="10" t="s">
        <v>8</v>
      </c>
      <c r="AF8" s="10" t="s">
        <v>8</v>
      </c>
      <c r="AG8" s="10" t="s">
        <v>8</v>
      </c>
      <c r="AH8" s="10" t="s">
        <v>8</v>
      </c>
      <c r="AI8" s="10" t="s">
        <v>8</v>
      </c>
      <c r="AJ8" s="10" t="s">
        <v>8</v>
      </c>
      <c r="AK8" s="10" t="s">
        <v>8</v>
      </c>
      <c r="AL8" s="10" t="s">
        <v>8</v>
      </c>
      <c r="AM8" s="10" t="s">
        <v>8</v>
      </c>
      <c r="AN8" s="10" t="s">
        <v>8</v>
      </c>
      <c r="AO8" s="10" t="s">
        <v>8</v>
      </c>
      <c r="AP8" s="10" t="s">
        <v>8</v>
      </c>
      <c r="AQ8" s="10" t="s">
        <v>8</v>
      </c>
      <c r="AR8" s="10" t="s">
        <v>8</v>
      </c>
      <c r="AS8" s="10" t="s">
        <v>8</v>
      </c>
      <c r="AT8" s="10" t="s">
        <v>8</v>
      </c>
      <c r="AU8" s="10" t="s">
        <v>8</v>
      </c>
    </row>
    <row r="9" spans="1:47" ht="24" x14ac:dyDescent="0.2">
      <c r="A9" s="11" t="s">
        <v>90</v>
      </c>
      <c r="B9" s="10" t="s">
        <v>8</v>
      </c>
      <c r="C9" s="12">
        <v>6071.2</v>
      </c>
      <c r="D9" s="12">
        <v>22.9</v>
      </c>
      <c r="E9" s="12">
        <v>12.6</v>
      </c>
      <c r="F9" s="12">
        <v>5.4</v>
      </c>
      <c r="G9" s="12">
        <v>54628.4</v>
      </c>
      <c r="H9" s="12">
        <v>1070.9000000000001</v>
      </c>
      <c r="I9" s="12">
        <v>950.5</v>
      </c>
      <c r="J9" s="12">
        <v>1220.4000000000001</v>
      </c>
      <c r="K9" s="12">
        <v>3732.1</v>
      </c>
      <c r="L9" s="12">
        <v>116.1</v>
      </c>
      <c r="M9" s="12">
        <v>376.9</v>
      </c>
      <c r="N9" s="12">
        <v>55</v>
      </c>
      <c r="O9" s="12">
        <v>271.2</v>
      </c>
      <c r="P9" s="12">
        <v>7.4</v>
      </c>
      <c r="Q9" s="12">
        <v>1.9</v>
      </c>
      <c r="R9" s="12">
        <v>1.6</v>
      </c>
      <c r="S9" s="12">
        <v>2.6</v>
      </c>
      <c r="T9" s="12">
        <v>17</v>
      </c>
      <c r="U9" s="12">
        <v>4.9000000000000004</v>
      </c>
      <c r="V9" s="12">
        <v>15.4</v>
      </c>
      <c r="W9" s="12">
        <v>16.5</v>
      </c>
      <c r="X9" s="12">
        <v>420</v>
      </c>
      <c r="Y9" s="12">
        <v>820.1</v>
      </c>
      <c r="Z9" s="12">
        <v>24.6</v>
      </c>
      <c r="AA9" s="12">
        <v>1503.9</v>
      </c>
      <c r="AB9" s="12">
        <v>3.6</v>
      </c>
      <c r="AC9" s="12">
        <v>19.5</v>
      </c>
      <c r="AD9" s="12">
        <v>5.6</v>
      </c>
      <c r="AE9" s="12">
        <v>25.7</v>
      </c>
      <c r="AF9" s="12">
        <v>52</v>
      </c>
      <c r="AG9" s="12">
        <v>88.9</v>
      </c>
      <c r="AH9" s="12">
        <v>360.6</v>
      </c>
      <c r="AI9" s="12">
        <v>254.5</v>
      </c>
      <c r="AJ9" s="12">
        <v>170.5</v>
      </c>
      <c r="AK9" s="12">
        <v>156</v>
      </c>
      <c r="AL9" s="12">
        <v>0</v>
      </c>
      <c r="AM9" s="12">
        <v>35490.9</v>
      </c>
      <c r="AN9" s="12">
        <v>0</v>
      </c>
      <c r="AO9" s="12">
        <v>2021.7</v>
      </c>
      <c r="AP9" s="12">
        <v>5117.2</v>
      </c>
      <c r="AQ9" s="12">
        <v>-280.5</v>
      </c>
      <c r="AR9" s="12">
        <v>150.19999999999999</v>
      </c>
      <c r="AS9" s="12">
        <v>17.399999999999999</v>
      </c>
      <c r="AT9" s="12">
        <v>34291.800000000003</v>
      </c>
      <c r="AU9" s="12">
        <v>-3343.4</v>
      </c>
    </row>
    <row r="10" spans="1:47" ht="24" x14ac:dyDescent="0.2">
      <c r="A10" s="11" t="s">
        <v>91</v>
      </c>
      <c r="B10" s="10" t="s">
        <v>8</v>
      </c>
      <c r="C10" s="13">
        <v>35.200000000000003</v>
      </c>
      <c r="D10" s="13">
        <v>3165.2</v>
      </c>
      <c r="E10" s="13">
        <v>72.900000000000006</v>
      </c>
      <c r="F10" s="13">
        <v>283.8</v>
      </c>
      <c r="G10" s="13">
        <v>439.3</v>
      </c>
      <c r="H10" s="13">
        <v>57.8</v>
      </c>
      <c r="I10" s="13">
        <v>17.3</v>
      </c>
      <c r="J10" s="13">
        <v>268.7</v>
      </c>
      <c r="K10" s="13">
        <v>32198.400000000001</v>
      </c>
      <c r="L10" s="13">
        <v>855.8</v>
      </c>
      <c r="M10" s="13">
        <v>35.9</v>
      </c>
      <c r="N10" s="13">
        <v>233.3</v>
      </c>
      <c r="O10" s="13">
        <v>1547.6</v>
      </c>
      <c r="P10" s="13">
        <v>152.19999999999999</v>
      </c>
      <c r="Q10" s="13">
        <v>1.2</v>
      </c>
      <c r="R10" s="13">
        <v>10.199999999999999</v>
      </c>
      <c r="S10" s="13">
        <v>11.8</v>
      </c>
      <c r="T10" s="13">
        <v>112.3</v>
      </c>
      <c r="U10" s="13">
        <v>13.9</v>
      </c>
      <c r="V10" s="13">
        <v>3.6</v>
      </c>
      <c r="W10" s="13">
        <v>4544.1000000000004</v>
      </c>
      <c r="X10" s="13">
        <v>241</v>
      </c>
      <c r="Y10" s="13">
        <v>260.3</v>
      </c>
      <c r="Z10" s="13">
        <v>138.4</v>
      </c>
      <c r="AA10" s="13">
        <v>6.9</v>
      </c>
      <c r="AB10" s="13">
        <v>2.1</v>
      </c>
      <c r="AC10" s="13">
        <v>20</v>
      </c>
      <c r="AD10" s="13">
        <v>4.4000000000000004</v>
      </c>
      <c r="AE10" s="13">
        <v>45.9</v>
      </c>
      <c r="AF10" s="13">
        <v>82.2</v>
      </c>
      <c r="AG10" s="13">
        <v>80.7</v>
      </c>
      <c r="AH10" s="13">
        <v>75</v>
      </c>
      <c r="AI10" s="13">
        <v>12.5</v>
      </c>
      <c r="AJ10" s="13">
        <v>199.1</v>
      </c>
      <c r="AK10" s="13">
        <v>150.6</v>
      </c>
      <c r="AL10" s="13">
        <v>0</v>
      </c>
      <c r="AM10" s="13">
        <v>161.6</v>
      </c>
      <c r="AN10" s="13">
        <v>0</v>
      </c>
      <c r="AO10" s="13">
        <v>32.700000000000003</v>
      </c>
      <c r="AP10" s="13">
        <v>4254.8</v>
      </c>
      <c r="AQ10" s="13">
        <v>-228.8</v>
      </c>
      <c r="AR10" s="13">
        <v>6.4</v>
      </c>
      <c r="AS10" s="13">
        <v>0.2</v>
      </c>
      <c r="AT10" s="13">
        <v>11513.1</v>
      </c>
      <c r="AU10" s="13">
        <v>-13509.9</v>
      </c>
    </row>
    <row r="11" spans="1:47" ht="24" x14ac:dyDescent="0.2">
      <c r="A11" s="11" t="s">
        <v>92</v>
      </c>
      <c r="B11" s="10" t="s">
        <v>8</v>
      </c>
      <c r="C11" s="12">
        <v>148.4</v>
      </c>
      <c r="D11" s="12">
        <v>134.80000000000001</v>
      </c>
      <c r="E11" s="12">
        <v>774.1</v>
      </c>
      <c r="F11" s="12">
        <v>24.4</v>
      </c>
      <c r="G11" s="12">
        <v>141.5</v>
      </c>
      <c r="H11" s="12">
        <v>4.0999999999999996</v>
      </c>
      <c r="I11" s="12">
        <v>0.7</v>
      </c>
      <c r="J11" s="12">
        <v>18.5</v>
      </c>
      <c r="K11" s="12">
        <v>66.900000000000006</v>
      </c>
      <c r="L11" s="12">
        <v>1065.0999999999999</v>
      </c>
      <c r="M11" s="12">
        <v>12.7</v>
      </c>
      <c r="N11" s="12">
        <v>1577.5</v>
      </c>
      <c r="O11" s="12">
        <v>6004.1</v>
      </c>
      <c r="P11" s="12">
        <v>79.900000000000006</v>
      </c>
      <c r="Q11" s="12">
        <v>5.5</v>
      </c>
      <c r="R11" s="12">
        <v>196.1</v>
      </c>
      <c r="S11" s="12">
        <v>33.4</v>
      </c>
      <c r="T11" s="12">
        <v>118.3</v>
      </c>
      <c r="U11" s="12">
        <v>22</v>
      </c>
      <c r="V11" s="12">
        <v>84.1</v>
      </c>
      <c r="W11" s="12">
        <v>34.6</v>
      </c>
      <c r="X11" s="12">
        <v>1914.2</v>
      </c>
      <c r="Y11" s="12">
        <v>60.7</v>
      </c>
      <c r="Z11" s="12">
        <v>17.100000000000001</v>
      </c>
      <c r="AA11" s="12">
        <v>3</v>
      </c>
      <c r="AB11" s="12">
        <v>0.3</v>
      </c>
      <c r="AC11" s="12">
        <v>0.7</v>
      </c>
      <c r="AD11" s="12">
        <v>0.5</v>
      </c>
      <c r="AE11" s="12">
        <v>6.2</v>
      </c>
      <c r="AF11" s="12">
        <v>30.5</v>
      </c>
      <c r="AG11" s="12">
        <v>12.9</v>
      </c>
      <c r="AH11" s="12">
        <v>80.599999999999994</v>
      </c>
      <c r="AI11" s="12">
        <v>6</v>
      </c>
      <c r="AJ11" s="12">
        <v>7.9</v>
      </c>
      <c r="AK11" s="12">
        <v>23.6</v>
      </c>
      <c r="AL11" s="12">
        <v>0</v>
      </c>
      <c r="AM11" s="12">
        <v>86.6</v>
      </c>
      <c r="AN11" s="12">
        <v>0</v>
      </c>
      <c r="AO11" s="12">
        <v>3.6</v>
      </c>
      <c r="AP11" s="12">
        <v>68.900000000000006</v>
      </c>
      <c r="AQ11" s="12">
        <v>-49.2</v>
      </c>
      <c r="AR11" s="12">
        <v>1.1000000000000001</v>
      </c>
      <c r="AS11" s="12">
        <v>0</v>
      </c>
      <c r="AT11" s="12">
        <v>15903.2</v>
      </c>
      <c r="AU11" s="12">
        <v>-2324.1</v>
      </c>
    </row>
    <row r="12" spans="1:47" ht="24" x14ac:dyDescent="0.2">
      <c r="A12" s="11" t="s">
        <v>93</v>
      </c>
      <c r="B12" s="10" t="s">
        <v>8</v>
      </c>
      <c r="C12" s="13">
        <v>390.2</v>
      </c>
      <c r="D12" s="13">
        <v>1981.2</v>
      </c>
      <c r="E12" s="13">
        <v>412.9</v>
      </c>
      <c r="F12" s="13">
        <v>281.3</v>
      </c>
      <c r="G12" s="13">
        <v>96.6</v>
      </c>
      <c r="H12" s="13">
        <v>0</v>
      </c>
      <c r="I12" s="13">
        <v>2.6</v>
      </c>
      <c r="J12" s="13">
        <v>22.8</v>
      </c>
      <c r="K12" s="13">
        <v>67.599999999999994</v>
      </c>
      <c r="L12" s="13">
        <v>28.6</v>
      </c>
      <c r="M12" s="13">
        <v>29.1</v>
      </c>
      <c r="N12" s="13">
        <v>15</v>
      </c>
      <c r="O12" s="13">
        <v>6.5</v>
      </c>
      <c r="P12" s="13">
        <v>0.7</v>
      </c>
      <c r="Q12" s="13">
        <v>0</v>
      </c>
      <c r="R12" s="13">
        <v>0.1</v>
      </c>
      <c r="S12" s="13">
        <v>13.2</v>
      </c>
      <c r="T12" s="13">
        <v>0.5</v>
      </c>
      <c r="U12" s="13">
        <v>0.1</v>
      </c>
      <c r="V12" s="13">
        <v>6.9</v>
      </c>
      <c r="W12" s="13">
        <v>166.7</v>
      </c>
      <c r="X12" s="13">
        <v>439.9</v>
      </c>
      <c r="Y12" s="13">
        <v>0.8</v>
      </c>
      <c r="Z12" s="13">
        <v>14.5</v>
      </c>
      <c r="AA12" s="13">
        <v>0.1</v>
      </c>
      <c r="AB12" s="13">
        <v>0</v>
      </c>
      <c r="AC12" s="13">
        <v>0</v>
      </c>
      <c r="AD12" s="13">
        <v>0.1</v>
      </c>
      <c r="AE12" s="13">
        <v>0.2</v>
      </c>
      <c r="AF12" s="13">
        <v>0</v>
      </c>
      <c r="AG12" s="13">
        <v>9.4</v>
      </c>
      <c r="AH12" s="13">
        <v>53.2</v>
      </c>
      <c r="AI12" s="13">
        <v>17.899999999999999</v>
      </c>
      <c r="AJ12" s="13">
        <v>0.5</v>
      </c>
      <c r="AK12" s="13">
        <v>0.5</v>
      </c>
      <c r="AL12" s="13">
        <v>0</v>
      </c>
      <c r="AM12" s="13">
        <v>0.4</v>
      </c>
      <c r="AN12" s="13">
        <v>0</v>
      </c>
      <c r="AO12" s="13">
        <v>781.8</v>
      </c>
      <c r="AP12" s="13">
        <v>0.7</v>
      </c>
      <c r="AQ12" s="13">
        <v>0.5</v>
      </c>
      <c r="AR12" s="13">
        <v>0.2</v>
      </c>
      <c r="AS12" s="13">
        <v>0</v>
      </c>
      <c r="AT12" s="13">
        <v>62.1</v>
      </c>
      <c r="AU12" s="13">
        <v>-73.5</v>
      </c>
    </row>
    <row r="13" spans="1:47" ht="24" x14ac:dyDescent="0.2">
      <c r="A13" s="11" t="s">
        <v>94</v>
      </c>
      <c r="B13" s="10" t="s">
        <v>8</v>
      </c>
      <c r="C13" s="12">
        <v>4743.3</v>
      </c>
      <c r="D13" s="12">
        <v>149.80000000000001</v>
      </c>
      <c r="E13" s="12">
        <v>51.6</v>
      </c>
      <c r="F13" s="12">
        <v>7.4</v>
      </c>
      <c r="G13" s="12">
        <v>27878.5</v>
      </c>
      <c r="H13" s="12">
        <v>668.7</v>
      </c>
      <c r="I13" s="12">
        <v>34</v>
      </c>
      <c r="J13" s="12">
        <v>335.2</v>
      </c>
      <c r="K13" s="12">
        <v>1174.7</v>
      </c>
      <c r="L13" s="12">
        <v>3015</v>
      </c>
      <c r="M13" s="12">
        <v>451.2</v>
      </c>
      <c r="N13" s="12">
        <v>114.2</v>
      </c>
      <c r="O13" s="12">
        <v>97.4</v>
      </c>
      <c r="P13" s="12">
        <v>98.3</v>
      </c>
      <c r="Q13" s="12">
        <v>40.5</v>
      </c>
      <c r="R13" s="12">
        <v>87.7</v>
      </c>
      <c r="S13" s="12">
        <v>59.5</v>
      </c>
      <c r="T13" s="12">
        <v>93.1</v>
      </c>
      <c r="U13" s="12">
        <v>33.299999999999997</v>
      </c>
      <c r="V13" s="12">
        <v>122.2</v>
      </c>
      <c r="W13" s="12">
        <v>85.3</v>
      </c>
      <c r="X13" s="12">
        <v>290.89999999999998</v>
      </c>
      <c r="Y13" s="12">
        <v>1161.8</v>
      </c>
      <c r="Z13" s="12">
        <v>160.4</v>
      </c>
      <c r="AA13" s="12">
        <v>14989</v>
      </c>
      <c r="AB13" s="12">
        <v>28</v>
      </c>
      <c r="AC13" s="12">
        <v>60.4</v>
      </c>
      <c r="AD13" s="12">
        <v>33.9</v>
      </c>
      <c r="AE13" s="12">
        <v>96.7</v>
      </c>
      <c r="AF13" s="12">
        <v>34.799999999999997</v>
      </c>
      <c r="AG13" s="12">
        <v>228.4</v>
      </c>
      <c r="AH13" s="12">
        <v>991.2</v>
      </c>
      <c r="AI13" s="12">
        <v>994.4</v>
      </c>
      <c r="AJ13" s="12">
        <v>936.3</v>
      </c>
      <c r="AK13" s="12">
        <v>468.5</v>
      </c>
      <c r="AL13" s="12">
        <v>0</v>
      </c>
      <c r="AM13" s="12">
        <v>110403.4</v>
      </c>
      <c r="AN13" s="12">
        <v>0.3</v>
      </c>
      <c r="AO13" s="12">
        <v>1487.2</v>
      </c>
      <c r="AP13" s="12">
        <v>372.6</v>
      </c>
      <c r="AQ13" s="12">
        <v>109.8</v>
      </c>
      <c r="AR13" s="12">
        <v>583.79999999999995</v>
      </c>
      <c r="AS13" s="12">
        <v>53.8</v>
      </c>
      <c r="AT13" s="12">
        <v>30575.3</v>
      </c>
      <c r="AU13" s="12">
        <v>-7327.9</v>
      </c>
    </row>
    <row r="14" spans="1:47" ht="24" x14ac:dyDescent="0.2">
      <c r="A14" s="11" t="s">
        <v>95</v>
      </c>
      <c r="B14" s="10" t="s">
        <v>8</v>
      </c>
      <c r="C14" s="13">
        <v>228.6</v>
      </c>
      <c r="D14" s="13">
        <v>38.4</v>
      </c>
      <c r="E14" s="13">
        <v>10.7</v>
      </c>
      <c r="F14" s="13">
        <v>6.9</v>
      </c>
      <c r="G14" s="13">
        <v>164</v>
      </c>
      <c r="H14" s="13">
        <v>10509.7</v>
      </c>
      <c r="I14" s="13">
        <v>3.1</v>
      </c>
      <c r="J14" s="13">
        <v>108.6</v>
      </c>
      <c r="K14" s="13">
        <v>30.3</v>
      </c>
      <c r="L14" s="13">
        <v>167.6</v>
      </c>
      <c r="M14" s="13">
        <v>151.19999999999999</v>
      </c>
      <c r="N14" s="13">
        <v>16.5</v>
      </c>
      <c r="O14" s="13">
        <v>11.2</v>
      </c>
      <c r="P14" s="13">
        <v>55.8</v>
      </c>
      <c r="Q14" s="13">
        <v>7.8</v>
      </c>
      <c r="R14" s="13">
        <v>12.7</v>
      </c>
      <c r="S14" s="13">
        <v>15.3</v>
      </c>
      <c r="T14" s="13">
        <v>374.8</v>
      </c>
      <c r="U14" s="13">
        <v>65.900000000000006</v>
      </c>
      <c r="V14" s="13">
        <v>389.3</v>
      </c>
      <c r="W14" s="13">
        <v>130.19999999999999</v>
      </c>
      <c r="X14" s="13">
        <v>216.5</v>
      </c>
      <c r="Y14" s="13">
        <v>650.20000000000005</v>
      </c>
      <c r="Z14" s="13">
        <v>75.8</v>
      </c>
      <c r="AA14" s="13">
        <v>112.6</v>
      </c>
      <c r="AB14" s="13">
        <v>23.9</v>
      </c>
      <c r="AC14" s="13">
        <v>9.3000000000000007</v>
      </c>
      <c r="AD14" s="13">
        <v>5.3</v>
      </c>
      <c r="AE14" s="13">
        <v>82.5</v>
      </c>
      <c r="AF14" s="13">
        <v>7.7</v>
      </c>
      <c r="AG14" s="13">
        <v>100.3</v>
      </c>
      <c r="AH14" s="13">
        <v>238</v>
      </c>
      <c r="AI14" s="13">
        <v>75.7</v>
      </c>
      <c r="AJ14" s="13">
        <v>323.39999999999998</v>
      </c>
      <c r="AK14" s="13">
        <v>261.60000000000002</v>
      </c>
      <c r="AL14" s="13">
        <v>0</v>
      </c>
      <c r="AM14" s="13">
        <v>33181.699999999997</v>
      </c>
      <c r="AN14" s="13">
        <v>0</v>
      </c>
      <c r="AO14" s="13">
        <v>176.4</v>
      </c>
      <c r="AP14" s="13">
        <v>151</v>
      </c>
      <c r="AQ14" s="13">
        <v>12.1</v>
      </c>
      <c r="AR14" s="13">
        <v>213.7</v>
      </c>
      <c r="AS14" s="13">
        <v>31.1</v>
      </c>
      <c r="AT14" s="13">
        <v>3595.2</v>
      </c>
      <c r="AU14" s="13">
        <v>-7272.9</v>
      </c>
    </row>
    <row r="15" spans="1:47" ht="24" x14ac:dyDescent="0.2">
      <c r="A15" s="11" t="s">
        <v>96</v>
      </c>
      <c r="B15" s="10" t="s">
        <v>8</v>
      </c>
      <c r="C15" s="12">
        <v>227.7</v>
      </c>
      <c r="D15" s="12">
        <v>2.6</v>
      </c>
      <c r="E15" s="12">
        <v>12.4</v>
      </c>
      <c r="F15" s="12">
        <v>6.4</v>
      </c>
      <c r="G15" s="12">
        <v>139.9</v>
      </c>
      <c r="H15" s="12">
        <v>10.3</v>
      </c>
      <c r="I15" s="12">
        <v>921.6</v>
      </c>
      <c r="J15" s="12">
        <v>114.9</v>
      </c>
      <c r="K15" s="12">
        <v>1.8</v>
      </c>
      <c r="L15" s="12">
        <v>24.1</v>
      </c>
      <c r="M15" s="12">
        <v>6.6</v>
      </c>
      <c r="N15" s="12">
        <v>12.4</v>
      </c>
      <c r="O15" s="12">
        <v>10.9</v>
      </c>
      <c r="P15" s="12">
        <v>66.3</v>
      </c>
      <c r="Q15" s="12">
        <v>2.4</v>
      </c>
      <c r="R15" s="12">
        <v>2.8</v>
      </c>
      <c r="S15" s="12">
        <v>79.400000000000006</v>
      </c>
      <c r="T15" s="12">
        <v>68.5</v>
      </c>
      <c r="U15" s="12">
        <v>48</v>
      </c>
      <c r="V15" s="12">
        <v>1515.3</v>
      </c>
      <c r="W15" s="12">
        <v>114.7</v>
      </c>
      <c r="X15" s="12">
        <v>1317.5</v>
      </c>
      <c r="Y15" s="12">
        <v>246.9</v>
      </c>
      <c r="Z15" s="12">
        <v>34.799999999999997</v>
      </c>
      <c r="AA15" s="12">
        <v>5.6</v>
      </c>
      <c r="AB15" s="12">
        <v>21.3</v>
      </c>
      <c r="AC15" s="12">
        <v>3.5</v>
      </c>
      <c r="AD15" s="12">
        <v>2</v>
      </c>
      <c r="AE15" s="12">
        <v>22.8</v>
      </c>
      <c r="AF15" s="12">
        <v>233.6</v>
      </c>
      <c r="AG15" s="12">
        <v>70.900000000000006</v>
      </c>
      <c r="AH15" s="12">
        <v>80.3</v>
      </c>
      <c r="AI15" s="12">
        <v>13</v>
      </c>
      <c r="AJ15" s="12">
        <v>28.2</v>
      </c>
      <c r="AK15" s="12">
        <v>112.8</v>
      </c>
      <c r="AL15" s="12">
        <v>0</v>
      </c>
      <c r="AM15" s="12">
        <v>629.29999999999995</v>
      </c>
      <c r="AN15" s="12">
        <v>0</v>
      </c>
      <c r="AO15" s="12">
        <v>24.3</v>
      </c>
      <c r="AP15" s="12">
        <v>66.099999999999994</v>
      </c>
      <c r="AQ15" s="12">
        <v>7.1</v>
      </c>
      <c r="AR15" s="12">
        <v>18.7</v>
      </c>
      <c r="AS15" s="12">
        <v>2.1</v>
      </c>
      <c r="AT15" s="12">
        <v>1946.9</v>
      </c>
      <c r="AU15" s="12">
        <v>-231.7</v>
      </c>
    </row>
    <row r="16" spans="1:47" ht="24" x14ac:dyDescent="0.2">
      <c r="A16" s="11" t="s">
        <v>97</v>
      </c>
      <c r="B16" s="10" t="s">
        <v>8</v>
      </c>
      <c r="C16" s="13">
        <v>188.1</v>
      </c>
      <c r="D16" s="13">
        <v>20.7</v>
      </c>
      <c r="E16" s="13">
        <v>66.3</v>
      </c>
      <c r="F16" s="13">
        <v>5.3</v>
      </c>
      <c r="G16" s="13">
        <v>2522</v>
      </c>
      <c r="H16" s="13">
        <v>454.3</v>
      </c>
      <c r="I16" s="13">
        <v>219.3</v>
      </c>
      <c r="J16" s="13">
        <v>4083.1</v>
      </c>
      <c r="K16" s="13">
        <v>58.6</v>
      </c>
      <c r="L16" s="13">
        <v>898.6</v>
      </c>
      <c r="M16" s="13">
        <v>553.29999999999995</v>
      </c>
      <c r="N16" s="13">
        <v>536.1</v>
      </c>
      <c r="O16" s="13">
        <v>28.2</v>
      </c>
      <c r="P16" s="13">
        <v>389.4</v>
      </c>
      <c r="Q16" s="13">
        <v>372.5</v>
      </c>
      <c r="R16" s="13">
        <v>121.6</v>
      </c>
      <c r="S16" s="13">
        <v>80.400000000000006</v>
      </c>
      <c r="T16" s="13">
        <v>324.2</v>
      </c>
      <c r="U16" s="13">
        <v>32.700000000000003</v>
      </c>
      <c r="V16" s="13">
        <v>302.39999999999998</v>
      </c>
      <c r="W16" s="13">
        <v>180.4</v>
      </c>
      <c r="X16" s="13">
        <v>153.19999999999999</v>
      </c>
      <c r="Y16" s="13">
        <v>1780.9</v>
      </c>
      <c r="Z16" s="13">
        <v>253.2</v>
      </c>
      <c r="AA16" s="13">
        <v>293.10000000000002</v>
      </c>
      <c r="AB16" s="13">
        <v>882.7</v>
      </c>
      <c r="AC16" s="13">
        <v>278.2</v>
      </c>
      <c r="AD16" s="13">
        <v>274.3</v>
      </c>
      <c r="AE16" s="13">
        <v>850.9</v>
      </c>
      <c r="AF16" s="13">
        <v>81.5</v>
      </c>
      <c r="AG16" s="13">
        <v>1398.7</v>
      </c>
      <c r="AH16" s="13">
        <v>1180.5999999999999</v>
      </c>
      <c r="AI16" s="13">
        <v>452.2</v>
      </c>
      <c r="AJ16" s="13">
        <v>532.1</v>
      </c>
      <c r="AK16" s="13">
        <v>634.6</v>
      </c>
      <c r="AL16" s="13">
        <v>0</v>
      </c>
      <c r="AM16" s="13">
        <v>3926.1</v>
      </c>
      <c r="AN16" s="13">
        <v>0.1</v>
      </c>
      <c r="AO16" s="13">
        <v>89.5</v>
      </c>
      <c r="AP16" s="13">
        <v>232.6</v>
      </c>
      <c r="AQ16" s="13">
        <v>-2.9</v>
      </c>
      <c r="AR16" s="13">
        <v>80.900000000000006</v>
      </c>
      <c r="AS16" s="13">
        <v>5.5</v>
      </c>
      <c r="AT16" s="13">
        <v>6840.4</v>
      </c>
      <c r="AU16" s="13">
        <v>-1455.7</v>
      </c>
    </row>
    <row r="17" spans="1:47" ht="24" x14ac:dyDescent="0.2">
      <c r="A17" s="11" t="s">
        <v>98</v>
      </c>
      <c r="B17" s="10" t="s">
        <v>8</v>
      </c>
      <c r="C17" s="12">
        <v>5688.7</v>
      </c>
      <c r="D17" s="12">
        <v>827.5</v>
      </c>
      <c r="E17" s="12">
        <v>1510.3</v>
      </c>
      <c r="F17" s="12">
        <v>143.9</v>
      </c>
      <c r="G17" s="12">
        <v>2877.5</v>
      </c>
      <c r="H17" s="12">
        <v>364.4</v>
      </c>
      <c r="I17" s="12">
        <v>109.2</v>
      </c>
      <c r="J17" s="12">
        <v>672</v>
      </c>
      <c r="K17" s="12">
        <v>33940.1</v>
      </c>
      <c r="L17" s="12">
        <v>8081.3</v>
      </c>
      <c r="M17" s="12">
        <v>1029</v>
      </c>
      <c r="N17" s="12">
        <v>1292.0999999999999</v>
      </c>
      <c r="O17" s="12">
        <v>1540.9</v>
      </c>
      <c r="P17" s="12">
        <v>215.2</v>
      </c>
      <c r="Q17" s="12">
        <v>69.3</v>
      </c>
      <c r="R17" s="12">
        <v>320.10000000000002</v>
      </c>
      <c r="S17" s="12">
        <v>147.6</v>
      </c>
      <c r="T17" s="12">
        <v>502.1</v>
      </c>
      <c r="U17" s="12">
        <v>114.9</v>
      </c>
      <c r="V17" s="12">
        <v>269.7</v>
      </c>
      <c r="W17" s="12">
        <v>1787.7</v>
      </c>
      <c r="X17" s="12">
        <v>2515.1999999999998</v>
      </c>
      <c r="Y17" s="12">
        <v>2028.1</v>
      </c>
      <c r="Z17" s="12">
        <v>21335</v>
      </c>
      <c r="AA17" s="12">
        <v>463.2</v>
      </c>
      <c r="AB17" s="12">
        <v>29.2</v>
      </c>
      <c r="AC17" s="12">
        <v>36.4</v>
      </c>
      <c r="AD17" s="12">
        <v>38.299999999999997</v>
      </c>
      <c r="AE17" s="12">
        <v>419.7</v>
      </c>
      <c r="AF17" s="12">
        <v>148.69999999999999</v>
      </c>
      <c r="AG17" s="12">
        <v>742.5</v>
      </c>
      <c r="AH17" s="12">
        <v>1617.5</v>
      </c>
      <c r="AI17" s="12">
        <v>182.7</v>
      </c>
      <c r="AJ17" s="12">
        <v>614.9</v>
      </c>
      <c r="AK17" s="12">
        <v>473.1</v>
      </c>
      <c r="AL17" s="12">
        <v>0</v>
      </c>
      <c r="AM17" s="12">
        <v>24668</v>
      </c>
      <c r="AN17" s="12">
        <v>0</v>
      </c>
      <c r="AO17" s="12">
        <v>38.700000000000003</v>
      </c>
      <c r="AP17" s="12">
        <v>25.1</v>
      </c>
      <c r="AQ17" s="12">
        <v>44.1</v>
      </c>
      <c r="AR17" s="12">
        <v>186.4</v>
      </c>
      <c r="AS17" s="12">
        <v>15.6</v>
      </c>
      <c r="AT17" s="12">
        <v>4745.1000000000004</v>
      </c>
      <c r="AU17" s="12">
        <v>-8905.2000000000007</v>
      </c>
    </row>
    <row r="18" spans="1:47" ht="24" x14ac:dyDescent="0.2">
      <c r="A18" s="11" t="s">
        <v>99</v>
      </c>
      <c r="B18" s="10" t="s">
        <v>8</v>
      </c>
      <c r="C18" s="13">
        <v>19057.5</v>
      </c>
      <c r="D18" s="13">
        <v>1385.4</v>
      </c>
      <c r="E18" s="13">
        <v>418.3</v>
      </c>
      <c r="F18" s="13">
        <v>50.4</v>
      </c>
      <c r="G18" s="13">
        <v>2524.5</v>
      </c>
      <c r="H18" s="13">
        <v>2288.6999999999998</v>
      </c>
      <c r="I18" s="13">
        <v>422.4</v>
      </c>
      <c r="J18" s="13">
        <v>2499</v>
      </c>
      <c r="K18" s="13">
        <v>6057.7</v>
      </c>
      <c r="L18" s="13">
        <v>29472.799999999999</v>
      </c>
      <c r="M18" s="13">
        <v>6115.7</v>
      </c>
      <c r="N18" s="13">
        <v>1452.5</v>
      </c>
      <c r="O18" s="13">
        <v>1014</v>
      </c>
      <c r="P18" s="13">
        <v>997.2</v>
      </c>
      <c r="Q18" s="13">
        <v>207.7</v>
      </c>
      <c r="R18" s="13">
        <v>1029.4000000000001</v>
      </c>
      <c r="S18" s="13">
        <v>215.2</v>
      </c>
      <c r="T18" s="13">
        <v>849.5</v>
      </c>
      <c r="U18" s="13">
        <v>207.3</v>
      </c>
      <c r="V18" s="13">
        <v>1179.2</v>
      </c>
      <c r="W18" s="13">
        <v>280.2</v>
      </c>
      <c r="X18" s="13">
        <v>2741.7</v>
      </c>
      <c r="Y18" s="13">
        <v>1212.3</v>
      </c>
      <c r="Z18" s="13">
        <v>740.2</v>
      </c>
      <c r="AA18" s="13">
        <v>124.3</v>
      </c>
      <c r="AB18" s="13">
        <v>99.4</v>
      </c>
      <c r="AC18" s="13">
        <v>82.1</v>
      </c>
      <c r="AD18" s="13">
        <v>31.6</v>
      </c>
      <c r="AE18" s="13">
        <v>181.1</v>
      </c>
      <c r="AF18" s="13">
        <v>180</v>
      </c>
      <c r="AG18" s="13">
        <v>565.1</v>
      </c>
      <c r="AH18" s="13">
        <v>553.1</v>
      </c>
      <c r="AI18" s="13">
        <v>329.5</v>
      </c>
      <c r="AJ18" s="13">
        <v>1797.3</v>
      </c>
      <c r="AK18" s="13">
        <v>558.70000000000005</v>
      </c>
      <c r="AL18" s="13">
        <v>0</v>
      </c>
      <c r="AM18" s="13">
        <v>33283.1</v>
      </c>
      <c r="AN18" s="13">
        <v>0.3</v>
      </c>
      <c r="AO18" s="13">
        <v>10168.299999999999</v>
      </c>
      <c r="AP18" s="13">
        <v>1088.4000000000001</v>
      </c>
      <c r="AQ18" s="13">
        <v>27.5</v>
      </c>
      <c r="AR18" s="13">
        <v>144.19999999999999</v>
      </c>
      <c r="AS18" s="13">
        <v>10.6</v>
      </c>
      <c r="AT18" s="13">
        <v>8173.9</v>
      </c>
      <c r="AU18" s="13">
        <v>-30495.7</v>
      </c>
    </row>
    <row r="19" spans="1:47" ht="14" x14ac:dyDescent="0.2">
      <c r="A19" s="11" t="s">
        <v>100</v>
      </c>
      <c r="B19" s="10" t="s">
        <v>8</v>
      </c>
      <c r="C19" s="12">
        <v>316.89999999999998</v>
      </c>
      <c r="D19" s="12">
        <v>46.8</v>
      </c>
      <c r="E19" s="12">
        <v>216.1</v>
      </c>
      <c r="F19" s="12">
        <v>31</v>
      </c>
      <c r="G19" s="12">
        <v>4089.3</v>
      </c>
      <c r="H19" s="12">
        <v>357.3</v>
      </c>
      <c r="I19" s="12">
        <v>63.5</v>
      </c>
      <c r="J19" s="12">
        <v>465.7</v>
      </c>
      <c r="K19" s="12">
        <v>59.6</v>
      </c>
      <c r="L19" s="12">
        <v>1359.2</v>
      </c>
      <c r="M19" s="12">
        <v>4231.3999999999996</v>
      </c>
      <c r="N19" s="12">
        <v>624.20000000000005</v>
      </c>
      <c r="O19" s="12">
        <v>178.3</v>
      </c>
      <c r="P19" s="12">
        <v>244.5</v>
      </c>
      <c r="Q19" s="12">
        <v>372.3</v>
      </c>
      <c r="R19" s="12">
        <v>598.79999999999995</v>
      </c>
      <c r="S19" s="12">
        <v>629</v>
      </c>
      <c r="T19" s="12">
        <v>3840</v>
      </c>
      <c r="U19" s="12">
        <v>259.5</v>
      </c>
      <c r="V19" s="12">
        <v>1055.7</v>
      </c>
      <c r="W19" s="12">
        <v>166.9</v>
      </c>
      <c r="X19" s="12">
        <v>3479.3</v>
      </c>
      <c r="Y19" s="12">
        <v>1502.1</v>
      </c>
      <c r="Z19" s="12">
        <v>2097.6999999999998</v>
      </c>
      <c r="AA19" s="12">
        <v>110.2</v>
      </c>
      <c r="AB19" s="12">
        <v>7.2</v>
      </c>
      <c r="AC19" s="12">
        <v>11.5</v>
      </c>
      <c r="AD19" s="12">
        <v>7.9</v>
      </c>
      <c r="AE19" s="12">
        <v>115</v>
      </c>
      <c r="AF19" s="12">
        <v>81.099999999999994</v>
      </c>
      <c r="AG19" s="12">
        <v>395.5</v>
      </c>
      <c r="AH19" s="12">
        <v>315.8</v>
      </c>
      <c r="AI19" s="12">
        <v>77.7</v>
      </c>
      <c r="AJ19" s="12">
        <v>335.8</v>
      </c>
      <c r="AK19" s="12">
        <v>204.9</v>
      </c>
      <c r="AL19" s="12">
        <v>0</v>
      </c>
      <c r="AM19" s="12">
        <v>4315.3</v>
      </c>
      <c r="AN19" s="12">
        <v>0</v>
      </c>
      <c r="AO19" s="12">
        <v>70.900000000000006</v>
      </c>
      <c r="AP19" s="12">
        <v>440</v>
      </c>
      <c r="AQ19" s="12">
        <v>5.2</v>
      </c>
      <c r="AR19" s="12">
        <v>6</v>
      </c>
      <c r="AS19" s="12">
        <v>1</v>
      </c>
      <c r="AT19" s="12">
        <v>2440.1</v>
      </c>
      <c r="AU19" s="12">
        <v>-4614.6000000000004</v>
      </c>
    </row>
    <row r="20" spans="1:47" ht="24" x14ac:dyDescent="0.2">
      <c r="A20" s="11" t="s">
        <v>101</v>
      </c>
      <c r="B20" s="10" t="s">
        <v>8</v>
      </c>
      <c r="C20" s="13">
        <v>1582.3</v>
      </c>
      <c r="D20" s="13">
        <v>34.6</v>
      </c>
      <c r="E20" s="13">
        <v>110.2</v>
      </c>
      <c r="F20" s="13">
        <v>23.8</v>
      </c>
      <c r="G20" s="13">
        <v>1128.5</v>
      </c>
      <c r="H20" s="13">
        <v>32.6</v>
      </c>
      <c r="I20" s="13">
        <v>2.2000000000000002</v>
      </c>
      <c r="J20" s="13">
        <v>72.599999999999994</v>
      </c>
      <c r="K20" s="13">
        <v>46.4</v>
      </c>
      <c r="L20" s="13">
        <v>469</v>
      </c>
      <c r="M20" s="13">
        <v>145.9</v>
      </c>
      <c r="N20" s="13">
        <v>2812.8</v>
      </c>
      <c r="O20" s="13">
        <v>138.4</v>
      </c>
      <c r="P20" s="13">
        <v>65</v>
      </c>
      <c r="Q20" s="13">
        <v>8.1</v>
      </c>
      <c r="R20" s="13">
        <v>103.6</v>
      </c>
      <c r="S20" s="13">
        <v>110.9</v>
      </c>
      <c r="T20" s="13">
        <v>753.8</v>
      </c>
      <c r="U20" s="13">
        <v>66.099999999999994</v>
      </c>
      <c r="V20" s="13">
        <v>230.1</v>
      </c>
      <c r="W20" s="13">
        <v>527.20000000000005</v>
      </c>
      <c r="X20" s="13">
        <v>15760.3</v>
      </c>
      <c r="Y20" s="13">
        <v>387.1</v>
      </c>
      <c r="Z20" s="13">
        <v>80.5</v>
      </c>
      <c r="AA20" s="13">
        <v>187.1</v>
      </c>
      <c r="AB20" s="13">
        <v>2.8</v>
      </c>
      <c r="AC20" s="13">
        <v>7.7</v>
      </c>
      <c r="AD20" s="13">
        <v>4.2</v>
      </c>
      <c r="AE20" s="13">
        <v>52.6</v>
      </c>
      <c r="AF20" s="13">
        <v>156.9</v>
      </c>
      <c r="AG20" s="13">
        <v>90.7</v>
      </c>
      <c r="AH20" s="13">
        <v>202.5</v>
      </c>
      <c r="AI20" s="13">
        <v>58.2</v>
      </c>
      <c r="AJ20" s="13">
        <v>153.19999999999999</v>
      </c>
      <c r="AK20" s="13">
        <v>110.2</v>
      </c>
      <c r="AL20" s="13">
        <v>0</v>
      </c>
      <c r="AM20" s="13">
        <v>1092.2</v>
      </c>
      <c r="AN20" s="13">
        <v>0</v>
      </c>
      <c r="AO20" s="13">
        <v>49.3</v>
      </c>
      <c r="AP20" s="13">
        <v>139.30000000000001</v>
      </c>
      <c r="AQ20" s="13">
        <v>16.5</v>
      </c>
      <c r="AR20" s="13">
        <v>2.6</v>
      </c>
      <c r="AS20" s="13">
        <v>0.5</v>
      </c>
      <c r="AT20" s="13">
        <v>2037.5</v>
      </c>
      <c r="AU20" s="13">
        <v>-1954.8</v>
      </c>
    </row>
    <row r="21" spans="1:47" ht="14" x14ac:dyDescent="0.2">
      <c r="A21" s="11" t="s">
        <v>102</v>
      </c>
      <c r="B21" s="10" t="s">
        <v>8</v>
      </c>
      <c r="C21" s="12">
        <v>235.5</v>
      </c>
      <c r="D21" s="12">
        <v>355.3</v>
      </c>
      <c r="E21" s="12">
        <v>100.7</v>
      </c>
      <c r="F21" s="12">
        <v>128</v>
      </c>
      <c r="G21" s="12">
        <v>442.4</v>
      </c>
      <c r="H21" s="12">
        <v>21.8</v>
      </c>
      <c r="I21" s="12">
        <v>8.4</v>
      </c>
      <c r="J21" s="12">
        <v>190.8</v>
      </c>
      <c r="K21" s="12">
        <v>35.5</v>
      </c>
      <c r="L21" s="12">
        <v>237.4</v>
      </c>
      <c r="M21" s="12">
        <v>223.5</v>
      </c>
      <c r="N21" s="12">
        <v>248.9</v>
      </c>
      <c r="O21" s="12">
        <v>6350.5</v>
      </c>
      <c r="P21" s="12">
        <v>5558.1</v>
      </c>
      <c r="Q21" s="12">
        <v>81.7</v>
      </c>
      <c r="R21" s="12">
        <v>2888</v>
      </c>
      <c r="S21" s="12">
        <v>2563.8000000000002</v>
      </c>
      <c r="T21" s="12">
        <v>5437</v>
      </c>
      <c r="U21" s="12">
        <v>1086.9000000000001</v>
      </c>
      <c r="V21" s="12">
        <v>1610.5</v>
      </c>
      <c r="W21" s="12">
        <v>229.1</v>
      </c>
      <c r="X21" s="12">
        <v>5213.5</v>
      </c>
      <c r="Y21" s="12">
        <v>415.1</v>
      </c>
      <c r="Z21" s="12">
        <v>95.4</v>
      </c>
      <c r="AA21" s="12">
        <v>45.4</v>
      </c>
      <c r="AB21" s="12">
        <v>5</v>
      </c>
      <c r="AC21" s="12">
        <v>17</v>
      </c>
      <c r="AD21" s="12">
        <v>12</v>
      </c>
      <c r="AE21" s="12">
        <v>67.2</v>
      </c>
      <c r="AF21" s="12">
        <v>44.7</v>
      </c>
      <c r="AG21" s="12">
        <v>147.6</v>
      </c>
      <c r="AH21" s="12">
        <v>124.3</v>
      </c>
      <c r="AI21" s="12">
        <v>44</v>
      </c>
      <c r="AJ21" s="12">
        <v>88.4</v>
      </c>
      <c r="AK21" s="12">
        <v>114.2</v>
      </c>
      <c r="AL21" s="12">
        <v>0</v>
      </c>
      <c r="AM21" s="12">
        <v>989.3</v>
      </c>
      <c r="AN21" s="12">
        <v>0</v>
      </c>
      <c r="AO21" s="12">
        <v>151.5</v>
      </c>
      <c r="AP21" s="12">
        <v>549.79999999999995</v>
      </c>
      <c r="AQ21" s="12">
        <v>33.299999999999997</v>
      </c>
      <c r="AR21" s="12">
        <v>3.5</v>
      </c>
      <c r="AS21" s="12">
        <v>1.4</v>
      </c>
      <c r="AT21" s="12">
        <v>17571.099999999999</v>
      </c>
      <c r="AU21" s="12">
        <v>-5732.7</v>
      </c>
    </row>
    <row r="22" spans="1:47" ht="24" x14ac:dyDescent="0.2">
      <c r="A22" s="11" t="s">
        <v>103</v>
      </c>
      <c r="B22" s="10" t="s">
        <v>8</v>
      </c>
      <c r="C22" s="13">
        <v>319.89999999999998</v>
      </c>
      <c r="D22" s="13">
        <v>321.8</v>
      </c>
      <c r="E22" s="13">
        <v>313.89999999999998</v>
      </c>
      <c r="F22" s="13">
        <v>59.6</v>
      </c>
      <c r="G22" s="13">
        <v>2504.1</v>
      </c>
      <c r="H22" s="13">
        <v>68.599999999999994</v>
      </c>
      <c r="I22" s="13">
        <v>119.7</v>
      </c>
      <c r="J22" s="13">
        <v>52.6</v>
      </c>
      <c r="K22" s="13">
        <v>103.1</v>
      </c>
      <c r="L22" s="13">
        <v>719.3</v>
      </c>
      <c r="M22" s="13">
        <v>64</v>
      </c>
      <c r="N22" s="13">
        <v>76.5</v>
      </c>
      <c r="O22" s="13">
        <v>859.9</v>
      </c>
      <c r="P22" s="13">
        <v>2327.3000000000002</v>
      </c>
      <c r="Q22" s="13">
        <v>275.8</v>
      </c>
      <c r="R22" s="13">
        <v>630.70000000000005</v>
      </c>
      <c r="S22" s="13">
        <v>1472.8</v>
      </c>
      <c r="T22" s="13">
        <v>1661.9</v>
      </c>
      <c r="U22" s="13">
        <v>459.5</v>
      </c>
      <c r="V22" s="13">
        <v>1082.3</v>
      </c>
      <c r="W22" s="13">
        <v>746.5</v>
      </c>
      <c r="X22" s="13">
        <v>6169.3</v>
      </c>
      <c r="Y22" s="13">
        <v>618.5</v>
      </c>
      <c r="Z22" s="13">
        <v>170.7</v>
      </c>
      <c r="AA22" s="13">
        <v>434.3</v>
      </c>
      <c r="AB22" s="13">
        <v>6.9</v>
      </c>
      <c r="AC22" s="13">
        <v>17.7</v>
      </c>
      <c r="AD22" s="13">
        <v>8.6999999999999993</v>
      </c>
      <c r="AE22" s="13">
        <v>86.6</v>
      </c>
      <c r="AF22" s="13">
        <v>119.4</v>
      </c>
      <c r="AG22" s="13">
        <v>201.7</v>
      </c>
      <c r="AH22" s="13">
        <v>621.9</v>
      </c>
      <c r="AI22" s="13">
        <v>42</v>
      </c>
      <c r="AJ22" s="13">
        <v>126.8</v>
      </c>
      <c r="AK22" s="13">
        <v>163.30000000000001</v>
      </c>
      <c r="AL22" s="13">
        <v>0</v>
      </c>
      <c r="AM22" s="13">
        <v>3911.2</v>
      </c>
      <c r="AN22" s="13">
        <v>0.1</v>
      </c>
      <c r="AO22" s="13">
        <v>59.3</v>
      </c>
      <c r="AP22" s="13">
        <v>2813.4</v>
      </c>
      <c r="AQ22" s="13">
        <v>-98.1</v>
      </c>
      <c r="AR22" s="13">
        <v>7.6</v>
      </c>
      <c r="AS22" s="13">
        <v>0.6</v>
      </c>
      <c r="AT22" s="13">
        <v>2090.8000000000002</v>
      </c>
      <c r="AU22" s="13">
        <v>-4196.8</v>
      </c>
    </row>
    <row r="23" spans="1:47" ht="24" x14ac:dyDescent="0.2">
      <c r="A23" s="11" t="s">
        <v>104</v>
      </c>
      <c r="B23" s="10" t="s">
        <v>8</v>
      </c>
      <c r="C23" s="12">
        <v>29.9</v>
      </c>
      <c r="D23" s="12">
        <v>115.4</v>
      </c>
      <c r="E23" s="12">
        <v>48.6</v>
      </c>
      <c r="F23" s="12">
        <v>15.2</v>
      </c>
      <c r="G23" s="12">
        <v>48.4</v>
      </c>
      <c r="H23" s="12">
        <v>11.2</v>
      </c>
      <c r="I23" s="12">
        <v>3.2</v>
      </c>
      <c r="J23" s="12">
        <v>125.2</v>
      </c>
      <c r="K23" s="12">
        <v>12.5</v>
      </c>
      <c r="L23" s="12">
        <v>42</v>
      </c>
      <c r="M23" s="12">
        <v>12.6</v>
      </c>
      <c r="N23" s="12">
        <v>11.4</v>
      </c>
      <c r="O23" s="12">
        <v>35.6</v>
      </c>
      <c r="P23" s="12">
        <v>13.3</v>
      </c>
      <c r="Q23" s="12">
        <v>8016</v>
      </c>
      <c r="R23" s="12">
        <v>255.2</v>
      </c>
      <c r="S23" s="12">
        <v>347.5</v>
      </c>
      <c r="T23" s="12">
        <v>257.10000000000002</v>
      </c>
      <c r="U23" s="12">
        <v>134.5</v>
      </c>
      <c r="V23" s="12">
        <v>328.8</v>
      </c>
      <c r="W23" s="12">
        <v>165.4</v>
      </c>
      <c r="X23" s="12">
        <v>310.60000000000002</v>
      </c>
      <c r="Y23" s="12">
        <v>519.5</v>
      </c>
      <c r="Z23" s="12">
        <v>107.7</v>
      </c>
      <c r="AA23" s="12">
        <v>8.3000000000000007</v>
      </c>
      <c r="AB23" s="12">
        <v>88.9</v>
      </c>
      <c r="AC23" s="12">
        <v>113.7</v>
      </c>
      <c r="AD23" s="12">
        <v>622.1</v>
      </c>
      <c r="AE23" s="12">
        <v>322.5</v>
      </c>
      <c r="AF23" s="12">
        <v>24.3</v>
      </c>
      <c r="AG23" s="12">
        <v>427.3</v>
      </c>
      <c r="AH23" s="12">
        <v>785.7</v>
      </c>
      <c r="AI23" s="12">
        <v>312.3</v>
      </c>
      <c r="AJ23" s="12">
        <v>749</v>
      </c>
      <c r="AK23" s="12">
        <v>383.6</v>
      </c>
      <c r="AL23" s="12">
        <v>0</v>
      </c>
      <c r="AM23" s="12">
        <v>14458.2</v>
      </c>
      <c r="AN23" s="12">
        <v>0.1</v>
      </c>
      <c r="AO23" s="12">
        <v>21.8</v>
      </c>
      <c r="AP23" s="12">
        <v>11637.9</v>
      </c>
      <c r="AQ23" s="12">
        <v>-359</v>
      </c>
      <c r="AR23" s="12">
        <v>80.099999999999994</v>
      </c>
      <c r="AS23" s="12">
        <v>6</v>
      </c>
      <c r="AT23" s="12">
        <v>1209.0999999999999</v>
      </c>
      <c r="AU23" s="12">
        <v>-16076.7</v>
      </c>
    </row>
    <row r="24" spans="1:47" ht="14" x14ac:dyDescent="0.2">
      <c r="A24" s="11" t="s">
        <v>105</v>
      </c>
      <c r="B24" s="10" t="s">
        <v>8</v>
      </c>
      <c r="C24" s="13">
        <v>70.400000000000006</v>
      </c>
      <c r="D24" s="13">
        <v>76.7</v>
      </c>
      <c r="E24" s="13">
        <v>45.5</v>
      </c>
      <c r="F24" s="13">
        <v>15.7</v>
      </c>
      <c r="G24" s="13">
        <v>112.9</v>
      </c>
      <c r="H24" s="13">
        <v>25.5</v>
      </c>
      <c r="I24" s="13">
        <v>10</v>
      </c>
      <c r="J24" s="13">
        <v>30.5</v>
      </c>
      <c r="K24" s="13">
        <v>11.8</v>
      </c>
      <c r="L24" s="13">
        <v>83.5</v>
      </c>
      <c r="M24" s="13">
        <v>38</v>
      </c>
      <c r="N24" s="13">
        <v>53.8</v>
      </c>
      <c r="O24" s="13">
        <v>90.3</v>
      </c>
      <c r="P24" s="13">
        <v>52.5</v>
      </c>
      <c r="Q24" s="13">
        <v>792.4</v>
      </c>
      <c r="R24" s="13">
        <v>2899.9</v>
      </c>
      <c r="S24" s="13">
        <v>1014.2</v>
      </c>
      <c r="T24" s="13">
        <v>845.9</v>
      </c>
      <c r="U24" s="13">
        <v>255.5</v>
      </c>
      <c r="V24" s="13">
        <v>808.2</v>
      </c>
      <c r="W24" s="13">
        <v>1885.3</v>
      </c>
      <c r="X24" s="13">
        <v>3067.3</v>
      </c>
      <c r="Y24" s="13">
        <v>559.4</v>
      </c>
      <c r="Z24" s="13">
        <v>489.7</v>
      </c>
      <c r="AA24" s="13">
        <v>25.1</v>
      </c>
      <c r="AB24" s="13">
        <v>17.600000000000001</v>
      </c>
      <c r="AC24" s="13">
        <v>233</v>
      </c>
      <c r="AD24" s="13">
        <v>15.8</v>
      </c>
      <c r="AE24" s="13">
        <v>86.7</v>
      </c>
      <c r="AF24" s="13">
        <v>82.2</v>
      </c>
      <c r="AG24" s="13">
        <v>347.7</v>
      </c>
      <c r="AH24" s="13">
        <v>330.7</v>
      </c>
      <c r="AI24" s="13">
        <v>34.200000000000003</v>
      </c>
      <c r="AJ24" s="13">
        <v>152.80000000000001</v>
      </c>
      <c r="AK24" s="13">
        <v>266.89999999999998</v>
      </c>
      <c r="AL24" s="13">
        <v>0</v>
      </c>
      <c r="AM24" s="13">
        <v>7575.5</v>
      </c>
      <c r="AN24" s="13">
        <v>0</v>
      </c>
      <c r="AO24" s="13">
        <v>39.9</v>
      </c>
      <c r="AP24" s="13">
        <v>4964</v>
      </c>
      <c r="AQ24" s="13">
        <v>-155.6</v>
      </c>
      <c r="AR24" s="13">
        <v>26.7</v>
      </c>
      <c r="AS24" s="13">
        <v>2.8</v>
      </c>
      <c r="AT24" s="13">
        <v>2115.5</v>
      </c>
      <c r="AU24" s="13">
        <v>-7711.8</v>
      </c>
    </row>
    <row r="25" spans="1:47" ht="24" x14ac:dyDescent="0.2">
      <c r="A25" s="11" t="s">
        <v>106</v>
      </c>
      <c r="B25" s="10" t="s">
        <v>8</v>
      </c>
      <c r="C25" s="12">
        <v>123.2</v>
      </c>
      <c r="D25" s="12">
        <v>978.4</v>
      </c>
      <c r="E25" s="12">
        <v>1493.3</v>
      </c>
      <c r="F25" s="12">
        <v>168.7</v>
      </c>
      <c r="G25" s="12">
        <v>148</v>
      </c>
      <c r="H25" s="12">
        <v>21</v>
      </c>
      <c r="I25" s="12">
        <v>35.299999999999997</v>
      </c>
      <c r="J25" s="12">
        <v>39.9</v>
      </c>
      <c r="K25" s="12">
        <v>62.3</v>
      </c>
      <c r="L25" s="12">
        <v>87.6</v>
      </c>
      <c r="M25" s="12">
        <v>54.3</v>
      </c>
      <c r="N25" s="12">
        <v>34.4</v>
      </c>
      <c r="O25" s="12">
        <v>147.80000000000001</v>
      </c>
      <c r="P25" s="12">
        <v>123.1</v>
      </c>
      <c r="Q25" s="12">
        <v>152.80000000000001</v>
      </c>
      <c r="R25" s="12">
        <v>292.8</v>
      </c>
      <c r="S25" s="12">
        <v>6346.6</v>
      </c>
      <c r="T25" s="12">
        <v>852.6</v>
      </c>
      <c r="U25" s="12">
        <v>531.6</v>
      </c>
      <c r="V25" s="12">
        <v>2852.6</v>
      </c>
      <c r="W25" s="12">
        <v>205.5</v>
      </c>
      <c r="X25" s="12">
        <v>1679.6</v>
      </c>
      <c r="Y25" s="12">
        <v>671.7</v>
      </c>
      <c r="Z25" s="12">
        <v>253.2</v>
      </c>
      <c r="AA25" s="12">
        <v>25.7</v>
      </c>
      <c r="AB25" s="12">
        <v>9.6</v>
      </c>
      <c r="AC25" s="12">
        <v>39.799999999999997</v>
      </c>
      <c r="AD25" s="12">
        <v>19.5</v>
      </c>
      <c r="AE25" s="12">
        <v>135.19999999999999</v>
      </c>
      <c r="AF25" s="12">
        <v>62.9</v>
      </c>
      <c r="AG25" s="12">
        <v>224.6</v>
      </c>
      <c r="AH25" s="12">
        <v>1260.5999999999999</v>
      </c>
      <c r="AI25" s="12">
        <v>20.3</v>
      </c>
      <c r="AJ25" s="12">
        <v>161.9</v>
      </c>
      <c r="AK25" s="12">
        <v>179</v>
      </c>
      <c r="AL25" s="12">
        <v>0</v>
      </c>
      <c r="AM25" s="12">
        <v>2400.1</v>
      </c>
      <c r="AN25" s="12">
        <v>0.1</v>
      </c>
      <c r="AO25" s="12">
        <v>29.2</v>
      </c>
      <c r="AP25" s="12">
        <v>23166.1</v>
      </c>
      <c r="AQ25" s="12">
        <v>-1036.3</v>
      </c>
      <c r="AR25" s="12">
        <v>7.8</v>
      </c>
      <c r="AS25" s="12">
        <v>0.4</v>
      </c>
      <c r="AT25" s="12">
        <v>5927.6</v>
      </c>
      <c r="AU25" s="12">
        <v>-13488.6</v>
      </c>
    </row>
    <row r="26" spans="1:47" ht="24" x14ac:dyDescent="0.2">
      <c r="A26" s="11" t="s">
        <v>107</v>
      </c>
      <c r="B26" s="10" t="s">
        <v>8</v>
      </c>
      <c r="C26" s="13">
        <v>38.4</v>
      </c>
      <c r="D26" s="13">
        <v>38.299999999999997</v>
      </c>
      <c r="E26" s="13">
        <v>71.099999999999994</v>
      </c>
      <c r="F26" s="13">
        <v>17.5</v>
      </c>
      <c r="G26" s="13">
        <v>88.4</v>
      </c>
      <c r="H26" s="13">
        <v>35.1</v>
      </c>
      <c r="I26" s="13">
        <v>3.4</v>
      </c>
      <c r="J26" s="13">
        <v>7</v>
      </c>
      <c r="K26" s="13">
        <v>5.6</v>
      </c>
      <c r="L26" s="13">
        <v>51.9</v>
      </c>
      <c r="M26" s="13">
        <v>29.4</v>
      </c>
      <c r="N26" s="13">
        <v>34.9</v>
      </c>
      <c r="O26" s="13">
        <v>35.4</v>
      </c>
      <c r="P26" s="13">
        <v>52</v>
      </c>
      <c r="Q26" s="13">
        <v>62.1</v>
      </c>
      <c r="R26" s="13">
        <v>87.7</v>
      </c>
      <c r="S26" s="13">
        <v>221.5</v>
      </c>
      <c r="T26" s="13">
        <v>14763</v>
      </c>
      <c r="U26" s="13">
        <v>162</v>
      </c>
      <c r="V26" s="13">
        <v>103.6</v>
      </c>
      <c r="W26" s="13">
        <v>114.5</v>
      </c>
      <c r="X26" s="13">
        <v>291.3</v>
      </c>
      <c r="Y26" s="13">
        <v>2935.4</v>
      </c>
      <c r="Z26" s="13">
        <v>2752.6</v>
      </c>
      <c r="AA26" s="13">
        <v>16.399999999999999</v>
      </c>
      <c r="AB26" s="13">
        <v>3.8</v>
      </c>
      <c r="AC26" s="13">
        <v>14.6</v>
      </c>
      <c r="AD26" s="13">
        <v>6.8</v>
      </c>
      <c r="AE26" s="13">
        <v>73.8</v>
      </c>
      <c r="AF26" s="13">
        <v>20.3</v>
      </c>
      <c r="AG26" s="13">
        <v>149.4</v>
      </c>
      <c r="AH26" s="13">
        <v>349.4</v>
      </c>
      <c r="AI26" s="13">
        <v>83.5</v>
      </c>
      <c r="AJ26" s="13">
        <v>68.900000000000006</v>
      </c>
      <c r="AK26" s="13">
        <v>84.4</v>
      </c>
      <c r="AL26" s="13">
        <v>0</v>
      </c>
      <c r="AM26" s="13">
        <v>27855.8</v>
      </c>
      <c r="AN26" s="13">
        <v>0</v>
      </c>
      <c r="AO26" s="13">
        <v>63.5</v>
      </c>
      <c r="AP26" s="13">
        <v>17034.599999999999</v>
      </c>
      <c r="AQ26" s="13">
        <v>-594.1</v>
      </c>
      <c r="AR26" s="13">
        <v>51</v>
      </c>
      <c r="AS26" s="13">
        <v>5</v>
      </c>
      <c r="AT26" s="13">
        <v>10884.3</v>
      </c>
      <c r="AU26" s="13">
        <v>-12532.1</v>
      </c>
    </row>
    <row r="27" spans="1:47" ht="14" x14ac:dyDescent="0.2">
      <c r="A27" s="11" t="s">
        <v>108</v>
      </c>
      <c r="B27" s="10" t="s">
        <v>8</v>
      </c>
      <c r="C27" s="12">
        <v>47.5</v>
      </c>
      <c r="D27" s="12">
        <v>62.2</v>
      </c>
      <c r="E27" s="12">
        <v>23.6</v>
      </c>
      <c r="F27" s="12">
        <v>2.2999999999999998</v>
      </c>
      <c r="G27" s="12">
        <v>38.700000000000003</v>
      </c>
      <c r="H27" s="12">
        <v>5.4</v>
      </c>
      <c r="I27" s="12">
        <v>2.7</v>
      </c>
      <c r="J27" s="12">
        <v>9.9</v>
      </c>
      <c r="K27" s="12">
        <v>19.2</v>
      </c>
      <c r="L27" s="12">
        <v>20.399999999999999</v>
      </c>
      <c r="M27" s="12">
        <v>5.2</v>
      </c>
      <c r="N27" s="12">
        <v>8</v>
      </c>
      <c r="O27" s="12">
        <v>30.6</v>
      </c>
      <c r="P27" s="12">
        <v>28.5</v>
      </c>
      <c r="Q27" s="12">
        <v>15.9</v>
      </c>
      <c r="R27" s="12">
        <v>38.700000000000003</v>
      </c>
      <c r="S27" s="12">
        <v>171.3</v>
      </c>
      <c r="T27" s="12">
        <v>57.1</v>
      </c>
      <c r="U27" s="12">
        <v>3509.6</v>
      </c>
      <c r="V27" s="12">
        <v>38.4</v>
      </c>
      <c r="W27" s="12">
        <v>17.600000000000001</v>
      </c>
      <c r="X27" s="12">
        <v>232</v>
      </c>
      <c r="Y27" s="12">
        <v>201.5</v>
      </c>
      <c r="Z27" s="12">
        <v>892.1</v>
      </c>
      <c r="AA27" s="12">
        <v>7.8</v>
      </c>
      <c r="AB27" s="12">
        <v>3</v>
      </c>
      <c r="AC27" s="12">
        <v>5.9</v>
      </c>
      <c r="AD27" s="12">
        <v>5.6</v>
      </c>
      <c r="AE27" s="12">
        <v>12.6</v>
      </c>
      <c r="AF27" s="12">
        <v>7.6</v>
      </c>
      <c r="AG27" s="12">
        <v>203.4</v>
      </c>
      <c r="AH27" s="12">
        <v>2808.8</v>
      </c>
      <c r="AI27" s="12">
        <v>9.1</v>
      </c>
      <c r="AJ27" s="12">
        <v>19.3</v>
      </c>
      <c r="AK27" s="12">
        <v>35.299999999999997</v>
      </c>
      <c r="AL27" s="12">
        <v>0</v>
      </c>
      <c r="AM27" s="12">
        <v>4515.7</v>
      </c>
      <c r="AN27" s="12">
        <v>0</v>
      </c>
      <c r="AO27" s="12">
        <v>2150</v>
      </c>
      <c r="AP27" s="12">
        <v>4760.6000000000004</v>
      </c>
      <c r="AQ27" s="12">
        <v>-214.2</v>
      </c>
      <c r="AR27" s="12">
        <v>3.4</v>
      </c>
      <c r="AS27" s="12">
        <v>0.1</v>
      </c>
      <c r="AT27" s="12">
        <v>5643.5</v>
      </c>
      <c r="AU27" s="12">
        <v>-10020</v>
      </c>
    </row>
    <row r="28" spans="1:47" ht="36" x14ac:dyDescent="0.2">
      <c r="A28" s="11" t="s">
        <v>109</v>
      </c>
      <c r="B28" s="10" t="s">
        <v>8</v>
      </c>
      <c r="C28" s="13">
        <v>245.9</v>
      </c>
      <c r="D28" s="13">
        <v>741.2</v>
      </c>
      <c r="E28" s="13">
        <v>665.2</v>
      </c>
      <c r="F28" s="13">
        <v>75</v>
      </c>
      <c r="G28" s="13">
        <v>994.3</v>
      </c>
      <c r="H28" s="13">
        <v>414.3</v>
      </c>
      <c r="I28" s="13">
        <v>180.2</v>
      </c>
      <c r="J28" s="13">
        <v>1075.5</v>
      </c>
      <c r="K28" s="13">
        <v>341.4</v>
      </c>
      <c r="L28" s="13">
        <v>903</v>
      </c>
      <c r="M28" s="13">
        <v>204.1</v>
      </c>
      <c r="N28" s="13">
        <v>820.1</v>
      </c>
      <c r="O28" s="13">
        <v>3220.1</v>
      </c>
      <c r="P28" s="13">
        <v>299.2</v>
      </c>
      <c r="Q28" s="13">
        <v>130.69999999999999</v>
      </c>
      <c r="R28" s="13">
        <v>218.9</v>
      </c>
      <c r="S28" s="13">
        <v>514.5</v>
      </c>
      <c r="T28" s="13">
        <v>606.29999999999995</v>
      </c>
      <c r="U28" s="13">
        <v>181.6</v>
      </c>
      <c r="V28" s="13">
        <v>1370.5</v>
      </c>
      <c r="W28" s="13">
        <v>596.29999999999995</v>
      </c>
      <c r="X28" s="13">
        <v>1386.7</v>
      </c>
      <c r="Y28" s="13">
        <v>967.7</v>
      </c>
      <c r="Z28" s="13">
        <v>1098</v>
      </c>
      <c r="AA28" s="13">
        <v>142.80000000000001</v>
      </c>
      <c r="AB28" s="13">
        <v>177.6</v>
      </c>
      <c r="AC28" s="13">
        <v>159.1</v>
      </c>
      <c r="AD28" s="13">
        <v>205.3</v>
      </c>
      <c r="AE28" s="13">
        <v>334.6</v>
      </c>
      <c r="AF28" s="13">
        <v>616.9</v>
      </c>
      <c r="AG28" s="13">
        <v>796.9</v>
      </c>
      <c r="AH28" s="13">
        <v>1118.5999999999999</v>
      </c>
      <c r="AI28" s="13">
        <v>439.5</v>
      </c>
      <c r="AJ28" s="13">
        <v>1935.1</v>
      </c>
      <c r="AK28" s="13">
        <v>345.9</v>
      </c>
      <c r="AL28" s="13">
        <v>0</v>
      </c>
      <c r="AM28" s="13">
        <v>12699.4</v>
      </c>
      <c r="AN28" s="13">
        <v>0.1</v>
      </c>
      <c r="AO28" s="13">
        <v>80.099999999999994</v>
      </c>
      <c r="AP28" s="13">
        <v>6663.6</v>
      </c>
      <c r="AQ28" s="13">
        <v>-221.6</v>
      </c>
      <c r="AR28" s="13">
        <v>205.4</v>
      </c>
      <c r="AS28" s="13">
        <v>22.6</v>
      </c>
      <c r="AT28" s="13">
        <v>1672.7</v>
      </c>
      <c r="AU28" s="13">
        <v>-4445.6000000000004</v>
      </c>
    </row>
    <row r="29" spans="1:47" ht="36" x14ac:dyDescent="0.2">
      <c r="A29" s="11" t="s">
        <v>110</v>
      </c>
      <c r="B29" s="10" t="s">
        <v>8</v>
      </c>
      <c r="C29" s="12">
        <v>3771.7</v>
      </c>
      <c r="D29" s="12">
        <v>127.4</v>
      </c>
      <c r="E29" s="12">
        <v>780.1</v>
      </c>
      <c r="F29" s="12">
        <v>126.9</v>
      </c>
      <c r="G29" s="12">
        <v>2709.5</v>
      </c>
      <c r="H29" s="12">
        <v>731</v>
      </c>
      <c r="I29" s="12">
        <v>300.2</v>
      </c>
      <c r="J29" s="12">
        <v>1396.7</v>
      </c>
      <c r="K29" s="12">
        <v>124.1</v>
      </c>
      <c r="L29" s="12">
        <v>2170.6999999999998</v>
      </c>
      <c r="M29" s="12">
        <v>903.6</v>
      </c>
      <c r="N29" s="12">
        <v>1689</v>
      </c>
      <c r="O29" s="12">
        <v>4403.6000000000004</v>
      </c>
      <c r="P29" s="12">
        <v>731.4</v>
      </c>
      <c r="Q29" s="12">
        <v>70.7</v>
      </c>
      <c r="R29" s="12">
        <v>219.2</v>
      </c>
      <c r="S29" s="12">
        <v>237.6</v>
      </c>
      <c r="T29" s="12">
        <v>695.9</v>
      </c>
      <c r="U29" s="12">
        <v>172.5</v>
      </c>
      <c r="V29" s="12">
        <v>223.8</v>
      </c>
      <c r="W29" s="12">
        <v>27179.3</v>
      </c>
      <c r="X29" s="12">
        <v>264.5</v>
      </c>
      <c r="Y29" s="12">
        <v>3999.1</v>
      </c>
      <c r="Z29" s="12">
        <v>1483.1</v>
      </c>
      <c r="AA29" s="12">
        <v>938.4</v>
      </c>
      <c r="AB29" s="12">
        <v>159.80000000000001</v>
      </c>
      <c r="AC29" s="12">
        <v>612.9</v>
      </c>
      <c r="AD29" s="12">
        <v>223.5</v>
      </c>
      <c r="AE29" s="12">
        <v>1079.0999999999999</v>
      </c>
      <c r="AF29" s="12">
        <v>1262.8</v>
      </c>
      <c r="AG29" s="12">
        <v>1390.4</v>
      </c>
      <c r="AH29" s="12">
        <v>3091.5</v>
      </c>
      <c r="AI29" s="12">
        <v>1496.3</v>
      </c>
      <c r="AJ29" s="12">
        <v>2844.5</v>
      </c>
      <c r="AK29" s="12">
        <v>1448.7</v>
      </c>
      <c r="AL29" s="12">
        <v>0</v>
      </c>
      <c r="AM29" s="12">
        <v>29391</v>
      </c>
      <c r="AN29" s="12">
        <v>3.1</v>
      </c>
      <c r="AO29" s="12">
        <v>612.5</v>
      </c>
      <c r="AP29" s="12">
        <v>168.5</v>
      </c>
      <c r="AQ29" s="12">
        <v>1.5</v>
      </c>
      <c r="AR29" s="12">
        <v>5.9</v>
      </c>
      <c r="AS29" s="12">
        <v>1.1000000000000001</v>
      </c>
      <c r="AT29" s="12">
        <v>32.6</v>
      </c>
      <c r="AU29" s="12">
        <v>-1363.5</v>
      </c>
    </row>
    <row r="30" spans="1:47" ht="14" x14ac:dyDescent="0.2">
      <c r="A30" s="11" t="s">
        <v>111</v>
      </c>
      <c r="B30" s="10" t="s">
        <v>8</v>
      </c>
      <c r="C30" s="13">
        <v>155.19999999999999</v>
      </c>
      <c r="D30" s="13">
        <v>501.3</v>
      </c>
      <c r="E30" s="13">
        <v>559.5</v>
      </c>
      <c r="F30" s="13">
        <v>66.900000000000006</v>
      </c>
      <c r="G30" s="13">
        <v>21.2</v>
      </c>
      <c r="H30" s="13">
        <v>10.8</v>
      </c>
      <c r="I30" s="13">
        <v>1.1000000000000001</v>
      </c>
      <c r="J30" s="13">
        <v>18</v>
      </c>
      <c r="K30" s="13">
        <v>16.899999999999999</v>
      </c>
      <c r="L30" s="13">
        <v>36</v>
      </c>
      <c r="M30" s="13">
        <v>3.8</v>
      </c>
      <c r="N30" s="13">
        <v>14.3</v>
      </c>
      <c r="O30" s="13">
        <v>547.79999999999995</v>
      </c>
      <c r="P30" s="13">
        <v>22.2</v>
      </c>
      <c r="Q30" s="13">
        <v>26.2</v>
      </c>
      <c r="R30" s="13">
        <v>6.4</v>
      </c>
      <c r="S30" s="13">
        <v>32.1</v>
      </c>
      <c r="T30" s="13">
        <v>102.2</v>
      </c>
      <c r="U30" s="13">
        <v>37.6</v>
      </c>
      <c r="V30" s="13">
        <v>11.9</v>
      </c>
      <c r="W30" s="13">
        <v>289.2</v>
      </c>
      <c r="X30" s="13">
        <v>17704.3</v>
      </c>
      <c r="Y30" s="13">
        <v>1899.1</v>
      </c>
      <c r="Z30" s="13">
        <v>799.4</v>
      </c>
      <c r="AA30" s="13">
        <v>156.30000000000001</v>
      </c>
      <c r="AB30" s="13">
        <v>49.4</v>
      </c>
      <c r="AC30" s="13">
        <v>1257.8</v>
      </c>
      <c r="AD30" s="13">
        <v>179.3</v>
      </c>
      <c r="AE30" s="13">
        <v>874.3</v>
      </c>
      <c r="AF30" s="13">
        <v>4192.1000000000004</v>
      </c>
      <c r="AG30" s="13">
        <v>1021.1</v>
      </c>
      <c r="AH30" s="13">
        <v>4835.1000000000004</v>
      </c>
      <c r="AI30" s="13">
        <v>500.3</v>
      </c>
      <c r="AJ30" s="13">
        <v>1014.7</v>
      </c>
      <c r="AK30" s="13">
        <v>706.8</v>
      </c>
      <c r="AL30" s="13">
        <v>0</v>
      </c>
      <c r="AM30" s="13">
        <v>161.30000000000001</v>
      </c>
      <c r="AN30" s="13">
        <v>0</v>
      </c>
      <c r="AO30" s="13">
        <v>46</v>
      </c>
      <c r="AP30" s="13">
        <v>153632.29999999999</v>
      </c>
      <c r="AQ30" s="13">
        <v>-0.5</v>
      </c>
      <c r="AR30" s="13">
        <v>11.2</v>
      </c>
      <c r="AS30" s="13">
        <v>0.5</v>
      </c>
      <c r="AT30" s="13">
        <v>22.2</v>
      </c>
      <c r="AU30" s="13">
        <v>-224</v>
      </c>
    </row>
    <row r="31" spans="1:47" ht="24" x14ac:dyDescent="0.2">
      <c r="A31" s="11" t="s">
        <v>112</v>
      </c>
      <c r="B31" s="10" t="s">
        <v>8</v>
      </c>
      <c r="C31" s="12">
        <v>8384.6</v>
      </c>
      <c r="D31" s="12">
        <v>1587.1</v>
      </c>
      <c r="E31" s="12">
        <v>1765.9</v>
      </c>
      <c r="F31" s="12">
        <v>308.2</v>
      </c>
      <c r="G31" s="12">
        <v>18297.3</v>
      </c>
      <c r="H31" s="12">
        <v>4154.1000000000004</v>
      </c>
      <c r="I31" s="12">
        <v>414</v>
      </c>
      <c r="J31" s="12">
        <v>1988</v>
      </c>
      <c r="K31" s="12">
        <v>8980.2999999999993</v>
      </c>
      <c r="L31" s="12">
        <v>10603</v>
      </c>
      <c r="M31" s="12">
        <v>2623.2</v>
      </c>
      <c r="N31" s="12">
        <v>1740.6</v>
      </c>
      <c r="O31" s="12">
        <v>2839.8</v>
      </c>
      <c r="P31" s="12">
        <v>1035</v>
      </c>
      <c r="Q31" s="12">
        <v>3657.6</v>
      </c>
      <c r="R31" s="12">
        <v>1874.3</v>
      </c>
      <c r="S31" s="12">
        <v>3927.6</v>
      </c>
      <c r="T31" s="12">
        <v>4206.8</v>
      </c>
      <c r="U31" s="12">
        <v>1395</v>
      </c>
      <c r="V31" s="12">
        <v>3222.6</v>
      </c>
      <c r="W31" s="12">
        <v>5072.3999999999996</v>
      </c>
      <c r="X31" s="12">
        <v>9515.4</v>
      </c>
      <c r="Y31" s="12">
        <v>44040.1</v>
      </c>
      <c r="Z31" s="12">
        <v>14411.2</v>
      </c>
      <c r="AA31" s="12">
        <v>5310.5</v>
      </c>
      <c r="AB31" s="12">
        <v>1801.5</v>
      </c>
      <c r="AC31" s="12">
        <v>3598.9</v>
      </c>
      <c r="AD31" s="12">
        <v>2780.6</v>
      </c>
      <c r="AE31" s="12">
        <v>2977.3</v>
      </c>
      <c r="AF31" s="12">
        <v>662.6</v>
      </c>
      <c r="AG31" s="12">
        <v>9596.2000000000007</v>
      </c>
      <c r="AH31" s="12">
        <v>5890.6</v>
      </c>
      <c r="AI31" s="12">
        <v>2938.7</v>
      </c>
      <c r="AJ31" s="12">
        <v>5585.3</v>
      </c>
      <c r="AK31" s="12">
        <v>3795.8</v>
      </c>
      <c r="AL31" s="12">
        <v>0</v>
      </c>
      <c r="AM31" s="12">
        <v>113680.7</v>
      </c>
      <c r="AN31" s="12">
        <v>12.2</v>
      </c>
      <c r="AO31" s="12">
        <v>7293.3</v>
      </c>
      <c r="AP31" s="12">
        <v>15190.8</v>
      </c>
      <c r="AQ31" s="12">
        <v>-605.5</v>
      </c>
      <c r="AR31" s="12">
        <v>804.4</v>
      </c>
      <c r="AS31" s="12">
        <v>65</v>
      </c>
      <c r="AT31" s="12">
        <v>21901.3</v>
      </c>
      <c r="AU31" s="12">
        <v>-26262.2</v>
      </c>
    </row>
    <row r="32" spans="1:47" ht="24" x14ac:dyDescent="0.2">
      <c r="A32" s="11" t="s">
        <v>113</v>
      </c>
      <c r="B32" s="10" t="s">
        <v>8</v>
      </c>
      <c r="C32" s="13">
        <v>3081.3</v>
      </c>
      <c r="D32" s="13">
        <v>3239.1</v>
      </c>
      <c r="E32" s="13">
        <v>968.6</v>
      </c>
      <c r="F32" s="13">
        <v>119</v>
      </c>
      <c r="G32" s="13">
        <v>10128.4</v>
      </c>
      <c r="H32" s="13">
        <v>1606.6</v>
      </c>
      <c r="I32" s="13">
        <v>360.1</v>
      </c>
      <c r="J32" s="13">
        <v>1617</v>
      </c>
      <c r="K32" s="13">
        <v>3385.9</v>
      </c>
      <c r="L32" s="13">
        <v>4794.8999999999996</v>
      </c>
      <c r="M32" s="13">
        <v>1065.5999999999999</v>
      </c>
      <c r="N32" s="13">
        <v>1128.3</v>
      </c>
      <c r="O32" s="13">
        <v>2422.1</v>
      </c>
      <c r="P32" s="13">
        <v>910.6</v>
      </c>
      <c r="Q32" s="13">
        <v>1371.2</v>
      </c>
      <c r="R32" s="13">
        <v>974.8</v>
      </c>
      <c r="S32" s="13">
        <v>1446</v>
      </c>
      <c r="T32" s="13">
        <v>3091.1</v>
      </c>
      <c r="U32" s="13">
        <v>532.5</v>
      </c>
      <c r="V32" s="13">
        <v>1285</v>
      </c>
      <c r="W32" s="13">
        <v>2160.1</v>
      </c>
      <c r="X32" s="13">
        <v>4509.3999999999996</v>
      </c>
      <c r="Y32" s="13">
        <v>5839.6</v>
      </c>
      <c r="Z32" s="13">
        <v>8548</v>
      </c>
      <c r="AA32" s="13">
        <v>1881.2</v>
      </c>
      <c r="AB32" s="13">
        <v>271.7</v>
      </c>
      <c r="AC32" s="13">
        <v>533.1</v>
      </c>
      <c r="AD32" s="13">
        <v>346.1</v>
      </c>
      <c r="AE32" s="13">
        <v>2841.2</v>
      </c>
      <c r="AF32" s="13">
        <v>254.4</v>
      </c>
      <c r="AG32" s="13">
        <v>2960.6</v>
      </c>
      <c r="AH32" s="13">
        <v>3807.7</v>
      </c>
      <c r="AI32" s="13">
        <v>1695</v>
      </c>
      <c r="AJ32" s="13">
        <v>1529.7</v>
      </c>
      <c r="AK32" s="13">
        <v>1364.2</v>
      </c>
      <c r="AL32" s="13">
        <v>0</v>
      </c>
      <c r="AM32" s="13">
        <v>53675.6</v>
      </c>
      <c r="AN32" s="13">
        <v>3.5</v>
      </c>
      <c r="AO32" s="13">
        <v>5521.8</v>
      </c>
      <c r="AP32" s="13">
        <v>6701.4</v>
      </c>
      <c r="AQ32" s="13">
        <v>-1240.5999999999999</v>
      </c>
      <c r="AR32" s="13">
        <v>1990.7</v>
      </c>
      <c r="AS32" s="13">
        <v>179.6</v>
      </c>
      <c r="AT32" s="13">
        <v>16498.7</v>
      </c>
      <c r="AU32" s="13">
        <v>-12474.9</v>
      </c>
    </row>
    <row r="33" spans="1:47" ht="24" x14ac:dyDescent="0.2">
      <c r="A33" s="11" t="s">
        <v>114</v>
      </c>
      <c r="B33" s="10" t="s">
        <v>8</v>
      </c>
      <c r="C33" s="12">
        <v>94.1</v>
      </c>
      <c r="D33" s="12">
        <v>235</v>
      </c>
      <c r="E33" s="12">
        <v>67</v>
      </c>
      <c r="F33" s="12">
        <v>63.5</v>
      </c>
      <c r="G33" s="12">
        <v>415.6</v>
      </c>
      <c r="H33" s="12">
        <v>43.1</v>
      </c>
      <c r="I33" s="12">
        <v>3.8</v>
      </c>
      <c r="J33" s="12">
        <v>49.3</v>
      </c>
      <c r="K33" s="12">
        <v>20.3</v>
      </c>
      <c r="L33" s="12">
        <v>669.7</v>
      </c>
      <c r="M33" s="12">
        <v>45.4</v>
      </c>
      <c r="N33" s="12">
        <v>32.9</v>
      </c>
      <c r="O33" s="12">
        <v>158.9</v>
      </c>
      <c r="P33" s="12">
        <v>91.8</v>
      </c>
      <c r="Q33" s="12">
        <v>62.2</v>
      </c>
      <c r="R33" s="12">
        <v>46.2</v>
      </c>
      <c r="S33" s="12">
        <v>174.2</v>
      </c>
      <c r="T33" s="12">
        <v>456.6</v>
      </c>
      <c r="U33" s="12">
        <v>117.4</v>
      </c>
      <c r="V33" s="12">
        <v>127.1</v>
      </c>
      <c r="W33" s="12">
        <v>387.8</v>
      </c>
      <c r="X33" s="12">
        <v>436.8</v>
      </c>
      <c r="Y33" s="12">
        <v>2322.1999999999998</v>
      </c>
      <c r="Z33" s="12">
        <v>1242.9000000000001</v>
      </c>
      <c r="AA33" s="12">
        <v>163.4</v>
      </c>
      <c r="AB33" s="12">
        <v>425</v>
      </c>
      <c r="AC33" s="12">
        <v>90.2</v>
      </c>
      <c r="AD33" s="12">
        <v>132.5</v>
      </c>
      <c r="AE33" s="12">
        <v>1774.9</v>
      </c>
      <c r="AF33" s="12">
        <v>331.1</v>
      </c>
      <c r="AG33" s="12">
        <v>5596.6</v>
      </c>
      <c r="AH33" s="12">
        <v>2744.7</v>
      </c>
      <c r="AI33" s="12">
        <v>1852.8</v>
      </c>
      <c r="AJ33" s="12">
        <v>4001.7</v>
      </c>
      <c r="AK33" s="12">
        <v>1674.7</v>
      </c>
      <c r="AL33" s="12">
        <v>0</v>
      </c>
      <c r="AM33" s="12">
        <v>48299.7</v>
      </c>
      <c r="AN33" s="12">
        <v>0.4</v>
      </c>
      <c r="AO33" s="12">
        <v>50.3</v>
      </c>
      <c r="AP33" s="12">
        <v>27.6</v>
      </c>
      <c r="AQ33" s="12">
        <v>0</v>
      </c>
      <c r="AR33" s="12">
        <v>5605.9</v>
      </c>
      <c r="AS33" s="12">
        <v>435.9</v>
      </c>
      <c r="AT33" s="12">
        <v>23.3</v>
      </c>
      <c r="AU33" s="12">
        <v>-5732.8</v>
      </c>
    </row>
    <row r="34" spans="1:47" ht="24" x14ac:dyDescent="0.2">
      <c r="A34" s="11" t="s">
        <v>115</v>
      </c>
      <c r="B34" s="10" t="s">
        <v>8</v>
      </c>
      <c r="C34" s="13">
        <v>16.399999999999999</v>
      </c>
      <c r="D34" s="13">
        <v>20.2</v>
      </c>
      <c r="E34" s="13">
        <v>8.8000000000000007</v>
      </c>
      <c r="F34" s="13">
        <v>1.6</v>
      </c>
      <c r="G34" s="13">
        <v>26.7</v>
      </c>
      <c r="H34" s="13">
        <v>3.4</v>
      </c>
      <c r="I34" s="13">
        <v>0.8</v>
      </c>
      <c r="J34" s="13">
        <v>15.5</v>
      </c>
      <c r="K34" s="13">
        <v>4.8</v>
      </c>
      <c r="L34" s="13">
        <v>50.8</v>
      </c>
      <c r="M34" s="13">
        <v>3.9</v>
      </c>
      <c r="N34" s="13">
        <v>2.4</v>
      </c>
      <c r="O34" s="13">
        <v>3.9</v>
      </c>
      <c r="P34" s="13">
        <v>3.2</v>
      </c>
      <c r="Q34" s="13">
        <v>6.9</v>
      </c>
      <c r="R34" s="13">
        <v>2.7</v>
      </c>
      <c r="S34" s="13">
        <v>3.6</v>
      </c>
      <c r="T34" s="13">
        <v>14.9</v>
      </c>
      <c r="U34" s="13">
        <v>45.6</v>
      </c>
      <c r="V34" s="13">
        <v>7.5</v>
      </c>
      <c r="W34" s="13">
        <v>77.599999999999994</v>
      </c>
      <c r="X34" s="13">
        <v>17.5</v>
      </c>
      <c r="Y34" s="13">
        <v>1479.4</v>
      </c>
      <c r="Z34" s="13">
        <v>66.3</v>
      </c>
      <c r="AA34" s="13">
        <v>20.399999999999999</v>
      </c>
      <c r="AB34" s="13">
        <v>3085.2</v>
      </c>
      <c r="AC34" s="13">
        <v>4042.2</v>
      </c>
      <c r="AD34" s="13">
        <v>25.4</v>
      </c>
      <c r="AE34" s="13">
        <v>796.7</v>
      </c>
      <c r="AF34" s="13">
        <v>70.599999999999994</v>
      </c>
      <c r="AG34" s="13">
        <v>3856.6</v>
      </c>
      <c r="AH34" s="13">
        <v>1075.3</v>
      </c>
      <c r="AI34" s="13">
        <v>1102.7</v>
      </c>
      <c r="AJ34" s="13">
        <v>347.3</v>
      </c>
      <c r="AK34" s="13">
        <v>1265.2</v>
      </c>
      <c r="AL34" s="13">
        <v>0</v>
      </c>
      <c r="AM34" s="13">
        <v>3135.5</v>
      </c>
      <c r="AN34" s="13">
        <v>0.4</v>
      </c>
      <c r="AO34" s="13">
        <v>18.8</v>
      </c>
      <c r="AP34" s="13">
        <v>152.30000000000001</v>
      </c>
      <c r="AQ34" s="13">
        <v>0.7</v>
      </c>
      <c r="AR34" s="13">
        <v>97.3</v>
      </c>
      <c r="AS34" s="13">
        <v>4.0999999999999996</v>
      </c>
      <c r="AT34" s="13">
        <v>190</v>
      </c>
      <c r="AU34" s="13">
        <v>-1839.9</v>
      </c>
    </row>
    <row r="35" spans="1:47" ht="14" x14ac:dyDescent="0.2">
      <c r="A35" s="11" t="s">
        <v>116</v>
      </c>
      <c r="B35" s="10" t="s">
        <v>8</v>
      </c>
      <c r="C35" s="12">
        <v>24.4</v>
      </c>
      <c r="D35" s="12">
        <v>164.9</v>
      </c>
      <c r="E35" s="12">
        <v>54.8</v>
      </c>
      <c r="F35" s="12">
        <v>19.3</v>
      </c>
      <c r="G35" s="12">
        <v>907.5</v>
      </c>
      <c r="H35" s="12">
        <v>339.2</v>
      </c>
      <c r="I35" s="12">
        <v>28.3</v>
      </c>
      <c r="J35" s="12">
        <v>209.8</v>
      </c>
      <c r="K35" s="12">
        <v>99.1</v>
      </c>
      <c r="L35" s="12">
        <v>292.8</v>
      </c>
      <c r="M35" s="12">
        <v>93</v>
      </c>
      <c r="N35" s="12">
        <v>155</v>
      </c>
      <c r="O35" s="12">
        <v>86.5</v>
      </c>
      <c r="P35" s="12">
        <v>135.1</v>
      </c>
      <c r="Q35" s="12">
        <v>276.7</v>
      </c>
      <c r="R35" s="12">
        <v>139</v>
      </c>
      <c r="S35" s="12">
        <v>144.30000000000001</v>
      </c>
      <c r="T35" s="12">
        <v>853.6</v>
      </c>
      <c r="U35" s="12">
        <v>46.8</v>
      </c>
      <c r="V35" s="12">
        <v>184.1</v>
      </c>
      <c r="W35" s="12">
        <v>190.4</v>
      </c>
      <c r="X35" s="12">
        <v>364.8</v>
      </c>
      <c r="Y35" s="12">
        <v>1690.5</v>
      </c>
      <c r="Z35" s="12">
        <v>605.79999999999995</v>
      </c>
      <c r="AA35" s="12">
        <v>204.8</v>
      </c>
      <c r="AB35" s="12">
        <v>100.2</v>
      </c>
      <c r="AC35" s="12">
        <v>6058.4</v>
      </c>
      <c r="AD35" s="12">
        <v>317.89999999999998</v>
      </c>
      <c r="AE35" s="12">
        <v>1826.4</v>
      </c>
      <c r="AF35" s="12">
        <v>129.80000000000001</v>
      </c>
      <c r="AG35" s="12">
        <v>1475.3</v>
      </c>
      <c r="AH35" s="12">
        <v>1902.3</v>
      </c>
      <c r="AI35" s="12">
        <v>740.4</v>
      </c>
      <c r="AJ35" s="12">
        <v>683.3</v>
      </c>
      <c r="AK35" s="12">
        <v>633.79999999999995</v>
      </c>
      <c r="AL35" s="12">
        <v>0</v>
      </c>
      <c r="AM35" s="12">
        <v>27658.7</v>
      </c>
      <c r="AN35" s="12">
        <v>0.1</v>
      </c>
      <c r="AO35" s="12">
        <v>40.799999999999997</v>
      </c>
      <c r="AP35" s="12">
        <v>118.2</v>
      </c>
      <c r="AQ35" s="12">
        <v>0</v>
      </c>
      <c r="AR35" s="12">
        <v>359</v>
      </c>
      <c r="AS35" s="12">
        <v>25.1</v>
      </c>
      <c r="AT35" s="12">
        <v>346.7</v>
      </c>
      <c r="AU35" s="12">
        <v>-1000.6</v>
      </c>
    </row>
    <row r="36" spans="1:47" ht="24" x14ac:dyDescent="0.2">
      <c r="A36" s="11" t="s">
        <v>117</v>
      </c>
      <c r="B36" s="10" t="s">
        <v>8</v>
      </c>
      <c r="C36" s="13">
        <v>43.8</v>
      </c>
      <c r="D36" s="13">
        <v>162.4</v>
      </c>
      <c r="E36" s="13">
        <v>134.80000000000001</v>
      </c>
      <c r="F36" s="13">
        <v>13.8</v>
      </c>
      <c r="G36" s="13">
        <v>659.1</v>
      </c>
      <c r="H36" s="13">
        <v>53.3</v>
      </c>
      <c r="I36" s="13">
        <v>7.1</v>
      </c>
      <c r="J36" s="13">
        <v>80.900000000000006</v>
      </c>
      <c r="K36" s="13">
        <v>34.4</v>
      </c>
      <c r="L36" s="13">
        <v>460.1</v>
      </c>
      <c r="M36" s="13">
        <v>61</v>
      </c>
      <c r="N36" s="13">
        <v>45.4</v>
      </c>
      <c r="O36" s="13">
        <v>98.7</v>
      </c>
      <c r="P36" s="13">
        <v>59.3</v>
      </c>
      <c r="Q36" s="13">
        <v>114.5</v>
      </c>
      <c r="R36" s="13">
        <v>132.69999999999999</v>
      </c>
      <c r="S36" s="13">
        <v>83.2</v>
      </c>
      <c r="T36" s="13">
        <v>429.8</v>
      </c>
      <c r="U36" s="13">
        <v>69</v>
      </c>
      <c r="V36" s="13">
        <v>90.3</v>
      </c>
      <c r="W36" s="13">
        <v>599.79999999999995</v>
      </c>
      <c r="X36" s="13">
        <v>257.60000000000002</v>
      </c>
      <c r="Y36" s="13">
        <v>2125.8000000000002</v>
      </c>
      <c r="Z36" s="13">
        <v>1123.5999999999999</v>
      </c>
      <c r="AA36" s="13">
        <v>67.3</v>
      </c>
      <c r="AB36" s="13">
        <v>458.4</v>
      </c>
      <c r="AC36" s="13">
        <v>1092.4000000000001</v>
      </c>
      <c r="AD36" s="13">
        <v>2225.3000000000002</v>
      </c>
      <c r="AE36" s="13">
        <v>4618.2</v>
      </c>
      <c r="AF36" s="13">
        <v>170.1</v>
      </c>
      <c r="AG36" s="13">
        <v>2300.6999999999998</v>
      </c>
      <c r="AH36" s="13">
        <v>3041.9</v>
      </c>
      <c r="AI36" s="13">
        <v>812.9</v>
      </c>
      <c r="AJ36" s="13">
        <v>1049</v>
      </c>
      <c r="AK36" s="13">
        <v>952.2</v>
      </c>
      <c r="AL36" s="13">
        <v>0</v>
      </c>
      <c r="AM36" s="13">
        <v>355.9</v>
      </c>
      <c r="AN36" s="13">
        <v>0.2</v>
      </c>
      <c r="AO36" s="13">
        <v>20.399999999999999</v>
      </c>
      <c r="AP36" s="13">
        <v>20456.2</v>
      </c>
      <c r="AQ36" s="13">
        <v>3.1</v>
      </c>
      <c r="AR36" s="13">
        <v>20.100000000000001</v>
      </c>
      <c r="AS36" s="13">
        <v>0.4</v>
      </c>
      <c r="AT36" s="13">
        <v>991.3</v>
      </c>
      <c r="AU36" s="13">
        <v>-7592.3</v>
      </c>
    </row>
    <row r="37" spans="1:47" ht="24" x14ac:dyDescent="0.2">
      <c r="A37" s="11" t="s">
        <v>118</v>
      </c>
      <c r="B37" s="10" t="s">
        <v>8</v>
      </c>
      <c r="C37" s="12">
        <v>3575.9</v>
      </c>
      <c r="D37" s="12">
        <v>1480.9</v>
      </c>
      <c r="E37" s="12">
        <v>879.1</v>
      </c>
      <c r="F37" s="12">
        <v>100.8</v>
      </c>
      <c r="G37" s="12">
        <v>3026.6</v>
      </c>
      <c r="H37" s="12">
        <v>939.6</v>
      </c>
      <c r="I37" s="12">
        <v>164.1</v>
      </c>
      <c r="J37" s="12">
        <v>612.9</v>
      </c>
      <c r="K37" s="12">
        <v>1348.6</v>
      </c>
      <c r="L37" s="12">
        <v>2024.6</v>
      </c>
      <c r="M37" s="12">
        <v>550.9</v>
      </c>
      <c r="N37" s="12">
        <v>563.5</v>
      </c>
      <c r="O37" s="12">
        <v>1427.8</v>
      </c>
      <c r="P37" s="12">
        <v>591.20000000000005</v>
      </c>
      <c r="Q37" s="12">
        <v>453.5</v>
      </c>
      <c r="R37" s="12">
        <v>377.9</v>
      </c>
      <c r="S37" s="12">
        <v>688.9</v>
      </c>
      <c r="T37" s="12">
        <v>1344.2</v>
      </c>
      <c r="U37" s="12">
        <v>346.4</v>
      </c>
      <c r="V37" s="12">
        <v>731.6</v>
      </c>
      <c r="W37" s="12">
        <v>1882.3</v>
      </c>
      <c r="X37" s="12">
        <v>3645.4</v>
      </c>
      <c r="Y37" s="12">
        <v>7222.1</v>
      </c>
      <c r="Z37" s="12">
        <v>4640.7</v>
      </c>
      <c r="AA37" s="12">
        <v>1063.9000000000001</v>
      </c>
      <c r="AB37" s="12">
        <v>318</v>
      </c>
      <c r="AC37" s="12">
        <v>982.3</v>
      </c>
      <c r="AD37" s="12">
        <v>738.6</v>
      </c>
      <c r="AE37" s="12">
        <v>28129.7</v>
      </c>
      <c r="AF37" s="12">
        <v>5886.5</v>
      </c>
      <c r="AG37" s="12">
        <v>4312.3</v>
      </c>
      <c r="AH37" s="12">
        <v>4612.8</v>
      </c>
      <c r="AI37" s="12">
        <v>1713.4</v>
      </c>
      <c r="AJ37" s="12">
        <v>2060.4</v>
      </c>
      <c r="AK37" s="12">
        <v>1721.3</v>
      </c>
      <c r="AL37" s="12">
        <v>0</v>
      </c>
      <c r="AM37" s="12">
        <v>86690.5</v>
      </c>
      <c r="AN37" s="12">
        <v>33.299999999999997</v>
      </c>
      <c r="AO37" s="12">
        <v>3188.6</v>
      </c>
      <c r="AP37" s="12">
        <v>362.8</v>
      </c>
      <c r="AQ37" s="12">
        <v>7.4</v>
      </c>
      <c r="AR37" s="12">
        <v>320.39999999999998</v>
      </c>
      <c r="AS37" s="12">
        <v>30.7</v>
      </c>
      <c r="AT37" s="12">
        <v>1525.8</v>
      </c>
      <c r="AU37" s="12">
        <v>-6437.8</v>
      </c>
    </row>
    <row r="38" spans="1:47" ht="14" x14ac:dyDescent="0.2">
      <c r="A38" s="11" t="s">
        <v>119</v>
      </c>
      <c r="B38" s="10" t="s">
        <v>8</v>
      </c>
      <c r="C38" s="13">
        <v>33.799999999999997</v>
      </c>
      <c r="D38" s="13">
        <v>93.7</v>
      </c>
      <c r="E38" s="13">
        <v>42.9</v>
      </c>
      <c r="F38" s="13">
        <v>10.6</v>
      </c>
      <c r="G38" s="13">
        <v>499.3</v>
      </c>
      <c r="H38" s="13">
        <v>281.7</v>
      </c>
      <c r="I38" s="13">
        <v>12.1</v>
      </c>
      <c r="J38" s="13">
        <v>68.099999999999994</v>
      </c>
      <c r="K38" s="13">
        <v>101.9</v>
      </c>
      <c r="L38" s="13">
        <v>254.9</v>
      </c>
      <c r="M38" s="13">
        <v>119.5</v>
      </c>
      <c r="N38" s="13">
        <v>70.3</v>
      </c>
      <c r="O38" s="13">
        <v>102.8</v>
      </c>
      <c r="P38" s="13">
        <v>90.8</v>
      </c>
      <c r="Q38" s="13">
        <v>68</v>
      </c>
      <c r="R38" s="13">
        <v>38.5</v>
      </c>
      <c r="S38" s="13">
        <v>68.900000000000006</v>
      </c>
      <c r="T38" s="13">
        <v>113.2</v>
      </c>
      <c r="U38" s="13">
        <v>107.6</v>
      </c>
      <c r="V38" s="13">
        <v>97.8</v>
      </c>
      <c r="W38" s="13">
        <v>502.8</v>
      </c>
      <c r="X38" s="13">
        <v>427.6</v>
      </c>
      <c r="Y38" s="13">
        <v>11923.7</v>
      </c>
      <c r="Z38" s="13">
        <v>1301.7</v>
      </c>
      <c r="AA38" s="13">
        <v>1420.8</v>
      </c>
      <c r="AB38" s="13">
        <v>157.19999999999999</v>
      </c>
      <c r="AC38" s="13">
        <v>703.7</v>
      </c>
      <c r="AD38" s="13">
        <v>360.5</v>
      </c>
      <c r="AE38" s="13">
        <v>2871.6</v>
      </c>
      <c r="AF38" s="13">
        <v>1343.7</v>
      </c>
      <c r="AG38" s="13">
        <v>3350.3</v>
      </c>
      <c r="AH38" s="13">
        <v>3520.4</v>
      </c>
      <c r="AI38" s="13">
        <v>1593.8</v>
      </c>
      <c r="AJ38" s="13">
        <v>2528.6</v>
      </c>
      <c r="AK38" s="13">
        <v>1795.6</v>
      </c>
      <c r="AL38" s="13">
        <v>0</v>
      </c>
      <c r="AM38" s="13">
        <v>120381.8</v>
      </c>
      <c r="AN38" s="13">
        <v>0.1</v>
      </c>
      <c r="AO38" s="13">
        <v>7917</v>
      </c>
      <c r="AP38" s="13">
        <v>4463.1000000000004</v>
      </c>
      <c r="AQ38" s="13">
        <v>6.7</v>
      </c>
      <c r="AR38" s="13">
        <v>804</v>
      </c>
      <c r="AS38" s="13">
        <v>72.8</v>
      </c>
      <c r="AT38" s="13">
        <v>1163.2</v>
      </c>
      <c r="AU38" s="13">
        <v>-1964.2</v>
      </c>
    </row>
    <row r="39" spans="1:47" ht="24" x14ac:dyDescent="0.2">
      <c r="A39" s="11" t="s">
        <v>120</v>
      </c>
      <c r="B39" s="10" t="s">
        <v>8</v>
      </c>
      <c r="C39" s="12">
        <v>2556.5</v>
      </c>
      <c r="D39" s="12">
        <v>6983.4</v>
      </c>
      <c r="E39" s="12">
        <v>2295.8000000000002</v>
      </c>
      <c r="F39" s="12">
        <v>367.8</v>
      </c>
      <c r="G39" s="12">
        <v>14876.8</v>
      </c>
      <c r="H39" s="12">
        <v>1293.5</v>
      </c>
      <c r="I39" s="12">
        <v>334.7</v>
      </c>
      <c r="J39" s="12">
        <v>1840.2</v>
      </c>
      <c r="K39" s="12">
        <v>3753.6</v>
      </c>
      <c r="L39" s="12">
        <v>8745.4</v>
      </c>
      <c r="M39" s="12">
        <v>1670.2</v>
      </c>
      <c r="N39" s="12">
        <v>1832.3</v>
      </c>
      <c r="O39" s="12">
        <v>1886.5</v>
      </c>
      <c r="P39" s="12">
        <v>1559.1</v>
      </c>
      <c r="Q39" s="12">
        <v>2481.4</v>
      </c>
      <c r="R39" s="12">
        <v>1612.5</v>
      </c>
      <c r="S39" s="12">
        <v>2524.4</v>
      </c>
      <c r="T39" s="12">
        <v>5586.7</v>
      </c>
      <c r="U39" s="12">
        <v>1020.7</v>
      </c>
      <c r="V39" s="12">
        <v>2779.1</v>
      </c>
      <c r="W39" s="12">
        <v>4072.9</v>
      </c>
      <c r="X39" s="12">
        <v>7901.8</v>
      </c>
      <c r="Y39" s="12">
        <v>19570.8</v>
      </c>
      <c r="Z39" s="12">
        <v>13115.3</v>
      </c>
      <c r="AA39" s="12">
        <v>2785.3</v>
      </c>
      <c r="AB39" s="12">
        <v>1924.3</v>
      </c>
      <c r="AC39" s="12">
        <v>5452.2</v>
      </c>
      <c r="AD39" s="12">
        <v>3335.2</v>
      </c>
      <c r="AE39" s="12">
        <v>11114</v>
      </c>
      <c r="AF39" s="12">
        <v>1424.8</v>
      </c>
      <c r="AG39" s="12">
        <v>23937.9</v>
      </c>
      <c r="AH39" s="12">
        <v>8635</v>
      </c>
      <c r="AI39" s="12">
        <v>6256.7</v>
      </c>
      <c r="AJ39" s="12">
        <v>5620.8</v>
      </c>
      <c r="AK39" s="12">
        <v>4593.7</v>
      </c>
      <c r="AL39" s="12">
        <v>0</v>
      </c>
      <c r="AM39" s="12">
        <v>8227.5</v>
      </c>
      <c r="AN39" s="12">
        <v>216.2</v>
      </c>
      <c r="AO39" s="12">
        <v>10025.6</v>
      </c>
      <c r="AP39" s="12">
        <v>5068.1000000000004</v>
      </c>
      <c r="AQ39" s="12">
        <v>88.1</v>
      </c>
      <c r="AR39" s="12">
        <v>449.9</v>
      </c>
      <c r="AS39" s="12">
        <v>27.3</v>
      </c>
      <c r="AT39" s="12">
        <v>12986.1</v>
      </c>
      <c r="AU39" s="12">
        <v>-27033.5</v>
      </c>
    </row>
    <row r="40" spans="1:47" ht="24" x14ac:dyDescent="0.2">
      <c r="A40" s="11" t="s">
        <v>121</v>
      </c>
      <c r="B40" s="10" t="s">
        <v>8</v>
      </c>
      <c r="C40" s="13">
        <v>108.8</v>
      </c>
      <c r="D40" s="13">
        <v>137.6</v>
      </c>
      <c r="E40" s="13">
        <v>88.5</v>
      </c>
      <c r="F40" s="13">
        <v>12.1</v>
      </c>
      <c r="G40" s="13">
        <v>536.79999999999995</v>
      </c>
      <c r="H40" s="13">
        <v>50.2</v>
      </c>
      <c r="I40" s="13">
        <v>11</v>
      </c>
      <c r="J40" s="13">
        <v>55.9</v>
      </c>
      <c r="K40" s="13">
        <v>132.4</v>
      </c>
      <c r="L40" s="13">
        <v>364.2</v>
      </c>
      <c r="M40" s="13">
        <v>57.2</v>
      </c>
      <c r="N40" s="13">
        <v>58.8</v>
      </c>
      <c r="O40" s="13">
        <v>127</v>
      </c>
      <c r="P40" s="13">
        <v>37.9</v>
      </c>
      <c r="Q40" s="13">
        <v>66.400000000000006</v>
      </c>
      <c r="R40" s="13">
        <v>64.599999999999994</v>
      </c>
      <c r="S40" s="13">
        <v>82.7</v>
      </c>
      <c r="T40" s="13">
        <v>176.8</v>
      </c>
      <c r="U40" s="13">
        <v>29.4</v>
      </c>
      <c r="V40" s="13">
        <v>47.8</v>
      </c>
      <c r="W40" s="13">
        <v>179.4</v>
      </c>
      <c r="X40" s="13">
        <v>176</v>
      </c>
      <c r="Y40" s="13">
        <v>613</v>
      </c>
      <c r="Z40" s="13">
        <v>243</v>
      </c>
      <c r="AA40" s="13">
        <v>55.8</v>
      </c>
      <c r="AB40" s="13">
        <v>41.9</v>
      </c>
      <c r="AC40" s="13">
        <v>82.6</v>
      </c>
      <c r="AD40" s="13">
        <v>69.900000000000006</v>
      </c>
      <c r="AE40" s="13">
        <v>487.3</v>
      </c>
      <c r="AF40" s="13">
        <v>73.400000000000006</v>
      </c>
      <c r="AG40" s="13">
        <v>570.9</v>
      </c>
      <c r="AH40" s="13">
        <v>903.1</v>
      </c>
      <c r="AI40" s="13">
        <v>117.4</v>
      </c>
      <c r="AJ40" s="13">
        <v>548.6</v>
      </c>
      <c r="AK40" s="13">
        <v>247.1</v>
      </c>
      <c r="AL40" s="13">
        <v>0</v>
      </c>
      <c r="AM40" s="13">
        <v>10084.5</v>
      </c>
      <c r="AN40" s="13">
        <v>39.4</v>
      </c>
      <c r="AO40" s="13">
        <v>196719.4</v>
      </c>
      <c r="AP40" s="13">
        <v>3625.1</v>
      </c>
      <c r="AQ40" s="13">
        <v>-61.3</v>
      </c>
      <c r="AR40" s="13">
        <v>24.3</v>
      </c>
      <c r="AS40" s="13">
        <v>11.4</v>
      </c>
      <c r="AT40" s="13">
        <v>849.9</v>
      </c>
      <c r="AU40" s="13">
        <v>-210.2</v>
      </c>
    </row>
    <row r="41" spans="1:47" ht="14" x14ac:dyDescent="0.2">
      <c r="A41" s="11" t="s">
        <v>122</v>
      </c>
      <c r="B41" s="10" t="s">
        <v>8</v>
      </c>
      <c r="C41" s="12">
        <v>5.6</v>
      </c>
      <c r="D41" s="12">
        <v>10.9</v>
      </c>
      <c r="E41" s="12">
        <v>29.8</v>
      </c>
      <c r="F41" s="12">
        <v>0.9</v>
      </c>
      <c r="G41" s="12">
        <v>54.6</v>
      </c>
      <c r="H41" s="12">
        <v>7.4</v>
      </c>
      <c r="I41" s="12">
        <v>1.9</v>
      </c>
      <c r="J41" s="12">
        <v>9.9</v>
      </c>
      <c r="K41" s="12">
        <v>4</v>
      </c>
      <c r="L41" s="12">
        <v>84.9</v>
      </c>
      <c r="M41" s="12">
        <v>7.1</v>
      </c>
      <c r="N41" s="12">
        <v>6.3</v>
      </c>
      <c r="O41" s="12">
        <v>43.1</v>
      </c>
      <c r="P41" s="12">
        <v>8.1</v>
      </c>
      <c r="Q41" s="12">
        <v>9.9</v>
      </c>
      <c r="R41" s="12">
        <v>21.2</v>
      </c>
      <c r="S41" s="12">
        <v>20.8</v>
      </c>
      <c r="T41" s="12">
        <v>70.8</v>
      </c>
      <c r="U41" s="12">
        <v>2.8</v>
      </c>
      <c r="V41" s="12">
        <v>6.6</v>
      </c>
      <c r="W41" s="12">
        <v>52.2</v>
      </c>
      <c r="X41" s="12">
        <v>12.5</v>
      </c>
      <c r="Y41" s="12">
        <v>133.69999999999999</v>
      </c>
      <c r="Z41" s="12">
        <v>103.6</v>
      </c>
      <c r="AA41" s="12">
        <v>4.5999999999999996</v>
      </c>
      <c r="AB41" s="12">
        <v>3.7</v>
      </c>
      <c r="AC41" s="12">
        <v>27.1</v>
      </c>
      <c r="AD41" s="12">
        <v>16.600000000000001</v>
      </c>
      <c r="AE41" s="12">
        <v>268.89999999999998</v>
      </c>
      <c r="AF41" s="12">
        <v>8.9</v>
      </c>
      <c r="AG41" s="12">
        <v>385.5</v>
      </c>
      <c r="AH41" s="12">
        <v>343.4</v>
      </c>
      <c r="AI41" s="12">
        <v>54.7</v>
      </c>
      <c r="AJ41" s="12">
        <v>202.4</v>
      </c>
      <c r="AK41" s="12">
        <v>127.4</v>
      </c>
      <c r="AL41" s="12">
        <v>0</v>
      </c>
      <c r="AM41" s="12">
        <v>26373.599999999999</v>
      </c>
      <c r="AN41" s="12">
        <v>7.4</v>
      </c>
      <c r="AO41" s="12">
        <v>93661</v>
      </c>
      <c r="AP41" s="12">
        <v>4887.2</v>
      </c>
      <c r="AQ41" s="12">
        <v>0.4</v>
      </c>
      <c r="AR41" s="12">
        <v>1792.8</v>
      </c>
      <c r="AS41" s="12">
        <v>29.3</v>
      </c>
      <c r="AT41" s="12">
        <v>211.9</v>
      </c>
      <c r="AU41" s="12">
        <v>-2088.6</v>
      </c>
    </row>
    <row r="42" spans="1:47" ht="24" x14ac:dyDescent="0.2">
      <c r="A42" s="11" t="s">
        <v>123</v>
      </c>
      <c r="B42" s="10" t="s">
        <v>8</v>
      </c>
      <c r="C42" s="13">
        <v>20</v>
      </c>
      <c r="D42" s="13">
        <v>1.4</v>
      </c>
      <c r="E42" s="13">
        <v>4.5</v>
      </c>
      <c r="F42" s="13">
        <v>0.3</v>
      </c>
      <c r="G42" s="13">
        <v>8.3000000000000007</v>
      </c>
      <c r="H42" s="13">
        <v>2.5</v>
      </c>
      <c r="I42" s="13">
        <v>0.2</v>
      </c>
      <c r="J42" s="13">
        <v>1.2</v>
      </c>
      <c r="K42" s="13">
        <v>3.3</v>
      </c>
      <c r="L42" s="13">
        <v>5.3</v>
      </c>
      <c r="M42" s="13">
        <v>1.5</v>
      </c>
      <c r="N42" s="13">
        <v>1</v>
      </c>
      <c r="O42" s="13">
        <v>2.7</v>
      </c>
      <c r="P42" s="13">
        <v>1</v>
      </c>
      <c r="Q42" s="13">
        <v>2.6</v>
      </c>
      <c r="R42" s="13">
        <v>1</v>
      </c>
      <c r="S42" s="13">
        <v>2.2999999999999998</v>
      </c>
      <c r="T42" s="13">
        <v>3</v>
      </c>
      <c r="U42" s="13">
        <v>9.3000000000000007</v>
      </c>
      <c r="V42" s="13">
        <v>1.9</v>
      </c>
      <c r="W42" s="13">
        <v>54</v>
      </c>
      <c r="X42" s="13">
        <v>5.8</v>
      </c>
      <c r="Y42" s="13">
        <v>587.9</v>
      </c>
      <c r="Z42" s="13">
        <v>30.1</v>
      </c>
      <c r="AA42" s="13">
        <v>6.7</v>
      </c>
      <c r="AB42" s="13">
        <v>1.4</v>
      </c>
      <c r="AC42" s="13">
        <v>4.5</v>
      </c>
      <c r="AD42" s="13">
        <v>2.8</v>
      </c>
      <c r="AE42" s="13">
        <v>614.5</v>
      </c>
      <c r="AF42" s="13">
        <v>35.4</v>
      </c>
      <c r="AG42" s="13">
        <v>521</v>
      </c>
      <c r="AH42" s="13">
        <v>2125.8000000000002</v>
      </c>
      <c r="AI42" s="13">
        <v>10.7</v>
      </c>
      <c r="AJ42" s="13">
        <v>4904.6000000000004</v>
      </c>
      <c r="AK42" s="13">
        <v>795.7</v>
      </c>
      <c r="AL42" s="13">
        <v>0</v>
      </c>
      <c r="AM42" s="13">
        <v>98422.8</v>
      </c>
      <c r="AN42" s="13">
        <v>9914.6</v>
      </c>
      <c r="AO42" s="13">
        <v>4672.6000000000004</v>
      </c>
      <c r="AP42" s="13">
        <v>44.1</v>
      </c>
      <c r="AQ42" s="13">
        <v>-0.2</v>
      </c>
      <c r="AR42" s="13">
        <v>252.3</v>
      </c>
      <c r="AS42" s="13">
        <v>21.7</v>
      </c>
      <c r="AT42" s="13">
        <v>10.7</v>
      </c>
      <c r="AU42" s="13">
        <v>-317.7</v>
      </c>
    </row>
    <row r="43" spans="1:47" ht="24" x14ac:dyDescent="0.2">
      <c r="A43" s="11" t="s">
        <v>124</v>
      </c>
      <c r="B43" s="10" t="s">
        <v>8</v>
      </c>
      <c r="C43" s="12">
        <v>66.7</v>
      </c>
      <c r="D43" s="12">
        <v>154.5</v>
      </c>
      <c r="E43" s="12">
        <v>111.1</v>
      </c>
      <c r="F43" s="12">
        <v>24.9</v>
      </c>
      <c r="G43" s="12">
        <v>196.6</v>
      </c>
      <c r="H43" s="12">
        <v>63.9</v>
      </c>
      <c r="I43" s="12">
        <v>15.9</v>
      </c>
      <c r="J43" s="12">
        <v>50.8</v>
      </c>
      <c r="K43" s="12">
        <v>48.9</v>
      </c>
      <c r="L43" s="12">
        <v>104.9</v>
      </c>
      <c r="M43" s="12">
        <v>44.9</v>
      </c>
      <c r="N43" s="12">
        <v>45.5</v>
      </c>
      <c r="O43" s="12">
        <v>53.7</v>
      </c>
      <c r="P43" s="12">
        <v>69.8</v>
      </c>
      <c r="Q43" s="12">
        <v>117.8</v>
      </c>
      <c r="R43" s="12">
        <v>43</v>
      </c>
      <c r="S43" s="12">
        <v>58.2</v>
      </c>
      <c r="T43" s="12">
        <v>121.4</v>
      </c>
      <c r="U43" s="12">
        <v>51.8</v>
      </c>
      <c r="V43" s="12">
        <v>37.9</v>
      </c>
      <c r="W43" s="12">
        <v>299.39999999999998</v>
      </c>
      <c r="X43" s="12">
        <v>75.3</v>
      </c>
      <c r="Y43" s="12">
        <v>1180.4000000000001</v>
      </c>
      <c r="Z43" s="12">
        <v>303.10000000000002</v>
      </c>
      <c r="AA43" s="12">
        <v>128.6</v>
      </c>
      <c r="AB43" s="12">
        <v>99.7</v>
      </c>
      <c r="AC43" s="12">
        <v>1061.2</v>
      </c>
      <c r="AD43" s="12">
        <v>291.5</v>
      </c>
      <c r="AE43" s="12">
        <v>635.5</v>
      </c>
      <c r="AF43" s="12">
        <v>69.099999999999994</v>
      </c>
      <c r="AG43" s="12">
        <v>865.9</v>
      </c>
      <c r="AH43" s="12">
        <v>961.3</v>
      </c>
      <c r="AI43" s="12">
        <v>284</v>
      </c>
      <c r="AJ43" s="12">
        <v>1742.1</v>
      </c>
      <c r="AK43" s="12">
        <v>1903.1</v>
      </c>
      <c r="AL43" s="12">
        <v>0</v>
      </c>
      <c r="AM43" s="12">
        <v>20322.7</v>
      </c>
      <c r="AN43" s="12">
        <v>15788.4</v>
      </c>
      <c r="AO43" s="12">
        <v>7466</v>
      </c>
      <c r="AP43" s="12">
        <v>99.5</v>
      </c>
      <c r="AQ43" s="12">
        <v>0</v>
      </c>
      <c r="AR43" s="12">
        <v>938.8</v>
      </c>
      <c r="AS43" s="12">
        <v>73.099999999999994</v>
      </c>
      <c r="AT43" s="12">
        <v>113</v>
      </c>
      <c r="AU43" s="12">
        <v>-1653.4</v>
      </c>
    </row>
    <row r="44" spans="1:47" ht="24" x14ac:dyDescent="0.2">
      <c r="A44" s="11" t="s">
        <v>125</v>
      </c>
      <c r="B44" s="10" t="s">
        <v>8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18634.7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</row>
    <row r="45" spans="1:47" ht="36" x14ac:dyDescent="0.2">
      <c r="A45" s="11" t="s">
        <v>126</v>
      </c>
      <c r="B45" s="10" t="s">
        <v>8</v>
      </c>
      <c r="C45" s="12">
        <v>109.8</v>
      </c>
      <c r="D45" s="12">
        <v>36</v>
      </c>
      <c r="E45" s="12">
        <v>25.6</v>
      </c>
      <c r="F45" s="12">
        <v>3.5</v>
      </c>
      <c r="G45" s="12">
        <v>72.900000000000006</v>
      </c>
      <c r="H45" s="12">
        <v>43.2</v>
      </c>
      <c r="I45" s="12">
        <v>2.9</v>
      </c>
      <c r="J45" s="12">
        <v>18.3</v>
      </c>
      <c r="K45" s="12">
        <v>433.7</v>
      </c>
      <c r="L45" s="12">
        <v>163</v>
      </c>
      <c r="M45" s="12">
        <v>31.4</v>
      </c>
      <c r="N45" s="12">
        <v>22.3</v>
      </c>
      <c r="O45" s="12">
        <v>46.7</v>
      </c>
      <c r="P45" s="12">
        <v>14.8</v>
      </c>
      <c r="Q45" s="12">
        <v>44.5</v>
      </c>
      <c r="R45" s="12">
        <v>23.8</v>
      </c>
      <c r="S45" s="12">
        <v>32.200000000000003</v>
      </c>
      <c r="T45" s="12">
        <v>135.4</v>
      </c>
      <c r="U45" s="12">
        <v>21.5</v>
      </c>
      <c r="V45" s="12">
        <v>27.6</v>
      </c>
      <c r="W45" s="12">
        <v>42.6</v>
      </c>
      <c r="X45" s="12">
        <v>85.7</v>
      </c>
      <c r="Y45" s="12">
        <v>81.7</v>
      </c>
      <c r="Z45" s="12">
        <v>279.5</v>
      </c>
      <c r="AA45" s="12">
        <v>64.3</v>
      </c>
      <c r="AB45" s="12">
        <v>3.6</v>
      </c>
      <c r="AC45" s="12">
        <v>8.1999999999999993</v>
      </c>
      <c r="AD45" s="12">
        <v>8.4</v>
      </c>
      <c r="AE45" s="12">
        <v>17</v>
      </c>
      <c r="AF45" s="12">
        <v>3.9</v>
      </c>
      <c r="AG45" s="12">
        <v>37</v>
      </c>
      <c r="AH45" s="12">
        <v>52</v>
      </c>
      <c r="AI45" s="12">
        <v>19.899999999999999</v>
      </c>
      <c r="AJ45" s="12">
        <v>38.299999999999997</v>
      </c>
      <c r="AK45" s="12">
        <v>18.2</v>
      </c>
      <c r="AL45" s="12">
        <v>0</v>
      </c>
      <c r="AM45" s="12">
        <v>1233.4000000000001</v>
      </c>
      <c r="AN45" s="12">
        <v>0.3</v>
      </c>
      <c r="AO45" s="12">
        <v>101.7</v>
      </c>
      <c r="AP45" s="12">
        <v>297.7</v>
      </c>
      <c r="AQ45" s="12">
        <v>0</v>
      </c>
      <c r="AR45" s="12">
        <v>818.1</v>
      </c>
      <c r="AS45" s="12">
        <v>0</v>
      </c>
      <c r="AT45" s="12">
        <v>0</v>
      </c>
      <c r="AU45" s="12">
        <v>-4520.7</v>
      </c>
    </row>
    <row r="46" spans="1:47" ht="48" x14ac:dyDescent="0.2">
      <c r="A46" s="11" t="s">
        <v>127</v>
      </c>
      <c r="B46" s="10" t="s">
        <v>8</v>
      </c>
      <c r="C46" s="13">
        <v>6191.3</v>
      </c>
      <c r="D46" s="13">
        <v>1911.3</v>
      </c>
      <c r="E46" s="13">
        <v>1134.2</v>
      </c>
      <c r="F46" s="13">
        <v>183.9</v>
      </c>
      <c r="G46" s="13">
        <v>5462.3</v>
      </c>
      <c r="H46" s="13">
        <v>3122.1</v>
      </c>
      <c r="I46" s="13">
        <v>315.7</v>
      </c>
      <c r="J46" s="13">
        <v>1369</v>
      </c>
      <c r="K46" s="13">
        <v>5484</v>
      </c>
      <c r="L46" s="13">
        <v>6491.3</v>
      </c>
      <c r="M46" s="13">
        <v>1711</v>
      </c>
      <c r="N46" s="13">
        <v>1311.8</v>
      </c>
      <c r="O46" s="13">
        <v>1840.2</v>
      </c>
      <c r="P46" s="13">
        <v>1104</v>
      </c>
      <c r="Q46" s="13">
        <v>2207.4</v>
      </c>
      <c r="R46" s="13">
        <v>1282.3</v>
      </c>
      <c r="S46" s="13">
        <v>1594.7</v>
      </c>
      <c r="T46" s="13">
        <v>4416</v>
      </c>
      <c r="U46" s="13">
        <v>608.79999999999995</v>
      </c>
      <c r="V46" s="13">
        <v>1827.3</v>
      </c>
      <c r="W46" s="13">
        <v>5803</v>
      </c>
      <c r="X46" s="13">
        <v>8984</v>
      </c>
      <c r="Y46" s="13">
        <v>4967</v>
      </c>
      <c r="Z46" s="13">
        <v>5624.9</v>
      </c>
      <c r="AA46" s="13">
        <v>5174.8</v>
      </c>
      <c r="AB46" s="13">
        <v>590.20000000000005</v>
      </c>
      <c r="AC46" s="13">
        <v>2333.4</v>
      </c>
      <c r="AD46" s="13">
        <v>734.7</v>
      </c>
      <c r="AE46" s="13">
        <v>1994.6</v>
      </c>
      <c r="AF46" s="13">
        <v>782.6</v>
      </c>
      <c r="AG46" s="13">
        <v>2985.1</v>
      </c>
      <c r="AH46" s="13">
        <v>3806</v>
      </c>
      <c r="AI46" s="13">
        <v>1864.2</v>
      </c>
      <c r="AJ46" s="13">
        <v>3715.8</v>
      </c>
      <c r="AK46" s="13">
        <v>1654.4</v>
      </c>
      <c r="AL46" s="13">
        <v>0</v>
      </c>
      <c r="AM46" s="13">
        <v>124827.1</v>
      </c>
      <c r="AN46" s="13">
        <v>227.5</v>
      </c>
      <c r="AO46" s="13">
        <v>1592.2</v>
      </c>
      <c r="AP46" s="13">
        <v>22748.400000000001</v>
      </c>
      <c r="AQ46" s="13">
        <v>-1561.9</v>
      </c>
      <c r="AR46" s="13">
        <v>0</v>
      </c>
      <c r="AS46" s="13">
        <v>912.6</v>
      </c>
      <c r="AT46" s="13">
        <v>3912.8</v>
      </c>
      <c r="AU46" s="13">
        <v>0</v>
      </c>
    </row>
    <row r="47" spans="1:47" ht="24" x14ac:dyDescent="0.2">
      <c r="A47" s="11" t="s">
        <v>128</v>
      </c>
      <c r="B47" s="10" t="s">
        <v>8</v>
      </c>
      <c r="C47" s="12">
        <v>68028.399999999994</v>
      </c>
      <c r="D47" s="12">
        <v>27346.2</v>
      </c>
      <c r="E47" s="12">
        <v>15381</v>
      </c>
      <c r="F47" s="12">
        <v>2776.2</v>
      </c>
      <c r="G47" s="12">
        <v>158906.79999999999</v>
      </c>
      <c r="H47" s="12">
        <v>29167.3</v>
      </c>
      <c r="I47" s="12">
        <v>5083.2</v>
      </c>
      <c r="J47" s="12">
        <v>20814.400000000001</v>
      </c>
      <c r="K47" s="12">
        <v>102001.8</v>
      </c>
      <c r="L47" s="12">
        <v>85014.9</v>
      </c>
      <c r="M47" s="12">
        <v>22763.1</v>
      </c>
      <c r="N47" s="12">
        <v>18749.099999999999</v>
      </c>
      <c r="O47" s="12">
        <v>37710.6</v>
      </c>
      <c r="P47" s="12">
        <v>17291.400000000001</v>
      </c>
      <c r="Q47" s="12">
        <v>21654.1</v>
      </c>
      <c r="R47" s="12">
        <v>16656.900000000001</v>
      </c>
      <c r="S47" s="12">
        <v>25172.1</v>
      </c>
      <c r="T47" s="12">
        <v>53353.5</v>
      </c>
      <c r="U47" s="12">
        <v>11804.5</v>
      </c>
      <c r="V47" s="12">
        <v>24078.6</v>
      </c>
      <c r="W47" s="12">
        <v>60840</v>
      </c>
      <c r="X47" s="12">
        <v>102224.5</v>
      </c>
      <c r="Y47" s="12">
        <v>126676</v>
      </c>
      <c r="Z47" s="12">
        <v>84753.8</v>
      </c>
      <c r="AA47" s="12">
        <v>37951.9</v>
      </c>
      <c r="AB47" s="12">
        <v>10904.3</v>
      </c>
      <c r="AC47" s="12">
        <v>29071.3</v>
      </c>
      <c r="AD47" s="12">
        <v>13092.6</v>
      </c>
      <c r="AE47" s="12">
        <v>65939.5</v>
      </c>
      <c r="AF47" s="12">
        <v>18769</v>
      </c>
      <c r="AG47" s="12">
        <v>71445.899999999994</v>
      </c>
      <c r="AH47" s="12">
        <v>64497</v>
      </c>
      <c r="AI47" s="12">
        <v>26513</v>
      </c>
      <c r="AJ47" s="12">
        <v>46818.400000000001</v>
      </c>
      <c r="AK47" s="12">
        <v>29425.4</v>
      </c>
      <c r="AL47" s="12">
        <v>0</v>
      </c>
      <c r="AM47" s="12">
        <v>1113201</v>
      </c>
      <c r="AN47" s="12">
        <v>26248.3</v>
      </c>
      <c r="AO47" s="12">
        <v>356487.7</v>
      </c>
      <c r="AP47" s="12">
        <v>321590</v>
      </c>
      <c r="AQ47" s="12">
        <v>-6346.2</v>
      </c>
      <c r="AR47" s="12">
        <v>16074.8</v>
      </c>
      <c r="AS47" s="12">
        <v>2067.1</v>
      </c>
      <c r="AT47" s="12">
        <v>230018.7</v>
      </c>
      <c r="AU47" s="12">
        <v>-256429.8</v>
      </c>
    </row>
    <row r="48" spans="1:47" ht="14" x14ac:dyDescent="0.2">
      <c r="A48" s="11" t="s">
        <v>129</v>
      </c>
      <c r="B48" s="10" t="s">
        <v>8</v>
      </c>
      <c r="C48" s="13">
        <v>77943.7</v>
      </c>
      <c r="D48" s="13">
        <v>20263.3</v>
      </c>
      <c r="E48" s="13">
        <v>11020.3</v>
      </c>
      <c r="F48" s="13">
        <v>2055.6</v>
      </c>
      <c r="G48" s="13">
        <v>37167</v>
      </c>
      <c r="H48" s="13">
        <v>15602.8</v>
      </c>
      <c r="I48" s="13">
        <v>2961.6</v>
      </c>
      <c r="J48" s="13">
        <v>9385.4</v>
      </c>
      <c r="K48" s="13">
        <v>10963.8</v>
      </c>
      <c r="L48" s="13">
        <v>24306.5</v>
      </c>
      <c r="M48" s="13">
        <v>7848.6</v>
      </c>
      <c r="N48" s="13">
        <v>8352.2000000000007</v>
      </c>
      <c r="O48" s="13">
        <v>10324.200000000001</v>
      </c>
      <c r="P48" s="13">
        <v>10324.200000000001</v>
      </c>
      <c r="Q48" s="13">
        <v>4127.8999999999996</v>
      </c>
      <c r="R48" s="13">
        <v>5127.8</v>
      </c>
      <c r="S48" s="13">
        <v>11329.8</v>
      </c>
      <c r="T48" s="13">
        <v>12287.8</v>
      </c>
      <c r="U48" s="13">
        <v>3631.3</v>
      </c>
      <c r="V48" s="13">
        <v>16120.7</v>
      </c>
      <c r="W48" s="13">
        <v>37072.199999999997</v>
      </c>
      <c r="X48" s="13">
        <v>89095.2</v>
      </c>
      <c r="Y48" s="13">
        <v>206385.9</v>
      </c>
      <c r="Z48" s="13">
        <v>68172.100000000006</v>
      </c>
      <c r="AA48" s="13">
        <v>36909.699999999997</v>
      </c>
      <c r="AB48" s="13">
        <v>8427.1</v>
      </c>
      <c r="AC48" s="13">
        <v>19654.8</v>
      </c>
      <c r="AD48" s="13">
        <v>24891.599999999999</v>
      </c>
      <c r="AE48" s="13">
        <v>109940.8</v>
      </c>
      <c r="AF48" s="13">
        <v>150153.70000000001</v>
      </c>
      <c r="AG48" s="13">
        <v>124350.7</v>
      </c>
      <c r="AH48" s="13">
        <v>153241.1</v>
      </c>
      <c r="AI48" s="13">
        <v>100513.8</v>
      </c>
      <c r="AJ48" s="13">
        <v>75976.5</v>
      </c>
      <c r="AK48" s="13">
        <v>25104.7</v>
      </c>
      <c r="AL48" s="13">
        <v>18634.7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</row>
    <row r="49" spans="1:47" ht="14" x14ac:dyDescent="0.2">
      <c r="A49" s="11" t="s">
        <v>130</v>
      </c>
      <c r="B49" s="10" t="s">
        <v>8</v>
      </c>
      <c r="C49" s="12">
        <v>145972.1</v>
      </c>
      <c r="D49" s="12">
        <v>47609.5</v>
      </c>
      <c r="E49" s="12">
        <v>26401.3</v>
      </c>
      <c r="F49" s="12">
        <v>4831.8</v>
      </c>
      <c r="G49" s="12">
        <v>196073.8</v>
      </c>
      <c r="H49" s="12">
        <v>44770</v>
      </c>
      <c r="I49" s="12">
        <v>8044.8</v>
      </c>
      <c r="J49" s="12">
        <v>30199.9</v>
      </c>
      <c r="K49" s="12">
        <v>112965.6</v>
      </c>
      <c r="L49" s="12">
        <v>109321.4</v>
      </c>
      <c r="M49" s="12">
        <v>30611.7</v>
      </c>
      <c r="N49" s="12">
        <v>27101.200000000001</v>
      </c>
      <c r="O49" s="12">
        <v>48034.8</v>
      </c>
      <c r="P49" s="12">
        <v>27615.599999999999</v>
      </c>
      <c r="Q49" s="12">
        <v>25782</v>
      </c>
      <c r="R49" s="12">
        <v>21784.7</v>
      </c>
      <c r="S49" s="12">
        <v>36501.9</v>
      </c>
      <c r="T49" s="12">
        <v>65641.3</v>
      </c>
      <c r="U49" s="12">
        <v>15435.8</v>
      </c>
      <c r="V49" s="12">
        <v>40199.300000000003</v>
      </c>
      <c r="W49" s="12">
        <v>97912.3</v>
      </c>
      <c r="X49" s="12">
        <v>191319.8</v>
      </c>
      <c r="Y49" s="12">
        <v>333062</v>
      </c>
      <c r="Z49" s="12">
        <v>152925.9</v>
      </c>
      <c r="AA49" s="12">
        <v>74861.600000000006</v>
      </c>
      <c r="AB49" s="12">
        <v>19331.400000000001</v>
      </c>
      <c r="AC49" s="12">
        <v>48726.2</v>
      </c>
      <c r="AD49" s="12">
        <v>37984.199999999997</v>
      </c>
      <c r="AE49" s="12">
        <v>175880.3</v>
      </c>
      <c r="AF49" s="12">
        <v>168922.7</v>
      </c>
      <c r="AG49" s="12">
        <v>195796.7</v>
      </c>
      <c r="AH49" s="12">
        <v>217738.1</v>
      </c>
      <c r="AI49" s="12">
        <v>127026.8</v>
      </c>
      <c r="AJ49" s="12">
        <v>122794.9</v>
      </c>
      <c r="AK49" s="12">
        <v>54530.1</v>
      </c>
      <c r="AL49" s="12">
        <v>18634.7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</row>
    <row r="50" spans="1:47" x14ac:dyDescent="0.15">
      <c r="A50" s="60" t="s">
        <v>209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 xr:uid="{00000000-0004-0000-0100-000000000000}"/>
    <hyperlink ref="C3" r:id="rId2" display="http://localhost/OECDStat_Metadata/ShowMetadata.ashx?Dataset=IOTSI4_2018&amp;Coords=[VAR].[TTL]&amp;ShowOnWeb=true&amp;Lang=en" xr:uid="{00000000-0004-0000-0100-000001000000}"/>
    <hyperlink ref="A50" r:id="rId3" display="https://stats-1.oecd.org/index.aspx?DatasetCode=IOTSI4_2018" xr:uid="{902D1F6C-EE1F-47DF-9B62-4B91F073583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showGridLines="0" topLeftCell="A33" workbookViewId="0">
      <selection activeCell="A40" sqref="A40"/>
    </sheetView>
  </sheetViews>
  <sheetFormatPr baseColWidth="10" defaultColWidth="9.1640625" defaultRowHeight="13" x14ac:dyDescent="0.15"/>
  <cols>
    <col min="1" max="1" width="27.5" style="16" customWidth="1"/>
    <col min="2" max="2" width="2.5" style="16" customWidth="1"/>
    <col min="3" max="3" width="12.83203125" style="16" customWidth="1"/>
    <col min="4" max="16384" width="9.1640625" style="16"/>
  </cols>
  <sheetData>
    <row r="1" spans="1:3" hidden="1" x14ac:dyDescent="0.15">
      <c r="A1" s="17" t="e">
        <f ca="1">DotStatQuery(B1)</f>
        <v>#NAME?</v>
      </c>
      <c r="B1" s="17" t="s">
        <v>3</v>
      </c>
    </row>
    <row r="2" spans="1:3" ht="27" x14ac:dyDescent="0.2">
      <c r="A2" s="62" t="s">
        <v>211</v>
      </c>
      <c r="B2"/>
      <c r="C2"/>
    </row>
    <row r="3" spans="1:3" ht="48" x14ac:dyDescent="0.15">
      <c r="A3" s="222" t="s">
        <v>40</v>
      </c>
      <c r="B3" s="223"/>
      <c r="C3" s="63" t="s">
        <v>142</v>
      </c>
    </row>
    <row r="4" spans="1:3" x14ac:dyDescent="0.15">
      <c r="A4" s="222" t="s">
        <v>4</v>
      </c>
      <c r="B4" s="223"/>
      <c r="C4" s="64" t="s">
        <v>210</v>
      </c>
    </row>
    <row r="5" spans="1:3" x14ac:dyDescent="0.15">
      <c r="A5" s="222" t="s">
        <v>5</v>
      </c>
      <c r="B5" s="223"/>
      <c r="C5" s="64" t="s">
        <v>6</v>
      </c>
    </row>
    <row r="6" spans="1:3" x14ac:dyDescent="0.15">
      <c r="A6" s="222" t="s">
        <v>7</v>
      </c>
      <c r="B6" s="223"/>
      <c r="C6" s="64" t="s">
        <v>141</v>
      </c>
    </row>
    <row r="7" spans="1:3" ht="36" x14ac:dyDescent="0.15">
      <c r="A7" s="224" t="s">
        <v>43</v>
      </c>
      <c r="B7" s="225"/>
      <c r="C7" s="65" t="s">
        <v>140</v>
      </c>
    </row>
    <row r="8" spans="1:3" ht="14" x14ac:dyDescent="0.2">
      <c r="A8" s="66" t="s">
        <v>89</v>
      </c>
      <c r="B8" s="67" t="s">
        <v>8</v>
      </c>
      <c r="C8" s="67" t="s">
        <v>8</v>
      </c>
    </row>
    <row r="9" spans="1:3" ht="24" x14ac:dyDescent="0.2">
      <c r="A9" s="68" t="s">
        <v>90</v>
      </c>
      <c r="B9" s="67" t="s">
        <v>8</v>
      </c>
      <c r="C9" s="69">
        <v>9.67</v>
      </c>
    </row>
    <row r="10" spans="1:3" ht="24" x14ac:dyDescent="0.2">
      <c r="A10" s="68" t="s">
        <v>91</v>
      </c>
      <c r="B10" s="67" t="s">
        <v>8</v>
      </c>
      <c r="C10" s="70">
        <v>16.579999999999998</v>
      </c>
    </row>
    <row r="11" spans="1:3" ht="24" x14ac:dyDescent="0.2">
      <c r="A11" s="68" t="s">
        <v>92</v>
      </c>
      <c r="B11" s="67" t="s">
        <v>8</v>
      </c>
      <c r="C11" s="69">
        <v>12.46</v>
      </c>
    </row>
    <row r="12" spans="1:3" ht="24" x14ac:dyDescent="0.2">
      <c r="A12" s="68" t="s">
        <v>93</v>
      </c>
      <c r="B12" s="67" t="s">
        <v>8</v>
      </c>
      <c r="C12" s="70">
        <v>12.36</v>
      </c>
    </row>
    <row r="13" spans="1:3" ht="24" x14ac:dyDescent="0.2">
      <c r="A13" s="68" t="s">
        <v>94</v>
      </c>
      <c r="B13" s="67" t="s">
        <v>8</v>
      </c>
      <c r="C13" s="69">
        <v>11.14</v>
      </c>
    </row>
    <row r="14" spans="1:3" ht="24" x14ac:dyDescent="0.2">
      <c r="A14" s="68" t="s">
        <v>95</v>
      </c>
      <c r="B14" s="67" t="s">
        <v>8</v>
      </c>
      <c r="C14" s="70">
        <v>12.15</v>
      </c>
    </row>
    <row r="15" spans="1:3" ht="24" x14ac:dyDescent="0.2">
      <c r="A15" s="68" t="s">
        <v>96</v>
      </c>
      <c r="B15" s="67" t="s">
        <v>8</v>
      </c>
      <c r="C15" s="69">
        <v>9.9600000000000009</v>
      </c>
    </row>
    <row r="16" spans="1:3" ht="24" x14ac:dyDescent="0.2">
      <c r="A16" s="68" t="s">
        <v>97</v>
      </c>
      <c r="B16" s="67" t="s">
        <v>8</v>
      </c>
      <c r="C16" s="70">
        <v>13.38</v>
      </c>
    </row>
    <row r="17" spans="1:3" ht="24" x14ac:dyDescent="0.2">
      <c r="A17" s="68" t="s">
        <v>98</v>
      </c>
      <c r="B17" s="67" t="s">
        <v>8</v>
      </c>
      <c r="C17" s="69">
        <v>24.54</v>
      </c>
    </row>
    <row r="18" spans="1:3" ht="24" x14ac:dyDescent="0.2">
      <c r="A18" s="68" t="s">
        <v>99</v>
      </c>
      <c r="B18" s="67" t="s">
        <v>8</v>
      </c>
      <c r="C18" s="70">
        <v>18.38</v>
      </c>
    </row>
    <row r="19" spans="1:3" ht="14" x14ac:dyDescent="0.2">
      <c r="A19" s="68" t="s">
        <v>100</v>
      </c>
      <c r="B19" s="67" t="s">
        <v>8</v>
      </c>
      <c r="C19" s="69">
        <v>17.59</v>
      </c>
    </row>
    <row r="20" spans="1:3" ht="24" x14ac:dyDescent="0.2">
      <c r="A20" s="68" t="s">
        <v>101</v>
      </c>
      <c r="B20" s="67" t="s">
        <v>8</v>
      </c>
      <c r="C20" s="70">
        <v>12.46</v>
      </c>
    </row>
    <row r="21" spans="1:3" ht="14" x14ac:dyDescent="0.2">
      <c r="A21" s="68" t="s">
        <v>102</v>
      </c>
      <c r="B21" s="67" t="s">
        <v>8</v>
      </c>
      <c r="C21" s="69">
        <v>18.329999999999998</v>
      </c>
    </row>
    <row r="22" spans="1:3" ht="24" x14ac:dyDescent="0.2">
      <c r="A22" s="68" t="s">
        <v>103</v>
      </c>
      <c r="B22" s="67" t="s">
        <v>8</v>
      </c>
      <c r="C22" s="70">
        <v>14.69</v>
      </c>
    </row>
    <row r="23" spans="1:3" ht="24" x14ac:dyDescent="0.2">
      <c r="A23" s="68" t="s">
        <v>104</v>
      </c>
      <c r="B23" s="67" t="s">
        <v>8</v>
      </c>
      <c r="C23" s="69">
        <v>25.22</v>
      </c>
    </row>
    <row r="24" spans="1:3" ht="14" x14ac:dyDescent="0.2">
      <c r="A24" s="68" t="s">
        <v>105</v>
      </c>
      <c r="B24" s="67" t="s">
        <v>8</v>
      </c>
      <c r="C24" s="70">
        <v>19.88</v>
      </c>
    </row>
    <row r="25" spans="1:3" ht="24" x14ac:dyDescent="0.2">
      <c r="A25" s="68" t="s">
        <v>106</v>
      </c>
      <c r="B25" s="67" t="s">
        <v>8</v>
      </c>
      <c r="C25" s="69">
        <v>18.010000000000002</v>
      </c>
    </row>
    <row r="26" spans="1:3" ht="24" x14ac:dyDescent="0.2">
      <c r="A26" s="68" t="s">
        <v>107</v>
      </c>
      <c r="B26" s="67" t="s">
        <v>8</v>
      </c>
      <c r="C26" s="70">
        <v>19.78</v>
      </c>
    </row>
    <row r="27" spans="1:3" ht="14" x14ac:dyDescent="0.2">
      <c r="A27" s="68" t="s">
        <v>108</v>
      </c>
      <c r="B27" s="67" t="s">
        <v>8</v>
      </c>
      <c r="C27" s="69">
        <v>26.59</v>
      </c>
    </row>
    <row r="28" spans="1:3" ht="36" x14ac:dyDescent="0.2">
      <c r="A28" s="68" t="s">
        <v>109</v>
      </c>
      <c r="B28" s="67" t="s">
        <v>8</v>
      </c>
      <c r="C28" s="70">
        <v>13.54</v>
      </c>
    </row>
    <row r="29" spans="1:3" ht="36" x14ac:dyDescent="0.2">
      <c r="A29" s="68" t="s">
        <v>110</v>
      </c>
      <c r="B29" s="67" t="s">
        <v>8</v>
      </c>
      <c r="C29" s="69">
        <v>9.18</v>
      </c>
    </row>
    <row r="30" spans="1:3" ht="14" x14ac:dyDescent="0.2">
      <c r="A30" s="68" t="s">
        <v>111</v>
      </c>
      <c r="B30" s="67" t="s">
        <v>8</v>
      </c>
      <c r="C30" s="70">
        <v>9.7100000000000009</v>
      </c>
    </row>
    <row r="31" spans="1:3" ht="24" x14ac:dyDescent="0.2">
      <c r="A31" s="68" t="s">
        <v>112</v>
      </c>
      <c r="B31" s="67" t="s">
        <v>8</v>
      </c>
      <c r="C31" s="69">
        <v>4.83</v>
      </c>
    </row>
    <row r="32" spans="1:3" ht="24" x14ac:dyDescent="0.2">
      <c r="A32" s="68" t="s">
        <v>113</v>
      </c>
      <c r="B32" s="67" t="s">
        <v>8</v>
      </c>
      <c r="C32" s="70">
        <v>11.12</v>
      </c>
    </row>
    <row r="33" spans="1:4" ht="24" x14ac:dyDescent="0.2">
      <c r="A33" s="68" t="s">
        <v>114</v>
      </c>
      <c r="B33" s="67" t="s">
        <v>8</v>
      </c>
      <c r="C33" s="69">
        <v>6.32</v>
      </c>
    </row>
    <row r="34" spans="1:4" ht="24" x14ac:dyDescent="0.2">
      <c r="A34" s="68" t="s">
        <v>115</v>
      </c>
      <c r="B34" s="67" t="s">
        <v>8</v>
      </c>
      <c r="C34" s="70">
        <v>9.16</v>
      </c>
    </row>
    <row r="35" spans="1:4" ht="14" x14ac:dyDescent="0.2">
      <c r="A35" s="68" t="s">
        <v>116</v>
      </c>
      <c r="B35" s="67" t="s">
        <v>8</v>
      </c>
      <c r="C35" s="69">
        <v>9.2899999999999991</v>
      </c>
    </row>
    <row r="36" spans="1:4" ht="24" x14ac:dyDescent="0.2">
      <c r="A36" s="68" t="s">
        <v>117</v>
      </c>
      <c r="B36" s="67" t="s">
        <v>8</v>
      </c>
      <c r="C36" s="70">
        <v>6.32</v>
      </c>
    </row>
    <row r="37" spans="1:4" ht="24" x14ac:dyDescent="0.2">
      <c r="A37" s="68" t="s">
        <v>118</v>
      </c>
      <c r="B37" s="67" t="s">
        <v>8</v>
      </c>
      <c r="C37" s="69">
        <v>3.7</v>
      </c>
    </row>
    <row r="38" spans="1:4" ht="14" x14ac:dyDescent="0.2">
      <c r="A38" s="68" t="s">
        <v>119</v>
      </c>
      <c r="B38" s="67" t="s">
        <v>8</v>
      </c>
      <c r="C38" s="70">
        <v>1.06</v>
      </c>
    </row>
    <row r="39" spans="1:4" ht="24" x14ac:dyDescent="0.2">
      <c r="A39" s="68" t="s">
        <v>120</v>
      </c>
      <c r="B39" s="67" t="s">
        <v>8</v>
      </c>
      <c r="C39" s="69">
        <v>4.75</v>
      </c>
    </row>
    <row r="40" spans="1:4" ht="24" x14ac:dyDescent="0.2">
      <c r="A40" s="68" t="s">
        <v>121</v>
      </c>
      <c r="B40" s="67" t="s">
        <v>8</v>
      </c>
      <c r="C40" s="70">
        <v>4.45</v>
      </c>
      <c r="D40" s="61"/>
    </row>
    <row r="41" spans="1:4" ht="14" x14ac:dyDescent="0.2">
      <c r="A41" s="68" t="s">
        <v>122</v>
      </c>
      <c r="B41" s="67" t="s">
        <v>8</v>
      </c>
      <c r="C41" s="69">
        <v>3.43</v>
      </c>
    </row>
    <row r="42" spans="1:4" ht="24" x14ac:dyDescent="0.2">
      <c r="A42" s="68" t="s">
        <v>123</v>
      </c>
      <c r="B42" s="67" t="s">
        <v>8</v>
      </c>
      <c r="C42" s="70">
        <v>4.97</v>
      </c>
    </row>
    <row r="43" spans="1:4" ht="24" x14ac:dyDescent="0.2">
      <c r="A43" s="68" t="s">
        <v>124</v>
      </c>
      <c r="B43" s="67" t="s">
        <v>8</v>
      </c>
      <c r="C43" s="69">
        <v>7.22</v>
      </c>
    </row>
    <row r="44" spans="1:4" ht="14" x14ac:dyDescent="0.2">
      <c r="A44" s="68" t="s">
        <v>133</v>
      </c>
      <c r="B44" s="67" t="s">
        <v>8</v>
      </c>
      <c r="C44" s="70">
        <v>12.56</v>
      </c>
    </row>
    <row r="45" spans="1:4" ht="15" x14ac:dyDescent="0.2">
      <c r="A45" s="60" t="s">
        <v>212</v>
      </c>
      <c r="B45"/>
      <c r="C45"/>
    </row>
  </sheetData>
  <mergeCells count="5">
    <mergeCell ref="A3:B3"/>
    <mergeCell ref="A4:B4"/>
    <mergeCell ref="A5:B5"/>
    <mergeCell ref="A6:B6"/>
    <mergeCell ref="A7:B7"/>
  </mergeCells>
  <hyperlinks>
    <hyperlink ref="A2" r:id="rId1" display="http://stats.oecd.org/OECDStat_Metadata/ShowMetadata.ashx?Dataset=IOTSI4_2018&amp;ShowOnWeb=true&amp;Lang=en" xr:uid="{7DA9D727-FC89-4842-A270-81658C2EA58C}"/>
    <hyperlink ref="C3" r:id="rId2" display="http://stats.oecd.org/OECDStat_Metadata/ShowMetadata.ashx?Dataset=IOTSI4_2018&amp;Coords=[VAR].[ICESHR]&amp;ShowOnWeb=true&amp;Lang=en" xr:uid="{717CA39A-C11B-4D43-A3B6-EEEE7772035C}"/>
    <hyperlink ref="A45" r:id="rId3" display="https://stats-1.oecd.org/index.aspx?DatasetCode=IOTSI4_2018" xr:uid="{95E848AE-F6ED-421C-945C-31094AC4FD6A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D2DA-7966-4693-A729-9779A9A13F42}">
  <dimension ref="A1:CG146"/>
  <sheetViews>
    <sheetView showGridLines="0" zoomScale="90" zoomScaleNormal="90" workbookViewId="0"/>
  </sheetViews>
  <sheetFormatPr baseColWidth="10" defaultColWidth="11.5" defaultRowHeight="12" x14ac:dyDescent="0.2"/>
  <cols>
    <col min="1" max="1" width="7.1640625" style="122" customWidth="1"/>
    <col min="2" max="2" width="7.1640625" style="93" customWidth="1"/>
    <col min="3" max="3" width="36.1640625" style="122" bestFit="1" customWidth="1"/>
    <col min="4" max="79" width="12.83203125" style="122" customWidth="1"/>
    <col min="80" max="81" width="12.83203125" style="121" customWidth="1"/>
    <col min="82" max="82" width="11.5" style="121"/>
    <col min="83" max="84" width="12.83203125" style="122" customWidth="1"/>
    <col min="85" max="85" width="7.1640625" style="122" customWidth="1"/>
    <col min="86" max="16384" width="11.5" style="121"/>
  </cols>
  <sheetData>
    <row r="1" spans="1:85" s="116" customFormat="1" ht="10.25" customHeight="1" x14ac:dyDescent="0.2">
      <c r="A1" s="117" t="s">
        <v>213</v>
      </c>
      <c r="B1" s="118"/>
      <c r="C1" s="119"/>
      <c r="D1" s="117" t="s">
        <v>528</v>
      </c>
      <c r="E1" s="119"/>
      <c r="F1" s="119"/>
      <c r="G1" s="119"/>
      <c r="H1" s="119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19"/>
      <c r="BD1" s="119"/>
      <c r="BE1" s="119"/>
      <c r="BF1" s="119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  <c r="CA1" s="120"/>
      <c r="CE1" s="120"/>
      <c r="CF1" s="120"/>
      <c r="CG1" s="117"/>
    </row>
    <row r="2" spans="1:85" ht="12" customHeight="1" x14ac:dyDescent="0.2">
      <c r="C2" s="123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CE2" s="124"/>
      <c r="CF2" s="124"/>
    </row>
    <row r="3" spans="1:85" ht="12" customHeight="1" x14ac:dyDescent="0.2">
      <c r="A3" s="226" t="s">
        <v>529</v>
      </c>
      <c r="B3" s="228" t="s">
        <v>169</v>
      </c>
      <c r="C3" s="123" t="s">
        <v>215</v>
      </c>
      <c r="D3" s="125"/>
      <c r="E3" s="125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5"/>
      <c r="BD3" s="125"/>
      <c r="BE3" s="126"/>
      <c r="BF3" s="126"/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74" t="s">
        <v>530</v>
      </c>
      <c r="BW3" s="127"/>
      <c r="BX3" s="127"/>
      <c r="BY3" s="127"/>
      <c r="BZ3" s="125"/>
      <c r="CA3" s="125"/>
      <c r="CB3" s="128"/>
      <c r="CC3" s="129"/>
      <c r="CE3" s="126"/>
      <c r="CF3" s="126"/>
      <c r="CG3" s="226"/>
    </row>
    <row r="4" spans="1:85" ht="49.5" customHeight="1" x14ac:dyDescent="0.2">
      <c r="A4" s="227"/>
      <c r="B4" s="229"/>
      <c r="C4" s="130" t="s">
        <v>293</v>
      </c>
      <c r="D4" s="131" t="s">
        <v>531</v>
      </c>
      <c r="E4" s="131" t="s">
        <v>532</v>
      </c>
      <c r="F4" s="131" t="s">
        <v>533</v>
      </c>
      <c r="G4" s="131" t="s">
        <v>534</v>
      </c>
      <c r="H4" s="131" t="s">
        <v>535</v>
      </c>
      <c r="I4" s="131" t="s">
        <v>536</v>
      </c>
      <c r="J4" s="131" t="s">
        <v>537</v>
      </c>
      <c r="K4" s="131" t="s">
        <v>538</v>
      </c>
      <c r="L4" s="131" t="s">
        <v>539</v>
      </c>
      <c r="M4" s="131" t="s">
        <v>540</v>
      </c>
      <c r="N4" s="131" t="s">
        <v>541</v>
      </c>
      <c r="O4" s="131" t="s">
        <v>542</v>
      </c>
      <c r="P4" s="131" t="s">
        <v>543</v>
      </c>
      <c r="Q4" s="131" t="s">
        <v>544</v>
      </c>
      <c r="R4" s="131" t="s">
        <v>545</v>
      </c>
      <c r="S4" s="131" t="s">
        <v>546</v>
      </c>
      <c r="T4" s="131" t="s">
        <v>547</v>
      </c>
      <c r="U4" s="131" t="s">
        <v>548</v>
      </c>
      <c r="V4" s="131" t="s">
        <v>549</v>
      </c>
      <c r="W4" s="131" t="s">
        <v>550</v>
      </c>
      <c r="X4" s="131" t="s">
        <v>551</v>
      </c>
      <c r="Y4" s="131" t="s">
        <v>552</v>
      </c>
      <c r="Z4" s="131" t="s">
        <v>553</v>
      </c>
      <c r="AA4" s="131" t="s">
        <v>554</v>
      </c>
      <c r="AB4" s="131" t="s">
        <v>555</v>
      </c>
      <c r="AC4" s="132" t="s">
        <v>556</v>
      </c>
      <c r="AD4" s="132" t="s">
        <v>557</v>
      </c>
      <c r="AE4" s="131" t="s">
        <v>558</v>
      </c>
      <c r="AF4" s="131" t="s">
        <v>559</v>
      </c>
      <c r="AG4" s="131" t="s">
        <v>560</v>
      </c>
      <c r="AH4" s="131" t="s">
        <v>561</v>
      </c>
      <c r="AI4" s="131" t="s">
        <v>562</v>
      </c>
      <c r="AJ4" s="131" t="s">
        <v>563</v>
      </c>
      <c r="AK4" s="131" t="s">
        <v>564</v>
      </c>
      <c r="AL4" s="131" t="s">
        <v>565</v>
      </c>
      <c r="AM4" s="131" t="s">
        <v>566</v>
      </c>
      <c r="AN4" s="131" t="s">
        <v>567</v>
      </c>
      <c r="AO4" s="131" t="s">
        <v>568</v>
      </c>
      <c r="AP4" s="132" t="s">
        <v>569</v>
      </c>
      <c r="AQ4" s="132" t="s">
        <v>570</v>
      </c>
      <c r="AR4" s="131" t="s">
        <v>571</v>
      </c>
      <c r="AS4" s="131" t="s">
        <v>572</v>
      </c>
      <c r="AT4" s="131" t="s">
        <v>573</v>
      </c>
      <c r="AU4" s="131" t="s">
        <v>574</v>
      </c>
      <c r="AV4" s="131" t="s">
        <v>575</v>
      </c>
      <c r="AW4" s="131" t="s">
        <v>576</v>
      </c>
      <c r="AX4" s="131" t="s">
        <v>577</v>
      </c>
      <c r="AY4" s="131" t="s">
        <v>578</v>
      </c>
      <c r="AZ4" s="131" t="s">
        <v>579</v>
      </c>
      <c r="BA4" s="131" t="s">
        <v>580</v>
      </c>
      <c r="BB4" s="131" t="s">
        <v>581</v>
      </c>
      <c r="BC4" s="131" t="s">
        <v>582</v>
      </c>
      <c r="BD4" s="131" t="s">
        <v>583</v>
      </c>
      <c r="BE4" s="131" t="s">
        <v>584</v>
      </c>
      <c r="BF4" s="131" t="s">
        <v>585</v>
      </c>
      <c r="BG4" s="131" t="s">
        <v>586</v>
      </c>
      <c r="BH4" s="131" t="s">
        <v>587</v>
      </c>
      <c r="BI4" s="131" t="s">
        <v>588</v>
      </c>
      <c r="BJ4" s="131" t="s">
        <v>589</v>
      </c>
      <c r="BK4" s="131" t="s">
        <v>590</v>
      </c>
      <c r="BL4" s="131" t="s">
        <v>591</v>
      </c>
      <c r="BM4" s="131" t="s">
        <v>592</v>
      </c>
      <c r="BN4" s="131" t="s">
        <v>593</v>
      </c>
      <c r="BO4" s="131" t="s">
        <v>594</v>
      </c>
      <c r="BP4" s="131" t="s">
        <v>595</v>
      </c>
      <c r="BQ4" s="131" t="s">
        <v>596</v>
      </c>
      <c r="BR4" s="131" t="s">
        <v>597</v>
      </c>
      <c r="BS4" s="131" t="s">
        <v>598</v>
      </c>
      <c r="BT4" s="131" t="s">
        <v>599</v>
      </c>
      <c r="BU4" s="133" t="s">
        <v>286</v>
      </c>
      <c r="BV4" s="131" t="s">
        <v>600</v>
      </c>
      <c r="BW4" s="131" t="s">
        <v>601</v>
      </c>
      <c r="BX4" s="131" t="s">
        <v>602</v>
      </c>
      <c r="BY4" s="131" t="s">
        <v>603</v>
      </c>
      <c r="BZ4" s="131" t="s">
        <v>604</v>
      </c>
      <c r="CA4" s="131" t="s">
        <v>605</v>
      </c>
      <c r="CB4" s="134" t="s">
        <v>606</v>
      </c>
      <c r="CC4" s="135" t="s">
        <v>607</v>
      </c>
      <c r="CE4" s="131" t="s">
        <v>608</v>
      </c>
      <c r="CF4" s="131" t="s">
        <v>609</v>
      </c>
      <c r="CG4" s="227"/>
    </row>
    <row r="5" spans="1:85" ht="12" customHeight="1" x14ac:dyDescent="0.2">
      <c r="A5" s="136"/>
      <c r="B5" s="170"/>
      <c r="C5" s="136"/>
      <c r="D5" s="76">
        <f>VALUE(LEFT(D$4,4))</f>
        <v>191</v>
      </c>
      <c r="E5" s="137">
        <f t="shared" ref="E5:BP5" si="0">VALUE(LEFT(E$4,4))</f>
        <v>192</v>
      </c>
      <c r="F5" s="137">
        <f t="shared" si="0"/>
        <v>280</v>
      </c>
      <c r="G5" s="137">
        <f t="shared" si="0"/>
        <v>580</v>
      </c>
      <c r="H5" s="137">
        <f t="shared" si="0"/>
        <v>680</v>
      </c>
      <c r="I5" s="137">
        <f t="shared" si="0"/>
        <v>791</v>
      </c>
      <c r="J5" s="137">
        <f t="shared" si="0"/>
        <v>792</v>
      </c>
      <c r="K5" s="137">
        <f t="shared" si="0"/>
        <v>1091</v>
      </c>
      <c r="L5" s="137">
        <f t="shared" si="0"/>
        <v>1092</v>
      </c>
      <c r="M5" s="137">
        <f t="shared" si="0"/>
        <v>1093</v>
      </c>
      <c r="N5" s="137">
        <f t="shared" si="0"/>
        <v>1100</v>
      </c>
      <c r="O5" s="137">
        <f t="shared" si="0"/>
        <v>1200</v>
      </c>
      <c r="P5" s="137">
        <f t="shared" si="0"/>
        <v>1300</v>
      </c>
      <c r="Q5" s="137">
        <f t="shared" si="0"/>
        <v>1400</v>
      </c>
      <c r="R5" s="137">
        <f t="shared" si="0"/>
        <v>1500</v>
      </c>
      <c r="S5" s="137">
        <f t="shared" si="0"/>
        <v>1600</v>
      </c>
      <c r="T5" s="137">
        <f t="shared" si="0"/>
        <v>1700</v>
      </c>
      <c r="U5" s="137">
        <f t="shared" si="0"/>
        <v>1800</v>
      </c>
      <c r="V5" s="137">
        <f t="shared" si="0"/>
        <v>1991</v>
      </c>
      <c r="W5" s="137">
        <f t="shared" si="0"/>
        <v>1992</v>
      </c>
      <c r="X5" s="137">
        <f t="shared" si="0"/>
        <v>2091</v>
      </c>
      <c r="Y5" s="137">
        <f t="shared" si="0"/>
        <v>2092</v>
      </c>
      <c r="Z5" s="137">
        <f t="shared" si="0"/>
        <v>2093</v>
      </c>
      <c r="AA5" s="137">
        <f t="shared" si="0"/>
        <v>2100</v>
      </c>
      <c r="AB5" s="137">
        <f t="shared" si="0"/>
        <v>2200</v>
      </c>
      <c r="AC5" s="138">
        <f t="shared" si="0"/>
        <v>2310</v>
      </c>
      <c r="AD5" s="138">
        <f t="shared" si="0"/>
        <v>2320</v>
      </c>
      <c r="AE5" s="137">
        <f t="shared" si="0"/>
        <v>2491</v>
      </c>
      <c r="AF5" s="137">
        <f t="shared" si="0"/>
        <v>2492</v>
      </c>
      <c r="AG5" s="137">
        <f t="shared" si="0"/>
        <v>2500</v>
      </c>
      <c r="AH5" s="137">
        <f t="shared" si="0"/>
        <v>2600</v>
      </c>
      <c r="AI5" s="137">
        <f t="shared" si="0"/>
        <v>2700</v>
      </c>
      <c r="AJ5" s="137">
        <f t="shared" si="0"/>
        <v>2800</v>
      </c>
      <c r="AK5" s="137">
        <f t="shared" si="0"/>
        <v>2991</v>
      </c>
      <c r="AL5" s="137">
        <f t="shared" si="0"/>
        <v>2992</v>
      </c>
      <c r="AM5" s="137">
        <f t="shared" si="0"/>
        <v>3000</v>
      </c>
      <c r="AN5" s="137">
        <f t="shared" si="0"/>
        <v>3180</v>
      </c>
      <c r="AO5" s="137">
        <f t="shared" si="0"/>
        <v>3300</v>
      </c>
      <c r="AP5" s="138">
        <f t="shared" si="0"/>
        <v>3510</v>
      </c>
      <c r="AQ5" s="138">
        <f t="shared" si="0"/>
        <v>3520</v>
      </c>
      <c r="AR5" s="137">
        <f t="shared" si="0"/>
        <v>3680</v>
      </c>
      <c r="AS5" s="137">
        <f t="shared" si="0"/>
        <v>4180</v>
      </c>
      <c r="AT5" s="137">
        <f t="shared" si="0"/>
        <v>4580</v>
      </c>
      <c r="AU5" s="137">
        <f t="shared" si="0"/>
        <v>4900</v>
      </c>
      <c r="AV5" s="137">
        <f t="shared" si="0"/>
        <v>5000</v>
      </c>
      <c r="AW5" s="137">
        <f t="shared" si="0"/>
        <v>5100</v>
      </c>
      <c r="AX5" s="137">
        <f t="shared" si="0"/>
        <v>5280</v>
      </c>
      <c r="AY5" s="137">
        <f t="shared" si="0"/>
        <v>5500</v>
      </c>
      <c r="AZ5" s="137">
        <f t="shared" si="0"/>
        <v>5600</v>
      </c>
      <c r="BA5" s="137">
        <f t="shared" si="0"/>
        <v>5800</v>
      </c>
      <c r="BB5" s="137">
        <f t="shared" si="0"/>
        <v>5980</v>
      </c>
      <c r="BC5" s="137">
        <f t="shared" si="0"/>
        <v>6100</v>
      </c>
      <c r="BD5" s="137">
        <f t="shared" si="0"/>
        <v>6280</v>
      </c>
      <c r="BE5" s="137">
        <f t="shared" si="0"/>
        <v>6480</v>
      </c>
      <c r="BF5" s="137">
        <f t="shared" si="0"/>
        <v>6800</v>
      </c>
      <c r="BG5" s="137">
        <f t="shared" si="0"/>
        <v>6980</v>
      </c>
      <c r="BH5" s="137">
        <f t="shared" si="0"/>
        <v>7180</v>
      </c>
      <c r="BI5" s="137">
        <f t="shared" si="0"/>
        <v>7380</v>
      </c>
      <c r="BJ5" s="137">
        <f t="shared" si="0"/>
        <v>7700</v>
      </c>
      <c r="BK5" s="137">
        <f t="shared" si="0"/>
        <v>7880</v>
      </c>
      <c r="BL5" s="137">
        <f t="shared" si="0"/>
        <v>8000</v>
      </c>
      <c r="BM5" s="137">
        <f t="shared" si="0"/>
        <v>8400</v>
      </c>
      <c r="BN5" s="137">
        <f t="shared" si="0"/>
        <v>8591</v>
      </c>
      <c r="BO5" s="137">
        <f t="shared" si="0"/>
        <v>8592</v>
      </c>
      <c r="BP5" s="137">
        <f t="shared" si="0"/>
        <v>8691</v>
      </c>
      <c r="BQ5" s="137">
        <f t="shared" ref="BQ5:BT5" si="1">VALUE(LEFT(BQ$4,4))</f>
        <v>8692</v>
      </c>
      <c r="BR5" s="137">
        <f t="shared" si="1"/>
        <v>9080</v>
      </c>
      <c r="BS5" s="137">
        <f t="shared" si="1"/>
        <v>9480</v>
      </c>
      <c r="BT5" s="137">
        <f t="shared" si="1"/>
        <v>9700</v>
      </c>
      <c r="BU5" s="137"/>
      <c r="BV5" s="137"/>
      <c r="BW5" s="121"/>
      <c r="BX5" s="137"/>
      <c r="BY5" s="137"/>
      <c r="BZ5" s="121"/>
      <c r="CA5" s="121"/>
      <c r="CE5" s="121"/>
      <c r="CF5" s="121"/>
      <c r="CG5" s="136"/>
    </row>
    <row r="6" spans="1:85" ht="12" customHeight="1" thickBot="1" x14ac:dyDescent="0.25">
      <c r="A6" s="139" t="s">
        <v>169</v>
      </c>
      <c r="B6" s="23"/>
      <c r="C6" s="24"/>
      <c r="D6" s="75" t="str">
        <f>IFERROR(INDEX(SCNtoISIC!$F:$F,MATCH(D$5,SCNtoISIC!$C:$C,0)),0)</f>
        <v>ISIC 01T03</v>
      </c>
      <c r="E6" s="75" t="str">
        <f>IFERROR(INDEX(SCNtoISIC!$F:$F,MATCH(E$5,SCNtoISIC!$C:$C,0)),0)</f>
        <v>ISIC 01T03</v>
      </c>
      <c r="F6" s="75" t="str">
        <f>IFERROR(INDEX(SCNtoISIC!$F:$F,MATCH(F$5,SCNtoISIC!$C:$C,0)),0)</f>
        <v>ISIC 01T03</v>
      </c>
      <c r="G6" s="75" t="str">
        <f>IFERROR(INDEX(SCNtoISIC!$F:$F,MATCH(G$5,SCNtoISIC!$C:$C,0)),0)</f>
        <v>ISIC 05</v>
      </c>
      <c r="H6" s="75" t="str">
        <f>IFERROR(INDEX(SCNtoISIC!$F:$F,MATCH(H$5,SCNtoISIC!$C:$C,0)),0)</f>
        <v>ISIC 06</v>
      </c>
      <c r="I6" s="75" t="str">
        <f>IFERROR(INDEX(SCNtoISIC!$F:$F,MATCH(I$5,SCNtoISIC!$C:$C,0)),0)</f>
        <v>ISIC 07T08</v>
      </c>
      <c r="J6" s="75" t="str">
        <f>IFERROR(INDEX(SCNtoISIC!$F:$F,MATCH(J$5,SCNtoISIC!$C:$C,0)),0)</f>
        <v>ISIC 09</v>
      </c>
      <c r="K6" s="75" t="str">
        <f>IFERROR(INDEX(SCNtoISIC!$F:$F,MATCH(K$5,SCNtoISIC!$C:$C,0)),0)</f>
        <v>ISIC 10T12</v>
      </c>
      <c r="L6" s="75" t="str">
        <f>IFERROR(INDEX(SCNtoISIC!$F:$F,MATCH(L$5,SCNtoISIC!$C:$C,0)),0)</f>
        <v>ISIC 10T12</v>
      </c>
      <c r="M6" s="75" t="str">
        <f>IFERROR(INDEX(SCNtoISIC!$F:$F,MATCH(M$5,SCNtoISIC!$C:$C,0)),0)</f>
        <v>ISIC 10T12</v>
      </c>
      <c r="N6" s="75" t="str">
        <f>IFERROR(INDEX(SCNtoISIC!$F:$F,MATCH(N$5,SCNtoISIC!$C:$C,0)),0)</f>
        <v>ISIC 10T12</v>
      </c>
      <c r="O6" s="75" t="str">
        <f>IFERROR(INDEX(SCNtoISIC!$F:$F,MATCH(O$5,SCNtoISIC!$C:$C,0)),0)</f>
        <v>ISIC 10T12</v>
      </c>
      <c r="P6" s="75" t="str">
        <f>IFERROR(INDEX(SCNtoISIC!$F:$F,MATCH(P$5,SCNtoISIC!$C:$C,0)),0)</f>
        <v>ISIC 13T15</v>
      </c>
      <c r="Q6" s="75" t="str">
        <f>IFERROR(INDEX(SCNtoISIC!$F:$F,MATCH(Q$5,SCNtoISIC!$C:$C,0)),0)</f>
        <v>ISIC 13T15</v>
      </c>
      <c r="R6" s="75" t="str">
        <f>IFERROR(INDEX(SCNtoISIC!$F:$F,MATCH(R$5,SCNtoISIC!$C:$C,0)),0)</f>
        <v>ISIC 13T15</v>
      </c>
      <c r="S6" s="75" t="str">
        <f>IFERROR(INDEX(SCNtoISIC!$F:$F,MATCH(S$5,SCNtoISIC!$C:$C,0)),0)</f>
        <v>ISIC 16</v>
      </c>
      <c r="T6" s="75" t="str">
        <f>IFERROR(INDEX(SCNtoISIC!$F:$F,MATCH(T$5,SCNtoISIC!$C:$C,0)),0)</f>
        <v>ISIC 17T18</v>
      </c>
      <c r="U6" s="75" t="str">
        <f>IFERROR(INDEX(SCNtoISIC!$F:$F,MATCH(U$5,SCNtoISIC!$C:$C,0)),0)</f>
        <v>ISIC 17T18</v>
      </c>
      <c r="V6" s="75" t="str">
        <f>IFERROR(INDEX(SCNtoISIC!$F:$F,MATCH(V$5,SCNtoISIC!$C:$C,0)),0)</f>
        <v>ISIC 19</v>
      </c>
      <c r="W6" s="75" t="str">
        <f>IFERROR(INDEX(SCNtoISIC!$F:$F,MATCH(W$5,SCNtoISIC!$C:$C,0)),0)</f>
        <v>ISIC 19</v>
      </c>
      <c r="X6" s="75" t="str">
        <f>IFERROR(INDEX(SCNtoISIC!$F:$F,MATCH(X$5,SCNtoISIC!$C:$C,0)),0)</f>
        <v>ISIC 20</v>
      </c>
      <c r="Y6" s="75" t="str">
        <f>IFERROR(INDEX(SCNtoISIC!$F:$F,MATCH(Y$5,SCNtoISIC!$C:$C,0)),0)</f>
        <v>ISIC 20</v>
      </c>
      <c r="Z6" s="75" t="str">
        <f>IFERROR(INDEX(SCNtoISIC!$F:$F,MATCH(Z$5,SCNtoISIC!$C:$C,0)),0)</f>
        <v>ISIC 20</v>
      </c>
      <c r="AA6" s="75" t="str">
        <f>IFERROR(INDEX(SCNtoISIC!$F:$F,MATCH(AA$5,SCNtoISIC!$C:$C,0)),0)</f>
        <v>ISIC 21</v>
      </c>
      <c r="AB6" s="75" t="str">
        <f>IFERROR(INDEX(SCNtoISIC!$F:$F,MATCH(AB$5,SCNtoISIC!$C:$C,0)),0)</f>
        <v>ISIC 22</v>
      </c>
      <c r="AC6" s="75" t="str">
        <f>IFERROR(INDEX(SCNtoISIC!$F:$F,MATCH(AC$5,SCNtoISIC!$C:$C,0)),0)</f>
        <v>ISIC 239</v>
      </c>
      <c r="AD6" s="75" t="str">
        <f>IFERROR(INDEX(SCNtoISIC!$F:$F,MATCH(AD$5,SCNtoISIC!$C:$C,0)),0)</f>
        <v>ISIC 231</v>
      </c>
      <c r="AE6" s="75" t="str">
        <f>IFERROR(INDEX(SCNtoISIC!$F:$F,MATCH(AE$5,SCNtoISIC!$C:$C,0)),0)</f>
        <v>ISIC 241</v>
      </c>
      <c r="AF6" s="75" t="str">
        <f>IFERROR(INDEX(SCNtoISIC!$F:$F,MATCH(AF$5,SCNtoISIC!$C:$C,0)),0)</f>
        <v>ISIC 242</v>
      </c>
      <c r="AG6" s="75" t="str">
        <f>IFERROR(INDEX(SCNtoISIC!$F:$F,MATCH(AG$5,SCNtoISIC!$C:$C,0)),0)</f>
        <v>ISIC 25</v>
      </c>
      <c r="AH6" s="75" t="str">
        <f>IFERROR(INDEX(SCNtoISIC!$F:$F,MATCH(AH$5,SCNtoISIC!$C:$C,0)),0)</f>
        <v>ISIC 26</v>
      </c>
      <c r="AI6" s="75" t="str">
        <f>IFERROR(INDEX(SCNtoISIC!$F:$F,MATCH(AI$5,SCNtoISIC!$C:$C,0)),0)</f>
        <v>ISIC 27</v>
      </c>
      <c r="AJ6" s="75" t="str">
        <f>IFERROR(INDEX(SCNtoISIC!$F:$F,MATCH(AJ$5,SCNtoISIC!$C:$C,0)),0)</f>
        <v>ISIC 28</v>
      </c>
      <c r="AK6" s="75" t="str">
        <f>IFERROR(INDEX(SCNtoISIC!$F:$F,MATCH(AK$5,SCNtoISIC!$C:$C,0)),0)</f>
        <v>ISIC 29</v>
      </c>
      <c r="AL6" s="75" t="str">
        <f>IFERROR(INDEX(SCNtoISIC!$F:$F,MATCH(AL$5,SCNtoISIC!$C:$C,0)),0)</f>
        <v>ISIC 29</v>
      </c>
      <c r="AM6" s="75" t="str">
        <f>IFERROR(INDEX(SCNtoISIC!$F:$F,MATCH(AM$5,SCNtoISIC!$C:$C,0)),0)</f>
        <v>ISIC 30</v>
      </c>
      <c r="AN6" s="75" t="str">
        <f>IFERROR(INDEX(SCNtoISIC!$F:$F,MATCH(AN$5,SCNtoISIC!$C:$C,0)),0)</f>
        <v>ISIC 30</v>
      </c>
      <c r="AO6" s="75" t="str">
        <f>IFERROR(INDEX(SCNtoISIC!$F:$F,MATCH(AO$5,SCNtoISIC!$C:$C,0)),0)</f>
        <v>ISIC 31T33</v>
      </c>
      <c r="AP6" s="75" t="str">
        <f>IFERROR(INDEX(SCNtoISIC!$F:$F,MATCH(AP$5,SCNtoISIC!$C:$C,0)),0)</f>
        <v>ISIC 351</v>
      </c>
      <c r="AQ6" s="75" t="str">
        <f>IFERROR(INDEX(SCNtoISIC!$F:$F,MATCH(AQ$5,SCNtoISIC!$C:$C,0)),0)</f>
        <v>ISIC 352T353</v>
      </c>
      <c r="AR6" s="75" t="str">
        <f>IFERROR(INDEX(SCNtoISIC!$F:$F,MATCH(AR$5,SCNtoISIC!$C:$C,0)),0)</f>
        <v>ISIC 36T39</v>
      </c>
      <c r="AS6" s="75" t="str">
        <f>IFERROR(INDEX(SCNtoISIC!$F:$F,MATCH(AS$5,SCNtoISIC!$C:$C,0)),0)</f>
        <v>ISIC 41T43</v>
      </c>
      <c r="AT6" s="75" t="str">
        <f>IFERROR(INDEX(SCNtoISIC!$F:$F,MATCH(AT$5,SCNtoISIC!$C:$C,0)),0)</f>
        <v>ISIC 45T47</v>
      </c>
      <c r="AU6" s="75" t="str">
        <f>IFERROR(INDEX(SCNtoISIC!$F:$F,MATCH(AU$5,SCNtoISIC!$C:$C,0)),0)</f>
        <v>ISIC 49T53</v>
      </c>
      <c r="AV6" s="75" t="str">
        <f>IFERROR(INDEX(SCNtoISIC!$F:$F,MATCH(AV$5,SCNtoISIC!$C:$C,0)),0)</f>
        <v>ISIC 49T53</v>
      </c>
      <c r="AW6" s="75" t="str">
        <f>IFERROR(INDEX(SCNtoISIC!$F:$F,MATCH(AW$5,SCNtoISIC!$C:$C,0)),0)</f>
        <v>ISIC 49T53</v>
      </c>
      <c r="AX6" s="75" t="str">
        <f>IFERROR(INDEX(SCNtoISIC!$F:$F,MATCH(AX$5,SCNtoISIC!$C:$C,0)),0)</f>
        <v>ISIC 49T53</v>
      </c>
      <c r="AY6" s="75" t="str">
        <f>IFERROR(INDEX(SCNtoISIC!$F:$F,MATCH(AY$5,SCNtoISIC!$C:$C,0)),0)</f>
        <v>ISIC 55T56</v>
      </c>
      <c r="AZ6" s="75" t="str">
        <f>IFERROR(INDEX(SCNtoISIC!$F:$F,MATCH(AZ$5,SCNtoISIC!$C:$C,0)),0)</f>
        <v>ISIC 55T56</v>
      </c>
      <c r="BA6" s="75" t="str">
        <f>IFERROR(INDEX(SCNtoISIC!$F:$F,MATCH(BA$5,SCNtoISIC!$C:$C,0)),0)</f>
        <v>ISIC 58T60</v>
      </c>
      <c r="BB6" s="75" t="str">
        <f>IFERROR(INDEX(SCNtoISIC!$F:$F,MATCH(BB$5,SCNtoISIC!$C:$C,0)),0)</f>
        <v>ISIC 58T60</v>
      </c>
      <c r="BC6" s="75" t="str">
        <f>IFERROR(INDEX(SCNtoISIC!$F:$F,MATCH(BC$5,SCNtoISIC!$C:$C,0)),0)</f>
        <v>ISIC 61</v>
      </c>
      <c r="BD6" s="75" t="str">
        <f>IFERROR(INDEX(SCNtoISIC!$F:$F,MATCH(BD$5,SCNtoISIC!$C:$C,0)),0)</f>
        <v>ISIC 62T63</v>
      </c>
      <c r="BE6" s="75" t="str">
        <f>IFERROR(INDEX(SCNtoISIC!$F:$F,MATCH(BE$5,SCNtoISIC!$C:$C,0)),0)</f>
        <v>ISIC 64T66</v>
      </c>
      <c r="BF6" s="75" t="str">
        <f>IFERROR(INDEX(SCNtoISIC!$F:$F,MATCH(BF$5,SCNtoISIC!$C:$C,0)),0)</f>
        <v>ISIC 68</v>
      </c>
      <c r="BG6" s="75" t="str">
        <f>IFERROR(INDEX(SCNtoISIC!$F:$F,MATCH(BG$5,SCNtoISIC!$C:$C,0)),0)</f>
        <v>ISIC 69T82</v>
      </c>
      <c r="BH6" s="75" t="str">
        <f>IFERROR(INDEX(SCNtoISIC!$F:$F,MATCH(BH$5,SCNtoISIC!$C:$C,0)),0)</f>
        <v>ISIC 69T82</v>
      </c>
      <c r="BI6" s="75" t="str">
        <f>IFERROR(INDEX(SCNtoISIC!$F:$F,MATCH(BI$5,SCNtoISIC!$C:$C,0)),0)</f>
        <v>ISIC 69T82</v>
      </c>
      <c r="BJ6" s="75" t="str">
        <f>IFERROR(INDEX(SCNtoISIC!$F:$F,MATCH(BJ$5,SCNtoISIC!$C:$C,0)),0)</f>
        <v>ISIC 69T82</v>
      </c>
      <c r="BK6" s="75" t="str">
        <f>IFERROR(INDEX(SCNtoISIC!$F:$F,MATCH(BK$5,SCNtoISIC!$C:$C,0)),0)</f>
        <v>ISIC 69T82</v>
      </c>
      <c r="BL6" s="75" t="str">
        <f>IFERROR(INDEX(SCNtoISIC!$F:$F,MATCH(BL$5,SCNtoISIC!$C:$C,0)),0)</f>
        <v>ISIC 69T82</v>
      </c>
      <c r="BM6" s="75" t="str">
        <f>IFERROR(INDEX(SCNtoISIC!$F:$F,MATCH(BM$5,SCNtoISIC!$C:$C,0)),0)</f>
        <v>ISIC 84</v>
      </c>
      <c r="BN6" s="75" t="str">
        <f>IFERROR(INDEX(SCNtoISIC!$F:$F,MATCH(BN$5,SCNtoISIC!$C:$C,0)),0)</f>
        <v>ISIC 85</v>
      </c>
      <c r="BO6" s="75" t="str">
        <f>IFERROR(INDEX(SCNtoISIC!$F:$F,MATCH(BO$5,SCNtoISIC!$C:$C,0)),0)</f>
        <v>ISIC 85</v>
      </c>
      <c r="BP6" s="75" t="str">
        <f>IFERROR(INDEX(SCNtoISIC!$F:$F,MATCH(BP$5,SCNtoISIC!$C:$C,0)),0)</f>
        <v>ISIC 86T88</v>
      </c>
      <c r="BQ6" s="75" t="str">
        <f>IFERROR(INDEX(SCNtoISIC!$F:$F,MATCH(BQ$5,SCNtoISIC!$C:$C,0)),0)</f>
        <v>ISIC 86T88</v>
      </c>
      <c r="BR6" s="75" t="str">
        <f>IFERROR(INDEX(SCNtoISIC!$F:$F,MATCH(BR$5,SCNtoISIC!$C:$C,0)),0)</f>
        <v>ISIC 90T96</v>
      </c>
      <c r="BS6" s="75" t="str">
        <f>IFERROR(INDEX(SCNtoISIC!$F:$F,MATCH(BS$5,SCNtoISIC!$C:$C,0)),0)</f>
        <v>ISIC 90T96</v>
      </c>
      <c r="BT6" s="75" t="str">
        <f>IFERROR(INDEX(SCNtoISIC!$F:$F,MATCH(BT$5,SCNtoISIC!$C:$C,0)),0)</f>
        <v>ISIC 97T98</v>
      </c>
      <c r="BU6" s="140"/>
      <c r="BV6" s="141"/>
      <c r="BW6" s="121"/>
      <c r="BX6" s="142"/>
      <c r="BY6" s="142"/>
      <c r="BZ6" s="121"/>
      <c r="CA6" s="121"/>
      <c r="CE6" s="121"/>
      <c r="CF6" s="121"/>
      <c r="CG6" s="169" t="s">
        <v>292</v>
      </c>
    </row>
    <row r="7" spans="1:85" ht="8.25" customHeight="1" x14ac:dyDescent="0.2">
      <c r="A7" s="143">
        <v>1911</v>
      </c>
      <c r="B7" s="77" t="str">
        <f>IFERROR(INDEX(SCNtoISIC!$M:$M,MATCH($A7,SCNtoISIC!$J:$J,0)),0)</f>
        <v>ISIC 01T03</v>
      </c>
      <c r="C7" s="144" t="s">
        <v>299</v>
      </c>
      <c r="D7" s="145">
        <v>305</v>
      </c>
      <c r="E7" s="145">
        <v>302</v>
      </c>
      <c r="F7" s="145">
        <v>0</v>
      </c>
      <c r="G7" s="145">
        <v>0</v>
      </c>
      <c r="H7" s="145">
        <v>0</v>
      </c>
      <c r="I7" s="145">
        <v>0</v>
      </c>
      <c r="J7" s="145">
        <v>0</v>
      </c>
      <c r="K7" s="145">
        <v>46</v>
      </c>
      <c r="L7" s="145">
        <v>0</v>
      </c>
      <c r="M7" s="145">
        <v>15554</v>
      </c>
      <c r="N7" s="145">
        <v>384</v>
      </c>
      <c r="O7" s="145">
        <v>0</v>
      </c>
      <c r="P7" s="145">
        <v>0</v>
      </c>
      <c r="Q7" s="145">
        <v>0</v>
      </c>
      <c r="R7" s="145">
        <v>0</v>
      </c>
      <c r="S7" s="145">
        <v>0</v>
      </c>
      <c r="T7" s="145">
        <v>0</v>
      </c>
      <c r="U7" s="145">
        <v>0</v>
      </c>
      <c r="V7" s="145">
        <v>0</v>
      </c>
      <c r="W7" s="145">
        <v>0</v>
      </c>
      <c r="X7" s="145">
        <v>0</v>
      </c>
      <c r="Y7" s="145">
        <v>0</v>
      </c>
      <c r="Z7" s="145">
        <v>0</v>
      </c>
      <c r="AA7" s="145">
        <v>0</v>
      </c>
      <c r="AB7" s="145">
        <v>0</v>
      </c>
      <c r="AC7" s="146">
        <f>0.6*CE7</f>
        <v>0</v>
      </c>
      <c r="AD7" s="146">
        <f>(1-0.6)*CE7</f>
        <v>0</v>
      </c>
      <c r="AE7" s="145">
        <v>0</v>
      </c>
      <c r="AF7" s="145">
        <v>0</v>
      </c>
      <c r="AG7" s="145">
        <v>0</v>
      </c>
      <c r="AH7" s="145">
        <v>0</v>
      </c>
      <c r="AI7" s="145">
        <v>0</v>
      </c>
      <c r="AJ7" s="145">
        <v>0</v>
      </c>
      <c r="AK7" s="145">
        <v>0</v>
      </c>
      <c r="AL7" s="145">
        <v>0</v>
      </c>
      <c r="AM7" s="145">
        <v>0</v>
      </c>
      <c r="AN7" s="145">
        <v>0</v>
      </c>
      <c r="AO7" s="145">
        <v>0</v>
      </c>
      <c r="AP7" s="146">
        <f>2/3*CF7</f>
        <v>0</v>
      </c>
      <c r="AQ7" s="146">
        <f>1/3*CF7</f>
        <v>0</v>
      </c>
      <c r="AR7" s="145">
        <v>0</v>
      </c>
      <c r="AS7" s="145">
        <v>0</v>
      </c>
      <c r="AT7" s="145">
        <v>628</v>
      </c>
      <c r="AU7" s="145">
        <v>0</v>
      </c>
      <c r="AV7" s="145">
        <v>0</v>
      </c>
      <c r="AW7" s="145">
        <v>0</v>
      </c>
      <c r="AX7" s="145">
        <v>0</v>
      </c>
      <c r="AY7" s="145">
        <v>1</v>
      </c>
      <c r="AZ7" s="145">
        <v>0</v>
      </c>
      <c r="BA7" s="145">
        <v>0</v>
      </c>
      <c r="BB7" s="145">
        <v>0</v>
      </c>
      <c r="BC7" s="145">
        <v>0</v>
      </c>
      <c r="BD7" s="145">
        <v>0</v>
      </c>
      <c r="BE7" s="145">
        <v>0</v>
      </c>
      <c r="BF7" s="145">
        <v>0</v>
      </c>
      <c r="BG7" s="145">
        <v>0</v>
      </c>
      <c r="BH7" s="145">
        <v>0</v>
      </c>
      <c r="BI7" s="145">
        <v>0</v>
      </c>
      <c r="BJ7" s="145">
        <v>0</v>
      </c>
      <c r="BK7" s="145">
        <v>0</v>
      </c>
      <c r="BL7" s="145">
        <v>0</v>
      </c>
      <c r="BM7" s="145">
        <v>189</v>
      </c>
      <c r="BN7" s="145">
        <v>0</v>
      </c>
      <c r="BO7" s="145">
        <v>0</v>
      </c>
      <c r="BP7" s="145">
        <v>0</v>
      </c>
      <c r="BQ7" s="145">
        <v>0</v>
      </c>
      <c r="BR7" s="145">
        <v>0</v>
      </c>
      <c r="BS7" s="145">
        <v>0</v>
      </c>
      <c r="BT7" s="145">
        <v>0</v>
      </c>
      <c r="BU7" s="145">
        <v>17409</v>
      </c>
      <c r="BV7" s="145">
        <v>1280</v>
      </c>
      <c r="BW7" s="145">
        <v>0</v>
      </c>
      <c r="BX7" s="145">
        <v>0</v>
      </c>
      <c r="BY7" s="145">
        <v>593</v>
      </c>
      <c r="BZ7" s="145">
        <v>0</v>
      </c>
      <c r="CA7" s="145">
        <v>192</v>
      </c>
      <c r="CB7" s="145">
        <v>2065</v>
      </c>
      <c r="CC7" s="145">
        <v>19474</v>
      </c>
      <c r="CE7" s="145">
        <v>0</v>
      </c>
      <c r="CF7" s="145">
        <v>0</v>
      </c>
      <c r="CG7" s="165">
        <v>191</v>
      </c>
    </row>
    <row r="8" spans="1:85" ht="8.25" customHeight="1" x14ac:dyDescent="0.2">
      <c r="A8" s="143">
        <v>1912</v>
      </c>
      <c r="B8" s="77" t="str">
        <f>IFERROR(INDEX(SCNtoISIC!$M:$M,MATCH($A8,SCNtoISIC!$J:$J,0)),0)</f>
        <v>ISIC 01T03</v>
      </c>
      <c r="C8" s="144" t="s">
        <v>301</v>
      </c>
      <c r="D8" s="145">
        <v>877</v>
      </c>
      <c r="E8" s="145">
        <v>3394</v>
      </c>
      <c r="F8" s="145">
        <v>14</v>
      </c>
      <c r="G8" s="145">
        <v>0</v>
      </c>
      <c r="H8" s="145">
        <v>0</v>
      </c>
      <c r="I8" s="145">
        <v>0</v>
      </c>
      <c r="J8" s="145">
        <v>0</v>
      </c>
      <c r="K8" s="145">
        <v>567</v>
      </c>
      <c r="L8" s="145">
        <v>0</v>
      </c>
      <c r="M8" s="145">
        <v>9554</v>
      </c>
      <c r="N8" s="145">
        <v>0</v>
      </c>
      <c r="O8" s="145">
        <v>0</v>
      </c>
      <c r="P8" s="145">
        <v>0</v>
      </c>
      <c r="Q8" s="145">
        <v>0</v>
      </c>
      <c r="R8" s="145">
        <v>0</v>
      </c>
      <c r="S8" s="145">
        <v>0</v>
      </c>
      <c r="T8" s="145">
        <v>0</v>
      </c>
      <c r="U8" s="145">
        <v>0</v>
      </c>
      <c r="V8" s="145">
        <v>0</v>
      </c>
      <c r="W8" s="145">
        <v>0</v>
      </c>
      <c r="X8" s="145">
        <v>0</v>
      </c>
      <c r="Y8" s="145">
        <v>0</v>
      </c>
      <c r="Z8" s="145">
        <v>0</v>
      </c>
      <c r="AA8" s="145">
        <v>0</v>
      </c>
      <c r="AB8" s="145">
        <v>0</v>
      </c>
      <c r="AC8" s="146">
        <f t="shared" ref="AC8:AC71" si="2">0.6*CE8</f>
        <v>0</v>
      </c>
      <c r="AD8" s="146">
        <f t="shared" ref="AD8:AD71" si="3">(1-0.6)*CE8</f>
        <v>0</v>
      </c>
      <c r="AE8" s="145">
        <v>0</v>
      </c>
      <c r="AF8" s="145">
        <v>0</v>
      </c>
      <c r="AG8" s="145">
        <v>0</v>
      </c>
      <c r="AH8" s="145">
        <v>0</v>
      </c>
      <c r="AI8" s="145">
        <v>0</v>
      </c>
      <c r="AJ8" s="145">
        <v>0</v>
      </c>
      <c r="AK8" s="145">
        <v>0</v>
      </c>
      <c r="AL8" s="145">
        <v>0</v>
      </c>
      <c r="AM8" s="145">
        <v>0</v>
      </c>
      <c r="AN8" s="145">
        <v>0</v>
      </c>
      <c r="AO8" s="145">
        <v>0</v>
      </c>
      <c r="AP8" s="146">
        <f t="shared" ref="AP8:AP71" si="4">2/3*CF8</f>
        <v>0</v>
      </c>
      <c r="AQ8" s="146">
        <f t="shared" ref="AQ8:AQ71" si="5">1/3*CF8</f>
        <v>0</v>
      </c>
      <c r="AR8" s="145">
        <v>0</v>
      </c>
      <c r="AS8" s="145">
        <v>0</v>
      </c>
      <c r="AT8" s="145">
        <v>440</v>
      </c>
      <c r="AU8" s="145">
        <v>0</v>
      </c>
      <c r="AV8" s="145">
        <v>0</v>
      </c>
      <c r="AW8" s="145">
        <v>0</v>
      </c>
      <c r="AX8" s="145">
        <v>0</v>
      </c>
      <c r="AY8" s="145">
        <v>0</v>
      </c>
      <c r="AZ8" s="145">
        <v>153</v>
      </c>
      <c r="BA8" s="145">
        <v>0</v>
      </c>
      <c r="BB8" s="145">
        <v>0</v>
      </c>
      <c r="BC8" s="145">
        <v>0</v>
      </c>
      <c r="BD8" s="145">
        <v>0</v>
      </c>
      <c r="BE8" s="145">
        <v>0</v>
      </c>
      <c r="BF8" s="145">
        <v>0</v>
      </c>
      <c r="BG8" s="145">
        <v>0</v>
      </c>
      <c r="BH8" s="145">
        <v>0</v>
      </c>
      <c r="BI8" s="145">
        <v>0</v>
      </c>
      <c r="BJ8" s="145">
        <v>0</v>
      </c>
      <c r="BK8" s="145">
        <v>0</v>
      </c>
      <c r="BL8" s="145">
        <v>0</v>
      </c>
      <c r="BM8" s="145">
        <v>193</v>
      </c>
      <c r="BN8" s="145">
        <v>1</v>
      </c>
      <c r="BO8" s="145">
        <v>0</v>
      </c>
      <c r="BP8" s="145">
        <v>0</v>
      </c>
      <c r="BQ8" s="145">
        <v>2</v>
      </c>
      <c r="BR8" s="145">
        <v>0</v>
      </c>
      <c r="BS8" s="145">
        <v>0</v>
      </c>
      <c r="BT8" s="145">
        <v>0</v>
      </c>
      <c r="BU8" s="145">
        <v>15195</v>
      </c>
      <c r="BV8" s="145">
        <v>17925</v>
      </c>
      <c r="BW8" s="145">
        <v>0</v>
      </c>
      <c r="BX8" s="145">
        <v>0</v>
      </c>
      <c r="BY8" s="145">
        <v>4404</v>
      </c>
      <c r="BZ8" s="145">
        <v>0</v>
      </c>
      <c r="CA8" s="145">
        <v>389</v>
      </c>
      <c r="CB8" s="145">
        <v>22718</v>
      </c>
      <c r="CC8" s="145">
        <v>37913</v>
      </c>
      <c r="CE8" s="145">
        <v>0</v>
      </c>
      <c r="CF8" s="145">
        <v>0</v>
      </c>
      <c r="CG8" s="165">
        <v>191</v>
      </c>
    </row>
    <row r="9" spans="1:85" ht="8.25" customHeight="1" x14ac:dyDescent="0.2">
      <c r="A9" s="143">
        <v>1913</v>
      </c>
      <c r="B9" s="77" t="str">
        <f>IFERROR(INDEX(SCNtoISIC!$M:$M,MATCH($A9,SCNtoISIC!$J:$J,0)),0)</f>
        <v>ISIC 01T03</v>
      </c>
      <c r="C9" s="144" t="s">
        <v>610</v>
      </c>
      <c r="D9" s="145">
        <v>318</v>
      </c>
      <c r="E9" s="145">
        <v>27</v>
      </c>
      <c r="F9" s="145">
        <v>0</v>
      </c>
      <c r="G9" s="145">
        <v>0</v>
      </c>
      <c r="H9" s="145">
        <v>0</v>
      </c>
      <c r="I9" s="145">
        <v>0</v>
      </c>
      <c r="J9" s="145">
        <v>0</v>
      </c>
      <c r="K9" s="145">
        <v>0</v>
      </c>
      <c r="L9" s="145">
        <v>0</v>
      </c>
      <c r="M9" s="145">
        <v>569</v>
      </c>
      <c r="N9" s="145">
        <v>0</v>
      </c>
      <c r="O9" s="145">
        <v>0</v>
      </c>
      <c r="P9" s="145">
        <v>3430</v>
      </c>
      <c r="Q9" s="145">
        <v>0</v>
      </c>
      <c r="R9" s="145">
        <v>0</v>
      </c>
      <c r="S9" s="145">
        <v>0</v>
      </c>
      <c r="T9" s="145">
        <v>0</v>
      </c>
      <c r="U9" s="145">
        <v>0</v>
      </c>
      <c r="V9" s="145">
        <v>0</v>
      </c>
      <c r="W9" s="145">
        <v>59</v>
      </c>
      <c r="X9" s="145">
        <v>0</v>
      </c>
      <c r="Y9" s="145">
        <v>0</v>
      </c>
      <c r="Z9" s="145">
        <v>0</v>
      </c>
      <c r="AA9" s="145">
        <v>0</v>
      </c>
      <c r="AB9" s="145">
        <v>0</v>
      </c>
      <c r="AC9" s="146">
        <f t="shared" si="2"/>
        <v>0</v>
      </c>
      <c r="AD9" s="146">
        <f t="shared" si="3"/>
        <v>0</v>
      </c>
      <c r="AE9" s="145">
        <v>0</v>
      </c>
      <c r="AF9" s="145">
        <v>0</v>
      </c>
      <c r="AG9" s="145">
        <v>0</v>
      </c>
      <c r="AH9" s="145">
        <v>0</v>
      </c>
      <c r="AI9" s="145">
        <v>0</v>
      </c>
      <c r="AJ9" s="145">
        <v>0</v>
      </c>
      <c r="AK9" s="145">
        <v>0</v>
      </c>
      <c r="AL9" s="145">
        <v>0</v>
      </c>
      <c r="AM9" s="145">
        <v>0</v>
      </c>
      <c r="AN9" s="145">
        <v>0</v>
      </c>
      <c r="AO9" s="145">
        <v>0</v>
      </c>
      <c r="AP9" s="146">
        <f t="shared" si="4"/>
        <v>0</v>
      </c>
      <c r="AQ9" s="146">
        <f t="shared" si="5"/>
        <v>0</v>
      </c>
      <c r="AR9" s="145">
        <v>0</v>
      </c>
      <c r="AS9" s="145">
        <v>0</v>
      </c>
      <c r="AT9" s="145">
        <v>183</v>
      </c>
      <c r="AU9" s="145">
        <v>0</v>
      </c>
      <c r="AV9" s="145">
        <v>0</v>
      </c>
      <c r="AW9" s="145">
        <v>0</v>
      </c>
      <c r="AX9" s="145">
        <v>0</v>
      </c>
      <c r="AY9" s="145">
        <v>0</v>
      </c>
      <c r="AZ9" s="145">
        <v>0</v>
      </c>
      <c r="BA9" s="145">
        <v>0</v>
      </c>
      <c r="BB9" s="145">
        <v>0</v>
      </c>
      <c r="BC9" s="145">
        <v>0</v>
      </c>
      <c r="BD9" s="145">
        <v>0</v>
      </c>
      <c r="BE9" s="145">
        <v>0</v>
      </c>
      <c r="BF9" s="145">
        <v>0</v>
      </c>
      <c r="BG9" s="145">
        <v>0</v>
      </c>
      <c r="BH9" s="145">
        <v>0</v>
      </c>
      <c r="BI9" s="145">
        <v>0</v>
      </c>
      <c r="BJ9" s="145">
        <v>0</v>
      </c>
      <c r="BK9" s="145">
        <v>0</v>
      </c>
      <c r="BL9" s="145">
        <v>0</v>
      </c>
      <c r="BM9" s="145">
        <v>0</v>
      </c>
      <c r="BN9" s="145">
        <v>0</v>
      </c>
      <c r="BO9" s="145">
        <v>0</v>
      </c>
      <c r="BP9" s="145">
        <v>0</v>
      </c>
      <c r="BQ9" s="145">
        <v>0</v>
      </c>
      <c r="BR9" s="145">
        <v>0</v>
      </c>
      <c r="BS9" s="145">
        <v>0</v>
      </c>
      <c r="BT9" s="145">
        <v>0</v>
      </c>
      <c r="BU9" s="145">
        <v>4586</v>
      </c>
      <c r="BV9" s="145">
        <v>4679</v>
      </c>
      <c r="BW9" s="145">
        <v>0</v>
      </c>
      <c r="BX9" s="145">
        <v>0</v>
      </c>
      <c r="BY9" s="145">
        <v>6</v>
      </c>
      <c r="BZ9" s="145">
        <v>0</v>
      </c>
      <c r="CA9" s="145">
        <v>740</v>
      </c>
      <c r="CB9" s="145">
        <v>5425</v>
      </c>
      <c r="CC9" s="145">
        <v>10011</v>
      </c>
      <c r="CE9" s="145">
        <v>0</v>
      </c>
      <c r="CF9" s="145">
        <v>0</v>
      </c>
      <c r="CG9" s="165">
        <v>191</v>
      </c>
    </row>
    <row r="10" spans="1:85" ht="8.25" customHeight="1" x14ac:dyDescent="0.2">
      <c r="A10" s="143">
        <v>1914</v>
      </c>
      <c r="B10" s="77" t="str">
        <f>IFERROR(INDEX(SCNtoISIC!$M:$M,MATCH($A10,SCNtoISIC!$J:$J,0)),0)</f>
        <v>ISIC 01T03</v>
      </c>
      <c r="C10" s="144" t="s">
        <v>304</v>
      </c>
      <c r="D10" s="145">
        <v>668</v>
      </c>
      <c r="E10" s="145">
        <v>162</v>
      </c>
      <c r="F10" s="145">
        <v>4</v>
      </c>
      <c r="G10" s="145">
        <v>0</v>
      </c>
      <c r="H10" s="145">
        <v>0</v>
      </c>
      <c r="I10" s="145">
        <v>0</v>
      </c>
      <c r="J10" s="145">
        <v>0</v>
      </c>
      <c r="K10" s="145">
        <v>0</v>
      </c>
      <c r="L10" s="145">
        <v>27287</v>
      </c>
      <c r="M10" s="145">
        <v>0</v>
      </c>
      <c r="N10" s="145">
        <v>1680</v>
      </c>
      <c r="O10" s="145">
        <v>0</v>
      </c>
      <c r="P10" s="145">
        <v>0</v>
      </c>
      <c r="Q10" s="145">
        <v>0</v>
      </c>
      <c r="R10" s="145">
        <v>0</v>
      </c>
      <c r="S10" s="145">
        <v>0</v>
      </c>
      <c r="T10" s="145">
        <v>0</v>
      </c>
      <c r="U10" s="145">
        <v>0</v>
      </c>
      <c r="V10" s="145">
        <v>0</v>
      </c>
      <c r="W10" s="145">
        <v>17784</v>
      </c>
      <c r="X10" s="145">
        <v>0</v>
      </c>
      <c r="Y10" s="145">
        <v>0</v>
      </c>
      <c r="Z10" s="145">
        <v>0</v>
      </c>
      <c r="AA10" s="145">
        <v>0</v>
      </c>
      <c r="AB10" s="145">
        <v>0</v>
      </c>
      <c r="AC10" s="146">
        <f t="shared" si="2"/>
        <v>0</v>
      </c>
      <c r="AD10" s="146">
        <f t="shared" si="3"/>
        <v>0</v>
      </c>
      <c r="AE10" s="145">
        <v>0</v>
      </c>
      <c r="AF10" s="145">
        <v>0</v>
      </c>
      <c r="AG10" s="145">
        <v>0</v>
      </c>
      <c r="AH10" s="145">
        <v>0</v>
      </c>
      <c r="AI10" s="145">
        <v>0</v>
      </c>
      <c r="AJ10" s="145">
        <v>0</v>
      </c>
      <c r="AK10" s="145">
        <v>0</v>
      </c>
      <c r="AL10" s="145">
        <v>0</v>
      </c>
      <c r="AM10" s="145">
        <v>0</v>
      </c>
      <c r="AN10" s="145">
        <v>0</v>
      </c>
      <c r="AO10" s="145">
        <v>0</v>
      </c>
      <c r="AP10" s="146">
        <f t="shared" si="4"/>
        <v>0</v>
      </c>
      <c r="AQ10" s="146">
        <f t="shared" si="5"/>
        <v>0</v>
      </c>
      <c r="AR10" s="145">
        <v>0</v>
      </c>
      <c r="AS10" s="145">
        <v>0</v>
      </c>
      <c r="AT10" s="145">
        <v>0</v>
      </c>
      <c r="AU10" s="145">
        <v>0</v>
      </c>
      <c r="AV10" s="145">
        <v>0</v>
      </c>
      <c r="AW10" s="145">
        <v>0</v>
      </c>
      <c r="AX10" s="145">
        <v>0</v>
      </c>
      <c r="AY10" s="145">
        <v>0</v>
      </c>
      <c r="AZ10" s="145">
        <v>940</v>
      </c>
      <c r="BA10" s="145">
        <v>0</v>
      </c>
      <c r="BB10" s="145">
        <v>0</v>
      </c>
      <c r="BC10" s="145">
        <v>0</v>
      </c>
      <c r="BD10" s="145">
        <v>0</v>
      </c>
      <c r="BE10" s="145">
        <v>0</v>
      </c>
      <c r="BF10" s="145">
        <v>0</v>
      </c>
      <c r="BG10" s="145">
        <v>0</v>
      </c>
      <c r="BH10" s="145">
        <v>0</v>
      </c>
      <c r="BI10" s="145">
        <v>0</v>
      </c>
      <c r="BJ10" s="145">
        <v>0</v>
      </c>
      <c r="BK10" s="145">
        <v>0</v>
      </c>
      <c r="BL10" s="145">
        <v>0</v>
      </c>
      <c r="BM10" s="145">
        <v>0</v>
      </c>
      <c r="BN10" s="145">
        <v>0</v>
      </c>
      <c r="BO10" s="145">
        <v>0</v>
      </c>
      <c r="BP10" s="145">
        <v>0</v>
      </c>
      <c r="BQ10" s="145">
        <v>0</v>
      </c>
      <c r="BR10" s="145">
        <v>0</v>
      </c>
      <c r="BS10" s="145">
        <v>0</v>
      </c>
      <c r="BT10" s="145">
        <v>0</v>
      </c>
      <c r="BU10" s="145">
        <v>48525</v>
      </c>
      <c r="BV10" s="145">
        <v>0</v>
      </c>
      <c r="BW10" s="145">
        <v>0</v>
      </c>
      <c r="BX10" s="145">
        <v>0</v>
      </c>
      <c r="BY10" s="145">
        <v>1316</v>
      </c>
      <c r="BZ10" s="145">
        <v>0</v>
      </c>
      <c r="CA10" s="145">
        <v>0</v>
      </c>
      <c r="CB10" s="145">
        <v>1316</v>
      </c>
      <c r="CC10" s="145">
        <v>49841</v>
      </c>
      <c r="CE10" s="145">
        <v>0</v>
      </c>
      <c r="CF10" s="145">
        <v>0</v>
      </c>
      <c r="CG10" s="165">
        <v>191</v>
      </c>
    </row>
    <row r="11" spans="1:85" ht="8.25" customHeight="1" x14ac:dyDescent="0.2">
      <c r="A11" s="143">
        <v>1915</v>
      </c>
      <c r="B11" s="77" t="str">
        <f>IFERROR(INDEX(SCNtoISIC!$M:$M,MATCH($A11,SCNtoISIC!$J:$J,0)),0)</f>
        <v>ISIC 01T03</v>
      </c>
      <c r="C11" s="144" t="s">
        <v>306</v>
      </c>
      <c r="D11" s="145">
        <v>2238</v>
      </c>
      <c r="E11" s="145">
        <v>188</v>
      </c>
      <c r="F11" s="145">
        <v>0</v>
      </c>
      <c r="G11" s="145">
        <v>0</v>
      </c>
      <c r="H11" s="145">
        <v>0</v>
      </c>
      <c r="I11" s="145">
        <v>0</v>
      </c>
      <c r="J11" s="145">
        <v>0</v>
      </c>
      <c r="K11" s="145">
        <v>505</v>
      </c>
      <c r="L11" s="145">
        <v>0</v>
      </c>
      <c r="M11" s="145">
        <v>31899</v>
      </c>
      <c r="N11" s="145">
        <v>0</v>
      </c>
      <c r="O11" s="145">
        <v>0</v>
      </c>
      <c r="P11" s="145">
        <v>0</v>
      </c>
      <c r="Q11" s="145">
        <v>0</v>
      </c>
      <c r="R11" s="145">
        <v>0</v>
      </c>
      <c r="S11" s="145">
        <v>0</v>
      </c>
      <c r="T11" s="145">
        <v>0</v>
      </c>
      <c r="U11" s="145">
        <v>0</v>
      </c>
      <c r="V11" s="145">
        <v>0</v>
      </c>
      <c r="W11" s="145">
        <v>1573</v>
      </c>
      <c r="X11" s="145">
        <v>0</v>
      </c>
      <c r="Y11" s="145">
        <v>0</v>
      </c>
      <c r="Z11" s="145">
        <v>0</v>
      </c>
      <c r="AA11" s="145">
        <v>0</v>
      </c>
      <c r="AB11" s="145">
        <v>0</v>
      </c>
      <c r="AC11" s="146">
        <f t="shared" si="2"/>
        <v>0</v>
      </c>
      <c r="AD11" s="146">
        <f t="shared" si="3"/>
        <v>0</v>
      </c>
      <c r="AE11" s="145">
        <v>0</v>
      </c>
      <c r="AF11" s="145">
        <v>0</v>
      </c>
      <c r="AG11" s="145">
        <v>0</v>
      </c>
      <c r="AH11" s="145">
        <v>0</v>
      </c>
      <c r="AI11" s="145">
        <v>0</v>
      </c>
      <c r="AJ11" s="145">
        <v>0</v>
      </c>
      <c r="AK11" s="145">
        <v>0</v>
      </c>
      <c r="AL11" s="145">
        <v>0</v>
      </c>
      <c r="AM11" s="145">
        <v>0</v>
      </c>
      <c r="AN11" s="145">
        <v>0</v>
      </c>
      <c r="AO11" s="145">
        <v>0</v>
      </c>
      <c r="AP11" s="146">
        <f t="shared" si="4"/>
        <v>0</v>
      </c>
      <c r="AQ11" s="146">
        <f t="shared" si="5"/>
        <v>0</v>
      </c>
      <c r="AR11" s="145">
        <v>0</v>
      </c>
      <c r="AS11" s="145">
        <v>0</v>
      </c>
      <c r="AT11" s="145">
        <v>9836</v>
      </c>
      <c r="AU11" s="145">
        <v>0</v>
      </c>
      <c r="AV11" s="145">
        <v>0</v>
      </c>
      <c r="AW11" s="145">
        <v>0</v>
      </c>
      <c r="AX11" s="145">
        <v>0</v>
      </c>
      <c r="AY11" s="145">
        <v>0</v>
      </c>
      <c r="AZ11" s="145">
        <v>0</v>
      </c>
      <c r="BA11" s="145">
        <v>0</v>
      </c>
      <c r="BB11" s="145">
        <v>0</v>
      </c>
      <c r="BC11" s="145">
        <v>0</v>
      </c>
      <c r="BD11" s="145">
        <v>0</v>
      </c>
      <c r="BE11" s="145">
        <v>0</v>
      </c>
      <c r="BF11" s="145">
        <v>0</v>
      </c>
      <c r="BG11" s="145">
        <v>0</v>
      </c>
      <c r="BH11" s="145">
        <v>0</v>
      </c>
      <c r="BI11" s="145">
        <v>0</v>
      </c>
      <c r="BJ11" s="145">
        <v>0</v>
      </c>
      <c r="BK11" s="145">
        <v>0</v>
      </c>
      <c r="BL11" s="145">
        <v>0</v>
      </c>
      <c r="BM11" s="145">
        <v>0</v>
      </c>
      <c r="BN11" s="145">
        <v>0</v>
      </c>
      <c r="BO11" s="145">
        <v>0</v>
      </c>
      <c r="BP11" s="145">
        <v>0</v>
      </c>
      <c r="BQ11" s="145">
        <v>0</v>
      </c>
      <c r="BR11" s="145">
        <v>0</v>
      </c>
      <c r="BS11" s="145">
        <v>0</v>
      </c>
      <c r="BT11" s="145">
        <v>0</v>
      </c>
      <c r="BU11" s="145">
        <v>46239</v>
      </c>
      <c r="BV11" s="145">
        <v>70046</v>
      </c>
      <c r="BW11" s="145">
        <v>0</v>
      </c>
      <c r="BX11" s="145">
        <v>0</v>
      </c>
      <c r="BY11" s="145">
        <v>86</v>
      </c>
      <c r="BZ11" s="145">
        <v>0</v>
      </c>
      <c r="CA11" s="145">
        <v>522</v>
      </c>
      <c r="CB11" s="145">
        <v>70654</v>
      </c>
      <c r="CC11" s="145">
        <v>116893</v>
      </c>
      <c r="CE11" s="145">
        <v>0</v>
      </c>
      <c r="CF11" s="145">
        <v>0</v>
      </c>
      <c r="CG11" s="165">
        <v>191</v>
      </c>
    </row>
    <row r="12" spans="1:85" ht="8.25" customHeight="1" x14ac:dyDescent="0.2">
      <c r="A12" s="147">
        <v>1916</v>
      </c>
      <c r="B12" s="77" t="str">
        <f>IFERROR(INDEX(SCNtoISIC!$M:$M,MATCH($A12,SCNtoISIC!$J:$J,0)),0)</f>
        <v>ISIC 01T03</v>
      </c>
      <c r="C12" s="93" t="s">
        <v>308</v>
      </c>
      <c r="D12" s="148">
        <v>4041</v>
      </c>
      <c r="E12" s="148">
        <v>1005</v>
      </c>
      <c r="F12" s="148">
        <v>71</v>
      </c>
      <c r="G12" s="148">
        <v>0</v>
      </c>
      <c r="H12" s="148">
        <v>0</v>
      </c>
      <c r="I12" s="148">
        <v>0</v>
      </c>
      <c r="J12" s="148">
        <v>0</v>
      </c>
      <c r="K12" s="148">
        <v>37</v>
      </c>
      <c r="L12" s="148">
        <v>0</v>
      </c>
      <c r="M12" s="148">
        <v>4424</v>
      </c>
      <c r="N12" s="148">
        <v>0</v>
      </c>
      <c r="O12" s="148">
        <v>6180</v>
      </c>
      <c r="P12" s="148">
        <v>0</v>
      </c>
      <c r="Q12" s="148">
        <v>0</v>
      </c>
      <c r="R12" s="148">
        <v>0</v>
      </c>
      <c r="S12" s="148">
        <v>0</v>
      </c>
      <c r="T12" s="148">
        <v>0</v>
      </c>
      <c r="U12" s="148">
        <v>0</v>
      </c>
      <c r="V12" s="148">
        <v>0</v>
      </c>
      <c r="W12" s="148">
        <v>389</v>
      </c>
      <c r="X12" s="148">
        <v>0</v>
      </c>
      <c r="Y12" s="148">
        <v>0</v>
      </c>
      <c r="Z12" s="148">
        <v>0</v>
      </c>
      <c r="AA12" s="148">
        <v>0</v>
      </c>
      <c r="AB12" s="148">
        <v>0</v>
      </c>
      <c r="AC12" s="146">
        <f t="shared" si="2"/>
        <v>0</v>
      </c>
      <c r="AD12" s="146">
        <f t="shared" si="3"/>
        <v>0</v>
      </c>
      <c r="AE12" s="148">
        <v>0</v>
      </c>
      <c r="AF12" s="148">
        <v>0</v>
      </c>
      <c r="AG12" s="148">
        <v>0</v>
      </c>
      <c r="AH12" s="148">
        <v>0</v>
      </c>
      <c r="AI12" s="148">
        <v>0</v>
      </c>
      <c r="AJ12" s="148">
        <v>0</v>
      </c>
      <c r="AK12" s="148">
        <v>0</v>
      </c>
      <c r="AL12" s="148">
        <v>0</v>
      </c>
      <c r="AM12" s="148">
        <v>0</v>
      </c>
      <c r="AN12" s="148">
        <v>0</v>
      </c>
      <c r="AO12" s="148">
        <v>0</v>
      </c>
      <c r="AP12" s="146">
        <f t="shared" si="4"/>
        <v>0</v>
      </c>
      <c r="AQ12" s="146">
        <f t="shared" si="5"/>
        <v>0</v>
      </c>
      <c r="AR12" s="148">
        <v>39</v>
      </c>
      <c r="AS12" s="148">
        <v>7</v>
      </c>
      <c r="AT12" s="148">
        <v>554</v>
      </c>
      <c r="AU12" s="148">
        <v>0</v>
      </c>
      <c r="AV12" s="148">
        <v>0</v>
      </c>
      <c r="AW12" s="148">
        <v>0</v>
      </c>
      <c r="AX12" s="148">
        <v>0</v>
      </c>
      <c r="AY12" s="148">
        <v>262</v>
      </c>
      <c r="AZ12" s="148">
        <v>2369</v>
      </c>
      <c r="BA12" s="148">
        <v>0</v>
      </c>
      <c r="BB12" s="148">
        <v>0</v>
      </c>
      <c r="BC12" s="148">
        <v>0</v>
      </c>
      <c r="BD12" s="148">
        <v>0</v>
      </c>
      <c r="BE12" s="148">
        <v>0</v>
      </c>
      <c r="BF12" s="148">
        <v>0</v>
      </c>
      <c r="BG12" s="148">
        <v>5</v>
      </c>
      <c r="BH12" s="148">
        <v>0</v>
      </c>
      <c r="BI12" s="148">
        <v>0</v>
      </c>
      <c r="BJ12" s="148">
        <v>0</v>
      </c>
      <c r="BK12" s="148">
        <v>153</v>
      </c>
      <c r="BL12" s="148">
        <v>0</v>
      </c>
      <c r="BM12" s="148">
        <v>491</v>
      </c>
      <c r="BN12" s="148">
        <v>414</v>
      </c>
      <c r="BO12" s="148">
        <v>63</v>
      </c>
      <c r="BP12" s="148">
        <v>195</v>
      </c>
      <c r="BQ12" s="148">
        <v>236</v>
      </c>
      <c r="BR12" s="148">
        <v>1</v>
      </c>
      <c r="BS12" s="148">
        <v>319</v>
      </c>
      <c r="BT12" s="148">
        <v>0</v>
      </c>
      <c r="BU12" s="148">
        <v>21255</v>
      </c>
      <c r="BV12" s="148">
        <v>1463</v>
      </c>
      <c r="BW12" s="148">
        <v>65</v>
      </c>
      <c r="BX12" s="148">
        <v>0</v>
      </c>
      <c r="BY12" s="148">
        <v>55672</v>
      </c>
      <c r="BZ12" s="148">
        <v>0</v>
      </c>
      <c r="CA12" s="148">
        <v>115</v>
      </c>
      <c r="CB12" s="148">
        <v>57315</v>
      </c>
      <c r="CC12" s="148">
        <v>78570</v>
      </c>
      <c r="CE12" s="148">
        <v>0</v>
      </c>
      <c r="CF12" s="148">
        <v>0</v>
      </c>
      <c r="CG12" s="166">
        <v>191</v>
      </c>
    </row>
    <row r="13" spans="1:85" ht="8.25" customHeight="1" x14ac:dyDescent="0.2">
      <c r="A13" s="147">
        <v>1917</v>
      </c>
      <c r="B13" s="77" t="str">
        <f>IFERROR(INDEX(SCNtoISIC!$M:$M,MATCH($A13,SCNtoISIC!$J:$J,0)),0)</f>
        <v>ISIC 01T03</v>
      </c>
      <c r="C13" s="93" t="s">
        <v>310</v>
      </c>
      <c r="D13" s="148">
        <v>11</v>
      </c>
      <c r="E13" s="148">
        <v>9</v>
      </c>
      <c r="F13" s="148">
        <v>4</v>
      </c>
      <c r="G13" s="148">
        <v>0</v>
      </c>
      <c r="H13" s="148">
        <v>0</v>
      </c>
      <c r="I13" s="148">
        <v>0</v>
      </c>
      <c r="J13" s="148">
        <v>0</v>
      </c>
      <c r="K13" s="148">
        <v>0</v>
      </c>
      <c r="L13" s="148">
        <v>0</v>
      </c>
      <c r="M13" s="148">
        <v>6615</v>
      </c>
      <c r="N13" s="148">
        <v>0</v>
      </c>
      <c r="O13" s="148">
        <v>0</v>
      </c>
      <c r="P13" s="148">
        <v>0</v>
      </c>
      <c r="Q13" s="148">
        <v>0</v>
      </c>
      <c r="R13" s="148">
        <v>0</v>
      </c>
      <c r="S13" s="148">
        <v>0</v>
      </c>
      <c r="T13" s="148">
        <v>0</v>
      </c>
      <c r="U13" s="148">
        <v>0</v>
      </c>
      <c r="V13" s="148">
        <v>0</v>
      </c>
      <c r="W13" s="148">
        <v>0</v>
      </c>
      <c r="X13" s="148">
        <v>0</v>
      </c>
      <c r="Y13" s="148">
        <v>0</v>
      </c>
      <c r="Z13" s="148">
        <v>0</v>
      </c>
      <c r="AA13" s="148">
        <v>0</v>
      </c>
      <c r="AB13" s="148">
        <v>0</v>
      </c>
      <c r="AC13" s="146">
        <f t="shared" si="2"/>
        <v>0</v>
      </c>
      <c r="AD13" s="146">
        <f t="shared" si="3"/>
        <v>0</v>
      </c>
      <c r="AE13" s="148">
        <v>0</v>
      </c>
      <c r="AF13" s="148">
        <v>0</v>
      </c>
      <c r="AG13" s="148">
        <v>0</v>
      </c>
      <c r="AH13" s="148">
        <v>0</v>
      </c>
      <c r="AI13" s="148">
        <v>0</v>
      </c>
      <c r="AJ13" s="148">
        <v>0</v>
      </c>
      <c r="AK13" s="148">
        <v>0</v>
      </c>
      <c r="AL13" s="148">
        <v>0</v>
      </c>
      <c r="AM13" s="148">
        <v>0</v>
      </c>
      <c r="AN13" s="148">
        <v>0</v>
      </c>
      <c r="AO13" s="148">
        <v>0</v>
      </c>
      <c r="AP13" s="146">
        <f t="shared" si="4"/>
        <v>0</v>
      </c>
      <c r="AQ13" s="146">
        <f t="shared" si="5"/>
        <v>0</v>
      </c>
      <c r="AR13" s="148">
        <v>0</v>
      </c>
      <c r="AS13" s="148">
        <v>0</v>
      </c>
      <c r="AT13" s="148">
        <v>0</v>
      </c>
      <c r="AU13" s="148">
        <v>0</v>
      </c>
      <c r="AV13" s="148">
        <v>0</v>
      </c>
      <c r="AW13" s="148">
        <v>0</v>
      </c>
      <c r="AX13" s="148">
        <v>0</v>
      </c>
      <c r="AY13" s="148">
        <v>93</v>
      </c>
      <c r="AZ13" s="148">
        <v>327</v>
      </c>
      <c r="BA13" s="148">
        <v>0</v>
      </c>
      <c r="BB13" s="148">
        <v>0</v>
      </c>
      <c r="BC13" s="148">
        <v>0</v>
      </c>
      <c r="BD13" s="148">
        <v>0</v>
      </c>
      <c r="BE13" s="148">
        <v>0</v>
      </c>
      <c r="BF13" s="148">
        <v>0</v>
      </c>
      <c r="BG13" s="148">
        <v>0</v>
      </c>
      <c r="BH13" s="148">
        <v>0</v>
      </c>
      <c r="BI13" s="148">
        <v>0</v>
      </c>
      <c r="BJ13" s="148">
        <v>0</v>
      </c>
      <c r="BK13" s="148">
        <v>0</v>
      </c>
      <c r="BL13" s="148">
        <v>0</v>
      </c>
      <c r="BM13" s="148">
        <v>8</v>
      </c>
      <c r="BN13" s="148">
        <v>7</v>
      </c>
      <c r="BO13" s="148">
        <v>0</v>
      </c>
      <c r="BP13" s="148">
        <v>3</v>
      </c>
      <c r="BQ13" s="148">
        <v>0</v>
      </c>
      <c r="BR13" s="148">
        <v>0</v>
      </c>
      <c r="BS13" s="148">
        <v>6</v>
      </c>
      <c r="BT13" s="148">
        <v>0</v>
      </c>
      <c r="BU13" s="148">
        <v>7083</v>
      </c>
      <c r="BV13" s="148">
        <v>31</v>
      </c>
      <c r="BW13" s="148">
        <v>0</v>
      </c>
      <c r="BX13" s="148">
        <v>0</v>
      </c>
      <c r="BY13" s="148">
        <v>2283</v>
      </c>
      <c r="BZ13" s="148">
        <v>163</v>
      </c>
      <c r="CA13" s="148">
        <v>0</v>
      </c>
      <c r="CB13" s="148">
        <v>2477</v>
      </c>
      <c r="CC13" s="148">
        <v>9560</v>
      </c>
      <c r="CE13" s="148">
        <v>0</v>
      </c>
      <c r="CF13" s="148">
        <v>0</v>
      </c>
      <c r="CG13" s="166">
        <v>191</v>
      </c>
    </row>
    <row r="14" spans="1:85" ht="8.25" customHeight="1" x14ac:dyDescent="0.2">
      <c r="A14" s="147">
        <v>1918</v>
      </c>
      <c r="B14" s="77" t="str">
        <f>IFERROR(INDEX(SCNtoISIC!$M:$M,MATCH($A14,SCNtoISIC!$J:$J,0)),0)</f>
        <v>ISIC 01T03</v>
      </c>
      <c r="C14" s="93" t="s">
        <v>312</v>
      </c>
      <c r="D14" s="148">
        <v>27</v>
      </c>
      <c r="E14" s="148">
        <v>110</v>
      </c>
      <c r="F14" s="148">
        <v>1</v>
      </c>
      <c r="G14" s="148">
        <v>0</v>
      </c>
      <c r="H14" s="148">
        <v>0</v>
      </c>
      <c r="I14" s="148">
        <v>0</v>
      </c>
      <c r="J14" s="148">
        <v>0</v>
      </c>
      <c r="K14" s="148">
        <v>0</v>
      </c>
      <c r="L14" s="148">
        <v>0</v>
      </c>
      <c r="M14" s="148">
        <v>5024</v>
      </c>
      <c r="N14" s="148">
        <v>0</v>
      </c>
      <c r="O14" s="148">
        <v>0</v>
      </c>
      <c r="P14" s="148">
        <v>0</v>
      </c>
      <c r="Q14" s="148">
        <v>0</v>
      </c>
      <c r="R14" s="148">
        <v>0</v>
      </c>
      <c r="S14" s="148">
        <v>0</v>
      </c>
      <c r="T14" s="148">
        <v>0</v>
      </c>
      <c r="U14" s="148">
        <v>0</v>
      </c>
      <c r="V14" s="148">
        <v>0</v>
      </c>
      <c r="W14" s="148">
        <v>0</v>
      </c>
      <c r="X14" s="148">
        <v>0</v>
      </c>
      <c r="Y14" s="148">
        <v>0</v>
      </c>
      <c r="Z14" s="148">
        <v>0</v>
      </c>
      <c r="AA14" s="148">
        <v>0</v>
      </c>
      <c r="AB14" s="148">
        <v>0</v>
      </c>
      <c r="AC14" s="146">
        <f t="shared" si="2"/>
        <v>0</v>
      </c>
      <c r="AD14" s="146">
        <f t="shared" si="3"/>
        <v>0</v>
      </c>
      <c r="AE14" s="148">
        <v>0</v>
      </c>
      <c r="AF14" s="148">
        <v>0</v>
      </c>
      <c r="AG14" s="148">
        <v>0</v>
      </c>
      <c r="AH14" s="148">
        <v>0</v>
      </c>
      <c r="AI14" s="148">
        <v>0</v>
      </c>
      <c r="AJ14" s="148">
        <v>0</v>
      </c>
      <c r="AK14" s="148">
        <v>0</v>
      </c>
      <c r="AL14" s="148">
        <v>0</v>
      </c>
      <c r="AM14" s="148">
        <v>0</v>
      </c>
      <c r="AN14" s="148">
        <v>0</v>
      </c>
      <c r="AO14" s="148">
        <v>0</v>
      </c>
      <c r="AP14" s="146">
        <f t="shared" si="4"/>
        <v>0</v>
      </c>
      <c r="AQ14" s="146">
        <f t="shared" si="5"/>
        <v>0</v>
      </c>
      <c r="AR14" s="148">
        <v>0</v>
      </c>
      <c r="AS14" s="148">
        <v>0</v>
      </c>
      <c r="AT14" s="148">
        <v>0</v>
      </c>
      <c r="AU14" s="148">
        <v>0</v>
      </c>
      <c r="AV14" s="148">
        <v>0</v>
      </c>
      <c r="AW14" s="148">
        <v>0</v>
      </c>
      <c r="AX14" s="148">
        <v>0</v>
      </c>
      <c r="AY14" s="148">
        <v>0</v>
      </c>
      <c r="AZ14" s="148">
        <v>0</v>
      </c>
      <c r="BA14" s="148">
        <v>0</v>
      </c>
      <c r="BB14" s="148">
        <v>0</v>
      </c>
      <c r="BC14" s="148">
        <v>0</v>
      </c>
      <c r="BD14" s="148">
        <v>0</v>
      </c>
      <c r="BE14" s="148">
        <v>0</v>
      </c>
      <c r="BF14" s="148">
        <v>0</v>
      </c>
      <c r="BG14" s="148">
        <v>0</v>
      </c>
      <c r="BH14" s="148">
        <v>3</v>
      </c>
      <c r="BI14" s="148">
        <v>0</v>
      </c>
      <c r="BJ14" s="148">
        <v>0</v>
      </c>
      <c r="BK14" s="148">
        <v>0</v>
      </c>
      <c r="BL14" s="148">
        <v>0</v>
      </c>
      <c r="BM14" s="148">
        <v>13</v>
      </c>
      <c r="BN14" s="148">
        <v>0</v>
      </c>
      <c r="BO14" s="148">
        <v>0</v>
      </c>
      <c r="BP14" s="148">
        <v>0</v>
      </c>
      <c r="BQ14" s="148">
        <v>0</v>
      </c>
      <c r="BR14" s="148">
        <v>0</v>
      </c>
      <c r="BS14" s="148">
        <v>8</v>
      </c>
      <c r="BT14" s="148">
        <v>0</v>
      </c>
      <c r="BU14" s="148">
        <v>5186</v>
      </c>
      <c r="BV14" s="148">
        <v>18452</v>
      </c>
      <c r="BW14" s="148">
        <v>0</v>
      </c>
      <c r="BX14" s="148">
        <v>0</v>
      </c>
      <c r="BY14" s="148">
        <v>376</v>
      </c>
      <c r="BZ14" s="148">
        <v>113</v>
      </c>
      <c r="CA14" s="148">
        <v>-6241</v>
      </c>
      <c r="CB14" s="148">
        <v>12700</v>
      </c>
      <c r="CC14" s="148">
        <v>17886</v>
      </c>
      <c r="CE14" s="148">
        <v>0</v>
      </c>
      <c r="CF14" s="148">
        <v>0</v>
      </c>
      <c r="CG14" s="166">
        <v>191</v>
      </c>
    </row>
    <row r="15" spans="1:85" ht="8.25" customHeight="1" x14ac:dyDescent="0.2">
      <c r="A15" s="147">
        <v>1919</v>
      </c>
      <c r="B15" s="77" t="str">
        <f>IFERROR(INDEX(SCNtoISIC!$M:$M,MATCH($A15,SCNtoISIC!$J:$J,0)),0)</f>
        <v>ISIC 01T03</v>
      </c>
      <c r="C15" s="93" t="s">
        <v>313</v>
      </c>
      <c r="D15" s="148">
        <v>77</v>
      </c>
      <c r="E15" s="148">
        <v>19</v>
      </c>
      <c r="F15" s="148">
        <v>1</v>
      </c>
      <c r="G15" s="148">
        <v>0</v>
      </c>
      <c r="H15" s="148">
        <v>0</v>
      </c>
      <c r="I15" s="148">
        <v>0</v>
      </c>
      <c r="J15" s="148">
        <v>0</v>
      </c>
      <c r="K15" s="148">
        <v>1</v>
      </c>
      <c r="L15" s="148">
        <v>0</v>
      </c>
      <c r="M15" s="148">
        <v>2761</v>
      </c>
      <c r="N15" s="148">
        <v>21</v>
      </c>
      <c r="O15" s="148">
        <v>0</v>
      </c>
      <c r="P15" s="148">
        <v>0</v>
      </c>
      <c r="Q15" s="148">
        <v>0</v>
      </c>
      <c r="R15" s="148">
        <v>0</v>
      </c>
      <c r="S15" s="148">
        <v>0</v>
      </c>
      <c r="T15" s="148">
        <v>0</v>
      </c>
      <c r="U15" s="148">
        <v>0</v>
      </c>
      <c r="V15" s="148">
        <v>0</v>
      </c>
      <c r="W15" s="148">
        <v>0</v>
      </c>
      <c r="X15" s="148">
        <v>0</v>
      </c>
      <c r="Y15" s="148">
        <v>0</v>
      </c>
      <c r="Z15" s="148">
        <v>0</v>
      </c>
      <c r="AA15" s="148">
        <v>0</v>
      </c>
      <c r="AB15" s="148">
        <v>0</v>
      </c>
      <c r="AC15" s="146">
        <f t="shared" si="2"/>
        <v>0</v>
      </c>
      <c r="AD15" s="146">
        <f t="shared" si="3"/>
        <v>0</v>
      </c>
      <c r="AE15" s="148">
        <v>0</v>
      </c>
      <c r="AF15" s="148">
        <v>0</v>
      </c>
      <c r="AG15" s="148">
        <v>0</v>
      </c>
      <c r="AH15" s="148">
        <v>0</v>
      </c>
      <c r="AI15" s="148">
        <v>0</v>
      </c>
      <c r="AJ15" s="148">
        <v>0</v>
      </c>
      <c r="AK15" s="148">
        <v>0</v>
      </c>
      <c r="AL15" s="148">
        <v>0</v>
      </c>
      <c r="AM15" s="148">
        <v>0</v>
      </c>
      <c r="AN15" s="148">
        <v>0</v>
      </c>
      <c r="AO15" s="148">
        <v>0</v>
      </c>
      <c r="AP15" s="146">
        <f t="shared" si="4"/>
        <v>0</v>
      </c>
      <c r="AQ15" s="146">
        <f t="shared" si="5"/>
        <v>0</v>
      </c>
      <c r="AR15" s="148">
        <v>0</v>
      </c>
      <c r="AS15" s="148">
        <v>0</v>
      </c>
      <c r="AT15" s="148">
        <v>122</v>
      </c>
      <c r="AU15" s="148">
        <v>0</v>
      </c>
      <c r="AV15" s="148">
        <v>0</v>
      </c>
      <c r="AW15" s="148">
        <v>0</v>
      </c>
      <c r="AX15" s="148">
        <v>0</v>
      </c>
      <c r="AY15" s="148">
        <v>24</v>
      </c>
      <c r="AZ15" s="148">
        <v>566</v>
      </c>
      <c r="BA15" s="148">
        <v>0</v>
      </c>
      <c r="BB15" s="148">
        <v>0</v>
      </c>
      <c r="BC15" s="148">
        <v>0</v>
      </c>
      <c r="BD15" s="148">
        <v>0</v>
      </c>
      <c r="BE15" s="148">
        <v>0</v>
      </c>
      <c r="BF15" s="148">
        <v>0</v>
      </c>
      <c r="BG15" s="148">
        <v>0</v>
      </c>
      <c r="BH15" s="148">
        <v>2</v>
      </c>
      <c r="BI15" s="148">
        <v>0</v>
      </c>
      <c r="BJ15" s="148">
        <v>0</v>
      </c>
      <c r="BK15" s="148">
        <v>0</v>
      </c>
      <c r="BL15" s="148">
        <v>0</v>
      </c>
      <c r="BM15" s="148">
        <v>119</v>
      </c>
      <c r="BN15" s="148">
        <v>98</v>
      </c>
      <c r="BO15" s="148">
        <v>3</v>
      </c>
      <c r="BP15" s="148">
        <v>38</v>
      </c>
      <c r="BQ15" s="148">
        <v>24</v>
      </c>
      <c r="BR15" s="148">
        <v>0</v>
      </c>
      <c r="BS15" s="148">
        <v>4</v>
      </c>
      <c r="BT15" s="148">
        <v>0</v>
      </c>
      <c r="BU15" s="148">
        <v>3880</v>
      </c>
      <c r="BV15" s="148">
        <v>2324</v>
      </c>
      <c r="BW15" s="148">
        <v>10</v>
      </c>
      <c r="BX15" s="148">
        <v>0</v>
      </c>
      <c r="BY15" s="148">
        <v>26423</v>
      </c>
      <c r="BZ15" s="148">
        <v>130</v>
      </c>
      <c r="CA15" s="148">
        <v>0</v>
      </c>
      <c r="CB15" s="148">
        <v>28887</v>
      </c>
      <c r="CC15" s="148">
        <v>32767</v>
      </c>
      <c r="CE15" s="148">
        <v>0</v>
      </c>
      <c r="CF15" s="148">
        <v>0</v>
      </c>
      <c r="CG15" s="166">
        <v>191</v>
      </c>
    </row>
    <row r="16" spans="1:85" ht="8.25" customHeight="1" x14ac:dyDescent="0.2">
      <c r="A16" s="147">
        <v>1921</v>
      </c>
      <c r="B16" s="77" t="str">
        <f>IFERROR(INDEX(SCNtoISIC!$M:$M,MATCH($A16,SCNtoISIC!$J:$J,0)),0)</f>
        <v>ISIC 01T03</v>
      </c>
      <c r="C16" s="93" t="s">
        <v>611</v>
      </c>
      <c r="D16" s="148">
        <v>435</v>
      </c>
      <c r="E16" s="148">
        <v>1981</v>
      </c>
      <c r="F16" s="148">
        <v>11</v>
      </c>
      <c r="G16" s="148">
        <v>0</v>
      </c>
      <c r="H16" s="148">
        <v>0</v>
      </c>
      <c r="I16" s="148">
        <v>0</v>
      </c>
      <c r="J16" s="148">
        <v>0</v>
      </c>
      <c r="K16" s="148">
        <v>59132</v>
      </c>
      <c r="L16" s="148">
        <v>0</v>
      </c>
      <c r="M16" s="148">
        <v>40</v>
      </c>
      <c r="N16" s="148">
        <v>0</v>
      </c>
      <c r="O16" s="148">
        <v>0</v>
      </c>
      <c r="P16" s="148">
        <v>0</v>
      </c>
      <c r="Q16" s="148">
        <v>0</v>
      </c>
      <c r="R16" s="148">
        <v>0</v>
      </c>
      <c r="S16" s="148">
        <v>0</v>
      </c>
      <c r="T16" s="148">
        <v>0</v>
      </c>
      <c r="U16" s="148">
        <v>0</v>
      </c>
      <c r="V16" s="148">
        <v>0</v>
      </c>
      <c r="W16" s="148">
        <v>0</v>
      </c>
      <c r="X16" s="148">
        <v>0</v>
      </c>
      <c r="Y16" s="148">
        <v>0</v>
      </c>
      <c r="Z16" s="148">
        <v>0</v>
      </c>
      <c r="AA16" s="148">
        <v>0</v>
      </c>
      <c r="AB16" s="148">
        <v>0</v>
      </c>
      <c r="AC16" s="146">
        <f t="shared" si="2"/>
        <v>0</v>
      </c>
      <c r="AD16" s="146">
        <f t="shared" si="3"/>
        <v>0</v>
      </c>
      <c r="AE16" s="148">
        <v>0</v>
      </c>
      <c r="AF16" s="148">
        <v>0</v>
      </c>
      <c r="AG16" s="148">
        <v>0</v>
      </c>
      <c r="AH16" s="148">
        <v>0</v>
      </c>
      <c r="AI16" s="148">
        <v>0</v>
      </c>
      <c r="AJ16" s="148">
        <v>0</v>
      </c>
      <c r="AK16" s="148">
        <v>0</v>
      </c>
      <c r="AL16" s="148">
        <v>0</v>
      </c>
      <c r="AM16" s="148">
        <v>0</v>
      </c>
      <c r="AN16" s="148">
        <v>0</v>
      </c>
      <c r="AO16" s="148">
        <v>0</v>
      </c>
      <c r="AP16" s="146">
        <f t="shared" si="4"/>
        <v>0</v>
      </c>
      <c r="AQ16" s="146">
        <f t="shared" si="5"/>
        <v>0</v>
      </c>
      <c r="AR16" s="148">
        <v>0</v>
      </c>
      <c r="AS16" s="148">
        <v>0</v>
      </c>
      <c r="AT16" s="148">
        <v>0</v>
      </c>
      <c r="AU16" s="148">
        <v>0</v>
      </c>
      <c r="AV16" s="148">
        <v>0</v>
      </c>
      <c r="AW16" s="148">
        <v>0</v>
      </c>
      <c r="AX16" s="148">
        <v>0</v>
      </c>
      <c r="AY16" s="148">
        <v>0</v>
      </c>
      <c r="AZ16" s="148">
        <v>0</v>
      </c>
      <c r="BA16" s="148">
        <v>0</v>
      </c>
      <c r="BB16" s="148">
        <v>0</v>
      </c>
      <c r="BC16" s="148">
        <v>0</v>
      </c>
      <c r="BD16" s="148">
        <v>0</v>
      </c>
      <c r="BE16" s="148">
        <v>0</v>
      </c>
      <c r="BF16" s="148">
        <v>0</v>
      </c>
      <c r="BG16" s="148">
        <v>0</v>
      </c>
      <c r="BH16" s="148">
        <v>0</v>
      </c>
      <c r="BI16" s="148">
        <v>7</v>
      </c>
      <c r="BJ16" s="148">
        <v>0</v>
      </c>
      <c r="BK16" s="148">
        <v>0</v>
      </c>
      <c r="BL16" s="148">
        <v>0</v>
      </c>
      <c r="BM16" s="148">
        <v>98</v>
      </c>
      <c r="BN16" s="148">
        <v>61</v>
      </c>
      <c r="BO16" s="148">
        <v>5</v>
      </c>
      <c r="BP16" s="148">
        <v>0</v>
      </c>
      <c r="BQ16" s="148">
        <v>119</v>
      </c>
      <c r="BR16" s="148">
        <v>0</v>
      </c>
      <c r="BS16" s="148">
        <v>0</v>
      </c>
      <c r="BT16" s="148">
        <v>0</v>
      </c>
      <c r="BU16" s="148">
        <v>61889</v>
      </c>
      <c r="BV16" s="148">
        <v>1237</v>
      </c>
      <c r="BW16" s="148">
        <v>1</v>
      </c>
      <c r="BX16" s="148">
        <v>0</v>
      </c>
      <c r="BY16" s="148">
        <v>1025</v>
      </c>
      <c r="BZ16" s="148">
        <v>13552</v>
      </c>
      <c r="CA16" s="148">
        <v>876</v>
      </c>
      <c r="CB16" s="148">
        <v>16691</v>
      </c>
      <c r="CC16" s="148">
        <v>78580</v>
      </c>
      <c r="CE16" s="148">
        <v>0</v>
      </c>
      <c r="CF16" s="148">
        <v>0</v>
      </c>
      <c r="CG16" s="166">
        <v>192</v>
      </c>
    </row>
    <row r="17" spans="1:85" ht="8.25" customHeight="1" x14ac:dyDescent="0.2">
      <c r="A17" s="143">
        <v>1922</v>
      </c>
      <c r="B17" s="77" t="str">
        <f>IFERROR(INDEX(SCNtoISIC!$M:$M,MATCH($A17,SCNtoISIC!$J:$J,0)),0)</f>
        <v>ISIC 01T03</v>
      </c>
      <c r="C17" s="144" t="s">
        <v>316</v>
      </c>
      <c r="D17" s="145">
        <v>64</v>
      </c>
      <c r="E17" s="145">
        <v>1351</v>
      </c>
      <c r="F17" s="145">
        <v>40</v>
      </c>
      <c r="G17" s="145">
        <v>0</v>
      </c>
      <c r="H17" s="145">
        <v>0</v>
      </c>
      <c r="I17" s="145">
        <v>0</v>
      </c>
      <c r="J17" s="145">
        <v>0</v>
      </c>
      <c r="K17" s="145">
        <v>17148</v>
      </c>
      <c r="L17" s="145">
        <v>0</v>
      </c>
      <c r="M17" s="145">
        <v>0</v>
      </c>
      <c r="N17" s="145">
        <v>0</v>
      </c>
      <c r="O17" s="145">
        <v>0</v>
      </c>
      <c r="P17" s="145">
        <v>0</v>
      </c>
      <c r="Q17" s="145">
        <v>0</v>
      </c>
      <c r="R17" s="145">
        <v>0</v>
      </c>
      <c r="S17" s="145">
        <v>0</v>
      </c>
      <c r="T17" s="145">
        <v>0</v>
      </c>
      <c r="U17" s="145">
        <v>0</v>
      </c>
      <c r="V17" s="145">
        <v>0</v>
      </c>
      <c r="W17" s="145">
        <v>0</v>
      </c>
      <c r="X17" s="145">
        <v>0</v>
      </c>
      <c r="Y17" s="145">
        <v>0</v>
      </c>
      <c r="Z17" s="145">
        <v>0</v>
      </c>
      <c r="AA17" s="145">
        <v>0</v>
      </c>
      <c r="AB17" s="145">
        <v>0</v>
      </c>
      <c r="AC17" s="146">
        <f t="shared" si="2"/>
        <v>0</v>
      </c>
      <c r="AD17" s="146">
        <f t="shared" si="3"/>
        <v>0</v>
      </c>
      <c r="AE17" s="145">
        <v>0</v>
      </c>
      <c r="AF17" s="145">
        <v>0</v>
      </c>
      <c r="AG17" s="145">
        <v>0</v>
      </c>
      <c r="AH17" s="145">
        <v>0</v>
      </c>
      <c r="AI17" s="145">
        <v>0</v>
      </c>
      <c r="AJ17" s="145">
        <v>0</v>
      </c>
      <c r="AK17" s="145">
        <v>0</v>
      </c>
      <c r="AL17" s="145">
        <v>0</v>
      </c>
      <c r="AM17" s="145">
        <v>0</v>
      </c>
      <c r="AN17" s="145">
        <v>0</v>
      </c>
      <c r="AO17" s="145">
        <v>0</v>
      </c>
      <c r="AP17" s="146">
        <f t="shared" si="4"/>
        <v>0</v>
      </c>
      <c r="AQ17" s="146">
        <f t="shared" si="5"/>
        <v>0</v>
      </c>
      <c r="AR17" s="145">
        <v>0</v>
      </c>
      <c r="AS17" s="145">
        <v>0</v>
      </c>
      <c r="AT17" s="145">
        <v>0</v>
      </c>
      <c r="AU17" s="145">
        <v>0</v>
      </c>
      <c r="AV17" s="145">
        <v>0</v>
      </c>
      <c r="AW17" s="145">
        <v>0</v>
      </c>
      <c r="AX17" s="145">
        <v>0</v>
      </c>
      <c r="AY17" s="145">
        <v>0</v>
      </c>
      <c r="AZ17" s="145">
        <v>72</v>
      </c>
      <c r="BA17" s="145">
        <v>0</v>
      </c>
      <c r="BB17" s="145">
        <v>0</v>
      </c>
      <c r="BC17" s="145">
        <v>0</v>
      </c>
      <c r="BD17" s="145">
        <v>0</v>
      </c>
      <c r="BE17" s="145">
        <v>0</v>
      </c>
      <c r="BF17" s="145">
        <v>0</v>
      </c>
      <c r="BG17" s="145">
        <v>0</v>
      </c>
      <c r="BH17" s="145">
        <v>0</v>
      </c>
      <c r="BI17" s="145">
        <v>0</v>
      </c>
      <c r="BJ17" s="145">
        <v>0</v>
      </c>
      <c r="BK17" s="145">
        <v>0</v>
      </c>
      <c r="BL17" s="145">
        <v>0</v>
      </c>
      <c r="BM17" s="145">
        <v>0</v>
      </c>
      <c r="BN17" s="145">
        <v>0</v>
      </c>
      <c r="BO17" s="145">
        <v>0</v>
      </c>
      <c r="BP17" s="145">
        <v>0</v>
      </c>
      <c r="BQ17" s="145">
        <v>0</v>
      </c>
      <c r="BR17" s="145">
        <v>0</v>
      </c>
      <c r="BS17" s="145">
        <v>11</v>
      </c>
      <c r="BT17" s="145">
        <v>0</v>
      </c>
      <c r="BU17" s="145">
        <v>18686</v>
      </c>
      <c r="BV17" s="145">
        <v>0</v>
      </c>
      <c r="BW17" s="145">
        <v>0</v>
      </c>
      <c r="BX17" s="145">
        <v>0</v>
      </c>
      <c r="BY17" s="145">
        <v>12371</v>
      </c>
      <c r="BZ17" s="145">
        <v>0</v>
      </c>
      <c r="CA17" s="145">
        <v>0</v>
      </c>
      <c r="CB17" s="145">
        <v>12371</v>
      </c>
      <c r="CC17" s="145">
        <v>31057</v>
      </c>
      <c r="CE17" s="145">
        <v>0</v>
      </c>
      <c r="CF17" s="145">
        <v>0</v>
      </c>
      <c r="CG17" s="165">
        <v>192</v>
      </c>
    </row>
    <row r="18" spans="1:85" ht="8.25" customHeight="1" x14ac:dyDescent="0.2">
      <c r="A18" s="143">
        <v>1923</v>
      </c>
      <c r="B18" s="77" t="str">
        <f>IFERROR(INDEX(SCNtoISIC!$M:$M,MATCH($A18,SCNtoISIC!$J:$J,0)),0)</f>
        <v>ISIC 01T03</v>
      </c>
      <c r="C18" s="144" t="s">
        <v>317</v>
      </c>
      <c r="D18" s="145">
        <v>45</v>
      </c>
      <c r="E18" s="145">
        <v>225</v>
      </c>
      <c r="F18" s="145">
        <v>2</v>
      </c>
      <c r="G18" s="145">
        <v>0</v>
      </c>
      <c r="H18" s="145">
        <v>0</v>
      </c>
      <c r="I18" s="145">
        <v>0</v>
      </c>
      <c r="J18" s="145">
        <v>0</v>
      </c>
      <c r="K18" s="145">
        <v>8761</v>
      </c>
      <c r="L18" s="145">
        <v>0</v>
      </c>
      <c r="M18" s="145">
        <v>0</v>
      </c>
      <c r="N18" s="145">
        <v>0</v>
      </c>
      <c r="O18" s="145">
        <v>0</v>
      </c>
      <c r="P18" s="145">
        <v>0</v>
      </c>
      <c r="Q18" s="145">
        <v>0</v>
      </c>
      <c r="R18" s="145">
        <v>0</v>
      </c>
      <c r="S18" s="145">
        <v>0</v>
      </c>
      <c r="T18" s="145">
        <v>0</v>
      </c>
      <c r="U18" s="145">
        <v>0</v>
      </c>
      <c r="V18" s="145">
        <v>0</v>
      </c>
      <c r="W18" s="145">
        <v>0</v>
      </c>
      <c r="X18" s="145">
        <v>0</v>
      </c>
      <c r="Y18" s="145">
        <v>0</v>
      </c>
      <c r="Z18" s="145">
        <v>0</v>
      </c>
      <c r="AA18" s="145">
        <v>0</v>
      </c>
      <c r="AB18" s="145">
        <v>0</v>
      </c>
      <c r="AC18" s="146">
        <f t="shared" si="2"/>
        <v>0</v>
      </c>
      <c r="AD18" s="146">
        <f t="shared" si="3"/>
        <v>0</v>
      </c>
      <c r="AE18" s="145">
        <v>0</v>
      </c>
      <c r="AF18" s="145">
        <v>0</v>
      </c>
      <c r="AG18" s="145">
        <v>0</v>
      </c>
      <c r="AH18" s="145">
        <v>0</v>
      </c>
      <c r="AI18" s="145">
        <v>0</v>
      </c>
      <c r="AJ18" s="145">
        <v>0</v>
      </c>
      <c r="AK18" s="145">
        <v>0</v>
      </c>
      <c r="AL18" s="145">
        <v>0</v>
      </c>
      <c r="AM18" s="145">
        <v>0</v>
      </c>
      <c r="AN18" s="145">
        <v>0</v>
      </c>
      <c r="AO18" s="145">
        <v>0</v>
      </c>
      <c r="AP18" s="146">
        <f t="shared" si="4"/>
        <v>0</v>
      </c>
      <c r="AQ18" s="146">
        <f t="shared" si="5"/>
        <v>0</v>
      </c>
      <c r="AR18" s="145">
        <v>0</v>
      </c>
      <c r="AS18" s="145">
        <v>0</v>
      </c>
      <c r="AT18" s="145">
        <v>0</v>
      </c>
      <c r="AU18" s="145">
        <v>0</v>
      </c>
      <c r="AV18" s="145">
        <v>0</v>
      </c>
      <c r="AW18" s="145">
        <v>0</v>
      </c>
      <c r="AX18" s="145">
        <v>0</v>
      </c>
      <c r="AY18" s="145">
        <v>0</v>
      </c>
      <c r="AZ18" s="145">
        <v>0</v>
      </c>
      <c r="BA18" s="145">
        <v>0</v>
      </c>
      <c r="BB18" s="145">
        <v>0</v>
      </c>
      <c r="BC18" s="145">
        <v>0</v>
      </c>
      <c r="BD18" s="145">
        <v>0</v>
      </c>
      <c r="BE18" s="145">
        <v>0</v>
      </c>
      <c r="BF18" s="145">
        <v>0</v>
      </c>
      <c r="BG18" s="145">
        <v>0</v>
      </c>
      <c r="BH18" s="145">
        <v>0</v>
      </c>
      <c r="BI18" s="145">
        <v>0</v>
      </c>
      <c r="BJ18" s="145">
        <v>0</v>
      </c>
      <c r="BK18" s="145">
        <v>0</v>
      </c>
      <c r="BL18" s="145">
        <v>0</v>
      </c>
      <c r="BM18" s="145">
        <v>0</v>
      </c>
      <c r="BN18" s="145">
        <v>0</v>
      </c>
      <c r="BO18" s="145">
        <v>0</v>
      </c>
      <c r="BP18" s="145">
        <v>0</v>
      </c>
      <c r="BQ18" s="145">
        <v>0</v>
      </c>
      <c r="BR18" s="145">
        <v>0</v>
      </c>
      <c r="BS18" s="145">
        <v>0</v>
      </c>
      <c r="BT18" s="145">
        <v>0</v>
      </c>
      <c r="BU18" s="145">
        <v>9033</v>
      </c>
      <c r="BV18" s="145">
        <v>8</v>
      </c>
      <c r="BW18" s="145">
        <v>0</v>
      </c>
      <c r="BX18" s="145">
        <v>0</v>
      </c>
      <c r="BY18" s="145">
        <v>261</v>
      </c>
      <c r="BZ18" s="145">
        <v>41</v>
      </c>
      <c r="CA18" s="145">
        <v>0</v>
      </c>
      <c r="CB18" s="145">
        <v>310</v>
      </c>
      <c r="CC18" s="145">
        <v>9343</v>
      </c>
      <c r="CE18" s="145">
        <v>0</v>
      </c>
      <c r="CF18" s="145">
        <v>0</v>
      </c>
      <c r="CG18" s="165">
        <v>192</v>
      </c>
    </row>
    <row r="19" spans="1:85" ht="8.25" customHeight="1" x14ac:dyDescent="0.2">
      <c r="A19" s="143">
        <v>1924</v>
      </c>
      <c r="B19" s="77" t="str">
        <f>IFERROR(INDEX(SCNtoISIC!$M:$M,MATCH($A19,SCNtoISIC!$J:$J,0)),0)</f>
        <v>ISIC 01T03</v>
      </c>
      <c r="C19" s="144" t="s">
        <v>319</v>
      </c>
      <c r="D19" s="145">
        <v>95</v>
      </c>
      <c r="E19" s="145">
        <v>2030</v>
      </c>
      <c r="F19" s="145">
        <v>2</v>
      </c>
      <c r="G19" s="145">
        <v>0</v>
      </c>
      <c r="H19" s="145">
        <v>0</v>
      </c>
      <c r="I19" s="145">
        <v>0</v>
      </c>
      <c r="J19" s="145">
        <v>0</v>
      </c>
      <c r="K19" s="145">
        <v>12589</v>
      </c>
      <c r="L19" s="145">
        <v>0</v>
      </c>
      <c r="M19" s="145">
        <v>1780</v>
      </c>
      <c r="N19" s="145">
        <v>0</v>
      </c>
      <c r="O19" s="145">
        <v>0</v>
      </c>
      <c r="P19" s="145">
        <v>0</v>
      </c>
      <c r="Q19" s="145">
        <v>0</v>
      </c>
      <c r="R19" s="145">
        <v>0</v>
      </c>
      <c r="S19" s="145">
        <v>0</v>
      </c>
      <c r="T19" s="145">
        <v>0</v>
      </c>
      <c r="U19" s="145">
        <v>0</v>
      </c>
      <c r="V19" s="145">
        <v>0</v>
      </c>
      <c r="W19" s="145">
        <v>0</v>
      </c>
      <c r="X19" s="145">
        <v>0</v>
      </c>
      <c r="Y19" s="145">
        <v>0</v>
      </c>
      <c r="Z19" s="145">
        <v>0</v>
      </c>
      <c r="AA19" s="145">
        <v>0</v>
      </c>
      <c r="AB19" s="145">
        <v>0</v>
      </c>
      <c r="AC19" s="146">
        <f t="shared" si="2"/>
        <v>0</v>
      </c>
      <c r="AD19" s="146">
        <f t="shared" si="3"/>
        <v>0</v>
      </c>
      <c r="AE19" s="145">
        <v>0</v>
      </c>
      <c r="AF19" s="145">
        <v>0</v>
      </c>
      <c r="AG19" s="145">
        <v>0</v>
      </c>
      <c r="AH19" s="145">
        <v>0</v>
      </c>
      <c r="AI19" s="145">
        <v>0</v>
      </c>
      <c r="AJ19" s="145">
        <v>0</v>
      </c>
      <c r="AK19" s="145">
        <v>0</v>
      </c>
      <c r="AL19" s="145">
        <v>0</v>
      </c>
      <c r="AM19" s="145">
        <v>0</v>
      </c>
      <c r="AN19" s="145">
        <v>0</v>
      </c>
      <c r="AO19" s="145">
        <v>0</v>
      </c>
      <c r="AP19" s="146">
        <f t="shared" si="4"/>
        <v>0</v>
      </c>
      <c r="AQ19" s="146">
        <f t="shared" si="5"/>
        <v>0</v>
      </c>
      <c r="AR19" s="145">
        <v>0</v>
      </c>
      <c r="AS19" s="145">
        <v>0</v>
      </c>
      <c r="AT19" s="145">
        <v>7</v>
      </c>
      <c r="AU19" s="145">
        <v>0</v>
      </c>
      <c r="AV19" s="145">
        <v>0</v>
      </c>
      <c r="AW19" s="145">
        <v>0</v>
      </c>
      <c r="AX19" s="145">
        <v>0</v>
      </c>
      <c r="AY19" s="145">
        <v>311</v>
      </c>
      <c r="AZ19" s="145">
        <v>1335</v>
      </c>
      <c r="BA19" s="145">
        <v>0</v>
      </c>
      <c r="BB19" s="145">
        <v>0</v>
      </c>
      <c r="BC19" s="145">
        <v>0</v>
      </c>
      <c r="BD19" s="145">
        <v>0</v>
      </c>
      <c r="BE19" s="145">
        <v>0</v>
      </c>
      <c r="BF19" s="145">
        <v>0</v>
      </c>
      <c r="BG19" s="145">
        <v>0</v>
      </c>
      <c r="BH19" s="145">
        <v>0</v>
      </c>
      <c r="BI19" s="145">
        <v>0</v>
      </c>
      <c r="BJ19" s="145">
        <v>0</v>
      </c>
      <c r="BK19" s="145">
        <v>0</v>
      </c>
      <c r="BL19" s="145">
        <v>0</v>
      </c>
      <c r="BM19" s="145">
        <v>46</v>
      </c>
      <c r="BN19" s="145">
        <v>44</v>
      </c>
      <c r="BO19" s="145">
        <v>8</v>
      </c>
      <c r="BP19" s="145">
        <v>25</v>
      </c>
      <c r="BQ19" s="145">
        <v>13</v>
      </c>
      <c r="BR19" s="145">
        <v>0</v>
      </c>
      <c r="BS19" s="145">
        <v>0</v>
      </c>
      <c r="BT19" s="145">
        <v>0</v>
      </c>
      <c r="BU19" s="145">
        <v>18285</v>
      </c>
      <c r="BV19" s="145">
        <v>752</v>
      </c>
      <c r="BW19" s="145">
        <v>3</v>
      </c>
      <c r="BX19" s="145">
        <v>0</v>
      </c>
      <c r="BY19" s="145">
        <v>9046</v>
      </c>
      <c r="BZ19" s="145">
        <v>80</v>
      </c>
      <c r="CA19" s="145">
        <v>23</v>
      </c>
      <c r="CB19" s="145">
        <v>9904</v>
      </c>
      <c r="CC19" s="145">
        <v>28189</v>
      </c>
      <c r="CE19" s="145">
        <v>0</v>
      </c>
      <c r="CF19" s="145">
        <v>0</v>
      </c>
      <c r="CG19" s="165">
        <v>192</v>
      </c>
    </row>
    <row r="20" spans="1:85" ht="8.25" customHeight="1" x14ac:dyDescent="0.2">
      <c r="A20" s="143">
        <v>2801</v>
      </c>
      <c r="B20" s="77" t="str">
        <f>IFERROR(INDEX(SCNtoISIC!$M:$M,MATCH($A20,SCNtoISIC!$J:$J,0)),0)</f>
        <v>ISIC 01T03</v>
      </c>
      <c r="C20" s="144" t="s">
        <v>320</v>
      </c>
      <c r="D20" s="145">
        <v>1518</v>
      </c>
      <c r="E20" s="145">
        <v>1831</v>
      </c>
      <c r="F20" s="145">
        <v>2268</v>
      </c>
      <c r="G20" s="145">
        <v>2</v>
      </c>
      <c r="H20" s="145">
        <v>0</v>
      </c>
      <c r="I20" s="145">
        <v>0</v>
      </c>
      <c r="J20" s="145">
        <v>0</v>
      </c>
      <c r="K20" s="145">
        <v>433</v>
      </c>
      <c r="L20" s="145">
        <v>0</v>
      </c>
      <c r="M20" s="145">
        <v>314</v>
      </c>
      <c r="N20" s="145">
        <v>1</v>
      </c>
      <c r="O20" s="145">
        <v>6</v>
      </c>
      <c r="P20" s="145">
        <v>61</v>
      </c>
      <c r="Q20" s="145">
        <v>15</v>
      </c>
      <c r="R20" s="145">
        <v>21</v>
      </c>
      <c r="S20" s="145">
        <v>3315</v>
      </c>
      <c r="T20" s="145">
        <v>4461</v>
      </c>
      <c r="U20" s="145">
        <v>0</v>
      </c>
      <c r="V20" s="145">
        <v>0</v>
      </c>
      <c r="W20" s="145">
        <v>1</v>
      </c>
      <c r="X20" s="145">
        <v>203</v>
      </c>
      <c r="Y20" s="145">
        <v>0</v>
      </c>
      <c r="Z20" s="145">
        <v>0</v>
      </c>
      <c r="AA20" s="145">
        <v>0</v>
      </c>
      <c r="AB20" s="145">
        <v>1428</v>
      </c>
      <c r="AC20" s="146">
        <f t="shared" si="2"/>
        <v>54</v>
      </c>
      <c r="AD20" s="146">
        <f t="shared" si="3"/>
        <v>36</v>
      </c>
      <c r="AE20" s="145">
        <v>840</v>
      </c>
      <c r="AF20" s="145">
        <v>0</v>
      </c>
      <c r="AG20" s="145">
        <v>14</v>
      </c>
      <c r="AH20" s="145">
        <v>0</v>
      </c>
      <c r="AI20" s="145">
        <v>0</v>
      </c>
      <c r="AJ20" s="145">
        <v>0</v>
      </c>
      <c r="AK20" s="145">
        <v>0</v>
      </c>
      <c r="AL20" s="145">
        <v>0</v>
      </c>
      <c r="AM20" s="145">
        <v>0</v>
      </c>
      <c r="AN20" s="145">
        <v>3</v>
      </c>
      <c r="AO20" s="145">
        <v>0</v>
      </c>
      <c r="AP20" s="146">
        <f t="shared" si="4"/>
        <v>0</v>
      </c>
      <c r="AQ20" s="146">
        <f t="shared" si="5"/>
        <v>0</v>
      </c>
      <c r="AR20" s="145">
        <v>0</v>
      </c>
      <c r="AS20" s="145">
        <v>878</v>
      </c>
      <c r="AT20" s="145">
        <v>409</v>
      </c>
      <c r="AU20" s="145">
        <v>0</v>
      </c>
      <c r="AV20" s="145">
        <v>0</v>
      </c>
      <c r="AW20" s="145">
        <v>0</v>
      </c>
      <c r="AX20" s="145">
        <v>0</v>
      </c>
      <c r="AY20" s="145">
        <v>0</v>
      </c>
      <c r="AZ20" s="145">
        <v>0</v>
      </c>
      <c r="BA20" s="145">
        <v>0</v>
      </c>
      <c r="BB20" s="145">
        <v>0</v>
      </c>
      <c r="BC20" s="145">
        <v>0</v>
      </c>
      <c r="BD20" s="145">
        <v>0</v>
      </c>
      <c r="BE20" s="145">
        <v>0</v>
      </c>
      <c r="BF20" s="145">
        <v>0</v>
      </c>
      <c r="BG20" s="145">
        <v>0</v>
      </c>
      <c r="BH20" s="145">
        <v>4</v>
      </c>
      <c r="BI20" s="145">
        <v>0</v>
      </c>
      <c r="BJ20" s="145">
        <v>0</v>
      </c>
      <c r="BK20" s="145">
        <v>0</v>
      </c>
      <c r="BL20" s="145">
        <v>0</v>
      </c>
      <c r="BM20" s="145">
        <v>17</v>
      </c>
      <c r="BN20" s="145">
        <v>9</v>
      </c>
      <c r="BO20" s="145">
        <v>0</v>
      </c>
      <c r="BP20" s="145">
        <v>0</v>
      </c>
      <c r="BQ20" s="145">
        <v>0</v>
      </c>
      <c r="BR20" s="145">
        <v>0</v>
      </c>
      <c r="BS20" s="145">
        <v>0</v>
      </c>
      <c r="BT20" s="145">
        <v>0</v>
      </c>
      <c r="BU20" s="145">
        <v>18142</v>
      </c>
      <c r="BV20" s="145">
        <v>1769</v>
      </c>
      <c r="BW20" s="145">
        <v>0</v>
      </c>
      <c r="BX20" s="145">
        <v>0</v>
      </c>
      <c r="BY20" s="145">
        <v>8879</v>
      </c>
      <c r="BZ20" s="145">
        <v>815</v>
      </c>
      <c r="CA20" s="145">
        <v>-659</v>
      </c>
      <c r="CB20" s="145">
        <v>10804</v>
      </c>
      <c r="CC20" s="145">
        <v>28946</v>
      </c>
      <c r="CE20" s="145">
        <v>90</v>
      </c>
      <c r="CF20" s="145">
        <v>0</v>
      </c>
      <c r="CG20" s="165">
        <v>280</v>
      </c>
    </row>
    <row r="21" spans="1:85" ht="8.25" customHeight="1" x14ac:dyDescent="0.2">
      <c r="A21" s="143">
        <v>2802</v>
      </c>
      <c r="B21" s="77" t="str">
        <f>IFERROR(INDEX(SCNtoISIC!$M:$M,MATCH($A21,SCNtoISIC!$J:$J,0)),0)</f>
        <v>ISIC 01T03</v>
      </c>
      <c r="C21" s="144" t="s">
        <v>322</v>
      </c>
      <c r="D21" s="145">
        <v>25</v>
      </c>
      <c r="E21" s="145">
        <v>32</v>
      </c>
      <c r="F21" s="145">
        <v>661</v>
      </c>
      <c r="G21" s="145">
        <v>0</v>
      </c>
      <c r="H21" s="145">
        <v>0</v>
      </c>
      <c r="I21" s="145">
        <v>0</v>
      </c>
      <c r="J21" s="145">
        <v>0</v>
      </c>
      <c r="K21" s="145">
        <v>1692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Q21" s="145">
        <v>0</v>
      </c>
      <c r="R21" s="145">
        <v>0</v>
      </c>
      <c r="S21" s="145">
        <v>0</v>
      </c>
      <c r="T21" s="145">
        <v>0</v>
      </c>
      <c r="U21" s="145">
        <v>0</v>
      </c>
      <c r="V21" s="145">
        <v>0</v>
      </c>
      <c r="W21" s="145">
        <v>0</v>
      </c>
      <c r="X21" s="145">
        <v>0</v>
      </c>
      <c r="Y21" s="145">
        <v>0</v>
      </c>
      <c r="Z21" s="145">
        <v>0</v>
      </c>
      <c r="AA21" s="145">
        <v>0</v>
      </c>
      <c r="AB21" s="145">
        <v>0</v>
      </c>
      <c r="AC21" s="146">
        <f t="shared" si="2"/>
        <v>0</v>
      </c>
      <c r="AD21" s="146">
        <f t="shared" si="3"/>
        <v>0</v>
      </c>
      <c r="AE21" s="145">
        <v>0</v>
      </c>
      <c r="AF21" s="145">
        <v>0</v>
      </c>
      <c r="AG21" s="145">
        <v>0</v>
      </c>
      <c r="AH21" s="145">
        <v>0</v>
      </c>
      <c r="AI21" s="145">
        <v>0</v>
      </c>
      <c r="AJ21" s="145">
        <v>0</v>
      </c>
      <c r="AK21" s="145">
        <v>0</v>
      </c>
      <c r="AL21" s="145">
        <v>0</v>
      </c>
      <c r="AM21" s="145">
        <v>0</v>
      </c>
      <c r="AN21" s="145">
        <v>0</v>
      </c>
      <c r="AO21" s="145">
        <v>0</v>
      </c>
      <c r="AP21" s="146">
        <f t="shared" si="4"/>
        <v>0</v>
      </c>
      <c r="AQ21" s="146">
        <f t="shared" si="5"/>
        <v>0</v>
      </c>
      <c r="AR21" s="145">
        <v>0</v>
      </c>
      <c r="AS21" s="145">
        <v>0</v>
      </c>
      <c r="AT21" s="145">
        <v>0</v>
      </c>
      <c r="AU21" s="145">
        <v>0</v>
      </c>
      <c r="AV21" s="145">
        <v>0</v>
      </c>
      <c r="AW21" s="145">
        <v>0</v>
      </c>
      <c r="AX21" s="145">
        <v>0</v>
      </c>
      <c r="AY21" s="145">
        <v>58</v>
      </c>
      <c r="AZ21" s="145">
        <v>587</v>
      </c>
      <c r="BA21" s="145">
        <v>0</v>
      </c>
      <c r="BB21" s="145">
        <v>0</v>
      </c>
      <c r="BC21" s="145">
        <v>0</v>
      </c>
      <c r="BD21" s="145">
        <v>0</v>
      </c>
      <c r="BE21" s="145">
        <v>0</v>
      </c>
      <c r="BF21" s="145">
        <v>0</v>
      </c>
      <c r="BG21" s="145">
        <v>0</v>
      </c>
      <c r="BH21" s="145">
        <v>0</v>
      </c>
      <c r="BI21" s="145">
        <v>0</v>
      </c>
      <c r="BJ21" s="145">
        <v>0</v>
      </c>
      <c r="BK21" s="145">
        <v>0</v>
      </c>
      <c r="BL21" s="145">
        <v>0</v>
      </c>
      <c r="BM21" s="145">
        <v>80</v>
      </c>
      <c r="BN21" s="145">
        <v>97</v>
      </c>
      <c r="BO21" s="145">
        <v>10</v>
      </c>
      <c r="BP21" s="145">
        <v>46</v>
      </c>
      <c r="BQ21" s="145">
        <v>25</v>
      </c>
      <c r="BR21" s="145">
        <v>0</v>
      </c>
      <c r="BS21" s="145">
        <v>0</v>
      </c>
      <c r="BT21" s="145">
        <v>0</v>
      </c>
      <c r="BU21" s="145">
        <v>3313</v>
      </c>
      <c r="BV21" s="145">
        <v>525</v>
      </c>
      <c r="BW21" s="145">
        <v>7</v>
      </c>
      <c r="BX21" s="145">
        <v>0</v>
      </c>
      <c r="BY21" s="145">
        <v>14204</v>
      </c>
      <c r="BZ21" s="145">
        <v>0</v>
      </c>
      <c r="CA21" s="145">
        <v>6</v>
      </c>
      <c r="CB21" s="145">
        <v>14742</v>
      </c>
      <c r="CC21" s="145">
        <v>18055</v>
      </c>
      <c r="CE21" s="145">
        <v>0</v>
      </c>
      <c r="CF21" s="145">
        <v>0</v>
      </c>
      <c r="CG21" s="165">
        <v>280</v>
      </c>
    </row>
    <row r="22" spans="1:85" ht="8.25" customHeight="1" x14ac:dyDescent="0.2">
      <c r="A22" s="147">
        <v>5801</v>
      </c>
      <c r="B22" s="77" t="str">
        <f>IFERROR(INDEX(SCNtoISIC!$M:$M,MATCH($A22,SCNtoISIC!$J:$J,0)),0)</f>
        <v>ISIC 05</v>
      </c>
      <c r="C22" s="93" t="s">
        <v>324</v>
      </c>
      <c r="D22" s="148">
        <v>0</v>
      </c>
      <c r="E22" s="148">
        <v>0</v>
      </c>
      <c r="F22" s="148">
        <v>0</v>
      </c>
      <c r="G22" s="148">
        <v>0</v>
      </c>
      <c r="H22" s="148">
        <v>0</v>
      </c>
      <c r="I22" s="148">
        <v>0</v>
      </c>
      <c r="J22" s="148">
        <v>7</v>
      </c>
      <c r="K22" s="148">
        <v>7</v>
      </c>
      <c r="L22" s="148">
        <v>0</v>
      </c>
      <c r="M22" s="148">
        <v>8</v>
      </c>
      <c r="N22" s="148">
        <v>0</v>
      </c>
      <c r="O22" s="148">
        <v>0</v>
      </c>
      <c r="P22" s="148">
        <v>0</v>
      </c>
      <c r="Q22" s="148">
        <v>0</v>
      </c>
      <c r="R22" s="148">
        <v>0</v>
      </c>
      <c r="S22" s="148">
        <v>0</v>
      </c>
      <c r="T22" s="148">
        <v>0</v>
      </c>
      <c r="U22" s="148">
        <v>0</v>
      </c>
      <c r="V22" s="148">
        <v>35</v>
      </c>
      <c r="W22" s="148">
        <v>0</v>
      </c>
      <c r="X22" s="148">
        <v>66</v>
      </c>
      <c r="Y22" s="148">
        <v>0</v>
      </c>
      <c r="Z22" s="148">
        <v>0</v>
      </c>
      <c r="AA22" s="148">
        <v>0</v>
      </c>
      <c r="AB22" s="148">
        <v>0</v>
      </c>
      <c r="AC22" s="146">
        <f t="shared" si="2"/>
        <v>3</v>
      </c>
      <c r="AD22" s="146">
        <f t="shared" si="3"/>
        <v>2</v>
      </c>
      <c r="AE22" s="148">
        <v>6628</v>
      </c>
      <c r="AF22" s="148">
        <v>404</v>
      </c>
      <c r="AG22" s="148">
        <v>0</v>
      </c>
      <c r="AH22" s="148">
        <v>0</v>
      </c>
      <c r="AI22" s="148">
        <v>0</v>
      </c>
      <c r="AJ22" s="148">
        <v>0</v>
      </c>
      <c r="AK22" s="148">
        <v>0</v>
      </c>
      <c r="AL22" s="148">
        <v>45</v>
      </c>
      <c r="AM22" s="148">
        <v>0</v>
      </c>
      <c r="AN22" s="148">
        <v>0</v>
      </c>
      <c r="AO22" s="148">
        <v>0</v>
      </c>
      <c r="AP22" s="146">
        <f t="shared" si="4"/>
        <v>1368.6666666666665</v>
      </c>
      <c r="AQ22" s="146">
        <f t="shared" si="5"/>
        <v>684.33333333333326</v>
      </c>
      <c r="AR22" s="148">
        <v>0</v>
      </c>
      <c r="AS22" s="148">
        <v>0</v>
      </c>
      <c r="AT22" s="148">
        <v>0</v>
      </c>
      <c r="AU22" s="148">
        <v>0</v>
      </c>
      <c r="AV22" s="148">
        <v>0</v>
      </c>
      <c r="AW22" s="148">
        <v>0</v>
      </c>
      <c r="AX22" s="148">
        <v>0</v>
      </c>
      <c r="AY22" s="148">
        <v>0</v>
      </c>
      <c r="AZ22" s="148">
        <v>0</v>
      </c>
      <c r="BA22" s="148">
        <v>0</v>
      </c>
      <c r="BB22" s="148">
        <v>0</v>
      </c>
      <c r="BC22" s="148">
        <v>0</v>
      </c>
      <c r="BD22" s="148">
        <v>0</v>
      </c>
      <c r="BE22" s="148">
        <v>0</v>
      </c>
      <c r="BF22" s="148">
        <v>0</v>
      </c>
      <c r="BG22" s="148">
        <v>0</v>
      </c>
      <c r="BH22" s="148">
        <v>8</v>
      </c>
      <c r="BI22" s="148">
        <v>0</v>
      </c>
      <c r="BJ22" s="148">
        <v>0</v>
      </c>
      <c r="BK22" s="148">
        <v>0</v>
      </c>
      <c r="BL22" s="148">
        <v>0</v>
      </c>
      <c r="BM22" s="148">
        <v>0</v>
      </c>
      <c r="BN22" s="148">
        <v>0</v>
      </c>
      <c r="BO22" s="148">
        <v>0</v>
      </c>
      <c r="BP22" s="148">
        <v>0</v>
      </c>
      <c r="BQ22" s="148">
        <v>0</v>
      </c>
      <c r="BR22" s="148">
        <v>0</v>
      </c>
      <c r="BS22" s="148">
        <v>0</v>
      </c>
      <c r="BT22" s="148">
        <v>0</v>
      </c>
      <c r="BU22" s="148">
        <v>9266</v>
      </c>
      <c r="BV22" s="148">
        <v>2</v>
      </c>
      <c r="BW22" s="148">
        <v>0</v>
      </c>
      <c r="BX22" s="148">
        <v>0</v>
      </c>
      <c r="BY22" s="148">
        <v>0</v>
      </c>
      <c r="BZ22" s="148">
        <v>0</v>
      </c>
      <c r="CA22" s="148">
        <v>217</v>
      </c>
      <c r="CB22" s="148">
        <v>219</v>
      </c>
      <c r="CC22" s="148">
        <v>9485</v>
      </c>
      <c r="CE22" s="148">
        <v>5</v>
      </c>
      <c r="CF22" s="148">
        <v>2053</v>
      </c>
      <c r="CG22" s="166">
        <v>580</v>
      </c>
    </row>
    <row r="23" spans="1:85" ht="8.25" customHeight="1" x14ac:dyDescent="0.2">
      <c r="A23" s="147">
        <v>5802</v>
      </c>
      <c r="B23" s="77" t="str">
        <f>IFERROR(INDEX(SCNtoISIC!$M:$M,MATCH($A23,SCNtoISIC!$J:$J,0)),0)</f>
        <v>ISIC 05</v>
      </c>
      <c r="C23" s="93" t="s">
        <v>612</v>
      </c>
      <c r="D23" s="148">
        <v>66</v>
      </c>
      <c r="E23" s="148">
        <v>519</v>
      </c>
      <c r="F23" s="148">
        <v>17</v>
      </c>
      <c r="G23" s="148">
        <v>443</v>
      </c>
      <c r="H23" s="148">
        <v>736</v>
      </c>
      <c r="I23" s="148">
        <v>0</v>
      </c>
      <c r="J23" s="148">
        <v>0</v>
      </c>
      <c r="K23" s="148">
        <v>68</v>
      </c>
      <c r="L23" s="148">
        <v>13</v>
      </c>
      <c r="M23" s="148">
        <v>364</v>
      </c>
      <c r="N23" s="148">
        <v>0</v>
      </c>
      <c r="O23" s="148">
        <v>0</v>
      </c>
      <c r="P23" s="148">
        <v>0</v>
      </c>
      <c r="Q23" s="148">
        <v>0</v>
      </c>
      <c r="R23" s="148">
        <v>0</v>
      </c>
      <c r="S23" s="148">
        <v>0</v>
      </c>
      <c r="T23" s="148">
        <v>5</v>
      </c>
      <c r="U23" s="148">
        <v>0</v>
      </c>
      <c r="V23" s="148">
        <v>0</v>
      </c>
      <c r="W23" s="148">
        <v>313</v>
      </c>
      <c r="X23" s="148">
        <v>4539</v>
      </c>
      <c r="Y23" s="148">
        <v>113</v>
      </c>
      <c r="Z23" s="148">
        <v>0</v>
      </c>
      <c r="AA23" s="148">
        <v>0</v>
      </c>
      <c r="AB23" s="148">
        <v>0</v>
      </c>
      <c r="AC23" s="146">
        <f t="shared" si="2"/>
        <v>4629</v>
      </c>
      <c r="AD23" s="146">
        <f t="shared" si="3"/>
        <v>3086</v>
      </c>
      <c r="AE23" s="148">
        <v>515</v>
      </c>
      <c r="AF23" s="148">
        <v>375</v>
      </c>
      <c r="AG23" s="148">
        <v>1</v>
      </c>
      <c r="AH23" s="148">
        <v>0</v>
      </c>
      <c r="AI23" s="148">
        <v>56</v>
      </c>
      <c r="AJ23" s="148">
        <v>0</v>
      </c>
      <c r="AK23" s="148">
        <v>0</v>
      </c>
      <c r="AL23" s="148">
        <v>32</v>
      </c>
      <c r="AM23" s="148">
        <v>0</v>
      </c>
      <c r="AN23" s="148">
        <v>45</v>
      </c>
      <c r="AO23" s="148">
        <v>0</v>
      </c>
      <c r="AP23" s="146">
        <f t="shared" si="4"/>
        <v>0</v>
      </c>
      <c r="AQ23" s="146">
        <f t="shared" si="5"/>
        <v>0</v>
      </c>
      <c r="AR23" s="148">
        <v>488</v>
      </c>
      <c r="AS23" s="148">
        <v>9870</v>
      </c>
      <c r="AT23" s="148">
        <v>97</v>
      </c>
      <c r="AU23" s="148">
        <v>0</v>
      </c>
      <c r="AV23" s="148">
        <v>0</v>
      </c>
      <c r="AW23" s="148">
        <v>0</v>
      </c>
      <c r="AX23" s="148">
        <v>6</v>
      </c>
      <c r="AY23" s="148">
        <v>0</v>
      </c>
      <c r="AZ23" s="148">
        <v>0</v>
      </c>
      <c r="BA23" s="148">
        <v>0</v>
      </c>
      <c r="BB23" s="148">
        <v>0</v>
      </c>
      <c r="BC23" s="148">
        <v>0</v>
      </c>
      <c r="BD23" s="148">
        <v>0</v>
      </c>
      <c r="BE23" s="148">
        <v>0</v>
      </c>
      <c r="BF23" s="148">
        <v>490</v>
      </c>
      <c r="BG23" s="148">
        <v>0</v>
      </c>
      <c r="BH23" s="148">
        <v>0</v>
      </c>
      <c r="BI23" s="148">
        <v>0</v>
      </c>
      <c r="BJ23" s="148">
        <v>0</v>
      </c>
      <c r="BK23" s="148">
        <v>0</v>
      </c>
      <c r="BL23" s="148">
        <v>0</v>
      </c>
      <c r="BM23" s="148">
        <v>76</v>
      </c>
      <c r="BN23" s="148">
        <v>23</v>
      </c>
      <c r="BO23" s="148">
        <v>0</v>
      </c>
      <c r="BP23" s="148">
        <v>4</v>
      </c>
      <c r="BQ23" s="148">
        <v>1</v>
      </c>
      <c r="BR23" s="148">
        <v>0</v>
      </c>
      <c r="BS23" s="148">
        <v>0</v>
      </c>
      <c r="BT23" s="148">
        <v>0</v>
      </c>
      <c r="BU23" s="148">
        <v>26990</v>
      </c>
      <c r="BV23" s="148">
        <v>1909</v>
      </c>
      <c r="BW23" s="148">
        <v>0</v>
      </c>
      <c r="BX23" s="148">
        <v>0</v>
      </c>
      <c r="BY23" s="148">
        <v>0</v>
      </c>
      <c r="BZ23" s="148">
        <v>0</v>
      </c>
      <c r="CA23" s="148">
        <v>460</v>
      </c>
      <c r="CB23" s="148">
        <v>2369</v>
      </c>
      <c r="CC23" s="148">
        <v>29359</v>
      </c>
      <c r="CE23" s="148">
        <v>7715</v>
      </c>
      <c r="CF23" s="148">
        <v>0</v>
      </c>
      <c r="CG23" s="166">
        <v>580</v>
      </c>
    </row>
    <row r="24" spans="1:85" ht="8.25" customHeight="1" x14ac:dyDescent="0.2">
      <c r="A24" s="147">
        <v>6801</v>
      </c>
      <c r="B24" s="77" t="str">
        <f>IFERROR(INDEX(SCNtoISIC!$M:$M,MATCH($A24,SCNtoISIC!$J:$J,0)),0)</f>
        <v>ISIC 06</v>
      </c>
      <c r="C24" s="93" t="s">
        <v>328</v>
      </c>
      <c r="D24" s="148">
        <v>0</v>
      </c>
      <c r="E24" s="148">
        <v>0</v>
      </c>
      <c r="F24" s="148">
        <v>0</v>
      </c>
      <c r="G24" s="148">
        <v>1</v>
      </c>
      <c r="H24" s="148">
        <v>12382</v>
      </c>
      <c r="I24" s="148">
        <v>102</v>
      </c>
      <c r="J24" s="148">
        <v>22</v>
      </c>
      <c r="K24" s="148">
        <v>95</v>
      </c>
      <c r="L24" s="148">
        <v>0</v>
      </c>
      <c r="M24" s="148">
        <v>930</v>
      </c>
      <c r="N24" s="148">
        <v>188</v>
      </c>
      <c r="O24" s="148">
        <v>0</v>
      </c>
      <c r="P24" s="148">
        <v>166</v>
      </c>
      <c r="Q24" s="148">
        <v>0</v>
      </c>
      <c r="R24" s="148">
        <v>0</v>
      </c>
      <c r="S24" s="148">
        <v>51</v>
      </c>
      <c r="T24" s="148">
        <v>852</v>
      </c>
      <c r="U24" s="148">
        <v>0</v>
      </c>
      <c r="V24" s="148">
        <v>119148</v>
      </c>
      <c r="W24" s="148">
        <v>0</v>
      </c>
      <c r="X24" s="148">
        <v>2191</v>
      </c>
      <c r="Y24" s="148">
        <v>101</v>
      </c>
      <c r="Z24" s="148">
        <v>34</v>
      </c>
      <c r="AA24" s="148">
        <v>46</v>
      </c>
      <c r="AB24" s="148">
        <v>106</v>
      </c>
      <c r="AC24" s="146">
        <f t="shared" si="2"/>
        <v>436.8</v>
      </c>
      <c r="AD24" s="146">
        <f t="shared" si="3"/>
        <v>291.2</v>
      </c>
      <c r="AE24" s="148">
        <v>413</v>
      </c>
      <c r="AF24" s="148">
        <v>371</v>
      </c>
      <c r="AG24" s="148">
        <v>452</v>
      </c>
      <c r="AH24" s="148">
        <v>0</v>
      </c>
      <c r="AI24" s="148">
        <v>28</v>
      </c>
      <c r="AJ24" s="148">
        <v>21</v>
      </c>
      <c r="AK24" s="148">
        <v>90</v>
      </c>
      <c r="AL24" s="148">
        <v>171</v>
      </c>
      <c r="AM24" s="148">
        <v>0</v>
      </c>
      <c r="AN24" s="148">
        <v>0</v>
      </c>
      <c r="AO24" s="148">
        <v>0</v>
      </c>
      <c r="AP24" s="146">
        <f t="shared" si="4"/>
        <v>10743.333333333332</v>
      </c>
      <c r="AQ24" s="146">
        <f t="shared" si="5"/>
        <v>5371.6666666666661</v>
      </c>
      <c r="AR24" s="148">
        <v>0</v>
      </c>
      <c r="AS24" s="148">
        <v>0</v>
      </c>
      <c r="AT24" s="148">
        <v>0</v>
      </c>
      <c r="AU24" s="148">
        <v>0</v>
      </c>
      <c r="AV24" s="148">
        <v>0</v>
      </c>
      <c r="AW24" s="148">
        <v>0</v>
      </c>
      <c r="AX24" s="148">
        <v>0</v>
      </c>
      <c r="AY24" s="148">
        <v>0</v>
      </c>
      <c r="AZ24" s="148">
        <v>0</v>
      </c>
      <c r="BA24" s="148">
        <v>0</v>
      </c>
      <c r="BB24" s="148">
        <v>0</v>
      </c>
      <c r="BC24" s="148">
        <v>0</v>
      </c>
      <c r="BD24" s="148">
        <v>0</v>
      </c>
      <c r="BE24" s="148">
        <v>0</v>
      </c>
      <c r="BF24" s="148">
        <v>0</v>
      </c>
      <c r="BG24" s="148">
        <v>0</v>
      </c>
      <c r="BH24" s="148">
        <v>59</v>
      </c>
      <c r="BI24" s="148">
        <v>0</v>
      </c>
      <c r="BJ24" s="148">
        <v>0</v>
      </c>
      <c r="BK24" s="148">
        <v>0</v>
      </c>
      <c r="BL24" s="148">
        <v>0</v>
      </c>
      <c r="BM24" s="148">
        <v>0</v>
      </c>
      <c r="BN24" s="148">
        <v>0</v>
      </c>
      <c r="BO24" s="148">
        <v>0</v>
      </c>
      <c r="BP24" s="148">
        <v>0</v>
      </c>
      <c r="BQ24" s="148">
        <v>0</v>
      </c>
      <c r="BR24" s="148">
        <v>0</v>
      </c>
      <c r="BS24" s="148">
        <v>0</v>
      </c>
      <c r="BT24" s="148">
        <v>0</v>
      </c>
      <c r="BU24" s="148">
        <v>154863</v>
      </c>
      <c r="BV24" s="148">
        <v>38789</v>
      </c>
      <c r="BW24" s="148">
        <v>0</v>
      </c>
      <c r="BX24" s="148">
        <v>0</v>
      </c>
      <c r="BY24" s="148">
        <v>0</v>
      </c>
      <c r="BZ24" s="148">
        <v>8690</v>
      </c>
      <c r="CA24" s="148">
        <v>3974</v>
      </c>
      <c r="CB24" s="148">
        <v>51453</v>
      </c>
      <c r="CC24" s="148">
        <v>206316</v>
      </c>
      <c r="CE24" s="148">
        <v>728</v>
      </c>
      <c r="CF24" s="148">
        <v>16115</v>
      </c>
      <c r="CG24" s="166">
        <v>680</v>
      </c>
    </row>
    <row r="25" spans="1:85" ht="8.25" customHeight="1" x14ac:dyDescent="0.2">
      <c r="A25" s="147">
        <v>7911</v>
      </c>
      <c r="B25" s="77" t="str">
        <f>IFERROR(INDEX(SCNtoISIC!$M:$M,MATCH($A25,SCNtoISIC!$J:$J,0)),0)</f>
        <v>ISIC 07T08</v>
      </c>
      <c r="C25" s="93" t="s">
        <v>331</v>
      </c>
      <c r="D25" s="148">
        <v>0</v>
      </c>
      <c r="E25" s="148">
        <v>0</v>
      </c>
      <c r="F25" s="148">
        <v>0</v>
      </c>
      <c r="G25" s="148">
        <v>0</v>
      </c>
      <c r="H25" s="148">
        <v>0</v>
      </c>
      <c r="I25" s="148">
        <v>838</v>
      </c>
      <c r="J25" s="148">
        <v>25</v>
      </c>
      <c r="K25" s="148">
        <v>0</v>
      </c>
      <c r="L25" s="148">
        <v>0</v>
      </c>
      <c r="M25" s="148">
        <v>0</v>
      </c>
      <c r="N25" s="148">
        <v>0</v>
      </c>
      <c r="O25" s="148">
        <v>0</v>
      </c>
      <c r="P25" s="148">
        <v>0</v>
      </c>
      <c r="Q25" s="148">
        <v>0</v>
      </c>
      <c r="R25" s="148">
        <v>0</v>
      </c>
      <c r="S25" s="148">
        <v>0</v>
      </c>
      <c r="T25" s="148">
        <v>0</v>
      </c>
      <c r="U25" s="148">
        <v>0</v>
      </c>
      <c r="V25" s="148">
        <v>0</v>
      </c>
      <c r="W25" s="148">
        <v>0</v>
      </c>
      <c r="X25" s="148">
        <v>0</v>
      </c>
      <c r="Y25" s="148">
        <v>0</v>
      </c>
      <c r="Z25" s="148">
        <v>0</v>
      </c>
      <c r="AA25" s="148">
        <v>0</v>
      </c>
      <c r="AB25" s="148">
        <v>0</v>
      </c>
      <c r="AC25" s="146">
        <f t="shared" si="2"/>
        <v>72</v>
      </c>
      <c r="AD25" s="146">
        <f t="shared" si="3"/>
        <v>48</v>
      </c>
      <c r="AE25" s="148">
        <v>10949</v>
      </c>
      <c r="AF25" s="148">
        <v>0</v>
      </c>
      <c r="AG25" s="148">
        <v>0</v>
      </c>
      <c r="AH25" s="148">
        <v>0</v>
      </c>
      <c r="AI25" s="148">
        <v>0</v>
      </c>
      <c r="AJ25" s="148">
        <v>0</v>
      </c>
      <c r="AK25" s="148">
        <v>0</v>
      </c>
      <c r="AL25" s="148">
        <v>0</v>
      </c>
      <c r="AM25" s="148">
        <v>0</v>
      </c>
      <c r="AN25" s="148">
        <v>0</v>
      </c>
      <c r="AO25" s="148">
        <v>0</v>
      </c>
      <c r="AP25" s="146">
        <f t="shared" si="4"/>
        <v>0</v>
      </c>
      <c r="AQ25" s="146">
        <f t="shared" si="5"/>
        <v>0</v>
      </c>
      <c r="AR25" s="148">
        <v>0</v>
      </c>
      <c r="AS25" s="148">
        <v>0</v>
      </c>
      <c r="AT25" s="148">
        <v>0</v>
      </c>
      <c r="AU25" s="148">
        <v>0</v>
      </c>
      <c r="AV25" s="148">
        <v>0</v>
      </c>
      <c r="AW25" s="148">
        <v>0</v>
      </c>
      <c r="AX25" s="148">
        <v>0</v>
      </c>
      <c r="AY25" s="148">
        <v>0</v>
      </c>
      <c r="AZ25" s="148">
        <v>0</v>
      </c>
      <c r="BA25" s="148">
        <v>0</v>
      </c>
      <c r="BB25" s="148">
        <v>0</v>
      </c>
      <c r="BC25" s="148">
        <v>0</v>
      </c>
      <c r="BD25" s="148">
        <v>0</v>
      </c>
      <c r="BE25" s="148">
        <v>0</v>
      </c>
      <c r="BF25" s="148">
        <v>0</v>
      </c>
      <c r="BG25" s="148">
        <v>0</v>
      </c>
      <c r="BH25" s="148">
        <v>5</v>
      </c>
      <c r="BI25" s="148">
        <v>0</v>
      </c>
      <c r="BJ25" s="148">
        <v>0</v>
      </c>
      <c r="BK25" s="148">
        <v>0</v>
      </c>
      <c r="BL25" s="148">
        <v>0</v>
      </c>
      <c r="BM25" s="148">
        <v>0</v>
      </c>
      <c r="BN25" s="148">
        <v>0</v>
      </c>
      <c r="BO25" s="148">
        <v>0</v>
      </c>
      <c r="BP25" s="148">
        <v>0</v>
      </c>
      <c r="BQ25" s="148">
        <v>0</v>
      </c>
      <c r="BR25" s="148">
        <v>0</v>
      </c>
      <c r="BS25" s="148">
        <v>0</v>
      </c>
      <c r="BT25" s="148">
        <v>0</v>
      </c>
      <c r="BU25" s="148">
        <v>11937</v>
      </c>
      <c r="BV25" s="148">
        <v>46751</v>
      </c>
      <c r="BW25" s="148">
        <v>0</v>
      </c>
      <c r="BX25" s="148">
        <v>0</v>
      </c>
      <c r="BY25" s="148">
        <v>0</v>
      </c>
      <c r="BZ25" s="148">
        <v>0</v>
      </c>
      <c r="CA25" s="148">
        <v>1403</v>
      </c>
      <c r="CB25" s="148">
        <v>48154</v>
      </c>
      <c r="CC25" s="148">
        <v>60091</v>
      </c>
      <c r="CE25" s="148">
        <v>120</v>
      </c>
      <c r="CF25" s="148">
        <v>0</v>
      </c>
      <c r="CG25" s="166">
        <v>791</v>
      </c>
    </row>
    <row r="26" spans="1:85" ht="8.25" customHeight="1" x14ac:dyDescent="0.2">
      <c r="A26" s="147">
        <v>7921</v>
      </c>
      <c r="B26" s="77" t="str">
        <f>IFERROR(INDEX(SCNtoISIC!$M:$M,MATCH($A26,SCNtoISIC!$J:$J,0)),0)</f>
        <v>ISIC 09</v>
      </c>
      <c r="C26" s="93" t="s">
        <v>613</v>
      </c>
      <c r="D26" s="148">
        <v>0</v>
      </c>
      <c r="E26" s="148">
        <v>0</v>
      </c>
      <c r="F26" s="148">
        <v>0</v>
      </c>
      <c r="G26" s="148">
        <v>0</v>
      </c>
      <c r="H26" s="148">
        <v>74</v>
      </c>
      <c r="I26" s="148">
        <v>9</v>
      </c>
      <c r="J26" s="148">
        <v>1594</v>
      </c>
      <c r="K26" s="148">
        <v>0</v>
      </c>
      <c r="L26" s="148">
        <v>0</v>
      </c>
      <c r="M26" s="148">
        <v>0</v>
      </c>
      <c r="N26" s="148">
        <v>0</v>
      </c>
      <c r="O26" s="148">
        <v>0</v>
      </c>
      <c r="P26" s="148">
        <v>0</v>
      </c>
      <c r="Q26" s="148">
        <v>0</v>
      </c>
      <c r="R26" s="148">
        <v>0</v>
      </c>
      <c r="S26" s="148">
        <v>0</v>
      </c>
      <c r="T26" s="148">
        <v>0</v>
      </c>
      <c r="U26" s="148">
        <v>0</v>
      </c>
      <c r="V26" s="148">
        <v>0</v>
      </c>
      <c r="W26" s="148">
        <v>0</v>
      </c>
      <c r="X26" s="148">
        <v>0</v>
      </c>
      <c r="Y26" s="148">
        <v>0</v>
      </c>
      <c r="Z26" s="148">
        <v>0</v>
      </c>
      <c r="AA26" s="148">
        <v>0</v>
      </c>
      <c r="AB26" s="148">
        <v>0</v>
      </c>
      <c r="AC26" s="146">
        <f t="shared" si="2"/>
        <v>32.4</v>
      </c>
      <c r="AD26" s="146">
        <f t="shared" si="3"/>
        <v>21.6</v>
      </c>
      <c r="AE26" s="148">
        <v>2214</v>
      </c>
      <c r="AF26" s="148">
        <v>10303</v>
      </c>
      <c r="AG26" s="148">
        <v>0</v>
      </c>
      <c r="AH26" s="148">
        <v>0</v>
      </c>
      <c r="AI26" s="148">
        <v>0</v>
      </c>
      <c r="AJ26" s="148">
        <v>0</v>
      </c>
      <c r="AK26" s="148">
        <v>0</v>
      </c>
      <c r="AL26" s="148">
        <v>12</v>
      </c>
      <c r="AM26" s="148">
        <v>0</v>
      </c>
      <c r="AN26" s="148">
        <v>0</v>
      </c>
      <c r="AO26" s="148">
        <v>0</v>
      </c>
      <c r="AP26" s="146">
        <f t="shared" si="4"/>
        <v>0</v>
      </c>
      <c r="AQ26" s="146">
        <f t="shared" si="5"/>
        <v>0</v>
      </c>
      <c r="AR26" s="148">
        <v>0</v>
      </c>
      <c r="AS26" s="148">
        <v>0</v>
      </c>
      <c r="AT26" s="148">
        <v>0</v>
      </c>
      <c r="AU26" s="148">
        <v>0</v>
      </c>
      <c r="AV26" s="148">
        <v>0</v>
      </c>
      <c r="AW26" s="148">
        <v>0</v>
      </c>
      <c r="AX26" s="148">
        <v>0</v>
      </c>
      <c r="AY26" s="148">
        <v>0</v>
      </c>
      <c r="AZ26" s="148">
        <v>0</v>
      </c>
      <c r="BA26" s="148">
        <v>0</v>
      </c>
      <c r="BB26" s="148">
        <v>0</v>
      </c>
      <c r="BC26" s="148">
        <v>0</v>
      </c>
      <c r="BD26" s="148">
        <v>0</v>
      </c>
      <c r="BE26" s="148">
        <v>0</v>
      </c>
      <c r="BF26" s="148">
        <v>0</v>
      </c>
      <c r="BG26" s="148">
        <v>0</v>
      </c>
      <c r="BH26" s="148">
        <v>1</v>
      </c>
      <c r="BI26" s="148">
        <v>0</v>
      </c>
      <c r="BJ26" s="148">
        <v>0</v>
      </c>
      <c r="BK26" s="148">
        <v>0</v>
      </c>
      <c r="BL26" s="148">
        <v>0</v>
      </c>
      <c r="BM26" s="148">
        <v>0</v>
      </c>
      <c r="BN26" s="148">
        <v>0</v>
      </c>
      <c r="BO26" s="148">
        <v>0</v>
      </c>
      <c r="BP26" s="148">
        <v>0</v>
      </c>
      <c r="BQ26" s="148">
        <v>0</v>
      </c>
      <c r="BR26" s="148">
        <v>0</v>
      </c>
      <c r="BS26" s="148">
        <v>0</v>
      </c>
      <c r="BT26" s="148">
        <v>0</v>
      </c>
      <c r="BU26" s="148">
        <v>14261</v>
      </c>
      <c r="BV26" s="148">
        <v>8614</v>
      </c>
      <c r="BW26" s="148">
        <v>0</v>
      </c>
      <c r="BX26" s="148">
        <v>0</v>
      </c>
      <c r="BY26" s="148">
        <v>0</v>
      </c>
      <c r="BZ26" s="148">
        <v>0</v>
      </c>
      <c r="CA26" s="148">
        <v>1403</v>
      </c>
      <c r="CB26" s="148">
        <v>10017</v>
      </c>
      <c r="CC26" s="148">
        <v>24278</v>
      </c>
      <c r="CE26" s="148">
        <v>54</v>
      </c>
      <c r="CF26" s="148">
        <v>0</v>
      </c>
      <c r="CG26" s="166">
        <v>792</v>
      </c>
    </row>
    <row r="27" spans="1:85" ht="8.25" customHeight="1" x14ac:dyDescent="0.2">
      <c r="A27" s="143">
        <v>10911</v>
      </c>
      <c r="B27" s="77" t="str">
        <f>IFERROR(INDEX(SCNtoISIC!$M:$M,MATCH($A27,SCNtoISIC!$J:$J,0)),0)</f>
        <v>ISIC 10T12</v>
      </c>
      <c r="C27" s="144" t="s">
        <v>614</v>
      </c>
      <c r="D27" s="145">
        <v>7</v>
      </c>
      <c r="E27" s="145">
        <v>1987</v>
      </c>
      <c r="F27" s="145">
        <v>1</v>
      </c>
      <c r="G27" s="145">
        <v>0</v>
      </c>
      <c r="H27" s="145">
        <v>0</v>
      </c>
      <c r="I27" s="145">
        <v>0</v>
      </c>
      <c r="J27" s="145">
        <v>0</v>
      </c>
      <c r="K27" s="145">
        <v>4334</v>
      </c>
      <c r="L27" s="145">
        <v>0</v>
      </c>
      <c r="M27" s="145">
        <v>502</v>
      </c>
      <c r="N27" s="145">
        <v>0</v>
      </c>
      <c r="O27" s="145">
        <v>0</v>
      </c>
      <c r="P27" s="145">
        <v>0</v>
      </c>
      <c r="Q27" s="145">
        <v>0</v>
      </c>
      <c r="R27" s="145">
        <v>3467</v>
      </c>
      <c r="S27" s="145">
        <v>0</v>
      </c>
      <c r="T27" s="145">
        <v>0</v>
      </c>
      <c r="U27" s="145">
        <v>0</v>
      </c>
      <c r="V27" s="145">
        <v>0</v>
      </c>
      <c r="W27" s="145">
        <v>1035</v>
      </c>
      <c r="X27" s="145">
        <v>0</v>
      </c>
      <c r="Y27" s="145">
        <v>0</v>
      </c>
      <c r="Z27" s="145">
        <v>2079</v>
      </c>
      <c r="AA27" s="145">
        <v>0</v>
      </c>
      <c r="AB27" s="145">
        <v>0</v>
      </c>
      <c r="AC27" s="146">
        <f t="shared" si="2"/>
        <v>0</v>
      </c>
      <c r="AD27" s="146">
        <f t="shared" si="3"/>
        <v>0</v>
      </c>
      <c r="AE27" s="145">
        <v>0</v>
      </c>
      <c r="AF27" s="145">
        <v>0</v>
      </c>
      <c r="AG27" s="145">
        <v>68</v>
      </c>
      <c r="AH27" s="145">
        <v>0</v>
      </c>
      <c r="AI27" s="145">
        <v>0</v>
      </c>
      <c r="AJ27" s="145">
        <v>0</v>
      </c>
      <c r="AK27" s="145">
        <v>0</v>
      </c>
      <c r="AL27" s="145">
        <v>0</v>
      </c>
      <c r="AM27" s="145">
        <v>0</v>
      </c>
      <c r="AN27" s="145">
        <v>1</v>
      </c>
      <c r="AO27" s="145">
        <v>0</v>
      </c>
      <c r="AP27" s="146">
        <f t="shared" si="4"/>
        <v>0</v>
      </c>
      <c r="AQ27" s="146">
        <f t="shared" si="5"/>
        <v>0</v>
      </c>
      <c r="AR27" s="145">
        <v>0</v>
      </c>
      <c r="AS27" s="145">
        <v>0</v>
      </c>
      <c r="AT27" s="145">
        <v>0</v>
      </c>
      <c r="AU27" s="145">
        <v>0</v>
      </c>
      <c r="AV27" s="145">
        <v>0</v>
      </c>
      <c r="AW27" s="145">
        <v>0</v>
      </c>
      <c r="AX27" s="145">
        <v>0</v>
      </c>
      <c r="AY27" s="145">
        <v>350</v>
      </c>
      <c r="AZ27" s="145">
        <v>13209</v>
      </c>
      <c r="BA27" s="145">
        <v>0</v>
      </c>
      <c r="BB27" s="145">
        <v>0</v>
      </c>
      <c r="BC27" s="145">
        <v>0</v>
      </c>
      <c r="BD27" s="145">
        <v>0</v>
      </c>
      <c r="BE27" s="145">
        <v>0</v>
      </c>
      <c r="BF27" s="145">
        <v>0</v>
      </c>
      <c r="BG27" s="145">
        <v>0</v>
      </c>
      <c r="BH27" s="145">
        <v>0</v>
      </c>
      <c r="BI27" s="145">
        <v>0</v>
      </c>
      <c r="BJ27" s="145">
        <v>0</v>
      </c>
      <c r="BK27" s="145">
        <v>0</v>
      </c>
      <c r="BL27" s="145">
        <v>0</v>
      </c>
      <c r="BM27" s="145">
        <v>1129</v>
      </c>
      <c r="BN27" s="145">
        <v>1137</v>
      </c>
      <c r="BO27" s="145">
        <v>175</v>
      </c>
      <c r="BP27" s="145">
        <v>544</v>
      </c>
      <c r="BQ27" s="145">
        <v>495</v>
      </c>
      <c r="BR27" s="145">
        <v>3</v>
      </c>
      <c r="BS27" s="145">
        <v>156</v>
      </c>
      <c r="BT27" s="145">
        <v>0</v>
      </c>
      <c r="BU27" s="145">
        <v>30679</v>
      </c>
      <c r="BV27" s="145">
        <v>24196</v>
      </c>
      <c r="BW27" s="145">
        <v>144</v>
      </c>
      <c r="BX27" s="145">
        <v>0</v>
      </c>
      <c r="BY27" s="145">
        <v>117951</v>
      </c>
      <c r="BZ27" s="145">
        <v>0</v>
      </c>
      <c r="CA27" s="145">
        <v>568</v>
      </c>
      <c r="CB27" s="145">
        <v>142859</v>
      </c>
      <c r="CC27" s="145">
        <v>173538</v>
      </c>
      <c r="CE27" s="145">
        <v>0</v>
      </c>
      <c r="CF27" s="145">
        <v>0</v>
      </c>
      <c r="CG27" s="165">
        <v>1091</v>
      </c>
    </row>
    <row r="28" spans="1:85" ht="8.25" customHeight="1" x14ac:dyDescent="0.2">
      <c r="A28" s="143">
        <v>10912</v>
      </c>
      <c r="B28" s="77" t="str">
        <f>IFERROR(INDEX(SCNtoISIC!$M:$M,MATCH($A28,SCNtoISIC!$J:$J,0)),0)</f>
        <v>ISIC 10T12</v>
      </c>
      <c r="C28" s="144" t="s">
        <v>338</v>
      </c>
      <c r="D28" s="145">
        <v>0</v>
      </c>
      <c r="E28" s="145">
        <v>0</v>
      </c>
      <c r="F28" s="145">
        <v>0</v>
      </c>
      <c r="G28" s="145">
        <v>0</v>
      </c>
      <c r="H28" s="145">
        <v>0</v>
      </c>
      <c r="I28" s="145">
        <v>0</v>
      </c>
      <c r="J28" s="145">
        <v>0</v>
      </c>
      <c r="K28" s="145">
        <v>4213</v>
      </c>
      <c r="L28" s="145">
        <v>0</v>
      </c>
      <c r="M28" s="145">
        <v>2</v>
      </c>
      <c r="N28" s="145">
        <v>0</v>
      </c>
      <c r="O28" s="145">
        <v>0</v>
      </c>
      <c r="P28" s="145">
        <v>0</v>
      </c>
      <c r="Q28" s="145">
        <v>0</v>
      </c>
      <c r="R28" s="145">
        <v>0</v>
      </c>
      <c r="S28" s="145">
        <v>0</v>
      </c>
      <c r="T28" s="145">
        <v>0</v>
      </c>
      <c r="U28" s="145">
        <v>0</v>
      </c>
      <c r="V28" s="145">
        <v>0</v>
      </c>
      <c r="W28" s="145">
        <v>0</v>
      </c>
      <c r="X28" s="145">
        <v>0</v>
      </c>
      <c r="Y28" s="145">
        <v>0</v>
      </c>
      <c r="Z28" s="145">
        <v>0</v>
      </c>
      <c r="AA28" s="145">
        <v>0</v>
      </c>
      <c r="AB28" s="145">
        <v>0</v>
      </c>
      <c r="AC28" s="146">
        <f t="shared" si="2"/>
        <v>0</v>
      </c>
      <c r="AD28" s="146">
        <f t="shared" si="3"/>
        <v>0</v>
      </c>
      <c r="AE28" s="145">
        <v>0</v>
      </c>
      <c r="AF28" s="145">
        <v>0</v>
      </c>
      <c r="AG28" s="145">
        <v>0</v>
      </c>
      <c r="AH28" s="145">
        <v>0</v>
      </c>
      <c r="AI28" s="145">
        <v>0</v>
      </c>
      <c r="AJ28" s="145">
        <v>0</v>
      </c>
      <c r="AK28" s="145">
        <v>0</v>
      </c>
      <c r="AL28" s="145">
        <v>0</v>
      </c>
      <c r="AM28" s="145">
        <v>0</v>
      </c>
      <c r="AN28" s="145">
        <v>0</v>
      </c>
      <c r="AO28" s="145">
        <v>0</v>
      </c>
      <c r="AP28" s="146">
        <f t="shared" si="4"/>
        <v>0</v>
      </c>
      <c r="AQ28" s="146">
        <f t="shared" si="5"/>
        <v>0</v>
      </c>
      <c r="AR28" s="145">
        <v>0</v>
      </c>
      <c r="AS28" s="145">
        <v>0</v>
      </c>
      <c r="AT28" s="145">
        <v>0</v>
      </c>
      <c r="AU28" s="145">
        <v>0</v>
      </c>
      <c r="AV28" s="145">
        <v>0</v>
      </c>
      <c r="AW28" s="145">
        <v>0</v>
      </c>
      <c r="AX28" s="145">
        <v>0</v>
      </c>
      <c r="AY28" s="145">
        <v>10</v>
      </c>
      <c r="AZ28" s="145">
        <v>760</v>
      </c>
      <c r="BA28" s="145">
        <v>0</v>
      </c>
      <c r="BB28" s="145">
        <v>0</v>
      </c>
      <c r="BC28" s="145">
        <v>0</v>
      </c>
      <c r="BD28" s="145">
        <v>0</v>
      </c>
      <c r="BE28" s="145">
        <v>0</v>
      </c>
      <c r="BF28" s="145">
        <v>0</v>
      </c>
      <c r="BG28" s="145">
        <v>0</v>
      </c>
      <c r="BH28" s="145">
        <v>0</v>
      </c>
      <c r="BI28" s="145">
        <v>0</v>
      </c>
      <c r="BJ28" s="145">
        <v>0</v>
      </c>
      <c r="BK28" s="145">
        <v>0</v>
      </c>
      <c r="BL28" s="145">
        <v>0</v>
      </c>
      <c r="BM28" s="145">
        <v>22</v>
      </c>
      <c r="BN28" s="145">
        <v>26</v>
      </c>
      <c r="BO28" s="145">
        <v>3</v>
      </c>
      <c r="BP28" s="145">
        <v>13</v>
      </c>
      <c r="BQ28" s="145">
        <v>45</v>
      </c>
      <c r="BR28" s="145">
        <v>0</v>
      </c>
      <c r="BS28" s="145">
        <v>0</v>
      </c>
      <c r="BT28" s="145">
        <v>0</v>
      </c>
      <c r="BU28" s="145">
        <v>5094</v>
      </c>
      <c r="BV28" s="145">
        <v>3946</v>
      </c>
      <c r="BW28" s="145">
        <v>0</v>
      </c>
      <c r="BX28" s="145">
        <v>0</v>
      </c>
      <c r="BY28" s="145">
        <v>7966</v>
      </c>
      <c r="BZ28" s="145">
        <v>0</v>
      </c>
      <c r="CA28" s="145">
        <v>247</v>
      </c>
      <c r="CB28" s="145">
        <v>12159</v>
      </c>
      <c r="CC28" s="145">
        <v>17253</v>
      </c>
      <c r="CE28" s="145">
        <v>0</v>
      </c>
      <c r="CF28" s="145">
        <v>0</v>
      </c>
      <c r="CG28" s="165">
        <v>1091</v>
      </c>
    </row>
    <row r="29" spans="1:85" ht="8.25" customHeight="1" x14ac:dyDescent="0.2">
      <c r="A29" s="143">
        <v>10913</v>
      </c>
      <c r="B29" s="77" t="str">
        <f>IFERROR(INDEX(SCNtoISIC!$M:$M,MATCH($A29,SCNtoISIC!$J:$J,0)),0)</f>
        <v>ISIC 10T12</v>
      </c>
      <c r="C29" s="144" t="s">
        <v>339</v>
      </c>
      <c r="D29" s="145">
        <v>0</v>
      </c>
      <c r="E29" s="145">
        <v>0</v>
      </c>
      <c r="F29" s="145">
        <v>0</v>
      </c>
      <c r="G29" s="145">
        <v>0</v>
      </c>
      <c r="H29" s="145">
        <v>0</v>
      </c>
      <c r="I29" s="145">
        <v>0</v>
      </c>
      <c r="J29" s="145">
        <v>0</v>
      </c>
      <c r="K29" s="145">
        <v>3104</v>
      </c>
      <c r="L29" s="145">
        <v>0</v>
      </c>
      <c r="M29" s="145">
        <v>36</v>
      </c>
      <c r="N29" s="145">
        <v>0</v>
      </c>
      <c r="O29" s="145">
        <v>0</v>
      </c>
      <c r="P29" s="145">
        <v>0</v>
      </c>
      <c r="Q29" s="145">
        <v>0</v>
      </c>
      <c r="R29" s="145">
        <v>0</v>
      </c>
      <c r="S29" s="145">
        <v>0</v>
      </c>
      <c r="T29" s="145">
        <v>0</v>
      </c>
      <c r="U29" s="145">
        <v>0</v>
      </c>
      <c r="V29" s="145">
        <v>0</v>
      </c>
      <c r="W29" s="145">
        <v>0</v>
      </c>
      <c r="X29" s="145">
        <v>0</v>
      </c>
      <c r="Y29" s="145">
        <v>0</v>
      </c>
      <c r="Z29" s="145">
        <v>0</v>
      </c>
      <c r="AA29" s="145">
        <v>0</v>
      </c>
      <c r="AB29" s="145">
        <v>0</v>
      </c>
      <c r="AC29" s="146">
        <f t="shared" si="2"/>
        <v>0</v>
      </c>
      <c r="AD29" s="146">
        <f t="shared" si="3"/>
        <v>0</v>
      </c>
      <c r="AE29" s="145">
        <v>0</v>
      </c>
      <c r="AF29" s="145">
        <v>0</v>
      </c>
      <c r="AG29" s="145">
        <v>0</v>
      </c>
      <c r="AH29" s="145">
        <v>0</v>
      </c>
      <c r="AI29" s="145">
        <v>0</v>
      </c>
      <c r="AJ29" s="145">
        <v>0</v>
      </c>
      <c r="AK29" s="145">
        <v>0</v>
      </c>
      <c r="AL29" s="145">
        <v>0</v>
      </c>
      <c r="AM29" s="145">
        <v>0</v>
      </c>
      <c r="AN29" s="145">
        <v>0</v>
      </c>
      <c r="AO29" s="145">
        <v>0</v>
      </c>
      <c r="AP29" s="146">
        <f t="shared" si="4"/>
        <v>0</v>
      </c>
      <c r="AQ29" s="146">
        <f t="shared" si="5"/>
        <v>0</v>
      </c>
      <c r="AR29" s="145">
        <v>0</v>
      </c>
      <c r="AS29" s="145">
        <v>0</v>
      </c>
      <c r="AT29" s="145">
        <v>438</v>
      </c>
      <c r="AU29" s="145">
        <v>0</v>
      </c>
      <c r="AV29" s="145">
        <v>0</v>
      </c>
      <c r="AW29" s="145">
        <v>0</v>
      </c>
      <c r="AX29" s="145">
        <v>0</v>
      </c>
      <c r="AY29" s="145">
        <v>39</v>
      </c>
      <c r="AZ29" s="145">
        <v>3191</v>
      </c>
      <c r="BA29" s="145">
        <v>0</v>
      </c>
      <c r="BB29" s="145">
        <v>0</v>
      </c>
      <c r="BC29" s="145">
        <v>0</v>
      </c>
      <c r="BD29" s="145">
        <v>0</v>
      </c>
      <c r="BE29" s="145">
        <v>0</v>
      </c>
      <c r="BF29" s="145">
        <v>0</v>
      </c>
      <c r="BG29" s="145">
        <v>0</v>
      </c>
      <c r="BH29" s="145">
        <v>0</v>
      </c>
      <c r="BI29" s="145">
        <v>0</v>
      </c>
      <c r="BJ29" s="145">
        <v>0</v>
      </c>
      <c r="BK29" s="145">
        <v>0</v>
      </c>
      <c r="BL29" s="145">
        <v>0</v>
      </c>
      <c r="BM29" s="145">
        <v>227</v>
      </c>
      <c r="BN29" s="145">
        <v>251</v>
      </c>
      <c r="BO29" s="145">
        <v>37</v>
      </c>
      <c r="BP29" s="145">
        <v>121</v>
      </c>
      <c r="BQ29" s="145">
        <v>121</v>
      </c>
      <c r="BR29" s="145">
        <v>0</v>
      </c>
      <c r="BS29" s="145">
        <v>48</v>
      </c>
      <c r="BT29" s="145">
        <v>0</v>
      </c>
      <c r="BU29" s="145">
        <v>7613</v>
      </c>
      <c r="BV29" s="145">
        <v>24346</v>
      </c>
      <c r="BW29" s="145">
        <v>0</v>
      </c>
      <c r="BX29" s="145">
        <v>0</v>
      </c>
      <c r="BY29" s="145">
        <v>33436</v>
      </c>
      <c r="BZ29" s="145">
        <v>0</v>
      </c>
      <c r="CA29" s="145">
        <v>210</v>
      </c>
      <c r="CB29" s="145">
        <v>57992</v>
      </c>
      <c r="CC29" s="145">
        <v>65605</v>
      </c>
      <c r="CE29" s="145">
        <v>0</v>
      </c>
      <c r="CF29" s="145">
        <v>0</v>
      </c>
      <c r="CG29" s="165">
        <v>1091</v>
      </c>
    </row>
    <row r="30" spans="1:85" ht="8.25" customHeight="1" x14ac:dyDescent="0.2">
      <c r="A30" s="143">
        <v>10914</v>
      </c>
      <c r="B30" s="77" t="str">
        <f>IFERROR(INDEX(SCNtoISIC!$M:$M,MATCH($A30,SCNtoISIC!$J:$J,0)),0)</f>
        <v>ISIC 10T12</v>
      </c>
      <c r="C30" s="144" t="s">
        <v>341</v>
      </c>
      <c r="D30" s="145">
        <v>0</v>
      </c>
      <c r="E30" s="145">
        <v>0</v>
      </c>
      <c r="F30" s="145">
        <v>0</v>
      </c>
      <c r="G30" s="145">
        <v>0</v>
      </c>
      <c r="H30" s="145">
        <v>0</v>
      </c>
      <c r="I30" s="145">
        <v>0</v>
      </c>
      <c r="J30" s="145">
        <v>0</v>
      </c>
      <c r="K30" s="145">
        <v>0</v>
      </c>
      <c r="L30" s="145">
        <v>0</v>
      </c>
      <c r="M30" s="145">
        <v>22</v>
      </c>
      <c r="N30" s="145">
        <v>0</v>
      </c>
      <c r="O30" s="145">
        <v>0</v>
      </c>
      <c r="P30" s="145">
        <v>0</v>
      </c>
      <c r="Q30" s="145">
        <v>0</v>
      </c>
      <c r="R30" s="145">
        <v>0</v>
      </c>
      <c r="S30" s="145">
        <v>0</v>
      </c>
      <c r="T30" s="145">
        <v>0</v>
      </c>
      <c r="U30" s="145">
        <v>0</v>
      </c>
      <c r="V30" s="145">
        <v>0</v>
      </c>
      <c r="W30" s="145">
        <v>0</v>
      </c>
      <c r="X30" s="145">
        <v>0</v>
      </c>
      <c r="Y30" s="145">
        <v>0</v>
      </c>
      <c r="Z30" s="145">
        <v>0</v>
      </c>
      <c r="AA30" s="145">
        <v>0</v>
      </c>
      <c r="AB30" s="145">
        <v>0</v>
      </c>
      <c r="AC30" s="146">
        <f t="shared" si="2"/>
        <v>0</v>
      </c>
      <c r="AD30" s="146">
        <f t="shared" si="3"/>
        <v>0</v>
      </c>
      <c r="AE30" s="145">
        <v>0</v>
      </c>
      <c r="AF30" s="145">
        <v>0</v>
      </c>
      <c r="AG30" s="145">
        <v>0</v>
      </c>
      <c r="AH30" s="145">
        <v>0</v>
      </c>
      <c r="AI30" s="145">
        <v>0</v>
      </c>
      <c r="AJ30" s="145">
        <v>0</v>
      </c>
      <c r="AK30" s="145">
        <v>0</v>
      </c>
      <c r="AL30" s="145">
        <v>0</v>
      </c>
      <c r="AM30" s="145">
        <v>0</v>
      </c>
      <c r="AN30" s="145">
        <v>0</v>
      </c>
      <c r="AO30" s="145">
        <v>0</v>
      </c>
      <c r="AP30" s="146">
        <f t="shared" si="4"/>
        <v>0</v>
      </c>
      <c r="AQ30" s="146">
        <f t="shared" si="5"/>
        <v>0</v>
      </c>
      <c r="AR30" s="145">
        <v>0</v>
      </c>
      <c r="AS30" s="145">
        <v>0</v>
      </c>
      <c r="AT30" s="145">
        <v>0</v>
      </c>
      <c r="AU30" s="145">
        <v>0</v>
      </c>
      <c r="AV30" s="145">
        <v>0</v>
      </c>
      <c r="AW30" s="145">
        <v>0</v>
      </c>
      <c r="AX30" s="145">
        <v>0</v>
      </c>
      <c r="AY30" s="145">
        <v>13</v>
      </c>
      <c r="AZ30" s="145">
        <v>990</v>
      </c>
      <c r="BA30" s="145">
        <v>0</v>
      </c>
      <c r="BB30" s="145">
        <v>0</v>
      </c>
      <c r="BC30" s="145">
        <v>0</v>
      </c>
      <c r="BD30" s="145">
        <v>0</v>
      </c>
      <c r="BE30" s="145">
        <v>0</v>
      </c>
      <c r="BF30" s="145">
        <v>0</v>
      </c>
      <c r="BG30" s="145">
        <v>0</v>
      </c>
      <c r="BH30" s="145">
        <v>0</v>
      </c>
      <c r="BI30" s="145">
        <v>0</v>
      </c>
      <c r="BJ30" s="145">
        <v>0</v>
      </c>
      <c r="BK30" s="145">
        <v>0</v>
      </c>
      <c r="BL30" s="145">
        <v>0</v>
      </c>
      <c r="BM30" s="145">
        <v>49</v>
      </c>
      <c r="BN30" s="145">
        <v>55</v>
      </c>
      <c r="BO30" s="145">
        <v>3</v>
      </c>
      <c r="BP30" s="145">
        <v>29</v>
      </c>
      <c r="BQ30" s="145">
        <v>10</v>
      </c>
      <c r="BR30" s="145">
        <v>0</v>
      </c>
      <c r="BS30" s="145">
        <v>9</v>
      </c>
      <c r="BT30" s="145">
        <v>0</v>
      </c>
      <c r="BU30" s="145">
        <v>1180</v>
      </c>
      <c r="BV30" s="145">
        <v>637</v>
      </c>
      <c r="BW30" s="145">
        <v>0</v>
      </c>
      <c r="BX30" s="145">
        <v>0</v>
      </c>
      <c r="BY30" s="145">
        <v>8402</v>
      </c>
      <c r="BZ30" s="145">
        <v>0</v>
      </c>
      <c r="CA30" s="145">
        <v>-286</v>
      </c>
      <c r="CB30" s="145">
        <v>8753</v>
      </c>
      <c r="CC30" s="145">
        <v>9933</v>
      </c>
      <c r="CE30" s="145">
        <v>0</v>
      </c>
      <c r="CF30" s="145">
        <v>0</v>
      </c>
      <c r="CG30" s="165">
        <v>1091</v>
      </c>
    </row>
    <row r="31" spans="1:85" ht="8.25" customHeight="1" x14ac:dyDescent="0.2">
      <c r="A31" s="143">
        <v>10915</v>
      </c>
      <c r="B31" s="77" t="str">
        <f>IFERROR(INDEX(SCNtoISIC!$M:$M,MATCH($A31,SCNtoISIC!$J:$J,0)),0)</f>
        <v>ISIC 10T12</v>
      </c>
      <c r="C31" s="144" t="s">
        <v>343</v>
      </c>
      <c r="D31" s="145">
        <v>0</v>
      </c>
      <c r="E31" s="145">
        <v>0</v>
      </c>
      <c r="F31" s="145">
        <v>0</v>
      </c>
      <c r="G31" s="145">
        <v>0</v>
      </c>
      <c r="H31" s="145">
        <v>0</v>
      </c>
      <c r="I31" s="145">
        <v>0</v>
      </c>
      <c r="J31" s="145">
        <v>0</v>
      </c>
      <c r="K31" s="145">
        <v>8918</v>
      </c>
      <c r="L31" s="145">
        <v>0</v>
      </c>
      <c r="M31" s="145">
        <v>181</v>
      </c>
      <c r="N31" s="145">
        <v>0</v>
      </c>
      <c r="O31" s="145">
        <v>0</v>
      </c>
      <c r="P31" s="145">
        <v>0</v>
      </c>
      <c r="Q31" s="145">
        <v>0</v>
      </c>
      <c r="R31" s="145">
        <v>0</v>
      </c>
      <c r="S31" s="145">
        <v>0</v>
      </c>
      <c r="T31" s="145">
        <v>0</v>
      </c>
      <c r="U31" s="145">
        <v>0</v>
      </c>
      <c r="V31" s="145">
        <v>0</v>
      </c>
      <c r="W31" s="145">
        <v>0</v>
      </c>
      <c r="X31" s="145">
        <v>0</v>
      </c>
      <c r="Y31" s="145">
        <v>0</v>
      </c>
      <c r="Z31" s="145">
        <v>0</v>
      </c>
      <c r="AA31" s="145">
        <v>0</v>
      </c>
      <c r="AB31" s="145">
        <v>0</v>
      </c>
      <c r="AC31" s="146">
        <f t="shared" si="2"/>
        <v>0</v>
      </c>
      <c r="AD31" s="146">
        <f t="shared" si="3"/>
        <v>0</v>
      </c>
      <c r="AE31" s="145">
        <v>0</v>
      </c>
      <c r="AF31" s="145">
        <v>0</v>
      </c>
      <c r="AG31" s="145">
        <v>0</v>
      </c>
      <c r="AH31" s="145">
        <v>0</v>
      </c>
      <c r="AI31" s="145">
        <v>0</v>
      </c>
      <c r="AJ31" s="145">
        <v>0</v>
      </c>
      <c r="AK31" s="145">
        <v>0</v>
      </c>
      <c r="AL31" s="145">
        <v>0</v>
      </c>
      <c r="AM31" s="145">
        <v>0</v>
      </c>
      <c r="AN31" s="145">
        <v>0</v>
      </c>
      <c r="AO31" s="145">
        <v>0</v>
      </c>
      <c r="AP31" s="146">
        <f t="shared" si="4"/>
        <v>0</v>
      </c>
      <c r="AQ31" s="146">
        <f t="shared" si="5"/>
        <v>0</v>
      </c>
      <c r="AR31" s="145">
        <v>0</v>
      </c>
      <c r="AS31" s="145">
        <v>0</v>
      </c>
      <c r="AT31" s="145">
        <v>0</v>
      </c>
      <c r="AU31" s="145">
        <v>0</v>
      </c>
      <c r="AV31" s="145">
        <v>0</v>
      </c>
      <c r="AW31" s="145">
        <v>0</v>
      </c>
      <c r="AX31" s="145">
        <v>0</v>
      </c>
      <c r="AY31" s="145">
        <v>114</v>
      </c>
      <c r="AZ31" s="145">
        <v>416</v>
      </c>
      <c r="BA31" s="145">
        <v>0</v>
      </c>
      <c r="BB31" s="145">
        <v>0</v>
      </c>
      <c r="BC31" s="145">
        <v>0</v>
      </c>
      <c r="BD31" s="145">
        <v>0</v>
      </c>
      <c r="BE31" s="145">
        <v>0</v>
      </c>
      <c r="BF31" s="145">
        <v>0</v>
      </c>
      <c r="BG31" s="145">
        <v>0</v>
      </c>
      <c r="BH31" s="145">
        <v>0</v>
      </c>
      <c r="BI31" s="145">
        <v>0</v>
      </c>
      <c r="BJ31" s="145">
        <v>0</v>
      </c>
      <c r="BK31" s="145">
        <v>0</v>
      </c>
      <c r="BL31" s="145">
        <v>0</v>
      </c>
      <c r="BM31" s="145">
        <v>623</v>
      </c>
      <c r="BN31" s="145">
        <v>333</v>
      </c>
      <c r="BO31" s="145">
        <v>35</v>
      </c>
      <c r="BP31" s="145">
        <v>157</v>
      </c>
      <c r="BQ31" s="145">
        <v>166</v>
      </c>
      <c r="BR31" s="145">
        <v>0</v>
      </c>
      <c r="BS31" s="145">
        <v>7</v>
      </c>
      <c r="BT31" s="145">
        <v>0</v>
      </c>
      <c r="BU31" s="145">
        <v>10950</v>
      </c>
      <c r="BV31" s="145">
        <v>0</v>
      </c>
      <c r="BW31" s="145">
        <v>22</v>
      </c>
      <c r="BX31" s="145">
        <v>0</v>
      </c>
      <c r="BY31" s="145">
        <v>17468</v>
      </c>
      <c r="BZ31" s="145">
        <v>0</v>
      </c>
      <c r="CA31" s="145">
        <v>-269</v>
      </c>
      <c r="CB31" s="145">
        <v>17221</v>
      </c>
      <c r="CC31" s="145">
        <v>28171</v>
      </c>
      <c r="CE31" s="145">
        <v>0</v>
      </c>
      <c r="CF31" s="145">
        <v>0</v>
      </c>
      <c r="CG31" s="165">
        <v>1091</v>
      </c>
    </row>
    <row r="32" spans="1:85" ht="8.25" customHeight="1" x14ac:dyDescent="0.2">
      <c r="A32" s="147">
        <v>10916</v>
      </c>
      <c r="B32" s="77" t="str">
        <f>IFERROR(INDEX(SCNtoISIC!$M:$M,MATCH($A32,SCNtoISIC!$J:$J,0)),0)</f>
        <v>ISIC 10T12</v>
      </c>
      <c r="C32" s="93" t="s">
        <v>346</v>
      </c>
      <c r="D32" s="148">
        <v>0</v>
      </c>
      <c r="E32" s="148">
        <v>0</v>
      </c>
      <c r="F32" s="148">
        <v>0</v>
      </c>
      <c r="G32" s="148">
        <v>0</v>
      </c>
      <c r="H32" s="148">
        <v>0</v>
      </c>
      <c r="I32" s="148">
        <v>0</v>
      </c>
      <c r="J32" s="148">
        <v>0</v>
      </c>
      <c r="K32" s="148">
        <v>5512</v>
      </c>
      <c r="L32" s="148">
        <v>0</v>
      </c>
      <c r="M32" s="148">
        <v>1693</v>
      </c>
      <c r="N32" s="148">
        <v>0</v>
      </c>
      <c r="O32" s="148">
        <v>0</v>
      </c>
      <c r="P32" s="148">
        <v>0</v>
      </c>
      <c r="Q32" s="148">
        <v>0</v>
      </c>
      <c r="R32" s="148">
        <v>0</v>
      </c>
      <c r="S32" s="148">
        <v>0</v>
      </c>
      <c r="T32" s="148">
        <v>0</v>
      </c>
      <c r="U32" s="148">
        <v>0</v>
      </c>
      <c r="V32" s="148">
        <v>0</v>
      </c>
      <c r="W32" s="148">
        <v>0</v>
      </c>
      <c r="X32" s="148">
        <v>0</v>
      </c>
      <c r="Y32" s="148">
        <v>14</v>
      </c>
      <c r="Z32" s="148">
        <v>0</v>
      </c>
      <c r="AA32" s="148">
        <v>2</v>
      </c>
      <c r="AB32" s="148">
        <v>0</v>
      </c>
      <c r="AC32" s="146">
        <f t="shared" si="2"/>
        <v>0</v>
      </c>
      <c r="AD32" s="146">
        <f t="shared" si="3"/>
        <v>0</v>
      </c>
      <c r="AE32" s="148">
        <v>0</v>
      </c>
      <c r="AF32" s="148">
        <v>0</v>
      </c>
      <c r="AG32" s="148">
        <v>0</v>
      </c>
      <c r="AH32" s="148">
        <v>0</v>
      </c>
      <c r="AI32" s="148">
        <v>0</v>
      </c>
      <c r="AJ32" s="148">
        <v>0</v>
      </c>
      <c r="AK32" s="148">
        <v>0</v>
      </c>
      <c r="AL32" s="148">
        <v>0</v>
      </c>
      <c r="AM32" s="148">
        <v>0</v>
      </c>
      <c r="AN32" s="148">
        <v>0</v>
      </c>
      <c r="AO32" s="148">
        <v>0</v>
      </c>
      <c r="AP32" s="146">
        <f t="shared" si="4"/>
        <v>0</v>
      </c>
      <c r="AQ32" s="146">
        <f t="shared" si="5"/>
        <v>0</v>
      </c>
      <c r="AR32" s="148">
        <v>0</v>
      </c>
      <c r="AS32" s="148">
        <v>0</v>
      </c>
      <c r="AT32" s="148">
        <v>15</v>
      </c>
      <c r="AU32" s="148">
        <v>0</v>
      </c>
      <c r="AV32" s="148">
        <v>0</v>
      </c>
      <c r="AW32" s="148">
        <v>0</v>
      </c>
      <c r="AX32" s="148">
        <v>0</v>
      </c>
      <c r="AY32" s="148">
        <v>91</v>
      </c>
      <c r="AZ32" s="148">
        <v>1419</v>
      </c>
      <c r="BA32" s="148">
        <v>0</v>
      </c>
      <c r="BB32" s="148">
        <v>0</v>
      </c>
      <c r="BC32" s="148">
        <v>0</v>
      </c>
      <c r="BD32" s="148">
        <v>0</v>
      </c>
      <c r="BE32" s="148">
        <v>0</v>
      </c>
      <c r="BF32" s="148">
        <v>0</v>
      </c>
      <c r="BG32" s="148">
        <v>0</v>
      </c>
      <c r="BH32" s="148">
        <v>1</v>
      </c>
      <c r="BI32" s="148">
        <v>0</v>
      </c>
      <c r="BJ32" s="148">
        <v>0</v>
      </c>
      <c r="BK32" s="148">
        <v>0</v>
      </c>
      <c r="BL32" s="148">
        <v>0</v>
      </c>
      <c r="BM32" s="148">
        <v>165</v>
      </c>
      <c r="BN32" s="148">
        <v>167</v>
      </c>
      <c r="BO32" s="148">
        <v>18</v>
      </c>
      <c r="BP32" s="148">
        <v>93</v>
      </c>
      <c r="BQ32" s="148">
        <v>88</v>
      </c>
      <c r="BR32" s="148">
        <v>0</v>
      </c>
      <c r="BS32" s="148">
        <v>56</v>
      </c>
      <c r="BT32" s="148">
        <v>0</v>
      </c>
      <c r="BU32" s="148">
        <v>9334</v>
      </c>
      <c r="BV32" s="148">
        <v>1104</v>
      </c>
      <c r="BW32" s="148">
        <v>11</v>
      </c>
      <c r="BX32" s="148">
        <v>0</v>
      </c>
      <c r="BY32" s="148">
        <v>61799</v>
      </c>
      <c r="BZ32" s="148">
        <v>0</v>
      </c>
      <c r="CA32" s="148">
        <v>-250</v>
      </c>
      <c r="CB32" s="148">
        <v>62664</v>
      </c>
      <c r="CC32" s="148">
        <v>71998</v>
      </c>
      <c r="CE32" s="148">
        <v>0</v>
      </c>
      <c r="CF32" s="148">
        <v>0</v>
      </c>
      <c r="CG32" s="166">
        <v>1091</v>
      </c>
    </row>
    <row r="33" spans="1:85" ht="8.25" customHeight="1" x14ac:dyDescent="0.2">
      <c r="A33" s="147">
        <v>10921</v>
      </c>
      <c r="B33" s="77" t="str">
        <f>IFERROR(INDEX(SCNtoISIC!$M:$M,MATCH($A33,SCNtoISIC!$J:$J,0)),0)</f>
        <v>ISIC 10T12</v>
      </c>
      <c r="C33" s="93" t="s">
        <v>348</v>
      </c>
      <c r="D33" s="148">
        <v>20</v>
      </c>
      <c r="E33" s="148">
        <v>104</v>
      </c>
      <c r="F33" s="148">
        <v>1</v>
      </c>
      <c r="G33" s="148">
        <v>0</v>
      </c>
      <c r="H33" s="148">
        <v>0</v>
      </c>
      <c r="I33" s="148">
        <v>0</v>
      </c>
      <c r="J33" s="148">
        <v>0</v>
      </c>
      <c r="K33" s="148">
        <v>508</v>
      </c>
      <c r="L33" s="148">
        <v>1700</v>
      </c>
      <c r="M33" s="148">
        <v>6326</v>
      </c>
      <c r="N33" s="148">
        <v>1380</v>
      </c>
      <c r="O33" s="148">
        <v>0</v>
      </c>
      <c r="P33" s="148">
        <v>0</v>
      </c>
      <c r="Q33" s="148">
        <v>0</v>
      </c>
      <c r="R33" s="148">
        <v>0</v>
      </c>
      <c r="S33" s="148">
        <v>0</v>
      </c>
      <c r="T33" s="148">
        <v>0</v>
      </c>
      <c r="U33" s="148">
        <v>0</v>
      </c>
      <c r="V33" s="148">
        <v>0</v>
      </c>
      <c r="W33" s="148">
        <v>904</v>
      </c>
      <c r="X33" s="148">
        <v>0</v>
      </c>
      <c r="Y33" s="148">
        <v>592</v>
      </c>
      <c r="Z33" s="148">
        <v>0</v>
      </c>
      <c r="AA33" s="148">
        <v>1</v>
      </c>
      <c r="AB33" s="148">
        <v>0</v>
      </c>
      <c r="AC33" s="146">
        <f t="shared" si="2"/>
        <v>0</v>
      </c>
      <c r="AD33" s="146">
        <f t="shared" si="3"/>
        <v>0</v>
      </c>
      <c r="AE33" s="148">
        <v>0</v>
      </c>
      <c r="AF33" s="148">
        <v>0</v>
      </c>
      <c r="AG33" s="148">
        <v>0</v>
      </c>
      <c r="AH33" s="148">
        <v>0</v>
      </c>
      <c r="AI33" s="148">
        <v>0</v>
      </c>
      <c r="AJ33" s="148">
        <v>0</v>
      </c>
      <c r="AK33" s="148">
        <v>0</v>
      </c>
      <c r="AL33" s="148">
        <v>0</v>
      </c>
      <c r="AM33" s="148">
        <v>0</v>
      </c>
      <c r="AN33" s="148">
        <v>0</v>
      </c>
      <c r="AO33" s="148">
        <v>0</v>
      </c>
      <c r="AP33" s="146">
        <f t="shared" si="4"/>
        <v>0</v>
      </c>
      <c r="AQ33" s="146">
        <f t="shared" si="5"/>
        <v>0</v>
      </c>
      <c r="AR33" s="148">
        <v>0</v>
      </c>
      <c r="AS33" s="148">
        <v>0</v>
      </c>
      <c r="AT33" s="148">
        <v>15</v>
      </c>
      <c r="AU33" s="148">
        <v>0</v>
      </c>
      <c r="AV33" s="148">
        <v>0</v>
      </c>
      <c r="AW33" s="148">
        <v>0</v>
      </c>
      <c r="AX33" s="148">
        <v>0</v>
      </c>
      <c r="AY33" s="148">
        <v>2</v>
      </c>
      <c r="AZ33" s="148">
        <v>1153</v>
      </c>
      <c r="BA33" s="148">
        <v>0</v>
      </c>
      <c r="BB33" s="148">
        <v>0</v>
      </c>
      <c r="BC33" s="148">
        <v>0</v>
      </c>
      <c r="BD33" s="148">
        <v>0</v>
      </c>
      <c r="BE33" s="148">
        <v>2</v>
      </c>
      <c r="BF33" s="148">
        <v>0</v>
      </c>
      <c r="BG33" s="148">
        <v>0</v>
      </c>
      <c r="BH33" s="148">
        <v>2</v>
      </c>
      <c r="BI33" s="148">
        <v>0</v>
      </c>
      <c r="BJ33" s="148">
        <v>0</v>
      </c>
      <c r="BK33" s="148">
        <v>1</v>
      </c>
      <c r="BL33" s="148">
        <v>0</v>
      </c>
      <c r="BM33" s="148">
        <v>90</v>
      </c>
      <c r="BN33" s="148">
        <v>99</v>
      </c>
      <c r="BO33" s="148">
        <v>10</v>
      </c>
      <c r="BP33" s="148">
        <v>48</v>
      </c>
      <c r="BQ33" s="148">
        <v>32</v>
      </c>
      <c r="BR33" s="148">
        <v>0</v>
      </c>
      <c r="BS33" s="148">
        <v>10</v>
      </c>
      <c r="BT33" s="148">
        <v>0</v>
      </c>
      <c r="BU33" s="148">
        <v>13000</v>
      </c>
      <c r="BV33" s="148">
        <v>25635</v>
      </c>
      <c r="BW33" s="148">
        <v>0</v>
      </c>
      <c r="BX33" s="148">
        <v>0</v>
      </c>
      <c r="BY33" s="148">
        <v>9394</v>
      </c>
      <c r="BZ33" s="148">
        <v>0</v>
      </c>
      <c r="CA33" s="148">
        <v>-2226</v>
      </c>
      <c r="CB33" s="148">
        <v>32803</v>
      </c>
      <c r="CC33" s="148">
        <v>45803</v>
      </c>
      <c r="CE33" s="148">
        <v>0</v>
      </c>
      <c r="CF33" s="148">
        <v>0</v>
      </c>
      <c r="CG33" s="166">
        <v>1092</v>
      </c>
    </row>
    <row r="34" spans="1:85" ht="8.25" customHeight="1" x14ac:dyDescent="0.2">
      <c r="A34" s="147">
        <v>10931</v>
      </c>
      <c r="B34" s="77" t="str">
        <f>IFERROR(INDEX(SCNtoISIC!$M:$M,MATCH($A34,SCNtoISIC!$J:$J,0)),0)</f>
        <v>ISIC 10T12</v>
      </c>
      <c r="C34" s="93" t="s">
        <v>351</v>
      </c>
      <c r="D34" s="148">
        <v>0</v>
      </c>
      <c r="E34" s="148">
        <v>0</v>
      </c>
      <c r="F34" s="148">
        <v>0</v>
      </c>
      <c r="G34" s="148">
        <v>0</v>
      </c>
      <c r="H34" s="148">
        <v>0</v>
      </c>
      <c r="I34" s="148">
        <v>0</v>
      </c>
      <c r="J34" s="148">
        <v>0</v>
      </c>
      <c r="K34" s="148">
        <v>188</v>
      </c>
      <c r="L34" s="148">
        <v>0</v>
      </c>
      <c r="M34" s="148">
        <v>2979</v>
      </c>
      <c r="N34" s="148">
        <v>642</v>
      </c>
      <c r="O34" s="148">
        <v>0</v>
      </c>
      <c r="P34" s="148">
        <v>0</v>
      </c>
      <c r="Q34" s="148">
        <v>0</v>
      </c>
      <c r="R34" s="148">
        <v>0</v>
      </c>
      <c r="S34" s="148">
        <v>0</v>
      </c>
      <c r="T34" s="148">
        <v>0</v>
      </c>
      <c r="U34" s="148">
        <v>0</v>
      </c>
      <c r="V34" s="148">
        <v>0</v>
      </c>
      <c r="W34" s="148">
        <v>0</v>
      </c>
      <c r="X34" s="148">
        <v>0</v>
      </c>
      <c r="Y34" s="148">
        <v>0</v>
      </c>
      <c r="Z34" s="148">
        <v>0</v>
      </c>
      <c r="AA34" s="148">
        <v>0</v>
      </c>
      <c r="AB34" s="148">
        <v>0</v>
      </c>
      <c r="AC34" s="146">
        <f t="shared" si="2"/>
        <v>0</v>
      </c>
      <c r="AD34" s="146">
        <f t="shared" si="3"/>
        <v>0</v>
      </c>
      <c r="AE34" s="148">
        <v>0</v>
      </c>
      <c r="AF34" s="148">
        <v>0</v>
      </c>
      <c r="AG34" s="148">
        <v>0</v>
      </c>
      <c r="AH34" s="148">
        <v>0</v>
      </c>
      <c r="AI34" s="148">
        <v>0</v>
      </c>
      <c r="AJ34" s="148">
        <v>0</v>
      </c>
      <c r="AK34" s="148">
        <v>0</v>
      </c>
      <c r="AL34" s="148">
        <v>0</v>
      </c>
      <c r="AM34" s="148">
        <v>0</v>
      </c>
      <c r="AN34" s="148">
        <v>0</v>
      </c>
      <c r="AO34" s="148">
        <v>0</v>
      </c>
      <c r="AP34" s="146">
        <f t="shared" si="4"/>
        <v>0</v>
      </c>
      <c r="AQ34" s="146">
        <f t="shared" si="5"/>
        <v>0</v>
      </c>
      <c r="AR34" s="148">
        <v>0</v>
      </c>
      <c r="AS34" s="148">
        <v>0</v>
      </c>
      <c r="AT34" s="148">
        <v>0</v>
      </c>
      <c r="AU34" s="148">
        <v>7</v>
      </c>
      <c r="AV34" s="148">
        <v>0</v>
      </c>
      <c r="AW34" s="148">
        <v>0</v>
      </c>
      <c r="AX34" s="148">
        <v>0</v>
      </c>
      <c r="AY34" s="148">
        <v>2</v>
      </c>
      <c r="AZ34" s="148">
        <v>1839</v>
      </c>
      <c r="BA34" s="148">
        <v>0</v>
      </c>
      <c r="BB34" s="148">
        <v>0</v>
      </c>
      <c r="BC34" s="148">
        <v>0</v>
      </c>
      <c r="BD34" s="148">
        <v>0</v>
      </c>
      <c r="BE34" s="148">
        <v>0</v>
      </c>
      <c r="BF34" s="148">
        <v>0</v>
      </c>
      <c r="BG34" s="148">
        <v>0</v>
      </c>
      <c r="BH34" s="148">
        <v>2</v>
      </c>
      <c r="BI34" s="148">
        <v>0</v>
      </c>
      <c r="BJ34" s="148">
        <v>0</v>
      </c>
      <c r="BK34" s="148">
        <v>0</v>
      </c>
      <c r="BL34" s="148">
        <v>0</v>
      </c>
      <c r="BM34" s="148">
        <v>397</v>
      </c>
      <c r="BN34" s="148">
        <v>399</v>
      </c>
      <c r="BO34" s="148">
        <v>45</v>
      </c>
      <c r="BP34" s="148">
        <v>189</v>
      </c>
      <c r="BQ34" s="148">
        <v>116</v>
      </c>
      <c r="BR34" s="148">
        <v>0</v>
      </c>
      <c r="BS34" s="148">
        <v>13</v>
      </c>
      <c r="BT34" s="148">
        <v>0</v>
      </c>
      <c r="BU34" s="148">
        <v>6818</v>
      </c>
      <c r="BV34" s="148">
        <v>9184</v>
      </c>
      <c r="BW34" s="148">
        <v>26</v>
      </c>
      <c r="BX34" s="148">
        <v>0</v>
      </c>
      <c r="BY34" s="148">
        <v>28157</v>
      </c>
      <c r="BZ34" s="148">
        <v>0</v>
      </c>
      <c r="CA34" s="148">
        <v>-961</v>
      </c>
      <c r="CB34" s="148">
        <v>36406</v>
      </c>
      <c r="CC34" s="148">
        <v>43224</v>
      </c>
      <c r="CE34" s="148">
        <v>0</v>
      </c>
      <c r="CF34" s="148">
        <v>0</v>
      </c>
      <c r="CG34" s="166">
        <v>1093</v>
      </c>
    </row>
    <row r="35" spans="1:85" ht="8.25" customHeight="1" x14ac:dyDescent="0.2">
      <c r="A35" s="147">
        <v>10932</v>
      </c>
      <c r="B35" s="77" t="str">
        <f>IFERROR(INDEX(SCNtoISIC!$M:$M,MATCH($A35,SCNtoISIC!$J:$J,0)),0)</f>
        <v>ISIC 10T12</v>
      </c>
      <c r="C35" s="93" t="s">
        <v>354</v>
      </c>
      <c r="D35" s="148">
        <v>394</v>
      </c>
      <c r="E35" s="148">
        <v>1899</v>
      </c>
      <c r="F35" s="148">
        <v>5</v>
      </c>
      <c r="G35" s="148">
        <v>0</v>
      </c>
      <c r="H35" s="148">
        <v>0</v>
      </c>
      <c r="I35" s="148">
        <v>0</v>
      </c>
      <c r="J35" s="148">
        <v>0</v>
      </c>
      <c r="K35" s="148">
        <v>7546</v>
      </c>
      <c r="L35" s="148">
        <v>0</v>
      </c>
      <c r="M35" s="148">
        <v>15728</v>
      </c>
      <c r="N35" s="148">
        <v>0</v>
      </c>
      <c r="O35" s="148">
        <v>0</v>
      </c>
      <c r="P35" s="148">
        <v>0</v>
      </c>
      <c r="Q35" s="148">
        <v>0</v>
      </c>
      <c r="R35" s="148">
        <v>0</v>
      </c>
      <c r="S35" s="148">
        <v>0</v>
      </c>
      <c r="T35" s="148">
        <v>0</v>
      </c>
      <c r="U35" s="148">
        <v>0</v>
      </c>
      <c r="V35" s="148">
        <v>0</v>
      </c>
      <c r="W35" s="148">
        <v>2274</v>
      </c>
      <c r="X35" s="148">
        <v>2</v>
      </c>
      <c r="Y35" s="148">
        <v>104</v>
      </c>
      <c r="Z35" s="148">
        <v>921</v>
      </c>
      <c r="AA35" s="148">
        <v>0</v>
      </c>
      <c r="AB35" s="148">
        <v>0</v>
      </c>
      <c r="AC35" s="146">
        <f t="shared" si="2"/>
        <v>0</v>
      </c>
      <c r="AD35" s="146">
        <f t="shared" si="3"/>
        <v>0</v>
      </c>
      <c r="AE35" s="148">
        <v>0</v>
      </c>
      <c r="AF35" s="148">
        <v>0</v>
      </c>
      <c r="AG35" s="148">
        <v>0</v>
      </c>
      <c r="AH35" s="148">
        <v>0</v>
      </c>
      <c r="AI35" s="148">
        <v>0</v>
      </c>
      <c r="AJ35" s="148">
        <v>0</v>
      </c>
      <c r="AK35" s="148">
        <v>0</v>
      </c>
      <c r="AL35" s="148">
        <v>0</v>
      </c>
      <c r="AM35" s="148">
        <v>0</v>
      </c>
      <c r="AN35" s="148">
        <v>7</v>
      </c>
      <c r="AO35" s="148">
        <v>0</v>
      </c>
      <c r="AP35" s="146">
        <f t="shared" si="4"/>
        <v>0</v>
      </c>
      <c r="AQ35" s="146">
        <f t="shared" si="5"/>
        <v>0</v>
      </c>
      <c r="AR35" s="148">
        <v>0</v>
      </c>
      <c r="AS35" s="148">
        <v>0</v>
      </c>
      <c r="AT35" s="148">
        <v>426</v>
      </c>
      <c r="AU35" s="148">
        <v>0</v>
      </c>
      <c r="AV35" s="148">
        <v>0</v>
      </c>
      <c r="AW35" s="148">
        <v>0</v>
      </c>
      <c r="AX35" s="148">
        <v>0</v>
      </c>
      <c r="AY35" s="148">
        <v>5</v>
      </c>
      <c r="AZ35" s="148">
        <v>2677</v>
      </c>
      <c r="BA35" s="148">
        <v>0</v>
      </c>
      <c r="BB35" s="148">
        <v>0</v>
      </c>
      <c r="BC35" s="148">
        <v>0</v>
      </c>
      <c r="BD35" s="148">
        <v>0</v>
      </c>
      <c r="BE35" s="148">
        <v>0</v>
      </c>
      <c r="BF35" s="148">
        <v>0</v>
      </c>
      <c r="BG35" s="148">
        <v>0</v>
      </c>
      <c r="BH35" s="148">
        <v>1</v>
      </c>
      <c r="BI35" s="148">
        <v>0</v>
      </c>
      <c r="BJ35" s="148">
        <v>0</v>
      </c>
      <c r="BK35" s="148">
        <v>0</v>
      </c>
      <c r="BL35" s="148">
        <v>0</v>
      </c>
      <c r="BM35" s="148">
        <v>110</v>
      </c>
      <c r="BN35" s="148">
        <v>122</v>
      </c>
      <c r="BO35" s="148">
        <v>9</v>
      </c>
      <c r="BP35" s="148">
        <v>62</v>
      </c>
      <c r="BQ35" s="148">
        <v>28</v>
      </c>
      <c r="BR35" s="148">
        <v>0</v>
      </c>
      <c r="BS35" s="148">
        <v>14</v>
      </c>
      <c r="BT35" s="148">
        <v>0</v>
      </c>
      <c r="BU35" s="148">
        <v>32334</v>
      </c>
      <c r="BV35" s="148">
        <v>24161</v>
      </c>
      <c r="BW35" s="148">
        <v>0</v>
      </c>
      <c r="BX35" s="148">
        <v>0</v>
      </c>
      <c r="BY35" s="148">
        <v>20456</v>
      </c>
      <c r="BZ35" s="148">
        <v>0</v>
      </c>
      <c r="CA35" s="148">
        <v>-1240</v>
      </c>
      <c r="CB35" s="148">
        <v>43377</v>
      </c>
      <c r="CC35" s="148">
        <v>75711</v>
      </c>
      <c r="CE35" s="148">
        <v>0</v>
      </c>
      <c r="CF35" s="148">
        <v>0</v>
      </c>
      <c r="CG35" s="166">
        <v>1093</v>
      </c>
    </row>
    <row r="36" spans="1:85" ht="8.25" customHeight="1" x14ac:dyDescent="0.2">
      <c r="A36" s="147">
        <v>10933</v>
      </c>
      <c r="B36" s="77" t="str">
        <f>IFERROR(INDEX(SCNtoISIC!$M:$M,MATCH($A36,SCNtoISIC!$J:$J,0)),0)</f>
        <v>ISIC 10T12</v>
      </c>
      <c r="C36" s="93" t="s">
        <v>356</v>
      </c>
      <c r="D36" s="148">
        <v>0</v>
      </c>
      <c r="E36" s="148">
        <v>0</v>
      </c>
      <c r="F36" s="148">
        <v>0</v>
      </c>
      <c r="G36" s="148">
        <v>0</v>
      </c>
      <c r="H36" s="148">
        <v>0</v>
      </c>
      <c r="I36" s="148">
        <v>0</v>
      </c>
      <c r="J36" s="148">
        <v>0</v>
      </c>
      <c r="K36" s="148">
        <v>0</v>
      </c>
      <c r="L36" s="148">
        <v>0</v>
      </c>
      <c r="M36" s="148">
        <v>238</v>
      </c>
      <c r="N36" s="148">
        <v>0</v>
      </c>
      <c r="O36" s="148">
        <v>0</v>
      </c>
      <c r="P36" s="148">
        <v>0</v>
      </c>
      <c r="Q36" s="148">
        <v>0</v>
      </c>
      <c r="R36" s="148">
        <v>0</v>
      </c>
      <c r="S36" s="148">
        <v>0</v>
      </c>
      <c r="T36" s="148">
        <v>0</v>
      </c>
      <c r="U36" s="148">
        <v>0</v>
      </c>
      <c r="V36" s="148">
        <v>0</v>
      </c>
      <c r="W36" s="148">
        <v>0</v>
      </c>
      <c r="X36" s="148">
        <v>0</v>
      </c>
      <c r="Y36" s="148">
        <v>0</v>
      </c>
      <c r="Z36" s="148">
        <v>0</v>
      </c>
      <c r="AA36" s="148">
        <v>0</v>
      </c>
      <c r="AB36" s="148">
        <v>0</v>
      </c>
      <c r="AC36" s="146">
        <f t="shared" si="2"/>
        <v>0</v>
      </c>
      <c r="AD36" s="146">
        <f t="shared" si="3"/>
        <v>0</v>
      </c>
      <c r="AE36" s="148">
        <v>0</v>
      </c>
      <c r="AF36" s="148">
        <v>0</v>
      </c>
      <c r="AG36" s="148">
        <v>0</v>
      </c>
      <c r="AH36" s="148">
        <v>0</v>
      </c>
      <c r="AI36" s="148">
        <v>0</v>
      </c>
      <c r="AJ36" s="148">
        <v>0</v>
      </c>
      <c r="AK36" s="148">
        <v>0</v>
      </c>
      <c r="AL36" s="148">
        <v>0</v>
      </c>
      <c r="AM36" s="148">
        <v>0</v>
      </c>
      <c r="AN36" s="148">
        <v>0</v>
      </c>
      <c r="AO36" s="148">
        <v>0</v>
      </c>
      <c r="AP36" s="146">
        <f t="shared" si="4"/>
        <v>0</v>
      </c>
      <c r="AQ36" s="146">
        <f t="shared" si="5"/>
        <v>0</v>
      </c>
      <c r="AR36" s="148">
        <v>0</v>
      </c>
      <c r="AS36" s="148">
        <v>0</v>
      </c>
      <c r="AT36" s="148">
        <v>123</v>
      </c>
      <c r="AU36" s="148">
        <v>0</v>
      </c>
      <c r="AV36" s="148">
        <v>0</v>
      </c>
      <c r="AW36" s="148">
        <v>42</v>
      </c>
      <c r="AX36" s="148">
        <v>0</v>
      </c>
      <c r="AY36" s="148">
        <v>84</v>
      </c>
      <c r="AZ36" s="148">
        <v>2098</v>
      </c>
      <c r="BA36" s="148">
        <v>0</v>
      </c>
      <c r="BB36" s="148">
        <v>0</v>
      </c>
      <c r="BC36" s="148">
        <v>0</v>
      </c>
      <c r="BD36" s="148">
        <v>0</v>
      </c>
      <c r="BE36" s="148">
        <v>226</v>
      </c>
      <c r="BF36" s="148">
        <v>18</v>
      </c>
      <c r="BG36" s="148">
        <v>15</v>
      </c>
      <c r="BH36" s="148">
        <v>0</v>
      </c>
      <c r="BI36" s="148">
        <v>0</v>
      </c>
      <c r="BJ36" s="148">
        <v>0</v>
      </c>
      <c r="BK36" s="148">
        <v>1</v>
      </c>
      <c r="BL36" s="148">
        <v>0</v>
      </c>
      <c r="BM36" s="148">
        <v>84</v>
      </c>
      <c r="BN36" s="148">
        <v>93</v>
      </c>
      <c r="BO36" s="148">
        <v>10</v>
      </c>
      <c r="BP36" s="148">
        <v>41</v>
      </c>
      <c r="BQ36" s="148">
        <v>69</v>
      </c>
      <c r="BR36" s="148">
        <v>0</v>
      </c>
      <c r="BS36" s="148">
        <v>18</v>
      </c>
      <c r="BT36" s="148">
        <v>0</v>
      </c>
      <c r="BU36" s="148">
        <v>3160</v>
      </c>
      <c r="BV36" s="148">
        <v>2008</v>
      </c>
      <c r="BW36" s="148">
        <v>6</v>
      </c>
      <c r="BX36" s="148">
        <v>0</v>
      </c>
      <c r="BY36" s="148">
        <v>13394</v>
      </c>
      <c r="BZ36" s="148">
        <v>0</v>
      </c>
      <c r="CA36" s="148">
        <v>263</v>
      </c>
      <c r="CB36" s="148">
        <v>15671</v>
      </c>
      <c r="CC36" s="148">
        <v>18831</v>
      </c>
      <c r="CE36" s="148">
        <v>0</v>
      </c>
      <c r="CF36" s="148">
        <v>0</v>
      </c>
      <c r="CG36" s="166">
        <v>1093</v>
      </c>
    </row>
    <row r="37" spans="1:85" ht="8.25" customHeight="1" x14ac:dyDescent="0.2">
      <c r="A37" s="143">
        <v>10934</v>
      </c>
      <c r="B37" s="77" t="str">
        <f>IFERROR(INDEX(SCNtoISIC!$M:$M,MATCH($A37,SCNtoISIC!$J:$J,0)),0)</f>
        <v>ISIC 10T12</v>
      </c>
      <c r="C37" s="144" t="s">
        <v>358</v>
      </c>
      <c r="D37" s="145">
        <v>15</v>
      </c>
      <c r="E37" s="145">
        <v>41</v>
      </c>
      <c r="F37" s="145">
        <v>0</v>
      </c>
      <c r="G37" s="145">
        <v>0</v>
      </c>
      <c r="H37" s="145">
        <v>0</v>
      </c>
      <c r="I37" s="145">
        <v>0</v>
      </c>
      <c r="J37" s="145">
        <v>0</v>
      </c>
      <c r="K37" s="145">
        <v>0</v>
      </c>
      <c r="L37" s="145">
        <v>0</v>
      </c>
      <c r="M37" s="145">
        <v>356</v>
      </c>
      <c r="N37" s="145">
        <v>0</v>
      </c>
      <c r="O37" s="145">
        <v>0</v>
      </c>
      <c r="P37" s="145">
        <v>0</v>
      </c>
      <c r="Q37" s="145">
        <v>0</v>
      </c>
      <c r="R37" s="145">
        <v>0</v>
      </c>
      <c r="S37" s="145">
        <v>0</v>
      </c>
      <c r="T37" s="145">
        <v>0</v>
      </c>
      <c r="U37" s="145">
        <v>0</v>
      </c>
      <c r="V37" s="145">
        <v>0</v>
      </c>
      <c r="W37" s="145">
        <v>0</v>
      </c>
      <c r="X37" s="145">
        <v>0</v>
      </c>
      <c r="Y37" s="145">
        <v>0</v>
      </c>
      <c r="Z37" s="145">
        <v>0</v>
      </c>
      <c r="AA37" s="145">
        <v>0</v>
      </c>
      <c r="AB37" s="145">
        <v>0</v>
      </c>
      <c r="AC37" s="146">
        <f t="shared" si="2"/>
        <v>0</v>
      </c>
      <c r="AD37" s="146">
        <f t="shared" si="3"/>
        <v>0</v>
      </c>
      <c r="AE37" s="145">
        <v>0</v>
      </c>
      <c r="AF37" s="145">
        <v>0</v>
      </c>
      <c r="AG37" s="145">
        <v>0</v>
      </c>
      <c r="AH37" s="145">
        <v>0</v>
      </c>
      <c r="AI37" s="145">
        <v>0</v>
      </c>
      <c r="AJ37" s="145">
        <v>0</v>
      </c>
      <c r="AK37" s="145">
        <v>0</v>
      </c>
      <c r="AL37" s="145">
        <v>0</v>
      </c>
      <c r="AM37" s="145">
        <v>0</v>
      </c>
      <c r="AN37" s="145">
        <v>0</v>
      </c>
      <c r="AO37" s="145">
        <v>0</v>
      </c>
      <c r="AP37" s="146">
        <f t="shared" si="4"/>
        <v>0</v>
      </c>
      <c r="AQ37" s="146">
        <f t="shared" si="5"/>
        <v>0</v>
      </c>
      <c r="AR37" s="145">
        <v>0</v>
      </c>
      <c r="AS37" s="145">
        <v>0</v>
      </c>
      <c r="AT37" s="145">
        <v>0</v>
      </c>
      <c r="AU37" s="145">
        <v>0</v>
      </c>
      <c r="AV37" s="145">
        <v>0</v>
      </c>
      <c r="AW37" s="145">
        <v>0</v>
      </c>
      <c r="AX37" s="145">
        <v>0</v>
      </c>
      <c r="AY37" s="145">
        <v>6</v>
      </c>
      <c r="AZ37" s="145">
        <v>1192</v>
      </c>
      <c r="BA37" s="145">
        <v>0</v>
      </c>
      <c r="BB37" s="145">
        <v>0</v>
      </c>
      <c r="BC37" s="145">
        <v>0</v>
      </c>
      <c r="BD37" s="145">
        <v>0</v>
      </c>
      <c r="BE37" s="145">
        <v>0</v>
      </c>
      <c r="BF37" s="145">
        <v>0</v>
      </c>
      <c r="BG37" s="145">
        <v>0</v>
      </c>
      <c r="BH37" s="145">
        <v>0</v>
      </c>
      <c r="BI37" s="145">
        <v>0</v>
      </c>
      <c r="BJ37" s="145">
        <v>0</v>
      </c>
      <c r="BK37" s="145">
        <v>0</v>
      </c>
      <c r="BL37" s="145">
        <v>0</v>
      </c>
      <c r="BM37" s="145">
        <v>285</v>
      </c>
      <c r="BN37" s="145">
        <v>286</v>
      </c>
      <c r="BO37" s="145">
        <v>24</v>
      </c>
      <c r="BP37" s="145">
        <v>135</v>
      </c>
      <c r="BQ37" s="145">
        <v>78</v>
      </c>
      <c r="BR37" s="145">
        <v>0</v>
      </c>
      <c r="BS37" s="145">
        <v>21</v>
      </c>
      <c r="BT37" s="145">
        <v>0</v>
      </c>
      <c r="BU37" s="145">
        <v>2439</v>
      </c>
      <c r="BV37" s="145">
        <v>1006</v>
      </c>
      <c r="BW37" s="145">
        <v>19</v>
      </c>
      <c r="BX37" s="145">
        <v>0</v>
      </c>
      <c r="BY37" s="145">
        <v>20447</v>
      </c>
      <c r="BZ37" s="145">
        <v>0</v>
      </c>
      <c r="CA37" s="145">
        <v>-673</v>
      </c>
      <c r="CB37" s="145">
        <v>20799</v>
      </c>
      <c r="CC37" s="145">
        <v>23238</v>
      </c>
      <c r="CE37" s="145">
        <v>0</v>
      </c>
      <c r="CF37" s="145">
        <v>0</v>
      </c>
      <c r="CG37" s="165">
        <v>1093</v>
      </c>
    </row>
    <row r="38" spans="1:85" ht="8.25" customHeight="1" x14ac:dyDescent="0.2">
      <c r="A38" s="143">
        <v>10935</v>
      </c>
      <c r="B38" s="77" t="str">
        <f>IFERROR(INDEX(SCNtoISIC!$M:$M,MATCH($A38,SCNtoISIC!$J:$J,0)),0)</f>
        <v>ISIC 10T12</v>
      </c>
      <c r="C38" s="144" t="s">
        <v>360</v>
      </c>
      <c r="D38" s="145">
        <v>18</v>
      </c>
      <c r="E38" s="145">
        <v>350</v>
      </c>
      <c r="F38" s="145">
        <v>1</v>
      </c>
      <c r="G38" s="145">
        <v>26</v>
      </c>
      <c r="H38" s="145">
        <v>0</v>
      </c>
      <c r="I38" s="145">
        <v>3</v>
      </c>
      <c r="J38" s="145">
        <v>0</v>
      </c>
      <c r="K38" s="145">
        <v>3439</v>
      </c>
      <c r="L38" s="145">
        <v>0</v>
      </c>
      <c r="M38" s="145">
        <v>9086</v>
      </c>
      <c r="N38" s="145">
        <v>1886</v>
      </c>
      <c r="O38" s="145">
        <v>0</v>
      </c>
      <c r="P38" s="145">
        <v>0</v>
      </c>
      <c r="Q38" s="145">
        <v>0</v>
      </c>
      <c r="R38" s="145">
        <v>0</v>
      </c>
      <c r="S38" s="145">
        <v>0</v>
      </c>
      <c r="T38" s="145">
        <v>737</v>
      </c>
      <c r="U38" s="145">
        <v>0</v>
      </c>
      <c r="V38" s="145">
        <v>0</v>
      </c>
      <c r="W38" s="145">
        <v>0</v>
      </c>
      <c r="X38" s="145">
        <v>0</v>
      </c>
      <c r="Y38" s="145">
        <v>416</v>
      </c>
      <c r="Z38" s="145">
        <v>0</v>
      </c>
      <c r="AA38" s="145">
        <v>0</v>
      </c>
      <c r="AB38" s="145">
        <v>0</v>
      </c>
      <c r="AC38" s="146">
        <f t="shared" si="2"/>
        <v>0</v>
      </c>
      <c r="AD38" s="146">
        <f t="shared" si="3"/>
        <v>0</v>
      </c>
      <c r="AE38" s="145">
        <v>0</v>
      </c>
      <c r="AF38" s="145">
        <v>0</v>
      </c>
      <c r="AG38" s="145">
        <v>0</v>
      </c>
      <c r="AH38" s="145">
        <v>0</v>
      </c>
      <c r="AI38" s="145">
        <v>0</v>
      </c>
      <c r="AJ38" s="145">
        <v>0</v>
      </c>
      <c r="AK38" s="145">
        <v>0</v>
      </c>
      <c r="AL38" s="145">
        <v>0</v>
      </c>
      <c r="AM38" s="145">
        <v>0</v>
      </c>
      <c r="AN38" s="145">
        <v>0</v>
      </c>
      <c r="AO38" s="145">
        <v>0</v>
      </c>
      <c r="AP38" s="146">
        <f t="shared" si="4"/>
        <v>0</v>
      </c>
      <c r="AQ38" s="146">
        <f t="shared" si="5"/>
        <v>0</v>
      </c>
      <c r="AR38" s="145">
        <v>0</v>
      </c>
      <c r="AS38" s="145">
        <v>0</v>
      </c>
      <c r="AT38" s="145">
        <v>3647</v>
      </c>
      <c r="AU38" s="145">
        <v>0</v>
      </c>
      <c r="AV38" s="145">
        <v>0</v>
      </c>
      <c r="AW38" s="145">
        <v>0</v>
      </c>
      <c r="AX38" s="145">
        <v>0</v>
      </c>
      <c r="AY38" s="145">
        <v>2</v>
      </c>
      <c r="AZ38" s="145">
        <v>2088</v>
      </c>
      <c r="BA38" s="145">
        <v>0</v>
      </c>
      <c r="BB38" s="145">
        <v>0</v>
      </c>
      <c r="BC38" s="145">
        <v>0</v>
      </c>
      <c r="BD38" s="145">
        <v>0</v>
      </c>
      <c r="BE38" s="145">
        <v>0</v>
      </c>
      <c r="BF38" s="145">
        <v>0</v>
      </c>
      <c r="BG38" s="145">
        <v>0</v>
      </c>
      <c r="BH38" s="145">
        <v>3</v>
      </c>
      <c r="BI38" s="145">
        <v>0</v>
      </c>
      <c r="BJ38" s="145">
        <v>0</v>
      </c>
      <c r="BK38" s="145">
        <v>0</v>
      </c>
      <c r="BL38" s="145">
        <v>0</v>
      </c>
      <c r="BM38" s="145">
        <v>89</v>
      </c>
      <c r="BN38" s="145">
        <v>92</v>
      </c>
      <c r="BO38" s="145">
        <v>4</v>
      </c>
      <c r="BP38" s="145">
        <v>31</v>
      </c>
      <c r="BQ38" s="145">
        <v>20</v>
      </c>
      <c r="BR38" s="145">
        <v>0</v>
      </c>
      <c r="BS38" s="145">
        <v>40</v>
      </c>
      <c r="BT38" s="145">
        <v>0</v>
      </c>
      <c r="BU38" s="145">
        <v>21978</v>
      </c>
      <c r="BV38" s="145">
        <v>576</v>
      </c>
      <c r="BW38" s="145">
        <v>16</v>
      </c>
      <c r="BX38" s="145">
        <v>0</v>
      </c>
      <c r="BY38" s="145">
        <v>29065</v>
      </c>
      <c r="BZ38" s="145">
        <v>0</v>
      </c>
      <c r="CA38" s="145">
        <v>196</v>
      </c>
      <c r="CB38" s="145">
        <v>29853</v>
      </c>
      <c r="CC38" s="145">
        <v>51831</v>
      </c>
      <c r="CE38" s="145">
        <v>0</v>
      </c>
      <c r="CF38" s="145">
        <v>0</v>
      </c>
      <c r="CG38" s="165">
        <v>1093</v>
      </c>
    </row>
    <row r="39" spans="1:85" ht="8.25" customHeight="1" x14ac:dyDescent="0.2">
      <c r="A39" s="143">
        <v>10936</v>
      </c>
      <c r="B39" s="77" t="str">
        <f>IFERROR(INDEX(SCNtoISIC!$M:$M,MATCH($A39,SCNtoISIC!$J:$J,0)),0)</f>
        <v>ISIC 10T12</v>
      </c>
      <c r="C39" s="144" t="s">
        <v>362</v>
      </c>
      <c r="D39" s="145">
        <v>1177</v>
      </c>
      <c r="E39" s="145">
        <v>12832</v>
      </c>
      <c r="F39" s="145">
        <v>1124</v>
      </c>
      <c r="G39" s="145">
        <v>0</v>
      </c>
      <c r="H39" s="145">
        <v>0</v>
      </c>
      <c r="I39" s="145">
        <v>0</v>
      </c>
      <c r="J39" s="145">
        <v>0</v>
      </c>
      <c r="K39" s="145">
        <v>13750</v>
      </c>
      <c r="L39" s="145">
        <v>0</v>
      </c>
      <c r="M39" s="145">
        <v>952</v>
      </c>
      <c r="N39" s="145">
        <v>0</v>
      </c>
      <c r="O39" s="145">
        <v>0</v>
      </c>
      <c r="P39" s="145">
        <v>0</v>
      </c>
      <c r="Q39" s="145">
        <v>0</v>
      </c>
      <c r="R39" s="145">
        <v>0</v>
      </c>
      <c r="S39" s="145">
        <v>0</v>
      </c>
      <c r="T39" s="145">
        <v>0</v>
      </c>
      <c r="U39" s="145">
        <v>0</v>
      </c>
      <c r="V39" s="145">
        <v>0</v>
      </c>
      <c r="W39" s="145">
        <v>0</v>
      </c>
      <c r="X39" s="145">
        <v>0</v>
      </c>
      <c r="Y39" s="145">
        <v>0</v>
      </c>
      <c r="Z39" s="145">
        <v>0</v>
      </c>
      <c r="AA39" s="145">
        <v>0</v>
      </c>
      <c r="AB39" s="145">
        <v>0</v>
      </c>
      <c r="AC39" s="146">
        <f t="shared" si="2"/>
        <v>0</v>
      </c>
      <c r="AD39" s="146">
        <f t="shared" si="3"/>
        <v>0</v>
      </c>
      <c r="AE39" s="145">
        <v>0</v>
      </c>
      <c r="AF39" s="145">
        <v>0</v>
      </c>
      <c r="AG39" s="145">
        <v>0</v>
      </c>
      <c r="AH39" s="145">
        <v>0</v>
      </c>
      <c r="AI39" s="145">
        <v>0</v>
      </c>
      <c r="AJ39" s="145">
        <v>0</v>
      </c>
      <c r="AK39" s="145">
        <v>0</v>
      </c>
      <c r="AL39" s="145">
        <v>0</v>
      </c>
      <c r="AM39" s="145">
        <v>0</v>
      </c>
      <c r="AN39" s="145">
        <v>0</v>
      </c>
      <c r="AO39" s="145">
        <v>0</v>
      </c>
      <c r="AP39" s="146">
        <f t="shared" si="4"/>
        <v>0</v>
      </c>
      <c r="AQ39" s="146">
        <f t="shared" si="5"/>
        <v>0</v>
      </c>
      <c r="AR39" s="145">
        <v>0</v>
      </c>
      <c r="AS39" s="145">
        <v>0</v>
      </c>
      <c r="AT39" s="145">
        <v>0</v>
      </c>
      <c r="AU39" s="145">
        <v>0</v>
      </c>
      <c r="AV39" s="145">
        <v>0</v>
      </c>
      <c r="AW39" s="145">
        <v>0</v>
      </c>
      <c r="AX39" s="145">
        <v>0</v>
      </c>
      <c r="AY39" s="145">
        <v>0</v>
      </c>
      <c r="AZ39" s="145">
        <v>0</v>
      </c>
      <c r="BA39" s="145">
        <v>0</v>
      </c>
      <c r="BB39" s="145">
        <v>0</v>
      </c>
      <c r="BC39" s="145">
        <v>0</v>
      </c>
      <c r="BD39" s="145">
        <v>0</v>
      </c>
      <c r="BE39" s="145">
        <v>0</v>
      </c>
      <c r="BF39" s="145">
        <v>0</v>
      </c>
      <c r="BG39" s="145">
        <v>0</v>
      </c>
      <c r="BH39" s="145">
        <v>0</v>
      </c>
      <c r="BI39" s="145">
        <v>24</v>
      </c>
      <c r="BJ39" s="145">
        <v>0</v>
      </c>
      <c r="BK39" s="145">
        <v>0</v>
      </c>
      <c r="BL39" s="145">
        <v>0</v>
      </c>
      <c r="BM39" s="145">
        <v>61</v>
      </c>
      <c r="BN39" s="145">
        <v>68</v>
      </c>
      <c r="BO39" s="145">
        <v>0</v>
      </c>
      <c r="BP39" s="145">
        <v>6</v>
      </c>
      <c r="BQ39" s="145">
        <v>7</v>
      </c>
      <c r="BR39" s="145">
        <v>32</v>
      </c>
      <c r="BS39" s="145">
        <v>851</v>
      </c>
      <c r="BT39" s="145">
        <v>0</v>
      </c>
      <c r="BU39" s="145">
        <v>30884</v>
      </c>
      <c r="BV39" s="145">
        <v>693</v>
      </c>
      <c r="BW39" s="145">
        <v>0</v>
      </c>
      <c r="BX39" s="145">
        <v>0</v>
      </c>
      <c r="BY39" s="145">
        <v>13169</v>
      </c>
      <c r="BZ39" s="145">
        <v>0</v>
      </c>
      <c r="CA39" s="145">
        <v>691</v>
      </c>
      <c r="CB39" s="145">
        <v>14553</v>
      </c>
      <c r="CC39" s="145">
        <v>45437</v>
      </c>
      <c r="CE39" s="145">
        <v>0</v>
      </c>
      <c r="CF39" s="145">
        <v>0</v>
      </c>
      <c r="CG39" s="165">
        <v>1093</v>
      </c>
    </row>
    <row r="40" spans="1:85" ht="8.25" customHeight="1" x14ac:dyDescent="0.2">
      <c r="A40" s="143">
        <v>10937</v>
      </c>
      <c r="B40" s="77" t="str">
        <f>IFERROR(INDEX(SCNtoISIC!$M:$M,MATCH($A40,SCNtoISIC!$J:$J,0)),0)</f>
        <v>ISIC 10T12</v>
      </c>
      <c r="C40" s="144" t="s">
        <v>226</v>
      </c>
      <c r="D40" s="145">
        <v>15</v>
      </c>
      <c r="E40" s="145">
        <v>130</v>
      </c>
      <c r="F40" s="145">
        <v>5</v>
      </c>
      <c r="G40" s="145">
        <v>0</v>
      </c>
      <c r="H40" s="145">
        <v>0</v>
      </c>
      <c r="I40" s="145">
        <v>0</v>
      </c>
      <c r="J40" s="145">
        <v>0</v>
      </c>
      <c r="K40" s="145">
        <v>3197</v>
      </c>
      <c r="L40" s="145">
        <v>0</v>
      </c>
      <c r="M40" s="145">
        <v>6475</v>
      </c>
      <c r="N40" s="145">
        <v>312</v>
      </c>
      <c r="O40" s="145">
        <v>0</v>
      </c>
      <c r="P40" s="145">
        <v>0</v>
      </c>
      <c r="Q40" s="145">
        <v>0</v>
      </c>
      <c r="R40" s="145">
        <v>0</v>
      </c>
      <c r="S40" s="145">
        <v>0</v>
      </c>
      <c r="T40" s="145">
        <v>0</v>
      </c>
      <c r="U40" s="145">
        <v>0</v>
      </c>
      <c r="V40" s="145">
        <v>0</v>
      </c>
      <c r="W40" s="145">
        <v>0</v>
      </c>
      <c r="X40" s="145">
        <v>0</v>
      </c>
      <c r="Y40" s="145">
        <v>16</v>
      </c>
      <c r="Z40" s="145">
        <v>0</v>
      </c>
      <c r="AA40" s="145">
        <v>6</v>
      </c>
      <c r="AB40" s="145">
        <v>0</v>
      </c>
      <c r="AC40" s="146">
        <f t="shared" si="2"/>
        <v>0</v>
      </c>
      <c r="AD40" s="146">
        <f t="shared" si="3"/>
        <v>0</v>
      </c>
      <c r="AE40" s="145">
        <v>0</v>
      </c>
      <c r="AF40" s="145">
        <v>0</v>
      </c>
      <c r="AG40" s="145">
        <v>0</v>
      </c>
      <c r="AH40" s="145">
        <v>0</v>
      </c>
      <c r="AI40" s="145">
        <v>0</v>
      </c>
      <c r="AJ40" s="145">
        <v>0</v>
      </c>
      <c r="AK40" s="145">
        <v>0</v>
      </c>
      <c r="AL40" s="145">
        <v>2</v>
      </c>
      <c r="AM40" s="145">
        <v>0</v>
      </c>
      <c r="AN40" s="145">
        <v>0</v>
      </c>
      <c r="AO40" s="145">
        <v>0</v>
      </c>
      <c r="AP40" s="146">
        <f t="shared" si="4"/>
        <v>0</v>
      </c>
      <c r="AQ40" s="146">
        <f t="shared" si="5"/>
        <v>0</v>
      </c>
      <c r="AR40" s="145">
        <v>0</v>
      </c>
      <c r="AS40" s="145">
        <v>0</v>
      </c>
      <c r="AT40" s="145">
        <v>338</v>
      </c>
      <c r="AU40" s="145">
        <v>2</v>
      </c>
      <c r="AV40" s="145">
        <v>0</v>
      </c>
      <c r="AW40" s="145">
        <v>0</v>
      </c>
      <c r="AX40" s="145">
        <v>20</v>
      </c>
      <c r="AY40" s="145">
        <v>272</v>
      </c>
      <c r="AZ40" s="145">
        <v>5073</v>
      </c>
      <c r="BA40" s="145">
        <v>0</v>
      </c>
      <c r="BB40" s="145">
        <v>0</v>
      </c>
      <c r="BC40" s="145">
        <v>24</v>
      </c>
      <c r="BD40" s="145">
        <v>0</v>
      </c>
      <c r="BE40" s="145">
        <v>2</v>
      </c>
      <c r="BF40" s="145">
        <v>0</v>
      </c>
      <c r="BG40" s="145">
        <v>23</v>
      </c>
      <c r="BH40" s="145">
        <v>5</v>
      </c>
      <c r="BI40" s="145">
        <v>18</v>
      </c>
      <c r="BJ40" s="145">
        <v>0</v>
      </c>
      <c r="BK40" s="145">
        <v>0</v>
      </c>
      <c r="BL40" s="145">
        <v>0</v>
      </c>
      <c r="BM40" s="145">
        <v>786</v>
      </c>
      <c r="BN40" s="145">
        <v>1101</v>
      </c>
      <c r="BO40" s="145">
        <v>143</v>
      </c>
      <c r="BP40" s="145">
        <v>1432</v>
      </c>
      <c r="BQ40" s="145">
        <v>559</v>
      </c>
      <c r="BR40" s="145">
        <v>8</v>
      </c>
      <c r="BS40" s="145">
        <v>44</v>
      </c>
      <c r="BT40" s="145">
        <v>0</v>
      </c>
      <c r="BU40" s="145">
        <v>20008</v>
      </c>
      <c r="BV40" s="145">
        <v>3812</v>
      </c>
      <c r="BW40" s="145">
        <v>142</v>
      </c>
      <c r="BX40" s="145">
        <v>0</v>
      </c>
      <c r="BY40" s="145">
        <v>146943</v>
      </c>
      <c r="BZ40" s="145">
        <v>0</v>
      </c>
      <c r="CA40" s="145">
        <v>1068</v>
      </c>
      <c r="CB40" s="145">
        <v>151965</v>
      </c>
      <c r="CC40" s="145">
        <v>171973</v>
      </c>
      <c r="CE40" s="145">
        <v>0</v>
      </c>
      <c r="CF40" s="145">
        <v>0</v>
      </c>
      <c r="CG40" s="165">
        <v>1093</v>
      </c>
    </row>
    <row r="41" spans="1:85" ht="8.25" customHeight="1" x14ac:dyDescent="0.2">
      <c r="A41" s="143">
        <v>11001</v>
      </c>
      <c r="B41" s="77" t="str">
        <f>IFERROR(INDEX(SCNtoISIC!$M:$M,MATCH($A41,SCNtoISIC!$J:$J,0)),0)</f>
        <v>ISIC 10T12</v>
      </c>
      <c r="C41" s="144" t="s">
        <v>365</v>
      </c>
      <c r="D41" s="145">
        <v>0</v>
      </c>
      <c r="E41" s="145">
        <v>0</v>
      </c>
      <c r="F41" s="145">
        <v>0</v>
      </c>
      <c r="G41" s="145">
        <v>0</v>
      </c>
      <c r="H41" s="145">
        <v>0</v>
      </c>
      <c r="I41" s="145">
        <v>0</v>
      </c>
      <c r="J41" s="145">
        <v>0</v>
      </c>
      <c r="K41" s="145">
        <v>611</v>
      </c>
      <c r="L41" s="145">
        <v>0</v>
      </c>
      <c r="M41" s="145">
        <v>1</v>
      </c>
      <c r="N41" s="145">
        <v>13431</v>
      </c>
      <c r="O41" s="145">
        <v>0</v>
      </c>
      <c r="P41" s="145">
        <v>0</v>
      </c>
      <c r="Q41" s="145">
        <v>0</v>
      </c>
      <c r="R41" s="145">
        <v>0</v>
      </c>
      <c r="S41" s="145">
        <v>0</v>
      </c>
      <c r="T41" s="145">
        <v>0</v>
      </c>
      <c r="U41" s="145">
        <v>0</v>
      </c>
      <c r="V41" s="145">
        <v>0</v>
      </c>
      <c r="W41" s="145">
        <v>0</v>
      </c>
      <c r="X41" s="145">
        <v>0</v>
      </c>
      <c r="Y41" s="145">
        <v>0</v>
      </c>
      <c r="Z41" s="145">
        <v>0</v>
      </c>
      <c r="AA41" s="145">
        <v>0</v>
      </c>
      <c r="AB41" s="145">
        <v>0</v>
      </c>
      <c r="AC41" s="146">
        <f t="shared" si="2"/>
        <v>0</v>
      </c>
      <c r="AD41" s="146">
        <f t="shared" si="3"/>
        <v>0</v>
      </c>
      <c r="AE41" s="145">
        <v>0</v>
      </c>
      <c r="AF41" s="145">
        <v>0</v>
      </c>
      <c r="AG41" s="145">
        <v>0</v>
      </c>
      <c r="AH41" s="145">
        <v>0</v>
      </c>
      <c r="AI41" s="145">
        <v>0</v>
      </c>
      <c r="AJ41" s="145">
        <v>0</v>
      </c>
      <c r="AK41" s="145">
        <v>0</v>
      </c>
      <c r="AL41" s="145">
        <v>0</v>
      </c>
      <c r="AM41" s="145">
        <v>0</v>
      </c>
      <c r="AN41" s="145">
        <v>0</v>
      </c>
      <c r="AO41" s="145">
        <v>0</v>
      </c>
      <c r="AP41" s="146">
        <f t="shared" si="4"/>
        <v>0</v>
      </c>
      <c r="AQ41" s="146">
        <f t="shared" si="5"/>
        <v>0</v>
      </c>
      <c r="AR41" s="145">
        <v>0</v>
      </c>
      <c r="AS41" s="145">
        <v>0</v>
      </c>
      <c r="AT41" s="145">
        <v>16</v>
      </c>
      <c r="AU41" s="145">
        <v>8</v>
      </c>
      <c r="AV41" s="145">
        <v>0</v>
      </c>
      <c r="AW41" s="145">
        <v>14</v>
      </c>
      <c r="AX41" s="145">
        <v>0</v>
      </c>
      <c r="AY41" s="145">
        <v>858</v>
      </c>
      <c r="AZ41" s="145">
        <v>42902</v>
      </c>
      <c r="BA41" s="145">
        <v>0</v>
      </c>
      <c r="BB41" s="145">
        <v>0</v>
      </c>
      <c r="BC41" s="145">
        <v>0</v>
      </c>
      <c r="BD41" s="145">
        <v>0</v>
      </c>
      <c r="BE41" s="145">
        <v>207</v>
      </c>
      <c r="BF41" s="145">
        <v>0</v>
      </c>
      <c r="BG41" s="145">
        <v>2</v>
      </c>
      <c r="BH41" s="145">
        <v>0</v>
      </c>
      <c r="BI41" s="145">
        <v>0</v>
      </c>
      <c r="BJ41" s="145">
        <v>0</v>
      </c>
      <c r="BK41" s="145">
        <v>1</v>
      </c>
      <c r="BL41" s="145">
        <v>0</v>
      </c>
      <c r="BM41" s="145">
        <v>100</v>
      </c>
      <c r="BN41" s="145">
        <v>112</v>
      </c>
      <c r="BO41" s="145">
        <v>12</v>
      </c>
      <c r="BP41" s="145">
        <v>54</v>
      </c>
      <c r="BQ41" s="145">
        <v>264</v>
      </c>
      <c r="BR41" s="145">
        <v>41</v>
      </c>
      <c r="BS41" s="145">
        <v>20</v>
      </c>
      <c r="BT41" s="145">
        <v>0</v>
      </c>
      <c r="BU41" s="145">
        <v>58654</v>
      </c>
      <c r="BV41" s="145">
        <v>3499</v>
      </c>
      <c r="BW41" s="145">
        <v>0</v>
      </c>
      <c r="BX41" s="145">
        <v>0</v>
      </c>
      <c r="BY41" s="145">
        <v>75581</v>
      </c>
      <c r="BZ41" s="145">
        <v>0</v>
      </c>
      <c r="CA41" s="145">
        <v>-2065</v>
      </c>
      <c r="CB41" s="145">
        <v>77015</v>
      </c>
      <c r="CC41" s="145">
        <v>135669</v>
      </c>
      <c r="CE41" s="145">
        <v>0</v>
      </c>
      <c r="CF41" s="145">
        <v>0</v>
      </c>
      <c r="CG41" s="165">
        <v>1100</v>
      </c>
    </row>
    <row r="42" spans="1:85" ht="8.25" customHeight="1" x14ac:dyDescent="0.2">
      <c r="A42" s="147">
        <v>12001</v>
      </c>
      <c r="B42" s="77" t="str">
        <f>IFERROR(INDEX(SCNtoISIC!$M:$M,MATCH($A42,SCNtoISIC!$J:$J,0)),0)</f>
        <v>ISIC 10T12</v>
      </c>
      <c r="C42" s="93" t="s">
        <v>367</v>
      </c>
      <c r="D42" s="148">
        <v>0</v>
      </c>
      <c r="E42" s="148">
        <v>0</v>
      </c>
      <c r="F42" s="148">
        <v>0</v>
      </c>
      <c r="G42" s="148">
        <v>0</v>
      </c>
      <c r="H42" s="148">
        <v>0</v>
      </c>
      <c r="I42" s="148">
        <v>0</v>
      </c>
      <c r="J42" s="148">
        <v>0</v>
      </c>
      <c r="K42" s="148">
        <v>0</v>
      </c>
      <c r="L42" s="148">
        <v>0</v>
      </c>
      <c r="M42" s="148">
        <v>0</v>
      </c>
      <c r="N42" s="148">
        <v>0</v>
      </c>
      <c r="O42" s="148">
        <v>1143</v>
      </c>
      <c r="P42" s="148">
        <v>0</v>
      </c>
      <c r="Q42" s="148">
        <v>0</v>
      </c>
      <c r="R42" s="148">
        <v>0</v>
      </c>
      <c r="S42" s="148">
        <v>0</v>
      </c>
      <c r="T42" s="148">
        <v>0</v>
      </c>
      <c r="U42" s="148">
        <v>0</v>
      </c>
      <c r="V42" s="148">
        <v>0</v>
      </c>
      <c r="W42" s="148">
        <v>0</v>
      </c>
      <c r="X42" s="148">
        <v>0</v>
      </c>
      <c r="Y42" s="148">
        <v>0</v>
      </c>
      <c r="Z42" s="148">
        <v>0</v>
      </c>
      <c r="AA42" s="148">
        <v>0</v>
      </c>
      <c r="AB42" s="148">
        <v>0</v>
      </c>
      <c r="AC42" s="146">
        <f t="shared" si="2"/>
        <v>0</v>
      </c>
      <c r="AD42" s="146">
        <f t="shared" si="3"/>
        <v>0</v>
      </c>
      <c r="AE42" s="148">
        <v>0</v>
      </c>
      <c r="AF42" s="148">
        <v>0</v>
      </c>
      <c r="AG42" s="148">
        <v>0</v>
      </c>
      <c r="AH42" s="148">
        <v>0</v>
      </c>
      <c r="AI42" s="148">
        <v>0</v>
      </c>
      <c r="AJ42" s="148">
        <v>0</v>
      </c>
      <c r="AK42" s="148">
        <v>0</v>
      </c>
      <c r="AL42" s="148">
        <v>0</v>
      </c>
      <c r="AM42" s="148">
        <v>0</v>
      </c>
      <c r="AN42" s="148">
        <v>0</v>
      </c>
      <c r="AO42" s="148">
        <v>0</v>
      </c>
      <c r="AP42" s="146">
        <f t="shared" si="4"/>
        <v>0</v>
      </c>
      <c r="AQ42" s="146">
        <f t="shared" si="5"/>
        <v>0</v>
      </c>
      <c r="AR42" s="148">
        <v>0</v>
      </c>
      <c r="AS42" s="148">
        <v>0</v>
      </c>
      <c r="AT42" s="148">
        <v>0</v>
      </c>
      <c r="AU42" s="148">
        <v>0</v>
      </c>
      <c r="AV42" s="148">
        <v>0</v>
      </c>
      <c r="AW42" s="148">
        <v>0</v>
      </c>
      <c r="AX42" s="148">
        <v>0</v>
      </c>
      <c r="AY42" s="148">
        <v>0</v>
      </c>
      <c r="AZ42" s="148">
        <v>0</v>
      </c>
      <c r="BA42" s="148">
        <v>0</v>
      </c>
      <c r="BB42" s="148">
        <v>0</v>
      </c>
      <c r="BC42" s="148">
        <v>0</v>
      </c>
      <c r="BD42" s="148">
        <v>0</v>
      </c>
      <c r="BE42" s="148">
        <v>0</v>
      </c>
      <c r="BF42" s="148">
        <v>0</v>
      </c>
      <c r="BG42" s="148">
        <v>0</v>
      </c>
      <c r="BH42" s="148">
        <v>0</v>
      </c>
      <c r="BI42" s="148">
        <v>0</v>
      </c>
      <c r="BJ42" s="148">
        <v>0</v>
      </c>
      <c r="BK42" s="148">
        <v>0</v>
      </c>
      <c r="BL42" s="148">
        <v>0</v>
      </c>
      <c r="BM42" s="148">
        <v>0</v>
      </c>
      <c r="BN42" s="148">
        <v>0</v>
      </c>
      <c r="BO42" s="148">
        <v>0</v>
      </c>
      <c r="BP42" s="148">
        <v>0</v>
      </c>
      <c r="BQ42" s="148">
        <v>0</v>
      </c>
      <c r="BR42" s="148">
        <v>0</v>
      </c>
      <c r="BS42" s="148">
        <v>0</v>
      </c>
      <c r="BT42" s="148">
        <v>0</v>
      </c>
      <c r="BU42" s="148">
        <v>1143</v>
      </c>
      <c r="BV42" s="148">
        <v>7302</v>
      </c>
      <c r="BW42" s="148">
        <v>0</v>
      </c>
      <c r="BX42" s="148">
        <v>0</v>
      </c>
      <c r="BY42" s="148">
        <v>22709</v>
      </c>
      <c r="BZ42" s="148">
        <v>0</v>
      </c>
      <c r="CA42" s="148">
        <v>538</v>
      </c>
      <c r="CB42" s="148">
        <v>30549</v>
      </c>
      <c r="CC42" s="148">
        <v>31692</v>
      </c>
      <c r="CE42" s="148">
        <v>0</v>
      </c>
      <c r="CF42" s="148">
        <v>0</v>
      </c>
      <c r="CG42" s="166">
        <v>1200</v>
      </c>
    </row>
    <row r="43" spans="1:85" ht="8.25" customHeight="1" x14ac:dyDescent="0.2">
      <c r="A43" s="147">
        <v>13001</v>
      </c>
      <c r="B43" s="77" t="str">
        <f>IFERROR(INDEX(SCNtoISIC!$M:$M,MATCH($A43,SCNtoISIC!$J:$J,0)),0)</f>
        <v>ISIC 13T15</v>
      </c>
      <c r="C43" s="93" t="s">
        <v>370</v>
      </c>
      <c r="D43" s="148">
        <v>115</v>
      </c>
      <c r="E43" s="148">
        <v>3</v>
      </c>
      <c r="F43" s="148">
        <v>0</v>
      </c>
      <c r="G43" s="148">
        <v>0</v>
      </c>
      <c r="H43" s="148">
        <v>0</v>
      </c>
      <c r="I43" s="148">
        <v>0</v>
      </c>
      <c r="J43" s="148">
        <v>0</v>
      </c>
      <c r="K43" s="148">
        <v>0</v>
      </c>
      <c r="L43" s="148">
        <v>0</v>
      </c>
      <c r="M43" s="148">
        <v>0</v>
      </c>
      <c r="N43" s="148">
        <v>0</v>
      </c>
      <c r="O43" s="148">
        <v>0</v>
      </c>
      <c r="P43" s="148">
        <v>7328</v>
      </c>
      <c r="Q43" s="148">
        <v>5983</v>
      </c>
      <c r="R43" s="148">
        <v>59</v>
      </c>
      <c r="S43" s="148">
        <v>0</v>
      </c>
      <c r="T43" s="148">
        <v>0</v>
      </c>
      <c r="U43" s="148">
        <v>0</v>
      </c>
      <c r="V43" s="148">
        <v>0</v>
      </c>
      <c r="W43" s="148">
        <v>0</v>
      </c>
      <c r="X43" s="148">
        <v>0</v>
      </c>
      <c r="Y43" s="148">
        <v>0</v>
      </c>
      <c r="Z43" s="148">
        <v>0</v>
      </c>
      <c r="AA43" s="148">
        <v>135</v>
      </c>
      <c r="AB43" s="148">
        <v>60</v>
      </c>
      <c r="AC43" s="146">
        <f t="shared" si="2"/>
        <v>0</v>
      </c>
      <c r="AD43" s="146">
        <f t="shared" si="3"/>
        <v>0</v>
      </c>
      <c r="AE43" s="148">
        <v>0</v>
      </c>
      <c r="AF43" s="148">
        <v>0</v>
      </c>
      <c r="AG43" s="148">
        <v>18</v>
      </c>
      <c r="AH43" s="148">
        <v>0</v>
      </c>
      <c r="AI43" s="148">
        <v>0</v>
      </c>
      <c r="AJ43" s="148">
        <v>0</v>
      </c>
      <c r="AK43" s="148">
        <v>0</v>
      </c>
      <c r="AL43" s="148">
        <v>0</v>
      </c>
      <c r="AM43" s="148">
        <v>1</v>
      </c>
      <c r="AN43" s="148">
        <v>85</v>
      </c>
      <c r="AO43" s="148">
        <v>0</v>
      </c>
      <c r="AP43" s="146">
        <f t="shared" si="4"/>
        <v>0</v>
      </c>
      <c r="AQ43" s="146">
        <f t="shared" si="5"/>
        <v>0</v>
      </c>
      <c r="AR43" s="148">
        <v>0</v>
      </c>
      <c r="AS43" s="148">
        <v>0</v>
      </c>
      <c r="AT43" s="148">
        <v>0</v>
      </c>
      <c r="AU43" s="148">
        <v>0</v>
      </c>
      <c r="AV43" s="148">
        <v>0</v>
      </c>
      <c r="AW43" s="148">
        <v>0</v>
      </c>
      <c r="AX43" s="148">
        <v>0</v>
      </c>
      <c r="AY43" s="148">
        <v>0</v>
      </c>
      <c r="AZ43" s="148">
        <v>0</v>
      </c>
      <c r="BA43" s="148">
        <v>0</v>
      </c>
      <c r="BB43" s="148">
        <v>0</v>
      </c>
      <c r="BC43" s="148">
        <v>0</v>
      </c>
      <c r="BD43" s="148">
        <v>0</v>
      </c>
      <c r="BE43" s="148">
        <v>0</v>
      </c>
      <c r="BF43" s="148">
        <v>0</v>
      </c>
      <c r="BG43" s="148">
        <v>0</v>
      </c>
      <c r="BH43" s="148">
        <v>2</v>
      </c>
      <c r="BI43" s="148">
        <v>0</v>
      </c>
      <c r="BJ43" s="148">
        <v>0</v>
      </c>
      <c r="BK43" s="148">
        <v>0</v>
      </c>
      <c r="BL43" s="148">
        <v>0</v>
      </c>
      <c r="BM43" s="148">
        <v>0</v>
      </c>
      <c r="BN43" s="148">
        <v>0</v>
      </c>
      <c r="BO43" s="148">
        <v>0</v>
      </c>
      <c r="BP43" s="148">
        <v>0</v>
      </c>
      <c r="BQ43" s="148">
        <v>0</v>
      </c>
      <c r="BR43" s="148">
        <v>0</v>
      </c>
      <c r="BS43" s="148">
        <v>0</v>
      </c>
      <c r="BT43" s="148">
        <v>0</v>
      </c>
      <c r="BU43" s="148">
        <v>13789</v>
      </c>
      <c r="BV43" s="148">
        <v>269</v>
      </c>
      <c r="BW43" s="148">
        <v>0</v>
      </c>
      <c r="BX43" s="148">
        <v>0</v>
      </c>
      <c r="BY43" s="148">
        <v>81</v>
      </c>
      <c r="BZ43" s="148">
        <v>0</v>
      </c>
      <c r="CA43" s="148">
        <v>110</v>
      </c>
      <c r="CB43" s="148">
        <v>460</v>
      </c>
      <c r="CC43" s="148">
        <v>14249</v>
      </c>
      <c r="CE43" s="148">
        <v>0</v>
      </c>
      <c r="CF43" s="148">
        <v>0</v>
      </c>
      <c r="CG43" s="166">
        <v>1300</v>
      </c>
    </row>
    <row r="44" spans="1:85" ht="8.25" customHeight="1" x14ac:dyDescent="0.2">
      <c r="A44" s="147">
        <v>13002</v>
      </c>
      <c r="B44" s="77" t="str">
        <f>IFERROR(INDEX(SCNtoISIC!$M:$M,MATCH($A44,SCNtoISIC!$J:$J,0)),0)</f>
        <v>ISIC 13T15</v>
      </c>
      <c r="C44" s="93" t="s">
        <v>372</v>
      </c>
      <c r="D44" s="148">
        <v>331</v>
      </c>
      <c r="E44" s="148">
        <v>0</v>
      </c>
      <c r="F44" s="148">
        <v>0</v>
      </c>
      <c r="G44" s="148">
        <v>126</v>
      </c>
      <c r="H44" s="148">
        <v>0</v>
      </c>
      <c r="I44" s="148">
        <v>0</v>
      </c>
      <c r="J44" s="148">
        <v>1</v>
      </c>
      <c r="K44" s="148">
        <v>0</v>
      </c>
      <c r="L44" s="148">
        <v>42</v>
      </c>
      <c r="M44" s="148">
        <v>134</v>
      </c>
      <c r="N44" s="148">
        <v>0</v>
      </c>
      <c r="O44" s="148">
        <v>0</v>
      </c>
      <c r="P44" s="148">
        <v>3715</v>
      </c>
      <c r="Q44" s="148">
        <v>16864</v>
      </c>
      <c r="R44" s="148">
        <v>3425</v>
      </c>
      <c r="S44" s="148">
        <v>0</v>
      </c>
      <c r="T44" s="148">
        <v>0</v>
      </c>
      <c r="U44" s="148">
        <v>0</v>
      </c>
      <c r="V44" s="148">
        <v>0</v>
      </c>
      <c r="W44" s="148">
        <v>0</v>
      </c>
      <c r="X44" s="148">
        <v>0</v>
      </c>
      <c r="Y44" s="148">
        <v>12</v>
      </c>
      <c r="Z44" s="148">
        <v>0</v>
      </c>
      <c r="AA44" s="148">
        <v>22</v>
      </c>
      <c r="AB44" s="148">
        <v>19</v>
      </c>
      <c r="AC44" s="146">
        <f t="shared" si="2"/>
        <v>3.5999999999999996</v>
      </c>
      <c r="AD44" s="146">
        <f t="shared" si="3"/>
        <v>2.4000000000000004</v>
      </c>
      <c r="AE44" s="148">
        <v>0</v>
      </c>
      <c r="AF44" s="148">
        <v>0</v>
      </c>
      <c r="AG44" s="148">
        <v>45</v>
      </c>
      <c r="AH44" s="148">
        <v>0</v>
      </c>
      <c r="AI44" s="148">
        <v>3</v>
      </c>
      <c r="AJ44" s="148">
        <v>0</v>
      </c>
      <c r="AK44" s="148">
        <v>0</v>
      </c>
      <c r="AL44" s="148">
        <v>1770</v>
      </c>
      <c r="AM44" s="148">
        <v>69</v>
      </c>
      <c r="AN44" s="148">
        <v>1501</v>
      </c>
      <c r="AO44" s="148">
        <v>0</v>
      </c>
      <c r="AP44" s="146">
        <f t="shared" si="4"/>
        <v>0</v>
      </c>
      <c r="AQ44" s="146">
        <f t="shared" si="5"/>
        <v>0</v>
      </c>
      <c r="AR44" s="148">
        <v>0</v>
      </c>
      <c r="AS44" s="148">
        <v>0</v>
      </c>
      <c r="AT44" s="148">
        <v>5</v>
      </c>
      <c r="AU44" s="148">
        <v>0</v>
      </c>
      <c r="AV44" s="148">
        <v>0</v>
      </c>
      <c r="AW44" s="148">
        <v>0</v>
      </c>
      <c r="AX44" s="148">
        <v>0</v>
      </c>
      <c r="AY44" s="148">
        <v>0</v>
      </c>
      <c r="AZ44" s="148">
        <v>0</v>
      </c>
      <c r="BA44" s="148">
        <v>0</v>
      </c>
      <c r="BB44" s="148">
        <v>7</v>
      </c>
      <c r="BC44" s="148">
        <v>0</v>
      </c>
      <c r="BD44" s="148">
        <v>0</v>
      </c>
      <c r="BE44" s="148">
        <v>0</v>
      </c>
      <c r="BF44" s="148">
        <v>0</v>
      </c>
      <c r="BG44" s="148">
        <v>0</v>
      </c>
      <c r="BH44" s="148">
        <v>0</v>
      </c>
      <c r="BI44" s="148">
        <v>0</v>
      </c>
      <c r="BJ44" s="148">
        <v>0</v>
      </c>
      <c r="BK44" s="148">
        <v>0</v>
      </c>
      <c r="BL44" s="148">
        <v>0</v>
      </c>
      <c r="BM44" s="148">
        <v>3</v>
      </c>
      <c r="BN44" s="148">
        <v>0</v>
      </c>
      <c r="BO44" s="148">
        <v>0</v>
      </c>
      <c r="BP44" s="148">
        <v>0</v>
      </c>
      <c r="BQ44" s="148">
        <v>0</v>
      </c>
      <c r="BR44" s="148">
        <v>0</v>
      </c>
      <c r="BS44" s="148">
        <v>52</v>
      </c>
      <c r="BT44" s="148">
        <v>0</v>
      </c>
      <c r="BU44" s="148">
        <v>28152</v>
      </c>
      <c r="BV44" s="148">
        <v>968</v>
      </c>
      <c r="BW44" s="148">
        <v>0</v>
      </c>
      <c r="BX44" s="148">
        <v>0</v>
      </c>
      <c r="BY44" s="148">
        <v>1373</v>
      </c>
      <c r="BZ44" s="148">
        <v>0</v>
      </c>
      <c r="CA44" s="148">
        <v>-1380</v>
      </c>
      <c r="CB44" s="148">
        <v>961</v>
      </c>
      <c r="CC44" s="148">
        <v>29113</v>
      </c>
      <c r="CE44" s="148">
        <v>6</v>
      </c>
      <c r="CF44" s="148">
        <v>0</v>
      </c>
      <c r="CG44" s="166">
        <v>1300</v>
      </c>
    </row>
    <row r="45" spans="1:85" ht="8.25" customHeight="1" x14ac:dyDescent="0.2">
      <c r="A45" s="147">
        <v>13003</v>
      </c>
      <c r="B45" s="77" t="str">
        <f>IFERROR(INDEX(SCNtoISIC!$M:$M,MATCH($A45,SCNtoISIC!$J:$J,0)),0)</f>
        <v>ISIC 13T15</v>
      </c>
      <c r="C45" s="93" t="s">
        <v>615</v>
      </c>
      <c r="D45" s="148">
        <v>467</v>
      </c>
      <c r="E45" s="148">
        <v>12</v>
      </c>
      <c r="F45" s="148">
        <v>2</v>
      </c>
      <c r="G45" s="148">
        <v>146</v>
      </c>
      <c r="H45" s="148">
        <v>162</v>
      </c>
      <c r="I45" s="148">
        <v>0</v>
      </c>
      <c r="J45" s="148">
        <v>9</v>
      </c>
      <c r="K45" s="148">
        <v>0</v>
      </c>
      <c r="L45" s="148">
        <v>105</v>
      </c>
      <c r="M45" s="148">
        <v>208</v>
      </c>
      <c r="N45" s="148">
        <v>0</v>
      </c>
      <c r="O45" s="148">
        <v>0</v>
      </c>
      <c r="P45" s="148">
        <v>4087</v>
      </c>
      <c r="Q45" s="148">
        <v>782</v>
      </c>
      <c r="R45" s="148">
        <v>1417</v>
      </c>
      <c r="S45" s="148">
        <v>0</v>
      </c>
      <c r="T45" s="148">
        <v>177</v>
      </c>
      <c r="U45" s="148">
        <v>0</v>
      </c>
      <c r="V45" s="148">
        <v>0</v>
      </c>
      <c r="W45" s="148">
        <v>0</v>
      </c>
      <c r="X45" s="148">
        <v>0</v>
      </c>
      <c r="Y45" s="148">
        <v>32</v>
      </c>
      <c r="Z45" s="148">
        <v>0</v>
      </c>
      <c r="AA45" s="148">
        <v>1</v>
      </c>
      <c r="AB45" s="148">
        <v>635</v>
      </c>
      <c r="AC45" s="146">
        <f t="shared" si="2"/>
        <v>9.6</v>
      </c>
      <c r="AD45" s="146">
        <f t="shared" si="3"/>
        <v>6.4</v>
      </c>
      <c r="AE45" s="148">
        <v>0</v>
      </c>
      <c r="AF45" s="148">
        <v>0</v>
      </c>
      <c r="AG45" s="148">
        <v>2</v>
      </c>
      <c r="AH45" s="148">
        <v>0</v>
      </c>
      <c r="AI45" s="148">
        <v>6</v>
      </c>
      <c r="AJ45" s="148">
        <v>8</v>
      </c>
      <c r="AK45" s="148">
        <v>4</v>
      </c>
      <c r="AL45" s="148">
        <v>0</v>
      </c>
      <c r="AM45" s="148">
        <v>89</v>
      </c>
      <c r="AN45" s="148">
        <v>551</v>
      </c>
      <c r="AO45" s="148">
        <v>1</v>
      </c>
      <c r="AP45" s="146">
        <f t="shared" si="4"/>
        <v>27.333333333333332</v>
      </c>
      <c r="AQ45" s="146">
        <f t="shared" si="5"/>
        <v>13.666666666666666</v>
      </c>
      <c r="AR45" s="148">
        <v>13</v>
      </c>
      <c r="AS45" s="148">
        <v>1019</v>
      </c>
      <c r="AT45" s="148">
        <v>174</v>
      </c>
      <c r="AU45" s="148">
        <v>59</v>
      </c>
      <c r="AV45" s="148">
        <v>19</v>
      </c>
      <c r="AW45" s="148">
        <v>0</v>
      </c>
      <c r="AX45" s="148">
        <v>0</v>
      </c>
      <c r="AY45" s="148">
        <v>468</v>
      </c>
      <c r="AZ45" s="148">
        <v>284</v>
      </c>
      <c r="BA45" s="148">
        <v>0</v>
      </c>
      <c r="BB45" s="148">
        <v>0</v>
      </c>
      <c r="BC45" s="148">
        <v>0</v>
      </c>
      <c r="BD45" s="148">
        <v>0</v>
      </c>
      <c r="BE45" s="148">
        <v>0</v>
      </c>
      <c r="BF45" s="148">
        <v>0</v>
      </c>
      <c r="BG45" s="148">
        <v>0</v>
      </c>
      <c r="BH45" s="148">
        <v>3</v>
      </c>
      <c r="BI45" s="148">
        <v>0</v>
      </c>
      <c r="BJ45" s="148">
        <v>0</v>
      </c>
      <c r="BK45" s="148">
        <v>14</v>
      </c>
      <c r="BL45" s="148">
        <v>0</v>
      </c>
      <c r="BM45" s="148">
        <v>50</v>
      </c>
      <c r="BN45" s="148">
        <v>70</v>
      </c>
      <c r="BO45" s="148">
        <v>0</v>
      </c>
      <c r="BP45" s="148">
        <v>29</v>
      </c>
      <c r="BQ45" s="148">
        <v>19</v>
      </c>
      <c r="BR45" s="148">
        <v>0</v>
      </c>
      <c r="BS45" s="148">
        <v>1157</v>
      </c>
      <c r="BT45" s="148">
        <v>0</v>
      </c>
      <c r="BU45" s="148">
        <v>12338</v>
      </c>
      <c r="BV45" s="148">
        <v>1333</v>
      </c>
      <c r="BW45" s="148">
        <v>0</v>
      </c>
      <c r="BX45" s="148">
        <v>0</v>
      </c>
      <c r="BY45" s="148">
        <v>34058</v>
      </c>
      <c r="BZ45" s="148">
        <v>0</v>
      </c>
      <c r="CA45" s="148">
        <v>-251</v>
      </c>
      <c r="CB45" s="148">
        <v>35140</v>
      </c>
      <c r="CC45" s="148">
        <v>47478</v>
      </c>
      <c r="CE45" s="148">
        <v>16</v>
      </c>
      <c r="CF45" s="148">
        <v>41</v>
      </c>
      <c r="CG45" s="166">
        <v>1300</v>
      </c>
    </row>
    <row r="46" spans="1:85" ht="8.25" customHeight="1" x14ac:dyDescent="0.2">
      <c r="A46" s="147">
        <v>14001</v>
      </c>
      <c r="B46" s="77" t="str">
        <f>IFERROR(INDEX(SCNtoISIC!$M:$M,MATCH($A46,SCNtoISIC!$J:$J,0)),0)</f>
        <v>ISIC 13T15</v>
      </c>
      <c r="C46" s="93" t="s">
        <v>376</v>
      </c>
      <c r="D46" s="148">
        <v>2</v>
      </c>
      <c r="E46" s="148">
        <v>2</v>
      </c>
      <c r="F46" s="148">
        <v>15</v>
      </c>
      <c r="G46" s="148">
        <v>5</v>
      </c>
      <c r="H46" s="148">
        <v>159</v>
      </c>
      <c r="I46" s="148">
        <v>0</v>
      </c>
      <c r="J46" s="148">
        <v>0</v>
      </c>
      <c r="K46" s="148">
        <v>9</v>
      </c>
      <c r="L46" s="148">
        <v>0</v>
      </c>
      <c r="M46" s="148">
        <v>9</v>
      </c>
      <c r="N46" s="148">
        <v>0</v>
      </c>
      <c r="O46" s="148">
        <v>0</v>
      </c>
      <c r="P46" s="148">
        <v>12</v>
      </c>
      <c r="Q46" s="148">
        <v>3377</v>
      </c>
      <c r="R46" s="148">
        <v>0</v>
      </c>
      <c r="S46" s="148">
        <v>0</v>
      </c>
      <c r="T46" s="148">
        <v>0</v>
      </c>
      <c r="U46" s="148">
        <v>0</v>
      </c>
      <c r="V46" s="148">
        <v>0</v>
      </c>
      <c r="W46" s="148">
        <v>0</v>
      </c>
      <c r="X46" s="148">
        <v>0</v>
      </c>
      <c r="Y46" s="148">
        <v>11</v>
      </c>
      <c r="Z46" s="148">
        <v>0</v>
      </c>
      <c r="AA46" s="148">
        <v>0</v>
      </c>
      <c r="AB46" s="148">
        <v>0</v>
      </c>
      <c r="AC46" s="146">
        <f t="shared" si="2"/>
        <v>13.799999999999999</v>
      </c>
      <c r="AD46" s="146">
        <f t="shared" si="3"/>
        <v>9.2000000000000011</v>
      </c>
      <c r="AE46" s="148">
        <v>7</v>
      </c>
      <c r="AF46" s="148">
        <v>0</v>
      </c>
      <c r="AG46" s="148">
        <v>93</v>
      </c>
      <c r="AH46" s="148">
        <v>0</v>
      </c>
      <c r="AI46" s="148">
        <v>2</v>
      </c>
      <c r="AJ46" s="148">
        <v>2</v>
      </c>
      <c r="AK46" s="148">
        <v>0</v>
      </c>
      <c r="AL46" s="148">
        <v>0</v>
      </c>
      <c r="AM46" s="148">
        <v>0</v>
      </c>
      <c r="AN46" s="148">
        <v>0</v>
      </c>
      <c r="AO46" s="148">
        <v>1</v>
      </c>
      <c r="AP46" s="146">
        <f t="shared" si="4"/>
        <v>139.33333333333331</v>
      </c>
      <c r="AQ46" s="146">
        <f t="shared" si="5"/>
        <v>69.666666666666657</v>
      </c>
      <c r="AR46" s="148">
        <v>168</v>
      </c>
      <c r="AS46" s="148">
        <v>71</v>
      </c>
      <c r="AT46" s="148">
        <v>610</v>
      </c>
      <c r="AU46" s="148">
        <v>312</v>
      </c>
      <c r="AV46" s="148">
        <v>12</v>
      </c>
      <c r="AW46" s="148">
        <v>319</v>
      </c>
      <c r="AX46" s="148">
        <v>158</v>
      </c>
      <c r="AY46" s="148">
        <v>159</v>
      </c>
      <c r="AZ46" s="148">
        <v>318</v>
      </c>
      <c r="BA46" s="148">
        <v>0</v>
      </c>
      <c r="BB46" s="148">
        <v>216</v>
      </c>
      <c r="BC46" s="148">
        <v>80</v>
      </c>
      <c r="BD46" s="148">
        <v>0</v>
      </c>
      <c r="BE46" s="148">
        <v>1229</v>
      </c>
      <c r="BF46" s="148">
        <v>66</v>
      </c>
      <c r="BG46" s="148">
        <v>13</v>
      </c>
      <c r="BH46" s="148">
        <v>296</v>
      </c>
      <c r="BI46" s="148">
        <v>54</v>
      </c>
      <c r="BJ46" s="148">
        <v>0</v>
      </c>
      <c r="BK46" s="148">
        <v>241</v>
      </c>
      <c r="BL46" s="148">
        <v>344</v>
      </c>
      <c r="BM46" s="148">
        <v>769</v>
      </c>
      <c r="BN46" s="148">
        <v>1028</v>
      </c>
      <c r="BO46" s="148">
        <v>0</v>
      </c>
      <c r="BP46" s="148">
        <v>60</v>
      </c>
      <c r="BQ46" s="148">
        <v>55</v>
      </c>
      <c r="BR46" s="148">
        <v>217</v>
      </c>
      <c r="BS46" s="148">
        <v>1591</v>
      </c>
      <c r="BT46" s="148">
        <v>0</v>
      </c>
      <c r="BU46" s="148">
        <v>12324</v>
      </c>
      <c r="BV46" s="148">
        <v>1947</v>
      </c>
      <c r="BW46" s="148">
        <v>20</v>
      </c>
      <c r="BX46" s="148">
        <v>0</v>
      </c>
      <c r="BY46" s="148">
        <v>135305</v>
      </c>
      <c r="BZ46" s="148">
        <v>0</v>
      </c>
      <c r="CA46" s="148">
        <v>-2000</v>
      </c>
      <c r="CB46" s="148">
        <v>135272</v>
      </c>
      <c r="CC46" s="148">
        <v>147596</v>
      </c>
      <c r="CE46" s="148">
        <v>23</v>
      </c>
      <c r="CF46" s="148">
        <v>209</v>
      </c>
      <c r="CG46" s="166">
        <v>1400</v>
      </c>
    </row>
    <row r="47" spans="1:85" ht="8.25" customHeight="1" x14ac:dyDescent="0.2">
      <c r="A47" s="143">
        <v>15001</v>
      </c>
      <c r="B47" s="77" t="str">
        <f>IFERROR(INDEX(SCNtoISIC!$M:$M,MATCH($A47,SCNtoISIC!$J:$J,0)),0)</f>
        <v>ISIC 13T15</v>
      </c>
      <c r="C47" s="144" t="s">
        <v>379</v>
      </c>
      <c r="D47" s="145">
        <v>2</v>
      </c>
      <c r="E47" s="145">
        <v>1</v>
      </c>
      <c r="F47" s="145">
        <v>0</v>
      </c>
      <c r="G47" s="145">
        <v>0</v>
      </c>
      <c r="H47" s="145">
        <v>6</v>
      </c>
      <c r="I47" s="145">
        <v>0</v>
      </c>
      <c r="J47" s="145">
        <v>0</v>
      </c>
      <c r="K47" s="145">
        <v>6</v>
      </c>
      <c r="L47" s="145">
        <v>0</v>
      </c>
      <c r="M47" s="145">
        <v>9</v>
      </c>
      <c r="N47" s="145">
        <v>0</v>
      </c>
      <c r="O47" s="145">
        <v>0</v>
      </c>
      <c r="P47" s="145">
        <v>0</v>
      </c>
      <c r="Q47" s="145">
        <v>0</v>
      </c>
      <c r="R47" s="145">
        <v>7084</v>
      </c>
      <c r="S47" s="145">
        <v>0</v>
      </c>
      <c r="T47" s="145">
        <v>133</v>
      </c>
      <c r="U47" s="145">
        <v>0</v>
      </c>
      <c r="V47" s="145">
        <v>0</v>
      </c>
      <c r="W47" s="145">
        <v>0</v>
      </c>
      <c r="X47" s="145">
        <v>0</v>
      </c>
      <c r="Y47" s="145">
        <v>3</v>
      </c>
      <c r="Z47" s="145">
        <v>0</v>
      </c>
      <c r="AA47" s="145">
        <v>0</v>
      </c>
      <c r="AB47" s="145">
        <v>0</v>
      </c>
      <c r="AC47" s="146">
        <f t="shared" si="2"/>
        <v>0</v>
      </c>
      <c r="AD47" s="146">
        <f t="shared" si="3"/>
        <v>0</v>
      </c>
      <c r="AE47" s="145">
        <v>0</v>
      </c>
      <c r="AF47" s="145">
        <v>0</v>
      </c>
      <c r="AG47" s="145">
        <v>47</v>
      </c>
      <c r="AH47" s="145">
        <v>0</v>
      </c>
      <c r="AI47" s="145">
        <v>0</v>
      </c>
      <c r="AJ47" s="145">
        <v>0</v>
      </c>
      <c r="AK47" s="145">
        <v>2</v>
      </c>
      <c r="AL47" s="145">
        <v>7</v>
      </c>
      <c r="AM47" s="145">
        <v>0</v>
      </c>
      <c r="AN47" s="145">
        <v>65</v>
      </c>
      <c r="AO47" s="145">
        <v>0</v>
      </c>
      <c r="AP47" s="146">
        <f t="shared" si="4"/>
        <v>148.66666666666666</v>
      </c>
      <c r="AQ47" s="146">
        <f t="shared" si="5"/>
        <v>74.333333333333329</v>
      </c>
      <c r="AR47" s="145">
        <v>0</v>
      </c>
      <c r="AS47" s="145">
        <v>49</v>
      </c>
      <c r="AT47" s="145">
        <v>0</v>
      </c>
      <c r="AU47" s="145">
        <v>0</v>
      </c>
      <c r="AV47" s="145">
        <v>0</v>
      </c>
      <c r="AW47" s="145">
        <v>0</v>
      </c>
      <c r="AX47" s="145">
        <v>0</v>
      </c>
      <c r="AY47" s="145">
        <v>1</v>
      </c>
      <c r="AZ47" s="145">
        <v>0</v>
      </c>
      <c r="BA47" s="145">
        <v>0</v>
      </c>
      <c r="BB47" s="145">
        <v>42</v>
      </c>
      <c r="BC47" s="145">
        <v>0</v>
      </c>
      <c r="BD47" s="145">
        <v>4</v>
      </c>
      <c r="BE47" s="145">
        <v>0</v>
      </c>
      <c r="BF47" s="145">
        <v>0</v>
      </c>
      <c r="BG47" s="145">
        <v>0</v>
      </c>
      <c r="BH47" s="145">
        <v>0</v>
      </c>
      <c r="BI47" s="145">
        <v>0</v>
      </c>
      <c r="BJ47" s="145">
        <v>0</v>
      </c>
      <c r="BK47" s="145">
        <v>6</v>
      </c>
      <c r="BL47" s="145">
        <v>88</v>
      </c>
      <c r="BM47" s="145">
        <v>40</v>
      </c>
      <c r="BN47" s="145">
        <v>1</v>
      </c>
      <c r="BO47" s="145">
        <v>0</v>
      </c>
      <c r="BP47" s="145">
        <v>0</v>
      </c>
      <c r="BQ47" s="145">
        <v>0</v>
      </c>
      <c r="BR47" s="145">
        <v>0</v>
      </c>
      <c r="BS47" s="145">
        <v>0</v>
      </c>
      <c r="BT47" s="145">
        <v>0</v>
      </c>
      <c r="BU47" s="145">
        <v>7819</v>
      </c>
      <c r="BV47" s="145">
        <v>11363</v>
      </c>
      <c r="BW47" s="145">
        <v>0</v>
      </c>
      <c r="BX47" s="145">
        <v>0</v>
      </c>
      <c r="BY47" s="145">
        <v>55987</v>
      </c>
      <c r="BZ47" s="145">
        <v>0</v>
      </c>
      <c r="CA47" s="145">
        <v>-1034</v>
      </c>
      <c r="CB47" s="145">
        <v>66316</v>
      </c>
      <c r="CC47" s="145">
        <v>74135</v>
      </c>
      <c r="CE47" s="145">
        <v>0</v>
      </c>
      <c r="CF47" s="145">
        <v>223</v>
      </c>
      <c r="CG47" s="165">
        <v>1500</v>
      </c>
    </row>
    <row r="48" spans="1:85" ht="8.25" customHeight="1" x14ac:dyDescent="0.2">
      <c r="A48" s="143">
        <v>16001</v>
      </c>
      <c r="B48" s="77" t="str">
        <f>IFERROR(INDEX(SCNtoISIC!$M:$M,MATCH($A48,SCNtoISIC!$J:$J,0)),0)</f>
        <v>ISIC 16</v>
      </c>
      <c r="C48" s="144" t="s">
        <v>382</v>
      </c>
      <c r="D48" s="145">
        <v>620</v>
      </c>
      <c r="E48" s="145">
        <v>489</v>
      </c>
      <c r="F48" s="145">
        <v>31</v>
      </c>
      <c r="G48" s="145">
        <v>6</v>
      </c>
      <c r="H48" s="145">
        <v>0</v>
      </c>
      <c r="I48" s="145">
        <v>0</v>
      </c>
      <c r="J48" s="145">
        <v>0</v>
      </c>
      <c r="K48" s="145">
        <v>54</v>
      </c>
      <c r="L48" s="145">
        <v>0</v>
      </c>
      <c r="M48" s="145">
        <v>414</v>
      </c>
      <c r="N48" s="145">
        <v>124</v>
      </c>
      <c r="O48" s="145">
        <v>0</v>
      </c>
      <c r="P48" s="145">
        <v>35</v>
      </c>
      <c r="Q48" s="145">
        <v>0</v>
      </c>
      <c r="R48" s="145">
        <v>0</v>
      </c>
      <c r="S48" s="145">
        <v>4456</v>
      </c>
      <c r="T48" s="145">
        <v>573</v>
      </c>
      <c r="U48" s="145">
        <v>0</v>
      </c>
      <c r="V48" s="145">
        <v>0</v>
      </c>
      <c r="W48" s="145">
        <v>0</v>
      </c>
      <c r="X48" s="145">
        <v>24</v>
      </c>
      <c r="Y48" s="145">
        <v>56</v>
      </c>
      <c r="Z48" s="145">
        <v>0</v>
      </c>
      <c r="AA48" s="145">
        <v>0</v>
      </c>
      <c r="AB48" s="145">
        <v>0</v>
      </c>
      <c r="AC48" s="146">
        <f t="shared" si="2"/>
        <v>30.599999999999998</v>
      </c>
      <c r="AD48" s="146">
        <f t="shared" si="3"/>
        <v>20.400000000000002</v>
      </c>
      <c r="AE48" s="145">
        <v>20</v>
      </c>
      <c r="AF48" s="145">
        <v>0</v>
      </c>
      <c r="AG48" s="145">
        <v>299</v>
      </c>
      <c r="AH48" s="145">
        <v>0</v>
      </c>
      <c r="AI48" s="145">
        <v>4</v>
      </c>
      <c r="AJ48" s="145">
        <v>407</v>
      </c>
      <c r="AK48" s="145">
        <v>167</v>
      </c>
      <c r="AL48" s="145">
        <v>84</v>
      </c>
      <c r="AM48" s="145">
        <v>437</v>
      </c>
      <c r="AN48" s="145">
        <v>7616</v>
      </c>
      <c r="AO48" s="145">
        <v>0</v>
      </c>
      <c r="AP48" s="146">
        <f t="shared" si="4"/>
        <v>414.66666666666663</v>
      </c>
      <c r="AQ48" s="146">
        <f t="shared" si="5"/>
        <v>207.33333333333331</v>
      </c>
      <c r="AR48" s="145">
        <v>7</v>
      </c>
      <c r="AS48" s="145">
        <v>7540</v>
      </c>
      <c r="AT48" s="145">
        <v>2951</v>
      </c>
      <c r="AU48" s="145">
        <v>0</v>
      </c>
      <c r="AV48" s="145">
        <v>0</v>
      </c>
      <c r="AW48" s="145">
        <v>0</v>
      </c>
      <c r="AX48" s="145">
        <v>111</v>
      </c>
      <c r="AY48" s="145">
        <v>0</v>
      </c>
      <c r="AZ48" s="145">
        <v>0</v>
      </c>
      <c r="BA48" s="145">
        <v>0</v>
      </c>
      <c r="BB48" s="145">
        <v>169</v>
      </c>
      <c r="BC48" s="145">
        <v>0</v>
      </c>
      <c r="BD48" s="145">
        <v>0</v>
      </c>
      <c r="BE48" s="145">
        <v>0</v>
      </c>
      <c r="BF48" s="145">
        <v>581</v>
      </c>
      <c r="BG48" s="145">
        <v>0</v>
      </c>
      <c r="BH48" s="145">
        <v>0</v>
      </c>
      <c r="BI48" s="145">
        <v>0</v>
      </c>
      <c r="BJ48" s="145">
        <v>0</v>
      </c>
      <c r="BK48" s="145">
        <v>138</v>
      </c>
      <c r="BL48" s="145">
        <v>0</v>
      </c>
      <c r="BM48" s="145">
        <v>69</v>
      </c>
      <c r="BN48" s="145">
        <v>32</v>
      </c>
      <c r="BO48" s="145">
        <v>0</v>
      </c>
      <c r="BP48" s="145">
        <v>3</v>
      </c>
      <c r="BQ48" s="145">
        <v>0</v>
      </c>
      <c r="BR48" s="145">
        <v>0</v>
      </c>
      <c r="BS48" s="145">
        <v>266</v>
      </c>
      <c r="BT48" s="145">
        <v>0</v>
      </c>
      <c r="BU48" s="145">
        <v>28456</v>
      </c>
      <c r="BV48" s="145">
        <v>7440</v>
      </c>
      <c r="BW48" s="145">
        <v>0</v>
      </c>
      <c r="BX48" s="145">
        <v>0</v>
      </c>
      <c r="BY48" s="145">
        <v>2626</v>
      </c>
      <c r="BZ48" s="145">
        <v>111</v>
      </c>
      <c r="CA48" s="145">
        <v>-1744</v>
      </c>
      <c r="CB48" s="145">
        <v>8433</v>
      </c>
      <c r="CC48" s="145">
        <v>36889</v>
      </c>
      <c r="CE48" s="145">
        <v>51</v>
      </c>
      <c r="CF48" s="145">
        <v>622</v>
      </c>
      <c r="CG48" s="165">
        <v>1600</v>
      </c>
    </row>
    <row r="49" spans="1:85" ht="8.25" customHeight="1" x14ac:dyDescent="0.2">
      <c r="A49" s="143">
        <v>17001</v>
      </c>
      <c r="B49" s="77" t="str">
        <f>IFERROR(INDEX(SCNtoISIC!$M:$M,MATCH($A49,SCNtoISIC!$J:$J,0)),0)</f>
        <v>ISIC 16</v>
      </c>
      <c r="C49" s="144" t="s">
        <v>385</v>
      </c>
      <c r="D49" s="145">
        <v>0</v>
      </c>
      <c r="E49" s="145">
        <v>0</v>
      </c>
      <c r="F49" s="145">
        <v>0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4615</v>
      </c>
      <c r="U49" s="145">
        <v>0</v>
      </c>
      <c r="V49" s="145">
        <v>0</v>
      </c>
      <c r="W49" s="145">
        <v>0</v>
      </c>
      <c r="X49" s="145">
        <v>18</v>
      </c>
      <c r="Y49" s="145">
        <v>0</v>
      </c>
      <c r="Z49" s="145">
        <v>0</v>
      </c>
      <c r="AA49" s="145">
        <v>0</v>
      </c>
      <c r="AB49" s="145">
        <v>0</v>
      </c>
      <c r="AC49" s="146">
        <f t="shared" si="2"/>
        <v>0</v>
      </c>
      <c r="AD49" s="146">
        <f t="shared" si="3"/>
        <v>0</v>
      </c>
      <c r="AE49" s="145">
        <v>0</v>
      </c>
      <c r="AF49" s="145">
        <v>0</v>
      </c>
      <c r="AG49" s="145">
        <v>0</v>
      </c>
      <c r="AH49" s="145">
        <v>0</v>
      </c>
      <c r="AI49" s="145">
        <v>0</v>
      </c>
      <c r="AJ49" s="145">
        <v>0</v>
      </c>
      <c r="AK49" s="145">
        <v>0</v>
      </c>
      <c r="AL49" s="145">
        <v>0</v>
      </c>
      <c r="AM49" s="145">
        <v>0</v>
      </c>
      <c r="AN49" s="145">
        <v>0</v>
      </c>
      <c r="AO49" s="145">
        <v>0</v>
      </c>
      <c r="AP49" s="146">
        <f t="shared" si="4"/>
        <v>0</v>
      </c>
      <c r="AQ49" s="146">
        <f t="shared" si="5"/>
        <v>0</v>
      </c>
      <c r="AR49" s="145">
        <v>0</v>
      </c>
      <c r="AS49" s="145">
        <v>0</v>
      </c>
      <c r="AT49" s="145">
        <v>0</v>
      </c>
      <c r="AU49" s="145">
        <v>0</v>
      </c>
      <c r="AV49" s="145">
        <v>0</v>
      </c>
      <c r="AW49" s="145">
        <v>0</v>
      </c>
      <c r="AX49" s="145">
        <v>0</v>
      </c>
      <c r="AY49" s="145">
        <v>0</v>
      </c>
      <c r="AZ49" s="145">
        <v>0</v>
      </c>
      <c r="BA49" s="145">
        <v>0</v>
      </c>
      <c r="BB49" s="145">
        <v>0</v>
      </c>
      <c r="BC49" s="145">
        <v>0</v>
      </c>
      <c r="BD49" s="145">
        <v>0</v>
      </c>
      <c r="BE49" s="145">
        <v>0</v>
      </c>
      <c r="BF49" s="145">
        <v>0</v>
      </c>
      <c r="BG49" s="145">
        <v>0</v>
      </c>
      <c r="BH49" s="145">
        <v>0</v>
      </c>
      <c r="BI49" s="145">
        <v>0</v>
      </c>
      <c r="BJ49" s="145">
        <v>0</v>
      </c>
      <c r="BK49" s="145">
        <v>0</v>
      </c>
      <c r="BL49" s="145">
        <v>0</v>
      </c>
      <c r="BM49" s="145">
        <v>0</v>
      </c>
      <c r="BN49" s="145">
        <v>0</v>
      </c>
      <c r="BO49" s="145">
        <v>0</v>
      </c>
      <c r="BP49" s="145">
        <v>0</v>
      </c>
      <c r="BQ49" s="145">
        <v>0</v>
      </c>
      <c r="BR49" s="145">
        <v>0</v>
      </c>
      <c r="BS49" s="145">
        <v>0</v>
      </c>
      <c r="BT49" s="145">
        <v>0</v>
      </c>
      <c r="BU49" s="145">
        <v>4633</v>
      </c>
      <c r="BV49" s="145">
        <v>18797</v>
      </c>
      <c r="BW49" s="145">
        <v>0</v>
      </c>
      <c r="BX49" s="145">
        <v>0</v>
      </c>
      <c r="BY49" s="145">
        <v>0</v>
      </c>
      <c r="BZ49" s="145">
        <v>0</v>
      </c>
      <c r="CA49" s="145">
        <v>588</v>
      </c>
      <c r="CB49" s="145">
        <v>19385</v>
      </c>
      <c r="CC49" s="145">
        <v>24018</v>
      </c>
      <c r="CE49" s="145">
        <v>0</v>
      </c>
      <c r="CF49" s="145">
        <v>0</v>
      </c>
      <c r="CG49" s="165">
        <v>1700</v>
      </c>
    </row>
    <row r="50" spans="1:85" ht="8.25" customHeight="1" x14ac:dyDescent="0.2">
      <c r="A50" s="143">
        <v>17002</v>
      </c>
      <c r="B50" s="77" t="str">
        <f>IFERROR(INDEX(SCNtoISIC!$M:$M,MATCH($A50,SCNtoISIC!$J:$J,0)),0)</f>
        <v>ISIC 17T18</v>
      </c>
      <c r="C50" s="144" t="s">
        <v>388</v>
      </c>
      <c r="D50" s="145">
        <v>582</v>
      </c>
      <c r="E50" s="145">
        <v>195</v>
      </c>
      <c r="F50" s="145">
        <v>24</v>
      </c>
      <c r="G50" s="145">
        <v>5</v>
      </c>
      <c r="H50" s="145">
        <v>59</v>
      </c>
      <c r="I50" s="145">
        <v>88</v>
      </c>
      <c r="J50" s="145">
        <v>28</v>
      </c>
      <c r="K50" s="145">
        <v>3812</v>
      </c>
      <c r="L50" s="145">
        <v>22</v>
      </c>
      <c r="M50" s="145">
        <v>4186</v>
      </c>
      <c r="N50" s="145">
        <v>286</v>
      </c>
      <c r="O50" s="145">
        <v>802</v>
      </c>
      <c r="P50" s="145">
        <v>753</v>
      </c>
      <c r="Q50" s="145">
        <v>406</v>
      </c>
      <c r="R50" s="145">
        <v>820</v>
      </c>
      <c r="S50" s="145">
        <v>888</v>
      </c>
      <c r="T50" s="145">
        <v>9964</v>
      </c>
      <c r="U50" s="145">
        <v>1548</v>
      </c>
      <c r="V50" s="145">
        <v>174</v>
      </c>
      <c r="W50" s="145">
        <v>63</v>
      </c>
      <c r="X50" s="145">
        <v>82</v>
      </c>
      <c r="Y50" s="145">
        <v>235</v>
      </c>
      <c r="Z50" s="145">
        <v>1874</v>
      </c>
      <c r="AA50" s="145">
        <v>1131</v>
      </c>
      <c r="AB50" s="145">
        <v>2429</v>
      </c>
      <c r="AC50" s="146">
        <f t="shared" si="2"/>
        <v>1425.6</v>
      </c>
      <c r="AD50" s="146">
        <f t="shared" si="3"/>
        <v>950.40000000000009</v>
      </c>
      <c r="AE50" s="145">
        <v>37</v>
      </c>
      <c r="AF50" s="145">
        <v>14</v>
      </c>
      <c r="AG50" s="145">
        <v>1581</v>
      </c>
      <c r="AH50" s="145">
        <v>1162</v>
      </c>
      <c r="AI50" s="145">
        <v>509</v>
      </c>
      <c r="AJ50" s="145">
        <v>198</v>
      </c>
      <c r="AK50" s="145">
        <v>289</v>
      </c>
      <c r="AL50" s="145">
        <v>737</v>
      </c>
      <c r="AM50" s="145">
        <v>80</v>
      </c>
      <c r="AN50" s="145">
        <v>1132</v>
      </c>
      <c r="AO50" s="145">
        <v>21</v>
      </c>
      <c r="AP50" s="146">
        <f t="shared" si="4"/>
        <v>61.333333333333329</v>
      </c>
      <c r="AQ50" s="146">
        <f t="shared" si="5"/>
        <v>30.666666666666664</v>
      </c>
      <c r="AR50" s="145">
        <v>67</v>
      </c>
      <c r="AS50" s="145">
        <v>462</v>
      </c>
      <c r="AT50" s="145">
        <v>7617</v>
      </c>
      <c r="AU50" s="145">
        <v>206</v>
      </c>
      <c r="AV50" s="145">
        <v>60</v>
      </c>
      <c r="AW50" s="145">
        <v>25</v>
      </c>
      <c r="AX50" s="145">
        <v>341</v>
      </c>
      <c r="AY50" s="145">
        <v>237</v>
      </c>
      <c r="AZ50" s="145">
        <v>1420</v>
      </c>
      <c r="BA50" s="145">
        <v>1415</v>
      </c>
      <c r="BB50" s="145">
        <v>133</v>
      </c>
      <c r="BC50" s="145">
        <v>48</v>
      </c>
      <c r="BD50" s="145">
        <v>445</v>
      </c>
      <c r="BE50" s="145">
        <v>2122</v>
      </c>
      <c r="BF50" s="145">
        <v>317</v>
      </c>
      <c r="BG50" s="145">
        <v>1951</v>
      </c>
      <c r="BH50" s="145">
        <v>548</v>
      </c>
      <c r="BI50" s="145">
        <v>571</v>
      </c>
      <c r="BJ50" s="145">
        <v>532</v>
      </c>
      <c r="BK50" s="145">
        <v>2069</v>
      </c>
      <c r="BL50" s="145">
        <v>52</v>
      </c>
      <c r="BM50" s="145">
        <v>811</v>
      </c>
      <c r="BN50" s="145">
        <v>971</v>
      </c>
      <c r="BO50" s="145">
        <v>518</v>
      </c>
      <c r="BP50" s="145">
        <v>141</v>
      </c>
      <c r="BQ50" s="145">
        <v>968</v>
      </c>
      <c r="BR50" s="145">
        <v>39</v>
      </c>
      <c r="BS50" s="145">
        <v>656</v>
      </c>
      <c r="BT50" s="145">
        <v>0</v>
      </c>
      <c r="BU50" s="145">
        <v>63426</v>
      </c>
      <c r="BV50" s="145">
        <v>7157</v>
      </c>
      <c r="BW50" s="145">
        <v>0</v>
      </c>
      <c r="BX50" s="145">
        <v>0</v>
      </c>
      <c r="BY50" s="145">
        <v>17409</v>
      </c>
      <c r="BZ50" s="145">
        <v>0</v>
      </c>
      <c r="CA50" s="145">
        <v>-2097</v>
      </c>
      <c r="CB50" s="145">
        <v>22469</v>
      </c>
      <c r="CC50" s="145">
        <v>85895</v>
      </c>
      <c r="CE50" s="145">
        <v>2376</v>
      </c>
      <c r="CF50" s="145">
        <v>92</v>
      </c>
      <c r="CG50" s="165">
        <v>1700</v>
      </c>
    </row>
    <row r="51" spans="1:85" ht="8.25" customHeight="1" x14ac:dyDescent="0.2">
      <c r="A51" s="143">
        <v>18001</v>
      </c>
      <c r="B51" s="77" t="str">
        <f>IFERROR(INDEX(SCNtoISIC!$M:$M,MATCH($A51,SCNtoISIC!$J:$J,0)),0)</f>
        <v>ISIC 17T18</v>
      </c>
      <c r="C51" s="144" t="s">
        <v>390</v>
      </c>
      <c r="D51" s="145">
        <v>7</v>
      </c>
      <c r="E51" s="145">
        <v>0</v>
      </c>
      <c r="F51" s="145">
        <v>5</v>
      </c>
      <c r="G51" s="145">
        <v>0</v>
      </c>
      <c r="H51" s="145">
        <v>7</v>
      </c>
      <c r="I51" s="145">
        <v>14</v>
      </c>
      <c r="J51" s="145">
        <v>7</v>
      </c>
      <c r="K51" s="145">
        <v>71</v>
      </c>
      <c r="L51" s="145">
        <v>16</v>
      </c>
      <c r="M51" s="145">
        <v>110</v>
      </c>
      <c r="N51" s="145">
        <v>363</v>
      </c>
      <c r="O51" s="145">
        <v>0</v>
      </c>
      <c r="P51" s="145">
        <v>14</v>
      </c>
      <c r="Q51" s="145">
        <v>15</v>
      </c>
      <c r="R51" s="145">
        <v>6</v>
      </c>
      <c r="S51" s="145">
        <v>22</v>
      </c>
      <c r="T51" s="145">
        <v>200</v>
      </c>
      <c r="U51" s="145">
        <v>1835</v>
      </c>
      <c r="V51" s="145">
        <v>8</v>
      </c>
      <c r="W51" s="145">
        <v>12</v>
      </c>
      <c r="X51" s="145">
        <v>1</v>
      </c>
      <c r="Y51" s="145">
        <v>26</v>
      </c>
      <c r="Z51" s="145">
        <v>0</v>
      </c>
      <c r="AA51" s="145">
        <v>12</v>
      </c>
      <c r="AB51" s="145">
        <v>31</v>
      </c>
      <c r="AC51" s="146">
        <f t="shared" si="2"/>
        <v>9</v>
      </c>
      <c r="AD51" s="146">
        <f t="shared" si="3"/>
        <v>6</v>
      </c>
      <c r="AE51" s="145">
        <v>22</v>
      </c>
      <c r="AF51" s="145">
        <v>2</v>
      </c>
      <c r="AG51" s="145">
        <v>27</v>
      </c>
      <c r="AH51" s="145">
        <v>295</v>
      </c>
      <c r="AI51" s="145">
        <v>15</v>
      </c>
      <c r="AJ51" s="145">
        <v>28</v>
      </c>
      <c r="AK51" s="145">
        <v>26</v>
      </c>
      <c r="AL51" s="145">
        <v>21</v>
      </c>
      <c r="AM51" s="145">
        <v>7</v>
      </c>
      <c r="AN51" s="145">
        <v>41</v>
      </c>
      <c r="AO51" s="145">
        <v>0</v>
      </c>
      <c r="AP51" s="146">
        <f t="shared" si="4"/>
        <v>26.666666666666664</v>
      </c>
      <c r="AQ51" s="146">
        <f t="shared" si="5"/>
        <v>13.333333333333332</v>
      </c>
      <c r="AR51" s="145">
        <v>13</v>
      </c>
      <c r="AS51" s="145">
        <v>49</v>
      </c>
      <c r="AT51" s="145">
        <v>10052</v>
      </c>
      <c r="AU51" s="145">
        <v>74</v>
      </c>
      <c r="AV51" s="145">
        <v>1</v>
      </c>
      <c r="AW51" s="145">
        <v>65</v>
      </c>
      <c r="AX51" s="145">
        <v>73</v>
      </c>
      <c r="AY51" s="145">
        <v>3</v>
      </c>
      <c r="AZ51" s="145">
        <v>77</v>
      </c>
      <c r="BA51" s="145">
        <v>2910</v>
      </c>
      <c r="BB51" s="145">
        <v>441</v>
      </c>
      <c r="BC51" s="145">
        <v>1140</v>
      </c>
      <c r="BD51" s="145">
        <v>1062</v>
      </c>
      <c r="BE51" s="145">
        <v>2597</v>
      </c>
      <c r="BF51" s="145">
        <v>454</v>
      </c>
      <c r="BG51" s="145">
        <v>800</v>
      </c>
      <c r="BH51" s="145">
        <v>413</v>
      </c>
      <c r="BI51" s="145">
        <v>5107</v>
      </c>
      <c r="BJ51" s="145">
        <v>82</v>
      </c>
      <c r="BK51" s="145">
        <v>1791</v>
      </c>
      <c r="BL51" s="145">
        <v>2</v>
      </c>
      <c r="BM51" s="145">
        <v>1633</v>
      </c>
      <c r="BN51" s="145">
        <v>396</v>
      </c>
      <c r="BO51" s="145">
        <v>16</v>
      </c>
      <c r="BP51" s="145">
        <v>179</v>
      </c>
      <c r="BQ51" s="145">
        <v>30</v>
      </c>
      <c r="BR51" s="145">
        <v>498</v>
      </c>
      <c r="BS51" s="145">
        <v>619</v>
      </c>
      <c r="BT51" s="145">
        <v>0</v>
      </c>
      <c r="BU51" s="145">
        <v>33898</v>
      </c>
      <c r="BV51" s="145">
        <v>77</v>
      </c>
      <c r="BW51" s="145">
        <v>0</v>
      </c>
      <c r="BX51" s="145">
        <v>0</v>
      </c>
      <c r="BY51" s="145">
        <v>683</v>
      </c>
      <c r="BZ51" s="145">
        <v>0</v>
      </c>
      <c r="CA51" s="145">
        <v>-318</v>
      </c>
      <c r="CB51" s="145">
        <v>442</v>
      </c>
      <c r="CC51" s="145">
        <v>34340</v>
      </c>
      <c r="CE51" s="145">
        <v>15</v>
      </c>
      <c r="CF51" s="145">
        <v>40</v>
      </c>
      <c r="CG51" s="165">
        <v>1800</v>
      </c>
    </row>
    <row r="52" spans="1:85" ht="8.25" customHeight="1" x14ac:dyDescent="0.2">
      <c r="A52" s="147">
        <v>19911</v>
      </c>
      <c r="B52" s="77" t="str">
        <f>IFERROR(INDEX(SCNtoISIC!$M:$M,MATCH($A52,SCNtoISIC!$J:$J,0)),0)</f>
        <v>ISIC 19</v>
      </c>
      <c r="C52" s="93" t="s">
        <v>393</v>
      </c>
      <c r="D52" s="148">
        <v>0</v>
      </c>
      <c r="E52" s="148">
        <v>0</v>
      </c>
      <c r="F52" s="148">
        <v>0</v>
      </c>
      <c r="G52" s="148">
        <v>0</v>
      </c>
      <c r="H52" s="148">
        <v>2358</v>
      </c>
      <c r="I52" s="148">
        <v>0</v>
      </c>
      <c r="J52" s="148">
        <v>0</v>
      </c>
      <c r="K52" s="148">
        <v>0</v>
      </c>
      <c r="L52" s="148">
        <v>0</v>
      </c>
      <c r="M52" s="148">
        <v>0</v>
      </c>
      <c r="N52" s="148">
        <v>0</v>
      </c>
      <c r="O52" s="148">
        <v>0</v>
      </c>
      <c r="P52" s="148">
        <v>0</v>
      </c>
      <c r="Q52" s="148">
        <v>0</v>
      </c>
      <c r="R52" s="148">
        <v>0</v>
      </c>
      <c r="S52" s="148">
        <v>0</v>
      </c>
      <c r="T52" s="148">
        <v>0</v>
      </c>
      <c r="U52" s="148">
        <v>0</v>
      </c>
      <c r="V52" s="148">
        <v>0</v>
      </c>
      <c r="W52" s="148">
        <v>0</v>
      </c>
      <c r="X52" s="148">
        <v>0</v>
      </c>
      <c r="Y52" s="148">
        <v>0</v>
      </c>
      <c r="Z52" s="148">
        <v>0</v>
      </c>
      <c r="AA52" s="148">
        <v>0</v>
      </c>
      <c r="AB52" s="148">
        <v>0</v>
      </c>
      <c r="AC52" s="146">
        <f t="shared" si="2"/>
        <v>0</v>
      </c>
      <c r="AD52" s="146">
        <f t="shared" si="3"/>
        <v>0</v>
      </c>
      <c r="AE52" s="148">
        <v>0</v>
      </c>
      <c r="AF52" s="148">
        <v>0</v>
      </c>
      <c r="AG52" s="148">
        <v>0</v>
      </c>
      <c r="AH52" s="148">
        <v>0</v>
      </c>
      <c r="AI52" s="148">
        <v>0</v>
      </c>
      <c r="AJ52" s="148">
        <v>0</v>
      </c>
      <c r="AK52" s="148">
        <v>0</v>
      </c>
      <c r="AL52" s="148">
        <v>0</v>
      </c>
      <c r="AM52" s="148">
        <v>0</v>
      </c>
      <c r="AN52" s="148">
        <v>0</v>
      </c>
      <c r="AO52" s="148">
        <v>0</v>
      </c>
      <c r="AP52" s="146">
        <f t="shared" si="4"/>
        <v>0</v>
      </c>
      <c r="AQ52" s="146">
        <f t="shared" si="5"/>
        <v>0</v>
      </c>
      <c r="AR52" s="148">
        <v>0</v>
      </c>
      <c r="AS52" s="148">
        <v>0</v>
      </c>
      <c r="AT52" s="148">
        <v>0</v>
      </c>
      <c r="AU52" s="148">
        <v>0</v>
      </c>
      <c r="AV52" s="148">
        <v>0</v>
      </c>
      <c r="AW52" s="148">
        <v>12599</v>
      </c>
      <c r="AX52" s="148">
        <v>0</v>
      </c>
      <c r="AY52" s="148">
        <v>0</v>
      </c>
      <c r="AZ52" s="148">
        <v>0</v>
      </c>
      <c r="BA52" s="148">
        <v>0</v>
      </c>
      <c r="BB52" s="148">
        <v>0</v>
      </c>
      <c r="BC52" s="148">
        <v>0</v>
      </c>
      <c r="BD52" s="148">
        <v>0</v>
      </c>
      <c r="BE52" s="148">
        <v>0</v>
      </c>
      <c r="BF52" s="148">
        <v>0</v>
      </c>
      <c r="BG52" s="148">
        <v>0</v>
      </c>
      <c r="BH52" s="148">
        <v>0</v>
      </c>
      <c r="BI52" s="148">
        <v>0</v>
      </c>
      <c r="BJ52" s="148">
        <v>0</v>
      </c>
      <c r="BK52" s="148">
        <v>0</v>
      </c>
      <c r="BL52" s="148">
        <v>0</v>
      </c>
      <c r="BM52" s="148">
        <v>444</v>
      </c>
      <c r="BN52" s="148">
        <v>0</v>
      </c>
      <c r="BO52" s="148">
        <v>0</v>
      </c>
      <c r="BP52" s="148">
        <v>0</v>
      </c>
      <c r="BQ52" s="148">
        <v>0</v>
      </c>
      <c r="BR52" s="148">
        <v>0</v>
      </c>
      <c r="BS52" s="148">
        <v>0</v>
      </c>
      <c r="BT52" s="148">
        <v>0</v>
      </c>
      <c r="BU52" s="148">
        <v>15401</v>
      </c>
      <c r="BV52" s="148">
        <v>5231</v>
      </c>
      <c r="BW52" s="148">
        <v>0</v>
      </c>
      <c r="BX52" s="148">
        <v>0</v>
      </c>
      <c r="BY52" s="148">
        <v>557</v>
      </c>
      <c r="BZ52" s="148">
        <v>0</v>
      </c>
      <c r="CA52" s="148">
        <v>-250</v>
      </c>
      <c r="CB52" s="148">
        <v>5538</v>
      </c>
      <c r="CC52" s="148">
        <v>20939</v>
      </c>
      <c r="CE52" s="148">
        <v>0</v>
      </c>
      <c r="CF52" s="148">
        <v>0</v>
      </c>
      <c r="CG52" s="166">
        <v>1991</v>
      </c>
    </row>
    <row r="53" spans="1:85" ht="8.25" customHeight="1" x14ac:dyDescent="0.2">
      <c r="A53" s="147">
        <v>19912</v>
      </c>
      <c r="B53" s="77" t="str">
        <f>IFERROR(INDEX(SCNtoISIC!$M:$M,MATCH($A53,SCNtoISIC!$J:$J,0)),0)</f>
        <v>ISIC 19</v>
      </c>
      <c r="C53" s="93" t="s">
        <v>395</v>
      </c>
      <c r="D53" s="148">
        <v>825</v>
      </c>
      <c r="E53" s="148">
        <v>801</v>
      </c>
      <c r="F53" s="148">
        <v>83</v>
      </c>
      <c r="G53" s="148">
        <v>1</v>
      </c>
      <c r="H53" s="148">
        <v>53</v>
      </c>
      <c r="I53" s="148">
        <v>2</v>
      </c>
      <c r="J53" s="148">
        <v>6</v>
      </c>
      <c r="K53" s="148">
        <v>623</v>
      </c>
      <c r="L53" s="148">
        <v>1</v>
      </c>
      <c r="M53" s="148">
        <v>66</v>
      </c>
      <c r="N53" s="148">
        <v>116</v>
      </c>
      <c r="O53" s="148">
        <v>1</v>
      </c>
      <c r="P53" s="148">
        <v>1</v>
      </c>
      <c r="Q53" s="148">
        <v>0</v>
      </c>
      <c r="R53" s="148">
        <v>0</v>
      </c>
      <c r="S53" s="148">
        <v>188</v>
      </c>
      <c r="T53" s="148">
        <v>30</v>
      </c>
      <c r="U53" s="148">
        <v>0</v>
      </c>
      <c r="V53" s="148">
        <v>1</v>
      </c>
      <c r="W53" s="148">
        <v>0</v>
      </c>
      <c r="X53" s="148">
        <v>1</v>
      </c>
      <c r="Y53" s="148">
        <v>3</v>
      </c>
      <c r="Z53" s="148">
        <v>0</v>
      </c>
      <c r="AA53" s="148">
        <v>0</v>
      </c>
      <c r="AB53" s="148">
        <v>0</v>
      </c>
      <c r="AC53" s="146">
        <f t="shared" si="2"/>
        <v>1.7999999999999998</v>
      </c>
      <c r="AD53" s="146">
        <f t="shared" si="3"/>
        <v>1.2000000000000002</v>
      </c>
      <c r="AE53" s="148">
        <v>2</v>
      </c>
      <c r="AF53" s="148">
        <v>1</v>
      </c>
      <c r="AG53" s="148">
        <v>4</v>
      </c>
      <c r="AH53" s="148">
        <v>0</v>
      </c>
      <c r="AI53" s="148">
        <v>2</v>
      </c>
      <c r="AJ53" s="148">
        <v>6</v>
      </c>
      <c r="AK53" s="148">
        <v>43</v>
      </c>
      <c r="AL53" s="148">
        <v>9</v>
      </c>
      <c r="AM53" s="148">
        <v>2</v>
      </c>
      <c r="AN53" s="148">
        <v>7</v>
      </c>
      <c r="AO53" s="148">
        <v>12</v>
      </c>
      <c r="AP53" s="146">
        <f t="shared" si="4"/>
        <v>31.333333333333332</v>
      </c>
      <c r="AQ53" s="146">
        <f t="shared" si="5"/>
        <v>15.666666666666666</v>
      </c>
      <c r="AR53" s="148">
        <v>163</v>
      </c>
      <c r="AS53" s="148">
        <v>1262</v>
      </c>
      <c r="AT53" s="148">
        <v>3467</v>
      </c>
      <c r="AU53" s="148">
        <v>2027</v>
      </c>
      <c r="AV53" s="148">
        <v>29</v>
      </c>
      <c r="AW53" s="148">
        <v>137</v>
      </c>
      <c r="AX53" s="148">
        <v>134</v>
      </c>
      <c r="AY53" s="148">
        <v>79</v>
      </c>
      <c r="AZ53" s="148">
        <v>221</v>
      </c>
      <c r="BA53" s="148">
        <v>49</v>
      </c>
      <c r="BB53" s="148">
        <v>80</v>
      </c>
      <c r="BC53" s="148">
        <v>160</v>
      </c>
      <c r="BD53" s="148">
        <v>232</v>
      </c>
      <c r="BE53" s="148">
        <v>1038</v>
      </c>
      <c r="BF53" s="148">
        <v>139</v>
      </c>
      <c r="BG53" s="148">
        <v>885</v>
      </c>
      <c r="BH53" s="148">
        <v>535</v>
      </c>
      <c r="BI53" s="148">
        <v>153</v>
      </c>
      <c r="BJ53" s="148">
        <v>678</v>
      </c>
      <c r="BK53" s="148">
        <v>786</v>
      </c>
      <c r="BL53" s="148">
        <v>155</v>
      </c>
      <c r="BM53" s="148">
        <v>1414</v>
      </c>
      <c r="BN53" s="148">
        <v>238</v>
      </c>
      <c r="BO53" s="148">
        <v>46</v>
      </c>
      <c r="BP53" s="148">
        <v>58</v>
      </c>
      <c r="BQ53" s="148">
        <v>369</v>
      </c>
      <c r="BR53" s="148">
        <v>130</v>
      </c>
      <c r="BS53" s="148">
        <v>312</v>
      </c>
      <c r="BT53" s="148">
        <v>0</v>
      </c>
      <c r="BU53" s="148">
        <v>17916</v>
      </c>
      <c r="BV53" s="148">
        <v>0</v>
      </c>
      <c r="BW53" s="148">
        <v>0</v>
      </c>
      <c r="BX53" s="148">
        <v>0</v>
      </c>
      <c r="BY53" s="148">
        <v>126494</v>
      </c>
      <c r="BZ53" s="148">
        <v>0</v>
      </c>
      <c r="CA53" s="148">
        <v>0</v>
      </c>
      <c r="CB53" s="148">
        <v>126494</v>
      </c>
      <c r="CC53" s="148">
        <v>144410</v>
      </c>
      <c r="CE53" s="148">
        <v>3</v>
      </c>
      <c r="CF53" s="148">
        <v>47</v>
      </c>
      <c r="CG53" s="166">
        <v>1991</v>
      </c>
    </row>
    <row r="54" spans="1:85" ht="8.25" customHeight="1" x14ac:dyDescent="0.2">
      <c r="A54" s="147">
        <v>19913</v>
      </c>
      <c r="B54" s="77" t="str">
        <f>IFERROR(INDEX(SCNtoISIC!$M:$M,MATCH($A54,SCNtoISIC!$J:$J,0)),0)</f>
        <v>ISIC 19</v>
      </c>
      <c r="C54" s="93" t="s">
        <v>396</v>
      </c>
      <c r="D54" s="148">
        <v>0</v>
      </c>
      <c r="E54" s="148">
        <v>0</v>
      </c>
      <c r="F54" s="148">
        <v>0</v>
      </c>
      <c r="G54" s="148">
        <v>0</v>
      </c>
      <c r="H54" s="148">
        <v>0</v>
      </c>
      <c r="I54" s="148">
        <v>0</v>
      </c>
      <c r="J54" s="148">
        <v>0</v>
      </c>
      <c r="K54" s="148">
        <v>0</v>
      </c>
      <c r="L54" s="148">
        <v>0</v>
      </c>
      <c r="M54" s="148">
        <v>0</v>
      </c>
      <c r="N54" s="148">
        <v>0</v>
      </c>
      <c r="O54" s="148">
        <v>0</v>
      </c>
      <c r="P54" s="148">
        <v>0</v>
      </c>
      <c r="Q54" s="148">
        <v>0</v>
      </c>
      <c r="R54" s="148">
        <v>0</v>
      </c>
      <c r="S54" s="148">
        <v>0</v>
      </c>
      <c r="T54" s="148">
        <v>0</v>
      </c>
      <c r="U54" s="148">
        <v>0</v>
      </c>
      <c r="V54" s="148">
        <v>2238</v>
      </c>
      <c r="W54" s="148">
        <v>0</v>
      </c>
      <c r="X54" s="148">
        <v>15732</v>
      </c>
      <c r="Y54" s="148">
        <v>0</v>
      </c>
      <c r="Z54" s="148">
        <v>0</v>
      </c>
      <c r="AA54" s="148">
        <v>0</v>
      </c>
      <c r="AB54" s="148">
        <v>0</v>
      </c>
      <c r="AC54" s="146">
        <f t="shared" si="2"/>
        <v>0</v>
      </c>
      <c r="AD54" s="146">
        <f t="shared" si="3"/>
        <v>0</v>
      </c>
      <c r="AE54" s="148">
        <v>0</v>
      </c>
      <c r="AF54" s="148">
        <v>0</v>
      </c>
      <c r="AG54" s="148">
        <v>0</v>
      </c>
      <c r="AH54" s="148">
        <v>0</v>
      </c>
      <c r="AI54" s="148">
        <v>0</v>
      </c>
      <c r="AJ54" s="148">
        <v>0</v>
      </c>
      <c r="AK54" s="148">
        <v>0</v>
      </c>
      <c r="AL54" s="148">
        <v>0</v>
      </c>
      <c r="AM54" s="148">
        <v>0</v>
      </c>
      <c r="AN54" s="148">
        <v>0</v>
      </c>
      <c r="AO54" s="148">
        <v>0</v>
      </c>
      <c r="AP54" s="146">
        <f t="shared" si="4"/>
        <v>0</v>
      </c>
      <c r="AQ54" s="146">
        <f t="shared" si="5"/>
        <v>0</v>
      </c>
      <c r="AR54" s="148">
        <v>0</v>
      </c>
      <c r="AS54" s="148">
        <v>0</v>
      </c>
      <c r="AT54" s="148">
        <v>0</v>
      </c>
      <c r="AU54" s="148">
        <v>0</v>
      </c>
      <c r="AV54" s="148">
        <v>0</v>
      </c>
      <c r="AW54" s="148">
        <v>0</v>
      </c>
      <c r="AX54" s="148">
        <v>0</v>
      </c>
      <c r="AY54" s="148">
        <v>0</v>
      </c>
      <c r="AZ54" s="148">
        <v>0</v>
      </c>
      <c r="BA54" s="148">
        <v>0</v>
      </c>
      <c r="BB54" s="148">
        <v>0</v>
      </c>
      <c r="BC54" s="148">
        <v>0</v>
      </c>
      <c r="BD54" s="148">
        <v>0</v>
      </c>
      <c r="BE54" s="148">
        <v>0</v>
      </c>
      <c r="BF54" s="148">
        <v>0</v>
      </c>
      <c r="BG54" s="148">
        <v>0</v>
      </c>
      <c r="BH54" s="148">
        <v>0</v>
      </c>
      <c r="BI54" s="148">
        <v>0</v>
      </c>
      <c r="BJ54" s="148">
        <v>0</v>
      </c>
      <c r="BK54" s="148">
        <v>0</v>
      </c>
      <c r="BL54" s="148">
        <v>0</v>
      </c>
      <c r="BM54" s="148">
        <v>0</v>
      </c>
      <c r="BN54" s="148">
        <v>0</v>
      </c>
      <c r="BO54" s="148">
        <v>0</v>
      </c>
      <c r="BP54" s="148">
        <v>0</v>
      </c>
      <c r="BQ54" s="148">
        <v>0</v>
      </c>
      <c r="BR54" s="148">
        <v>0</v>
      </c>
      <c r="BS54" s="148">
        <v>0</v>
      </c>
      <c r="BT54" s="148">
        <v>0</v>
      </c>
      <c r="BU54" s="148">
        <v>17970</v>
      </c>
      <c r="BV54" s="148">
        <v>0</v>
      </c>
      <c r="BW54" s="148">
        <v>0</v>
      </c>
      <c r="BX54" s="148">
        <v>0</v>
      </c>
      <c r="BY54" s="148">
        <v>0</v>
      </c>
      <c r="BZ54" s="148">
        <v>0</v>
      </c>
      <c r="CA54" s="148">
        <v>-428</v>
      </c>
      <c r="CB54" s="148">
        <v>-428</v>
      </c>
      <c r="CC54" s="148">
        <v>17542</v>
      </c>
      <c r="CE54" s="148">
        <v>0</v>
      </c>
      <c r="CF54" s="148">
        <v>0</v>
      </c>
      <c r="CG54" s="166">
        <v>1991</v>
      </c>
    </row>
    <row r="55" spans="1:85" ht="8.25" customHeight="1" x14ac:dyDescent="0.2">
      <c r="A55" s="147">
        <v>19914</v>
      </c>
      <c r="B55" s="77" t="str">
        <f>IFERROR(INDEX(SCNtoISIC!$M:$M,MATCH($A55,SCNtoISIC!$J:$J,0)),0)</f>
        <v>ISIC 19</v>
      </c>
      <c r="C55" s="93" t="s">
        <v>397</v>
      </c>
      <c r="D55" s="148">
        <v>68</v>
      </c>
      <c r="E55" s="148">
        <v>40</v>
      </c>
      <c r="F55" s="148">
        <v>9</v>
      </c>
      <c r="G55" s="148">
        <v>453</v>
      </c>
      <c r="H55" s="148">
        <v>79</v>
      </c>
      <c r="I55" s="148">
        <v>0</v>
      </c>
      <c r="J55" s="148">
        <v>352</v>
      </c>
      <c r="K55" s="148">
        <v>550</v>
      </c>
      <c r="L55" s="148">
        <v>0</v>
      </c>
      <c r="M55" s="148">
        <v>359</v>
      </c>
      <c r="N55" s="148">
        <v>118</v>
      </c>
      <c r="O55" s="148">
        <v>0</v>
      </c>
      <c r="P55" s="148">
        <v>38</v>
      </c>
      <c r="Q55" s="148">
        <v>0</v>
      </c>
      <c r="R55" s="148">
        <v>0</v>
      </c>
      <c r="S55" s="148">
        <v>30</v>
      </c>
      <c r="T55" s="148">
        <v>900</v>
      </c>
      <c r="U55" s="148">
        <v>0</v>
      </c>
      <c r="V55" s="148">
        <v>322</v>
      </c>
      <c r="W55" s="148">
        <v>0</v>
      </c>
      <c r="X55" s="148">
        <v>733</v>
      </c>
      <c r="Y55" s="148">
        <v>126</v>
      </c>
      <c r="Z55" s="148">
        <v>14</v>
      </c>
      <c r="AA55" s="148">
        <v>9</v>
      </c>
      <c r="AB55" s="148">
        <v>42</v>
      </c>
      <c r="AC55" s="146">
        <f t="shared" si="2"/>
        <v>345.59999999999997</v>
      </c>
      <c r="AD55" s="146">
        <f t="shared" si="3"/>
        <v>230.4</v>
      </c>
      <c r="AE55" s="148">
        <v>305</v>
      </c>
      <c r="AF55" s="148">
        <v>1665</v>
      </c>
      <c r="AG55" s="148">
        <v>21</v>
      </c>
      <c r="AH55" s="148">
        <v>0</v>
      </c>
      <c r="AI55" s="148">
        <v>5</v>
      </c>
      <c r="AJ55" s="148">
        <v>83</v>
      </c>
      <c r="AK55" s="148">
        <v>3</v>
      </c>
      <c r="AL55" s="148">
        <v>3</v>
      </c>
      <c r="AM55" s="148">
        <v>8</v>
      </c>
      <c r="AN55" s="148">
        <v>3</v>
      </c>
      <c r="AO55" s="148">
        <v>9</v>
      </c>
      <c r="AP55" s="146">
        <f t="shared" si="4"/>
        <v>2472.6666666666665</v>
      </c>
      <c r="AQ55" s="146">
        <f t="shared" si="5"/>
        <v>1236.3333333333333</v>
      </c>
      <c r="AR55" s="148">
        <v>71</v>
      </c>
      <c r="AS55" s="148">
        <v>911</v>
      </c>
      <c r="AT55" s="148">
        <v>698</v>
      </c>
      <c r="AU55" s="148">
        <v>2</v>
      </c>
      <c r="AV55" s="148">
        <v>1122</v>
      </c>
      <c r="AW55" s="148">
        <v>0</v>
      </c>
      <c r="AX55" s="148">
        <v>436</v>
      </c>
      <c r="AY55" s="148">
        <v>0</v>
      </c>
      <c r="AZ55" s="148">
        <v>0</v>
      </c>
      <c r="BA55" s="148">
        <v>0</v>
      </c>
      <c r="BB55" s="148">
        <v>0</v>
      </c>
      <c r="BC55" s="148">
        <v>0</v>
      </c>
      <c r="BD55" s="148">
        <v>0</v>
      </c>
      <c r="BE55" s="148">
        <v>0</v>
      </c>
      <c r="BF55" s="148">
        <v>0</v>
      </c>
      <c r="BG55" s="148">
        <v>0</v>
      </c>
      <c r="BH55" s="148">
        <v>2</v>
      </c>
      <c r="BI55" s="148">
        <v>0</v>
      </c>
      <c r="BJ55" s="148">
        <v>8</v>
      </c>
      <c r="BK55" s="148">
        <v>13</v>
      </c>
      <c r="BL55" s="148">
        <v>0</v>
      </c>
      <c r="BM55" s="148">
        <v>0</v>
      </c>
      <c r="BN55" s="148">
        <v>0</v>
      </c>
      <c r="BO55" s="148">
        <v>0</v>
      </c>
      <c r="BP55" s="148">
        <v>0</v>
      </c>
      <c r="BQ55" s="148">
        <v>0</v>
      </c>
      <c r="BR55" s="148">
        <v>0</v>
      </c>
      <c r="BS55" s="148">
        <v>0</v>
      </c>
      <c r="BT55" s="148">
        <v>0</v>
      </c>
      <c r="BU55" s="148">
        <v>13895</v>
      </c>
      <c r="BV55" s="148">
        <v>7483</v>
      </c>
      <c r="BW55" s="148">
        <v>0</v>
      </c>
      <c r="BX55" s="148">
        <v>0</v>
      </c>
      <c r="BY55" s="148">
        <v>0</v>
      </c>
      <c r="BZ55" s="148">
        <v>0</v>
      </c>
      <c r="CA55" s="148">
        <v>-633</v>
      </c>
      <c r="CB55" s="148">
        <v>6850</v>
      </c>
      <c r="CC55" s="148">
        <v>20745</v>
      </c>
      <c r="CE55" s="148">
        <v>576</v>
      </c>
      <c r="CF55" s="148">
        <v>3709</v>
      </c>
      <c r="CG55" s="166">
        <v>1991</v>
      </c>
    </row>
    <row r="56" spans="1:85" ht="8.25" customHeight="1" x14ac:dyDescent="0.2">
      <c r="A56" s="147">
        <v>19915</v>
      </c>
      <c r="B56" s="77" t="str">
        <f>IFERROR(INDEX(SCNtoISIC!$M:$M,MATCH($A56,SCNtoISIC!$J:$J,0)),0)</f>
        <v>ISIC 19</v>
      </c>
      <c r="C56" s="93" t="s">
        <v>399</v>
      </c>
      <c r="D56" s="148">
        <v>10368</v>
      </c>
      <c r="E56" s="148">
        <v>3144</v>
      </c>
      <c r="F56" s="148">
        <v>537</v>
      </c>
      <c r="G56" s="148">
        <v>718</v>
      </c>
      <c r="H56" s="148">
        <v>204</v>
      </c>
      <c r="I56" s="148">
        <v>3077</v>
      </c>
      <c r="J56" s="148">
        <v>1120</v>
      </c>
      <c r="K56" s="148">
        <v>2073</v>
      </c>
      <c r="L56" s="148">
        <v>1203</v>
      </c>
      <c r="M56" s="148">
        <v>3018</v>
      </c>
      <c r="N56" s="148">
        <v>549</v>
      </c>
      <c r="O56" s="148">
        <v>19</v>
      </c>
      <c r="P56" s="148">
        <v>165</v>
      </c>
      <c r="Q56" s="148">
        <v>124</v>
      </c>
      <c r="R56" s="148">
        <v>131</v>
      </c>
      <c r="S56" s="148">
        <v>74</v>
      </c>
      <c r="T56" s="148">
        <v>449</v>
      </c>
      <c r="U56" s="148">
        <v>27</v>
      </c>
      <c r="V56" s="148">
        <v>26</v>
      </c>
      <c r="W56" s="148">
        <v>1147</v>
      </c>
      <c r="X56" s="148">
        <v>940</v>
      </c>
      <c r="Y56" s="148">
        <v>313</v>
      </c>
      <c r="Z56" s="148">
        <v>260</v>
      </c>
      <c r="AA56" s="148">
        <v>182</v>
      </c>
      <c r="AB56" s="148">
        <v>638</v>
      </c>
      <c r="AC56" s="146">
        <f t="shared" si="2"/>
        <v>703.19999999999993</v>
      </c>
      <c r="AD56" s="146">
        <f t="shared" si="3"/>
        <v>468.8</v>
      </c>
      <c r="AE56" s="148">
        <v>818</v>
      </c>
      <c r="AF56" s="148">
        <v>182</v>
      </c>
      <c r="AG56" s="148">
        <v>331</v>
      </c>
      <c r="AH56" s="148">
        <v>220</v>
      </c>
      <c r="AI56" s="148">
        <v>266</v>
      </c>
      <c r="AJ56" s="148">
        <v>273</v>
      </c>
      <c r="AK56" s="148">
        <v>906</v>
      </c>
      <c r="AL56" s="148">
        <v>180</v>
      </c>
      <c r="AM56" s="148">
        <v>171</v>
      </c>
      <c r="AN56" s="148">
        <v>251</v>
      </c>
      <c r="AO56" s="148">
        <v>198</v>
      </c>
      <c r="AP56" s="146">
        <f t="shared" si="4"/>
        <v>2602.6666666666665</v>
      </c>
      <c r="AQ56" s="146">
        <f t="shared" si="5"/>
        <v>1301.3333333333333</v>
      </c>
      <c r="AR56" s="148">
        <v>688</v>
      </c>
      <c r="AS56" s="148">
        <v>6299</v>
      </c>
      <c r="AT56" s="148">
        <v>10511</v>
      </c>
      <c r="AU56" s="148">
        <v>71588</v>
      </c>
      <c r="AV56" s="148">
        <v>423</v>
      </c>
      <c r="AW56" s="148">
        <v>82</v>
      </c>
      <c r="AX56" s="148">
        <v>1408</v>
      </c>
      <c r="AY56" s="148">
        <v>18</v>
      </c>
      <c r="AZ56" s="148">
        <v>5</v>
      </c>
      <c r="BA56" s="148">
        <v>2</v>
      </c>
      <c r="BB56" s="148">
        <v>8</v>
      </c>
      <c r="BC56" s="148">
        <v>2</v>
      </c>
      <c r="BD56" s="148">
        <v>0</v>
      </c>
      <c r="BE56" s="148">
        <v>0</v>
      </c>
      <c r="BF56" s="148">
        <v>3</v>
      </c>
      <c r="BG56" s="148">
        <v>0</v>
      </c>
      <c r="BH56" s="148">
        <v>13</v>
      </c>
      <c r="BI56" s="148">
        <v>1</v>
      </c>
      <c r="BJ56" s="148">
        <v>91</v>
      </c>
      <c r="BK56" s="148">
        <v>1</v>
      </c>
      <c r="BL56" s="148">
        <v>364</v>
      </c>
      <c r="BM56" s="148">
        <v>333</v>
      </c>
      <c r="BN56" s="148">
        <v>129</v>
      </c>
      <c r="BO56" s="148">
        <v>98</v>
      </c>
      <c r="BP56" s="148">
        <v>24</v>
      </c>
      <c r="BQ56" s="148">
        <v>49</v>
      </c>
      <c r="BR56" s="148">
        <v>60</v>
      </c>
      <c r="BS56" s="148">
        <v>281</v>
      </c>
      <c r="BT56" s="148">
        <v>0</v>
      </c>
      <c r="BU56" s="148">
        <v>131859</v>
      </c>
      <c r="BV56" s="148">
        <v>0</v>
      </c>
      <c r="BW56" s="148">
        <v>0</v>
      </c>
      <c r="BX56" s="148">
        <v>0</v>
      </c>
      <c r="BY56" s="148">
        <v>6355</v>
      </c>
      <c r="BZ56" s="148">
        <v>0</v>
      </c>
      <c r="CA56" s="148">
        <v>0</v>
      </c>
      <c r="CB56" s="148">
        <v>6355</v>
      </c>
      <c r="CC56" s="148">
        <v>138214</v>
      </c>
      <c r="CE56" s="148">
        <v>1172</v>
      </c>
      <c r="CF56" s="148">
        <v>3904</v>
      </c>
      <c r="CG56" s="166">
        <v>1991</v>
      </c>
    </row>
    <row r="57" spans="1:85" ht="8.25" customHeight="1" x14ac:dyDescent="0.2">
      <c r="A57" s="143">
        <v>19916</v>
      </c>
      <c r="B57" s="77" t="str">
        <f>IFERROR(INDEX(SCNtoISIC!$M:$M,MATCH($A57,SCNtoISIC!$J:$J,0)),0)</f>
        <v>ISIC 19</v>
      </c>
      <c r="C57" s="144" t="s">
        <v>400</v>
      </c>
      <c r="D57" s="145">
        <v>1299</v>
      </c>
      <c r="E57" s="145">
        <v>952</v>
      </c>
      <c r="F57" s="145">
        <v>56</v>
      </c>
      <c r="G57" s="145">
        <v>23</v>
      </c>
      <c r="H57" s="145">
        <v>1051</v>
      </c>
      <c r="I57" s="145">
        <v>442</v>
      </c>
      <c r="J57" s="145">
        <v>158</v>
      </c>
      <c r="K57" s="145">
        <v>84</v>
      </c>
      <c r="L57" s="145">
        <v>1</v>
      </c>
      <c r="M57" s="145">
        <v>622</v>
      </c>
      <c r="N57" s="145">
        <v>72</v>
      </c>
      <c r="O57" s="145">
        <v>4</v>
      </c>
      <c r="P57" s="145">
        <v>86</v>
      </c>
      <c r="Q57" s="145">
        <v>0</v>
      </c>
      <c r="R57" s="145">
        <v>137</v>
      </c>
      <c r="S57" s="145">
        <v>0</v>
      </c>
      <c r="T57" s="145">
        <v>538</v>
      </c>
      <c r="U57" s="145">
        <v>0</v>
      </c>
      <c r="V57" s="145">
        <v>167356</v>
      </c>
      <c r="W57" s="145">
        <v>0</v>
      </c>
      <c r="X57" s="145">
        <v>1792</v>
      </c>
      <c r="Y57" s="145">
        <v>925</v>
      </c>
      <c r="Z57" s="145">
        <v>357</v>
      </c>
      <c r="AA57" s="145">
        <v>11</v>
      </c>
      <c r="AB57" s="145">
        <v>1415</v>
      </c>
      <c r="AC57" s="146">
        <f t="shared" si="2"/>
        <v>2050.1999999999998</v>
      </c>
      <c r="AD57" s="146">
        <f t="shared" si="3"/>
        <v>1366.8000000000002</v>
      </c>
      <c r="AE57" s="145">
        <v>2665</v>
      </c>
      <c r="AF57" s="145">
        <v>204</v>
      </c>
      <c r="AG57" s="145">
        <v>152</v>
      </c>
      <c r="AH57" s="145">
        <v>1</v>
      </c>
      <c r="AI57" s="145">
        <v>759</v>
      </c>
      <c r="AJ57" s="145">
        <v>250</v>
      </c>
      <c r="AK57" s="145">
        <v>179</v>
      </c>
      <c r="AL57" s="145">
        <v>264</v>
      </c>
      <c r="AM57" s="145">
        <v>15</v>
      </c>
      <c r="AN57" s="145">
        <v>93</v>
      </c>
      <c r="AO57" s="145">
        <v>205</v>
      </c>
      <c r="AP57" s="146">
        <f t="shared" si="4"/>
        <v>186.66666666666666</v>
      </c>
      <c r="AQ57" s="146">
        <f t="shared" si="5"/>
        <v>93.333333333333329</v>
      </c>
      <c r="AR57" s="145">
        <v>152</v>
      </c>
      <c r="AS57" s="145">
        <v>2496</v>
      </c>
      <c r="AT57" s="145">
        <v>5344</v>
      </c>
      <c r="AU57" s="145">
        <v>4193</v>
      </c>
      <c r="AV57" s="145">
        <v>61</v>
      </c>
      <c r="AW57" s="145">
        <v>0</v>
      </c>
      <c r="AX57" s="145">
        <v>115</v>
      </c>
      <c r="AY57" s="145">
        <v>18</v>
      </c>
      <c r="AZ57" s="145">
        <v>2025</v>
      </c>
      <c r="BA57" s="145">
        <v>0</v>
      </c>
      <c r="BB57" s="145">
        <v>4</v>
      </c>
      <c r="BC57" s="145">
        <v>0</v>
      </c>
      <c r="BD57" s="145">
        <v>0</v>
      </c>
      <c r="BE57" s="145">
        <v>0</v>
      </c>
      <c r="BF57" s="145">
        <v>3</v>
      </c>
      <c r="BG57" s="145">
        <v>0</v>
      </c>
      <c r="BH57" s="145">
        <v>180</v>
      </c>
      <c r="BI57" s="145">
        <v>22</v>
      </c>
      <c r="BJ57" s="145">
        <v>215</v>
      </c>
      <c r="BK57" s="145">
        <v>2</v>
      </c>
      <c r="BL57" s="145">
        <v>0</v>
      </c>
      <c r="BM57" s="145">
        <v>460</v>
      </c>
      <c r="BN57" s="145">
        <v>140</v>
      </c>
      <c r="BO57" s="145">
        <v>0</v>
      </c>
      <c r="BP57" s="145">
        <v>19</v>
      </c>
      <c r="BQ57" s="145">
        <v>37</v>
      </c>
      <c r="BR57" s="145">
        <v>4</v>
      </c>
      <c r="BS57" s="145">
        <v>238</v>
      </c>
      <c r="BT57" s="145">
        <v>0</v>
      </c>
      <c r="BU57" s="145">
        <v>201593</v>
      </c>
      <c r="BV57" s="145">
        <v>2801</v>
      </c>
      <c r="BW57" s="145">
        <v>0</v>
      </c>
      <c r="BX57" s="145">
        <v>0</v>
      </c>
      <c r="BY57" s="145">
        <v>28936</v>
      </c>
      <c r="BZ57" s="145">
        <v>0</v>
      </c>
      <c r="CA57" s="145">
        <v>-1504</v>
      </c>
      <c r="CB57" s="145">
        <v>30233</v>
      </c>
      <c r="CC57" s="145">
        <v>231826</v>
      </c>
      <c r="CE57" s="145">
        <v>3417</v>
      </c>
      <c r="CF57" s="145">
        <v>280</v>
      </c>
      <c r="CG57" s="165">
        <v>1991</v>
      </c>
    </row>
    <row r="58" spans="1:85" ht="8.25" customHeight="1" x14ac:dyDescent="0.2">
      <c r="A58" s="143">
        <v>19921</v>
      </c>
      <c r="B58" s="77" t="str">
        <f>IFERROR(INDEX(SCNtoISIC!$M:$M,MATCH($A58,SCNtoISIC!$J:$J,0)),0)</f>
        <v>ISIC 19</v>
      </c>
      <c r="C58" s="144" t="s">
        <v>402</v>
      </c>
      <c r="D58" s="145">
        <v>167</v>
      </c>
      <c r="E58" s="145">
        <v>172</v>
      </c>
      <c r="F58" s="145">
        <v>7</v>
      </c>
      <c r="G58" s="145">
        <v>5</v>
      </c>
      <c r="H58" s="145">
        <v>903</v>
      </c>
      <c r="I58" s="145">
        <v>0</v>
      </c>
      <c r="J58" s="145">
        <v>0</v>
      </c>
      <c r="K58" s="145">
        <v>58</v>
      </c>
      <c r="L58" s="145">
        <v>110</v>
      </c>
      <c r="M58" s="145">
        <v>89</v>
      </c>
      <c r="N58" s="145">
        <v>50</v>
      </c>
      <c r="O58" s="145">
        <v>0</v>
      </c>
      <c r="P58" s="145">
        <v>0</v>
      </c>
      <c r="Q58" s="145">
        <v>0</v>
      </c>
      <c r="R58" s="145">
        <v>0</v>
      </c>
      <c r="S58" s="145">
        <v>12</v>
      </c>
      <c r="T58" s="145">
        <v>1</v>
      </c>
      <c r="U58" s="145">
        <v>0</v>
      </c>
      <c r="V58" s="145">
        <v>28947</v>
      </c>
      <c r="W58" s="145">
        <v>512</v>
      </c>
      <c r="X58" s="145">
        <v>448</v>
      </c>
      <c r="Y58" s="145">
        <v>391</v>
      </c>
      <c r="Z58" s="145">
        <v>1905</v>
      </c>
      <c r="AA58" s="145">
        <v>1211</v>
      </c>
      <c r="AB58" s="145">
        <v>0</v>
      </c>
      <c r="AC58" s="146">
        <f t="shared" si="2"/>
        <v>0</v>
      </c>
      <c r="AD58" s="146">
        <f t="shared" si="3"/>
        <v>0</v>
      </c>
      <c r="AE58" s="145">
        <v>0</v>
      </c>
      <c r="AF58" s="145">
        <v>0</v>
      </c>
      <c r="AG58" s="145">
        <v>59</v>
      </c>
      <c r="AH58" s="145">
        <v>0</v>
      </c>
      <c r="AI58" s="145">
        <v>3</v>
      </c>
      <c r="AJ58" s="145">
        <v>1</v>
      </c>
      <c r="AK58" s="145">
        <v>17</v>
      </c>
      <c r="AL58" s="145">
        <v>1</v>
      </c>
      <c r="AM58" s="145">
        <v>0</v>
      </c>
      <c r="AN58" s="145">
        <v>3</v>
      </c>
      <c r="AO58" s="145">
        <v>0</v>
      </c>
      <c r="AP58" s="146">
        <f t="shared" si="4"/>
        <v>5.333333333333333</v>
      </c>
      <c r="AQ58" s="146">
        <f t="shared" si="5"/>
        <v>2.6666666666666665</v>
      </c>
      <c r="AR58" s="145">
        <v>4</v>
      </c>
      <c r="AS58" s="145">
        <v>577</v>
      </c>
      <c r="AT58" s="145">
        <v>680</v>
      </c>
      <c r="AU58" s="145">
        <v>1097</v>
      </c>
      <c r="AV58" s="145">
        <v>0</v>
      </c>
      <c r="AW58" s="145">
        <v>12</v>
      </c>
      <c r="AX58" s="145">
        <v>75</v>
      </c>
      <c r="AY58" s="145">
        <v>0</v>
      </c>
      <c r="AZ58" s="145">
        <v>14</v>
      </c>
      <c r="BA58" s="145">
        <v>0</v>
      </c>
      <c r="BB58" s="145">
        <v>1</v>
      </c>
      <c r="BC58" s="145">
        <v>15</v>
      </c>
      <c r="BD58" s="145">
        <v>13</v>
      </c>
      <c r="BE58" s="145">
        <v>74</v>
      </c>
      <c r="BF58" s="145">
        <v>0</v>
      </c>
      <c r="BG58" s="145">
        <v>75</v>
      </c>
      <c r="BH58" s="145">
        <v>140</v>
      </c>
      <c r="BI58" s="145">
        <v>40</v>
      </c>
      <c r="BJ58" s="145">
        <v>63</v>
      </c>
      <c r="BK58" s="145">
        <v>50</v>
      </c>
      <c r="BL58" s="145">
        <v>109</v>
      </c>
      <c r="BM58" s="145">
        <v>829</v>
      </c>
      <c r="BN58" s="145">
        <v>151</v>
      </c>
      <c r="BO58" s="145">
        <v>0</v>
      </c>
      <c r="BP58" s="145">
        <v>38</v>
      </c>
      <c r="BQ58" s="145">
        <v>89</v>
      </c>
      <c r="BR58" s="145">
        <v>0</v>
      </c>
      <c r="BS58" s="145">
        <v>183</v>
      </c>
      <c r="BT58" s="145">
        <v>0</v>
      </c>
      <c r="BU58" s="145">
        <v>39409</v>
      </c>
      <c r="BV58" s="145">
        <v>3139</v>
      </c>
      <c r="BW58" s="145">
        <v>0</v>
      </c>
      <c r="BX58" s="145">
        <v>0</v>
      </c>
      <c r="BY58" s="145">
        <v>44704</v>
      </c>
      <c r="BZ58" s="145">
        <v>0</v>
      </c>
      <c r="CA58" s="145">
        <v>-3713</v>
      </c>
      <c r="CB58" s="145">
        <v>44130</v>
      </c>
      <c r="CC58" s="145">
        <v>83539</v>
      </c>
      <c r="CE58" s="145">
        <v>0</v>
      </c>
      <c r="CF58" s="145">
        <v>8</v>
      </c>
      <c r="CG58" s="165">
        <v>1992</v>
      </c>
    </row>
    <row r="59" spans="1:85" ht="8.25" customHeight="1" x14ac:dyDescent="0.2">
      <c r="A59" s="143">
        <v>20911</v>
      </c>
      <c r="B59" s="77" t="str">
        <f>IFERROR(INDEX(SCNtoISIC!$M:$M,MATCH($A59,SCNtoISIC!$J:$J,0)),0)</f>
        <v>ISIC 20</v>
      </c>
      <c r="C59" s="144" t="s">
        <v>405</v>
      </c>
      <c r="D59" s="145">
        <v>8160</v>
      </c>
      <c r="E59" s="145">
        <v>1654</v>
      </c>
      <c r="F59" s="145">
        <v>103</v>
      </c>
      <c r="G59" s="145">
        <v>111</v>
      </c>
      <c r="H59" s="145">
        <v>2220</v>
      </c>
      <c r="I59" s="145">
        <v>1</v>
      </c>
      <c r="J59" s="145">
        <v>128</v>
      </c>
      <c r="K59" s="145">
        <v>1</v>
      </c>
      <c r="L59" s="145">
        <v>163</v>
      </c>
      <c r="M59" s="145">
        <v>894</v>
      </c>
      <c r="N59" s="145">
        <v>132</v>
      </c>
      <c r="O59" s="145">
        <v>0</v>
      </c>
      <c r="P59" s="145">
        <v>279</v>
      </c>
      <c r="Q59" s="145">
        <v>0</v>
      </c>
      <c r="R59" s="145">
        <v>306</v>
      </c>
      <c r="S59" s="145">
        <v>0</v>
      </c>
      <c r="T59" s="145">
        <v>3810</v>
      </c>
      <c r="U59" s="145">
        <v>14</v>
      </c>
      <c r="V59" s="145">
        <v>0</v>
      </c>
      <c r="W59" s="145">
        <v>16</v>
      </c>
      <c r="X59" s="145">
        <v>34188</v>
      </c>
      <c r="Y59" s="145">
        <v>4952</v>
      </c>
      <c r="Z59" s="145">
        <v>1612</v>
      </c>
      <c r="AA59" s="145">
        <v>295</v>
      </c>
      <c r="AB59" s="145">
        <v>671</v>
      </c>
      <c r="AC59" s="146">
        <f t="shared" si="2"/>
        <v>1483.2</v>
      </c>
      <c r="AD59" s="146">
        <f t="shared" si="3"/>
        <v>988.80000000000007</v>
      </c>
      <c r="AE59" s="145">
        <v>847</v>
      </c>
      <c r="AF59" s="145">
        <v>1101</v>
      </c>
      <c r="AG59" s="145">
        <v>548</v>
      </c>
      <c r="AH59" s="145">
        <v>0</v>
      </c>
      <c r="AI59" s="145">
        <v>282</v>
      </c>
      <c r="AJ59" s="145">
        <v>26</v>
      </c>
      <c r="AK59" s="145">
        <v>12</v>
      </c>
      <c r="AL59" s="145">
        <v>12</v>
      </c>
      <c r="AM59" s="145">
        <v>410</v>
      </c>
      <c r="AN59" s="145">
        <v>299</v>
      </c>
      <c r="AO59" s="145">
        <v>276</v>
      </c>
      <c r="AP59" s="146">
        <f t="shared" si="4"/>
        <v>218.66666666666666</v>
      </c>
      <c r="AQ59" s="146">
        <f t="shared" si="5"/>
        <v>109.33333333333333</v>
      </c>
      <c r="AR59" s="145">
        <v>1251</v>
      </c>
      <c r="AS59" s="145">
        <v>1</v>
      </c>
      <c r="AT59" s="145">
        <v>704</v>
      </c>
      <c r="AU59" s="145">
        <v>1</v>
      </c>
      <c r="AV59" s="145">
        <v>0</v>
      </c>
      <c r="AW59" s="145">
        <v>0</v>
      </c>
      <c r="AX59" s="145">
        <v>0</v>
      </c>
      <c r="AY59" s="145">
        <v>0</v>
      </c>
      <c r="AZ59" s="145">
        <v>0</v>
      </c>
      <c r="BA59" s="145">
        <v>0</v>
      </c>
      <c r="BB59" s="145">
        <v>0</v>
      </c>
      <c r="BC59" s="145">
        <v>0</v>
      </c>
      <c r="BD59" s="145">
        <v>0</v>
      </c>
      <c r="BE59" s="145">
        <v>0</v>
      </c>
      <c r="BF59" s="145">
        <v>0</v>
      </c>
      <c r="BG59" s="145">
        <v>0</v>
      </c>
      <c r="BH59" s="145">
        <v>10</v>
      </c>
      <c r="BI59" s="145">
        <v>3</v>
      </c>
      <c r="BJ59" s="145">
        <v>0</v>
      </c>
      <c r="BK59" s="145">
        <v>0</v>
      </c>
      <c r="BL59" s="145">
        <v>0</v>
      </c>
      <c r="BM59" s="145">
        <v>8</v>
      </c>
      <c r="BN59" s="145">
        <v>34</v>
      </c>
      <c r="BO59" s="145">
        <v>0</v>
      </c>
      <c r="BP59" s="145">
        <v>272</v>
      </c>
      <c r="BQ59" s="145">
        <v>1084</v>
      </c>
      <c r="BR59" s="145">
        <v>0</v>
      </c>
      <c r="BS59" s="145">
        <v>570</v>
      </c>
      <c r="BT59" s="145">
        <v>0</v>
      </c>
      <c r="BU59" s="145">
        <v>70261</v>
      </c>
      <c r="BV59" s="145">
        <v>1912</v>
      </c>
      <c r="BW59" s="145">
        <v>0</v>
      </c>
      <c r="BX59" s="145">
        <v>0</v>
      </c>
      <c r="BY59" s="145">
        <v>26</v>
      </c>
      <c r="BZ59" s="145">
        <v>0</v>
      </c>
      <c r="CA59" s="145">
        <v>-310</v>
      </c>
      <c r="CB59" s="145">
        <v>1628</v>
      </c>
      <c r="CC59" s="145">
        <v>71889</v>
      </c>
      <c r="CE59" s="145">
        <v>2472</v>
      </c>
      <c r="CF59" s="145">
        <v>328</v>
      </c>
      <c r="CG59" s="165">
        <v>2091</v>
      </c>
    </row>
    <row r="60" spans="1:85" ht="8.25" customHeight="1" x14ac:dyDescent="0.2">
      <c r="A60" s="143">
        <v>20912</v>
      </c>
      <c r="B60" s="77" t="str">
        <f>IFERROR(INDEX(SCNtoISIC!$M:$M,MATCH($A60,SCNtoISIC!$J:$J,0)),0)</f>
        <v>ISIC 20</v>
      </c>
      <c r="C60" s="144" t="s">
        <v>408</v>
      </c>
      <c r="D60" s="145">
        <v>45854</v>
      </c>
      <c r="E60" s="145">
        <v>4386</v>
      </c>
      <c r="F60" s="145">
        <v>329</v>
      </c>
      <c r="G60" s="145">
        <v>0</v>
      </c>
      <c r="H60" s="145">
        <v>0</v>
      </c>
      <c r="I60" s="145">
        <v>0</v>
      </c>
      <c r="J60" s="145">
        <v>0</v>
      </c>
      <c r="K60" s="145">
        <v>0</v>
      </c>
      <c r="L60" s="145">
        <v>216</v>
      </c>
      <c r="M60" s="145">
        <v>0</v>
      </c>
      <c r="N60" s="145">
        <v>0</v>
      </c>
      <c r="O60" s="145">
        <v>0</v>
      </c>
      <c r="P60" s="145">
        <v>0</v>
      </c>
      <c r="Q60" s="145">
        <v>0</v>
      </c>
      <c r="R60" s="145">
        <v>0</v>
      </c>
      <c r="S60" s="145">
        <v>0</v>
      </c>
      <c r="T60" s="145">
        <v>0</v>
      </c>
      <c r="U60" s="145">
        <v>0</v>
      </c>
      <c r="V60" s="145">
        <v>0</v>
      </c>
      <c r="W60" s="145">
        <v>0</v>
      </c>
      <c r="X60" s="145">
        <v>2501</v>
      </c>
      <c r="Y60" s="145">
        <v>27</v>
      </c>
      <c r="Z60" s="145">
        <v>0</v>
      </c>
      <c r="AA60" s="145">
        <v>0</v>
      </c>
      <c r="AB60" s="145">
        <v>0</v>
      </c>
      <c r="AC60" s="146">
        <f t="shared" si="2"/>
        <v>0</v>
      </c>
      <c r="AD60" s="146">
        <f t="shared" si="3"/>
        <v>0</v>
      </c>
      <c r="AE60" s="145">
        <v>0</v>
      </c>
      <c r="AF60" s="145">
        <v>0</v>
      </c>
      <c r="AG60" s="145">
        <v>0</v>
      </c>
      <c r="AH60" s="145">
        <v>0</v>
      </c>
      <c r="AI60" s="145">
        <v>0</v>
      </c>
      <c r="AJ60" s="145">
        <v>0</v>
      </c>
      <c r="AK60" s="145">
        <v>0</v>
      </c>
      <c r="AL60" s="145">
        <v>0</v>
      </c>
      <c r="AM60" s="145">
        <v>0</v>
      </c>
      <c r="AN60" s="145">
        <v>0</v>
      </c>
      <c r="AO60" s="145">
        <v>0</v>
      </c>
      <c r="AP60" s="146">
        <f t="shared" si="4"/>
        <v>0</v>
      </c>
      <c r="AQ60" s="146">
        <f t="shared" si="5"/>
        <v>0</v>
      </c>
      <c r="AR60" s="145">
        <v>0</v>
      </c>
      <c r="AS60" s="145">
        <v>0</v>
      </c>
      <c r="AT60" s="145">
        <v>0</v>
      </c>
      <c r="AU60" s="145">
        <v>0</v>
      </c>
      <c r="AV60" s="145">
        <v>0</v>
      </c>
      <c r="AW60" s="145">
        <v>0</v>
      </c>
      <c r="AX60" s="145">
        <v>0</v>
      </c>
      <c r="AY60" s="145">
        <v>0</v>
      </c>
      <c r="AZ60" s="145">
        <v>0</v>
      </c>
      <c r="BA60" s="145">
        <v>0</v>
      </c>
      <c r="BB60" s="145">
        <v>0</v>
      </c>
      <c r="BC60" s="145">
        <v>0</v>
      </c>
      <c r="BD60" s="145">
        <v>0</v>
      </c>
      <c r="BE60" s="145">
        <v>0</v>
      </c>
      <c r="BF60" s="145">
        <v>0</v>
      </c>
      <c r="BG60" s="145">
        <v>0</v>
      </c>
      <c r="BH60" s="145">
        <v>0</v>
      </c>
      <c r="BI60" s="145">
        <v>0</v>
      </c>
      <c r="BJ60" s="145">
        <v>0</v>
      </c>
      <c r="BK60" s="145">
        <v>0</v>
      </c>
      <c r="BL60" s="145">
        <v>0</v>
      </c>
      <c r="BM60" s="145">
        <v>3</v>
      </c>
      <c r="BN60" s="145">
        <v>0</v>
      </c>
      <c r="BO60" s="145">
        <v>0</v>
      </c>
      <c r="BP60" s="145">
        <v>0</v>
      </c>
      <c r="BQ60" s="145">
        <v>0</v>
      </c>
      <c r="BR60" s="145">
        <v>0</v>
      </c>
      <c r="BS60" s="145">
        <v>0</v>
      </c>
      <c r="BT60" s="145">
        <v>0</v>
      </c>
      <c r="BU60" s="145">
        <v>53316</v>
      </c>
      <c r="BV60" s="145">
        <v>866</v>
      </c>
      <c r="BW60" s="145">
        <v>0</v>
      </c>
      <c r="BX60" s="145">
        <v>0</v>
      </c>
      <c r="BY60" s="145">
        <v>0</v>
      </c>
      <c r="BZ60" s="145">
        <v>0</v>
      </c>
      <c r="CA60" s="145">
        <v>-134</v>
      </c>
      <c r="CB60" s="145">
        <v>732</v>
      </c>
      <c r="CC60" s="145">
        <v>54048</v>
      </c>
      <c r="CE60" s="145">
        <v>0</v>
      </c>
      <c r="CF60" s="145">
        <v>0</v>
      </c>
      <c r="CG60" s="165">
        <v>2091</v>
      </c>
    </row>
    <row r="61" spans="1:85" ht="8.25" customHeight="1" x14ac:dyDescent="0.2">
      <c r="A61" s="143">
        <v>20913</v>
      </c>
      <c r="B61" s="77" t="str">
        <f>IFERROR(INDEX(SCNtoISIC!$M:$M,MATCH($A61,SCNtoISIC!$J:$J,0)),0)</f>
        <v>ISIC 20</v>
      </c>
      <c r="C61" s="144" t="s">
        <v>410</v>
      </c>
      <c r="D61" s="145">
        <v>0</v>
      </c>
      <c r="E61" s="145">
        <v>3</v>
      </c>
      <c r="F61" s="145">
        <v>0</v>
      </c>
      <c r="G61" s="145">
        <v>0</v>
      </c>
      <c r="H61" s="145">
        <v>2584</v>
      </c>
      <c r="I61" s="145">
        <v>349</v>
      </c>
      <c r="J61" s="145">
        <v>153</v>
      </c>
      <c r="K61" s="145">
        <v>576</v>
      </c>
      <c r="L61" s="145">
        <v>0</v>
      </c>
      <c r="M61" s="145">
        <v>509</v>
      </c>
      <c r="N61" s="145">
        <v>34</v>
      </c>
      <c r="O61" s="145">
        <v>0</v>
      </c>
      <c r="P61" s="145">
        <v>1526</v>
      </c>
      <c r="Q61" s="145">
        <v>259</v>
      </c>
      <c r="R61" s="145">
        <v>944</v>
      </c>
      <c r="S61" s="145">
        <v>0</v>
      </c>
      <c r="T61" s="145">
        <v>2005</v>
      </c>
      <c r="U61" s="145">
        <v>0</v>
      </c>
      <c r="V61" s="145">
        <v>0</v>
      </c>
      <c r="W61" s="145">
        <v>1198</v>
      </c>
      <c r="X61" s="145">
        <v>25539</v>
      </c>
      <c r="Y61" s="145">
        <v>16682</v>
      </c>
      <c r="Z61" s="145">
        <v>5189</v>
      </c>
      <c r="AA61" s="145">
        <v>2974</v>
      </c>
      <c r="AB61" s="145">
        <v>2848</v>
      </c>
      <c r="AC61" s="146">
        <f t="shared" si="2"/>
        <v>0</v>
      </c>
      <c r="AD61" s="146">
        <f t="shared" si="3"/>
        <v>0</v>
      </c>
      <c r="AE61" s="145">
        <v>673</v>
      </c>
      <c r="AF61" s="145">
        <v>401</v>
      </c>
      <c r="AG61" s="145">
        <v>635</v>
      </c>
      <c r="AH61" s="145">
        <v>0</v>
      </c>
      <c r="AI61" s="145">
        <v>140</v>
      </c>
      <c r="AJ61" s="145">
        <v>10</v>
      </c>
      <c r="AK61" s="145">
        <v>36</v>
      </c>
      <c r="AL61" s="145">
        <v>0</v>
      </c>
      <c r="AM61" s="145">
        <v>2</v>
      </c>
      <c r="AN61" s="145">
        <v>389</v>
      </c>
      <c r="AO61" s="145">
        <v>0</v>
      </c>
      <c r="AP61" s="146">
        <f t="shared" si="4"/>
        <v>10</v>
      </c>
      <c r="AQ61" s="146">
        <f t="shared" si="5"/>
        <v>5</v>
      </c>
      <c r="AR61" s="145">
        <v>219</v>
      </c>
      <c r="AS61" s="145">
        <v>0</v>
      </c>
      <c r="AT61" s="145">
        <v>101</v>
      </c>
      <c r="AU61" s="145">
        <v>0</v>
      </c>
      <c r="AV61" s="145">
        <v>0</v>
      </c>
      <c r="AW61" s="145">
        <v>0</v>
      </c>
      <c r="AX61" s="145">
        <v>0</v>
      </c>
      <c r="AY61" s="145">
        <v>0</v>
      </c>
      <c r="AZ61" s="145">
        <v>0</v>
      </c>
      <c r="BA61" s="145">
        <v>0</v>
      </c>
      <c r="BB61" s="145">
        <v>0</v>
      </c>
      <c r="BC61" s="145">
        <v>0</v>
      </c>
      <c r="BD61" s="145">
        <v>0</v>
      </c>
      <c r="BE61" s="145">
        <v>0</v>
      </c>
      <c r="BF61" s="145">
        <v>0</v>
      </c>
      <c r="BG61" s="145">
        <v>0</v>
      </c>
      <c r="BH61" s="145">
        <v>38</v>
      </c>
      <c r="BI61" s="145">
        <v>0</v>
      </c>
      <c r="BJ61" s="145">
        <v>0</v>
      </c>
      <c r="BK61" s="145">
        <v>0</v>
      </c>
      <c r="BL61" s="145">
        <v>0</v>
      </c>
      <c r="BM61" s="145">
        <v>8</v>
      </c>
      <c r="BN61" s="145">
        <v>41</v>
      </c>
      <c r="BO61" s="145">
        <v>0</v>
      </c>
      <c r="BP61" s="145">
        <v>103</v>
      </c>
      <c r="BQ61" s="145">
        <v>93</v>
      </c>
      <c r="BR61" s="145">
        <v>0</v>
      </c>
      <c r="BS61" s="145">
        <v>0</v>
      </c>
      <c r="BT61" s="145">
        <v>0</v>
      </c>
      <c r="BU61" s="145">
        <v>66276</v>
      </c>
      <c r="BV61" s="145">
        <v>8240</v>
      </c>
      <c r="BW61" s="145">
        <v>0</v>
      </c>
      <c r="BX61" s="145">
        <v>0</v>
      </c>
      <c r="BY61" s="145">
        <v>0</v>
      </c>
      <c r="BZ61" s="145">
        <v>0</v>
      </c>
      <c r="CA61" s="145">
        <v>2584</v>
      </c>
      <c r="CB61" s="145">
        <v>10824</v>
      </c>
      <c r="CC61" s="145">
        <v>77100</v>
      </c>
      <c r="CE61" s="145">
        <v>0</v>
      </c>
      <c r="CF61" s="145">
        <v>15</v>
      </c>
      <c r="CG61" s="165">
        <v>2091</v>
      </c>
    </row>
    <row r="62" spans="1:85" ht="8.25" customHeight="1" x14ac:dyDescent="0.2">
      <c r="A62" s="147">
        <v>20914</v>
      </c>
      <c r="B62" s="77" t="str">
        <f>IFERROR(INDEX(SCNtoISIC!$M:$M,MATCH($A62,SCNtoISIC!$J:$J,0)),0)</f>
        <v>ISIC 20</v>
      </c>
      <c r="C62" s="93" t="s">
        <v>616</v>
      </c>
      <c r="D62" s="148">
        <v>149</v>
      </c>
      <c r="E62" s="148">
        <v>9</v>
      </c>
      <c r="F62" s="148">
        <v>0</v>
      </c>
      <c r="G62" s="148">
        <v>0</v>
      </c>
      <c r="H62" s="148">
        <v>1695</v>
      </c>
      <c r="I62" s="148">
        <v>0</v>
      </c>
      <c r="J62" s="148">
        <v>0</v>
      </c>
      <c r="K62" s="148">
        <v>2</v>
      </c>
      <c r="L62" s="148">
        <v>3</v>
      </c>
      <c r="M62" s="148">
        <v>11</v>
      </c>
      <c r="N62" s="148">
        <v>0</v>
      </c>
      <c r="O62" s="148">
        <v>29</v>
      </c>
      <c r="P62" s="148">
        <v>4952</v>
      </c>
      <c r="Q62" s="148">
        <v>0</v>
      </c>
      <c r="R62" s="148">
        <v>1613</v>
      </c>
      <c r="S62" s="148">
        <v>818</v>
      </c>
      <c r="T62" s="148">
        <v>2010</v>
      </c>
      <c r="U62" s="148">
        <v>51</v>
      </c>
      <c r="V62" s="148">
        <v>0</v>
      </c>
      <c r="W62" s="148">
        <v>0</v>
      </c>
      <c r="X62" s="148">
        <v>2388</v>
      </c>
      <c r="Y62" s="148">
        <v>2598</v>
      </c>
      <c r="Z62" s="148">
        <v>1399</v>
      </c>
      <c r="AA62" s="148">
        <v>99</v>
      </c>
      <c r="AB62" s="148">
        <v>23192</v>
      </c>
      <c r="AC62" s="146">
        <f t="shared" si="2"/>
        <v>1413.6</v>
      </c>
      <c r="AD62" s="146">
        <f t="shared" si="3"/>
        <v>942.40000000000009</v>
      </c>
      <c r="AE62" s="148">
        <v>1</v>
      </c>
      <c r="AF62" s="148">
        <v>298</v>
      </c>
      <c r="AG62" s="148">
        <v>1282</v>
      </c>
      <c r="AH62" s="148">
        <v>253</v>
      </c>
      <c r="AI62" s="148">
        <v>4204</v>
      </c>
      <c r="AJ62" s="148">
        <v>242</v>
      </c>
      <c r="AK62" s="148">
        <v>97</v>
      </c>
      <c r="AL62" s="148">
        <v>1704</v>
      </c>
      <c r="AM62" s="148">
        <v>468</v>
      </c>
      <c r="AN62" s="148">
        <v>2527</v>
      </c>
      <c r="AO62" s="148">
        <v>0</v>
      </c>
      <c r="AP62" s="146">
        <f t="shared" si="4"/>
        <v>0</v>
      </c>
      <c r="AQ62" s="146">
        <f t="shared" si="5"/>
        <v>0</v>
      </c>
      <c r="AR62" s="148">
        <v>0</v>
      </c>
      <c r="AS62" s="148">
        <v>1</v>
      </c>
      <c r="AT62" s="148">
        <v>0</v>
      </c>
      <c r="AU62" s="148">
        <v>0</v>
      </c>
      <c r="AV62" s="148">
        <v>0</v>
      </c>
      <c r="AW62" s="148">
        <v>0</v>
      </c>
      <c r="AX62" s="148">
        <v>0</v>
      </c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11</v>
      </c>
      <c r="BI62" s="148">
        <v>0</v>
      </c>
      <c r="BJ62" s="148">
        <v>0</v>
      </c>
      <c r="BK62" s="148">
        <v>0</v>
      </c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54462</v>
      </c>
      <c r="BV62" s="148">
        <v>8583</v>
      </c>
      <c r="BW62" s="148">
        <v>0</v>
      </c>
      <c r="BX62" s="148">
        <v>0</v>
      </c>
      <c r="BY62" s="148">
        <v>0</v>
      </c>
      <c r="BZ62" s="148">
        <v>0</v>
      </c>
      <c r="CA62" s="148">
        <v>1600</v>
      </c>
      <c r="CB62" s="148">
        <v>10183</v>
      </c>
      <c r="CC62" s="148">
        <v>64645</v>
      </c>
      <c r="CE62" s="148">
        <v>2356</v>
      </c>
      <c r="CF62" s="148">
        <v>0</v>
      </c>
      <c r="CG62" s="166">
        <v>2091</v>
      </c>
    </row>
    <row r="63" spans="1:85" ht="8.25" customHeight="1" x14ac:dyDescent="0.2">
      <c r="A63" s="147">
        <v>20921</v>
      </c>
      <c r="B63" s="77" t="str">
        <f>IFERROR(INDEX(SCNtoISIC!$M:$M,MATCH($A63,SCNtoISIC!$J:$J,0)),0)</f>
        <v>ISIC 20</v>
      </c>
      <c r="C63" s="93" t="s">
        <v>414</v>
      </c>
      <c r="D63" s="148">
        <v>36979</v>
      </c>
      <c r="E63" s="148">
        <v>4127</v>
      </c>
      <c r="F63" s="148">
        <v>131</v>
      </c>
      <c r="G63" s="148">
        <v>0</v>
      </c>
      <c r="H63" s="148">
        <v>0</v>
      </c>
      <c r="I63" s="148">
        <v>0</v>
      </c>
      <c r="J63" s="148">
        <v>0</v>
      </c>
      <c r="K63" s="148">
        <v>0</v>
      </c>
      <c r="L63" s="148">
        <v>42</v>
      </c>
      <c r="M63" s="148">
        <v>1</v>
      </c>
      <c r="N63" s="148">
        <v>0</v>
      </c>
      <c r="O63" s="148">
        <v>0</v>
      </c>
      <c r="P63" s="148">
        <v>0</v>
      </c>
      <c r="Q63" s="148">
        <v>0</v>
      </c>
      <c r="R63" s="148">
        <v>0</v>
      </c>
      <c r="S63" s="148">
        <v>0</v>
      </c>
      <c r="T63" s="148">
        <v>0</v>
      </c>
      <c r="U63" s="148">
        <v>0</v>
      </c>
      <c r="V63" s="148">
        <v>0</v>
      </c>
      <c r="W63" s="148">
        <v>0</v>
      </c>
      <c r="X63" s="148">
        <v>0</v>
      </c>
      <c r="Y63" s="148">
        <v>9011</v>
      </c>
      <c r="Z63" s="148">
        <v>1118</v>
      </c>
      <c r="AA63" s="148">
        <v>0</v>
      </c>
      <c r="AB63" s="148">
        <v>0</v>
      </c>
      <c r="AC63" s="146">
        <f t="shared" si="2"/>
        <v>0</v>
      </c>
      <c r="AD63" s="146">
        <f t="shared" si="3"/>
        <v>0</v>
      </c>
      <c r="AE63" s="148">
        <v>0</v>
      </c>
      <c r="AF63" s="148">
        <v>0</v>
      </c>
      <c r="AG63" s="148">
        <v>70</v>
      </c>
      <c r="AH63" s="148">
        <v>0</v>
      </c>
      <c r="AI63" s="148">
        <v>0</v>
      </c>
      <c r="AJ63" s="148">
        <v>0</v>
      </c>
      <c r="AK63" s="148">
        <v>0</v>
      </c>
      <c r="AL63" s="148">
        <v>0</v>
      </c>
      <c r="AM63" s="148">
        <v>0</v>
      </c>
      <c r="AN63" s="148">
        <v>0</v>
      </c>
      <c r="AO63" s="148">
        <v>0</v>
      </c>
      <c r="AP63" s="146">
        <f t="shared" si="4"/>
        <v>0</v>
      </c>
      <c r="AQ63" s="146">
        <f t="shared" si="5"/>
        <v>0</v>
      </c>
      <c r="AR63" s="148">
        <v>0</v>
      </c>
      <c r="AS63" s="148">
        <v>0</v>
      </c>
      <c r="AT63" s="148">
        <v>0</v>
      </c>
      <c r="AU63" s="148">
        <v>0</v>
      </c>
      <c r="AV63" s="148">
        <v>0</v>
      </c>
      <c r="AW63" s="148">
        <v>0</v>
      </c>
      <c r="AX63" s="148">
        <v>0</v>
      </c>
      <c r="AY63" s="148">
        <v>12</v>
      </c>
      <c r="AZ63" s="148">
        <v>0</v>
      </c>
      <c r="BA63" s="148">
        <v>0</v>
      </c>
      <c r="BB63" s="148">
        <v>0</v>
      </c>
      <c r="BC63" s="148">
        <v>0</v>
      </c>
      <c r="BD63" s="148">
        <v>0</v>
      </c>
      <c r="BE63" s="148">
        <v>0</v>
      </c>
      <c r="BF63" s="148">
        <v>0</v>
      </c>
      <c r="BG63" s="148">
        <v>0</v>
      </c>
      <c r="BH63" s="148">
        <v>16</v>
      </c>
      <c r="BI63" s="148">
        <v>17</v>
      </c>
      <c r="BJ63" s="148">
        <v>0</v>
      </c>
      <c r="BK63" s="148">
        <v>1825</v>
      </c>
      <c r="BL63" s="148">
        <v>0</v>
      </c>
      <c r="BM63" s="148">
        <v>0</v>
      </c>
      <c r="BN63" s="148">
        <v>0</v>
      </c>
      <c r="BO63" s="148">
        <v>0</v>
      </c>
      <c r="BP63" s="148">
        <v>0</v>
      </c>
      <c r="BQ63" s="148">
        <v>0</v>
      </c>
      <c r="BR63" s="148">
        <v>3</v>
      </c>
      <c r="BS63" s="148">
        <v>0</v>
      </c>
      <c r="BT63" s="148">
        <v>0</v>
      </c>
      <c r="BU63" s="148">
        <v>53352</v>
      </c>
      <c r="BV63" s="148">
        <v>997</v>
      </c>
      <c r="BW63" s="148">
        <v>0</v>
      </c>
      <c r="BX63" s="148">
        <v>0</v>
      </c>
      <c r="BY63" s="148">
        <v>613</v>
      </c>
      <c r="BZ63" s="148">
        <v>0</v>
      </c>
      <c r="CA63" s="148">
        <v>700</v>
      </c>
      <c r="CB63" s="148">
        <v>2310</v>
      </c>
      <c r="CC63" s="148">
        <v>55662</v>
      </c>
      <c r="CE63" s="148">
        <v>0</v>
      </c>
      <c r="CF63" s="148">
        <v>0</v>
      </c>
      <c r="CG63" s="166">
        <v>2092</v>
      </c>
    </row>
    <row r="64" spans="1:85" ht="8.25" customHeight="1" x14ac:dyDescent="0.2">
      <c r="A64" s="147">
        <v>20922</v>
      </c>
      <c r="B64" s="77" t="str">
        <f>IFERROR(INDEX(SCNtoISIC!$M:$M,MATCH($A64,SCNtoISIC!$J:$J,0)),0)</f>
        <v>ISIC 20</v>
      </c>
      <c r="C64" s="93" t="s">
        <v>417</v>
      </c>
      <c r="D64" s="148">
        <v>1</v>
      </c>
      <c r="E64" s="148">
        <v>36</v>
      </c>
      <c r="F64" s="148">
        <v>0</v>
      </c>
      <c r="G64" s="148">
        <v>3294</v>
      </c>
      <c r="H64" s="148">
        <v>474</v>
      </c>
      <c r="I64" s="148">
        <v>322</v>
      </c>
      <c r="J64" s="148">
        <v>253</v>
      </c>
      <c r="K64" s="148">
        <v>1528</v>
      </c>
      <c r="L64" s="148">
        <v>18</v>
      </c>
      <c r="M64" s="148">
        <v>4267</v>
      </c>
      <c r="N64" s="148">
        <v>204</v>
      </c>
      <c r="O64" s="148">
        <v>6</v>
      </c>
      <c r="P64" s="148">
        <v>232</v>
      </c>
      <c r="Q64" s="148">
        <v>0</v>
      </c>
      <c r="R64" s="148">
        <v>165</v>
      </c>
      <c r="S64" s="148">
        <v>683</v>
      </c>
      <c r="T64" s="148">
        <v>810</v>
      </c>
      <c r="U64" s="148">
        <v>389</v>
      </c>
      <c r="V64" s="148">
        <v>528</v>
      </c>
      <c r="W64" s="148">
        <v>242</v>
      </c>
      <c r="X64" s="148">
        <v>1012</v>
      </c>
      <c r="Y64" s="148">
        <v>4417</v>
      </c>
      <c r="Z64" s="148">
        <v>1569</v>
      </c>
      <c r="AA64" s="148">
        <v>1497</v>
      </c>
      <c r="AB64" s="148">
        <v>1758</v>
      </c>
      <c r="AC64" s="146">
        <f t="shared" si="2"/>
        <v>433.8</v>
      </c>
      <c r="AD64" s="146">
        <f t="shared" si="3"/>
        <v>289.2</v>
      </c>
      <c r="AE64" s="148">
        <v>630</v>
      </c>
      <c r="AF64" s="148">
        <v>67</v>
      </c>
      <c r="AG64" s="148">
        <v>286</v>
      </c>
      <c r="AH64" s="148">
        <v>3</v>
      </c>
      <c r="AI64" s="148">
        <v>175</v>
      </c>
      <c r="AJ64" s="148">
        <v>284</v>
      </c>
      <c r="AK64" s="148">
        <v>109</v>
      </c>
      <c r="AL64" s="148">
        <v>20</v>
      </c>
      <c r="AM64" s="148">
        <v>59</v>
      </c>
      <c r="AN64" s="148">
        <v>556</v>
      </c>
      <c r="AO64" s="148">
        <v>415</v>
      </c>
      <c r="AP64" s="146">
        <f t="shared" si="4"/>
        <v>19.333333333333332</v>
      </c>
      <c r="AQ64" s="146">
        <f t="shared" si="5"/>
        <v>9.6666666666666661</v>
      </c>
      <c r="AR64" s="148">
        <v>316</v>
      </c>
      <c r="AS64" s="148">
        <v>902</v>
      </c>
      <c r="AT64" s="148">
        <v>2750</v>
      </c>
      <c r="AU64" s="148">
        <v>10</v>
      </c>
      <c r="AV64" s="148">
        <v>0</v>
      </c>
      <c r="AW64" s="148">
        <v>0</v>
      </c>
      <c r="AX64" s="148">
        <v>60</v>
      </c>
      <c r="AY64" s="148">
        <v>0</v>
      </c>
      <c r="AZ64" s="148">
        <v>0</v>
      </c>
      <c r="BA64" s="148">
        <v>0</v>
      </c>
      <c r="BB64" s="148">
        <v>0</v>
      </c>
      <c r="BC64" s="148">
        <v>1</v>
      </c>
      <c r="BD64" s="148">
        <v>1</v>
      </c>
      <c r="BE64" s="148">
        <v>52</v>
      </c>
      <c r="BF64" s="148">
        <v>41</v>
      </c>
      <c r="BG64" s="148">
        <v>0</v>
      </c>
      <c r="BH64" s="148">
        <v>15</v>
      </c>
      <c r="BI64" s="148">
        <v>20</v>
      </c>
      <c r="BJ64" s="148">
        <v>0</v>
      </c>
      <c r="BK64" s="148">
        <v>104</v>
      </c>
      <c r="BL64" s="148">
        <v>1</v>
      </c>
      <c r="BM64" s="148">
        <v>64</v>
      </c>
      <c r="BN64" s="148">
        <v>410</v>
      </c>
      <c r="BO64" s="148">
        <v>0</v>
      </c>
      <c r="BP64" s="148">
        <v>1140</v>
      </c>
      <c r="BQ64" s="148">
        <v>0</v>
      </c>
      <c r="BR64" s="148">
        <v>11</v>
      </c>
      <c r="BS64" s="148">
        <v>13</v>
      </c>
      <c r="BT64" s="148">
        <v>0</v>
      </c>
      <c r="BU64" s="148">
        <v>32972</v>
      </c>
      <c r="BV64" s="148">
        <v>5191</v>
      </c>
      <c r="BW64" s="148">
        <v>0</v>
      </c>
      <c r="BX64" s="148">
        <v>0</v>
      </c>
      <c r="BY64" s="148">
        <v>575</v>
      </c>
      <c r="BZ64" s="148">
        <v>0</v>
      </c>
      <c r="CA64" s="148">
        <v>668</v>
      </c>
      <c r="CB64" s="148">
        <v>6434</v>
      </c>
      <c r="CC64" s="148">
        <v>39406</v>
      </c>
      <c r="CE64" s="148">
        <v>723</v>
      </c>
      <c r="CF64" s="148">
        <v>29</v>
      </c>
      <c r="CG64" s="166">
        <v>2092</v>
      </c>
    </row>
    <row r="65" spans="1:85" ht="8.25" customHeight="1" x14ac:dyDescent="0.2">
      <c r="A65" s="147">
        <v>20923</v>
      </c>
      <c r="B65" s="77" t="str">
        <f>IFERROR(INDEX(SCNtoISIC!$M:$M,MATCH($A65,SCNtoISIC!$J:$J,0)),0)</f>
        <v>ISIC 20</v>
      </c>
      <c r="C65" s="93" t="s">
        <v>418</v>
      </c>
      <c r="D65" s="148">
        <v>23</v>
      </c>
      <c r="E65" s="148">
        <v>48</v>
      </c>
      <c r="F65" s="148">
        <v>3</v>
      </c>
      <c r="G65" s="148">
        <v>0</v>
      </c>
      <c r="H65" s="148">
        <v>0</v>
      </c>
      <c r="I65" s="148">
        <v>0</v>
      </c>
      <c r="J65" s="148">
        <v>0</v>
      </c>
      <c r="K65" s="148">
        <v>2</v>
      </c>
      <c r="L65" s="148">
        <v>0</v>
      </c>
      <c r="M65" s="148">
        <v>52</v>
      </c>
      <c r="N65" s="148">
        <v>0</v>
      </c>
      <c r="O65" s="148">
        <v>0</v>
      </c>
      <c r="P65" s="148">
        <v>66</v>
      </c>
      <c r="Q65" s="148">
        <v>57</v>
      </c>
      <c r="R65" s="148">
        <v>106</v>
      </c>
      <c r="S65" s="148">
        <v>348</v>
      </c>
      <c r="T65" s="148">
        <v>1543</v>
      </c>
      <c r="U65" s="148">
        <v>1021</v>
      </c>
      <c r="V65" s="148">
        <v>0</v>
      </c>
      <c r="W65" s="148">
        <v>0</v>
      </c>
      <c r="X65" s="148">
        <v>0</v>
      </c>
      <c r="Y65" s="148">
        <v>183</v>
      </c>
      <c r="Z65" s="148">
        <v>16</v>
      </c>
      <c r="AA65" s="148">
        <v>1</v>
      </c>
      <c r="AB65" s="148">
        <v>1857</v>
      </c>
      <c r="AC65" s="146">
        <f t="shared" si="2"/>
        <v>592.19999999999993</v>
      </c>
      <c r="AD65" s="146">
        <f t="shared" si="3"/>
        <v>394.8</v>
      </c>
      <c r="AE65" s="148">
        <v>0</v>
      </c>
      <c r="AF65" s="148">
        <v>0</v>
      </c>
      <c r="AG65" s="148">
        <v>679</v>
      </c>
      <c r="AH65" s="148">
        <v>466</v>
      </c>
      <c r="AI65" s="148">
        <v>24</v>
      </c>
      <c r="AJ65" s="148">
        <v>72</v>
      </c>
      <c r="AK65" s="148">
        <v>603</v>
      </c>
      <c r="AL65" s="148">
        <v>216</v>
      </c>
      <c r="AM65" s="148">
        <v>186</v>
      </c>
      <c r="AN65" s="148">
        <v>358</v>
      </c>
      <c r="AO65" s="148">
        <v>634</v>
      </c>
      <c r="AP65" s="146">
        <f t="shared" si="4"/>
        <v>130.66666666666666</v>
      </c>
      <c r="AQ65" s="146">
        <f t="shared" si="5"/>
        <v>65.333333333333329</v>
      </c>
      <c r="AR65" s="148">
        <v>188</v>
      </c>
      <c r="AS65" s="148">
        <v>11817</v>
      </c>
      <c r="AT65" s="148">
        <v>1462</v>
      </c>
      <c r="AU65" s="148">
        <v>296</v>
      </c>
      <c r="AV65" s="148">
        <v>0</v>
      </c>
      <c r="AW65" s="148">
        <v>0</v>
      </c>
      <c r="AX65" s="148">
        <v>0</v>
      </c>
      <c r="AY65" s="148">
        <v>14</v>
      </c>
      <c r="AZ65" s="148">
        <v>0</v>
      </c>
      <c r="BA65" s="148">
        <v>247</v>
      </c>
      <c r="BB65" s="148">
        <v>188</v>
      </c>
      <c r="BC65" s="148">
        <v>0</v>
      </c>
      <c r="BD65" s="148">
        <v>0</v>
      </c>
      <c r="BE65" s="148">
        <v>1</v>
      </c>
      <c r="BF65" s="148">
        <v>1755</v>
      </c>
      <c r="BG65" s="148">
        <v>0</v>
      </c>
      <c r="BH65" s="148">
        <v>3</v>
      </c>
      <c r="BI65" s="148">
        <v>1</v>
      </c>
      <c r="BJ65" s="148">
        <v>22</v>
      </c>
      <c r="BK65" s="148">
        <v>621</v>
      </c>
      <c r="BL65" s="148">
        <v>0</v>
      </c>
      <c r="BM65" s="148">
        <v>170</v>
      </c>
      <c r="BN65" s="148">
        <v>85</v>
      </c>
      <c r="BO65" s="148">
        <v>0</v>
      </c>
      <c r="BP65" s="148">
        <v>5</v>
      </c>
      <c r="BQ65" s="148">
        <v>0</v>
      </c>
      <c r="BR65" s="148">
        <v>3</v>
      </c>
      <c r="BS65" s="148">
        <v>121</v>
      </c>
      <c r="BT65" s="148">
        <v>0</v>
      </c>
      <c r="BU65" s="148">
        <v>26746</v>
      </c>
      <c r="BV65" s="148">
        <v>723</v>
      </c>
      <c r="BW65" s="148">
        <v>0</v>
      </c>
      <c r="BX65" s="148">
        <v>0</v>
      </c>
      <c r="BY65" s="148">
        <v>373</v>
      </c>
      <c r="BZ65" s="148">
        <v>0</v>
      </c>
      <c r="CA65" s="148">
        <v>-439</v>
      </c>
      <c r="CB65" s="148">
        <v>657</v>
      </c>
      <c r="CC65" s="148">
        <v>27403</v>
      </c>
      <c r="CE65" s="148">
        <v>987</v>
      </c>
      <c r="CF65" s="148">
        <v>196</v>
      </c>
      <c r="CG65" s="166">
        <v>2092</v>
      </c>
    </row>
    <row r="66" spans="1:85" ht="8.25" customHeight="1" x14ac:dyDescent="0.2">
      <c r="A66" s="147">
        <v>20931</v>
      </c>
      <c r="B66" s="77" t="str">
        <f>IFERROR(INDEX(SCNtoISIC!$M:$M,MATCH($A66,SCNtoISIC!$J:$J,0)),0)</f>
        <v>ISIC 20</v>
      </c>
      <c r="C66" s="93" t="s">
        <v>419</v>
      </c>
      <c r="D66" s="148">
        <v>3</v>
      </c>
      <c r="E66" s="148">
        <v>35</v>
      </c>
      <c r="F66" s="148">
        <v>0</v>
      </c>
      <c r="G66" s="148">
        <v>0</v>
      </c>
      <c r="H66" s="148">
        <v>113</v>
      </c>
      <c r="I66" s="148">
        <v>76</v>
      </c>
      <c r="J66" s="148">
        <v>21</v>
      </c>
      <c r="K66" s="148">
        <v>74</v>
      </c>
      <c r="L66" s="148">
        <v>18</v>
      </c>
      <c r="M66" s="148">
        <v>261</v>
      </c>
      <c r="N66" s="148">
        <v>31</v>
      </c>
      <c r="O66" s="148">
        <v>0</v>
      </c>
      <c r="P66" s="148">
        <v>54</v>
      </c>
      <c r="Q66" s="148">
        <v>55</v>
      </c>
      <c r="R66" s="148">
        <v>1</v>
      </c>
      <c r="S66" s="148">
        <v>27</v>
      </c>
      <c r="T66" s="148">
        <v>55</v>
      </c>
      <c r="U66" s="148">
        <v>1</v>
      </c>
      <c r="V66" s="148">
        <v>46</v>
      </c>
      <c r="W66" s="148">
        <v>1</v>
      </c>
      <c r="X66" s="148">
        <v>77</v>
      </c>
      <c r="Y66" s="148">
        <v>188</v>
      </c>
      <c r="Z66" s="148">
        <v>2157</v>
      </c>
      <c r="AA66" s="148">
        <v>26</v>
      </c>
      <c r="AB66" s="148">
        <v>36</v>
      </c>
      <c r="AC66" s="146">
        <f t="shared" si="2"/>
        <v>49.8</v>
      </c>
      <c r="AD66" s="146">
        <f t="shared" si="3"/>
        <v>33.200000000000003</v>
      </c>
      <c r="AE66" s="148">
        <v>25</v>
      </c>
      <c r="AF66" s="148">
        <v>65</v>
      </c>
      <c r="AG66" s="148">
        <v>696</v>
      </c>
      <c r="AH66" s="148">
        <v>55</v>
      </c>
      <c r="AI66" s="148">
        <v>14</v>
      </c>
      <c r="AJ66" s="148">
        <v>37</v>
      </c>
      <c r="AK66" s="148">
        <v>27</v>
      </c>
      <c r="AL66" s="148">
        <v>37</v>
      </c>
      <c r="AM66" s="148">
        <v>5</v>
      </c>
      <c r="AN66" s="148">
        <v>8</v>
      </c>
      <c r="AO66" s="148">
        <v>0</v>
      </c>
      <c r="AP66" s="146">
        <f t="shared" si="4"/>
        <v>17.333333333333332</v>
      </c>
      <c r="AQ66" s="146">
        <f t="shared" si="5"/>
        <v>8.6666666666666661</v>
      </c>
      <c r="AR66" s="148">
        <v>65</v>
      </c>
      <c r="AS66" s="148">
        <v>173</v>
      </c>
      <c r="AT66" s="148">
        <v>3633</v>
      </c>
      <c r="AU66" s="148">
        <v>470</v>
      </c>
      <c r="AV66" s="148">
        <v>13</v>
      </c>
      <c r="AW66" s="148">
        <v>1</v>
      </c>
      <c r="AX66" s="148">
        <v>157</v>
      </c>
      <c r="AY66" s="148">
        <v>131</v>
      </c>
      <c r="AZ66" s="148">
        <v>111</v>
      </c>
      <c r="BA66" s="148">
        <v>15</v>
      </c>
      <c r="BB66" s="148">
        <v>79</v>
      </c>
      <c r="BC66" s="148">
        <v>207</v>
      </c>
      <c r="BD66" s="148">
        <v>13</v>
      </c>
      <c r="BE66" s="148">
        <v>29</v>
      </c>
      <c r="BF66" s="148">
        <v>0</v>
      </c>
      <c r="BG66" s="148">
        <v>450</v>
      </c>
      <c r="BH66" s="148">
        <v>177</v>
      </c>
      <c r="BI66" s="148">
        <v>439</v>
      </c>
      <c r="BJ66" s="148">
        <v>172</v>
      </c>
      <c r="BK66" s="148">
        <v>2498</v>
      </c>
      <c r="BL66" s="148">
        <v>2</v>
      </c>
      <c r="BM66" s="148">
        <v>285</v>
      </c>
      <c r="BN66" s="148">
        <v>287</v>
      </c>
      <c r="BO66" s="148">
        <v>223</v>
      </c>
      <c r="BP66" s="148">
        <v>75</v>
      </c>
      <c r="BQ66" s="148">
        <v>946</v>
      </c>
      <c r="BR66" s="148">
        <v>300</v>
      </c>
      <c r="BS66" s="148">
        <v>1897</v>
      </c>
      <c r="BT66" s="148">
        <v>0</v>
      </c>
      <c r="BU66" s="148">
        <v>17282</v>
      </c>
      <c r="BV66" s="148">
        <v>3986</v>
      </c>
      <c r="BW66" s="148">
        <v>0</v>
      </c>
      <c r="BX66" s="148">
        <v>0</v>
      </c>
      <c r="BY66" s="148">
        <v>82152</v>
      </c>
      <c r="BZ66" s="148">
        <v>0</v>
      </c>
      <c r="CA66" s="148">
        <v>-62</v>
      </c>
      <c r="CB66" s="148">
        <v>86076</v>
      </c>
      <c r="CC66" s="148">
        <v>103358</v>
      </c>
      <c r="CE66" s="148">
        <v>83</v>
      </c>
      <c r="CF66" s="148">
        <v>26</v>
      </c>
      <c r="CG66" s="166">
        <v>2093</v>
      </c>
    </row>
    <row r="67" spans="1:85" ht="8.25" customHeight="1" x14ac:dyDescent="0.2">
      <c r="A67" s="143">
        <v>21001</v>
      </c>
      <c r="B67" s="77" t="str">
        <f>IFERROR(INDEX(SCNtoISIC!$M:$M,MATCH($A67,SCNtoISIC!$J:$J,0)),0)</f>
        <v>ISIC 21</v>
      </c>
      <c r="C67" s="144" t="s">
        <v>421</v>
      </c>
      <c r="D67" s="145">
        <v>586</v>
      </c>
      <c r="E67" s="145">
        <v>5146</v>
      </c>
      <c r="F67" s="145">
        <v>27</v>
      </c>
      <c r="G67" s="145">
        <v>0</v>
      </c>
      <c r="H67" s="145">
        <v>554</v>
      </c>
      <c r="I67" s="145">
        <v>0</v>
      </c>
      <c r="J67" s="145">
        <v>0</v>
      </c>
      <c r="K67" s="145">
        <v>0</v>
      </c>
      <c r="L67" s="145">
        <v>0</v>
      </c>
      <c r="M67" s="145">
        <v>492</v>
      </c>
      <c r="N67" s="145">
        <v>0</v>
      </c>
      <c r="O67" s="145">
        <v>0</v>
      </c>
      <c r="P67" s="145">
        <v>0</v>
      </c>
      <c r="Q67" s="145">
        <v>0</v>
      </c>
      <c r="R67" s="145">
        <v>0</v>
      </c>
      <c r="S67" s="145">
        <v>0</v>
      </c>
      <c r="T67" s="145">
        <v>0</v>
      </c>
      <c r="U67" s="145">
        <v>0</v>
      </c>
      <c r="V67" s="145">
        <v>0</v>
      </c>
      <c r="W67" s="145">
        <v>0</v>
      </c>
      <c r="X67" s="145">
        <v>4</v>
      </c>
      <c r="Y67" s="145">
        <v>488</v>
      </c>
      <c r="Z67" s="145">
        <v>0</v>
      </c>
      <c r="AA67" s="145">
        <v>8020</v>
      </c>
      <c r="AB67" s="145">
        <v>0</v>
      </c>
      <c r="AC67" s="146">
        <f t="shared" si="2"/>
        <v>0</v>
      </c>
      <c r="AD67" s="146">
        <f t="shared" si="3"/>
        <v>0</v>
      </c>
      <c r="AE67" s="145">
        <v>0</v>
      </c>
      <c r="AF67" s="145">
        <v>0</v>
      </c>
      <c r="AG67" s="145">
        <v>0</v>
      </c>
      <c r="AH67" s="145">
        <v>0</v>
      </c>
      <c r="AI67" s="145">
        <v>0</v>
      </c>
      <c r="AJ67" s="145">
        <v>0</v>
      </c>
      <c r="AK67" s="145">
        <v>0</v>
      </c>
      <c r="AL67" s="145">
        <v>0</v>
      </c>
      <c r="AM67" s="145">
        <v>0</v>
      </c>
      <c r="AN67" s="145">
        <v>0</v>
      </c>
      <c r="AO67" s="145">
        <v>0</v>
      </c>
      <c r="AP67" s="146">
        <f t="shared" si="4"/>
        <v>0</v>
      </c>
      <c r="AQ67" s="146">
        <f t="shared" si="5"/>
        <v>0</v>
      </c>
      <c r="AR67" s="145">
        <v>0</v>
      </c>
      <c r="AS67" s="145">
        <v>0</v>
      </c>
      <c r="AT67" s="145">
        <v>511</v>
      </c>
      <c r="AU67" s="145">
        <v>0</v>
      </c>
      <c r="AV67" s="145">
        <v>0</v>
      </c>
      <c r="AW67" s="145">
        <v>0</v>
      </c>
      <c r="AX67" s="145">
        <v>0</v>
      </c>
      <c r="AY67" s="145">
        <v>0</v>
      </c>
      <c r="AZ67" s="145">
        <v>0</v>
      </c>
      <c r="BA67" s="145">
        <v>0</v>
      </c>
      <c r="BB67" s="145">
        <v>0</v>
      </c>
      <c r="BC67" s="145">
        <v>0</v>
      </c>
      <c r="BD67" s="145">
        <v>0</v>
      </c>
      <c r="BE67" s="145">
        <v>0</v>
      </c>
      <c r="BF67" s="145">
        <v>0</v>
      </c>
      <c r="BG67" s="145">
        <v>0</v>
      </c>
      <c r="BH67" s="145">
        <v>18</v>
      </c>
      <c r="BI67" s="145">
        <v>70</v>
      </c>
      <c r="BJ67" s="145">
        <v>0</v>
      </c>
      <c r="BK67" s="145">
        <v>0</v>
      </c>
      <c r="BL67" s="145">
        <v>0</v>
      </c>
      <c r="BM67" s="145">
        <v>746</v>
      </c>
      <c r="BN67" s="145">
        <v>707</v>
      </c>
      <c r="BO67" s="145">
        <v>290</v>
      </c>
      <c r="BP67" s="145">
        <v>7205</v>
      </c>
      <c r="BQ67" s="145">
        <v>14177</v>
      </c>
      <c r="BR67" s="145">
        <v>8</v>
      </c>
      <c r="BS67" s="145">
        <v>983</v>
      </c>
      <c r="BT67" s="145">
        <v>0</v>
      </c>
      <c r="BU67" s="145">
        <v>40032</v>
      </c>
      <c r="BV67" s="145">
        <v>4462</v>
      </c>
      <c r="BW67" s="145">
        <v>10884</v>
      </c>
      <c r="BX67" s="145">
        <v>0</v>
      </c>
      <c r="BY67" s="145">
        <v>89813</v>
      </c>
      <c r="BZ67" s="145">
        <v>0</v>
      </c>
      <c r="CA67" s="145">
        <v>-153</v>
      </c>
      <c r="CB67" s="145">
        <v>105006</v>
      </c>
      <c r="CC67" s="145">
        <v>145038</v>
      </c>
      <c r="CE67" s="145">
        <v>0</v>
      </c>
      <c r="CF67" s="145">
        <v>0</v>
      </c>
      <c r="CG67" s="165">
        <v>2100</v>
      </c>
    </row>
    <row r="68" spans="1:85" ht="8.25" customHeight="1" x14ac:dyDescent="0.2">
      <c r="A68" s="143">
        <v>22001</v>
      </c>
      <c r="B68" s="77" t="str">
        <f>IFERROR(INDEX(SCNtoISIC!$M:$M,MATCH($A68,SCNtoISIC!$J:$J,0)),0)</f>
        <v>ISIC 22</v>
      </c>
      <c r="C68" s="144" t="s">
        <v>423</v>
      </c>
      <c r="D68" s="145">
        <v>0</v>
      </c>
      <c r="E68" s="145">
        <v>0</v>
      </c>
      <c r="F68" s="145">
        <v>0</v>
      </c>
      <c r="G68" s="145">
        <v>25</v>
      </c>
      <c r="H68" s="145">
        <v>93</v>
      </c>
      <c r="I68" s="145">
        <v>607</v>
      </c>
      <c r="J68" s="145">
        <v>110</v>
      </c>
      <c r="K68" s="145">
        <v>0</v>
      </c>
      <c r="L68" s="145">
        <v>0</v>
      </c>
      <c r="M68" s="145">
        <v>3</v>
      </c>
      <c r="N68" s="145">
        <v>0</v>
      </c>
      <c r="O68" s="145">
        <v>0</v>
      </c>
      <c r="P68" s="145">
        <v>34</v>
      </c>
      <c r="Q68" s="145">
        <v>0</v>
      </c>
      <c r="R68" s="145">
        <v>576</v>
      </c>
      <c r="S68" s="145">
        <v>0</v>
      </c>
      <c r="T68" s="145">
        <v>0</v>
      </c>
      <c r="U68" s="145">
        <v>0</v>
      </c>
      <c r="V68" s="145">
        <v>0</v>
      </c>
      <c r="W68" s="145">
        <v>0</v>
      </c>
      <c r="X68" s="145">
        <v>0</v>
      </c>
      <c r="Y68" s="145">
        <v>5</v>
      </c>
      <c r="Z68" s="145">
        <v>0</v>
      </c>
      <c r="AA68" s="145">
        <v>1</v>
      </c>
      <c r="AB68" s="145">
        <v>1856</v>
      </c>
      <c r="AC68" s="146">
        <f t="shared" si="2"/>
        <v>57</v>
      </c>
      <c r="AD68" s="146">
        <f t="shared" si="3"/>
        <v>38</v>
      </c>
      <c r="AE68" s="145">
        <v>290</v>
      </c>
      <c r="AF68" s="145">
        <v>23</v>
      </c>
      <c r="AG68" s="145">
        <v>6</v>
      </c>
      <c r="AH68" s="145">
        <v>0</v>
      </c>
      <c r="AI68" s="145">
        <v>145</v>
      </c>
      <c r="AJ68" s="145">
        <v>1369</v>
      </c>
      <c r="AK68" s="145">
        <v>7208</v>
      </c>
      <c r="AL68" s="145">
        <v>1699</v>
      </c>
      <c r="AM68" s="145">
        <v>1160</v>
      </c>
      <c r="AN68" s="145">
        <v>46</v>
      </c>
      <c r="AO68" s="145">
        <v>755</v>
      </c>
      <c r="AP68" s="146">
        <f t="shared" si="4"/>
        <v>0</v>
      </c>
      <c r="AQ68" s="146">
        <f t="shared" si="5"/>
        <v>0</v>
      </c>
      <c r="AR68" s="145">
        <v>17</v>
      </c>
      <c r="AS68" s="145">
        <v>50</v>
      </c>
      <c r="AT68" s="145">
        <v>1181</v>
      </c>
      <c r="AU68" s="145">
        <v>7990</v>
      </c>
      <c r="AV68" s="145">
        <v>0</v>
      </c>
      <c r="AW68" s="145">
        <v>1292</v>
      </c>
      <c r="AX68" s="145">
        <v>0</v>
      </c>
      <c r="AY68" s="145">
        <v>0</v>
      </c>
      <c r="AZ68" s="145">
        <v>0</v>
      </c>
      <c r="BA68" s="145">
        <v>0</v>
      </c>
      <c r="BB68" s="145">
        <v>0</v>
      </c>
      <c r="BC68" s="145">
        <v>0</v>
      </c>
      <c r="BD68" s="145">
        <v>0</v>
      </c>
      <c r="BE68" s="145">
        <v>0</v>
      </c>
      <c r="BF68" s="145">
        <v>0</v>
      </c>
      <c r="BG68" s="145">
        <v>0</v>
      </c>
      <c r="BH68" s="145">
        <v>4</v>
      </c>
      <c r="BI68" s="145">
        <v>0</v>
      </c>
      <c r="BJ68" s="145">
        <v>467</v>
      </c>
      <c r="BK68" s="145">
        <v>0</v>
      </c>
      <c r="BL68" s="145">
        <v>0</v>
      </c>
      <c r="BM68" s="145">
        <v>1</v>
      </c>
      <c r="BN68" s="145">
        <v>6</v>
      </c>
      <c r="BO68" s="145">
        <v>0</v>
      </c>
      <c r="BP68" s="145">
        <v>14</v>
      </c>
      <c r="BQ68" s="145">
        <v>8</v>
      </c>
      <c r="BR68" s="145">
        <v>0</v>
      </c>
      <c r="BS68" s="145">
        <v>24</v>
      </c>
      <c r="BT68" s="145">
        <v>0</v>
      </c>
      <c r="BU68" s="145">
        <v>27160</v>
      </c>
      <c r="BV68" s="145">
        <v>4819</v>
      </c>
      <c r="BW68" s="145">
        <v>0</v>
      </c>
      <c r="BX68" s="145">
        <v>0</v>
      </c>
      <c r="BY68" s="145">
        <v>9539</v>
      </c>
      <c r="BZ68" s="145">
        <v>0</v>
      </c>
      <c r="CA68" s="145">
        <v>-163</v>
      </c>
      <c r="CB68" s="145">
        <v>14195</v>
      </c>
      <c r="CC68" s="145">
        <v>41355</v>
      </c>
      <c r="CE68" s="145">
        <v>95</v>
      </c>
      <c r="CF68" s="145">
        <v>0</v>
      </c>
      <c r="CG68" s="165">
        <v>2200</v>
      </c>
    </row>
    <row r="69" spans="1:85" ht="8.25" customHeight="1" x14ac:dyDescent="0.2">
      <c r="A69" s="143">
        <v>22002</v>
      </c>
      <c r="B69" s="77" t="str">
        <f>IFERROR(INDEX(SCNtoISIC!$M:$M,MATCH($A69,SCNtoISIC!$J:$J,0)),0)</f>
        <v>ISIC 22</v>
      </c>
      <c r="C69" s="144" t="s">
        <v>425</v>
      </c>
      <c r="D69" s="145">
        <v>798</v>
      </c>
      <c r="E69" s="145">
        <v>276</v>
      </c>
      <c r="F69" s="145">
        <v>56</v>
      </c>
      <c r="G69" s="145">
        <v>169</v>
      </c>
      <c r="H69" s="145">
        <v>62</v>
      </c>
      <c r="I69" s="145">
        <v>0</v>
      </c>
      <c r="J69" s="145">
        <v>0</v>
      </c>
      <c r="K69" s="145">
        <v>3496</v>
      </c>
      <c r="L69" s="145">
        <v>181</v>
      </c>
      <c r="M69" s="145">
        <v>9199</v>
      </c>
      <c r="N69" s="145">
        <v>4044</v>
      </c>
      <c r="O69" s="145">
        <v>0</v>
      </c>
      <c r="P69" s="145">
        <v>95</v>
      </c>
      <c r="Q69" s="145">
        <v>105</v>
      </c>
      <c r="R69" s="145">
        <v>410</v>
      </c>
      <c r="S69" s="145">
        <v>254</v>
      </c>
      <c r="T69" s="145">
        <v>902</v>
      </c>
      <c r="U69" s="145">
        <v>1186</v>
      </c>
      <c r="V69" s="145">
        <v>122</v>
      </c>
      <c r="W69" s="145">
        <v>48</v>
      </c>
      <c r="X69" s="145">
        <v>1504</v>
      </c>
      <c r="Y69" s="145">
        <v>834</v>
      </c>
      <c r="Z69" s="145">
        <v>2135</v>
      </c>
      <c r="AA69" s="145">
        <v>582</v>
      </c>
      <c r="AB69" s="145">
        <v>18416</v>
      </c>
      <c r="AC69" s="146">
        <f t="shared" si="2"/>
        <v>1629.6</v>
      </c>
      <c r="AD69" s="146">
        <f t="shared" si="3"/>
        <v>1086.4000000000001</v>
      </c>
      <c r="AE69" s="145">
        <v>315</v>
      </c>
      <c r="AF69" s="145">
        <v>0</v>
      </c>
      <c r="AG69" s="145">
        <v>931</v>
      </c>
      <c r="AH69" s="145">
        <v>1508</v>
      </c>
      <c r="AI69" s="145">
        <v>2529</v>
      </c>
      <c r="AJ69" s="145">
        <v>1380</v>
      </c>
      <c r="AK69" s="145">
        <v>2820</v>
      </c>
      <c r="AL69" s="145">
        <v>2496</v>
      </c>
      <c r="AM69" s="145">
        <v>322</v>
      </c>
      <c r="AN69" s="145">
        <v>3166</v>
      </c>
      <c r="AO69" s="145">
        <v>886</v>
      </c>
      <c r="AP69" s="146">
        <f t="shared" si="4"/>
        <v>224</v>
      </c>
      <c r="AQ69" s="146">
        <f t="shared" si="5"/>
        <v>112</v>
      </c>
      <c r="AR69" s="145">
        <v>464</v>
      </c>
      <c r="AS69" s="145">
        <v>17405</v>
      </c>
      <c r="AT69" s="145">
        <v>8386</v>
      </c>
      <c r="AU69" s="145">
        <v>77</v>
      </c>
      <c r="AV69" s="145">
        <v>0</v>
      </c>
      <c r="AW69" s="145">
        <v>11</v>
      </c>
      <c r="AX69" s="145">
        <v>145</v>
      </c>
      <c r="AY69" s="145">
        <v>12</v>
      </c>
      <c r="AZ69" s="145">
        <v>580</v>
      </c>
      <c r="BA69" s="145">
        <v>0</v>
      </c>
      <c r="BB69" s="145">
        <v>0</v>
      </c>
      <c r="BC69" s="145">
        <v>0</v>
      </c>
      <c r="BD69" s="145">
        <v>3</v>
      </c>
      <c r="BE69" s="145">
        <v>38</v>
      </c>
      <c r="BF69" s="145">
        <v>128</v>
      </c>
      <c r="BG69" s="145">
        <v>686</v>
      </c>
      <c r="BH69" s="145">
        <v>9</v>
      </c>
      <c r="BI69" s="145">
        <v>0</v>
      </c>
      <c r="BJ69" s="145">
        <v>0</v>
      </c>
      <c r="BK69" s="145">
        <v>614</v>
      </c>
      <c r="BL69" s="145">
        <v>0</v>
      </c>
      <c r="BM69" s="145">
        <v>159</v>
      </c>
      <c r="BN69" s="145">
        <v>257</v>
      </c>
      <c r="BO69" s="145">
        <v>0</v>
      </c>
      <c r="BP69" s="145">
        <v>586</v>
      </c>
      <c r="BQ69" s="145">
        <v>549</v>
      </c>
      <c r="BR69" s="145">
        <v>0</v>
      </c>
      <c r="BS69" s="145">
        <v>105</v>
      </c>
      <c r="BT69" s="145">
        <v>0</v>
      </c>
      <c r="BU69" s="145">
        <v>94493</v>
      </c>
      <c r="BV69" s="145">
        <v>3782</v>
      </c>
      <c r="BW69" s="145">
        <v>0</v>
      </c>
      <c r="BX69" s="145">
        <v>0</v>
      </c>
      <c r="BY69" s="145">
        <v>8540</v>
      </c>
      <c r="BZ69" s="145">
        <v>0</v>
      </c>
      <c r="CA69" s="145">
        <v>-2059</v>
      </c>
      <c r="CB69" s="145">
        <v>10263</v>
      </c>
      <c r="CC69" s="145">
        <v>104756</v>
      </c>
      <c r="CE69" s="145">
        <v>2716</v>
      </c>
      <c r="CF69" s="145">
        <v>336</v>
      </c>
      <c r="CG69" s="165">
        <v>2200</v>
      </c>
    </row>
    <row r="70" spans="1:85" ht="8.25" customHeight="1" x14ac:dyDescent="0.2">
      <c r="A70" s="143">
        <v>23001</v>
      </c>
      <c r="B70" s="77" t="str">
        <f>IFERROR(INDEX(SCNtoISIC!$M:$M,MATCH($A70,SCNtoISIC!$J:$J,0)),0)</f>
        <v>ISIC 239</v>
      </c>
      <c r="C70" s="144" t="s">
        <v>427</v>
      </c>
      <c r="D70" s="145">
        <v>76</v>
      </c>
      <c r="E70" s="145">
        <v>162</v>
      </c>
      <c r="F70" s="145">
        <v>14</v>
      </c>
      <c r="G70" s="145">
        <v>0</v>
      </c>
      <c r="H70" s="145">
        <v>54</v>
      </c>
      <c r="I70" s="145">
        <v>0</v>
      </c>
      <c r="J70" s="145">
        <v>0</v>
      </c>
      <c r="K70" s="145">
        <v>0</v>
      </c>
      <c r="L70" s="145">
        <v>0</v>
      </c>
      <c r="M70" s="145">
        <v>0</v>
      </c>
      <c r="N70" s="145">
        <v>0</v>
      </c>
      <c r="O70" s="145">
        <v>0</v>
      </c>
      <c r="P70" s="145">
        <v>0</v>
      </c>
      <c r="Q70" s="145">
        <v>0</v>
      </c>
      <c r="R70" s="145">
        <v>0</v>
      </c>
      <c r="S70" s="145">
        <v>0</v>
      </c>
      <c r="T70" s="145">
        <v>0</v>
      </c>
      <c r="U70" s="145">
        <v>0</v>
      </c>
      <c r="V70" s="145">
        <v>0</v>
      </c>
      <c r="W70" s="145">
        <v>0</v>
      </c>
      <c r="X70" s="145">
        <v>0</v>
      </c>
      <c r="Y70" s="145">
        <v>0</v>
      </c>
      <c r="Z70" s="145">
        <v>0</v>
      </c>
      <c r="AA70" s="145">
        <v>0</v>
      </c>
      <c r="AB70" s="145">
        <v>0</v>
      </c>
      <c r="AC70" s="146">
        <f t="shared" si="2"/>
        <v>4456.8</v>
      </c>
      <c r="AD70" s="146">
        <f t="shared" si="3"/>
        <v>2971.2000000000003</v>
      </c>
      <c r="AE70" s="145">
        <v>0</v>
      </c>
      <c r="AF70" s="145">
        <v>0</v>
      </c>
      <c r="AG70" s="145">
        <v>0</v>
      </c>
      <c r="AH70" s="145">
        <v>0</v>
      </c>
      <c r="AI70" s="145">
        <v>0</v>
      </c>
      <c r="AJ70" s="145">
        <v>0</v>
      </c>
      <c r="AK70" s="145">
        <v>0</v>
      </c>
      <c r="AL70" s="145">
        <v>0</v>
      </c>
      <c r="AM70" s="145">
        <v>0</v>
      </c>
      <c r="AN70" s="145">
        <v>0</v>
      </c>
      <c r="AO70" s="145">
        <v>0</v>
      </c>
      <c r="AP70" s="146">
        <f t="shared" si="4"/>
        <v>540.66666666666663</v>
      </c>
      <c r="AQ70" s="146">
        <f t="shared" si="5"/>
        <v>270.33333333333331</v>
      </c>
      <c r="AR70" s="145">
        <v>160</v>
      </c>
      <c r="AS70" s="145">
        <v>11919</v>
      </c>
      <c r="AT70" s="145">
        <v>0</v>
      </c>
      <c r="AU70" s="145">
        <v>0</v>
      </c>
      <c r="AV70" s="145">
        <v>0</v>
      </c>
      <c r="AW70" s="145">
        <v>0</v>
      </c>
      <c r="AX70" s="145">
        <v>0</v>
      </c>
      <c r="AY70" s="145">
        <v>0</v>
      </c>
      <c r="AZ70" s="145">
        <v>0</v>
      </c>
      <c r="BA70" s="145">
        <v>0</v>
      </c>
      <c r="BB70" s="145">
        <v>0</v>
      </c>
      <c r="BC70" s="145">
        <v>0</v>
      </c>
      <c r="BD70" s="145">
        <v>0</v>
      </c>
      <c r="BE70" s="145">
        <v>0</v>
      </c>
      <c r="BF70" s="145">
        <v>926</v>
      </c>
      <c r="BG70" s="145">
        <v>0</v>
      </c>
      <c r="BH70" s="145">
        <v>0</v>
      </c>
      <c r="BI70" s="145">
        <v>0</v>
      </c>
      <c r="BJ70" s="145">
        <v>0</v>
      </c>
      <c r="BK70" s="145">
        <v>0</v>
      </c>
      <c r="BL70" s="145">
        <v>0</v>
      </c>
      <c r="BM70" s="145">
        <v>68</v>
      </c>
      <c r="BN70" s="145">
        <v>22</v>
      </c>
      <c r="BO70" s="145">
        <v>0</v>
      </c>
      <c r="BP70" s="145">
        <v>3</v>
      </c>
      <c r="BQ70" s="145">
        <v>0</v>
      </c>
      <c r="BR70" s="145">
        <v>0</v>
      </c>
      <c r="BS70" s="145">
        <v>0</v>
      </c>
      <c r="BT70" s="145">
        <v>0</v>
      </c>
      <c r="BU70" s="145">
        <v>21643</v>
      </c>
      <c r="BV70" s="145">
        <v>73</v>
      </c>
      <c r="BW70" s="145">
        <v>0</v>
      </c>
      <c r="BX70" s="145">
        <v>0</v>
      </c>
      <c r="BY70" s="145">
        <v>0</v>
      </c>
      <c r="BZ70" s="145">
        <v>0</v>
      </c>
      <c r="CA70" s="145">
        <v>-311</v>
      </c>
      <c r="CB70" s="145">
        <v>-238</v>
      </c>
      <c r="CC70" s="145">
        <v>21405</v>
      </c>
      <c r="CE70" s="145">
        <v>7428</v>
      </c>
      <c r="CF70" s="145">
        <v>811</v>
      </c>
      <c r="CG70" s="165">
        <v>2310</v>
      </c>
    </row>
    <row r="71" spans="1:85" ht="8.25" customHeight="1" x14ac:dyDescent="0.2">
      <c r="A71" s="143">
        <v>23002</v>
      </c>
      <c r="B71" s="77" t="str">
        <f>IFERROR(INDEX(SCNtoISIC!$M:$M,MATCH($A71,SCNtoISIC!$J:$J,0)),0)</f>
        <v>ISIC 239</v>
      </c>
      <c r="C71" s="144" t="s">
        <v>430</v>
      </c>
      <c r="D71" s="145">
        <v>120</v>
      </c>
      <c r="E71" s="145">
        <v>203</v>
      </c>
      <c r="F71" s="145">
        <v>18</v>
      </c>
      <c r="G71" s="145">
        <v>0</v>
      </c>
      <c r="H71" s="145">
        <v>23</v>
      </c>
      <c r="I71" s="145">
        <v>0</v>
      </c>
      <c r="J71" s="145">
        <v>0</v>
      </c>
      <c r="K71" s="145">
        <v>0</v>
      </c>
      <c r="L71" s="145">
        <v>0</v>
      </c>
      <c r="M71" s="145">
        <v>0</v>
      </c>
      <c r="N71" s="145">
        <v>0</v>
      </c>
      <c r="O71" s="145">
        <v>0</v>
      </c>
      <c r="P71" s="145">
        <v>0</v>
      </c>
      <c r="Q71" s="145">
        <v>0</v>
      </c>
      <c r="R71" s="145">
        <v>0</v>
      </c>
      <c r="S71" s="145">
        <v>0</v>
      </c>
      <c r="T71" s="145">
        <v>0</v>
      </c>
      <c r="U71" s="145">
        <v>0</v>
      </c>
      <c r="V71" s="145">
        <v>0</v>
      </c>
      <c r="W71" s="145">
        <v>0</v>
      </c>
      <c r="X71" s="145">
        <v>0</v>
      </c>
      <c r="Y71" s="145">
        <v>0</v>
      </c>
      <c r="Z71" s="145">
        <v>0</v>
      </c>
      <c r="AA71" s="145">
        <v>0</v>
      </c>
      <c r="AB71" s="145">
        <v>0</v>
      </c>
      <c r="AC71" s="146">
        <f t="shared" si="2"/>
        <v>10.199999999999999</v>
      </c>
      <c r="AD71" s="146">
        <f t="shared" si="3"/>
        <v>6.8000000000000007</v>
      </c>
      <c r="AE71" s="145">
        <v>0</v>
      </c>
      <c r="AF71" s="145">
        <v>0</v>
      </c>
      <c r="AG71" s="145">
        <v>0</v>
      </c>
      <c r="AH71" s="145">
        <v>0</v>
      </c>
      <c r="AI71" s="145">
        <v>0</v>
      </c>
      <c r="AJ71" s="145">
        <v>0</v>
      </c>
      <c r="AK71" s="145">
        <v>0</v>
      </c>
      <c r="AL71" s="145">
        <v>0</v>
      </c>
      <c r="AM71" s="145">
        <v>0</v>
      </c>
      <c r="AN71" s="145">
        <v>0</v>
      </c>
      <c r="AO71" s="145">
        <v>0</v>
      </c>
      <c r="AP71" s="146">
        <f t="shared" si="4"/>
        <v>1026</v>
      </c>
      <c r="AQ71" s="146">
        <f t="shared" si="5"/>
        <v>513</v>
      </c>
      <c r="AR71" s="145">
        <v>787</v>
      </c>
      <c r="AS71" s="145">
        <v>30719</v>
      </c>
      <c r="AT71" s="145">
        <v>0</v>
      </c>
      <c r="AU71" s="145">
        <v>0</v>
      </c>
      <c r="AV71" s="145">
        <v>0</v>
      </c>
      <c r="AW71" s="145">
        <v>0</v>
      </c>
      <c r="AX71" s="145">
        <v>10</v>
      </c>
      <c r="AY71" s="145">
        <v>0</v>
      </c>
      <c r="AZ71" s="145">
        <v>0</v>
      </c>
      <c r="BA71" s="145">
        <v>0</v>
      </c>
      <c r="BB71" s="145">
        <v>0</v>
      </c>
      <c r="BC71" s="145">
        <v>0</v>
      </c>
      <c r="BD71" s="145">
        <v>0</v>
      </c>
      <c r="BE71" s="145">
        <v>0</v>
      </c>
      <c r="BF71" s="145">
        <v>992</v>
      </c>
      <c r="BG71" s="145">
        <v>0</v>
      </c>
      <c r="BH71" s="145">
        <v>0</v>
      </c>
      <c r="BI71" s="145">
        <v>0</v>
      </c>
      <c r="BJ71" s="145">
        <v>0</v>
      </c>
      <c r="BK71" s="145">
        <v>0</v>
      </c>
      <c r="BL71" s="145">
        <v>0</v>
      </c>
      <c r="BM71" s="145">
        <v>52</v>
      </c>
      <c r="BN71" s="145">
        <v>9</v>
      </c>
      <c r="BO71" s="145">
        <v>0</v>
      </c>
      <c r="BP71" s="145">
        <v>3</v>
      </c>
      <c r="BQ71" s="145">
        <v>0</v>
      </c>
      <c r="BR71" s="145">
        <v>0</v>
      </c>
      <c r="BS71" s="145">
        <v>216</v>
      </c>
      <c r="BT71" s="145">
        <v>0</v>
      </c>
      <c r="BU71" s="145">
        <v>34708</v>
      </c>
      <c r="BV71" s="145">
        <v>47</v>
      </c>
      <c r="BW71" s="145">
        <v>0</v>
      </c>
      <c r="BX71" s="145">
        <v>0</v>
      </c>
      <c r="BY71" s="145">
        <v>0</v>
      </c>
      <c r="BZ71" s="145">
        <v>0</v>
      </c>
      <c r="CA71" s="145">
        <v>-1248</v>
      </c>
      <c r="CB71" s="145">
        <v>-1201</v>
      </c>
      <c r="CC71" s="145">
        <v>33507</v>
      </c>
      <c r="CE71" s="145">
        <v>17</v>
      </c>
      <c r="CF71" s="145">
        <v>1539</v>
      </c>
      <c r="CG71" s="165">
        <v>2320</v>
      </c>
    </row>
    <row r="72" spans="1:85" ht="8.25" customHeight="1" x14ac:dyDescent="0.2">
      <c r="A72" s="147">
        <v>23003</v>
      </c>
      <c r="B72" s="77" t="str">
        <f>IFERROR(INDEX(SCNtoISIC!$M:$M,MATCH($A72,SCNtoISIC!$J:$J,0)),0)</f>
        <v>ISIC 231</v>
      </c>
      <c r="C72" s="93" t="s">
        <v>617</v>
      </c>
      <c r="D72" s="148">
        <v>4420</v>
      </c>
      <c r="E72" s="148">
        <v>2503</v>
      </c>
      <c r="F72" s="148">
        <v>72</v>
      </c>
      <c r="G72" s="148">
        <v>62</v>
      </c>
      <c r="H72" s="148">
        <v>21</v>
      </c>
      <c r="I72" s="148">
        <v>7</v>
      </c>
      <c r="J72" s="148">
        <v>17</v>
      </c>
      <c r="K72" s="148">
        <v>1</v>
      </c>
      <c r="L72" s="148">
        <v>159</v>
      </c>
      <c r="M72" s="148">
        <v>2063</v>
      </c>
      <c r="N72" s="148">
        <v>2395</v>
      </c>
      <c r="O72" s="148">
        <v>0</v>
      </c>
      <c r="P72" s="148">
        <v>0</v>
      </c>
      <c r="Q72" s="148">
        <v>0</v>
      </c>
      <c r="R72" s="148">
        <v>0</v>
      </c>
      <c r="S72" s="148">
        <v>0</v>
      </c>
      <c r="T72" s="148">
        <v>259</v>
      </c>
      <c r="U72" s="148">
        <v>0</v>
      </c>
      <c r="V72" s="148">
        <v>0</v>
      </c>
      <c r="W72" s="148">
        <v>0</v>
      </c>
      <c r="X72" s="148">
        <v>569</v>
      </c>
      <c r="Y72" s="148">
        <v>233</v>
      </c>
      <c r="Z72" s="148">
        <v>446</v>
      </c>
      <c r="AA72" s="148">
        <v>72</v>
      </c>
      <c r="AB72" s="148">
        <v>532</v>
      </c>
      <c r="AC72" s="146">
        <f t="shared" ref="AC72:AC134" si="6">0.6*CE72</f>
        <v>2770.7999999999997</v>
      </c>
      <c r="AD72" s="146">
        <f t="shared" ref="AD72:AD134" si="7">(1-0.6)*CE72</f>
        <v>1847.2</v>
      </c>
      <c r="AE72" s="148">
        <v>430</v>
      </c>
      <c r="AF72" s="148">
        <v>7</v>
      </c>
      <c r="AG72" s="148">
        <v>223</v>
      </c>
      <c r="AH72" s="148">
        <v>1</v>
      </c>
      <c r="AI72" s="148">
        <v>415</v>
      </c>
      <c r="AJ72" s="148">
        <v>436</v>
      </c>
      <c r="AK72" s="148">
        <v>2501</v>
      </c>
      <c r="AL72" s="148">
        <v>106</v>
      </c>
      <c r="AM72" s="148">
        <v>264</v>
      </c>
      <c r="AN72" s="148">
        <v>673</v>
      </c>
      <c r="AO72" s="148">
        <v>300</v>
      </c>
      <c r="AP72" s="146">
        <f t="shared" ref="AP72:AP134" si="8">2/3*CF72</f>
        <v>152</v>
      </c>
      <c r="AQ72" s="146">
        <f t="shared" ref="AQ72:AQ134" si="9">1/3*CF72</f>
        <v>76</v>
      </c>
      <c r="AR72" s="148">
        <v>89</v>
      </c>
      <c r="AS72" s="148">
        <v>35148</v>
      </c>
      <c r="AT72" s="148">
        <v>273</v>
      </c>
      <c r="AU72" s="148">
        <v>0</v>
      </c>
      <c r="AV72" s="148">
        <v>0</v>
      </c>
      <c r="AW72" s="148">
        <v>0</v>
      </c>
      <c r="AX72" s="148">
        <v>0</v>
      </c>
      <c r="AY72" s="148">
        <v>274</v>
      </c>
      <c r="AZ72" s="148">
        <v>825</v>
      </c>
      <c r="BA72" s="148">
        <v>0</v>
      </c>
      <c r="BB72" s="148">
        <v>0</v>
      </c>
      <c r="BC72" s="148">
        <v>0</v>
      </c>
      <c r="BD72" s="148">
        <v>0</v>
      </c>
      <c r="BE72" s="148">
        <v>0</v>
      </c>
      <c r="BF72" s="148">
        <v>1290</v>
      </c>
      <c r="BG72" s="148">
        <v>0</v>
      </c>
      <c r="BH72" s="148">
        <v>3</v>
      </c>
      <c r="BI72" s="148">
        <v>0</v>
      </c>
      <c r="BJ72" s="148">
        <v>0</v>
      </c>
      <c r="BK72" s="148">
        <v>105</v>
      </c>
      <c r="BL72" s="148">
        <v>0</v>
      </c>
      <c r="BM72" s="148">
        <v>291</v>
      </c>
      <c r="BN72" s="148">
        <v>176</v>
      </c>
      <c r="BO72" s="148">
        <v>0</v>
      </c>
      <c r="BP72" s="148">
        <v>156</v>
      </c>
      <c r="BQ72" s="148">
        <v>113</v>
      </c>
      <c r="BR72" s="148">
        <v>1</v>
      </c>
      <c r="BS72" s="148">
        <v>74</v>
      </c>
      <c r="BT72" s="148">
        <v>0</v>
      </c>
      <c r="BU72" s="148">
        <v>62851</v>
      </c>
      <c r="BV72" s="148">
        <v>7455</v>
      </c>
      <c r="BW72" s="148">
        <v>0</v>
      </c>
      <c r="BX72" s="148">
        <v>0</v>
      </c>
      <c r="BY72" s="148">
        <v>3910</v>
      </c>
      <c r="BZ72" s="148">
        <v>0</v>
      </c>
      <c r="CA72" s="148">
        <v>1419</v>
      </c>
      <c r="CB72" s="148">
        <v>12784</v>
      </c>
      <c r="CC72" s="148">
        <v>75635</v>
      </c>
      <c r="CE72" s="148">
        <v>4618</v>
      </c>
      <c r="CF72" s="148">
        <v>228</v>
      </c>
      <c r="CG72" s="166">
        <v>2491</v>
      </c>
    </row>
    <row r="73" spans="1:85" ht="8.25" customHeight="1" x14ac:dyDescent="0.2">
      <c r="A73" s="147">
        <v>24911</v>
      </c>
      <c r="B73" s="77" t="str">
        <f>IFERROR(INDEX(SCNtoISIC!$M:$M,MATCH($A73,SCNtoISIC!$J:$J,0)),0)</f>
        <v>ISIC 241</v>
      </c>
      <c r="C73" s="93" t="s">
        <v>618</v>
      </c>
      <c r="D73" s="148">
        <v>0</v>
      </c>
      <c r="E73" s="148">
        <v>0</v>
      </c>
      <c r="F73" s="148">
        <v>0</v>
      </c>
      <c r="G73" s="148">
        <v>0</v>
      </c>
      <c r="H73" s="148">
        <v>0</v>
      </c>
      <c r="I73" s="148">
        <v>0</v>
      </c>
      <c r="J73" s="148">
        <v>0</v>
      </c>
      <c r="K73" s="148">
        <v>0</v>
      </c>
      <c r="L73" s="148">
        <v>0</v>
      </c>
      <c r="M73" s="148">
        <v>0</v>
      </c>
      <c r="N73" s="148">
        <v>0</v>
      </c>
      <c r="O73" s="148">
        <v>0</v>
      </c>
      <c r="P73" s="148">
        <v>0</v>
      </c>
      <c r="Q73" s="148">
        <v>0</v>
      </c>
      <c r="R73" s="148">
        <v>0</v>
      </c>
      <c r="S73" s="148">
        <v>0</v>
      </c>
      <c r="T73" s="148">
        <v>0</v>
      </c>
      <c r="U73" s="148">
        <v>0</v>
      </c>
      <c r="V73" s="148">
        <v>0</v>
      </c>
      <c r="W73" s="148">
        <v>0</v>
      </c>
      <c r="X73" s="148">
        <v>0</v>
      </c>
      <c r="Y73" s="148">
        <v>0</v>
      </c>
      <c r="Z73" s="148">
        <v>0</v>
      </c>
      <c r="AA73" s="148">
        <v>0</v>
      </c>
      <c r="AB73" s="148">
        <v>0</v>
      </c>
      <c r="AC73" s="146">
        <f t="shared" si="6"/>
        <v>21.599999999999998</v>
      </c>
      <c r="AD73" s="146">
        <f t="shared" si="7"/>
        <v>14.4</v>
      </c>
      <c r="AE73" s="148">
        <v>2466</v>
      </c>
      <c r="AF73" s="148">
        <v>377</v>
      </c>
      <c r="AG73" s="148">
        <v>0</v>
      </c>
      <c r="AH73" s="148">
        <v>0</v>
      </c>
      <c r="AI73" s="148">
        <v>0</v>
      </c>
      <c r="AJ73" s="148">
        <v>8</v>
      </c>
      <c r="AK73" s="148">
        <v>17</v>
      </c>
      <c r="AL73" s="148">
        <v>0</v>
      </c>
      <c r="AM73" s="148">
        <v>0</v>
      </c>
      <c r="AN73" s="148">
        <v>0</v>
      </c>
      <c r="AO73" s="148">
        <v>0</v>
      </c>
      <c r="AP73" s="146">
        <f t="shared" si="8"/>
        <v>0</v>
      </c>
      <c r="AQ73" s="146">
        <f t="shared" si="9"/>
        <v>0</v>
      </c>
      <c r="AR73" s="148">
        <v>0</v>
      </c>
      <c r="AS73" s="148">
        <v>0</v>
      </c>
      <c r="AT73" s="148">
        <v>0</v>
      </c>
      <c r="AU73" s="148">
        <v>0</v>
      </c>
      <c r="AV73" s="148">
        <v>0</v>
      </c>
      <c r="AW73" s="148">
        <v>0</v>
      </c>
      <c r="AX73" s="148">
        <v>0</v>
      </c>
      <c r="AY73" s="148">
        <v>0</v>
      </c>
      <c r="AZ73" s="148">
        <v>0</v>
      </c>
      <c r="BA73" s="148">
        <v>0</v>
      </c>
      <c r="BB73" s="148">
        <v>0</v>
      </c>
      <c r="BC73" s="148">
        <v>0</v>
      </c>
      <c r="BD73" s="148">
        <v>0</v>
      </c>
      <c r="BE73" s="148">
        <v>0</v>
      </c>
      <c r="BF73" s="148">
        <v>0</v>
      </c>
      <c r="BG73" s="148">
        <v>0</v>
      </c>
      <c r="BH73" s="148">
        <v>3</v>
      </c>
      <c r="BI73" s="148">
        <v>0</v>
      </c>
      <c r="BJ73" s="148">
        <v>0</v>
      </c>
      <c r="BK73" s="148">
        <v>0</v>
      </c>
      <c r="BL73" s="148">
        <v>0</v>
      </c>
      <c r="BM73" s="148">
        <v>0</v>
      </c>
      <c r="BN73" s="148">
        <v>0</v>
      </c>
      <c r="BO73" s="148">
        <v>0</v>
      </c>
      <c r="BP73" s="148">
        <v>0</v>
      </c>
      <c r="BQ73" s="148">
        <v>0</v>
      </c>
      <c r="BR73" s="148">
        <v>0</v>
      </c>
      <c r="BS73" s="148">
        <v>0</v>
      </c>
      <c r="BT73" s="148">
        <v>0</v>
      </c>
      <c r="BU73" s="148">
        <v>2907</v>
      </c>
      <c r="BV73" s="148">
        <v>10018</v>
      </c>
      <c r="BW73" s="148">
        <v>0</v>
      </c>
      <c r="BX73" s="148">
        <v>0</v>
      </c>
      <c r="BY73" s="148">
        <v>0</v>
      </c>
      <c r="BZ73" s="148">
        <v>0</v>
      </c>
      <c r="CA73" s="148">
        <v>103</v>
      </c>
      <c r="CB73" s="148">
        <v>10121</v>
      </c>
      <c r="CC73" s="148">
        <v>13028</v>
      </c>
      <c r="CE73" s="148">
        <v>36</v>
      </c>
      <c r="CF73" s="148">
        <v>0</v>
      </c>
      <c r="CG73" s="166">
        <v>2491</v>
      </c>
    </row>
    <row r="74" spans="1:85" ht="8.25" customHeight="1" x14ac:dyDescent="0.2">
      <c r="A74" s="147">
        <v>24912</v>
      </c>
      <c r="B74" s="77" t="str">
        <f>IFERROR(INDEX(SCNtoISIC!$M:$M,MATCH($A74,SCNtoISIC!$J:$J,0)),0)</f>
        <v>ISIC 241</v>
      </c>
      <c r="C74" s="93" t="s">
        <v>619</v>
      </c>
      <c r="D74" s="148">
        <v>238</v>
      </c>
      <c r="E74" s="148">
        <v>405</v>
      </c>
      <c r="F74" s="148">
        <v>23</v>
      </c>
      <c r="G74" s="148">
        <v>96</v>
      </c>
      <c r="H74" s="148">
        <v>1831</v>
      </c>
      <c r="I74" s="148">
        <v>0</v>
      </c>
      <c r="J74" s="148">
        <v>90</v>
      </c>
      <c r="K74" s="148">
        <v>217</v>
      </c>
      <c r="L74" s="148">
        <v>0</v>
      </c>
      <c r="M74" s="148">
        <v>40</v>
      </c>
      <c r="N74" s="148">
        <v>0</v>
      </c>
      <c r="O74" s="148">
        <v>0</v>
      </c>
      <c r="P74" s="148">
        <v>0</v>
      </c>
      <c r="Q74" s="148">
        <v>0</v>
      </c>
      <c r="R74" s="148">
        <v>0</v>
      </c>
      <c r="S74" s="148">
        <v>0</v>
      </c>
      <c r="T74" s="148">
        <v>165</v>
      </c>
      <c r="U74" s="148">
        <v>0</v>
      </c>
      <c r="V74" s="148">
        <v>0</v>
      </c>
      <c r="W74" s="148">
        <v>0</v>
      </c>
      <c r="X74" s="148">
        <v>0</v>
      </c>
      <c r="Y74" s="148">
        <v>0</v>
      </c>
      <c r="Z74" s="148">
        <v>0</v>
      </c>
      <c r="AA74" s="148">
        <v>1</v>
      </c>
      <c r="AB74" s="148">
        <v>798</v>
      </c>
      <c r="AC74" s="146">
        <f t="shared" si="6"/>
        <v>534.6</v>
      </c>
      <c r="AD74" s="146">
        <f t="shared" si="7"/>
        <v>356.40000000000003</v>
      </c>
      <c r="AE74" s="148">
        <v>7939</v>
      </c>
      <c r="AF74" s="148">
        <v>131</v>
      </c>
      <c r="AG74" s="148">
        <v>19611</v>
      </c>
      <c r="AH74" s="148">
        <v>50</v>
      </c>
      <c r="AI74" s="148">
        <v>3403</v>
      </c>
      <c r="AJ74" s="148">
        <v>9365</v>
      </c>
      <c r="AK74" s="148">
        <v>6716</v>
      </c>
      <c r="AL74" s="148">
        <v>7223</v>
      </c>
      <c r="AM74" s="148">
        <v>1623</v>
      </c>
      <c r="AN74" s="148">
        <v>1421</v>
      </c>
      <c r="AO74" s="148">
        <v>1335</v>
      </c>
      <c r="AP74" s="146">
        <f t="shared" si="8"/>
        <v>195.33333333333331</v>
      </c>
      <c r="AQ74" s="146">
        <f t="shared" si="9"/>
        <v>97.666666666666657</v>
      </c>
      <c r="AR74" s="148">
        <v>109</v>
      </c>
      <c r="AS74" s="148">
        <v>20219</v>
      </c>
      <c r="AT74" s="148">
        <v>1315</v>
      </c>
      <c r="AU74" s="148">
        <v>27</v>
      </c>
      <c r="AV74" s="148">
        <v>0</v>
      </c>
      <c r="AW74" s="148">
        <v>0</v>
      </c>
      <c r="AX74" s="148">
        <v>6</v>
      </c>
      <c r="AY74" s="148">
        <v>0</v>
      </c>
      <c r="AZ74" s="148">
        <v>0</v>
      </c>
      <c r="BA74" s="148">
        <v>0</v>
      </c>
      <c r="BB74" s="148">
        <v>0</v>
      </c>
      <c r="BC74" s="148">
        <v>0</v>
      </c>
      <c r="BD74" s="148">
        <v>19</v>
      </c>
      <c r="BE74" s="148">
        <v>0</v>
      </c>
      <c r="BF74" s="148">
        <v>0</v>
      </c>
      <c r="BG74" s="148">
        <v>0</v>
      </c>
      <c r="BH74" s="148">
        <v>28</v>
      </c>
      <c r="BI74" s="148">
        <v>0</v>
      </c>
      <c r="BJ74" s="148">
        <v>287</v>
      </c>
      <c r="BK74" s="148">
        <v>0</v>
      </c>
      <c r="BL74" s="148">
        <v>0</v>
      </c>
      <c r="BM74" s="148">
        <v>151</v>
      </c>
      <c r="BN74" s="148">
        <v>45</v>
      </c>
      <c r="BO74" s="148">
        <v>0</v>
      </c>
      <c r="BP74" s="148">
        <v>5</v>
      </c>
      <c r="BQ74" s="148">
        <v>0</v>
      </c>
      <c r="BR74" s="148">
        <v>0</v>
      </c>
      <c r="BS74" s="148">
        <v>0</v>
      </c>
      <c r="BT74" s="148">
        <v>0</v>
      </c>
      <c r="BU74" s="148">
        <v>86116</v>
      </c>
      <c r="BV74" s="148">
        <v>26907</v>
      </c>
      <c r="BW74" s="148">
        <v>0</v>
      </c>
      <c r="BX74" s="148">
        <v>0</v>
      </c>
      <c r="BY74" s="148">
        <v>241</v>
      </c>
      <c r="BZ74" s="148">
        <v>88</v>
      </c>
      <c r="CA74" s="148">
        <v>-2164</v>
      </c>
      <c r="CB74" s="148">
        <v>25072</v>
      </c>
      <c r="CC74" s="148">
        <v>111188</v>
      </c>
      <c r="CE74" s="148">
        <v>891</v>
      </c>
      <c r="CF74" s="148">
        <v>293</v>
      </c>
      <c r="CG74" s="166">
        <v>2491</v>
      </c>
    </row>
    <row r="75" spans="1:85" ht="8.25" customHeight="1" x14ac:dyDescent="0.2">
      <c r="A75" s="147">
        <v>24921</v>
      </c>
      <c r="B75" s="77" t="str">
        <f>IFERROR(INDEX(SCNtoISIC!$M:$M,MATCH($A75,SCNtoISIC!$J:$J,0)),0)</f>
        <v>ISIC 242</v>
      </c>
      <c r="C75" s="93" t="s">
        <v>620</v>
      </c>
      <c r="D75" s="148">
        <v>0</v>
      </c>
      <c r="E75" s="148">
        <v>0</v>
      </c>
      <c r="F75" s="148">
        <v>0</v>
      </c>
      <c r="G75" s="148">
        <v>0</v>
      </c>
      <c r="H75" s="148">
        <v>0</v>
      </c>
      <c r="I75" s="148">
        <v>0</v>
      </c>
      <c r="J75" s="148">
        <v>10</v>
      </c>
      <c r="K75" s="148">
        <v>445</v>
      </c>
      <c r="L75" s="148">
        <v>0</v>
      </c>
      <c r="M75" s="148">
        <v>634</v>
      </c>
      <c r="N75" s="148">
        <v>0</v>
      </c>
      <c r="O75" s="148">
        <v>0</v>
      </c>
      <c r="P75" s="148">
        <v>0</v>
      </c>
      <c r="Q75" s="148">
        <v>0</v>
      </c>
      <c r="R75" s="148">
        <v>0</v>
      </c>
      <c r="S75" s="148">
        <v>0</v>
      </c>
      <c r="T75" s="148">
        <v>328</v>
      </c>
      <c r="U75" s="148">
        <v>390</v>
      </c>
      <c r="V75" s="148">
        <v>0</v>
      </c>
      <c r="W75" s="148">
        <v>0</v>
      </c>
      <c r="X75" s="148">
        <v>29</v>
      </c>
      <c r="Y75" s="148">
        <v>270</v>
      </c>
      <c r="Z75" s="148">
        <v>0</v>
      </c>
      <c r="AA75" s="148">
        <v>12</v>
      </c>
      <c r="AB75" s="148">
        <v>107</v>
      </c>
      <c r="AC75" s="146">
        <f t="shared" si="6"/>
        <v>76.8</v>
      </c>
      <c r="AD75" s="146">
        <f t="shared" si="7"/>
        <v>51.2</v>
      </c>
      <c r="AE75" s="148">
        <v>2218</v>
      </c>
      <c r="AF75" s="148">
        <v>14168</v>
      </c>
      <c r="AG75" s="148">
        <v>3790</v>
      </c>
      <c r="AH75" s="148">
        <v>244</v>
      </c>
      <c r="AI75" s="148">
        <v>9942</v>
      </c>
      <c r="AJ75" s="148">
        <v>1624</v>
      </c>
      <c r="AK75" s="148">
        <v>632</v>
      </c>
      <c r="AL75" s="148">
        <v>3771</v>
      </c>
      <c r="AM75" s="148">
        <v>1459</v>
      </c>
      <c r="AN75" s="148">
        <v>3266</v>
      </c>
      <c r="AO75" s="148">
        <v>499</v>
      </c>
      <c r="AP75" s="146">
        <f t="shared" si="8"/>
        <v>12.666666666666666</v>
      </c>
      <c r="AQ75" s="146">
        <f t="shared" si="9"/>
        <v>6.333333333333333</v>
      </c>
      <c r="AR75" s="148">
        <v>146</v>
      </c>
      <c r="AS75" s="148">
        <v>4704</v>
      </c>
      <c r="AT75" s="148">
        <v>30</v>
      </c>
      <c r="AU75" s="148">
        <v>17</v>
      </c>
      <c r="AV75" s="148">
        <v>0</v>
      </c>
      <c r="AW75" s="148">
        <v>0</v>
      </c>
      <c r="AX75" s="148">
        <v>0</v>
      </c>
      <c r="AY75" s="148">
        <v>0</v>
      </c>
      <c r="AZ75" s="148">
        <v>0</v>
      </c>
      <c r="BA75" s="148">
        <v>0</v>
      </c>
      <c r="BB75" s="148">
        <v>0</v>
      </c>
      <c r="BC75" s="148">
        <v>0</v>
      </c>
      <c r="BD75" s="148">
        <v>0</v>
      </c>
      <c r="BE75" s="148">
        <v>0</v>
      </c>
      <c r="BF75" s="148">
        <v>65</v>
      </c>
      <c r="BG75" s="148">
        <v>0</v>
      </c>
      <c r="BH75" s="148">
        <v>1</v>
      </c>
      <c r="BI75" s="148">
        <v>0</v>
      </c>
      <c r="BJ75" s="148">
        <v>0</v>
      </c>
      <c r="BK75" s="148">
        <v>0</v>
      </c>
      <c r="BL75" s="148">
        <v>0</v>
      </c>
      <c r="BM75" s="148">
        <v>16</v>
      </c>
      <c r="BN75" s="148">
        <v>4</v>
      </c>
      <c r="BO75" s="148">
        <v>0</v>
      </c>
      <c r="BP75" s="148">
        <v>0</v>
      </c>
      <c r="BQ75" s="148">
        <v>0</v>
      </c>
      <c r="BR75" s="148">
        <v>0</v>
      </c>
      <c r="BS75" s="148">
        <v>0</v>
      </c>
      <c r="BT75" s="148">
        <v>0</v>
      </c>
      <c r="BU75" s="148">
        <v>48968</v>
      </c>
      <c r="BV75" s="148">
        <v>25233</v>
      </c>
      <c r="BW75" s="148">
        <v>0</v>
      </c>
      <c r="BX75" s="148">
        <v>0</v>
      </c>
      <c r="BY75" s="148">
        <v>508</v>
      </c>
      <c r="BZ75" s="148">
        <v>0</v>
      </c>
      <c r="CA75" s="148">
        <v>408</v>
      </c>
      <c r="CB75" s="148">
        <v>26149</v>
      </c>
      <c r="CC75" s="148">
        <v>75117</v>
      </c>
      <c r="CE75" s="148">
        <v>128</v>
      </c>
      <c r="CF75" s="148">
        <v>19</v>
      </c>
      <c r="CG75" s="166">
        <v>2492</v>
      </c>
    </row>
    <row r="76" spans="1:85" ht="8.25" customHeight="1" x14ac:dyDescent="0.2">
      <c r="A76" s="147">
        <v>24922</v>
      </c>
      <c r="B76" s="77" t="str">
        <f>IFERROR(INDEX(SCNtoISIC!$M:$M,MATCH($A76,SCNtoISIC!$J:$J,0)),0)</f>
        <v>ISIC 242</v>
      </c>
      <c r="C76" s="93" t="s">
        <v>438</v>
      </c>
      <c r="D76" s="148">
        <v>0</v>
      </c>
      <c r="E76" s="148">
        <v>0</v>
      </c>
      <c r="F76" s="148">
        <v>0</v>
      </c>
      <c r="G76" s="148">
        <v>0</v>
      </c>
      <c r="H76" s="148">
        <v>0</v>
      </c>
      <c r="I76" s="148">
        <v>0</v>
      </c>
      <c r="J76" s="148">
        <v>113</v>
      </c>
      <c r="K76" s="148">
        <v>0</v>
      </c>
      <c r="L76" s="148">
        <v>0</v>
      </c>
      <c r="M76" s="148">
        <v>0</v>
      </c>
      <c r="N76" s="148">
        <v>0</v>
      </c>
      <c r="O76" s="148">
        <v>0</v>
      </c>
      <c r="P76" s="148">
        <v>1</v>
      </c>
      <c r="Q76" s="148">
        <v>0</v>
      </c>
      <c r="R76" s="148">
        <v>0</v>
      </c>
      <c r="S76" s="148">
        <v>0</v>
      </c>
      <c r="T76" s="148">
        <v>0</v>
      </c>
      <c r="U76" s="148">
        <v>0</v>
      </c>
      <c r="V76" s="148">
        <v>0</v>
      </c>
      <c r="W76" s="148">
        <v>0</v>
      </c>
      <c r="X76" s="148">
        <v>0</v>
      </c>
      <c r="Y76" s="148">
        <v>0</v>
      </c>
      <c r="Z76" s="148">
        <v>0</v>
      </c>
      <c r="AA76" s="148">
        <v>0</v>
      </c>
      <c r="AB76" s="148">
        <v>0</v>
      </c>
      <c r="AC76" s="146">
        <f t="shared" si="6"/>
        <v>0</v>
      </c>
      <c r="AD76" s="146">
        <f t="shared" si="7"/>
        <v>0</v>
      </c>
      <c r="AE76" s="148">
        <v>154</v>
      </c>
      <c r="AF76" s="148">
        <v>380</v>
      </c>
      <c r="AG76" s="148">
        <v>0</v>
      </c>
      <c r="AH76" s="148">
        <v>0</v>
      </c>
      <c r="AI76" s="148">
        <v>1113</v>
      </c>
      <c r="AJ76" s="148">
        <v>852</v>
      </c>
      <c r="AK76" s="148">
        <v>0</v>
      </c>
      <c r="AL76" s="148">
        <v>2121</v>
      </c>
      <c r="AM76" s="148">
        <v>34</v>
      </c>
      <c r="AN76" s="148">
        <v>0</v>
      </c>
      <c r="AO76" s="148">
        <v>1342</v>
      </c>
      <c r="AP76" s="146">
        <f t="shared" si="8"/>
        <v>0</v>
      </c>
      <c r="AQ76" s="146">
        <f t="shared" si="9"/>
        <v>0</v>
      </c>
      <c r="AR76" s="148">
        <v>0</v>
      </c>
      <c r="AS76" s="148">
        <v>320</v>
      </c>
      <c r="AT76" s="148">
        <v>614</v>
      </c>
      <c r="AU76" s="148">
        <v>0</v>
      </c>
      <c r="AV76" s="148">
        <v>0</v>
      </c>
      <c r="AW76" s="148">
        <v>0</v>
      </c>
      <c r="AX76" s="148">
        <v>0</v>
      </c>
      <c r="AY76" s="148">
        <v>0</v>
      </c>
      <c r="AZ76" s="148">
        <v>0</v>
      </c>
      <c r="BA76" s="148">
        <v>0</v>
      </c>
      <c r="BB76" s="148">
        <v>0</v>
      </c>
      <c r="BC76" s="148">
        <v>0</v>
      </c>
      <c r="BD76" s="148">
        <v>0</v>
      </c>
      <c r="BE76" s="148">
        <v>0</v>
      </c>
      <c r="BF76" s="148">
        <v>0</v>
      </c>
      <c r="BG76" s="148">
        <v>0</v>
      </c>
      <c r="BH76" s="148">
        <v>0</v>
      </c>
      <c r="BI76" s="148">
        <v>0</v>
      </c>
      <c r="BJ76" s="148">
        <v>0</v>
      </c>
      <c r="BK76" s="148">
        <v>0</v>
      </c>
      <c r="BL76" s="148">
        <v>0</v>
      </c>
      <c r="BM76" s="148">
        <v>0</v>
      </c>
      <c r="BN76" s="148">
        <v>0</v>
      </c>
      <c r="BO76" s="148">
        <v>0</v>
      </c>
      <c r="BP76" s="148">
        <v>0</v>
      </c>
      <c r="BQ76" s="148">
        <v>0</v>
      </c>
      <c r="BR76" s="148">
        <v>0</v>
      </c>
      <c r="BS76" s="148">
        <v>0</v>
      </c>
      <c r="BT76" s="148">
        <v>0</v>
      </c>
      <c r="BU76" s="148">
        <v>7044</v>
      </c>
      <c r="BV76" s="148">
        <v>46</v>
      </c>
      <c r="BW76" s="148">
        <v>0</v>
      </c>
      <c r="BX76" s="148">
        <v>0</v>
      </c>
      <c r="BY76" s="148">
        <v>0</v>
      </c>
      <c r="BZ76" s="148">
        <v>0</v>
      </c>
      <c r="CA76" s="148">
        <v>-105</v>
      </c>
      <c r="CB76" s="148">
        <v>-59</v>
      </c>
      <c r="CC76" s="148">
        <v>6985</v>
      </c>
      <c r="CE76" s="148">
        <v>0</v>
      </c>
      <c r="CF76" s="148">
        <v>0</v>
      </c>
      <c r="CG76" s="166">
        <v>2500</v>
      </c>
    </row>
    <row r="77" spans="1:85" ht="8.25" customHeight="1" x14ac:dyDescent="0.2">
      <c r="A77" s="143">
        <v>25001</v>
      </c>
      <c r="B77" s="77" t="str">
        <f>IFERROR(INDEX(SCNtoISIC!$M:$M,MATCH($A77,SCNtoISIC!$J:$J,0)),0)</f>
        <v>ISIC 25</v>
      </c>
      <c r="C77" s="144" t="s">
        <v>621</v>
      </c>
      <c r="D77" s="145">
        <v>604</v>
      </c>
      <c r="E77" s="145">
        <v>892</v>
      </c>
      <c r="F77" s="145">
        <v>78</v>
      </c>
      <c r="G77" s="145">
        <v>68</v>
      </c>
      <c r="H77" s="145">
        <v>1828</v>
      </c>
      <c r="I77" s="145">
        <v>781</v>
      </c>
      <c r="J77" s="145">
        <v>347</v>
      </c>
      <c r="K77" s="145">
        <v>3280</v>
      </c>
      <c r="L77" s="145">
        <v>95</v>
      </c>
      <c r="M77" s="145">
        <v>3059</v>
      </c>
      <c r="N77" s="145">
        <v>5476</v>
      </c>
      <c r="O77" s="145">
        <v>22</v>
      </c>
      <c r="P77" s="145">
        <v>89</v>
      </c>
      <c r="Q77" s="145">
        <v>104</v>
      </c>
      <c r="R77" s="145">
        <v>72</v>
      </c>
      <c r="S77" s="145">
        <v>555</v>
      </c>
      <c r="T77" s="145">
        <v>151</v>
      </c>
      <c r="U77" s="145">
        <v>25</v>
      </c>
      <c r="V77" s="145">
        <v>439</v>
      </c>
      <c r="W77" s="145">
        <v>79</v>
      </c>
      <c r="X77" s="145">
        <v>550</v>
      </c>
      <c r="Y77" s="145">
        <v>1095</v>
      </c>
      <c r="Z77" s="145">
        <v>1290</v>
      </c>
      <c r="AA77" s="145">
        <v>199</v>
      </c>
      <c r="AB77" s="145">
        <v>184</v>
      </c>
      <c r="AC77" s="146">
        <f t="shared" si="6"/>
        <v>160.79999999999998</v>
      </c>
      <c r="AD77" s="146">
        <f t="shared" si="7"/>
        <v>107.2</v>
      </c>
      <c r="AE77" s="145">
        <v>3040</v>
      </c>
      <c r="AF77" s="145">
        <v>249</v>
      </c>
      <c r="AG77" s="145">
        <v>10544</v>
      </c>
      <c r="AH77" s="145">
        <v>1214</v>
      </c>
      <c r="AI77" s="145">
        <v>2908</v>
      </c>
      <c r="AJ77" s="145">
        <v>6930</v>
      </c>
      <c r="AK77" s="145">
        <v>3927</v>
      </c>
      <c r="AL77" s="145">
        <v>2335</v>
      </c>
      <c r="AM77" s="145">
        <v>3862</v>
      </c>
      <c r="AN77" s="145">
        <v>1682</v>
      </c>
      <c r="AO77" s="145">
        <v>3984</v>
      </c>
      <c r="AP77" s="146">
        <f t="shared" si="8"/>
        <v>2518.6666666666665</v>
      </c>
      <c r="AQ77" s="146">
        <f t="shared" si="9"/>
        <v>1259.3333333333333</v>
      </c>
      <c r="AR77" s="145">
        <v>699</v>
      </c>
      <c r="AS77" s="145">
        <v>34143</v>
      </c>
      <c r="AT77" s="145">
        <v>2056</v>
      </c>
      <c r="AU77" s="145">
        <v>105</v>
      </c>
      <c r="AV77" s="145">
        <v>1</v>
      </c>
      <c r="AW77" s="145">
        <v>0</v>
      </c>
      <c r="AX77" s="145">
        <v>6</v>
      </c>
      <c r="AY77" s="145">
        <v>237</v>
      </c>
      <c r="AZ77" s="145">
        <v>2800</v>
      </c>
      <c r="BA77" s="145">
        <v>0</v>
      </c>
      <c r="BB77" s="145">
        <v>13</v>
      </c>
      <c r="BC77" s="145">
        <v>24</v>
      </c>
      <c r="BD77" s="145">
        <v>3</v>
      </c>
      <c r="BE77" s="145">
        <v>0</v>
      </c>
      <c r="BF77" s="145">
        <v>522</v>
      </c>
      <c r="BG77" s="145">
        <v>0</v>
      </c>
      <c r="BH77" s="145">
        <v>28</v>
      </c>
      <c r="BI77" s="145">
        <v>0</v>
      </c>
      <c r="BJ77" s="145">
        <v>0</v>
      </c>
      <c r="BK77" s="145">
        <v>319</v>
      </c>
      <c r="BL77" s="145">
        <v>115</v>
      </c>
      <c r="BM77" s="145">
        <v>1084</v>
      </c>
      <c r="BN77" s="145">
        <v>123</v>
      </c>
      <c r="BO77" s="145">
        <v>0</v>
      </c>
      <c r="BP77" s="145">
        <v>169</v>
      </c>
      <c r="BQ77" s="145">
        <v>0</v>
      </c>
      <c r="BR77" s="145">
        <v>0</v>
      </c>
      <c r="BS77" s="145">
        <v>121</v>
      </c>
      <c r="BT77" s="145">
        <v>0</v>
      </c>
      <c r="BU77" s="145">
        <v>108651</v>
      </c>
      <c r="BV77" s="145">
        <v>6863</v>
      </c>
      <c r="BW77" s="145">
        <v>0</v>
      </c>
      <c r="BX77" s="145">
        <v>0</v>
      </c>
      <c r="BY77" s="145">
        <v>18926</v>
      </c>
      <c r="BZ77" s="145">
        <v>10887</v>
      </c>
      <c r="CA77" s="145">
        <v>-420</v>
      </c>
      <c r="CB77" s="145">
        <v>36256</v>
      </c>
      <c r="CC77" s="145">
        <v>144907</v>
      </c>
      <c r="CE77" s="145">
        <v>268</v>
      </c>
      <c r="CF77" s="145">
        <v>3778</v>
      </c>
      <c r="CG77" s="165">
        <v>2600</v>
      </c>
    </row>
    <row r="78" spans="1:85" ht="8.25" customHeight="1" x14ac:dyDescent="0.2">
      <c r="A78" s="143">
        <v>26001</v>
      </c>
      <c r="B78" s="77" t="str">
        <f>IFERROR(INDEX(SCNtoISIC!$M:$M,MATCH($A78,SCNtoISIC!$J:$J,0)),0)</f>
        <v>ISIC 26</v>
      </c>
      <c r="C78" s="144" t="s">
        <v>443</v>
      </c>
      <c r="D78" s="145">
        <v>0</v>
      </c>
      <c r="E78" s="145">
        <v>0</v>
      </c>
      <c r="F78" s="145">
        <v>0</v>
      </c>
      <c r="G78" s="145">
        <v>0</v>
      </c>
      <c r="H78" s="145">
        <v>0</v>
      </c>
      <c r="I78" s="145">
        <v>0</v>
      </c>
      <c r="J78" s="145">
        <v>0</v>
      </c>
      <c r="K78" s="145">
        <v>0</v>
      </c>
      <c r="L78" s="145">
        <v>0</v>
      </c>
      <c r="M78" s="145">
        <v>0</v>
      </c>
      <c r="N78" s="145">
        <v>0</v>
      </c>
      <c r="O78" s="145">
        <v>0</v>
      </c>
      <c r="P78" s="145">
        <v>0</v>
      </c>
      <c r="Q78" s="145">
        <v>0</v>
      </c>
      <c r="R78" s="145">
        <v>0</v>
      </c>
      <c r="S78" s="145">
        <v>0</v>
      </c>
      <c r="T78" s="145">
        <v>0</v>
      </c>
      <c r="U78" s="145">
        <v>399</v>
      </c>
      <c r="V78" s="145">
        <v>0</v>
      </c>
      <c r="W78" s="145">
        <v>0</v>
      </c>
      <c r="X78" s="145">
        <v>0</v>
      </c>
      <c r="Y78" s="145">
        <v>0</v>
      </c>
      <c r="Z78" s="145">
        <v>0</v>
      </c>
      <c r="AA78" s="145">
        <v>0</v>
      </c>
      <c r="AB78" s="145">
        <v>0</v>
      </c>
      <c r="AC78" s="146">
        <f t="shared" si="6"/>
        <v>0</v>
      </c>
      <c r="AD78" s="146">
        <f t="shared" si="7"/>
        <v>0</v>
      </c>
      <c r="AE78" s="145">
        <v>0</v>
      </c>
      <c r="AF78" s="145">
        <v>0</v>
      </c>
      <c r="AG78" s="145">
        <v>0</v>
      </c>
      <c r="AH78" s="145">
        <v>18758</v>
      </c>
      <c r="AI78" s="145">
        <v>907</v>
      </c>
      <c r="AJ78" s="145">
        <v>131</v>
      </c>
      <c r="AK78" s="145">
        <v>51</v>
      </c>
      <c r="AL78" s="145">
        <v>403</v>
      </c>
      <c r="AM78" s="145">
        <v>14</v>
      </c>
      <c r="AN78" s="145">
        <v>61</v>
      </c>
      <c r="AO78" s="145">
        <v>852</v>
      </c>
      <c r="AP78" s="146">
        <f t="shared" si="8"/>
        <v>216.66666666666666</v>
      </c>
      <c r="AQ78" s="146">
        <f t="shared" si="9"/>
        <v>108.33333333333333</v>
      </c>
      <c r="AR78" s="145">
        <v>0</v>
      </c>
      <c r="AS78" s="145">
        <v>0</v>
      </c>
      <c r="AT78" s="145">
        <v>66</v>
      </c>
      <c r="AU78" s="145">
        <v>0</v>
      </c>
      <c r="AV78" s="145">
        <v>0</v>
      </c>
      <c r="AW78" s="145">
        <v>0</v>
      </c>
      <c r="AX78" s="145">
        <v>343</v>
      </c>
      <c r="AY78" s="145">
        <v>0</v>
      </c>
      <c r="AZ78" s="145">
        <v>0</v>
      </c>
      <c r="BA78" s="145">
        <v>0</v>
      </c>
      <c r="BB78" s="145">
        <v>0</v>
      </c>
      <c r="BC78" s="145">
        <v>0</v>
      </c>
      <c r="BD78" s="145">
        <v>742</v>
      </c>
      <c r="BE78" s="145">
        <v>0</v>
      </c>
      <c r="BF78" s="145">
        <v>0</v>
      </c>
      <c r="BG78" s="145">
        <v>0</v>
      </c>
      <c r="BH78" s="145">
        <v>8</v>
      </c>
      <c r="BI78" s="145">
        <v>0</v>
      </c>
      <c r="BJ78" s="145">
        <v>0</v>
      </c>
      <c r="BK78" s="145">
        <v>0</v>
      </c>
      <c r="BL78" s="145">
        <v>0</v>
      </c>
      <c r="BM78" s="145">
        <v>70</v>
      </c>
      <c r="BN78" s="145">
        <v>32</v>
      </c>
      <c r="BO78" s="145">
        <v>0</v>
      </c>
      <c r="BP78" s="145">
        <v>3</v>
      </c>
      <c r="BQ78" s="145">
        <v>1</v>
      </c>
      <c r="BR78" s="145">
        <v>20</v>
      </c>
      <c r="BS78" s="145">
        <v>232</v>
      </c>
      <c r="BT78" s="145">
        <v>0</v>
      </c>
      <c r="BU78" s="145">
        <v>23418</v>
      </c>
      <c r="BV78" s="145">
        <v>708</v>
      </c>
      <c r="BW78" s="145">
        <v>0</v>
      </c>
      <c r="BX78" s="145">
        <v>0</v>
      </c>
      <c r="BY78" s="145">
        <v>0</v>
      </c>
      <c r="BZ78" s="145">
        <v>0</v>
      </c>
      <c r="CA78" s="145">
        <v>-774</v>
      </c>
      <c r="CB78" s="145">
        <v>-66</v>
      </c>
      <c r="CC78" s="145">
        <v>23352</v>
      </c>
      <c r="CE78" s="145">
        <v>0</v>
      </c>
      <c r="CF78" s="145">
        <v>325</v>
      </c>
      <c r="CG78" s="165">
        <v>2600</v>
      </c>
    </row>
    <row r="79" spans="1:85" ht="8.25" customHeight="1" x14ac:dyDescent="0.2">
      <c r="A79" s="143">
        <v>26002</v>
      </c>
      <c r="B79" s="77" t="str">
        <f>IFERROR(INDEX(SCNtoISIC!$M:$M,MATCH($A79,SCNtoISIC!$J:$J,0)),0)</f>
        <v>ISIC 26</v>
      </c>
      <c r="C79" s="144" t="s">
        <v>622</v>
      </c>
      <c r="D79" s="145">
        <v>1</v>
      </c>
      <c r="E79" s="145">
        <v>0</v>
      </c>
      <c r="F79" s="145">
        <v>0</v>
      </c>
      <c r="G79" s="145">
        <v>0</v>
      </c>
      <c r="H79" s="145">
        <v>150</v>
      </c>
      <c r="I79" s="145">
        <v>0</v>
      </c>
      <c r="J79" s="145">
        <v>0</v>
      </c>
      <c r="K79" s="145">
        <v>0</v>
      </c>
      <c r="L79" s="145">
        <v>0</v>
      </c>
      <c r="M79" s="145">
        <v>0</v>
      </c>
      <c r="N79" s="145">
        <v>0</v>
      </c>
      <c r="O79" s="145">
        <v>0</v>
      </c>
      <c r="P79" s="145">
        <v>0</v>
      </c>
      <c r="Q79" s="145">
        <v>0</v>
      </c>
      <c r="R79" s="145">
        <v>0</v>
      </c>
      <c r="S79" s="145">
        <v>0</v>
      </c>
      <c r="T79" s="145">
        <v>0</v>
      </c>
      <c r="U79" s="145">
        <v>0</v>
      </c>
      <c r="V79" s="145">
        <v>0</v>
      </c>
      <c r="W79" s="145">
        <v>0</v>
      </c>
      <c r="X79" s="145">
        <v>0</v>
      </c>
      <c r="Y79" s="145">
        <v>0</v>
      </c>
      <c r="Z79" s="145">
        <v>0</v>
      </c>
      <c r="AA79" s="145">
        <v>0</v>
      </c>
      <c r="AB79" s="145">
        <v>0</v>
      </c>
      <c r="AC79" s="146">
        <f t="shared" si="6"/>
        <v>0</v>
      </c>
      <c r="AD79" s="146">
        <f t="shared" si="7"/>
        <v>0</v>
      </c>
      <c r="AE79" s="145">
        <v>0</v>
      </c>
      <c r="AF79" s="145">
        <v>0</v>
      </c>
      <c r="AG79" s="145">
        <v>0</v>
      </c>
      <c r="AH79" s="145">
        <v>7223</v>
      </c>
      <c r="AI79" s="145">
        <v>0</v>
      </c>
      <c r="AJ79" s="145">
        <v>36</v>
      </c>
      <c r="AK79" s="145">
        <v>0</v>
      </c>
      <c r="AL79" s="145">
        <v>3</v>
      </c>
      <c r="AM79" s="145">
        <v>63</v>
      </c>
      <c r="AN79" s="145">
        <v>0</v>
      </c>
      <c r="AO79" s="145">
        <v>249</v>
      </c>
      <c r="AP79" s="146">
        <f t="shared" si="8"/>
        <v>40</v>
      </c>
      <c r="AQ79" s="146">
        <f t="shared" si="9"/>
        <v>20</v>
      </c>
      <c r="AR79" s="145">
        <v>23</v>
      </c>
      <c r="AS79" s="145">
        <v>0</v>
      </c>
      <c r="AT79" s="145">
        <v>244</v>
      </c>
      <c r="AU79" s="145">
        <v>0</v>
      </c>
      <c r="AV79" s="145">
        <v>0</v>
      </c>
      <c r="AW79" s="145">
        <v>0</v>
      </c>
      <c r="AX79" s="145">
        <v>83</v>
      </c>
      <c r="AY79" s="145">
        <v>1</v>
      </c>
      <c r="AZ79" s="145">
        <v>0</v>
      </c>
      <c r="BA79" s="145">
        <v>0</v>
      </c>
      <c r="BB79" s="145">
        <v>558</v>
      </c>
      <c r="BC79" s="145">
        <v>16</v>
      </c>
      <c r="BD79" s="145">
        <v>5005</v>
      </c>
      <c r="BE79" s="145">
        <v>764</v>
      </c>
      <c r="BF79" s="145">
        <v>1</v>
      </c>
      <c r="BG79" s="145">
        <v>753</v>
      </c>
      <c r="BH79" s="145">
        <v>776</v>
      </c>
      <c r="BI79" s="145">
        <v>290</v>
      </c>
      <c r="BJ79" s="145">
        <v>105</v>
      </c>
      <c r="BK79" s="145">
        <v>885</v>
      </c>
      <c r="BL79" s="145">
        <v>65</v>
      </c>
      <c r="BM79" s="145">
        <v>437</v>
      </c>
      <c r="BN79" s="145">
        <v>1461</v>
      </c>
      <c r="BO79" s="145">
        <v>298</v>
      </c>
      <c r="BP79" s="145">
        <v>163</v>
      </c>
      <c r="BQ79" s="145">
        <v>206</v>
      </c>
      <c r="BR79" s="145">
        <v>9</v>
      </c>
      <c r="BS79" s="145">
        <v>939</v>
      </c>
      <c r="BT79" s="145">
        <v>0</v>
      </c>
      <c r="BU79" s="145">
        <v>20867</v>
      </c>
      <c r="BV79" s="145">
        <v>600</v>
      </c>
      <c r="BW79" s="145">
        <v>0</v>
      </c>
      <c r="BX79" s="145">
        <v>0</v>
      </c>
      <c r="BY79" s="145">
        <v>19670</v>
      </c>
      <c r="BZ79" s="145">
        <v>19488</v>
      </c>
      <c r="CA79" s="145">
        <v>-385</v>
      </c>
      <c r="CB79" s="145">
        <v>39373</v>
      </c>
      <c r="CC79" s="145">
        <v>60240</v>
      </c>
      <c r="CE79" s="145">
        <v>0</v>
      </c>
      <c r="CF79" s="145">
        <v>60</v>
      </c>
      <c r="CG79" s="165">
        <v>2600</v>
      </c>
    </row>
    <row r="80" spans="1:85" ht="8.25" customHeight="1" x14ac:dyDescent="0.2">
      <c r="A80" s="143">
        <v>26003</v>
      </c>
      <c r="B80" s="77" t="str">
        <f>IFERROR(INDEX(SCNtoISIC!$M:$M,MATCH($A80,SCNtoISIC!$J:$J,0)),0)</f>
        <v>ISIC 26</v>
      </c>
      <c r="C80" s="144" t="s">
        <v>623</v>
      </c>
      <c r="D80" s="145">
        <v>0</v>
      </c>
      <c r="E80" s="145">
        <v>0</v>
      </c>
      <c r="F80" s="145">
        <v>0</v>
      </c>
      <c r="G80" s="145">
        <v>0</v>
      </c>
      <c r="H80" s="145">
        <v>0</v>
      </c>
      <c r="I80" s="145">
        <v>0</v>
      </c>
      <c r="J80" s="145">
        <v>0</v>
      </c>
      <c r="K80" s="145">
        <v>0</v>
      </c>
      <c r="L80" s="145">
        <v>0</v>
      </c>
      <c r="M80" s="145">
        <v>0</v>
      </c>
      <c r="N80" s="145">
        <v>0</v>
      </c>
      <c r="O80" s="145">
        <v>0</v>
      </c>
      <c r="P80" s="145">
        <v>0</v>
      </c>
      <c r="Q80" s="145">
        <v>0</v>
      </c>
      <c r="R80" s="145">
        <v>0</v>
      </c>
      <c r="S80" s="145">
        <v>0</v>
      </c>
      <c r="T80" s="145">
        <v>0</v>
      </c>
      <c r="U80" s="145">
        <v>0</v>
      </c>
      <c r="V80" s="145">
        <v>0</v>
      </c>
      <c r="W80" s="145">
        <v>0</v>
      </c>
      <c r="X80" s="145">
        <v>0</v>
      </c>
      <c r="Y80" s="145">
        <v>0</v>
      </c>
      <c r="Z80" s="145">
        <v>0</v>
      </c>
      <c r="AA80" s="145">
        <v>0</v>
      </c>
      <c r="AB80" s="145">
        <v>0</v>
      </c>
      <c r="AC80" s="146">
        <f t="shared" si="6"/>
        <v>0</v>
      </c>
      <c r="AD80" s="146">
        <f t="shared" si="7"/>
        <v>0</v>
      </c>
      <c r="AE80" s="145">
        <v>0</v>
      </c>
      <c r="AF80" s="145">
        <v>0</v>
      </c>
      <c r="AG80" s="145">
        <v>0</v>
      </c>
      <c r="AH80" s="145">
        <v>18671</v>
      </c>
      <c r="AI80" s="145">
        <v>13</v>
      </c>
      <c r="AJ80" s="145">
        <v>0</v>
      </c>
      <c r="AK80" s="145">
        <v>224</v>
      </c>
      <c r="AL80" s="145">
        <v>0</v>
      </c>
      <c r="AM80" s="145">
        <v>56</v>
      </c>
      <c r="AN80" s="145">
        <v>35</v>
      </c>
      <c r="AO80" s="145">
        <v>4</v>
      </c>
      <c r="AP80" s="146">
        <f t="shared" si="8"/>
        <v>0</v>
      </c>
      <c r="AQ80" s="146">
        <f t="shared" si="9"/>
        <v>0</v>
      </c>
      <c r="AR80" s="145">
        <v>0</v>
      </c>
      <c r="AS80" s="145">
        <v>16</v>
      </c>
      <c r="AT80" s="145">
        <v>31</v>
      </c>
      <c r="AU80" s="145">
        <v>2</v>
      </c>
      <c r="AV80" s="145">
        <v>0</v>
      </c>
      <c r="AW80" s="145">
        <v>15</v>
      </c>
      <c r="AX80" s="145">
        <v>49</v>
      </c>
      <c r="AY80" s="145">
        <v>0</v>
      </c>
      <c r="AZ80" s="145">
        <v>0</v>
      </c>
      <c r="BA80" s="145">
        <v>0</v>
      </c>
      <c r="BB80" s="145">
        <v>168</v>
      </c>
      <c r="BC80" s="145">
        <v>466</v>
      </c>
      <c r="BD80" s="145">
        <v>0</v>
      </c>
      <c r="BE80" s="145">
        <v>211</v>
      </c>
      <c r="BF80" s="145">
        <v>0</v>
      </c>
      <c r="BG80" s="145">
        <v>170</v>
      </c>
      <c r="BH80" s="145">
        <v>154</v>
      </c>
      <c r="BI80" s="145">
        <v>3</v>
      </c>
      <c r="BJ80" s="145">
        <v>0</v>
      </c>
      <c r="BK80" s="145">
        <v>1558</v>
      </c>
      <c r="BL80" s="145">
        <v>264</v>
      </c>
      <c r="BM80" s="145">
        <v>17</v>
      </c>
      <c r="BN80" s="145">
        <v>8</v>
      </c>
      <c r="BO80" s="145">
        <v>4</v>
      </c>
      <c r="BP80" s="145">
        <v>1</v>
      </c>
      <c r="BQ80" s="145">
        <v>3</v>
      </c>
      <c r="BR80" s="145">
        <v>115</v>
      </c>
      <c r="BS80" s="145">
        <v>643</v>
      </c>
      <c r="BT80" s="145">
        <v>0</v>
      </c>
      <c r="BU80" s="145">
        <v>22901</v>
      </c>
      <c r="BV80" s="145">
        <v>1347</v>
      </c>
      <c r="BW80" s="145">
        <v>0</v>
      </c>
      <c r="BX80" s="145">
        <v>0</v>
      </c>
      <c r="BY80" s="145">
        <v>53435</v>
      </c>
      <c r="BZ80" s="145">
        <v>30766</v>
      </c>
      <c r="CA80" s="145">
        <v>-1651</v>
      </c>
      <c r="CB80" s="145">
        <v>83897</v>
      </c>
      <c r="CC80" s="145">
        <v>106798</v>
      </c>
      <c r="CE80" s="145">
        <v>0</v>
      </c>
      <c r="CF80" s="145">
        <v>0</v>
      </c>
      <c r="CG80" s="165">
        <v>2600</v>
      </c>
    </row>
    <row r="81" spans="1:85" ht="8.25" customHeight="1" x14ac:dyDescent="0.2">
      <c r="A81" s="143">
        <v>26004</v>
      </c>
      <c r="B81" s="77" t="str">
        <f>IFERROR(INDEX(SCNtoISIC!$M:$M,MATCH($A81,SCNtoISIC!$J:$J,0)),0)</f>
        <v>ISIC 26</v>
      </c>
      <c r="C81" s="144" t="s">
        <v>624</v>
      </c>
      <c r="D81" s="145">
        <v>0</v>
      </c>
      <c r="E81" s="145">
        <v>0</v>
      </c>
      <c r="F81" s="145">
        <v>0</v>
      </c>
      <c r="G81" s="145">
        <v>0</v>
      </c>
      <c r="H81" s="145">
        <v>521</v>
      </c>
      <c r="I81" s="145">
        <v>0</v>
      </c>
      <c r="J81" s="145">
        <v>0</v>
      </c>
      <c r="K81" s="145">
        <v>41</v>
      </c>
      <c r="L81" s="145">
        <v>0</v>
      </c>
      <c r="M81" s="145">
        <v>0</v>
      </c>
      <c r="N81" s="145">
        <v>0</v>
      </c>
      <c r="O81" s="145">
        <v>0</v>
      </c>
      <c r="P81" s="145">
        <v>0</v>
      </c>
      <c r="Q81" s="145">
        <v>0</v>
      </c>
      <c r="R81" s="145">
        <v>0</v>
      </c>
      <c r="S81" s="145">
        <v>0</v>
      </c>
      <c r="T81" s="145">
        <v>0</v>
      </c>
      <c r="U81" s="145">
        <v>362</v>
      </c>
      <c r="V81" s="145">
        <v>0</v>
      </c>
      <c r="W81" s="145">
        <v>0</v>
      </c>
      <c r="X81" s="145">
        <v>0</v>
      </c>
      <c r="Y81" s="145">
        <v>0</v>
      </c>
      <c r="Z81" s="145">
        <v>0</v>
      </c>
      <c r="AA81" s="145">
        <v>0</v>
      </c>
      <c r="AB81" s="145">
        <v>0</v>
      </c>
      <c r="AC81" s="146">
        <f t="shared" si="6"/>
        <v>0</v>
      </c>
      <c r="AD81" s="146">
        <f t="shared" si="7"/>
        <v>0</v>
      </c>
      <c r="AE81" s="145">
        <v>0</v>
      </c>
      <c r="AF81" s="145">
        <v>0</v>
      </c>
      <c r="AG81" s="145">
        <v>0</v>
      </c>
      <c r="AH81" s="145">
        <v>3319</v>
      </c>
      <c r="AI81" s="145">
        <v>47</v>
      </c>
      <c r="AJ81" s="145">
        <v>927</v>
      </c>
      <c r="AK81" s="145">
        <v>273</v>
      </c>
      <c r="AL81" s="145">
        <v>2</v>
      </c>
      <c r="AM81" s="145">
        <v>71</v>
      </c>
      <c r="AN81" s="145">
        <v>69</v>
      </c>
      <c r="AO81" s="145">
        <v>493</v>
      </c>
      <c r="AP81" s="146">
        <f t="shared" si="8"/>
        <v>8.6666666666666661</v>
      </c>
      <c r="AQ81" s="146">
        <f t="shared" si="9"/>
        <v>4.333333333333333</v>
      </c>
      <c r="AR81" s="145">
        <v>5</v>
      </c>
      <c r="AS81" s="145">
        <v>1025</v>
      </c>
      <c r="AT81" s="145">
        <v>169</v>
      </c>
      <c r="AU81" s="145">
        <v>0</v>
      </c>
      <c r="AV81" s="145">
        <v>0</v>
      </c>
      <c r="AW81" s="145">
        <v>0</v>
      </c>
      <c r="AX81" s="145">
        <v>58</v>
      </c>
      <c r="AY81" s="145">
        <v>0</v>
      </c>
      <c r="AZ81" s="145">
        <v>0</v>
      </c>
      <c r="BA81" s="145">
        <v>0</v>
      </c>
      <c r="BB81" s="145">
        <v>57</v>
      </c>
      <c r="BC81" s="145">
        <v>0</v>
      </c>
      <c r="BD81" s="145">
        <v>43</v>
      </c>
      <c r="BE81" s="145">
        <v>0</v>
      </c>
      <c r="BF81" s="145">
        <v>0</v>
      </c>
      <c r="BG81" s="145">
        <v>0</v>
      </c>
      <c r="BH81" s="145">
        <v>2039</v>
      </c>
      <c r="BI81" s="145">
        <v>10</v>
      </c>
      <c r="BJ81" s="145">
        <v>0</v>
      </c>
      <c r="BK81" s="145">
        <v>0</v>
      </c>
      <c r="BL81" s="145">
        <v>0</v>
      </c>
      <c r="BM81" s="145">
        <v>170</v>
      </c>
      <c r="BN81" s="145">
        <v>183</v>
      </c>
      <c r="BO81" s="145">
        <v>0</v>
      </c>
      <c r="BP81" s="145">
        <v>441</v>
      </c>
      <c r="BQ81" s="145">
        <v>283</v>
      </c>
      <c r="BR81" s="145">
        <v>0</v>
      </c>
      <c r="BS81" s="145">
        <v>48</v>
      </c>
      <c r="BT81" s="145">
        <v>0</v>
      </c>
      <c r="BU81" s="145">
        <v>10669</v>
      </c>
      <c r="BV81" s="145">
        <v>1698</v>
      </c>
      <c r="BW81" s="145">
        <v>0</v>
      </c>
      <c r="BX81" s="145">
        <v>0</v>
      </c>
      <c r="BY81" s="145">
        <v>5644</v>
      </c>
      <c r="BZ81" s="145">
        <v>16548</v>
      </c>
      <c r="CA81" s="145">
        <v>-403</v>
      </c>
      <c r="CB81" s="145">
        <v>23487</v>
      </c>
      <c r="CC81" s="145">
        <v>34156</v>
      </c>
      <c r="CE81" s="145">
        <v>0</v>
      </c>
      <c r="CF81" s="145">
        <v>13</v>
      </c>
      <c r="CG81" s="165">
        <v>2700</v>
      </c>
    </row>
    <row r="82" spans="1:85" ht="8.25" customHeight="1" x14ac:dyDescent="0.2">
      <c r="A82" s="147">
        <v>27001</v>
      </c>
      <c r="B82" s="77" t="str">
        <f>IFERROR(INDEX(SCNtoISIC!$M:$M,MATCH($A82,SCNtoISIC!$J:$J,0)),0)</f>
        <v>ISIC 27</v>
      </c>
      <c r="C82" s="93" t="s">
        <v>448</v>
      </c>
      <c r="D82" s="148">
        <v>72</v>
      </c>
      <c r="E82" s="148">
        <v>165</v>
      </c>
      <c r="F82" s="148">
        <v>12</v>
      </c>
      <c r="G82" s="148">
        <v>32</v>
      </c>
      <c r="H82" s="148">
        <v>304</v>
      </c>
      <c r="I82" s="148">
        <v>32</v>
      </c>
      <c r="J82" s="148">
        <v>27</v>
      </c>
      <c r="K82" s="148">
        <v>77</v>
      </c>
      <c r="L82" s="148">
        <v>31</v>
      </c>
      <c r="M82" s="148">
        <v>119</v>
      </c>
      <c r="N82" s="148">
        <v>32</v>
      </c>
      <c r="O82" s="148">
        <v>3</v>
      </c>
      <c r="P82" s="148">
        <v>60</v>
      </c>
      <c r="Q82" s="148">
        <v>8</v>
      </c>
      <c r="R82" s="148">
        <v>13</v>
      </c>
      <c r="S82" s="148">
        <v>33</v>
      </c>
      <c r="T82" s="148">
        <v>92</v>
      </c>
      <c r="U82" s="148">
        <v>7</v>
      </c>
      <c r="V82" s="148">
        <v>8</v>
      </c>
      <c r="W82" s="148">
        <v>12</v>
      </c>
      <c r="X82" s="148">
        <v>153</v>
      </c>
      <c r="Y82" s="148">
        <v>27</v>
      </c>
      <c r="Z82" s="148">
        <v>11</v>
      </c>
      <c r="AA82" s="148">
        <v>15</v>
      </c>
      <c r="AB82" s="148">
        <v>111</v>
      </c>
      <c r="AC82" s="146">
        <f t="shared" si="6"/>
        <v>127.8</v>
      </c>
      <c r="AD82" s="146">
        <f t="shared" si="7"/>
        <v>85.2</v>
      </c>
      <c r="AE82" s="148">
        <v>30</v>
      </c>
      <c r="AF82" s="148">
        <v>128</v>
      </c>
      <c r="AG82" s="148">
        <v>51</v>
      </c>
      <c r="AH82" s="148">
        <v>2975</v>
      </c>
      <c r="AI82" s="148">
        <v>12232</v>
      </c>
      <c r="AJ82" s="148">
        <v>4222</v>
      </c>
      <c r="AK82" s="148">
        <v>1593</v>
      </c>
      <c r="AL82" s="148">
        <v>1304</v>
      </c>
      <c r="AM82" s="148">
        <v>691</v>
      </c>
      <c r="AN82" s="148">
        <v>411</v>
      </c>
      <c r="AO82" s="148">
        <v>3673</v>
      </c>
      <c r="AP82" s="146">
        <f t="shared" si="8"/>
        <v>7002</v>
      </c>
      <c r="AQ82" s="146">
        <f t="shared" si="9"/>
        <v>3501</v>
      </c>
      <c r="AR82" s="148">
        <v>299</v>
      </c>
      <c r="AS82" s="148">
        <v>15616</v>
      </c>
      <c r="AT82" s="148">
        <v>2165</v>
      </c>
      <c r="AU82" s="148">
        <v>1828</v>
      </c>
      <c r="AV82" s="148">
        <v>26</v>
      </c>
      <c r="AW82" s="148">
        <v>1</v>
      </c>
      <c r="AX82" s="148">
        <v>122</v>
      </c>
      <c r="AY82" s="148">
        <v>50</v>
      </c>
      <c r="AZ82" s="148">
        <v>32</v>
      </c>
      <c r="BA82" s="148">
        <v>8</v>
      </c>
      <c r="BB82" s="148">
        <v>91</v>
      </c>
      <c r="BC82" s="148">
        <v>1283</v>
      </c>
      <c r="BD82" s="148">
        <v>22</v>
      </c>
      <c r="BE82" s="148">
        <v>76</v>
      </c>
      <c r="BF82" s="148">
        <v>745</v>
      </c>
      <c r="BG82" s="148">
        <v>1119</v>
      </c>
      <c r="BH82" s="148">
        <v>81</v>
      </c>
      <c r="BI82" s="148">
        <v>60</v>
      </c>
      <c r="BJ82" s="148">
        <v>51</v>
      </c>
      <c r="BK82" s="148">
        <v>873</v>
      </c>
      <c r="BL82" s="148">
        <v>2</v>
      </c>
      <c r="BM82" s="148">
        <v>123</v>
      </c>
      <c r="BN82" s="148">
        <v>97</v>
      </c>
      <c r="BO82" s="148">
        <v>0</v>
      </c>
      <c r="BP82" s="148">
        <v>11</v>
      </c>
      <c r="BQ82" s="148">
        <v>4</v>
      </c>
      <c r="BR82" s="148">
        <v>97</v>
      </c>
      <c r="BS82" s="148">
        <v>844</v>
      </c>
      <c r="BT82" s="148">
        <v>0</v>
      </c>
      <c r="BU82" s="148">
        <v>65208</v>
      </c>
      <c r="BV82" s="148">
        <v>8586</v>
      </c>
      <c r="BW82" s="148">
        <v>0</v>
      </c>
      <c r="BX82" s="148">
        <v>0</v>
      </c>
      <c r="BY82" s="148">
        <v>4350</v>
      </c>
      <c r="BZ82" s="148">
        <v>24243</v>
      </c>
      <c r="CA82" s="148">
        <v>-335</v>
      </c>
      <c r="CB82" s="148">
        <v>36844</v>
      </c>
      <c r="CC82" s="148">
        <v>102052</v>
      </c>
      <c r="CE82" s="148">
        <v>213</v>
      </c>
      <c r="CF82" s="148">
        <v>10503</v>
      </c>
      <c r="CG82" s="166">
        <v>2700</v>
      </c>
    </row>
    <row r="83" spans="1:85" ht="8.25" customHeight="1" x14ac:dyDescent="0.2">
      <c r="A83" s="147">
        <v>27002</v>
      </c>
      <c r="B83" s="77" t="str">
        <f>IFERROR(INDEX(SCNtoISIC!$M:$M,MATCH($A83,SCNtoISIC!$J:$J,0)),0)</f>
        <v>ISIC 27</v>
      </c>
      <c r="C83" s="93" t="s">
        <v>449</v>
      </c>
      <c r="D83" s="148">
        <v>0</v>
      </c>
      <c r="E83" s="148">
        <v>0</v>
      </c>
      <c r="F83" s="148">
        <v>0</v>
      </c>
      <c r="G83" s="148">
        <v>0</v>
      </c>
      <c r="H83" s="148">
        <v>0</v>
      </c>
      <c r="I83" s="148">
        <v>0</v>
      </c>
      <c r="J83" s="148">
        <v>0</v>
      </c>
      <c r="K83" s="148">
        <v>0</v>
      </c>
      <c r="L83" s="148">
        <v>0</v>
      </c>
      <c r="M83" s="148">
        <v>0</v>
      </c>
      <c r="N83" s="148">
        <v>0</v>
      </c>
      <c r="O83" s="148">
        <v>0</v>
      </c>
      <c r="P83" s="148">
        <v>0</v>
      </c>
      <c r="Q83" s="148">
        <v>0</v>
      </c>
      <c r="R83" s="148">
        <v>0</v>
      </c>
      <c r="S83" s="148">
        <v>0</v>
      </c>
      <c r="T83" s="148">
        <v>0</v>
      </c>
      <c r="U83" s="148">
        <v>0</v>
      </c>
      <c r="V83" s="148">
        <v>0</v>
      </c>
      <c r="W83" s="148">
        <v>0</v>
      </c>
      <c r="X83" s="148">
        <v>0</v>
      </c>
      <c r="Y83" s="148">
        <v>0</v>
      </c>
      <c r="Z83" s="148">
        <v>8</v>
      </c>
      <c r="AA83" s="148">
        <v>0</v>
      </c>
      <c r="AB83" s="148">
        <v>0</v>
      </c>
      <c r="AC83" s="146">
        <f t="shared" si="6"/>
        <v>0</v>
      </c>
      <c r="AD83" s="146">
        <f t="shared" si="7"/>
        <v>0</v>
      </c>
      <c r="AE83" s="148">
        <v>0</v>
      </c>
      <c r="AF83" s="148">
        <v>0</v>
      </c>
      <c r="AG83" s="148">
        <v>1</v>
      </c>
      <c r="AH83" s="148">
        <v>0</v>
      </c>
      <c r="AI83" s="148">
        <v>1320</v>
      </c>
      <c r="AJ83" s="148">
        <v>18</v>
      </c>
      <c r="AK83" s="148">
        <v>21</v>
      </c>
      <c r="AL83" s="148">
        <v>0</v>
      </c>
      <c r="AM83" s="148">
        <v>4</v>
      </c>
      <c r="AN83" s="148">
        <v>0</v>
      </c>
      <c r="AO83" s="148">
        <v>0</v>
      </c>
      <c r="AP83" s="146">
        <f t="shared" si="8"/>
        <v>0</v>
      </c>
      <c r="AQ83" s="146">
        <f t="shared" si="9"/>
        <v>0</v>
      </c>
      <c r="AR83" s="148">
        <v>0</v>
      </c>
      <c r="AS83" s="148">
        <v>0</v>
      </c>
      <c r="AT83" s="148">
        <v>0</v>
      </c>
      <c r="AU83" s="148">
        <v>0</v>
      </c>
      <c r="AV83" s="148">
        <v>0</v>
      </c>
      <c r="AW83" s="148">
        <v>0</v>
      </c>
      <c r="AX83" s="148">
        <v>0</v>
      </c>
      <c r="AY83" s="148">
        <v>3</v>
      </c>
      <c r="AZ83" s="148">
        <v>0</v>
      </c>
      <c r="BA83" s="148">
        <v>0</v>
      </c>
      <c r="BB83" s="148">
        <v>0</v>
      </c>
      <c r="BC83" s="148">
        <v>0</v>
      </c>
      <c r="BD83" s="148">
        <v>0</v>
      </c>
      <c r="BE83" s="148">
        <v>0</v>
      </c>
      <c r="BF83" s="148">
        <v>0</v>
      </c>
      <c r="BG83" s="148">
        <v>0</v>
      </c>
      <c r="BH83" s="148">
        <v>0</v>
      </c>
      <c r="BI83" s="148">
        <v>2</v>
      </c>
      <c r="BJ83" s="148">
        <v>0</v>
      </c>
      <c r="BK83" s="148">
        <v>0</v>
      </c>
      <c r="BL83" s="148">
        <v>0</v>
      </c>
      <c r="BM83" s="148">
        <v>0</v>
      </c>
      <c r="BN83" s="148">
        <v>0</v>
      </c>
      <c r="BO83" s="148">
        <v>0</v>
      </c>
      <c r="BP83" s="148">
        <v>0</v>
      </c>
      <c r="BQ83" s="148">
        <v>0</v>
      </c>
      <c r="BR83" s="148">
        <v>0</v>
      </c>
      <c r="BS83" s="148">
        <v>713</v>
      </c>
      <c r="BT83" s="148">
        <v>0</v>
      </c>
      <c r="BU83" s="148">
        <v>2090</v>
      </c>
      <c r="BV83" s="148">
        <v>716</v>
      </c>
      <c r="BW83" s="148">
        <v>0</v>
      </c>
      <c r="BX83" s="148">
        <v>0</v>
      </c>
      <c r="BY83" s="148">
        <v>38500</v>
      </c>
      <c r="BZ83" s="148">
        <v>1840</v>
      </c>
      <c r="CA83" s="148">
        <v>828</v>
      </c>
      <c r="CB83" s="148">
        <v>41884</v>
      </c>
      <c r="CC83" s="148">
        <v>43974</v>
      </c>
      <c r="CE83" s="148">
        <v>0</v>
      </c>
      <c r="CF83" s="148">
        <v>0</v>
      </c>
      <c r="CG83" s="166">
        <v>2800</v>
      </c>
    </row>
    <row r="84" spans="1:85" ht="8.25" customHeight="1" x14ac:dyDescent="0.2">
      <c r="A84" s="147">
        <v>28001</v>
      </c>
      <c r="B84" s="77" t="str">
        <f>IFERROR(INDEX(SCNtoISIC!$M:$M,MATCH($A84,SCNtoISIC!$J:$J,0)),0)</f>
        <v>ISIC 28</v>
      </c>
      <c r="C84" s="93" t="s">
        <v>451</v>
      </c>
      <c r="D84" s="148">
        <v>0</v>
      </c>
      <c r="E84" s="148">
        <v>0</v>
      </c>
      <c r="F84" s="148">
        <v>0</v>
      </c>
      <c r="G84" s="148">
        <v>0</v>
      </c>
      <c r="H84" s="148">
        <v>0</v>
      </c>
      <c r="I84" s="148">
        <v>0</v>
      </c>
      <c r="J84" s="148">
        <v>0</v>
      </c>
      <c r="K84" s="148">
        <v>0</v>
      </c>
      <c r="L84" s="148">
        <v>0</v>
      </c>
      <c r="M84" s="148">
        <v>0</v>
      </c>
      <c r="N84" s="148">
        <v>0</v>
      </c>
      <c r="O84" s="148">
        <v>0</v>
      </c>
      <c r="P84" s="148">
        <v>0</v>
      </c>
      <c r="Q84" s="148">
        <v>0</v>
      </c>
      <c r="R84" s="148">
        <v>0</v>
      </c>
      <c r="S84" s="148">
        <v>0</v>
      </c>
      <c r="T84" s="148">
        <v>0</v>
      </c>
      <c r="U84" s="148">
        <v>0</v>
      </c>
      <c r="V84" s="148">
        <v>0</v>
      </c>
      <c r="W84" s="148">
        <v>0</v>
      </c>
      <c r="X84" s="148">
        <v>0</v>
      </c>
      <c r="Y84" s="148">
        <v>0</v>
      </c>
      <c r="Z84" s="148">
        <v>0</v>
      </c>
      <c r="AA84" s="148">
        <v>0</v>
      </c>
      <c r="AB84" s="148">
        <v>0</v>
      </c>
      <c r="AC84" s="146">
        <f t="shared" si="6"/>
        <v>0</v>
      </c>
      <c r="AD84" s="146">
        <f t="shared" si="7"/>
        <v>0</v>
      </c>
      <c r="AE84" s="148">
        <v>0</v>
      </c>
      <c r="AF84" s="148">
        <v>0</v>
      </c>
      <c r="AG84" s="148">
        <v>0</v>
      </c>
      <c r="AH84" s="148">
        <v>0</v>
      </c>
      <c r="AI84" s="148">
        <v>0</v>
      </c>
      <c r="AJ84" s="148">
        <v>2824</v>
      </c>
      <c r="AK84" s="148">
        <v>0</v>
      </c>
      <c r="AL84" s="148">
        <v>0</v>
      </c>
      <c r="AM84" s="148">
        <v>0</v>
      </c>
      <c r="AN84" s="148">
        <v>0</v>
      </c>
      <c r="AO84" s="148">
        <v>1440</v>
      </c>
      <c r="AP84" s="146">
        <f t="shared" si="8"/>
        <v>0</v>
      </c>
      <c r="AQ84" s="146">
        <f t="shared" si="9"/>
        <v>0</v>
      </c>
      <c r="AR84" s="148">
        <v>0</v>
      </c>
      <c r="AS84" s="148">
        <v>0</v>
      </c>
      <c r="AT84" s="148">
        <v>0</v>
      </c>
      <c r="AU84" s="148">
        <v>0</v>
      </c>
      <c r="AV84" s="148">
        <v>0</v>
      </c>
      <c r="AW84" s="148">
        <v>0</v>
      </c>
      <c r="AX84" s="148">
        <v>0</v>
      </c>
      <c r="AY84" s="148">
        <v>0</v>
      </c>
      <c r="AZ84" s="148">
        <v>0</v>
      </c>
      <c r="BA84" s="148">
        <v>0</v>
      </c>
      <c r="BB84" s="148">
        <v>0</v>
      </c>
      <c r="BC84" s="148">
        <v>0</v>
      </c>
      <c r="BD84" s="148">
        <v>0</v>
      </c>
      <c r="BE84" s="148">
        <v>0</v>
      </c>
      <c r="BF84" s="148">
        <v>0</v>
      </c>
      <c r="BG84" s="148">
        <v>0</v>
      </c>
      <c r="BH84" s="148">
        <v>0</v>
      </c>
      <c r="BI84" s="148">
        <v>0</v>
      </c>
      <c r="BJ84" s="148">
        <v>0</v>
      </c>
      <c r="BK84" s="148">
        <v>0</v>
      </c>
      <c r="BL84" s="148">
        <v>0</v>
      </c>
      <c r="BM84" s="148">
        <v>0</v>
      </c>
      <c r="BN84" s="148">
        <v>0</v>
      </c>
      <c r="BO84" s="148">
        <v>0</v>
      </c>
      <c r="BP84" s="148">
        <v>0</v>
      </c>
      <c r="BQ84" s="148">
        <v>0</v>
      </c>
      <c r="BR84" s="148">
        <v>0</v>
      </c>
      <c r="BS84" s="148">
        <v>0</v>
      </c>
      <c r="BT84" s="148">
        <v>0</v>
      </c>
      <c r="BU84" s="148">
        <v>4264</v>
      </c>
      <c r="BV84" s="148">
        <v>2258</v>
      </c>
      <c r="BW84" s="148">
        <v>0</v>
      </c>
      <c r="BX84" s="148">
        <v>0</v>
      </c>
      <c r="BY84" s="148">
        <v>301</v>
      </c>
      <c r="BZ84" s="148">
        <v>23455</v>
      </c>
      <c r="CA84" s="148">
        <v>-8</v>
      </c>
      <c r="CB84" s="148">
        <v>26006</v>
      </c>
      <c r="CC84" s="148">
        <v>30270</v>
      </c>
      <c r="CE84" s="148">
        <v>0</v>
      </c>
      <c r="CF84" s="148">
        <v>0</v>
      </c>
      <c r="CG84" s="166">
        <v>2800</v>
      </c>
    </row>
    <row r="85" spans="1:85" ht="8.25" customHeight="1" x14ac:dyDescent="0.2">
      <c r="A85" s="147">
        <v>28002</v>
      </c>
      <c r="B85" s="77" t="str">
        <f>IFERROR(INDEX(SCNtoISIC!$M:$M,MATCH($A85,SCNtoISIC!$J:$J,0)),0)</f>
        <v>ISIC 28</v>
      </c>
      <c r="C85" s="93" t="s">
        <v>452</v>
      </c>
      <c r="D85" s="148">
        <v>0</v>
      </c>
      <c r="E85" s="148">
        <v>0</v>
      </c>
      <c r="F85" s="148">
        <v>0</v>
      </c>
      <c r="G85" s="148">
        <v>156</v>
      </c>
      <c r="H85" s="148">
        <v>1755</v>
      </c>
      <c r="I85" s="148">
        <v>1190</v>
      </c>
      <c r="J85" s="148">
        <v>556</v>
      </c>
      <c r="K85" s="148">
        <v>0</v>
      </c>
      <c r="L85" s="148">
        <v>0</v>
      </c>
      <c r="M85" s="148">
        <v>0</v>
      </c>
      <c r="N85" s="148">
        <v>0</v>
      </c>
      <c r="O85" s="148">
        <v>0</v>
      </c>
      <c r="P85" s="148">
        <v>0</v>
      </c>
      <c r="Q85" s="148">
        <v>0</v>
      </c>
      <c r="R85" s="148">
        <v>0</v>
      </c>
      <c r="S85" s="148">
        <v>0</v>
      </c>
      <c r="T85" s="148">
        <v>0</v>
      </c>
      <c r="U85" s="148">
        <v>0</v>
      </c>
      <c r="V85" s="148">
        <v>0</v>
      </c>
      <c r="W85" s="148">
        <v>0</v>
      </c>
      <c r="X85" s="148">
        <v>0</v>
      </c>
      <c r="Y85" s="148">
        <v>0</v>
      </c>
      <c r="Z85" s="148">
        <v>0</v>
      </c>
      <c r="AA85" s="148">
        <v>0</v>
      </c>
      <c r="AB85" s="148">
        <v>0</v>
      </c>
      <c r="AC85" s="146">
        <f t="shared" si="6"/>
        <v>0</v>
      </c>
      <c r="AD85" s="146">
        <f t="shared" si="7"/>
        <v>0</v>
      </c>
      <c r="AE85" s="148">
        <v>0</v>
      </c>
      <c r="AF85" s="148">
        <v>8</v>
      </c>
      <c r="AG85" s="148">
        <v>0</v>
      </c>
      <c r="AH85" s="148">
        <v>0</v>
      </c>
      <c r="AI85" s="148">
        <v>0</v>
      </c>
      <c r="AJ85" s="148">
        <v>2261</v>
      </c>
      <c r="AK85" s="148">
        <v>0</v>
      </c>
      <c r="AL85" s="148">
        <v>0</v>
      </c>
      <c r="AM85" s="148">
        <v>0</v>
      </c>
      <c r="AN85" s="148">
        <v>0</v>
      </c>
      <c r="AO85" s="148">
        <v>1204</v>
      </c>
      <c r="AP85" s="146">
        <f t="shared" si="8"/>
        <v>0</v>
      </c>
      <c r="AQ85" s="146">
        <f t="shared" si="9"/>
        <v>0</v>
      </c>
      <c r="AR85" s="148">
        <v>0</v>
      </c>
      <c r="AS85" s="148">
        <v>0</v>
      </c>
      <c r="AT85" s="148">
        <v>0</v>
      </c>
      <c r="AU85" s="148">
        <v>0</v>
      </c>
      <c r="AV85" s="148">
        <v>0</v>
      </c>
      <c r="AW85" s="148">
        <v>0</v>
      </c>
      <c r="AX85" s="148">
        <v>0</v>
      </c>
      <c r="AY85" s="148">
        <v>0</v>
      </c>
      <c r="AZ85" s="148">
        <v>0</v>
      </c>
      <c r="BA85" s="148">
        <v>0</v>
      </c>
      <c r="BB85" s="148">
        <v>0</v>
      </c>
      <c r="BC85" s="148">
        <v>0</v>
      </c>
      <c r="BD85" s="148">
        <v>0</v>
      </c>
      <c r="BE85" s="148">
        <v>0</v>
      </c>
      <c r="BF85" s="148">
        <v>0</v>
      </c>
      <c r="BG85" s="148">
        <v>0</v>
      </c>
      <c r="BH85" s="148">
        <v>5</v>
      </c>
      <c r="BI85" s="148">
        <v>0</v>
      </c>
      <c r="BJ85" s="148">
        <v>0</v>
      </c>
      <c r="BK85" s="148">
        <v>0</v>
      </c>
      <c r="BL85" s="148">
        <v>0</v>
      </c>
      <c r="BM85" s="148">
        <v>0</v>
      </c>
      <c r="BN85" s="148">
        <v>0</v>
      </c>
      <c r="BO85" s="148">
        <v>0</v>
      </c>
      <c r="BP85" s="148">
        <v>0</v>
      </c>
      <c r="BQ85" s="148">
        <v>0</v>
      </c>
      <c r="BR85" s="148">
        <v>0</v>
      </c>
      <c r="BS85" s="148">
        <v>0</v>
      </c>
      <c r="BT85" s="148">
        <v>0</v>
      </c>
      <c r="BU85" s="148">
        <v>7135</v>
      </c>
      <c r="BV85" s="148">
        <v>6560</v>
      </c>
      <c r="BW85" s="148">
        <v>0</v>
      </c>
      <c r="BX85" s="148">
        <v>0</v>
      </c>
      <c r="BY85" s="148">
        <v>0</v>
      </c>
      <c r="BZ85" s="148">
        <v>13912</v>
      </c>
      <c r="CA85" s="148">
        <v>-580</v>
      </c>
      <c r="CB85" s="148">
        <v>19892</v>
      </c>
      <c r="CC85" s="148">
        <v>27027</v>
      </c>
      <c r="CE85" s="148">
        <v>0</v>
      </c>
      <c r="CF85" s="148">
        <v>0</v>
      </c>
      <c r="CG85" s="166">
        <v>2800</v>
      </c>
    </row>
    <row r="86" spans="1:85" ht="8.25" customHeight="1" x14ac:dyDescent="0.2">
      <c r="A86" s="147">
        <v>28003</v>
      </c>
      <c r="B86" s="77" t="str">
        <f>IFERROR(INDEX(SCNtoISIC!$M:$M,MATCH($A86,SCNtoISIC!$J:$J,0)),0)</f>
        <v>ISIC 28</v>
      </c>
      <c r="C86" s="93" t="s">
        <v>453</v>
      </c>
      <c r="D86" s="148">
        <v>18</v>
      </c>
      <c r="E86" s="148">
        <v>50</v>
      </c>
      <c r="F86" s="148">
        <v>11</v>
      </c>
      <c r="G86" s="148">
        <v>83</v>
      </c>
      <c r="H86" s="148">
        <v>3812</v>
      </c>
      <c r="I86" s="148">
        <v>3280</v>
      </c>
      <c r="J86" s="148">
        <v>1023</v>
      </c>
      <c r="K86" s="148">
        <v>0</v>
      </c>
      <c r="L86" s="148">
        <v>0</v>
      </c>
      <c r="M86" s="148">
        <v>0</v>
      </c>
      <c r="N86" s="148">
        <v>0</v>
      </c>
      <c r="O86" s="148">
        <v>0</v>
      </c>
      <c r="P86" s="148">
        <v>0</v>
      </c>
      <c r="Q86" s="148">
        <v>0</v>
      </c>
      <c r="R86" s="148">
        <v>0</v>
      </c>
      <c r="S86" s="148">
        <v>113</v>
      </c>
      <c r="T86" s="148">
        <v>0</v>
      </c>
      <c r="U86" s="148">
        <v>0</v>
      </c>
      <c r="V86" s="148">
        <v>0</v>
      </c>
      <c r="W86" s="148">
        <v>0</v>
      </c>
      <c r="X86" s="148">
        <v>0</v>
      </c>
      <c r="Y86" s="148">
        <v>0</v>
      </c>
      <c r="Z86" s="148">
        <v>0</v>
      </c>
      <c r="AA86" s="148">
        <v>0</v>
      </c>
      <c r="AB86" s="148">
        <v>108</v>
      </c>
      <c r="AC86" s="146">
        <f t="shared" si="6"/>
        <v>1.2</v>
      </c>
      <c r="AD86" s="146">
        <f t="shared" si="7"/>
        <v>0.8</v>
      </c>
      <c r="AE86" s="148">
        <v>0</v>
      </c>
      <c r="AF86" s="148">
        <v>30</v>
      </c>
      <c r="AG86" s="148">
        <v>83</v>
      </c>
      <c r="AH86" s="148">
        <v>89</v>
      </c>
      <c r="AI86" s="148">
        <v>803</v>
      </c>
      <c r="AJ86" s="148">
        <v>25726</v>
      </c>
      <c r="AK86" s="148">
        <v>2143</v>
      </c>
      <c r="AL86" s="148">
        <v>29</v>
      </c>
      <c r="AM86" s="148">
        <v>1570</v>
      </c>
      <c r="AN86" s="148">
        <v>0</v>
      </c>
      <c r="AO86" s="148">
        <v>13040</v>
      </c>
      <c r="AP86" s="146">
        <f t="shared" si="8"/>
        <v>28</v>
      </c>
      <c r="AQ86" s="146">
        <f t="shared" si="9"/>
        <v>14</v>
      </c>
      <c r="AR86" s="148">
        <v>126</v>
      </c>
      <c r="AS86" s="148">
        <v>6924</v>
      </c>
      <c r="AT86" s="148">
        <v>1266</v>
      </c>
      <c r="AU86" s="148">
        <v>47</v>
      </c>
      <c r="AV86" s="148">
        <v>229</v>
      </c>
      <c r="AW86" s="148">
        <v>0</v>
      </c>
      <c r="AX86" s="148">
        <v>354</v>
      </c>
      <c r="AY86" s="148">
        <v>10</v>
      </c>
      <c r="AZ86" s="148">
        <v>0</v>
      </c>
      <c r="BA86" s="148">
        <v>0</v>
      </c>
      <c r="BB86" s="148">
        <v>0</v>
      </c>
      <c r="BC86" s="148">
        <v>107</v>
      </c>
      <c r="BD86" s="148">
        <v>0</v>
      </c>
      <c r="BE86" s="148">
        <v>8</v>
      </c>
      <c r="BF86" s="148">
        <v>0</v>
      </c>
      <c r="BG86" s="148">
        <v>0</v>
      </c>
      <c r="BH86" s="148">
        <v>5</v>
      </c>
      <c r="BI86" s="148">
        <v>3</v>
      </c>
      <c r="BJ86" s="148">
        <v>0</v>
      </c>
      <c r="BK86" s="148">
        <v>2175</v>
      </c>
      <c r="BL86" s="148">
        <v>0</v>
      </c>
      <c r="BM86" s="148">
        <v>98</v>
      </c>
      <c r="BN86" s="148">
        <v>15</v>
      </c>
      <c r="BO86" s="148">
        <v>0</v>
      </c>
      <c r="BP86" s="148">
        <v>175</v>
      </c>
      <c r="BQ86" s="148">
        <v>0</v>
      </c>
      <c r="BR86" s="148">
        <v>3</v>
      </c>
      <c r="BS86" s="148">
        <v>0</v>
      </c>
      <c r="BT86" s="148">
        <v>0</v>
      </c>
      <c r="BU86" s="148">
        <v>63600</v>
      </c>
      <c r="BV86" s="148">
        <v>15887</v>
      </c>
      <c r="BW86" s="148">
        <v>0</v>
      </c>
      <c r="BX86" s="148">
        <v>0</v>
      </c>
      <c r="BY86" s="148">
        <v>7238</v>
      </c>
      <c r="BZ86" s="148">
        <v>86799</v>
      </c>
      <c r="CA86" s="148">
        <v>-1309</v>
      </c>
      <c r="CB86" s="148">
        <v>108615</v>
      </c>
      <c r="CC86" s="148">
        <v>172215</v>
      </c>
      <c r="CE86" s="148">
        <v>2</v>
      </c>
      <c r="CF86" s="148">
        <v>42</v>
      </c>
      <c r="CG86" s="166">
        <v>2991</v>
      </c>
    </row>
    <row r="87" spans="1:85" ht="8.25" customHeight="1" x14ac:dyDescent="0.2">
      <c r="A87" s="143">
        <v>29911</v>
      </c>
      <c r="B87" s="77" t="str">
        <f>IFERROR(INDEX(SCNtoISIC!$M:$M,MATCH($A87,SCNtoISIC!$J:$J,0)),0)</f>
        <v>ISIC 29</v>
      </c>
      <c r="C87" s="144" t="s">
        <v>455</v>
      </c>
      <c r="D87" s="145">
        <v>0</v>
      </c>
      <c r="E87" s="145">
        <v>0</v>
      </c>
      <c r="F87" s="145">
        <v>0</v>
      </c>
      <c r="G87" s="145">
        <v>0</v>
      </c>
      <c r="H87" s="145">
        <v>0</v>
      </c>
      <c r="I87" s="145">
        <v>0</v>
      </c>
      <c r="J87" s="145">
        <v>0</v>
      </c>
      <c r="K87" s="145">
        <v>0</v>
      </c>
      <c r="L87" s="145">
        <v>0</v>
      </c>
      <c r="M87" s="145">
        <v>0</v>
      </c>
      <c r="N87" s="145">
        <v>0</v>
      </c>
      <c r="O87" s="145">
        <v>0</v>
      </c>
      <c r="P87" s="145">
        <v>0</v>
      </c>
      <c r="Q87" s="145">
        <v>0</v>
      </c>
      <c r="R87" s="145">
        <v>0</v>
      </c>
      <c r="S87" s="145">
        <v>0</v>
      </c>
      <c r="T87" s="145">
        <v>0</v>
      </c>
      <c r="U87" s="145">
        <v>0</v>
      </c>
      <c r="V87" s="145">
        <v>0</v>
      </c>
      <c r="W87" s="145">
        <v>0</v>
      </c>
      <c r="X87" s="145">
        <v>0</v>
      </c>
      <c r="Y87" s="145">
        <v>0</v>
      </c>
      <c r="Z87" s="145">
        <v>0</v>
      </c>
      <c r="AA87" s="145">
        <v>0</v>
      </c>
      <c r="AB87" s="145">
        <v>0</v>
      </c>
      <c r="AC87" s="146">
        <f t="shared" si="6"/>
        <v>0</v>
      </c>
      <c r="AD87" s="146">
        <f t="shared" si="7"/>
        <v>0</v>
      </c>
      <c r="AE87" s="145">
        <v>0</v>
      </c>
      <c r="AF87" s="145">
        <v>0</v>
      </c>
      <c r="AG87" s="145">
        <v>0</v>
      </c>
      <c r="AH87" s="145">
        <v>0</v>
      </c>
      <c r="AI87" s="145">
        <v>0</v>
      </c>
      <c r="AJ87" s="145">
        <v>0</v>
      </c>
      <c r="AK87" s="145">
        <v>2255</v>
      </c>
      <c r="AL87" s="145">
        <v>0</v>
      </c>
      <c r="AM87" s="145">
        <v>0</v>
      </c>
      <c r="AN87" s="145">
        <v>0</v>
      </c>
      <c r="AO87" s="145">
        <v>0</v>
      </c>
      <c r="AP87" s="146">
        <f t="shared" si="8"/>
        <v>0</v>
      </c>
      <c r="AQ87" s="146">
        <f t="shared" si="9"/>
        <v>0</v>
      </c>
      <c r="AR87" s="145">
        <v>0</v>
      </c>
      <c r="AS87" s="145">
        <v>0</v>
      </c>
      <c r="AT87" s="145">
        <v>178</v>
      </c>
      <c r="AU87" s="145">
        <v>0</v>
      </c>
      <c r="AV87" s="145">
        <v>0</v>
      </c>
      <c r="AW87" s="145">
        <v>0</v>
      </c>
      <c r="AX87" s="145">
        <v>0</v>
      </c>
      <c r="AY87" s="145">
        <v>0</v>
      </c>
      <c r="AZ87" s="145">
        <v>0</v>
      </c>
      <c r="BA87" s="145">
        <v>0</v>
      </c>
      <c r="BB87" s="145">
        <v>0</v>
      </c>
      <c r="BC87" s="145">
        <v>0</v>
      </c>
      <c r="BD87" s="145">
        <v>0</v>
      </c>
      <c r="BE87" s="145">
        <v>0</v>
      </c>
      <c r="BF87" s="145">
        <v>0</v>
      </c>
      <c r="BG87" s="145">
        <v>0</v>
      </c>
      <c r="BH87" s="145">
        <v>21</v>
      </c>
      <c r="BI87" s="145">
        <v>0</v>
      </c>
      <c r="BJ87" s="145">
        <v>0</v>
      </c>
      <c r="BK87" s="145">
        <v>0</v>
      </c>
      <c r="BL87" s="145">
        <v>0</v>
      </c>
      <c r="BM87" s="145">
        <v>19</v>
      </c>
      <c r="BN87" s="145">
        <v>0</v>
      </c>
      <c r="BO87" s="145">
        <v>0</v>
      </c>
      <c r="BP87" s="145">
        <v>0</v>
      </c>
      <c r="BQ87" s="145">
        <v>0</v>
      </c>
      <c r="BR87" s="145">
        <v>0</v>
      </c>
      <c r="BS87" s="145">
        <v>0</v>
      </c>
      <c r="BT87" s="145">
        <v>0</v>
      </c>
      <c r="BU87" s="145">
        <v>2473</v>
      </c>
      <c r="BV87" s="145">
        <v>13604</v>
      </c>
      <c r="BW87" s="145">
        <v>0</v>
      </c>
      <c r="BX87" s="145">
        <v>0</v>
      </c>
      <c r="BY87" s="145">
        <v>139650</v>
      </c>
      <c r="BZ87" s="145">
        <v>48775</v>
      </c>
      <c r="CA87" s="145">
        <v>-3405</v>
      </c>
      <c r="CB87" s="145">
        <v>198624</v>
      </c>
      <c r="CC87" s="145">
        <v>201097</v>
      </c>
      <c r="CE87" s="145">
        <v>0</v>
      </c>
      <c r="CF87" s="145">
        <v>0</v>
      </c>
      <c r="CG87" s="165">
        <v>2991</v>
      </c>
    </row>
    <row r="88" spans="1:85" ht="8.25" customHeight="1" x14ac:dyDescent="0.2">
      <c r="A88" s="143">
        <v>29912</v>
      </c>
      <c r="B88" s="77" t="str">
        <f>IFERROR(INDEX(SCNtoISIC!$M:$M,MATCH($A88,SCNtoISIC!$J:$J,0)),0)</f>
        <v>ISIC 29</v>
      </c>
      <c r="C88" s="144" t="s">
        <v>625</v>
      </c>
      <c r="D88" s="145">
        <v>0</v>
      </c>
      <c r="E88" s="145">
        <v>0</v>
      </c>
      <c r="F88" s="145">
        <v>0</v>
      </c>
      <c r="G88" s="145">
        <v>0</v>
      </c>
      <c r="H88" s="145">
        <v>0</v>
      </c>
      <c r="I88" s="145">
        <v>0</v>
      </c>
      <c r="J88" s="145">
        <v>0</v>
      </c>
      <c r="K88" s="145">
        <v>0</v>
      </c>
      <c r="L88" s="145">
        <v>53</v>
      </c>
      <c r="M88" s="145">
        <v>0</v>
      </c>
      <c r="N88" s="145">
        <v>0</v>
      </c>
      <c r="O88" s="145">
        <v>0</v>
      </c>
      <c r="P88" s="145">
        <v>0</v>
      </c>
      <c r="Q88" s="145">
        <v>0</v>
      </c>
      <c r="R88" s="145">
        <v>0</v>
      </c>
      <c r="S88" s="145">
        <v>0</v>
      </c>
      <c r="T88" s="145">
        <v>0</v>
      </c>
      <c r="U88" s="145">
        <v>0</v>
      </c>
      <c r="V88" s="145">
        <v>0</v>
      </c>
      <c r="W88" s="145">
        <v>0</v>
      </c>
      <c r="X88" s="145">
        <v>0</v>
      </c>
      <c r="Y88" s="145">
        <v>29</v>
      </c>
      <c r="Z88" s="145">
        <v>0</v>
      </c>
      <c r="AA88" s="145">
        <v>0</v>
      </c>
      <c r="AB88" s="145">
        <v>0</v>
      </c>
      <c r="AC88" s="146">
        <f t="shared" si="6"/>
        <v>0</v>
      </c>
      <c r="AD88" s="146">
        <f t="shared" si="7"/>
        <v>0</v>
      </c>
      <c r="AE88" s="145">
        <v>0</v>
      </c>
      <c r="AF88" s="145">
        <v>0</v>
      </c>
      <c r="AG88" s="145">
        <v>0</v>
      </c>
      <c r="AH88" s="145">
        <v>0</v>
      </c>
      <c r="AI88" s="145">
        <v>0</v>
      </c>
      <c r="AJ88" s="145">
        <v>0</v>
      </c>
      <c r="AK88" s="145">
        <v>4429</v>
      </c>
      <c r="AL88" s="145">
        <v>33</v>
      </c>
      <c r="AM88" s="145">
        <v>0</v>
      </c>
      <c r="AN88" s="145">
        <v>0</v>
      </c>
      <c r="AO88" s="145">
        <v>0</v>
      </c>
      <c r="AP88" s="146">
        <f t="shared" si="8"/>
        <v>0</v>
      </c>
      <c r="AQ88" s="146">
        <f t="shared" si="9"/>
        <v>0</v>
      </c>
      <c r="AR88" s="145">
        <v>0</v>
      </c>
      <c r="AS88" s="145">
        <v>0</v>
      </c>
      <c r="AT88" s="145">
        <v>236</v>
      </c>
      <c r="AU88" s="145">
        <v>731</v>
      </c>
      <c r="AV88" s="145">
        <v>0</v>
      </c>
      <c r="AW88" s="145">
        <v>0</v>
      </c>
      <c r="AX88" s="145">
        <v>0</v>
      </c>
      <c r="AY88" s="145">
        <v>0</v>
      </c>
      <c r="AZ88" s="145">
        <v>0</v>
      </c>
      <c r="BA88" s="145">
        <v>0</v>
      </c>
      <c r="BB88" s="145">
        <v>0</v>
      </c>
      <c r="BC88" s="145">
        <v>0</v>
      </c>
      <c r="BD88" s="145">
        <v>0</v>
      </c>
      <c r="BE88" s="145">
        <v>0</v>
      </c>
      <c r="BF88" s="145">
        <v>0</v>
      </c>
      <c r="BG88" s="145">
        <v>0</v>
      </c>
      <c r="BH88" s="145">
        <v>0</v>
      </c>
      <c r="BI88" s="145">
        <v>0</v>
      </c>
      <c r="BJ88" s="145">
        <v>0</v>
      </c>
      <c r="BK88" s="145">
        <v>0</v>
      </c>
      <c r="BL88" s="145">
        <v>0</v>
      </c>
      <c r="BM88" s="145">
        <v>0</v>
      </c>
      <c r="BN88" s="145">
        <v>0</v>
      </c>
      <c r="BO88" s="145">
        <v>0</v>
      </c>
      <c r="BP88" s="145">
        <v>0</v>
      </c>
      <c r="BQ88" s="145">
        <v>0</v>
      </c>
      <c r="BR88" s="145">
        <v>0</v>
      </c>
      <c r="BS88" s="145">
        <v>0</v>
      </c>
      <c r="BT88" s="145">
        <v>0</v>
      </c>
      <c r="BU88" s="145">
        <v>5511</v>
      </c>
      <c r="BV88" s="145">
        <v>11188</v>
      </c>
      <c r="BW88" s="145">
        <v>0</v>
      </c>
      <c r="BX88" s="145">
        <v>0</v>
      </c>
      <c r="BY88" s="145">
        <v>1577</v>
      </c>
      <c r="BZ88" s="145">
        <v>31784</v>
      </c>
      <c r="CA88" s="145">
        <v>-2456</v>
      </c>
      <c r="CB88" s="145">
        <v>42093</v>
      </c>
      <c r="CC88" s="145">
        <v>47604</v>
      </c>
      <c r="CE88" s="145">
        <v>0</v>
      </c>
      <c r="CF88" s="145">
        <v>0</v>
      </c>
      <c r="CG88" s="165">
        <v>2992</v>
      </c>
    </row>
    <row r="89" spans="1:85" ht="8.25" customHeight="1" x14ac:dyDescent="0.2">
      <c r="A89" s="143">
        <v>29921</v>
      </c>
      <c r="B89" s="77" t="str">
        <f>IFERROR(INDEX(SCNtoISIC!$M:$M,MATCH($A89,SCNtoISIC!$J:$J,0)),0)</f>
        <v>ISIC 29</v>
      </c>
      <c r="C89" s="144" t="s">
        <v>458</v>
      </c>
      <c r="D89" s="145">
        <v>0</v>
      </c>
      <c r="E89" s="145">
        <v>0</v>
      </c>
      <c r="F89" s="145">
        <v>0</v>
      </c>
      <c r="G89" s="145">
        <v>0</v>
      </c>
      <c r="H89" s="145">
        <v>0</v>
      </c>
      <c r="I89" s="145">
        <v>0</v>
      </c>
      <c r="J89" s="145">
        <v>0</v>
      </c>
      <c r="K89" s="145">
        <v>0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0</v>
      </c>
      <c r="S89" s="145">
        <v>0</v>
      </c>
      <c r="T89" s="145">
        <v>0</v>
      </c>
      <c r="U89" s="145">
        <v>0</v>
      </c>
      <c r="V89" s="145">
        <v>0</v>
      </c>
      <c r="W89" s="145">
        <v>0</v>
      </c>
      <c r="X89" s="145">
        <v>0</v>
      </c>
      <c r="Y89" s="145">
        <v>0</v>
      </c>
      <c r="Z89" s="145">
        <v>0</v>
      </c>
      <c r="AA89" s="145">
        <v>0</v>
      </c>
      <c r="AB89" s="145">
        <v>0</v>
      </c>
      <c r="AC89" s="146">
        <f t="shared" si="6"/>
        <v>0</v>
      </c>
      <c r="AD89" s="146">
        <f t="shared" si="7"/>
        <v>0</v>
      </c>
      <c r="AE89" s="145">
        <v>0</v>
      </c>
      <c r="AF89" s="145">
        <v>0</v>
      </c>
      <c r="AG89" s="145">
        <v>0</v>
      </c>
      <c r="AH89" s="145">
        <v>0</v>
      </c>
      <c r="AI89" s="145">
        <v>0</v>
      </c>
      <c r="AJ89" s="145">
        <v>0</v>
      </c>
      <c r="AK89" s="145">
        <v>56641</v>
      </c>
      <c r="AL89" s="145">
        <v>14033</v>
      </c>
      <c r="AM89" s="145">
        <v>30</v>
      </c>
      <c r="AN89" s="145">
        <v>0</v>
      </c>
      <c r="AO89" s="145">
        <v>0</v>
      </c>
      <c r="AP89" s="146">
        <f t="shared" si="8"/>
        <v>0</v>
      </c>
      <c r="AQ89" s="146">
        <f t="shared" si="9"/>
        <v>0</v>
      </c>
      <c r="AR89" s="145">
        <v>0</v>
      </c>
      <c r="AS89" s="145">
        <v>0</v>
      </c>
      <c r="AT89" s="145">
        <v>20677</v>
      </c>
      <c r="AU89" s="145">
        <v>16057</v>
      </c>
      <c r="AV89" s="145">
        <v>0</v>
      </c>
      <c r="AW89" s="145">
        <v>0</v>
      </c>
      <c r="AX89" s="145">
        <v>0</v>
      </c>
      <c r="AY89" s="145">
        <v>0</v>
      </c>
      <c r="AZ89" s="145">
        <v>0</v>
      </c>
      <c r="BA89" s="145">
        <v>0</v>
      </c>
      <c r="BB89" s="145">
        <v>0</v>
      </c>
      <c r="BC89" s="145">
        <v>0</v>
      </c>
      <c r="BD89" s="145">
        <v>0</v>
      </c>
      <c r="BE89" s="145">
        <v>0</v>
      </c>
      <c r="BF89" s="145">
        <v>0</v>
      </c>
      <c r="BG89" s="145">
        <v>0</v>
      </c>
      <c r="BH89" s="145">
        <v>46</v>
      </c>
      <c r="BI89" s="145">
        <v>0</v>
      </c>
      <c r="BJ89" s="145">
        <v>271</v>
      </c>
      <c r="BK89" s="145">
        <v>0</v>
      </c>
      <c r="BL89" s="145">
        <v>0</v>
      </c>
      <c r="BM89" s="145">
        <v>1131</v>
      </c>
      <c r="BN89" s="145">
        <v>443</v>
      </c>
      <c r="BO89" s="145">
        <v>0</v>
      </c>
      <c r="BP89" s="145">
        <v>159</v>
      </c>
      <c r="BQ89" s="145">
        <v>0</v>
      </c>
      <c r="BR89" s="145">
        <v>0</v>
      </c>
      <c r="BS89" s="145">
        <v>0</v>
      </c>
      <c r="BT89" s="145">
        <v>0</v>
      </c>
      <c r="BU89" s="145">
        <v>109488</v>
      </c>
      <c r="BV89" s="145">
        <v>15945</v>
      </c>
      <c r="BW89" s="145">
        <v>0</v>
      </c>
      <c r="BX89" s="145">
        <v>0</v>
      </c>
      <c r="BY89" s="145">
        <v>0</v>
      </c>
      <c r="BZ89" s="145">
        <v>0</v>
      </c>
      <c r="CA89" s="145">
        <v>-148</v>
      </c>
      <c r="CB89" s="145">
        <v>15797</v>
      </c>
      <c r="CC89" s="145">
        <v>125285</v>
      </c>
      <c r="CE89" s="145">
        <v>0</v>
      </c>
      <c r="CF89" s="145">
        <v>0</v>
      </c>
      <c r="CG89" s="165">
        <v>3000</v>
      </c>
    </row>
    <row r="90" spans="1:85" ht="8.25" customHeight="1" x14ac:dyDescent="0.2">
      <c r="A90" s="143">
        <v>30001</v>
      </c>
      <c r="B90" s="77" t="str">
        <f>IFERROR(INDEX(SCNtoISIC!$M:$M,MATCH($A90,SCNtoISIC!$J:$J,0)),0)</f>
        <v>ISIC 30</v>
      </c>
      <c r="C90" s="144" t="s">
        <v>460</v>
      </c>
      <c r="D90" s="145">
        <v>0</v>
      </c>
      <c r="E90" s="145">
        <v>0</v>
      </c>
      <c r="F90" s="145">
        <v>0</v>
      </c>
      <c r="G90" s="145">
        <v>0</v>
      </c>
      <c r="H90" s="145">
        <v>0</v>
      </c>
      <c r="I90" s="145">
        <v>0</v>
      </c>
      <c r="J90" s="145">
        <v>0</v>
      </c>
      <c r="K90" s="145">
        <v>0</v>
      </c>
      <c r="L90" s="145">
        <v>0</v>
      </c>
      <c r="M90" s="145">
        <v>0</v>
      </c>
      <c r="N90" s="145">
        <v>0</v>
      </c>
      <c r="O90" s="145">
        <v>0</v>
      </c>
      <c r="P90" s="145">
        <v>0</v>
      </c>
      <c r="Q90" s="145">
        <v>0</v>
      </c>
      <c r="R90" s="145">
        <v>0</v>
      </c>
      <c r="S90" s="145">
        <v>0</v>
      </c>
      <c r="T90" s="145">
        <v>0</v>
      </c>
      <c r="U90" s="145">
        <v>0</v>
      </c>
      <c r="V90" s="145">
        <v>0</v>
      </c>
      <c r="W90" s="145">
        <v>0</v>
      </c>
      <c r="X90" s="145">
        <v>0</v>
      </c>
      <c r="Y90" s="145">
        <v>0</v>
      </c>
      <c r="Z90" s="145">
        <v>0</v>
      </c>
      <c r="AA90" s="145">
        <v>0</v>
      </c>
      <c r="AB90" s="145">
        <v>0</v>
      </c>
      <c r="AC90" s="146">
        <f t="shared" si="6"/>
        <v>0</v>
      </c>
      <c r="AD90" s="146">
        <f t="shared" si="7"/>
        <v>0</v>
      </c>
      <c r="AE90" s="145">
        <v>0</v>
      </c>
      <c r="AF90" s="145">
        <v>0</v>
      </c>
      <c r="AG90" s="145">
        <v>0</v>
      </c>
      <c r="AH90" s="145">
        <v>0</v>
      </c>
      <c r="AI90" s="145">
        <v>0</v>
      </c>
      <c r="AJ90" s="145">
        <v>0</v>
      </c>
      <c r="AK90" s="145">
        <v>0</v>
      </c>
      <c r="AL90" s="145">
        <v>0</v>
      </c>
      <c r="AM90" s="145">
        <v>18128</v>
      </c>
      <c r="AN90" s="145">
        <v>0</v>
      </c>
      <c r="AO90" s="145">
        <v>2862</v>
      </c>
      <c r="AP90" s="146">
        <f t="shared" si="8"/>
        <v>0</v>
      </c>
      <c r="AQ90" s="146">
        <f t="shared" si="9"/>
        <v>0</v>
      </c>
      <c r="AR90" s="145">
        <v>0</v>
      </c>
      <c r="AS90" s="145">
        <v>0</v>
      </c>
      <c r="AT90" s="145">
        <v>208</v>
      </c>
      <c r="AU90" s="145">
        <v>1842</v>
      </c>
      <c r="AV90" s="145">
        <v>0</v>
      </c>
      <c r="AW90" s="145">
        <v>0</v>
      </c>
      <c r="AX90" s="145">
        <v>0</v>
      </c>
      <c r="AY90" s="145">
        <v>0</v>
      </c>
      <c r="AZ90" s="145">
        <v>0</v>
      </c>
      <c r="BA90" s="145">
        <v>0</v>
      </c>
      <c r="BB90" s="145">
        <v>0</v>
      </c>
      <c r="BC90" s="145">
        <v>0</v>
      </c>
      <c r="BD90" s="145">
        <v>0</v>
      </c>
      <c r="BE90" s="145">
        <v>0</v>
      </c>
      <c r="BF90" s="145">
        <v>0</v>
      </c>
      <c r="BG90" s="145">
        <v>0</v>
      </c>
      <c r="BH90" s="145">
        <v>0</v>
      </c>
      <c r="BI90" s="145">
        <v>0</v>
      </c>
      <c r="BJ90" s="145">
        <v>0</v>
      </c>
      <c r="BK90" s="145">
        <v>0</v>
      </c>
      <c r="BL90" s="145">
        <v>0</v>
      </c>
      <c r="BM90" s="145">
        <v>439</v>
      </c>
      <c r="BN90" s="145">
        <v>1</v>
      </c>
      <c r="BO90" s="145">
        <v>0</v>
      </c>
      <c r="BP90" s="145">
        <v>0</v>
      </c>
      <c r="BQ90" s="145">
        <v>0</v>
      </c>
      <c r="BR90" s="145">
        <v>0</v>
      </c>
      <c r="BS90" s="145">
        <v>119</v>
      </c>
      <c r="BT90" s="145">
        <v>0</v>
      </c>
      <c r="BU90" s="145">
        <v>23599</v>
      </c>
      <c r="BV90" s="145">
        <v>30109</v>
      </c>
      <c r="BW90" s="145">
        <v>0</v>
      </c>
      <c r="BX90" s="145">
        <v>0</v>
      </c>
      <c r="BY90" s="145">
        <v>17955</v>
      </c>
      <c r="BZ90" s="145">
        <v>21084</v>
      </c>
      <c r="CA90" s="145">
        <v>1076</v>
      </c>
      <c r="CB90" s="145">
        <v>70224</v>
      </c>
      <c r="CC90" s="145">
        <v>93823</v>
      </c>
      <c r="CE90" s="145">
        <v>0</v>
      </c>
      <c r="CF90" s="145">
        <v>0</v>
      </c>
      <c r="CG90" s="165">
        <v>3180</v>
      </c>
    </row>
    <row r="91" spans="1:85" ht="8.25" customHeight="1" x14ac:dyDescent="0.2">
      <c r="A91" s="143">
        <v>31801</v>
      </c>
      <c r="B91" s="77" t="str">
        <f>IFERROR(INDEX(SCNtoISIC!$M:$M,MATCH($A91,SCNtoISIC!$J:$J,0)),0)</f>
        <v>ISIC 30</v>
      </c>
      <c r="C91" s="144" t="s">
        <v>462</v>
      </c>
      <c r="D91" s="145">
        <v>0</v>
      </c>
      <c r="E91" s="145">
        <v>0</v>
      </c>
      <c r="F91" s="145">
        <v>0</v>
      </c>
      <c r="G91" s="145">
        <v>0</v>
      </c>
      <c r="H91" s="145">
        <v>0</v>
      </c>
      <c r="I91" s="145">
        <v>0</v>
      </c>
      <c r="J91" s="145">
        <v>0</v>
      </c>
      <c r="K91" s="145">
        <v>0</v>
      </c>
      <c r="L91" s="145">
        <v>0</v>
      </c>
      <c r="M91" s="145">
        <v>0</v>
      </c>
      <c r="N91" s="145">
        <v>0</v>
      </c>
      <c r="O91" s="145">
        <v>0</v>
      </c>
      <c r="P91" s="145">
        <v>0</v>
      </c>
      <c r="Q91" s="145">
        <v>0</v>
      </c>
      <c r="R91" s="145">
        <v>0</v>
      </c>
      <c r="S91" s="145">
        <v>0</v>
      </c>
      <c r="T91" s="145">
        <v>0</v>
      </c>
      <c r="U91" s="145">
        <v>0</v>
      </c>
      <c r="V91" s="145">
        <v>0</v>
      </c>
      <c r="W91" s="145">
        <v>0</v>
      </c>
      <c r="X91" s="145">
        <v>0</v>
      </c>
      <c r="Y91" s="145">
        <v>0</v>
      </c>
      <c r="Z91" s="145">
        <v>0</v>
      </c>
      <c r="AA91" s="145">
        <v>0</v>
      </c>
      <c r="AB91" s="145">
        <v>0</v>
      </c>
      <c r="AC91" s="146">
        <f t="shared" si="6"/>
        <v>0</v>
      </c>
      <c r="AD91" s="146">
        <f t="shared" si="7"/>
        <v>0</v>
      </c>
      <c r="AE91" s="145">
        <v>0</v>
      </c>
      <c r="AF91" s="145">
        <v>0</v>
      </c>
      <c r="AG91" s="145">
        <v>0</v>
      </c>
      <c r="AH91" s="145">
        <v>0</v>
      </c>
      <c r="AI91" s="145">
        <v>0</v>
      </c>
      <c r="AJ91" s="145">
        <v>0</v>
      </c>
      <c r="AK91" s="145">
        <v>0</v>
      </c>
      <c r="AL91" s="145">
        <v>554</v>
      </c>
      <c r="AM91" s="145">
        <v>0</v>
      </c>
      <c r="AN91" s="145">
        <v>3022</v>
      </c>
      <c r="AO91" s="145">
        <v>0</v>
      </c>
      <c r="AP91" s="146">
        <f t="shared" si="8"/>
        <v>0</v>
      </c>
      <c r="AQ91" s="146">
        <f t="shared" si="9"/>
        <v>0</v>
      </c>
      <c r="AR91" s="145">
        <v>0</v>
      </c>
      <c r="AS91" s="145">
        <v>1</v>
      </c>
      <c r="AT91" s="145">
        <v>160</v>
      </c>
      <c r="AU91" s="145">
        <v>0</v>
      </c>
      <c r="AV91" s="145">
        <v>0</v>
      </c>
      <c r="AW91" s="145">
        <v>0</v>
      </c>
      <c r="AX91" s="145">
        <v>52</v>
      </c>
      <c r="AY91" s="145">
        <v>0</v>
      </c>
      <c r="AZ91" s="145">
        <v>0</v>
      </c>
      <c r="BA91" s="145">
        <v>0</v>
      </c>
      <c r="BB91" s="145">
        <v>0</v>
      </c>
      <c r="BC91" s="145">
        <v>0</v>
      </c>
      <c r="BD91" s="145">
        <v>0</v>
      </c>
      <c r="BE91" s="145">
        <v>0</v>
      </c>
      <c r="BF91" s="145">
        <v>0</v>
      </c>
      <c r="BG91" s="145">
        <v>0</v>
      </c>
      <c r="BH91" s="145">
        <v>0</v>
      </c>
      <c r="BI91" s="145">
        <v>0</v>
      </c>
      <c r="BJ91" s="145">
        <v>0</v>
      </c>
      <c r="BK91" s="145">
        <v>0</v>
      </c>
      <c r="BL91" s="145">
        <v>0</v>
      </c>
      <c r="BM91" s="145">
        <v>133</v>
      </c>
      <c r="BN91" s="145">
        <v>119</v>
      </c>
      <c r="BO91" s="145">
        <v>0</v>
      </c>
      <c r="BP91" s="145">
        <v>54</v>
      </c>
      <c r="BQ91" s="145">
        <v>35</v>
      </c>
      <c r="BR91" s="145">
        <v>10</v>
      </c>
      <c r="BS91" s="145">
        <v>0</v>
      </c>
      <c r="BT91" s="145">
        <v>0</v>
      </c>
      <c r="BU91" s="145">
        <v>4140</v>
      </c>
      <c r="BV91" s="145">
        <v>1975</v>
      </c>
      <c r="BW91" s="145">
        <v>0</v>
      </c>
      <c r="BX91" s="145">
        <v>0</v>
      </c>
      <c r="BY91" s="145">
        <v>62695</v>
      </c>
      <c r="BZ91" s="145">
        <v>13500</v>
      </c>
      <c r="CA91" s="145">
        <v>-1400</v>
      </c>
      <c r="CB91" s="145">
        <v>76770</v>
      </c>
      <c r="CC91" s="145">
        <v>80910</v>
      </c>
      <c r="CE91" s="145">
        <v>0</v>
      </c>
      <c r="CF91" s="145">
        <v>0</v>
      </c>
      <c r="CG91" s="165">
        <v>3180</v>
      </c>
    </row>
    <row r="92" spans="1:85" ht="8.25" customHeight="1" x14ac:dyDescent="0.2">
      <c r="A92" s="147">
        <v>31802</v>
      </c>
      <c r="B92" s="77" t="str">
        <f>IFERROR(INDEX(SCNtoISIC!$M:$M,MATCH($A92,SCNtoISIC!$J:$J,0)),0)</f>
        <v>ISIC 30</v>
      </c>
      <c r="C92" s="93" t="s">
        <v>463</v>
      </c>
      <c r="D92" s="148">
        <v>8</v>
      </c>
      <c r="E92" s="148">
        <v>3</v>
      </c>
      <c r="F92" s="148">
        <v>18</v>
      </c>
      <c r="G92" s="148">
        <v>0</v>
      </c>
      <c r="H92" s="148">
        <v>84</v>
      </c>
      <c r="I92" s="148">
        <v>37</v>
      </c>
      <c r="J92" s="148">
        <v>8</v>
      </c>
      <c r="K92" s="148">
        <v>16</v>
      </c>
      <c r="L92" s="148">
        <v>8</v>
      </c>
      <c r="M92" s="148">
        <v>29</v>
      </c>
      <c r="N92" s="148">
        <v>10</v>
      </c>
      <c r="O92" s="148">
        <v>0</v>
      </c>
      <c r="P92" s="148">
        <v>13</v>
      </c>
      <c r="Q92" s="148">
        <v>2311</v>
      </c>
      <c r="R92" s="148">
        <v>409</v>
      </c>
      <c r="S92" s="148">
        <v>12</v>
      </c>
      <c r="T92" s="148">
        <v>2</v>
      </c>
      <c r="U92" s="148">
        <v>0</v>
      </c>
      <c r="V92" s="148">
        <v>5</v>
      </c>
      <c r="W92" s="148">
        <v>2</v>
      </c>
      <c r="X92" s="148">
        <v>131</v>
      </c>
      <c r="Y92" s="148">
        <v>68</v>
      </c>
      <c r="Z92" s="148">
        <v>0</v>
      </c>
      <c r="AA92" s="148">
        <v>99</v>
      </c>
      <c r="AB92" s="148">
        <v>2</v>
      </c>
      <c r="AC92" s="146">
        <f t="shared" si="6"/>
        <v>132</v>
      </c>
      <c r="AD92" s="146">
        <f t="shared" si="7"/>
        <v>88</v>
      </c>
      <c r="AE92" s="148">
        <v>11</v>
      </c>
      <c r="AF92" s="148">
        <v>1</v>
      </c>
      <c r="AG92" s="148">
        <v>4</v>
      </c>
      <c r="AH92" s="148">
        <v>40</v>
      </c>
      <c r="AI92" s="148">
        <v>3</v>
      </c>
      <c r="AJ92" s="148">
        <v>876</v>
      </c>
      <c r="AK92" s="148">
        <v>474</v>
      </c>
      <c r="AL92" s="148">
        <v>35</v>
      </c>
      <c r="AM92" s="148">
        <v>15</v>
      </c>
      <c r="AN92" s="148">
        <v>1467</v>
      </c>
      <c r="AO92" s="148">
        <v>180</v>
      </c>
      <c r="AP92" s="146">
        <f t="shared" si="8"/>
        <v>76.666666666666657</v>
      </c>
      <c r="AQ92" s="146">
        <f t="shared" si="9"/>
        <v>38.333333333333329</v>
      </c>
      <c r="AR92" s="148">
        <v>53</v>
      </c>
      <c r="AS92" s="148">
        <v>1251</v>
      </c>
      <c r="AT92" s="148">
        <v>601</v>
      </c>
      <c r="AU92" s="148">
        <v>162</v>
      </c>
      <c r="AV92" s="148">
        <v>144</v>
      </c>
      <c r="AW92" s="148">
        <v>2</v>
      </c>
      <c r="AX92" s="148">
        <v>222</v>
      </c>
      <c r="AY92" s="148">
        <v>7</v>
      </c>
      <c r="AZ92" s="148">
        <v>9</v>
      </c>
      <c r="BA92" s="148">
        <v>2</v>
      </c>
      <c r="BB92" s="148">
        <v>86</v>
      </c>
      <c r="BC92" s="148">
        <v>3</v>
      </c>
      <c r="BD92" s="148">
        <v>139</v>
      </c>
      <c r="BE92" s="148">
        <v>396</v>
      </c>
      <c r="BF92" s="148">
        <v>211</v>
      </c>
      <c r="BG92" s="148">
        <v>436</v>
      </c>
      <c r="BH92" s="148">
        <v>650</v>
      </c>
      <c r="BI92" s="148">
        <v>471</v>
      </c>
      <c r="BJ92" s="148">
        <v>880</v>
      </c>
      <c r="BK92" s="148">
        <v>303</v>
      </c>
      <c r="BL92" s="148">
        <v>30</v>
      </c>
      <c r="BM92" s="148">
        <v>1268</v>
      </c>
      <c r="BN92" s="148">
        <v>1599</v>
      </c>
      <c r="BO92" s="148">
        <v>48</v>
      </c>
      <c r="BP92" s="148">
        <v>3976</v>
      </c>
      <c r="BQ92" s="148">
        <v>20001</v>
      </c>
      <c r="BR92" s="148">
        <v>278</v>
      </c>
      <c r="BS92" s="148">
        <v>169</v>
      </c>
      <c r="BT92" s="148">
        <v>0</v>
      </c>
      <c r="BU92" s="148">
        <v>40113</v>
      </c>
      <c r="BV92" s="148">
        <v>3084</v>
      </c>
      <c r="BW92" s="148">
        <v>0</v>
      </c>
      <c r="BX92" s="148">
        <v>0</v>
      </c>
      <c r="BY92" s="148">
        <v>42921</v>
      </c>
      <c r="BZ92" s="148">
        <v>10244</v>
      </c>
      <c r="CA92" s="148">
        <v>428</v>
      </c>
      <c r="CB92" s="148">
        <v>56677</v>
      </c>
      <c r="CC92" s="148">
        <v>96790</v>
      </c>
      <c r="CE92" s="148">
        <v>220</v>
      </c>
      <c r="CF92" s="148">
        <v>115</v>
      </c>
      <c r="CG92" s="166">
        <v>3300</v>
      </c>
    </row>
    <row r="93" spans="1:85" ht="8.25" customHeight="1" x14ac:dyDescent="0.2">
      <c r="A93" s="147">
        <v>33001</v>
      </c>
      <c r="B93" s="77" t="str">
        <f>IFERROR(INDEX(SCNtoISIC!$M:$M,MATCH($A93,SCNtoISIC!$J:$J,0)),0)</f>
        <v>ISIC 31T33</v>
      </c>
      <c r="C93" s="93" t="s">
        <v>254</v>
      </c>
      <c r="D93" s="148">
        <v>87</v>
      </c>
      <c r="E93" s="148">
        <v>36</v>
      </c>
      <c r="F93" s="148">
        <v>118</v>
      </c>
      <c r="G93" s="148">
        <v>957</v>
      </c>
      <c r="H93" s="148">
        <v>3903</v>
      </c>
      <c r="I93" s="148">
        <v>1431</v>
      </c>
      <c r="J93" s="148">
        <v>1063</v>
      </c>
      <c r="K93" s="148">
        <v>1333</v>
      </c>
      <c r="L93" s="148">
        <v>640</v>
      </c>
      <c r="M93" s="148">
        <v>700</v>
      </c>
      <c r="N93" s="148">
        <v>494</v>
      </c>
      <c r="O93" s="148">
        <v>15</v>
      </c>
      <c r="P93" s="148">
        <v>199</v>
      </c>
      <c r="Q93" s="148">
        <v>338</v>
      </c>
      <c r="R93" s="148">
        <v>215</v>
      </c>
      <c r="S93" s="148">
        <v>663</v>
      </c>
      <c r="T93" s="148">
        <v>3267</v>
      </c>
      <c r="U93" s="148">
        <v>1553</v>
      </c>
      <c r="V93" s="148">
        <v>673</v>
      </c>
      <c r="W93" s="148">
        <v>900</v>
      </c>
      <c r="X93" s="148">
        <v>1265</v>
      </c>
      <c r="Y93" s="148">
        <v>661</v>
      </c>
      <c r="Z93" s="148">
        <v>171</v>
      </c>
      <c r="AA93" s="148">
        <v>800</v>
      </c>
      <c r="AB93" s="148">
        <v>611</v>
      </c>
      <c r="AC93" s="146">
        <f t="shared" si="6"/>
        <v>2061.6</v>
      </c>
      <c r="AD93" s="146">
        <f t="shared" si="7"/>
        <v>1374.4</v>
      </c>
      <c r="AE93" s="148">
        <v>10197</v>
      </c>
      <c r="AF93" s="148">
        <v>2371</v>
      </c>
      <c r="AG93" s="148">
        <v>919</v>
      </c>
      <c r="AH93" s="148">
        <v>81</v>
      </c>
      <c r="AI93" s="148">
        <v>566</v>
      </c>
      <c r="AJ93" s="148">
        <v>1645</v>
      </c>
      <c r="AK93" s="148">
        <v>201</v>
      </c>
      <c r="AL93" s="148">
        <v>682</v>
      </c>
      <c r="AM93" s="148">
        <v>816</v>
      </c>
      <c r="AN93" s="148">
        <v>912</v>
      </c>
      <c r="AO93" s="148">
        <v>1093</v>
      </c>
      <c r="AP93" s="146">
        <f t="shared" si="8"/>
        <v>1238.6666666666665</v>
      </c>
      <c r="AQ93" s="146">
        <f t="shared" si="9"/>
        <v>619.33333333333326</v>
      </c>
      <c r="AR93" s="148">
        <v>1281</v>
      </c>
      <c r="AS93" s="148">
        <v>2840</v>
      </c>
      <c r="AT93" s="148">
        <v>6321</v>
      </c>
      <c r="AU93" s="148">
        <v>1223</v>
      </c>
      <c r="AV93" s="148">
        <v>1635</v>
      </c>
      <c r="AW93" s="148">
        <v>796</v>
      </c>
      <c r="AX93" s="148">
        <v>3766</v>
      </c>
      <c r="AY93" s="148">
        <v>8</v>
      </c>
      <c r="AZ93" s="148">
        <v>281</v>
      </c>
      <c r="BA93" s="148">
        <v>781</v>
      </c>
      <c r="BB93" s="148">
        <v>190</v>
      </c>
      <c r="BC93" s="148">
        <v>634</v>
      </c>
      <c r="BD93" s="148">
        <v>1109</v>
      </c>
      <c r="BE93" s="148">
        <v>418</v>
      </c>
      <c r="BF93" s="148">
        <v>117</v>
      </c>
      <c r="BG93" s="148">
        <v>1136</v>
      </c>
      <c r="BH93" s="148">
        <v>257</v>
      </c>
      <c r="BI93" s="148">
        <v>165</v>
      </c>
      <c r="BJ93" s="148">
        <v>1226</v>
      </c>
      <c r="BK93" s="148">
        <v>1067</v>
      </c>
      <c r="BL93" s="148">
        <v>266</v>
      </c>
      <c r="BM93" s="148">
        <v>1438</v>
      </c>
      <c r="BN93" s="148">
        <v>156</v>
      </c>
      <c r="BO93" s="148">
        <v>0</v>
      </c>
      <c r="BP93" s="148">
        <v>1320</v>
      </c>
      <c r="BQ93" s="148">
        <v>519</v>
      </c>
      <c r="BR93" s="148">
        <v>692</v>
      </c>
      <c r="BS93" s="148">
        <v>616</v>
      </c>
      <c r="BT93" s="148">
        <v>0</v>
      </c>
      <c r="BU93" s="148">
        <v>77128</v>
      </c>
      <c r="BV93" s="148">
        <v>2388</v>
      </c>
      <c r="BW93" s="148">
        <v>0</v>
      </c>
      <c r="BX93" s="148">
        <v>0</v>
      </c>
      <c r="BY93" s="148">
        <v>504</v>
      </c>
      <c r="BZ93" s="148">
        <v>12099</v>
      </c>
      <c r="CA93" s="148">
        <v>0</v>
      </c>
      <c r="CB93" s="148">
        <v>14991</v>
      </c>
      <c r="CC93" s="148">
        <v>92119</v>
      </c>
      <c r="CE93" s="148">
        <v>3436</v>
      </c>
      <c r="CF93" s="148">
        <v>1858</v>
      </c>
      <c r="CG93" s="166">
        <v>3510</v>
      </c>
    </row>
    <row r="94" spans="1:85" ht="8.25" customHeight="1" x14ac:dyDescent="0.2">
      <c r="A94" s="149">
        <v>35101</v>
      </c>
      <c r="B94" s="77" t="str">
        <f>IFERROR(INDEX(SCNtoISIC!$M:$M,MATCH($A94,SCNtoISIC!$J:$J,0)),0)</f>
        <v>ISIC 351</v>
      </c>
      <c r="C94" s="150" t="s">
        <v>255</v>
      </c>
      <c r="D94" s="146">
        <f>2/3*D$146</f>
        <v>4978.6666666666661</v>
      </c>
      <c r="E94" s="146">
        <f t="shared" ref="E94:BR94" si="10">2/3*E$146</f>
        <v>3338</v>
      </c>
      <c r="F94" s="146">
        <f t="shared" si="10"/>
        <v>274</v>
      </c>
      <c r="G94" s="146">
        <f t="shared" si="10"/>
        <v>464.66666666666663</v>
      </c>
      <c r="H94" s="146">
        <f t="shared" si="10"/>
        <v>206</v>
      </c>
      <c r="I94" s="146">
        <f t="shared" si="10"/>
        <v>770.66666666666663</v>
      </c>
      <c r="J94" s="146">
        <f t="shared" si="10"/>
        <v>319.33333333333331</v>
      </c>
      <c r="K94" s="146">
        <f t="shared" si="10"/>
        <v>1095.3333333333333</v>
      </c>
      <c r="L94" s="146">
        <f t="shared" si="10"/>
        <v>36.666666666666664</v>
      </c>
      <c r="M94" s="146">
        <f t="shared" si="10"/>
        <v>2180.6666666666665</v>
      </c>
      <c r="N94" s="146">
        <f t="shared" si="10"/>
        <v>483.33333333333331</v>
      </c>
      <c r="O94" s="146">
        <f t="shared" si="10"/>
        <v>42</v>
      </c>
      <c r="P94" s="146">
        <f t="shared" si="10"/>
        <v>1008.6666666666666</v>
      </c>
      <c r="Q94" s="146">
        <f t="shared" si="10"/>
        <v>161.33333333333331</v>
      </c>
      <c r="R94" s="146">
        <f t="shared" si="10"/>
        <v>196</v>
      </c>
      <c r="S94" s="146">
        <f t="shared" si="10"/>
        <v>588.66666666666663</v>
      </c>
      <c r="T94" s="146">
        <f t="shared" si="10"/>
        <v>1446</v>
      </c>
      <c r="U94" s="146">
        <f t="shared" si="10"/>
        <v>106</v>
      </c>
      <c r="V94" s="146">
        <f t="shared" si="10"/>
        <v>26</v>
      </c>
      <c r="W94" s="146">
        <f t="shared" si="10"/>
        <v>114.66666666666666</v>
      </c>
      <c r="X94" s="146">
        <f t="shared" si="10"/>
        <v>3055.333333333333</v>
      </c>
      <c r="Y94" s="146">
        <f t="shared" si="10"/>
        <v>482</v>
      </c>
      <c r="Z94" s="146">
        <f t="shared" si="10"/>
        <v>147.33333333333331</v>
      </c>
      <c r="AA94" s="146">
        <f t="shared" si="10"/>
        <v>210.66666666666666</v>
      </c>
      <c r="AB94" s="146">
        <f t="shared" si="10"/>
        <v>1484.6666666666665</v>
      </c>
      <c r="AC94" s="146">
        <f t="shared" si="6"/>
        <v>1845.9999999999998</v>
      </c>
      <c r="AD94" s="146">
        <f t="shared" si="7"/>
        <v>1230.6666666666667</v>
      </c>
      <c r="AE94" s="146">
        <f t="shared" si="10"/>
        <v>2403.333333333333</v>
      </c>
      <c r="AF94" s="146">
        <f t="shared" si="10"/>
        <v>1866.6666666666665</v>
      </c>
      <c r="AG94" s="146">
        <f t="shared" si="10"/>
        <v>878</v>
      </c>
      <c r="AH94" s="146">
        <f t="shared" si="10"/>
        <v>112.66666666666666</v>
      </c>
      <c r="AI94" s="146">
        <f t="shared" si="10"/>
        <v>438.66666666666663</v>
      </c>
      <c r="AJ94" s="146">
        <f t="shared" si="10"/>
        <v>467.33333333333331</v>
      </c>
      <c r="AK94" s="146">
        <f t="shared" si="10"/>
        <v>337.33333333333331</v>
      </c>
      <c r="AL94" s="146">
        <f t="shared" si="10"/>
        <v>792.66666666666663</v>
      </c>
      <c r="AM94" s="146">
        <f t="shared" si="10"/>
        <v>217.33333333333331</v>
      </c>
      <c r="AN94" s="146">
        <f t="shared" si="10"/>
        <v>276</v>
      </c>
      <c r="AO94" s="146">
        <f t="shared" si="10"/>
        <v>173.33333333333331</v>
      </c>
      <c r="AP94" s="146">
        <f t="shared" si="8"/>
        <v>42050.666666666664</v>
      </c>
      <c r="AQ94" s="146">
        <f t="shared" si="9"/>
        <v>21025.333333333332</v>
      </c>
      <c r="AR94" s="146">
        <f t="shared" si="10"/>
        <v>2305.333333333333</v>
      </c>
      <c r="AS94" s="146">
        <f t="shared" si="10"/>
        <v>426.66666666666663</v>
      </c>
      <c r="AT94" s="146">
        <f t="shared" si="10"/>
        <v>14080</v>
      </c>
      <c r="AU94" s="146">
        <f t="shared" si="10"/>
        <v>936.66666666666663</v>
      </c>
      <c r="AV94" s="146">
        <f t="shared" si="10"/>
        <v>40.666666666666664</v>
      </c>
      <c r="AW94" s="146">
        <f t="shared" si="10"/>
        <v>27.333333333333332</v>
      </c>
      <c r="AX94" s="146">
        <f t="shared" si="10"/>
        <v>779.33333333333326</v>
      </c>
      <c r="AY94" s="146">
        <f t="shared" si="10"/>
        <v>909.33333333333326</v>
      </c>
      <c r="AZ94" s="146">
        <f t="shared" si="10"/>
        <v>1161.3333333333333</v>
      </c>
      <c r="BA94" s="146">
        <f t="shared" si="10"/>
        <v>112.66666666666666</v>
      </c>
      <c r="BB94" s="146">
        <f t="shared" si="10"/>
        <v>273.33333333333331</v>
      </c>
      <c r="BC94" s="146">
        <f t="shared" si="10"/>
        <v>1356</v>
      </c>
      <c r="BD94" s="146">
        <f t="shared" si="10"/>
        <v>389.33333333333331</v>
      </c>
      <c r="BE94" s="146">
        <f t="shared" si="10"/>
        <v>1696</v>
      </c>
      <c r="BF94" s="146">
        <f t="shared" si="10"/>
        <v>309.33333333333331</v>
      </c>
      <c r="BG94" s="146">
        <f t="shared" si="10"/>
        <v>750</v>
      </c>
      <c r="BH94" s="146">
        <f t="shared" si="10"/>
        <v>213.33333333333331</v>
      </c>
      <c r="BI94" s="146">
        <f t="shared" si="10"/>
        <v>124</v>
      </c>
      <c r="BJ94" s="146">
        <f t="shared" si="10"/>
        <v>108.66666666666666</v>
      </c>
      <c r="BK94" s="146">
        <f t="shared" si="10"/>
        <v>4703.333333333333</v>
      </c>
      <c r="BL94" s="146">
        <f t="shared" si="10"/>
        <v>68.666666666666657</v>
      </c>
      <c r="BM94" s="146">
        <f t="shared" si="10"/>
        <v>3934.6666666666665</v>
      </c>
      <c r="BN94" s="146">
        <f t="shared" si="10"/>
        <v>1224</v>
      </c>
      <c r="BO94" s="146">
        <f t="shared" si="10"/>
        <v>1639.3333333333333</v>
      </c>
      <c r="BP94" s="146">
        <f t="shared" si="10"/>
        <v>928</v>
      </c>
      <c r="BQ94" s="146">
        <f t="shared" si="10"/>
        <v>1086.6666666666665</v>
      </c>
      <c r="BR94" s="146">
        <f t="shared" si="10"/>
        <v>644</v>
      </c>
      <c r="BS94" s="146">
        <f t="shared" ref="BS94:CC94" si="11">2/3*BS$146</f>
        <v>2309.333333333333</v>
      </c>
      <c r="BT94" s="146">
        <f t="shared" si="11"/>
        <v>0</v>
      </c>
      <c r="BU94" s="146">
        <f t="shared" si="11"/>
        <v>139870</v>
      </c>
      <c r="BV94" s="146">
        <f t="shared" si="11"/>
        <v>0</v>
      </c>
      <c r="BW94" s="146">
        <f t="shared" si="11"/>
        <v>0</v>
      </c>
      <c r="BX94" s="146">
        <f t="shared" si="11"/>
        <v>0</v>
      </c>
      <c r="BY94" s="146">
        <f t="shared" si="11"/>
        <v>67057.333333333328</v>
      </c>
      <c r="BZ94" s="146">
        <f t="shared" si="11"/>
        <v>0</v>
      </c>
      <c r="CA94" s="146">
        <f t="shared" si="11"/>
        <v>0</v>
      </c>
      <c r="CB94" s="146">
        <f t="shared" si="11"/>
        <v>67057.333333333328</v>
      </c>
      <c r="CC94" s="146">
        <f t="shared" si="11"/>
        <v>206927.33333333331</v>
      </c>
      <c r="CE94" s="146">
        <f>2/3*CE$146</f>
        <v>3076.6666666666665</v>
      </c>
      <c r="CF94" s="146">
        <f>2/3*CF$146</f>
        <v>63076</v>
      </c>
      <c r="CG94" s="167">
        <v>3520</v>
      </c>
    </row>
    <row r="95" spans="1:85" ht="8.25" customHeight="1" x14ac:dyDescent="0.2">
      <c r="A95" s="149">
        <v>35201</v>
      </c>
      <c r="B95" s="77" t="str">
        <f>IFERROR(INDEX(SCNtoISIC!$M:$M,MATCH($A95,SCNtoISIC!$J:$J,0)),0)</f>
        <v>ISIC 352T353</v>
      </c>
      <c r="C95" s="150" t="s">
        <v>256</v>
      </c>
      <c r="D95" s="146">
        <f>1/3*D$146</f>
        <v>2489.333333333333</v>
      </c>
      <c r="E95" s="146">
        <f t="shared" ref="E95:BR95" si="12">1/3*E$146</f>
        <v>1669</v>
      </c>
      <c r="F95" s="146">
        <f t="shared" si="12"/>
        <v>137</v>
      </c>
      <c r="G95" s="146">
        <f t="shared" si="12"/>
        <v>232.33333333333331</v>
      </c>
      <c r="H95" s="146">
        <f t="shared" si="12"/>
        <v>103</v>
      </c>
      <c r="I95" s="146">
        <f t="shared" si="12"/>
        <v>385.33333333333331</v>
      </c>
      <c r="J95" s="146">
        <f t="shared" si="12"/>
        <v>159.66666666666666</v>
      </c>
      <c r="K95" s="146">
        <f t="shared" si="12"/>
        <v>547.66666666666663</v>
      </c>
      <c r="L95" s="146">
        <f t="shared" si="12"/>
        <v>18.333333333333332</v>
      </c>
      <c r="M95" s="146">
        <f t="shared" si="12"/>
        <v>1090.3333333333333</v>
      </c>
      <c r="N95" s="146">
        <f t="shared" si="12"/>
        <v>241.66666666666666</v>
      </c>
      <c r="O95" s="146">
        <f t="shared" si="12"/>
        <v>21</v>
      </c>
      <c r="P95" s="146">
        <f t="shared" si="12"/>
        <v>504.33333333333331</v>
      </c>
      <c r="Q95" s="146">
        <f t="shared" si="12"/>
        <v>80.666666666666657</v>
      </c>
      <c r="R95" s="146">
        <f t="shared" si="12"/>
        <v>98</v>
      </c>
      <c r="S95" s="146">
        <f t="shared" si="12"/>
        <v>294.33333333333331</v>
      </c>
      <c r="T95" s="146">
        <f t="shared" si="12"/>
        <v>723</v>
      </c>
      <c r="U95" s="146">
        <f t="shared" si="12"/>
        <v>53</v>
      </c>
      <c r="V95" s="146">
        <f t="shared" si="12"/>
        <v>13</v>
      </c>
      <c r="W95" s="146">
        <f t="shared" si="12"/>
        <v>57.333333333333329</v>
      </c>
      <c r="X95" s="146">
        <f t="shared" si="12"/>
        <v>1527.6666666666665</v>
      </c>
      <c r="Y95" s="146">
        <f t="shared" si="12"/>
        <v>241</v>
      </c>
      <c r="Z95" s="146">
        <f t="shared" si="12"/>
        <v>73.666666666666657</v>
      </c>
      <c r="AA95" s="146">
        <f t="shared" si="12"/>
        <v>105.33333333333333</v>
      </c>
      <c r="AB95" s="146">
        <f t="shared" si="12"/>
        <v>742.33333333333326</v>
      </c>
      <c r="AC95" s="146">
        <f t="shared" si="6"/>
        <v>922.99999999999989</v>
      </c>
      <c r="AD95" s="146">
        <f t="shared" si="7"/>
        <v>615.33333333333337</v>
      </c>
      <c r="AE95" s="146">
        <f t="shared" si="12"/>
        <v>1201.6666666666665</v>
      </c>
      <c r="AF95" s="146">
        <f t="shared" si="12"/>
        <v>933.33333333333326</v>
      </c>
      <c r="AG95" s="146">
        <f t="shared" si="12"/>
        <v>439</v>
      </c>
      <c r="AH95" s="146">
        <f t="shared" si="12"/>
        <v>56.333333333333329</v>
      </c>
      <c r="AI95" s="146">
        <f t="shared" si="12"/>
        <v>219.33333333333331</v>
      </c>
      <c r="AJ95" s="146">
        <f t="shared" si="12"/>
        <v>233.66666666666666</v>
      </c>
      <c r="AK95" s="146">
        <f t="shared" si="12"/>
        <v>168.66666666666666</v>
      </c>
      <c r="AL95" s="146">
        <f t="shared" si="12"/>
        <v>396.33333333333331</v>
      </c>
      <c r="AM95" s="146">
        <f t="shared" si="12"/>
        <v>108.66666666666666</v>
      </c>
      <c r="AN95" s="146">
        <f t="shared" si="12"/>
        <v>138</v>
      </c>
      <c r="AO95" s="146">
        <f t="shared" si="12"/>
        <v>86.666666666666657</v>
      </c>
      <c r="AP95" s="146">
        <f t="shared" si="8"/>
        <v>21025.333333333332</v>
      </c>
      <c r="AQ95" s="146">
        <f t="shared" si="9"/>
        <v>10512.666666666666</v>
      </c>
      <c r="AR95" s="146">
        <f t="shared" si="12"/>
        <v>1152.6666666666665</v>
      </c>
      <c r="AS95" s="146">
        <f t="shared" si="12"/>
        <v>213.33333333333331</v>
      </c>
      <c r="AT95" s="146">
        <f t="shared" si="12"/>
        <v>7040</v>
      </c>
      <c r="AU95" s="146">
        <f t="shared" si="12"/>
        <v>468.33333333333331</v>
      </c>
      <c r="AV95" s="146">
        <f t="shared" si="12"/>
        <v>20.333333333333332</v>
      </c>
      <c r="AW95" s="146">
        <f t="shared" si="12"/>
        <v>13.666666666666666</v>
      </c>
      <c r="AX95" s="146">
        <f t="shared" si="12"/>
        <v>389.66666666666663</v>
      </c>
      <c r="AY95" s="146">
        <f t="shared" si="12"/>
        <v>454.66666666666663</v>
      </c>
      <c r="AZ95" s="146">
        <f t="shared" si="12"/>
        <v>580.66666666666663</v>
      </c>
      <c r="BA95" s="146">
        <f t="shared" si="12"/>
        <v>56.333333333333329</v>
      </c>
      <c r="BB95" s="146">
        <f t="shared" si="12"/>
        <v>136.66666666666666</v>
      </c>
      <c r="BC95" s="146">
        <f t="shared" si="12"/>
        <v>678</v>
      </c>
      <c r="BD95" s="146">
        <f t="shared" si="12"/>
        <v>194.66666666666666</v>
      </c>
      <c r="BE95" s="146">
        <f t="shared" si="12"/>
        <v>848</v>
      </c>
      <c r="BF95" s="146">
        <f t="shared" si="12"/>
        <v>154.66666666666666</v>
      </c>
      <c r="BG95" s="146">
        <f t="shared" si="12"/>
        <v>375</v>
      </c>
      <c r="BH95" s="146">
        <f t="shared" si="12"/>
        <v>106.66666666666666</v>
      </c>
      <c r="BI95" s="146">
        <f t="shared" si="12"/>
        <v>62</v>
      </c>
      <c r="BJ95" s="146">
        <f t="shared" si="12"/>
        <v>54.333333333333329</v>
      </c>
      <c r="BK95" s="146">
        <f t="shared" si="12"/>
        <v>2351.6666666666665</v>
      </c>
      <c r="BL95" s="146">
        <f t="shared" si="12"/>
        <v>34.333333333333329</v>
      </c>
      <c r="BM95" s="146">
        <f t="shared" si="12"/>
        <v>1967.3333333333333</v>
      </c>
      <c r="BN95" s="146">
        <f t="shared" si="12"/>
        <v>612</v>
      </c>
      <c r="BO95" s="146">
        <f t="shared" si="12"/>
        <v>819.66666666666663</v>
      </c>
      <c r="BP95" s="146">
        <f t="shared" si="12"/>
        <v>464</v>
      </c>
      <c r="BQ95" s="146">
        <f t="shared" si="12"/>
        <v>543.33333333333326</v>
      </c>
      <c r="BR95" s="146">
        <f t="shared" si="12"/>
        <v>322</v>
      </c>
      <c r="BS95" s="146">
        <f t="shared" ref="BS95:CC95" si="13">1/3*BS$146</f>
        <v>1154.6666666666665</v>
      </c>
      <c r="BT95" s="146">
        <f t="shared" si="13"/>
        <v>0</v>
      </c>
      <c r="BU95" s="146">
        <f t="shared" si="13"/>
        <v>69935</v>
      </c>
      <c r="BV95" s="146">
        <f t="shared" si="13"/>
        <v>0</v>
      </c>
      <c r="BW95" s="146">
        <f t="shared" si="13"/>
        <v>0</v>
      </c>
      <c r="BX95" s="146">
        <f t="shared" si="13"/>
        <v>0</v>
      </c>
      <c r="BY95" s="146">
        <f t="shared" si="13"/>
        <v>33528.666666666664</v>
      </c>
      <c r="BZ95" s="146">
        <f t="shared" si="13"/>
        <v>0</v>
      </c>
      <c r="CA95" s="146">
        <f t="shared" si="13"/>
        <v>0</v>
      </c>
      <c r="CB95" s="146">
        <f t="shared" si="13"/>
        <v>33528.666666666664</v>
      </c>
      <c r="CC95" s="146">
        <f t="shared" si="13"/>
        <v>103463.66666666666</v>
      </c>
      <c r="CE95" s="146">
        <f>1/3*CE$146</f>
        <v>1538.3333333333333</v>
      </c>
      <c r="CF95" s="146">
        <f>1/3*CF$146</f>
        <v>31538</v>
      </c>
      <c r="CG95" s="167">
        <v>3680</v>
      </c>
    </row>
    <row r="96" spans="1:85" ht="8.25" customHeight="1" x14ac:dyDescent="0.2">
      <c r="A96" s="147">
        <v>36801</v>
      </c>
      <c r="B96" s="77" t="str">
        <f>IFERROR(INDEX(SCNtoISIC!$M:$M,MATCH($A96,SCNtoISIC!$J:$J,0)),0)</f>
        <v>ISIC 36T39</v>
      </c>
      <c r="C96" s="93" t="s">
        <v>470</v>
      </c>
      <c r="D96" s="148">
        <v>3</v>
      </c>
      <c r="E96" s="148">
        <v>1</v>
      </c>
      <c r="F96" s="148">
        <v>1</v>
      </c>
      <c r="G96" s="148">
        <v>30</v>
      </c>
      <c r="H96" s="148">
        <v>46</v>
      </c>
      <c r="I96" s="148">
        <v>184</v>
      </c>
      <c r="J96" s="148">
        <v>69</v>
      </c>
      <c r="K96" s="148">
        <v>146</v>
      </c>
      <c r="L96" s="148">
        <v>54</v>
      </c>
      <c r="M96" s="148">
        <v>294</v>
      </c>
      <c r="N96" s="148">
        <v>536</v>
      </c>
      <c r="O96" s="148">
        <v>1</v>
      </c>
      <c r="P96" s="148">
        <v>60</v>
      </c>
      <c r="Q96" s="148">
        <v>28</v>
      </c>
      <c r="R96" s="148">
        <v>22</v>
      </c>
      <c r="S96" s="148">
        <v>213</v>
      </c>
      <c r="T96" s="148">
        <v>344</v>
      </c>
      <c r="U96" s="148">
        <v>8</v>
      </c>
      <c r="V96" s="148">
        <v>426</v>
      </c>
      <c r="W96" s="148">
        <v>28</v>
      </c>
      <c r="X96" s="148">
        <v>623</v>
      </c>
      <c r="Y96" s="148">
        <v>429</v>
      </c>
      <c r="Z96" s="148">
        <v>126</v>
      </c>
      <c r="AA96" s="148">
        <v>76</v>
      </c>
      <c r="AB96" s="148">
        <v>521</v>
      </c>
      <c r="AC96" s="146">
        <f t="shared" si="6"/>
        <v>460.79999999999995</v>
      </c>
      <c r="AD96" s="146">
        <f t="shared" si="7"/>
        <v>307.20000000000005</v>
      </c>
      <c r="AE96" s="148">
        <v>4867</v>
      </c>
      <c r="AF96" s="148">
        <v>2369</v>
      </c>
      <c r="AG96" s="148">
        <v>169</v>
      </c>
      <c r="AH96" s="148">
        <v>20</v>
      </c>
      <c r="AI96" s="148">
        <v>61</v>
      </c>
      <c r="AJ96" s="148">
        <v>101</v>
      </c>
      <c r="AK96" s="148">
        <v>89</v>
      </c>
      <c r="AL96" s="148">
        <v>258</v>
      </c>
      <c r="AM96" s="148">
        <v>133</v>
      </c>
      <c r="AN96" s="148">
        <v>78</v>
      </c>
      <c r="AO96" s="148">
        <v>27</v>
      </c>
      <c r="AP96" s="146">
        <f t="shared" si="8"/>
        <v>54</v>
      </c>
      <c r="AQ96" s="146">
        <f t="shared" si="9"/>
        <v>27</v>
      </c>
      <c r="AR96" s="148">
        <v>958</v>
      </c>
      <c r="AS96" s="148">
        <v>279</v>
      </c>
      <c r="AT96" s="148">
        <v>4160</v>
      </c>
      <c r="AU96" s="148">
        <v>264</v>
      </c>
      <c r="AV96" s="148">
        <v>9</v>
      </c>
      <c r="AW96" s="148">
        <v>6</v>
      </c>
      <c r="AX96" s="148">
        <v>704</v>
      </c>
      <c r="AY96" s="148">
        <v>330</v>
      </c>
      <c r="AZ96" s="148">
        <v>1109</v>
      </c>
      <c r="BA96" s="148">
        <v>32</v>
      </c>
      <c r="BB96" s="148">
        <v>51</v>
      </c>
      <c r="BC96" s="148">
        <v>43</v>
      </c>
      <c r="BD96" s="148">
        <v>94</v>
      </c>
      <c r="BE96" s="148">
        <v>519</v>
      </c>
      <c r="BF96" s="148">
        <v>368</v>
      </c>
      <c r="BG96" s="148">
        <v>493</v>
      </c>
      <c r="BH96" s="148">
        <v>65</v>
      </c>
      <c r="BI96" s="148">
        <v>28</v>
      </c>
      <c r="BJ96" s="148">
        <v>43</v>
      </c>
      <c r="BK96" s="148">
        <v>4115</v>
      </c>
      <c r="BL96" s="148">
        <v>29</v>
      </c>
      <c r="BM96" s="148">
        <v>10446</v>
      </c>
      <c r="BN96" s="148">
        <v>1335</v>
      </c>
      <c r="BO96" s="148">
        <v>214</v>
      </c>
      <c r="BP96" s="148">
        <v>1721</v>
      </c>
      <c r="BQ96" s="148">
        <v>1874</v>
      </c>
      <c r="BR96" s="148">
        <v>94</v>
      </c>
      <c r="BS96" s="148">
        <v>1689</v>
      </c>
      <c r="BT96" s="148">
        <v>0</v>
      </c>
      <c r="BU96" s="148">
        <v>44362</v>
      </c>
      <c r="BV96" s="148">
        <v>4</v>
      </c>
      <c r="BW96" s="148">
        <v>0</v>
      </c>
      <c r="BX96" s="148">
        <v>0</v>
      </c>
      <c r="BY96" s="148">
        <v>25835</v>
      </c>
      <c r="BZ96" s="148">
        <v>0</v>
      </c>
      <c r="CA96" s="148">
        <v>439</v>
      </c>
      <c r="CB96" s="148">
        <v>26278</v>
      </c>
      <c r="CC96" s="148">
        <v>70640</v>
      </c>
      <c r="CE96" s="148">
        <v>768</v>
      </c>
      <c r="CF96" s="148">
        <v>81</v>
      </c>
      <c r="CG96" s="166">
        <v>4180</v>
      </c>
    </row>
    <row r="97" spans="1:85" ht="8.25" customHeight="1" x14ac:dyDescent="0.2">
      <c r="A97" s="147">
        <v>41801</v>
      </c>
      <c r="B97" s="77" t="str">
        <f>IFERROR(INDEX(SCNtoISIC!$M:$M,MATCH($A97,SCNtoISIC!$J:$J,0)),0)</f>
        <v>ISIC 41T43</v>
      </c>
      <c r="C97" s="93" t="s">
        <v>471</v>
      </c>
      <c r="D97" s="148">
        <v>21</v>
      </c>
      <c r="E97" s="148">
        <v>41</v>
      </c>
      <c r="F97" s="148">
        <v>3</v>
      </c>
      <c r="G97" s="148">
        <v>1</v>
      </c>
      <c r="H97" s="148">
        <v>435</v>
      </c>
      <c r="I97" s="148">
        <v>215</v>
      </c>
      <c r="J97" s="148">
        <v>38</v>
      </c>
      <c r="K97" s="148">
        <v>0</v>
      </c>
      <c r="L97" s="148">
        <v>0</v>
      </c>
      <c r="M97" s="148">
        <v>6</v>
      </c>
      <c r="N97" s="148">
        <v>0</v>
      </c>
      <c r="O97" s="148">
        <v>0</v>
      </c>
      <c r="P97" s="148">
        <v>0</v>
      </c>
      <c r="Q97" s="148">
        <v>0</v>
      </c>
      <c r="R97" s="148">
        <v>0</v>
      </c>
      <c r="S97" s="148">
        <v>0</v>
      </c>
      <c r="T97" s="148">
        <v>10</v>
      </c>
      <c r="U97" s="148">
        <v>0</v>
      </c>
      <c r="V97" s="148">
        <v>0</v>
      </c>
      <c r="W97" s="148">
        <v>27</v>
      </c>
      <c r="X97" s="148">
        <v>71</v>
      </c>
      <c r="Y97" s="148">
        <v>0</v>
      </c>
      <c r="Z97" s="148">
        <v>0</v>
      </c>
      <c r="AA97" s="148">
        <v>0</v>
      </c>
      <c r="AB97" s="148">
        <v>0</v>
      </c>
      <c r="AC97" s="146">
        <f t="shared" si="6"/>
        <v>2.4</v>
      </c>
      <c r="AD97" s="146">
        <f t="shared" si="7"/>
        <v>1.6</v>
      </c>
      <c r="AE97" s="148">
        <v>18</v>
      </c>
      <c r="AF97" s="148">
        <v>12</v>
      </c>
      <c r="AG97" s="148">
        <v>33</v>
      </c>
      <c r="AH97" s="148">
        <v>72</v>
      </c>
      <c r="AI97" s="148">
        <v>3</v>
      </c>
      <c r="AJ97" s="148">
        <v>51</v>
      </c>
      <c r="AK97" s="148">
        <v>228</v>
      </c>
      <c r="AL97" s="148">
        <v>13</v>
      </c>
      <c r="AM97" s="148">
        <v>228</v>
      </c>
      <c r="AN97" s="148">
        <v>13</v>
      </c>
      <c r="AO97" s="148">
        <v>0</v>
      </c>
      <c r="AP97" s="146">
        <f t="shared" si="8"/>
        <v>0</v>
      </c>
      <c r="AQ97" s="146">
        <f t="shared" si="9"/>
        <v>0</v>
      </c>
      <c r="AR97" s="148">
        <v>0</v>
      </c>
      <c r="AS97" s="148">
        <v>31663</v>
      </c>
      <c r="AT97" s="148">
        <v>1077</v>
      </c>
      <c r="AU97" s="148">
        <v>18</v>
      </c>
      <c r="AV97" s="148">
        <v>5</v>
      </c>
      <c r="AW97" s="148">
        <v>2</v>
      </c>
      <c r="AX97" s="148">
        <v>298</v>
      </c>
      <c r="AY97" s="148">
        <v>236</v>
      </c>
      <c r="AZ97" s="148">
        <v>0</v>
      </c>
      <c r="BA97" s="148">
        <v>10</v>
      </c>
      <c r="BB97" s="148">
        <v>225</v>
      </c>
      <c r="BC97" s="148">
        <v>2</v>
      </c>
      <c r="BD97" s="148">
        <v>832</v>
      </c>
      <c r="BE97" s="148">
        <v>350</v>
      </c>
      <c r="BF97" s="148">
        <v>540</v>
      </c>
      <c r="BG97" s="148">
        <v>55</v>
      </c>
      <c r="BH97" s="148">
        <v>149</v>
      </c>
      <c r="BI97" s="148">
        <v>0</v>
      </c>
      <c r="BJ97" s="148">
        <v>178</v>
      </c>
      <c r="BK97" s="148">
        <v>1952</v>
      </c>
      <c r="BL97" s="148">
        <v>0</v>
      </c>
      <c r="BM97" s="148">
        <v>3566</v>
      </c>
      <c r="BN97" s="148">
        <v>1027</v>
      </c>
      <c r="BO97" s="148">
        <v>365</v>
      </c>
      <c r="BP97" s="148">
        <v>1723</v>
      </c>
      <c r="BQ97" s="148">
        <v>0</v>
      </c>
      <c r="BR97" s="148">
        <v>9</v>
      </c>
      <c r="BS97" s="148">
        <v>272</v>
      </c>
      <c r="BT97" s="148">
        <v>0</v>
      </c>
      <c r="BU97" s="148">
        <v>46097</v>
      </c>
      <c r="BV97" s="148">
        <v>236</v>
      </c>
      <c r="BW97" s="148">
        <v>0</v>
      </c>
      <c r="BX97" s="148">
        <v>0</v>
      </c>
      <c r="BY97" s="148">
        <v>0</v>
      </c>
      <c r="BZ97" s="148">
        <v>340306</v>
      </c>
      <c r="CA97" s="148">
        <v>0</v>
      </c>
      <c r="CB97" s="148">
        <v>340542</v>
      </c>
      <c r="CC97" s="148">
        <v>386639</v>
      </c>
      <c r="CE97" s="148">
        <v>4</v>
      </c>
      <c r="CF97" s="148">
        <v>0</v>
      </c>
      <c r="CG97" s="166">
        <v>4180</v>
      </c>
    </row>
    <row r="98" spans="1:85" ht="8.25" customHeight="1" x14ac:dyDescent="0.2">
      <c r="A98" s="143">
        <v>41802</v>
      </c>
      <c r="B98" s="77" t="str">
        <f>IFERROR(INDEX(SCNtoISIC!$M:$M,MATCH($A98,SCNtoISIC!$J:$J,0)),0)</f>
        <v>ISIC 41T43</v>
      </c>
      <c r="C98" s="144" t="s">
        <v>626</v>
      </c>
      <c r="D98" s="145">
        <v>0</v>
      </c>
      <c r="E98" s="145">
        <v>0</v>
      </c>
      <c r="F98" s="145">
        <v>0</v>
      </c>
      <c r="G98" s="145">
        <v>0</v>
      </c>
      <c r="H98" s="145">
        <v>1251</v>
      </c>
      <c r="I98" s="145">
        <v>956</v>
      </c>
      <c r="J98" s="145">
        <v>154</v>
      </c>
      <c r="K98" s="145">
        <v>0</v>
      </c>
      <c r="L98" s="145">
        <v>0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5">
        <v>0</v>
      </c>
      <c r="T98" s="145">
        <v>0</v>
      </c>
      <c r="U98" s="145">
        <v>0</v>
      </c>
      <c r="V98" s="145">
        <v>0</v>
      </c>
      <c r="W98" s="145">
        <v>0</v>
      </c>
      <c r="X98" s="145">
        <v>0</v>
      </c>
      <c r="Y98" s="145">
        <v>0</v>
      </c>
      <c r="Z98" s="145">
        <v>0</v>
      </c>
      <c r="AA98" s="145">
        <v>0</v>
      </c>
      <c r="AB98" s="145">
        <v>0</v>
      </c>
      <c r="AC98" s="146">
        <f t="shared" si="6"/>
        <v>0</v>
      </c>
      <c r="AD98" s="146">
        <f t="shared" si="7"/>
        <v>0</v>
      </c>
      <c r="AE98" s="145">
        <v>79</v>
      </c>
      <c r="AF98" s="145">
        <v>40</v>
      </c>
      <c r="AG98" s="145">
        <v>0</v>
      </c>
      <c r="AH98" s="145">
        <v>0</v>
      </c>
      <c r="AI98" s="145">
        <v>0</v>
      </c>
      <c r="AJ98" s="145">
        <v>0</v>
      </c>
      <c r="AK98" s="145">
        <v>0</v>
      </c>
      <c r="AL98" s="145">
        <v>0</v>
      </c>
      <c r="AM98" s="145">
        <v>0</v>
      </c>
      <c r="AN98" s="145">
        <v>0</v>
      </c>
      <c r="AO98" s="145">
        <v>0</v>
      </c>
      <c r="AP98" s="146">
        <f t="shared" si="8"/>
        <v>0</v>
      </c>
      <c r="AQ98" s="146">
        <f t="shared" si="9"/>
        <v>0</v>
      </c>
      <c r="AR98" s="145">
        <v>4426</v>
      </c>
      <c r="AS98" s="145">
        <v>8021</v>
      </c>
      <c r="AT98" s="145">
        <v>0</v>
      </c>
      <c r="AU98" s="145">
        <v>248</v>
      </c>
      <c r="AV98" s="145">
        <v>0</v>
      </c>
      <c r="AW98" s="145">
        <v>0</v>
      </c>
      <c r="AX98" s="145">
        <v>334</v>
      </c>
      <c r="AY98" s="145">
        <v>0</v>
      </c>
      <c r="AZ98" s="145">
        <v>0</v>
      </c>
      <c r="BA98" s="145">
        <v>0</v>
      </c>
      <c r="BB98" s="145">
        <v>0</v>
      </c>
      <c r="BC98" s="145">
        <v>957</v>
      </c>
      <c r="BD98" s="145">
        <v>0</v>
      </c>
      <c r="BE98" s="145">
        <v>0</v>
      </c>
      <c r="BF98" s="145">
        <v>0</v>
      </c>
      <c r="BG98" s="145">
        <v>0</v>
      </c>
      <c r="BH98" s="145">
        <v>0</v>
      </c>
      <c r="BI98" s="145">
        <v>0</v>
      </c>
      <c r="BJ98" s="145">
        <v>0</v>
      </c>
      <c r="BK98" s="145">
        <v>0</v>
      </c>
      <c r="BL98" s="145">
        <v>0</v>
      </c>
      <c r="BM98" s="145">
        <v>7973</v>
      </c>
      <c r="BN98" s="145">
        <v>2</v>
      </c>
      <c r="BO98" s="145">
        <v>0</v>
      </c>
      <c r="BP98" s="145">
        <v>0</v>
      </c>
      <c r="BQ98" s="145">
        <v>0</v>
      </c>
      <c r="BR98" s="145">
        <v>0</v>
      </c>
      <c r="BS98" s="145">
        <v>97</v>
      </c>
      <c r="BT98" s="145">
        <v>0</v>
      </c>
      <c r="BU98" s="145">
        <v>24538</v>
      </c>
      <c r="BV98" s="145">
        <v>0</v>
      </c>
      <c r="BW98" s="145">
        <v>0</v>
      </c>
      <c r="BX98" s="145">
        <v>0</v>
      </c>
      <c r="BY98" s="145">
        <v>0</v>
      </c>
      <c r="BZ98" s="145">
        <v>119076</v>
      </c>
      <c r="CA98" s="145">
        <v>0</v>
      </c>
      <c r="CB98" s="145">
        <v>119076</v>
      </c>
      <c r="CC98" s="145">
        <v>143614</v>
      </c>
      <c r="CE98" s="145">
        <v>0</v>
      </c>
      <c r="CF98" s="145">
        <v>0</v>
      </c>
      <c r="CG98" s="165">
        <v>4180</v>
      </c>
    </row>
    <row r="99" spans="1:85" ht="8.25" customHeight="1" x14ac:dyDescent="0.2">
      <c r="A99" s="143">
        <v>41803</v>
      </c>
      <c r="B99" s="77" t="str">
        <f>IFERROR(INDEX(SCNtoISIC!$M:$M,MATCH($A99,SCNtoISIC!$J:$J,0)),0)</f>
        <v>ISIC 41T43</v>
      </c>
      <c r="C99" s="144" t="s">
        <v>474</v>
      </c>
      <c r="D99" s="145">
        <v>70</v>
      </c>
      <c r="E99" s="145">
        <v>152</v>
      </c>
      <c r="F99" s="145">
        <v>8</v>
      </c>
      <c r="G99" s="145">
        <v>3</v>
      </c>
      <c r="H99" s="145">
        <v>316</v>
      </c>
      <c r="I99" s="145">
        <v>11</v>
      </c>
      <c r="J99" s="145">
        <v>150</v>
      </c>
      <c r="K99" s="145">
        <v>0</v>
      </c>
      <c r="L99" s="145">
        <v>4</v>
      </c>
      <c r="M99" s="145">
        <v>1</v>
      </c>
      <c r="N99" s="145">
        <v>0</v>
      </c>
      <c r="O99" s="145">
        <v>0</v>
      </c>
      <c r="P99" s="145">
        <v>23</v>
      </c>
      <c r="Q99" s="145">
        <v>0</v>
      </c>
      <c r="R99" s="145">
        <v>0</v>
      </c>
      <c r="S99" s="145">
        <v>0</v>
      </c>
      <c r="T99" s="145">
        <v>11</v>
      </c>
      <c r="U99" s="145">
        <v>18</v>
      </c>
      <c r="V99" s="145">
        <v>22</v>
      </c>
      <c r="W99" s="145">
        <v>0</v>
      </c>
      <c r="X99" s="145">
        <v>0</v>
      </c>
      <c r="Y99" s="145">
        <v>2</v>
      </c>
      <c r="Z99" s="145">
        <v>0</v>
      </c>
      <c r="AA99" s="145">
        <v>0</v>
      </c>
      <c r="AB99" s="145">
        <v>0</v>
      </c>
      <c r="AC99" s="146">
        <f t="shared" si="6"/>
        <v>13.799999999999999</v>
      </c>
      <c r="AD99" s="146">
        <f t="shared" si="7"/>
        <v>9.2000000000000011</v>
      </c>
      <c r="AE99" s="145">
        <v>18</v>
      </c>
      <c r="AF99" s="145">
        <v>1548</v>
      </c>
      <c r="AG99" s="145">
        <v>21</v>
      </c>
      <c r="AH99" s="145">
        <v>0</v>
      </c>
      <c r="AI99" s="145">
        <v>9</v>
      </c>
      <c r="AJ99" s="145">
        <v>27</v>
      </c>
      <c r="AK99" s="145">
        <v>0</v>
      </c>
      <c r="AL99" s="145">
        <v>9</v>
      </c>
      <c r="AM99" s="145">
        <v>0</v>
      </c>
      <c r="AN99" s="145">
        <v>3</v>
      </c>
      <c r="AO99" s="145">
        <v>0</v>
      </c>
      <c r="AP99" s="146">
        <f t="shared" si="8"/>
        <v>0</v>
      </c>
      <c r="AQ99" s="146">
        <f t="shared" si="9"/>
        <v>0</v>
      </c>
      <c r="AR99" s="145">
        <v>0</v>
      </c>
      <c r="AS99" s="145">
        <v>26096</v>
      </c>
      <c r="AT99" s="145">
        <v>57</v>
      </c>
      <c r="AU99" s="145">
        <v>9</v>
      </c>
      <c r="AV99" s="145">
        <v>0</v>
      </c>
      <c r="AW99" s="145">
        <v>0</v>
      </c>
      <c r="AX99" s="145">
        <v>764</v>
      </c>
      <c r="AY99" s="145">
        <v>42</v>
      </c>
      <c r="AZ99" s="145">
        <v>392</v>
      </c>
      <c r="BA99" s="145">
        <v>0</v>
      </c>
      <c r="BB99" s="145">
        <v>0</v>
      </c>
      <c r="BC99" s="145">
        <v>4087</v>
      </c>
      <c r="BD99" s="145">
        <v>0</v>
      </c>
      <c r="BE99" s="145">
        <v>1442</v>
      </c>
      <c r="BF99" s="145">
        <v>1151</v>
      </c>
      <c r="BG99" s="145">
        <v>214</v>
      </c>
      <c r="BH99" s="145">
        <v>650</v>
      </c>
      <c r="BI99" s="145">
        <v>3</v>
      </c>
      <c r="BJ99" s="145">
        <v>2</v>
      </c>
      <c r="BK99" s="145">
        <v>810</v>
      </c>
      <c r="BL99" s="145">
        <v>9</v>
      </c>
      <c r="BM99" s="145">
        <v>1874</v>
      </c>
      <c r="BN99" s="145">
        <v>258</v>
      </c>
      <c r="BO99" s="145">
        <v>0</v>
      </c>
      <c r="BP99" s="145">
        <v>1955</v>
      </c>
      <c r="BQ99" s="145">
        <v>0</v>
      </c>
      <c r="BR99" s="145">
        <v>104</v>
      </c>
      <c r="BS99" s="145">
        <v>11</v>
      </c>
      <c r="BT99" s="145">
        <v>0</v>
      </c>
      <c r="BU99" s="145">
        <v>42379</v>
      </c>
      <c r="BV99" s="145">
        <v>4462</v>
      </c>
      <c r="BW99" s="145">
        <v>0</v>
      </c>
      <c r="BX99" s="145">
        <v>0</v>
      </c>
      <c r="BY99" s="145">
        <v>0</v>
      </c>
      <c r="BZ99" s="145">
        <v>103136</v>
      </c>
      <c r="CA99" s="145">
        <v>0</v>
      </c>
      <c r="CB99" s="145">
        <v>107598</v>
      </c>
      <c r="CC99" s="145">
        <v>149977</v>
      </c>
      <c r="CE99" s="145">
        <v>23</v>
      </c>
      <c r="CF99" s="145">
        <v>0</v>
      </c>
      <c r="CG99" s="165">
        <v>4580</v>
      </c>
    </row>
    <row r="100" spans="1:85" ht="8.25" customHeight="1" x14ac:dyDescent="0.2">
      <c r="A100" s="143">
        <v>45801</v>
      </c>
      <c r="B100" s="77">
        <f>IFERROR(INDEX(SCNtoISIC!$M:$M,MATCH($A100,SCNtoISIC!$J:$J,0)),0)</f>
        <v>0</v>
      </c>
      <c r="C100" s="144" t="s">
        <v>259</v>
      </c>
      <c r="D100" s="145">
        <v>184</v>
      </c>
      <c r="E100" s="145">
        <v>43</v>
      </c>
      <c r="F100" s="145">
        <v>21</v>
      </c>
      <c r="G100" s="145">
        <v>100</v>
      </c>
      <c r="H100" s="145">
        <v>123</v>
      </c>
      <c r="I100" s="145">
        <v>717</v>
      </c>
      <c r="J100" s="145">
        <v>139</v>
      </c>
      <c r="K100" s="145">
        <v>6005</v>
      </c>
      <c r="L100" s="145">
        <v>275</v>
      </c>
      <c r="M100" s="145">
        <v>3826</v>
      </c>
      <c r="N100" s="145">
        <v>205</v>
      </c>
      <c r="O100" s="145">
        <v>166</v>
      </c>
      <c r="P100" s="145">
        <v>540</v>
      </c>
      <c r="Q100" s="145">
        <v>689</v>
      </c>
      <c r="R100" s="145">
        <v>880</v>
      </c>
      <c r="S100" s="145">
        <v>242</v>
      </c>
      <c r="T100" s="145">
        <v>1645</v>
      </c>
      <c r="U100" s="145">
        <v>63</v>
      </c>
      <c r="V100" s="145">
        <v>470</v>
      </c>
      <c r="W100" s="145">
        <v>418</v>
      </c>
      <c r="X100" s="145">
        <v>713</v>
      </c>
      <c r="Y100" s="145">
        <v>1077</v>
      </c>
      <c r="Z100" s="145">
        <v>77</v>
      </c>
      <c r="AA100" s="145">
        <v>1303</v>
      </c>
      <c r="AB100" s="145">
        <v>1609</v>
      </c>
      <c r="AC100" s="146">
        <f t="shared" si="6"/>
        <v>830.4</v>
      </c>
      <c r="AD100" s="146">
        <f t="shared" si="7"/>
        <v>553.6</v>
      </c>
      <c r="AE100" s="145">
        <v>1322</v>
      </c>
      <c r="AF100" s="145">
        <v>433</v>
      </c>
      <c r="AG100" s="145">
        <v>1218</v>
      </c>
      <c r="AH100" s="145">
        <v>1239</v>
      </c>
      <c r="AI100" s="145">
        <v>1040</v>
      </c>
      <c r="AJ100" s="145">
        <v>4552</v>
      </c>
      <c r="AK100" s="145">
        <v>346</v>
      </c>
      <c r="AL100" s="145">
        <v>28</v>
      </c>
      <c r="AM100" s="145">
        <v>175</v>
      </c>
      <c r="AN100" s="145">
        <v>670</v>
      </c>
      <c r="AO100" s="145">
        <v>82</v>
      </c>
      <c r="AP100" s="146">
        <f t="shared" si="8"/>
        <v>254.66666666666666</v>
      </c>
      <c r="AQ100" s="146">
        <f t="shared" si="9"/>
        <v>127.33333333333333</v>
      </c>
      <c r="AR100" s="145">
        <v>630</v>
      </c>
      <c r="AS100" s="145">
        <v>565</v>
      </c>
      <c r="AT100" s="145">
        <v>10138</v>
      </c>
      <c r="AU100" s="145">
        <v>6130</v>
      </c>
      <c r="AV100" s="145">
        <v>0</v>
      </c>
      <c r="AW100" s="145">
        <v>0</v>
      </c>
      <c r="AX100" s="145">
        <v>429</v>
      </c>
      <c r="AY100" s="145">
        <v>0</v>
      </c>
      <c r="AZ100" s="145">
        <v>98</v>
      </c>
      <c r="BA100" s="145">
        <v>455</v>
      </c>
      <c r="BB100" s="145">
        <v>571</v>
      </c>
      <c r="BC100" s="145">
        <v>3226</v>
      </c>
      <c r="BD100" s="145">
        <v>316</v>
      </c>
      <c r="BE100" s="145">
        <v>149</v>
      </c>
      <c r="BF100" s="145">
        <v>29</v>
      </c>
      <c r="BG100" s="145">
        <v>391</v>
      </c>
      <c r="BH100" s="145">
        <v>141</v>
      </c>
      <c r="BI100" s="145">
        <v>179</v>
      </c>
      <c r="BJ100" s="145">
        <v>862</v>
      </c>
      <c r="BK100" s="145">
        <v>350</v>
      </c>
      <c r="BL100" s="145">
        <v>196</v>
      </c>
      <c r="BM100" s="145">
        <v>1555</v>
      </c>
      <c r="BN100" s="145">
        <v>278</v>
      </c>
      <c r="BO100" s="145">
        <v>11</v>
      </c>
      <c r="BP100" s="145">
        <v>1042</v>
      </c>
      <c r="BQ100" s="145">
        <v>632</v>
      </c>
      <c r="BR100" s="145">
        <v>69</v>
      </c>
      <c r="BS100" s="145">
        <v>47</v>
      </c>
      <c r="BT100" s="145">
        <v>0</v>
      </c>
      <c r="BU100" s="145">
        <v>62890</v>
      </c>
      <c r="BV100" s="145">
        <v>5547</v>
      </c>
      <c r="BW100" s="145">
        <v>0</v>
      </c>
      <c r="BX100" s="145">
        <v>0</v>
      </c>
      <c r="BY100" s="145">
        <v>42731</v>
      </c>
      <c r="BZ100" s="145">
        <v>0</v>
      </c>
      <c r="CA100" s="145">
        <v>0</v>
      </c>
      <c r="CB100" s="145">
        <v>48278</v>
      </c>
      <c r="CC100" s="145">
        <v>111168</v>
      </c>
      <c r="CE100" s="145">
        <v>1384</v>
      </c>
      <c r="CF100" s="145">
        <v>382</v>
      </c>
      <c r="CG100" s="165">
        <v>4580</v>
      </c>
    </row>
    <row r="101" spans="1:85" ht="8.25" customHeight="1" x14ac:dyDescent="0.2">
      <c r="A101" s="143">
        <v>49001</v>
      </c>
      <c r="B101" s="77" t="str">
        <f>IFERROR(INDEX(SCNtoISIC!$M:$M,MATCH($A101,SCNtoISIC!$J:$J,0)),0)</f>
        <v>ISIC 45T47</v>
      </c>
      <c r="C101" s="144" t="s">
        <v>478</v>
      </c>
      <c r="D101" s="145">
        <v>4198</v>
      </c>
      <c r="E101" s="145">
        <v>669</v>
      </c>
      <c r="F101" s="145">
        <v>402</v>
      </c>
      <c r="G101" s="145">
        <v>753</v>
      </c>
      <c r="H101" s="145">
        <v>4660</v>
      </c>
      <c r="I101" s="145">
        <v>1826</v>
      </c>
      <c r="J101" s="145">
        <v>662</v>
      </c>
      <c r="K101" s="145">
        <v>8350</v>
      </c>
      <c r="L101" s="145">
        <v>1527</v>
      </c>
      <c r="M101" s="145">
        <v>11243</v>
      </c>
      <c r="N101" s="145">
        <v>2348</v>
      </c>
      <c r="O101" s="145">
        <v>120</v>
      </c>
      <c r="P101" s="145">
        <v>785</v>
      </c>
      <c r="Q101" s="145">
        <v>512</v>
      </c>
      <c r="R101" s="145">
        <v>771</v>
      </c>
      <c r="S101" s="145">
        <v>416</v>
      </c>
      <c r="T101" s="145">
        <v>2389</v>
      </c>
      <c r="U101" s="145">
        <v>274</v>
      </c>
      <c r="V101" s="145">
        <v>3317</v>
      </c>
      <c r="W101" s="145">
        <v>857</v>
      </c>
      <c r="X101" s="145">
        <v>4092</v>
      </c>
      <c r="Y101" s="145">
        <v>1605</v>
      </c>
      <c r="Z101" s="145">
        <v>1191</v>
      </c>
      <c r="AA101" s="145">
        <v>2338</v>
      </c>
      <c r="AB101" s="145">
        <v>2093</v>
      </c>
      <c r="AC101" s="146">
        <f t="shared" si="6"/>
        <v>1360.8</v>
      </c>
      <c r="AD101" s="146">
        <f t="shared" si="7"/>
        <v>907.2</v>
      </c>
      <c r="AE101" s="145">
        <v>3967</v>
      </c>
      <c r="AF101" s="145">
        <v>483</v>
      </c>
      <c r="AG101" s="145">
        <v>1847</v>
      </c>
      <c r="AH101" s="145">
        <v>1079</v>
      </c>
      <c r="AI101" s="145">
        <v>1117</v>
      </c>
      <c r="AJ101" s="145">
        <v>1385</v>
      </c>
      <c r="AK101" s="145">
        <v>3184</v>
      </c>
      <c r="AL101" s="145">
        <v>1043</v>
      </c>
      <c r="AM101" s="145">
        <v>554</v>
      </c>
      <c r="AN101" s="145">
        <v>1192</v>
      </c>
      <c r="AO101" s="145">
        <v>50</v>
      </c>
      <c r="AP101" s="146">
        <f t="shared" si="8"/>
        <v>2474</v>
      </c>
      <c r="AQ101" s="146">
        <f t="shared" si="9"/>
        <v>1237</v>
      </c>
      <c r="AR101" s="145">
        <v>248</v>
      </c>
      <c r="AS101" s="145">
        <v>1759</v>
      </c>
      <c r="AT101" s="145">
        <v>35632</v>
      </c>
      <c r="AU101" s="145">
        <v>32030</v>
      </c>
      <c r="AV101" s="145">
        <v>110</v>
      </c>
      <c r="AW101" s="145">
        <v>69</v>
      </c>
      <c r="AX101" s="145">
        <v>4432</v>
      </c>
      <c r="AY101" s="145">
        <v>20</v>
      </c>
      <c r="AZ101" s="145">
        <v>710</v>
      </c>
      <c r="BA101" s="145">
        <v>394</v>
      </c>
      <c r="BB101" s="145">
        <v>117</v>
      </c>
      <c r="BC101" s="145">
        <v>206</v>
      </c>
      <c r="BD101" s="145">
        <v>148</v>
      </c>
      <c r="BE101" s="145">
        <v>467</v>
      </c>
      <c r="BF101" s="145">
        <v>11</v>
      </c>
      <c r="BG101" s="145">
        <v>531</v>
      </c>
      <c r="BH101" s="145">
        <v>307</v>
      </c>
      <c r="BI101" s="145">
        <v>48</v>
      </c>
      <c r="BJ101" s="145">
        <v>339</v>
      </c>
      <c r="BK101" s="145">
        <v>119</v>
      </c>
      <c r="BL101" s="145">
        <v>62</v>
      </c>
      <c r="BM101" s="145">
        <v>1379</v>
      </c>
      <c r="BN101" s="145">
        <v>96</v>
      </c>
      <c r="BO101" s="145">
        <v>2</v>
      </c>
      <c r="BP101" s="145">
        <v>325</v>
      </c>
      <c r="BQ101" s="145">
        <v>0</v>
      </c>
      <c r="BR101" s="145">
        <v>69</v>
      </c>
      <c r="BS101" s="145">
        <v>104</v>
      </c>
      <c r="BT101" s="145">
        <v>0</v>
      </c>
      <c r="BU101" s="145">
        <v>159012</v>
      </c>
      <c r="BV101" s="145">
        <v>1202</v>
      </c>
      <c r="BW101" s="145">
        <v>0</v>
      </c>
      <c r="BX101" s="145">
        <v>0</v>
      </c>
      <c r="BY101" s="145">
        <v>1602</v>
      </c>
      <c r="BZ101" s="145">
        <v>0</v>
      </c>
      <c r="CA101" s="145">
        <v>0</v>
      </c>
      <c r="CB101" s="145">
        <v>2804</v>
      </c>
      <c r="CC101" s="145">
        <v>161816</v>
      </c>
      <c r="CE101" s="145">
        <v>2268</v>
      </c>
      <c r="CF101" s="145">
        <v>3711</v>
      </c>
      <c r="CG101" s="165">
        <v>4900</v>
      </c>
    </row>
    <row r="102" spans="1:85" ht="8.25" customHeight="1" x14ac:dyDescent="0.2">
      <c r="A102" s="143">
        <v>49002</v>
      </c>
      <c r="B102" s="77" t="str">
        <f>IFERROR(INDEX(SCNtoISIC!$M:$M,MATCH($A102,SCNtoISIC!$J:$J,0)),0)</f>
        <v>ISIC 49T53</v>
      </c>
      <c r="C102" s="144" t="s">
        <v>480</v>
      </c>
      <c r="D102" s="145">
        <v>5</v>
      </c>
      <c r="E102" s="145">
        <v>3</v>
      </c>
      <c r="F102" s="145">
        <v>21</v>
      </c>
      <c r="G102" s="145">
        <v>14</v>
      </c>
      <c r="H102" s="145">
        <v>406</v>
      </c>
      <c r="I102" s="145">
        <v>308</v>
      </c>
      <c r="J102" s="145">
        <v>126</v>
      </c>
      <c r="K102" s="145">
        <v>75</v>
      </c>
      <c r="L102" s="145">
        <v>35</v>
      </c>
      <c r="M102" s="145">
        <v>121</v>
      </c>
      <c r="N102" s="145">
        <v>14</v>
      </c>
      <c r="O102" s="145">
        <v>0</v>
      </c>
      <c r="P102" s="145">
        <v>2</v>
      </c>
      <c r="Q102" s="145">
        <v>129</v>
      </c>
      <c r="R102" s="145">
        <v>6</v>
      </c>
      <c r="S102" s="145">
        <v>544</v>
      </c>
      <c r="T102" s="145">
        <v>1</v>
      </c>
      <c r="U102" s="145">
        <v>0</v>
      </c>
      <c r="V102" s="145">
        <v>0</v>
      </c>
      <c r="W102" s="145">
        <v>60</v>
      </c>
      <c r="X102" s="145">
        <v>177</v>
      </c>
      <c r="Y102" s="145">
        <v>140</v>
      </c>
      <c r="Z102" s="145">
        <v>16</v>
      </c>
      <c r="AA102" s="145">
        <v>118</v>
      </c>
      <c r="AB102" s="145">
        <v>198</v>
      </c>
      <c r="AC102" s="146">
        <f t="shared" si="6"/>
        <v>179.4</v>
      </c>
      <c r="AD102" s="146">
        <f t="shared" si="7"/>
        <v>119.60000000000001</v>
      </c>
      <c r="AE102" s="145">
        <v>74</v>
      </c>
      <c r="AF102" s="145">
        <v>13</v>
      </c>
      <c r="AG102" s="145">
        <v>325</v>
      </c>
      <c r="AH102" s="145">
        <v>3</v>
      </c>
      <c r="AI102" s="145">
        <v>55</v>
      </c>
      <c r="AJ102" s="145">
        <v>484</v>
      </c>
      <c r="AK102" s="145">
        <v>0</v>
      </c>
      <c r="AL102" s="145">
        <v>244</v>
      </c>
      <c r="AM102" s="145">
        <v>2</v>
      </c>
      <c r="AN102" s="145">
        <v>9</v>
      </c>
      <c r="AO102" s="145">
        <v>75</v>
      </c>
      <c r="AP102" s="146">
        <f t="shared" si="8"/>
        <v>0</v>
      </c>
      <c r="AQ102" s="146">
        <f t="shared" si="9"/>
        <v>0</v>
      </c>
      <c r="AR102" s="145">
        <v>7</v>
      </c>
      <c r="AS102" s="145">
        <v>78</v>
      </c>
      <c r="AT102" s="145">
        <v>48</v>
      </c>
      <c r="AU102" s="145">
        <v>153</v>
      </c>
      <c r="AV102" s="145">
        <v>0</v>
      </c>
      <c r="AW102" s="145">
        <v>0</v>
      </c>
      <c r="AX102" s="145">
        <v>39</v>
      </c>
      <c r="AY102" s="145">
        <v>20</v>
      </c>
      <c r="AZ102" s="145">
        <v>56</v>
      </c>
      <c r="BA102" s="145">
        <v>0</v>
      </c>
      <c r="BB102" s="145">
        <v>99</v>
      </c>
      <c r="BC102" s="145">
        <v>16</v>
      </c>
      <c r="BD102" s="145">
        <v>184</v>
      </c>
      <c r="BE102" s="145">
        <v>370</v>
      </c>
      <c r="BF102" s="145">
        <v>24</v>
      </c>
      <c r="BG102" s="145">
        <v>8</v>
      </c>
      <c r="BH102" s="145">
        <v>817</v>
      </c>
      <c r="BI102" s="145">
        <v>39</v>
      </c>
      <c r="BJ102" s="145">
        <v>24</v>
      </c>
      <c r="BK102" s="145">
        <v>233</v>
      </c>
      <c r="BL102" s="145">
        <v>31</v>
      </c>
      <c r="BM102" s="145">
        <v>2183</v>
      </c>
      <c r="BN102" s="145">
        <v>2001</v>
      </c>
      <c r="BO102" s="145">
        <v>1149</v>
      </c>
      <c r="BP102" s="145">
        <v>892</v>
      </c>
      <c r="BQ102" s="145">
        <v>0</v>
      </c>
      <c r="BR102" s="145">
        <v>13</v>
      </c>
      <c r="BS102" s="145">
        <v>2253</v>
      </c>
      <c r="BT102" s="145">
        <v>0</v>
      </c>
      <c r="BU102" s="145">
        <v>14839</v>
      </c>
      <c r="BV102" s="145">
        <v>567</v>
      </c>
      <c r="BW102" s="145">
        <v>0</v>
      </c>
      <c r="BX102" s="145">
        <v>0</v>
      </c>
      <c r="BY102" s="145">
        <v>88885</v>
      </c>
      <c r="BZ102" s="145">
        <v>0</v>
      </c>
      <c r="CA102" s="145">
        <v>0</v>
      </c>
      <c r="CB102" s="145">
        <v>89452</v>
      </c>
      <c r="CC102" s="145">
        <v>104291</v>
      </c>
      <c r="CE102" s="145">
        <v>299</v>
      </c>
      <c r="CF102" s="145">
        <v>0</v>
      </c>
      <c r="CG102" s="165">
        <v>4900</v>
      </c>
    </row>
    <row r="103" spans="1:85" ht="8.25" customHeight="1" x14ac:dyDescent="0.2">
      <c r="A103" s="147">
        <v>50001</v>
      </c>
      <c r="B103" s="77" t="str">
        <f>IFERROR(INDEX(SCNtoISIC!$M:$M,MATCH($A103,SCNtoISIC!$J:$J,0)),0)</f>
        <v>ISIC 49T53</v>
      </c>
      <c r="C103" s="93" t="s">
        <v>261</v>
      </c>
      <c r="D103" s="148">
        <v>0</v>
      </c>
      <c r="E103" s="148">
        <v>0</v>
      </c>
      <c r="F103" s="148">
        <v>0</v>
      </c>
      <c r="G103" s="148">
        <v>0</v>
      </c>
      <c r="H103" s="148">
        <v>8164</v>
      </c>
      <c r="I103" s="148">
        <v>0</v>
      </c>
      <c r="J103" s="148">
        <v>18</v>
      </c>
      <c r="K103" s="148">
        <v>2064</v>
      </c>
      <c r="L103" s="148">
        <v>124</v>
      </c>
      <c r="M103" s="148">
        <v>612</v>
      </c>
      <c r="N103" s="148">
        <v>2</v>
      </c>
      <c r="O103" s="148">
        <v>1</v>
      </c>
      <c r="P103" s="148">
        <v>14</v>
      </c>
      <c r="Q103" s="148">
        <v>23</v>
      </c>
      <c r="R103" s="148">
        <v>10</v>
      </c>
      <c r="S103" s="148">
        <v>215</v>
      </c>
      <c r="T103" s="148">
        <v>1991</v>
      </c>
      <c r="U103" s="148">
        <v>30</v>
      </c>
      <c r="V103" s="148">
        <v>90</v>
      </c>
      <c r="W103" s="148">
        <v>16</v>
      </c>
      <c r="X103" s="148">
        <v>1105</v>
      </c>
      <c r="Y103" s="148">
        <v>18</v>
      </c>
      <c r="Z103" s="148">
        <v>67</v>
      </c>
      <c r="AA103" s="148">
        <v>3</v>
      </c>
      <c r="AB103" s="148">
        <v>66</v>
      </c>
      <c r="AC103" s="146">
        <f t="shared" si="6"/>
        <v>112.2</v>
      </c>
      <c r="AD103" s="146">
        <f t="shared" si="7"/>
        <v>74.8</v>
      </c>
      <c r="AE103" s="148">
        <v>518</v>
      </c>
      <c r="AF103" s="148">
        <v>19</v>
      </c>
      <c r="AG103" s="148">
        <v>50</v>
      </c>
      <c r="AH103" s="148">
        <v>74</v>
      </c>
      <c r="AI103" s="148">
        <v>71</v>
      </c>
      <c r="AJ103" s="148">
        <v>391</v>
      </c>
      <c r="AK103" s="148">
        <v>322</v>
      </c>
      <c r="AL103" s="148">
        <v>108</v>
      </c>
      <c r="AM103" s="148">
        <v>265</v>
      </c>
      <c r="AN103" s="148">
        <v>1</v>
      </c>
      <c r="AO103" s="148">
        <v>9</v>
      </c>
      <c r="AP103" s="146">
        <f t="shared" si="8"/>
        <v>0</v>
      </c>
      <c r="AQ103" s="146">
        <f t="shared" si="9"/>
        <v>0</v>
      </c>
      <c r="AR103" s="148">
        <v>0</v>
      </c>
      <c r="AS103" s="148">
        <v>6</v>
      </c>
      <c r="AT103" s="148">
        <v>1787</v>
      </c>
      <c r="AU103" s="148">
        <v>1119</v>
      </c>
      <c r="AV103" s="148">
        <v>1731</v>
      </c>
      <c r="AW103" s="148">
        <v>0</v>
      </c>
      <c r="AX103" s="148">
        <v>89</v>
      </c>
      <c r="AY103" s="148">
        <v>0</v>
      </c>
      <c r="AZ103" s="148">
        <v>25</v>
      </c>
      <c r="BA103" s="148">
        <v>0</v>
      </c>
      <c r="BB103" s="148">
        <v>3</v>
      </c>
      <c r="BC103" s="148">
        <v>0</v>
      </c>
      <c r="BD103" s="148">
        <v>24</v>
      </c>
      <c r="BE103" s="148">
        <v>0</v>
      </c>
      <c r="BF103" s="148">
        <v>0</v>
      </c>
      <c r="BG103" s="148">
        <v>1</v>
      </c>
      <c r="BH103" s="148">
        <v>3</v>
      </c>
      <c r="BI103" s="148">
        <v>0</v>
      </c>
      <c r="BJ103" s="148">
        <v>0</v>
      </c>
      <c r="BK103" s="148">
        <v>384</v>
      </c>
      <c r="BL103" s="148">
        <v>1</v>
      </c>
      <c r="BM103" s="148">
        <v>0</v>
      </c>
      <c r="BN103" s="148">
        <v>0</v>
      </c>
      <c r="BO103" s="148">
        <v>0</v>
      </c>
      <c r="BP103" s="148">
        <v>0</v>
      </c>
      <c r="BQ103" s="148">
        <v>0</v>
      </c>
      <c r="BR103" s="148">
        <v>1</v>
      </c>
      <c r="BS103" s="148">
        <v>0</v>
      </c>
      <c r="BT103" s="148">
        <v>0</v>
      </c>
      <c r="BU103" s="148">
        <v>21822</v>
      </c>
      <c r="BV103" s="148">
        <v>6619</v>
      </c>
      <c r="BW103" s="148">
        <v>0</v>
      </c>
      <c r="BX103" s="148">
        <v>0</v>
      </c>
      <c r="BY103" s="148">
        <v>1910</v>
      </c>
      <c r="BZ103" s="148">
        <v>0</v>
      </c>
      <c r="CA103" s="148">
        <v>0</v>
      </c>
      <c r="CB103" s="148">
        <v>8529</v>
      </c>
      <c r="CC103" s="148">
        <v>30351</v>
      </c>
      <c r="CE103" s="148">
        <v>187</v>
      </c>
      <c r="CF103" s="148">
        <v>0</v>
      </c>
      <c r="CG103" s="166">
        <v>5000</v>
      </c>
    </row>
    <row r="104" spans="1:85" ht="8.25" customHeight="1" x14ac:dyDescent="0.2">
      <c r="A104" s="147">
        <v>51001</v>
      </c>
      <c r="B104" s="77" t="str">
        <f>IFERROR(INDEX(SCNtoISIC!$M:$M,MATCH($A104,SCNtoISIC!$J:$J,0)),0)</f>
        <v>ISIC 49T53</v>
      </c>
      <c r="C104" s="93" t="s">
        <v>262</v>
      </c>
      <c r="D104" s="148">
        <v>1</v>
      </c>
      <c r="E104" s="148">
        <v>0</v>
      </c>
      <c r="F104" s="148">
        <v>4</v>
      </c>
      <c r="G104" s="148">
        <v>4</v>
      </c>
      <c r="H104" s="148">
        <v>1991</v>
      </c>
      <c r="I104" s="148">
        <v>10</v>
      </c>
      <c r="J104" s="148">
        <v>28</v>
      </c>
      <c r="K104" s="148">
        <v>282</v>
      </c>
      <c r="L104" s="148">
        <v>6</v>
      </c>
      <c r="M104" s="148">
        <v>236</v>
      </c>
      <c r="N104" s="148">
        <v>50</v>
      </c>
      <c r="O104" s="148">
        <v>25</v>
      </c>
      <c r="P104" s="148">
        <v>31</v>
      </c>
      <c r="Q104" s="148">
        <v>33</v>
      </c>
      <c r="R104" s="148">
        <v>42</v>
      </c>
      <c r="S104" s="148">
        <v>41</v>
      </c>
      <c r="T104" s="148">
        <v>99</v>
      </c>
      <c r="U104" s="148">
        <v>17</v>
      </c>
      <c r="V104" s="148">
        <v>42</v>
      </c>
      <c r="W104" s="148">
        <v>4</v>
      </c>
      <c r="X104" s="148">
        <v>239</v>
      </c>
      <c r="Y104" s="148">
        <v>273</v>
      </c>
      <c r="Z104" s="148">
        <v>11</v>
      </c>
      <c r="AA104" s="148">
        <v>135</v>
      </c>
      <c r="AB104" s="148">
        <v>42</v>
      </c>
      <c r="AC104" s="146">
        <f t="shared" si="6"/>
        <v>80.399999999999991</v>
      </c>
      <c r="AD104" s="146">
        <f t="shared" si="7"/>
        <v>53.6</v>
      </c>
      <c r="AE104" s="148">
        <v>84</v>
      </c>
      <c r="AF104" s="148">
        <v>13</v>
      </c>
      <c r="AG104" s="148">
        <v>52</v>
      </c>
      <c r="AH104" s="148">
        <v>242</v>
      </c>
      <c r="AI104" s="148">
        <v>164</v>
      </c>
      <c r="AJ104" s="148">
        <v>212</v>
      </c>
      <c r="AK104" s="148">
        <v>213</v>
      </c>
      <c r="AL104" s="148">
        <v>57</v>
      </c>
      <c r="AM104" s="148">
        <v>57</v>
      </c>
      <c r="AN104" s="148">
        <v>35</v>
      </c>
      <c r="AO104" s="148">
        <v>63</v>
      </c>
      <c r="AP104" s="146">
        <f t="shared" si="8"/>
        <v>401.33333333333331</v>
      </c>
      <c r="AQ104" s="146">
        <f t="shared" si="9"/>
        <v>200.66666666666666</v>
      </c>
      <c r="AR104" s="148">
        <v>44</v>
      </c>
      <c r="AS104" s="148">
        <v>1437</v>
      </c>
      <c r="AT104" s="148">
        <v>3415</v>
      </c>
      <c r="AU104" s="148">
        <v>205</v>
      </c>
      <c r="AV104" s="148">
        <v>83</v>
      </c>
      <c r="AW104" s="148">
        <v>11</v>
      </c>
      <c r="AX104" s="148">
        <v>642</v>
      </c>
      <c r="AY104" s="148">
        <v>72</v>
      </c>
      <c r="AZ104" s="148">
        <v>53</v>
      </c>
      <c r="BA104" s="148">
        <v>20</v>
      </c>
      <c r="BB104" s="148">
        <v>162</v>
      </c>
      <c r="BC104" s="148">
        <v>207</v>
      </c>
      <c r="BD104" s="148">
        <v>676</v>
      </c>
      <c r="BE104" s="148">
        <v>2898</v>
      </c>
      <c r="BF104" s="148">
        <v>62</v>
      </c>
      <c r="BG104" s="148">
        <v>944</v>
      </c>
      <c r="BH104" s="148">
        <v>340</v>
      </c>
      <c r="BI104" s="148">
        <v>555</v>
      </c>
      <c r="BJ104" s="148">
        <v>91</v>
      </c>
      <c r="BK104" s="148">
        <v>323</v>
      </c>
      <c r="BL104" s="148">
        <v>25</v>
      </c>
      <c r="BM104" s="148">
        <v>1247</v>
      </c>
      <c r="BN104" s="148">
        <v>352</v>
      </c>
      <c r="BO104" s="148">
        <v>2076</v>
      </c>
      <c r="BP104" s="148">
        <v>462</v>
      </c>
      <c r="BQ104" s="148">
        <v>0</v>
      </c>
      <c r="BR104" s="148">
        <v>92</v>
      </c>
      <c r="BS104" s="148">
        <v>8775</v>
      </c>
      <c r="BT104" s="148">
        <v>0</v>
      </c>
      <c r="BU104" s="148">
        <v>30843</v>
      </c>
      <c r="BV104" s="148">
        <v>5991</v>
      </c>
      <c r="BW104" s="148">
        <v>0</v>
      </c>
      <c r="BX104" s="148">
        <v>0</v>
      </c>
      <c r="BY104" s="148">
        <v>10407</v>
      </c>
      <c r="BZ104" s="148">
        <v>0</v>
      </c>
      <c r="CA104" s="148">
        <v>0</v>
      </c>
      <c r="CB104" s="148">
        <v>16398</v>
      </c>
      <c r="CC104" s="148">
        <v>47241</v>
      </c>
      <c r="CE104" s="148">
        <v>134</v>
      </c>
      <c r="CF104" s="148">
        <v>602</v>
      </c>
      <c r="CG104" s="166">
        <v>5100</v>
      </c>
    </row>
    <row r="105" spans="1:85" ht="8.25" customHeight="1" x14ac:dyDescent="0.2">
      <c r="A105" s="147">
        <v>52801</v>
      </c>
      <c r="B105" s="77" t="str">
        <f>IFERROR(INDEX(SCNtoISIC!$M:$M,MATCH($A105,SCNtoISIC!$J:$J,0)),0)</f>
        <v>ISIC 49T53</v>
      </c>
      <c r="C105" s="93" t="s">
        <v>483</v>
      </c>
      <c r="D105" s="148">
        <v>897</v>
      </c>
      <c r="E105" s="148">
        <v>53</v>
      </c>
      <c r="F105" s="148">
        <v>223</v>
      </c>
      <c r="G105" s="148">
        <v>26</v>
      </c>
      <c r="H105" s="148">
        <v>4005</v>
      </c>
      <c r="I105" s="148">
        <v>2590</v>
      </c>
      <c r="J105" s="148">
        <v>610</v>
      </c>
      <c r="K105" s="148">
        <v>3005</v>
      </c>
      <c r="L105" s="148">
        <v>1785</v>
      </c>
      <c r="M105" s="148">
        <v>3712</v>
      </c>
      <c r="N105" s="148">
        <v>2275</v>
      </c>
      <c r="O105" s="148">
        <v>28</v>
      </c>
      <c r="P105" s="148">
        <v>111</v>
      </c>
      <c r="Q105" s="148">
        <v>7</v>
      </c>
      <c r="R105" s="148">
        <v>77</v>
      </c>
      <c r="S105" s="148">
        <v>215</v>
      </c>
      <c r="T105" s="148">
        <v>1085</v>
      </c>
      <c r="U105" s="148">
        <v>157</v>
      </c>
      <c r="V105" s="148">
        <v>783</v>
      </c>
      <c r="W105" s="148">
        <v>865</v>
      </c>
      <c r="X105" s="148">
        <v>1000</v>
      </c>
      <c r="Y105" s="148">
        <v>434</v>
      </c>
      <c r="Z105" s="148">
        <v>422</v>
      </c>
      <c r="AA105" s="148">
        <v>601</v>
      </c>
      <c r="AB105" s="148">
        <v>192</v>
      </c>
      <c r="AC105" s="146">
        <f t="shared" si="6"/>
        <v>159</v>
      </c>
      <c r="AD105" s="146">
        <f t="shared" si="7"/>
        <v>106</v>
      </c>
      <c r="AE105" s="148">
        <v>2762</v>
      </c>
      <c r="AF105" s="148">
        <v>138</v>
      </c>
      <c r="AG105" s="148">
        <v>940</v>
      </c>
      <c r="AH105" s="148">
        <v>645</v>
      </c>
      <c r="AI105" s="148">
        <v>930</v>
      </c>
      <c r="AJ105" s="148">
        <v>315</v>
      </c>
      <c r="AK105" s="148">
        <v>3800</v>
      </c>
      <c r="AL105" s="148">
        <v>516</v>
      </c>
      <c r="AM105" s="148">
        <v>516</v>
      </c>
      <c r="AN105" s="148">
        <v>240</v>
      </c>
      <c r="AO105" s="148">
        <v>232</v>
      </c>
      <c r="AP105" s="146">
        <f t="shared" si="8"/>
        <v>60</v>
      </c>
      <c r="AQ105" s="146">
        <f t="shared" si="9"/>
        <v>30</v>
      </c>
      <c r="AR105" s="148">
        <v>9</v>
      </c>
      <c r="AS105" s="148">
        <v>323</v>
      </c>
      <c r="AT105" s="148">
        <v>12083</v>
      </c>
      <c r="AU105" s="148">
        <v>7842</v>
      </c>
      <c r="AV105" s="148">
        <v>2914</v>
      </c>
      <c r="AW105" s="148">
        <v>4651</v>
      </c>
      <c r="AX105" s="148">
        <v>3579</v>
      </c>
      <c r="AY105" s="148">
        <v>2</v>
      </c>
      <c r="AZ105" s="148">
        <v>33</v>
      </c>
      <c r="BA105" s="148">
        <v>20</v>
      </c>
      <c r="BB105" s="148">
        <v>42</v>
      </c>
      <c r="BC105" s="148">
        <v>120</v>
      </c>
      <c r="BD105" s="148">
        <v>17</v>
      </c>
      <c r="BE105" s="148">
        <v>215</v>
      </c>
      <c r="BF105" s="148">
        <v>1</v>
      </c>
      <c r="BG105" s="148">
        <v>66</v>
      </c>
      <c r="BH105" s="148">
        <v>92</v>
      </c>
      <c r="BI105" s="148">
        <v>194</v>
      </c>
      <c r="BJ105" s="148">
        <v>29</v>
      </c>
      <c r="BK105" s="148">
        <v>142</v>
      </c>
      <c r="BL105" s="148">
        <v>34</v>
      </c>
      <c r="BM105" s="148">
        <v>1668</v>
      </c>
      <c r="BN105" s="148">
        <v>121</v>
      </c>
      <c r="BO105" s="148">
        <v>0</v>
      </c>
      <c r="BP105" s="148">
        <v>181</v>
      </c>
      <c r="BQ105" s="148">
        <v>0</v>
      </c>
      <c r="BR105" s="148">
        <v>2</v>
      </c>
      <c r="BS105" s="148">
        <v>1071</v>
      </c>
      <c r="BT105" s="148">
        <v>0</v>
      </c>
      <c r="BU105" s="148">
        <v>71998</v>
      </c>
      <c r="BV105" s="148">
        <v>9008</v>
      </c>
      <c r="BW105" s="148">
        <v>0</v>
      </c>
      <c r="BX105" s="148">
        <v>0</v>
      </c>
      <c r="BY105" s="148">
        <v>24848</v>
      </c>
      <c r="BZ105" s="148">
        <v>0</v>
      </c>
      <c r="CA105" s="148">
        <v>0</v>
      </c>
      <c r="CB105" s="148">
        <v>33856</v>
      </c>
      <c r="CC105" s="148">
        <v>105854</v>
      </c>
      <c r="CE105" s="148">
        <v>265</v>
      </c>
      <c r="CF105" s="148">
        <v>90</v>
      </c>
      <c r="CG105" s="166">
        <v>5280</v>
      </c>
    </row>
    <row r="106" spans="1:85" ht="8.25" customHeight="1" x14ac:dyDescent="0.2">
      <c r="A106" s="147">
        <v>52802</v>
      </c>
      <c r="B106" s="77" t="str">
        <f>IFERROR(INDEX(SCNtoISIC!$M:$M,MATCH($A106,SCNtoISIC!$J:$J,0)),0)</f>
        <v>ISIC 49T53</v>
      </c>
      <c r="C106" s="93" t="s">
        <v>485</v>
      </c>
      <c r="D106" s="148">
        <v>1</v>
      </c>
      <c r="E106" s="148">
        <v>0</v>
      </c>
      <c r="F106" s="148">
        <v>1</v>
      </c>
      <c r="G106" s="148">
        <v>3</v>
      </c>
      <c r="H106" s="148">
        <v>31</v>
      </c>
      <c r="I106" s="148">
        <v>0</v>
      </c>
      <c r="J106" s="148">
        <v>7</v>
      </c>
      <c r="K106" s="148">
        <v>90</v>
      </c>
      <c r="L106" s="148">
        <v>60</v>
      </c>
      <c r="M106" s="148">
        <v>164</v>
      </c>
      <c r="N106" s="148">
        <v>26</v>
      </c>
      <c r="O106" s="148">
        <v>6</v>
      </c>
      <c r="P106" s="148">
        <v>73</v>
      </c>
      <c r="Q106" s="148">
        <v>110</v>
      </c>
      <c r="R106" s="148">
        <v>104</v>
      </c>
      <c r="S106" s="148">
        <v>21</v>
      </c>
      <c r="T106" s="148">
        <v>160</v>
      </c>
      <c r="U106" s="148">
        <v>49</v>
      </c>
      <c r="V106" s="148">
        <v>37</v>
      </c>
      <c r="W106" s="148">
        <v>21</v>
      </c>
      <c r="X106" s="148">
        <v>44</v>
      </c>
      <c r="Y106" s="148">
        <v>376</v>
      </c>
      <c r="Z106" s="148">
        <v>16</v>
      </c>
      <c r="AA106" s="148">
        <v>115</v>
      </c>
      <c r="AB106" s="148">
        <v>72</v>
      </c>
      <c r="AC106" s="146">
        <f t="shared" si="6"/>
        <v>68.399999999999991</v>
      </c>
      <c r="AD106" s="146">
        <f t="shared" si="7"/>
        <v>45.6</v>
      </c>
      <c r="AE106" s="148">
        <v>22</v>
      </c>
      <c r="AF106" s="148">
        <v>12</v>
      </c>
      <c r="AG106" s="148">
        <v>95</v>
      </c>
      <c r="AH106" s="148">
        <v>180</v>
      </c>
      <c r="AI106" s="148">
        <v>85</v>
      </c>
      <c r="AJ106" s="148">
        <v>66</v>
      </c>
      <c r="AK106" s="148">
        <v>152</v>
      </c>
      <c r="AL106" s="148">
        <v>113</v>
      </c>
      <c r="AM106" s="148">
        <v>151</v>
      </c>
      <c r="AN106" s="148">
        <v>145</v>
      </c>
      <c r="AO106" s="148">
        <v>21</v>
      </c>
      <c r="AP106" s="146">
        <f t="shared" si="8"/>
        <v>411.33333333333331</v>
      </c>
      <c r="AQ106" s="146">
        <f t="shared" si="9"/>
        <v>205.66666666666666</v>
      </c>
      <c r="AR106" s="148">
        <v>14</v>
      </c>
      <c r="AS106" s="148">
        <v>379</v>
      </c>
      <c r="AT106" s="148">
        <v>4547</v>
      </c>
      <c r="AU106" s="148">
        <v>152</v>
      </c>
      <c r="AV106" s="148">
        <v>9</v>
      </c>
      <c r="AW106" s="148">
        <v>9</v>
      </c>
      <c r="AX106" s="148">
        <v>1624</v>
      </c>
      <c r="AY106" s="148">
        <v>57</v>
      </c>
      <c r="AZ106" s="148">
        <v>198</v>
      </c>
      <c r="BA106" s="148">
        <v>60</v>
      </c>
      <c r="BB106" s="148">
        <v>41</v>
      </c>
      <c r="BC106" s="148">
        <v>509</v>
      </c>
      <c r="BD106" s="148">
        <v>127</v>
      </c>
      <c r="BE106" s="148">
        <v>4784</v>
      </c>
      <c r="BF106" s="148">
        <v>205</v>
      </c>
      <c r="BG106" s="148">
        <v>522</v>
      </c>
      <c r="BH106" s="148">
        <v>154</v>
      </c>
      <c r="BI106" s="148">
        <v>69</v>
      </c>
      <c r="BJ106" s="148">
        <v>186</v>
      </c>
      <c r="BK106" s="148">
        <v>540</v>
      </c>
      <c r="BL106" s="148">
        <v>37</v>
      </c>
      <c r="BM106" s="148">
        <v>1906</v>
      </c>
      <c r="BN106" s="148">
        <v>195</v>
      </c>
      <c r="BO106" s="148">
        <v>427</v>
      </c>
      <c r="BP106" s="148">
        <v>298</v>
      </c>
      <c r="BQ106" s="148">
        <v>267</v>
      </c>
      <c r="BR106" s="148">
        <v>55</v>
      </c>
      <c r="BS106" s="148">
        <v>454</v>
      </c>
      <c r="BT106" s="148">
        <v>0</v>
      </c>
      <c r="BU106" s="148">
        <v>21185</v>
      </c>
      <c r="BV106" s="148">
        <v>96</v>
      </c>
      <c r="BW106" s="148">
        <v>0</v>
      </c>
      <c r="BX106" s="148">
        <v>0</v>
      </c>
      <c r="BY106" s="148">
        <v>2269</v>
      </c>
      <c r="BZ106" s="148">
        <v>0</v>
      </c>
      <c r="CA106" s="148">
        <v>0</v>
      </c>
      <c r="CB106" s="148">
        <v>2365</v>
      </c>
      <c r="CC106" s="148">
        <v>23550</v>
      </c>
      <c r="CE106" s="148">
        <v>114</v>
      </c>
      <c r="CF106" s="148">
        <v>617</v>
      </c>
      <c r="CG106" s="166">
        <v>5280</v>
      </c>
    </row>
    <row r="107" spans="1:85" ht="8.25" customHeight="1" x14ac:dyDescent="0.2">
      <c r="A107" s="151">
        <v>55001</v>
      </c>
      <c r="B107" s="77" t="str">
        <f>IFERROR(INDEX(SCNtoISIC!$M:$M,MATCH($A107,SCNtoISIC!$J:$J,0)),0)</f>
        <v>ISIC 55T56</v>
      </c>
      <c r="C107" s="142" t="s">
        <v>487</v>
      </c>
      <c r="D107" s="148">
        <v>4</v>
      </c>
      <c r="E107" s="148">
        <v>1</v>
      </c>
      <c r="F107" s="148">
        <v>4</v>
      </c>
      <c r="G107" s="148">
        <v>12</v>
      </c>
      <c r="H107" s="148">
        <v>352</v>
      </c>
      <c r="I107" s="148">
        <v>81</v>
      </c>
      <c r="J107" s="148">
        <v>25</v>
      </c>
      <c r="K107" s="148">
        <v>387</v>
      </c>
      <c r="L107" s="148">
        <v>37</v>
      </c>
      <c r="M107" s="148">
        <v>377</v>
      </c>
      <c r="N107" s="148">
        <v>74</v>
      </c>
      <c r="O107" s="148">
        <v>36</v>
      </c>
      <c r="P107" s="148">
        <v>36</v>
      </c>
      <c r="Q107" s="148">
        <v>33</v>
      </c>
      <c r="R107" s="148">
        <v>40</v>
      </c>
      <c r="S107" s="148">
        <v>11</v>
      </c>
      <c r="T107" s="148">
        <v>110</v>
      </c>
      <c r="U107" s="148">
        <v>13</v>
      </c>
      <c r="V107" s="148">
        <v>41</v>
      </c>
      <c r="W107" s="148">
        <v>19</v>
      </c>
      <c r="X107" s="148">
        <v>166</v>
      </c>
      <c r="Y107" s="148">
        <v>187</v>
      </c>
      <c r="Z107" s="148">
        <v>49</v>
      </c>
      <c r="AA107" s="148">
        <v>276</v>
      </c>
      <c r="AB107" s="148">
        <v>130</v>
      </c>
      <c r="AC107" s="146">
        <f t="shared" si="6"/>
        <v>69</v>
      </c>
      <c r="AD107" s="146">
        <f t="shared" si="7"/>
        <v>46</v>
      </c>
      <c r="AE107" s="148">
        <v>228</v>
      </c>
      <c r="AF107" s="148">
        <v>59</v>
      </c>
      <c r="AG107" s="148">
        <v>223</v>
      </c>
      <c r="AH107" s="148">
        <v>206</v>
      </c>
      <c r="AI107" s="148">
        <v>172</v>
      </c>
      <c r="AJ107" s="148">
        <v>416</v>
      </c>
      <c r="AK107" s="148">
        <v>146</v>
      </c>
      <c r="AL107" s="148">
        <v>103</v>
      </c>
      <c r="AM107" s="148">
        <v>108</v>
      </c>
      <c r="AN107" s="148">
        <v>155</v>
      </c>
      <c r="AO107" s="148">
        <v>99</v>
      </c>
      <c r="AP107" s="146">
        <f t="shared" si="8"/>
        <v>214.66666666666666</v>
      </c>
      <c r="AQ107" s="146">
        <f t="shared" si="9"/>
        <v>107.33333333333333</v>
      </c>
      <c r="AR107" s="148">
        <v>18</v>
      </c>
      <c r="AS107" s="148">
        <v>1713</v>
      </c>
      <c r="AT107" s="148">
        <v>4307</v>
      </c>
      <c r="AU107" s="148">
        <v>252</v>
      </c>
      <c r="AV107" s="148">
        <v>7</v>
      </c>
      <c r="AW107" s="148">
        <v>105</v>
      </c>
      <c r="AX107" s="148">
        <v>266</v>
      </c>
      <c r="AY107" s="148">
        <v>0</v>
      </c>
      <c r="AZ107" s="148">
        <v>39</v>
      </c>
      <c r="BA107" s="148">
        <v>115</v>
      </c>
      <c r="BB107" s="148">
        <v>194</v>
      </c>
      <c r="BC107" s="148">
        <v>144</v>
      </c>
      <c r="BD107" s="148">
        <v>635</v>
      </c>
      <c r="BE107" s="148">
        <v>1526</v>
      </c>
      <c r="BF107" s="148">
        <v>72</v>
      </c>
      <c r="BG107" s="148">
        <v>419</v>
      </c>
      <c r="BH107" s="148">
        <v>403</v>
      </c>
      <c r="BI107" s="148">
        <v>186</v>
      </c>
      <c r="BJ107" s="148">
        <v>193</v>
      </c>
      <c r="BK107" s="148">
        <v>189</v>
      </c>
      <c r="BL107" s="148">
        <v>59</v>
      </c>
      <c r="BM107" s="148">
        <v>2947</v>
      </c>
      <c r="BN107" s="148">
        <v>346</v>
      </c>
      <c r="BO107" s="148">
        <v>458</v>
      </c>
      <c r="BP107" s="148">
        <v>470</v>
      </c>
      <c r="BQ107" s="148">
        <v>0</v>
      </c>
      <c r="BR107" s="148">
        <v>188</v>
      </c>
      <c r="BS107" s="148">
        <v>8830</v>
      </c>
      <c r="BT107" s="148">
        <v>0</v>
      </c>
      <c r="BU107" s="148">
        <v>28934</v>
      </c>
      <c r="BV107" s="148">
        <v>6574</v>
      </c>
      <c r="BW107" s="148">
        <v>0</v>
      </c>
      <c r="BX107" s="148">
        <v>0</v>
      </c>
      <c r="BY107" s="148">
        <v>11281</v>
      </c>
      <c r="BZ107" s="148">
        <v>0</v>
      </c>
      <c r="CA107" s="148">
        <v>0</v>
      </c>
      <c r="CB107" s="148">
        <v>17855</v>
      </c>
      <c r="CC107" s="148">
        <v>46789</v>
      </c>
      <c r="CE107" s="148">
        <v>115</v>
      </c>
      <c r="CF107" s="148">
        <v>322</v>
      </c>
      <c r="CG107" s="168">
        <v>5500</v>
      </c>
    </row>
    <row r="108" spans="1:85" ht="8.25" customHeight="1" x14ac:dyDescent="0.2">
      <c r="A108" s="143">
        <v>56001</v>
      </c>
      <c r="B108" s="77" t="str">
        <f>IFERROR(INDEX(SCNtoISIC!$M:$M,MATCH($A108,SCNtoISIC!$J:$J,0)),0)</f>
        <v>ISIC 58T60</v>
      </c>
      <c r="C108" s="144" t="s">
        <v>489</v>
      </c>
      <c r="D108" s="145">
        <v>1</v>
      </c>
      <c r="E108" s="145">
        <v>0</v>
      </c>
      <c r="F108" s="145">
        <v>2</v>
      </c>
      <c r="G108" s="145">
        <v>1</v>
      </c>
      <c r="H108" s="145">
        <v>193</v>
      </c>
      <c r="I108" s="145">
        <v>0</v>
      </c>
      <c r="J108" s="145">
        <v>9</v>
      </c>
      <c r="K108" s="145">
        <v>2</v>
      </c>
      <c r="L108" s="145">
        <v>0</v>
      </c>
      <c r="M108" s="145">
        <v>123</v>
      </c>
      <c r="N108" s="145">
        <v>1</v>
      </c>
      <c r="O108" s="145">
        <v>0</v>
      </c>
      <c r="P108" s="145">
        <v>9</v>
      </c>
      <c r="Q108" s="145">
        <v>2</v>
      </c>
      <c r="R108" s="145">
        <v>0</v>
      </c>
      <c r="S108" s="145">
        <v>0</v>
      </c>
      <c r="T108" s="145">
        <v>4</v>
      </c>
      <c r="U108" s="145">
        <v>12</v>
      </c>
      <c r="V108" s="145">
        <v>0</v>
      </c>
      <c r="W108" s="145">
        <v>1</v>
      </c>
      <c r="X108" s="145">
        <v>82</v>
      </c>
      <c r="Y108" s="145">
        <v>106</v>
      </c>
      <c r="Z108" s="145">
        <v>1</v>
      </c>
      <c r="AA108" s="145">
        <v>261</v>
      </c>
      <c r="AB108" s="145">
        <v>11</v>
      </c>
      <c r="AC108" s="146">
        <f t="shared" si="6"/>
        <v>0</v>
      </c>
      <c r="AD108" s="146">
        <f t="shared" si="7"/>
        <v>0</v>
      </c>
      <c r="AE108" s="145">
        <v>26</v>
      </c>
      <c r="AF108" s="145">
        <v>51</v>
      </c>
      <c r="AG108" s="145">
        <v>27</v>
      </c>
      <c r="AH108" s="145">
        <v>1</v>
      </c>
      <c r="AI108" s="145">
        <v>0</v>
      </c>
      <c r="AJ108" s="145">
        <v>83</v>
      </c>
      <c r="AK108" s="145">
        <v>352</v>
      </c>
      <c r="AL108" s="145">
        <v>9</v>
      </c>
      <c r="AM108" s="145">
        <v>0</v>
      </c>
      <c r="AN108" s="145">
        <v>0</v>
      </c>
      <c r="AO108" s="145">
        <v>84</v>
      </c>
      <c r="AP108" s="146">
        <f t="shared" si="8"/>
        <v>188</v>
      </c>
      <c r="AQ108" s="146">
        <f t="shared" si="9"/>
        <v>94</v>
      </c>
      <c r="AR108" s="145">
        <v>1</v>
      </c>
      <c r="AS108" s="145">
        <v>0</v>
      </c>
      <c r="AT108" s="145">
        <v>687</v>
      </c>
      <c r="AU108" s="145">
        <v>9</v>
      </c>
      <c r="AV108" s="145">
        <v>0</v>
      </c>
      <c r="AW108" s="145">
        <v>1037</v>
      </c>
      <c r="AX108" s="145">
        <v>25</v>
      </c>
      <c r="AY108" s="145">
        <v>227</v>
      </c>
      <c r="AZ108" s="145">
        <v>0</v>
      </c>
      <c r="BA108" s="145">
        <v>0</v>
      </c>
      <c r="BB108" s="145">
        <v>690</v>
      </c>
      <c r="BC108" s="145">
        <v>54</v>
      </c>
      <c r="BD108" s="145">
        <v>9</v>
      </c>
      <c r="BE108" s="145">
        <v>3301</v>
      </c>
      <c r="BF108" s="145">
        <v>67</v>
      </c>
      <c r="BG108" s="145">
        <v>1461</v>
      </c>
      <c r="BH108" s="145">
        <v>1</v>
      </c>
      <c r="BI108" s="145">
        <v>218</v>
      </c>
      <c r="BJ108" s="145">
        <v>0</v>
      </c>
      <c r="BK108" s="145">
        <v>1348</v>
      </c>
      <c r="BL108" s="145">
        <v>4</v>
      </c>
      <c r="BM108" s="145">
        <v>9730</v>
      </c>
      <c r="BN108" s="145">
        <v>1740</v>
      </c>
      <c r="BO108" s="145">
        <v>214</v>
      </c>
      <c r="BP108" s="145">
        <v>5221</v>
      </c>
      <c r="BQ108" s="145">
        <v>3592</v>
      </c>
      <c r="BR108" s="145">
        <v>37</v>
      </c>
      <c r="BS108" s="145">
        <v>9484</v>
      </c>
      <c r="BT108" s="145">
        <v>0</v>
      </c>
      <c r="BU108" s="145">
        <v>40893</v>
      </c>
      <c r="BV108" s="145">
        <v>4822</v>
      </c>
      <c r="BW108" s="145">
        <v>0</v>
      </c>
      <c r="BX108" s="145">
        <v>0</v>
      </c>
      <c r="BY108" s="145">
        <v>217239</v>
      </c>
      <c r="BZ108" s="145">
        <v>0</v>
      </c>
      <c r="CA108" s="145">
        <v>0</v>
      </c>
      <c r="CB108" s="145">
        <v>222061</v>
      </c>
      <c r="CC108" s="145">
        <v>262954</v>
      </c>
      <c r="CE108" s="145">
        <v>0</v>
      </c>
      <c r="CF108" s="145">
        <v>282</v>
      </c>
      <c r="CG108" s="165">
        <v>5600</v>
      </c>
    </row>
    <row r="109" spans="1:85" ht="8.25" customHeight="1" x14ac:dyDescent="0.2">
      <c r="A109" s="143">
        <v>58001</v>
      </c>
      <c r="B109" s="77" t="str">
        <f>IFERROR(INDEX(SCNtoISIC!$M:$M,MATCH($A109,SCNtoISIC!$J:$J,0)),0)</f>
        <v>ISIC 58T60</v>
      </c>
      <c r="C109" s="144" t="s">
        <v>491</v>
      </c>
      <c r="D109" s="145">
        <v>0</v>
      </c>
      <c r="E109" s="145">
        <v>0</v>
      </c>
      <c r="F109" s="145">
        <v>0</v>
      </c>
      <c r="G109" s="145">
        <v>0</v>
      </c>
      <c r="H109" s="145">
        <v>0</v>
      </c>
      <c r="I109" s="145">
        <v>0</v>
      </c>
      <c r="J109" s="145">
        <v>0</v>
      </c>
      <c r="K109" s="145">
        <v>0</v>
      </c>
      <c r="L109" s="145">
        <v>0</v>
      </c>
      <c r="M109" s="145">
        <v>0</v>
      </c>
      <c r="N109" s="145">
        <v>0</v>
      </c>
      <c r="O109" s="145">
        <v>0</v>
      </c>
      <c r="P109" s="145">
        <v>0</v>
      </c>
      <c r="Q109" s="145">
        <v>0</v>
      </c>
      <c r="R109" s="145">
        <v>0</v>
      </c>
      <c r="S109" s="145">
        <v>0</v>
      </c>
      <c r="T109" s="145">
        <v>0</v>
      </c>
      <c r="U109" s="145">
        <v>0</v>
      </c>
      <c r="V109" s="145">
        <v>0</v>
      </c>
      <c r="W109" s="145">
        <v>0</v>
      </c>
      <c r="X109" s="145">
        <v>180</v>
      </c>
      <c r="Y109" s="145">
        <v>0</v>
      </c>
      <c r="Z109" s="145">
        <v>0</v>
      </c>
      <c r="AA109" s="145">
        <v>0</v>
      </c>
      <c r="AB109" s="145">
        <v>0</v>
      </c>
      <c r="AC109" s="146">
        <f t="shared" si="6"/>
        <v>0</v>
      </c>
      <c r="AD109" s="146">
        <f t="shared" si="7"/>
        <v>0</v>
      </c>
      <c r="AE109" s="145">
        <v>0</v>
      </c>
      <c r="AF109" s="145">
        <v>0</v>
      </c>
      <c r="AG109" s="145">
        <v>0</v>
      </c>
      <c r="AH109" s="145">
        <v>0</v>
      </c>
      <c r="AI109" s="145">
        <v>0</v>
      </c>
      <c r="AJ109" s="145">
        <v>0</v>
      </c>
      <c r="AK109" s="145">
        <v>0</v>
      </c>
      <c r="AL109" s="145">
        <v>3</v>
      </c>
      <c r="AM109" s="145">
        <v>0</v>
      </c>
      <c r="AN109" s="145">
        <v>0</v>
      </c>
      <c r="AO109" s="145">
        <v>19</v>
      </c>
      <c r="AP109" s="146">
        <f t="shared" si="8"/>
        <v>98.666666666666657</v>
      </c>
      <c r="AQ109" s="146">
        <f t="shared" si="9"/>
        <v>49.333333333333329</v>
      </c>
      <c r="AR109" s="145">
        <v>7</v>
      </c>
      <c r="AS109" s="145">
        <v>0</v>
      </c>
      <c r="AT109" s="145">
        <v>303</v>
      </c>
      <c r="AU109" s="145">
        <v>0</v>
      </c>
      <c r="AV109" s="145">
        <v>0</v>
      </c>
      <c r="AW109" s="145">
        <v>0</v>
      </c>
      <c r="AX109" s="145">
        <v>0</v>
      </c>
      <c r="AY109" s="145">
        <v>75</v>
      </c>
      <c r="AZ109" s="145">
        <v>0</v>
      </c>
      <c r="BA109" s="145">
        <v>25</v>
      </c>
      <c r="BB109" s="145">
        <v>3</v>
      </c>
      <c r="BC109" s="145">
        <v>167</v>
      </c>
      <c r="BD109" s="145">
        <v>1</v>
      </c>
      <c r="BE109" s="145">
        <v>2196</v>
      </c>
      <c r="BF109" s="145">
        <v>55</v>
      </c>
      <c r="BG109" s="145">
        <v>388</v>
      </c>
      <c r="BH109" s="145">
        <v>167</v>
      </c>
      <c r="BI109" s="145">
        <v>3295</v>
      </c>
      <c r="BJ109" s="145">
        <v>25</v>
      </c>
      <c r="BK109" s="145">
        <v>4</v>
      </c>
      <c r="BL109" s="145">
        <v>0</v>
      </c>
      <c r="BM109" s="145">
        <v>878</v>
      </c>
      <c r="BN109" s="145">
        <v>3520</v>
      </c>
      <c r="BO109" s="145">
        <v>2193</v>
      </c>
      <c r="BP109" s="145">
        <v>37</v>
      </c>
      <c r="BQ109" s="145">
        <v>181</v>
      </c>
      <c r="BR109" s="145">
        <v>0</v>
      </c>
      <c r="BS109" s="145">
        <v>221</v>
      </c>
      <c r="BT109" s="145">
        <v>0</v>
      </c>
      <c r="BU109" s="145">
        <v>14091</v>
      </c>
      <c r="BV109" s="145">
        <v>1019</v>
      </c>
      <c r="BW109" s="145">
        <v>0</v>
      </c>
      <c r="BX109" s="145">
        <v>0</v>
      </c>
      <c r="BY109" s="145">
        <v>18137</v>
      </c>
      <c r="BZ109" s="145">
        <v>0</v>
      </c>
      <c r="CA109" s="145">
        <v>109</v>
      </c>
      <c r="CB109" s="145">
        <v>19265</v>
      </c>
      <c r="CC109" s="145">
        <v>33356</v>
      </c>
      <c r="CE109" s="145">
        <v>0</v>
      </c>
      <c r="CF109" s="145">
        <v>148</v>
      </c>
      <c r="CG109" s="165">
        <v>5800</v>
      </c>
    </row>
    <row r="110" spans="1:85" ht="8.25" customHeight="1" x14ac:dyDescent="0.2">
      <c r="A110" s="143">
        <v>59801</v>
      </c>
      <c r="B110" s="77" t="str">
        <f>IFERROR(INDEX(SCNtoISIC!$M:$M,MATCH($A110,SCNtoISIC!$J:$J,0)),0)</f>
        <v>ISIC 58T60</v>
      </c>
      <c r="C110" s="144" t="s">
        <v>493</v>
      </c>
      <c r="D110" s="145">
        <v>0</v>
      </c>
      <c r="E110" s="145">
        <v>0</v>
      </c>
      <c r="F110" s="145">
        <v>0</v>
      </c>
      <c r="G110" s="145">
        <v>0</v>
      </c>
      <c r="H110" s="145">
        <v>0</v>
      </c>
      <c r="I110" s="145">
        <v>0</v>
      </c>
      <c r="J110" s="145">
        <v>0</v>
      </c>
      <c r="K110" s="145">
        <v>0</v>
      </c>
      <c r="L110" s="145">
        <v>0</v>
      </c>
      <c r="M110" s="145">
        <v>0</v>
      </c>
      <c r="N110" s="145">
        <v>0</v>
      </c>
      <c r="O110" s="145">
        <v>0</v>
      </c>
      <c r="P110" s="145">
        <v>0</v>
      </c>
      <c r="Q110" s="145">
        <v>0</v>
      </c>
      <c r="R110" s="145">
        <v>0</v>
      </c>
      <c r="S110" s="145">
        <v>0</v>
      </c>
      <c r="T110" s="145">
        <v>0</v>
      </c>
      <c r="U110" s="145">
        <v>0</v>
      </c>
      <c r="V110" s="145">
        <v>0</v>
      </c>
      <c r="W110" s="145">
        <v>0</v>
      </c>
      <c r="X110" s="145">
        <v>0</v>
      </c>
      <c r="Y110" s="145">
        <v>0</v>
      </c>
      <c r="Z110" s="145">
        <v>0</v>
      </c>
      <c r="AA110" s="145">
        <v>0</v>
      </c>
      <c r="AB110" s="145">
        <v>0</v>
      </c>
      <c r="AC110" s="146">
        <f t="shared" si="6"/>
        <v>0</v>
      </c>
      <c r="AD110" s="146">
        <f t="shared" si="7"/>
        <v>0</v>
      </c>
      <c r="AE110" s="145">
        <v>0</v>
      </c>
      <c r="AF110" s="145">
        <v>0</v>
      </c>
      <c r="AG110" s="145">
        <v>0</v>
      </c>
      <c r="AH110" s="145">
        <v>0</v>
      </c>
      <c r="AI110" s="145">
        <v>0</v>
      </c>
      <c r="AJ110" s="145">
        <v>0</v>
      </c>
      <c r="AK110" s="145">
        <v>0</v>
      </c>
      <c r="AL110" s="145">
        <v>0</v>
      </c>
      <c r="AM110" s="145">
        <v>0</v>
      </c>
      <c r="AN110" s="145">
        <v>0</v>
      </c>
      <c r="AO110" s="145">
        <v>0</v>
      </c>
      <c r="AP110" s="146">
        <f t="shared" si="8"/>
        <v>0</v>
      </c>
      <c r="AQ110" s="146">
        <f t="shared" si="9"/>
        <v>0</v>
      </c>
      <c r="AR110" s="145">
        <v>0</v>
      </c>
      <c r="AS110" s="145">
        <v>0</v>
      </c>
      <c r="AT110" s="145">
        <v>0</v>
      </c>
      <c r="AU110" s="145">
        <v>1</v>
      </c>
      <c r="AV110" s="145">
        <v>0</v>
      </c>
      <c r="AW110" s="145">
        <v>0</v>
      </c>
      <c r="AX110" s="145">
        <v>0</v>
      </c>
      <c r="AY110" s="145">
        <v>4</v>
      </c>
      <c r="AZ110" s="145">
        <v>0</v>
      </c>
      <c r="BA110" s="145">
        <v>13</v>
      </c>
      <c r="BB110" s="145">
        <v>5506</v>
      </c>
      <c r="BC110" s="145">
        <v>5445</v>
      </c>
      <c r="BD110" s="145">
        <v>1</v>
      </c>
      <c r="BE110" s="145">
        <v>2</v>
      </c>
      <c r="BF110" s="145">
        <v>0</v>
      </c>
      <c r="BG110" s="145">
        <v>0</v>
      </c>
      <c r="BH110" s="145">
        <v>0</v>
      </c>
      <c r="BI110" s="145">
        <v>34099</v>
      </c>
      <c r="BJ110" s="145">
        <v>0</v>
      </c>
      <c r="BK110" s="145">
        <v>20</v>
      </c>
      <c r="BL110" s="145">
        <v>3</v>
      </c>
      <c r="BM110" s="145">
        <v>0</v>
      </c>
      <c r="BN110" s="145">
        <v>0</v>
      </c>
      <c r="BO110" s="145">
        <v>0</v>
      </c>
      <c r="BP110" s="145">
        <v>0</v>
      </c>
      <c r="BQ110" s="145">
        <v>0</v>
      </c>
      <c r="BR110" s="145">
        <v>109</v>
      </c>
      <c r="BS110" s="145">
        <v>0</v>
      </c>
      <c r="BT110" s="145">
        <v>0</v>
      </c>
      <c r="BU110" s="145">
        <v>45203</v>
      </c>
      <c r="BV110" s="145">
        <v>470</v>
      </c>
      <c r="BW110" s="145">
        <v>0</v>
      </c>
      <c r="BX110" s="145">
        <v>0</v>
      </c>
      <c r="BY110" s="145">
        <v>1843</v>
      </c>
      <c r="BZ110" s="145">
        <v>0</v>
      </c>
      <c r="CA110" s="145">
        <v>0</v>
      </c>
      <c r="CB110" s="145">
        <v>2313</v>
      </c>
      <c r="CC110" s="145">
        <v>47516</v>
      </c>
      <c r="CE110" s="145">
        <v>0</v>
      </c>
      <c r="CF110" s="145">
        <v>0</v>
      </c>
      <c r="CG110" s="165">
        <v>5980</v>
      </c>
    </row>
    <row r="111" spans="1:85" ht="8.25" customHeight="1" x14ac:dyDescent="0.2">
      <c r="A111" s="143">
        <v>61001</v>
      </c>
      <c r="B111" s="77" t="str">
        <f>IFERROR(INDEX(SCNtoISIC!$M:$M,MATCH($A111,SCNtoISIC!$J:$J,0)),0)</f>
        <v>ISIC 61</v>
      </c>
      <c r="C111" s="144" t="s">
        <v>627</v>
      </c>
      <c r="D111" s="145">
        <v>6</v>
      </c>
      <c r="E111" s="145">
        <v>3</v>
      </c>
      <c r="F111" s="145">
        <v>7</v>
      </c>
      <c r="G111" s="145">
        <v>29</v>
      </c>
      <c r="H111" s="145">
        <v>651</v>
      </c>
      <c r="I111" s="145">
        <v>69</v>
      </c>
      <c r="J111" s="145">
        <v>29</v>
      </c>
      <c r="K111" s="145">
        <v>687</v>
      </c>
      <c r="L111" s="145">
        <v>158</v>
      </c>
      <c r="M111" s="145">
        <v>1271</v>
      </c>
      <c r="N111" s="145">
        <v>378</v>
      </c>
      <c r="O111" s="145">
        <v>16</v>
      </c>
      <c r="P111" s="145">
        <v>208</v>
      </c>
      <c r="Q111" s="145">
        <v>565</v>
      </c>
      <c r="R111" s="145">
        <v>169</v>
      </c>
      <c r="S111" s="145">
        <v>83</v>
      </c>
      <c r="T111" s="145">
        <v>350</v>
      </c>
      <c r="U111" s="145">
        <v>328</v>
      </c>
      <c r="V111" s="145">
        <v>207</v>
      </c>
      <c r="W111" s="145">
        <v>134</v>
      </c>
      <c r="X111" s="145">
        <v>258</v>
      </c>
      <c r="Y111" s="145">
        <v>250</v>
      </c>
      <c r="Z111" s="145">
        <v>29</v>
      </c>
      <c r="AA111" s="145">
        <v>240</v>
      </c>
      <c r="AB111" s="145">
        <v>299</v>
      </c>
      <c r="AC111" s="146">
        <f t="shared" si="6"/>
        <v>288.59999999999997</v>
      </c>
      <c r="AD111" s="146">
        <f t="shared" si="7"/>
        <v>192.4</v>
      </c>
      <c r="AE111" s="145">
        <v>172</v>
      </c>
      <c r="AF111" s="145">
        <v>65</v>
      </c>
      <c r="AG111" s="145">
        <v>390</v>
      </c>
      <c r="AH111" s="145">
        <v>813</v>
      </c>
      <c r="AI111" s="145">
        <v>443</v>
      </c>
      <c r="AJ111" s="145">
        <v>470</v>
      </c>
      <c r="AK111" s="145">
        <v>1168</v>
      </c>
      <c r="AL111" s="145">
        <v>1035</v>
      </c>
      <c r="AM111" s="145">
        <v>240</v>
      </c>
      <c r="AN111" s="145">
        <v>464</v>
      </c>
      <c r="AO111" s="145">
        <v>123</v>
      </c>
      <c r="AP111" s="146">
        <f t="shared" si="8"/>
        <v>324.66666666666663</v>
      </c>
      <c r="AQ111" s="146">
        <f t="shared" si="9"/>
        <v>162.33333333333331</v>
      </c>
      <c r="AR111" s="145">
        <v>161</v>
      </c>
      <c r="AS111" s="145">
        <v>1274</v>
      </c>
      <c r="AT111" s="145">
        <v>7836</v>
      </c>
      <c r="AU111" s="145">
        <v>859</v>
      </c>
      <c r="AV111" s="145">
        <v>32</v>
      </c>
      <c r="AW111" s="145">
        <v>73</v>
      </c>
      <c r="AX111" s="145">
        <v>790</v>
      </c>
      <c r="AY111" s="145">
        <v>237</v>
      </c>
      <c r="AZ111" s="145">
        <v>634</v>
      </c>
      <c r="BA111" s="145">
        <v>153</v>
      </c>
      <c r="BB111" s="145">
        <v>329</v>
      </c>
      <c r="BC111" s="145">
        <v>23608</v>
      </c>
      <c r="BD111" s="145">
        <v>1457</v>
      </c>
      <c r="BE111" s="145">
        <v>9925</v>
      </c>
      <c r="BF111" s="145">
        <v>606</v>
      </c>
      <c r="BG111" s="145">
        <v>2699</v>
      </c>
      <c r="BH111" s="145">
        <v>406</v>
      </c>
      <c r="BI111" s="145">
        <v>2628</v>
      </c>
      <c r="BJ111" s="145">
        <v>125</v>
      </c>
      <c r="BK111" s="145">
        <v>1607</v>
      </c>
      <c r="BL111" s="145">
        <v>281</v>
      </c>
      <c r="BM111" s="145">
        <v>5556</v>
      </c>
      <c r="BN111" s="145">
        <v>1090</v>
      </c>
      <c r="BO111" s="145">
        <v>1315</v>
      </c>
      <c r="BP111" s="145">
        <v>551</v>
      </c>
      <c r="BQ111" s="145">
        <v>1094</v>
      </c>
      <c r="BR111" s="145">
        <v>254</v>
      </c>
      <c r="BS111" s="145">
        <v>1691</v>
      </c>
      <c r="BT111" s="145">
        <v>0</v>
      </c>
      <c r="BU111" s="145">
        <v>80046</v>
      </c>
      <c r="BV111" s="145">
        <v>1324</v>
      </c>
      <c r="BW111" s="145">
        <v>0</v>
      </c>
      <c r="BX111" s="145">
        <v>0</v>
      </c>
      <c r="BY111" s="145">
        <v>116724</v>
      </c>
      <c r="BZ111" s="145">
        <v>0</v>
      </c>
      <c r="CA111" s="145">
        <v>0</v>
      </c>
      <c r="CB111" s="145">
        <v>118048</v>
      </c>
      <c r="CC111" s="145">
        <v>198094</v>
      </c>
      <c r="CE111" s="145">
        <v>481</v>
      </c>
      <c r="CF111" s="145">
        <v>487</v>
      </c>
      <c r="CG111" s="165">
        <v>6100</v>
      </c>
    </row>
    <row r="112" spans="1:85" ht="8.25" customHeight="1" x14ac:dyDescent="0.2">
      <c r="A112" s="143">
        <v>62801</v>
      </c>
      <c r="B112" s="77" t="str">
        <f>IFERROR(INDEX(SCNtoISIC!$M:$M,MATCH($A112,SCNtoISIC!$J:$J,0)),0)</f>
        <v>ISIC 62T63</v>
      </c>
      <c r="C112" s="144" t="s">
        <v>269</v>
      </c>
      <c r="D112" s="145">
        <v>16</v>
      </c>
      <c r="E112" s="145">
        <v>9</v>
      </c>
      <c r="F112" s="145">
        <v>1</v>
      </c>
      <c r="G112" s="145">
        <v>1</v>
      </c>
      <c r="H112" s="145">
        <v>60</v>
      </c>
      <c r="I112" s="145">
        <v>176</v>
      </c>
      <c r="J112" s="145">
        <v>31</v>
      </c>
      <c r="K112" s="145">
        <v>438</v>
      </c>
      <c r="L112" s="145">
        <v>10</v>
      </c>
      <c r="M112" s="145">
        <v>749</v>
      </c>
      <c r="N112" s="145">
        <v>67</v>
      </c>
      <c r="O112" s="145">
        <v>30</v>
      </c>
      <c r="P112" s="145">
        <v>37</v>
      </c>
      <c r="Q112" s="145">
        <v>48</v>
      </c>
      <c r="R112" s="145">
        <v>12</v>
      </c>
      <c r="S112" s="145">
        <v>10</v>
      </c>
      <c r="T112" s="145">
        <v>153</v>
      </c>
      <c r="U112" s="145">
        <v>3</v>
      </c>
      <c r="V112" s="145">
        <v>40</v>
      </c>
      <c r="W112" s="145">
        <v>2</v>
      </c>
      <c r="X112" s="145">
        <v>299</v>
      </c>
      <c r="Y112" s="145">
        <v>206</v>
      </c>
      <c r="Z112" s="145">
        <v>19</v>
      </c>
      <c r="AA112" s="145">
        <v>364</v>
      </c>
      <c r="AB112" s="145">
        <v>122</v>
      </c>
      <c r="AC112" s="146">
        <f t="shared" si="6"/>
        <v>54.6</v>
      </c>
      <c r="AD112" s="146">
        <f t="shared" si="7"/>
        <v>36.4</v>
      </c>
      <c r="AE112" s="145">
        <v>156</v>
      </c>
      <c r="AF112" s="145">
        <v>23</v>
      </c>
      <c r="AG112" s="145">
        <v>101</v>
      </c>
      <c r="AH112" s="145">
        <v>201</v>
      </c>
      <c r="AI112" s="145">
        <v>321</v>
      </c>
      <c r="AJ112" s="145">
        <v>172</v>
      </c>
      <c r="AK112" s="145">
        <v>685</v>
      </c>
      <c r="AL112" s="145">
        <v>95</v>
      </c>
      <c r="AM112" s="145">
        <v>73</v>
      </c>
      <c r="AN112" s="145">
        <v>118</v>
      </c>
      <c r="AO112" s="145">
        <v>78</v>
      </c>
      <c r="AP112" s="146">
        <f t="shared" si="8"/>
        <v>905.33333333333326</v>
      </c>
      <c r="AQ112" s="146">
        <f t="shared" si="9"/>
        <v>452.66666666666663</v>
      </c>
      <c r="AR112" s="145">
        <v>297</v>
      </c>
      <c r="AS112" s="145">
        <v>468</v>
      </c>
      <c r="AT112" s="145">
        <v>8192</v>
      </c>
      <c r="AU112" s="145">
        <v>760</v>
      </c>
      <c r="AV112" s="145">
        <v>1</v>
      </c>
      <c r="AW112" s="145">
        <v>744</v>
      </c>
      <c r="AX112" s="145">
        <v>1110</v>
      </c>
      <c r="AY112" s="145">
        <v>66</v>
      </c>
      <c r="AZ112" s="145">
        <v>82</v>
      </c>
      <c r="BA112" s="145">
        <v>561</v>
      </c>
      <c r="BB112" s="145">
        <v>1032</v>
      </c>
      <c r="BC112" s="145">
        <v>2979</v>
      </c>
      <c r="BD112" s="145">
        <v>7858</v>
      </c>
      <c r="BE112" s="145">
        <v>17204</v>
      </c>
      <c r="BF112" s="145">
        <v>327</v>
      </c>
      <c r="BG112" s="145">
        <v>2494</v>
      </c>
      <c r="BH112" s="145">
        <v>36</v>
      </c>
      <c r="BI112" s="145">
        <v>4923</v>
      </c>
      <c r="BJ112" s="145">
        <v>355</v>
      </c>
      <c r="BK112" s="145">
        <v>780</v>
      </c>
      <c r="BL112" s="145">
        <v>165</v>
      </c>
      <c r="BM112" s="145">
        <v>9758</v>
      </c>
      <c r="BN112" s="145">
        <v>1459</v>
      </c>
      <c r="BO112" s="145">
        <v>363</v>
      </c>
      <c r="BP112" s="145">
        <v>2629</v>
      </c>
      <c r="BQ112" s="145">
        <v>0</v>
      </c>
      <c r="BR112" s="145">
        <v>163</v>
      </c>
      <c r="BS112" s="145">
        <v>1477</v>
      </c>
      <c r="BT112" s="145">
        <v>0</v>
      </c>
      <c r="BU112" s="145">
        <v>72658</v>
      </c>
      <c r="BV112" s="145">
        <v>3907</v>
      </c>
      <c r="BW112" s="145">
        <v>0</v>
      </c>
      <c r="BX112" s="145">
        <v>0</v>
      </c>
      <c r="BY112" s="145">
        <v>417</v>
      </c>
      <c r="BZ112" s="145">
        <v>66550</v>
      </c>
      <c r="CA112" s="145">
        <v>50</v>
      </c>
      <c r="CB112" s="145">
        <v>70924</v>
      </c>
      <c r="CC112" s="145">
        <v>143582</v>
      </c>
      <c r="CE112" s="145">
        <v>91</v>
      </c>
      <c r="CF112" s="145">
        <v>1358</v>
      </c>
      <c r="CG112" s="165">
        <v>6280</v>
      </c>
    </row>
    <row r="113" spans="1:85" ht="8.25" customHeight="1" x14ac:dyDescent="0.2">
      <c r="A113" s="147">
        <v>64801</v>
      </c>
      <c r="B113" s="77" t="str">
        <f>IFERROR(INDEX(SCNtoISIC!$M:$M,MATCH($A113,SCNtoISIC!$J:$J,0)),0)</f>
        <v>ISIC 64T66</v>
      </c>
      <c r="C113" s="93" t="s">
        <v>270</v>
      </c>
      <c r="D113" s="148">
        <v>6307</v>
      </c>
      <c r="E113" s="148">
        <v>2452</v>
      </c>
      <c r="F113" s="148">
        <v>564</v>
      </c>
      <c r="G113" s="148">
        <v>721</v>
      </c>
      <c r="H113" s="148">
        <v>4044</v>
      </c>
      <c r="I113" s="148">
        <v>1843</v>
      </c>
      <c r="J113" s="148">
        <v>624</v>
      </c>
      <c r="K113" s="148">
        <v>5690</v>
      </c>
      <c r="L113" s="148">
        <v>1827</v>
      </c>
      <c r="M113" s="148">
        <v>5596</v>
      </c>
      <c r="N113" s="148">
        <v>1710</v>
      </c>
      <c r="O113" s="148">
        <v>374</v>
      </c>
      <c r="P113" s="148">
        <v>902</v>
      </c>
      <c r="Q113" s="148">
        <v>1234</v>
      </c>
      <c r="R113" s="148">
        <v>883</v>
      </c>
      <c r="S113" s="148">
        <v>581</v>
      </c>
      <c r="T113" s="148">
        <v>2379</v>
      </c>
      <c r="U113" s="148">
        <v>448</v>
      </c>
      <c r="V113" s="148">
        <v>3914</v>
      </c>
      <c r="W113" s="148">
        <v>1183</v>
      </c>
      <c r="X113" s="148">
        <v>4076</v>
      </c>
      <c r="Y113" s="148">
        <v>1539</v>
      </c>
      <c r="Z113" s="148">
        <v>902</v>
      </c>
      <c r="AA113" s="148">
        <v>1076</v>
      </c>
      <c r="AB113" s="148">
        <v>2053</v>
      </c>
      <c r="AC113" s="146">
        <f t="shared" si="6"/>
        <v>1442.3999999999999</v>
      </c>
      <c r="AD113" s="146">
        <f t="shared" si="7"/>
        <v>961.6</v>
      </c>
      <c r="AE113" s="148">
        <v>2817</v>
      </c>
      <c r="AF113" s="148">
        <v>1312</v>
      </c>
      <c r="AG113" s="148">
        <v>1965</v>
      </c>
      <c r="AH113" s="148">
        <v>1720</v>
      </c>
      <c r="AI113" s="148">
        <v>1588</v>
      </c>
      <c r="AJ113" s="148">
        <v>2595</v>
      </c>
      <c r="AK113" s="148">
        <v>3060</v>
      </c>
      <c r="AL113" s="148">
        <v>1266</v>
      </c>
      <c r="AM113" s="148">
        <v>1174</v>
      </c>
      <c r="AN113" s="148">
        <v>1219</v>
      </c>
      <c r="AO113" s="148">
        <v>761</v>
      </c>
      <c r="AP113" s="146">
        <f t="shared" si="8"/>
        <v>4836.6666666666661</v>
      </c>
      <c r="AQ113" s="146">
        <f t="shared" si="9"/>
        <v>2418.333333333333</v>
      </c>
      <c r="AR113" s="148">
        <v>1481</v>
      </c>
      <c r="AS113" s="148">
        <v>11519</v>
      </c>
      <c r="AT113" s="148">
        <v>33387</v>
      </c>
      <c r="AU113" s="148">
        <v>9847</v>
      </c>
      <c r="AV113" s="148">
        <v>640</v>
      </c>
      <c r="AW113" s="148">
        <v>1390</v>
      </c>
      <c r="AX113" s="148">
        <v>3636</v>
      </c>
      <c r="AY113" s="148">
        <v>636</v>
      </c>
      <c r="AZ113" s="148">
        <v>3544</v>
      </c>
      <c r="BA113" s="148">
        <v>596</v>
      </c>
      <c r="BB113" s="148">
        <v>1157</v>
      </c>
      <c r="BC113" s="148">
        <v>7362</v>
      </c>
      <c r="BD113" s="148">
        <v>2878</v>
      </c>
      <c r="BE113" s="148">
        <v>79363</v>
      </c>
      <c r="BF113" s="148">
        <v>26988</v>
      </c>
      <c r="BG113" s="148">
        <v>4930</v>
      </c>
      <c r="BH113" s="148">
        <v>1778</v>
      </c>
      <c r="BI113" s="148">
        <v>1011</v>
      </c>
      <c r="BJ113" s="148">
        <v>1492</v>
      </c>
      <c r="BK113" s="148">
        <v>5549</v>
      </c>
      <c r="BL113" s="148">
        <v>1251</v>
      </c>
      <c r="BM113" s="148">
        <v>64525</v>
      </c>
      <c r="BN113" s="148">
        <v>1095</v>
      </c>
      <c r="BO113" s="148">
        <v>2266</v>
      </c>
      <c r="BP113" s="148">
        <v>429</v>
      </c>
      <c r="BQ113" s="148">
        <v>5571</v>
      </c>
      <c r="BR113" s="148">
        <v>815</v>
      </c>
      <c r="BS113" s="148">
        <v>2687</v>
      </c>
      <c r="BT113" s="148">
        <v>0</v>
      </c>
      <c r="BU113" s="148">
        <v>359881</v>
      </c>
      <c r="BV113" s="148">
        <v>13696</v>
      </c>
      <c r="BW113" s="148">
        <v>1926</v>
      </c>
      <c r="BX113" s="148">
        <v>0</v>
      </c>
      <c r="BY113" s="148">
        <v>285322</v>
      </c>
      <c r="BZ113" s="148">
        <v>0</v>
      </c>
      <c r="CA113" s="148">
        <v>0</v>
      </c>
      <c r="CB113" s="148">
        <v>300944</v>
      </c>
      <c r="CC113" s="148">
        <v>660825</v>
      </c>
      <c r="CE113" s="148">
        <v>2404</v>
      </c>
      <c r="CF113" s="148">
        <v>7255</v>
      </c>
      <c r="CG113" s="166">
        <v>6480</v>
      </c>
    </row>
    <row r="114" spans="1:85" ht="8.25" customHeight="1" x14ac:dyDescent="0.2">
      <c r="A114" s="147">
        <v>68001</v>
      </c>
      <c r="B114" s="77" t="str">
        <f>IFERROR(INDEX(SCNtoISIC!$M:$M,MATCH($A114,SCNtoISIC!$J:$J,0)),0)</f>
        <v>ISIC 68</v>
      </c>
      <c r="C114" s="93" t="s">
        <v>498</v>
      </c>
      <c r="D114" s="148">
        <v>7</v>
      </c>
      <c r="E114" s="148">
        <v>5</v>
      </c>
      <c r="F114" s="148">
        <v>7</v>
      </c>
      <c r="G114" s="148">
        <v>21</v>
      </c>
      <c r="H114" s="148">
        <v>328</v>
      </c>
      <c r="I114" s="148">
        <v>28</v>
      </c>
      <c r="J114" s="148">
        <v>21</v>
      </c>
      <c r="K114" s="148">
        <v>628</v>
      </c>
      <c r="L114" s="148">
        <v>144</v>
      </c>
      <c r="M114" s="148">
        <v>485</v>
      </c>
      <c r="N114" s="148">
        <v>70</v>
      </c>
      <c r="O114" s="148">
        <v>22</v>
      </c>
      <c r="P114" s="148">
        <v>317</v>
      </c>
      <c r="Q114" s="148">
        <v>375</v>
      </c>
      <c r="R114" s="148">
        <v>95</v>
      </c>
      <c r="S114" s="148">
        <v>35</v>
      </c>
      <c r="T114" s="148">
        <v>157</v>
      </c>
      <c r="U114" s="148">
        <v>56</v>
      </c>
      <c r="V114" s="148">
        <v>169</v>
      </c>
      <c r="W114" s="148">
        <v>184</v>
      </c>
      <c r="X114" s="148">
        <v>160</v>
      </c>
      <c r="Y114" s="148">
        <v>100</v>
      </c>
      <c r="Z114" s="148">
        <v>161</v>
      </c>
      <c r="AA114" s="148">
        <v>254</v>
      </c>
      <c r="AB114" s="148">
        <v>389</v>
      </c>
      <c r="AC114" s="146">
        <f t="shared" si="6"/>
        <v>130.19999999999999</v>
      </c>
      <c r="AD114" s="146">
        <f t="shared" si="7"/>
        <v>86.800000000000011</v>
      </c>
      <c r="AE114" s="148">
        <v>268</v>
      </c>
      <c r="AF114" s="148">
        <v>11</v>
      </c>
      <c r="AG114" s="148">
        <v>262</v>
      </c>
      <c r="AH114" s="148">
        <v>197</v>
      </c>
      <c r="AI114" s="148">
        <v>121</v>
      </c>
      <c r="AJ114" s="148">
        <v>218</v>
      </c>
      <c r="AK114" s="148">
        <v>108</v>
      </c>
      <c r="AL114" s="148">
        <v>174</v>
      </c>
      <c r="AM114" s="148">
        <v>82</v>
      </c>
      <c r="AN114" s="148">
        <v>247</v>
      </c>
      <c r="AO114" s="148">
        <v>59</v>
      </c>
      <c r="AP114" s="146">
        <f t="shared" si="8"/>
        <v>858</v>
      </c>
      <c r="AQ114" s="146">
        <f t="shared" si="9"/>
        <v>429</v>
      </c>
      <c r="AR114" s="148">
        <v>278</v>
      </c>
      <c r="AS114" s="148">
        <v>1423</v>
      </c>
      <c r="AT114" s="148">
        <v>42327</v>
      </c>
      <c r="AU114" s="148">
        <v>1135</v>
      </c>
      <c r="AV114" s="148">
        <v>68</v>
      </c>
      <c r="AW114" s="148">
        <v>128</v>
      </c>
      <c r="AX114" s="148">
        <v>2584</v>
      </c>
      <c r="AY114" s="148">
        <v>1196</v>
      </c>
      <c r="AZ114" s="148">
        <v>4844</v>
      </c>
      <c r="BA114" s="148">
        <v>269</v>
      </c>
      <c r="BB114" s="148">
        <v>456</v>
      </c>
      <c r="BC114" s="148">
        <v>2592</v>
      </c>
      <c r="BD114" s="148">
        <v>1591</v>
      </c>
      <c r="BE114" s="148">
        <v>6064</v>
      </c>
      <c r="BF114" s="148">
        <v>2064</v>
      </c>
      <c r="BG114" s="148">
        <v>5168</v>
      </c>
      <c r="BH114" s="148">
        <v>949</v>
      </c>
      <c r="BI114" s="148">
        <v>995</v>
      </c>
      <c r="BJ114" s="148">
        <v>1143</v>
      </c>
      <c r="BK114" s="148">
        <v>2897</v>
      </c>
      <c r="BL114" s="148">
        <v>263</v>
      </c>
      <c r="BM114" s="148">
        <v>3645</v>
      </c>
      <c r="BN114" s="148">
        <v>664</v>
      </c>
      <c r="BO114" s="148">
        <v>4332</v>
      </c>
      <c r="BP114" s="148">
        <v>494</v>
      </c>
      <c r="BQ114" s="148">
        <v>2025</v>
      </c>
      <c r="BR114" s="148">
        <v>4044</v>
      </c>
      <c r="BS114" s="148">
        <v>3018</v>
      </c>
      <c r="BT114" s="148">
        <v>0</v>
      </c>
      <c r="BU114" s="148">
        <v>104125</v>
      </c>
      <c r="BV114" s="148">
        <v>5598</v>
      </c>
      <c r="BW114" s="148">
        <v>0</v>
      </c>
      <c r="BX114" s="148">
        <v>0</v>
      </c>
      <c r="BY114" s="148">
        <v>92794</v>
      </c>
      <c r="BZ114" s="148">
        <v>0</v>
      </c>
      <c r="CA114" s="148">
        <v>0</v>
      </c>
      <c r="CB114" s="148">
        <v>98392</v>
      </c>
      <c r="CC114" s="148">
        <v>202517</v>
      </c>
      <c r="CE114" s="148">
        <v>217</v>
      </c>
      <c r="CF114" s="148">
        <v>1287</v>
      </c>
      <c r="CG114" s="166">
        <v>6800</v>
      </c>
    </row>
    <row r="115" spans="1:85" ht="8.25" customHeight="1" x14ac:dyDescent="0.2">
      <c r="A115" s="147">
        <v>68002</v>
      </c>
      <c r="B115" s="77" t="str">
        <f>IFERROR(INDEX(SCNtoISIC!$M:$M,MATCH($A115,SCNtoISIC!$J:$J,0)),0)</f>
        <v>ISIC 68</v>
      </c>
      <c r="C115" s="93" t="s">
        <v>500</v>
      </c>
      <c r="D115" s="148">
        <v>0</v>
      </c>
      <c r="E115" s="148">
        <v>0</v>
      </c>
      <c r="F115" s="148">
        <v>0</v>
      </c>
      <c r="G115" s="148">
        <v>0</v>
      </c>
      <c r="H115" s="148">
        <v>0</v>
      </c>
      <c r="I115" s="148">
        <v>0</v>
      </c>
      <c r="J115" s="148">
        <v>0</v>
      </c>
      <c r="K115" s="148">
        <v>0</v>
      </c>
      <c r="L115" s="148">
        <v>0</v>
      </c>
      <c r="M115" s="148">
        <v>0</v>
      </c>
      <c r="N115" s="148">
        <v>0</v>
      </c>
      <c r="O115" s="148">
        <v>0</v>
      </c>
      <c r="P115" s="148">
        <v>0</v>
      </c>
      <c r="Q115" s="148">
        <v>0</v>
      </c>
      <c r="R115" s="148">
        <v>0</v>
      </c>
      <c r="S115" s="148">
        <v>0</v>
      </c>
      <c r="T115" s="148">
        <v>0</v>
      </c>
      <c r="U115" s="148">
        <v>0</v>
      </c>
      <c r="V115" s="148">
        <v>0</v>
      </c>
      <c r="W115" s="148">
        <v>0</v>
      </c>
      <c r="X115" s="148">
        <v>0</v>
      </c>
      <c r="Y115" s="148">
        <v>0</v>
      </c>
      <c r="Z115" s="148">
        <v>0</v>
      </c>
      <c r="AA115" s="148">
        <v>0</v>
      </c>
      <c r="AB115" s="148">
        <v>0</v>
      </c>
      <c r="AC115" s="146">
        <f t="shared" si="6"/>
        <v>0</v>
      </c>
      <c r="AD115" s="146">
        <f t="shared" si="7"/>
        <v>0</v>
      </c>
      <c r="AE115" s="148">
        <v>0</v>
      </c>
      <c r="AF115" s="148">
        <v>0</v>
      </c>
      <c r="AG115" s="148">
        <v>0</v>
      </c>
      <c r="AH115" s="148">
        <v>0</v>
      </c>
      <c r="AI115" s="148">
        <v>0</v>
      </c>
      <c r="AJ115" s="148">
        <v>0</v>
      </c>
      <c r="AK115" s="148">
        <v>0</v>
      </c>
      <c r="AL115" s="148">
        <v>0</v>
      </c>
      <c r="AM115" s="148">
        <v>0</v>
      </c>
      <c r="AN115" s="148">
        <v>0</v>
      </c>
      <c r="AO115" s="148">
        <v>0</v>
      </c>
      <c r="AP115" s="146">
        <f t="shared" si="8"/>
        <v>0</v>
      </c>
      <c r="AQ115" s="146">
        <f t="shared" si="9"/>
        <v>0</v>
      </c>
      <c r="AR115" s="148">
        <v>0</v>
      </c>
      <c r="AS115" s="148">
        <v>0</v>
      </c>
      <c r="AT115" s="148">
        <v>0</v>
      </c>
      <c r="AU115" s="148">
        <v>0</v>
      </c>
      <c r="AV115" s="148">
        <v>0</v>
      </c>
      <c r="AW115" s="148">
        <v>0</v>
      </c>
      <c r="AX115" s="148">
        <v>0</v>
      </c>
      <c r="AY115" s="148">
        <v>0</v>
      </c>
      <c r="AZ115" s="148">
        <v>0</v>
      </c>
      <c r="BA115" s="148">
        <v>0</v>
      </c>
      <c r="BB115" s="148">
        <v>0</v>
      </c>
      <c r="BC115" s="148">
        <v>0</v>
      </c>
      <c r="BD115" s="148">
        <v>0</v>
      </c>
      <c r="BE115" s="148">
        <v>0</v>
      </c>
      <c r="BF115" s="148">
        <v>0</v>
      </c>
      <c r="BG115" s="148">
        <v>0</v>
      </c>
      <c r="BH115" s="148">
        <v>0</v>
      </c>
      <c r="BI115" s="148">
        <v>0</v>
      </c>
      <c r="BJ115" s="148">
        <v>0</v>
      </c>
      <c r="BK115" s="148">
        <v>0</v>
      </c>
      <c r="BL115" s="148">
        <v>0</v>
      </c>
      <c r="BM115" s="148">
        <v>0</v>
      </c>
      <c r="BN115" s="148">
        <v>0</v>
      </c>
      <c r="BO115" s="148">
        <v>0</v>
      </c>
      <c r="BP115" s="148">
        <v>0</v>
      </c>
      <c r="BQ115" s="148">
        <v>0</v>
      </c>
      <c r="BR115" s="148">
        <v>0</v>
      </c>
      <c r="BS115" s="148">
        <v>0</v>
      </c>
      <c r="BT115" s="148">
        <v>0</v>
      </c>
      <c r="BU115" s="148">
        <v>0</v>
      </c>
      <c r="BV115" s="148">
        <v>0</v>
      </c>
      <c r="BW115" s="148">
        <v>0</v>
      </c>
      <c r="BX115" s="148">
        <v>0</v>
      </c>
      <c r="BY115" s="148">
        <v>400237</v>
      </c>
      <c r="BZ115" s="148">
        <v>0</v>
      </c>
      <c r="CA115" s="148">
        <v>0</v>
      </c>
      <c r="CB115" s="148">
        <v>400237</v>
      </c>
      <c r="CC115" s="148">
        <v>400237</v>
      </c>
      <c r="CE115" s="148">
        <v>0</v>
      </c>
      <c r="CF115" s="148">
        <v>0</v>
      </c>
      <c r="CG115" s="166">
        <v>6800</v>
      </c>
    </row>
    <row r="116" spans="1:85" ht="8.25" customHeight="1" x14ac:dyDescent="0.2">
      <c r="A116" s="147">
        <v>69801</v>
      </c>
      <c r="B116" s="77" t="str">
        <f>IFERROR(INDEX(SCNtoISIC!$M:$M,MATCH($A116,SCNtoISIC!$J:$J,0)),0)</f>
        <v>ISIC 69T82</v>
      </c>
      <c r="C116" s="93" t="s">
        <v>502</v>
      </c>
      <c r="D116" s="148">
        <v>19</v>
      </c>
      <c r="E116" s="148">
        <v>10</v>
      </c>
      <c r="F116" s="148">
        <v>40</v>
      </c>
      <c r="G116" s="148">
        <v>508</v>
      </c>
      <c r="H116" s="148">
        <v>10214</v>
      </c>
      <c r="I116" s="148">
        <v>2915</v>
      </c>
      <c r="J116" s="148">
        <v>271</v>
      </c>
      <c r="K116" s="148">
        <v>4461</v>
      </c>
      <c r="L116" s="148">
        <v>797</v>
      </c>
      <c r="M116" s="148">
        <v>7454</v>
      </c>
      <c r="N116" s="148">
        <v>1893</v>
      </c>
      <c r="O116" s="148">
        <v>884</v>
      </c>
      <c r="P116" s="148">
        <v>350</v>
      </c>
      <c r="Q116" s="148">
        <v>297</v>
      </c>
      <c r="R116" s="148">
        <v>202</v>
      </c>
      <c r="S116" s="148">
        <v>256</v>
      </c>
      <c r="T116" s="148">
        <v>1800</v>
      </c>
      <c r="U116" s="148">
        <v>165</v>
      </c>
      <c r="V116" s="148">
        <v>5505</v>
      </c>
      <c r="W116" s="148">
        <v>589</v>
      </c>
      <c r="X116" s="148">
        <v>2967</v>
      </c>
      <c r="Y116" s="148">
        <v>3437</v>
      </c>
      <c r="Z116" s="148">
        <v>1454</v>
      </c>
      <c r="AA116" s="148">
        <v>4114</v>
      </c>
      <c r="AB116" s="148">
        <v>1587</v>
      </c>
      <c r="AC116" s="146">
        <f t="shared" si="6"/>
        <v>1305</v>
      </c>
      <c r="AD116" s="146">
        <f t="shared" si="7"/>
        <v>870</v>
      </c>
      <c r="AE116" s="148">
        <v>1727</v>
      </c>
      <c r="AF116" s="148">
        <v>426</v>
      </c>
      <c r="AG116" s="148">
        <v>804</v>
      </c>
      <c r="AH116" s="148">
        <v>2867</v>
      </c>
      <c r="AI116" s="148">
        <v>2512</v>
      </c>
      <c r="AJ116" s="148">
        <v>2154</v>
      </c>
      <c r="AK116" s="148">
        <v>2411</v>
      </c>
      <c r="AL116" s="148">
        <v>1132</v>
      </c>
      <c r="AM116" s="148">
        <v>420</v>
      </c>
      <c r="AN116" s="148">
        <v>477</v>
      </c>
      <c r="AO116" s="148">
        <v>617</v>
      </c>
      <c r="AP116" s="146">
        <f t="shared" si="8"/>
        <v>880.66666666666663</v>
      </c>
      <c r="AQ116" s="146">
        <f t="shared" si="9"/>
        <v>440.33333333333331</v>
      </c>
      <c r="AR116" s="148">
        <v>1111</v>
      </c>
      <c r="AS116" s="148">
        <v>4680</v>
      </c>
      <c r="AT116" s="148">
        <v>29428</v>
      </c>
      <c r="AU116" s="148">
        <v>2237</v>
      </c>
      <c r="AV116" s="148">
        <v>78</v>
      </c>
      <c r="AW116" s="148">
        <v>480</v>
      </c>
      <c r="AX116" s="148">
        <v>1799</v>
      </c>
      <c r="AY116" s="148">
        <v>234</v>
      </c>
      <c r="AZ116" s="148">
        <v>909</v>
      </c>
      <c r="BA116" s="148">
        <v>525</v>
      </c>
      <c r="BB116" s="148">
        <v>2549</v>
      </c>
      <c r="BC116" s="148">
        <v>3234</v>
      </c>
      <c r="BD116" s="148">
        <v>2789</v>
      </c>
      <c r="BE116" s="148">
        <v>16773</v>
      </c>
      <c r="BF116" s="148">
        <v>2187</v>
      </c>
      <c r="BG116" s="148">
        <v>17054</v>
      </c>
      <c r="BH116" s="148">
        <v>4649</v>
      </c>
      <c r="BI116" s="148">
        <v>366</v>
      </c>
      <c r="BJ116" s="148">
        <v>845</v>
      </c>
      <c r="BK116" s="148">
        <v>3444</v>
      </c>
      <c r="BL116" s="148">
        <v>1304</v>
      </c>
      <c r="BM116" s="148">
        <v>4172</v>
      </c>
      <c r="BN116" s="148">
        <v>152</v>
      </c>
      <c r="BO116" s="148">
        <v>1994</v>
      </c>
      <c r="BP116" s="148">
        <v>348</v>
      </c>
      <c r="BQ116" s="148">
        <v>2203</v>
      </c>
      <c r="BR116" s="148">
        <v>1076</v>
      </c>
      <c r="BS116" s="148">
        <v>3275</v>
      </c>
      <c r="BT116" s="148">
        <v>0</v>
      </c>
      <c r="BU116" s="148">
        <v>181127</v>
      </c>
      <c r="BV116" s="148">
        <v>14261</v>
      </c>
      <c r="BW116" s="148">
        <v>0</v>
      </c>
      <c r="BX116" s="148">
        <v>0</v>
      </c>
      <c r="BY116" s="148">
        <v>14606</v>
      </c>
      <c r="BZ116" s="148">
        <v>0</v>
      </c>
      <c r="CA116" s="148">
        <v>0</v>
      </c>
      <c r="CB116" s="148">
        <v>28867</v>
      </c>
      <c r="CC116" s="148">
        <v>209994</v>
      </c>
      <c r="CE116" s="148">
        <v>2175</v>
      </c>
      <c r="CF116" s="148">
        <v>1321</v>
      </c>
      <c r="CG116" s="166">
        <v>6980</v>
      </c>
    </row>
    <row r="117" spans="1:85" ht="8.25" customHeight="1" x14ac:dyDescent="0.2">
      <c r="A117" s="151">
        <v>71801</v>
      </c>
      <c r="B117" s="77" t="str">
        <f>IFERROR(INDEX(SCNtoISIC!$M:$M,MATCH($A117,SCNtoISIC!$J:$J,0)),0)</f>
        <v>ISIC 69T82</v>
      </c>
      <c r="C117" s="142" t="s">
        <v>503</v>
      </c>
      <c r="D117" s="148">
        <v>0</v>
      </c>
      <c r="E117" s="148">
        <v>0</v>
      </c>
      <c r="F117" s="148">
        <v>0</v>
      </c>
      <c r="G117" s="148">
        <v>1</v>
      </c>
      <c r="H117" s="148">
        <v>0</v>
      </c>
      <c r="I117" s="148">
        <v>103</v>
      </c>
      <c r="J117" s="148">
        <v>0</v>
      </c>
      <c r="K117" s="148">
        <v>89</v>
      </c>
      <c r="L117" s="148">
        <v>11</v>
      </c>
      <c r="M117" s="148">
        <v>50</v>
      </c>
      <c r="N117" s="148">
        <v>93</v>
      </c>
      <c r="O117" s="148">
        <v>19</v>
      </c>
      <c r="P117" s="148">
        <v>0</v>
      </c>
      <c r="Q117" s="148">
        <v>17</v>
      </c>
      <c r="R117" s="148">
        <v>27</v>
      </c>
      <c r="S117" s="148">
        <v>11</v>
      </c>
      <c r="T117" s="148">
        <v>35</v>
      </c>
      <c r="U117" s="148">
        <v>1</v>
      </c>
      <c r="V117" s="148">
        <v>0</v>
      </c>
      <c r="W117" s="148">
        <v>0</v>
      </c>
      <c r="X117" s="148">
        <v>107</v>
      </c>
      <c r="Y117" s="148">
        <v>29</v>
      </c>
      <c r="Z117" s="148">
        <v>80</v>
      </c>
      <c r="AA117" s="148">
        <v>240</v>
      </c>
      <c r="AB117" s="148">
        <v>38</v>
      </c>
      <c r="AC117" s="146">
        <f t="shared" si="6"/>
        <v>19.2</v>
      </c>
      <c r="AD117" s="146">
        <f t="shared" si="7"/>
        <v>12.8</v>
      </c>
      <c r="AE117" s="148">
        <v>31</v>
      </c>
      <c r="AF117" s="148">
        <v>109</v>
      </c>
      <c r="AG117" s="148">
        <v>10</v>
      </c>
      <c r="AH117" s="148">
        <v>50</v>
      </c>
      <c r="AI117" s="148">
        <v>150</v>
      </c>
      <c r="AJ117" s="148">
        <v>117</v>
      </c>
      <c r="AK117" s="148">
        <v>238</v>
      </c>
      <c r="AL117" s="148">
        <v>123</v>
      </c>
      <c r="AM117" s="148">
        <v>34</v>
      </c>
      <c r="AN117" s="148">
        <v>26</v>
      </c>
      <c r="AO117" s="148">
        <v>1</v>
      </c>
      <c r="AP117" s="146">
        <f t="shared" si="8"/>
        <v>80.666666666666657</v>
      </c>
      <c r="AQ117" s="146">
        <f t="shared" si="9"/>
        <v>40.333333333333329</v>
      </c>
      <c r="AR117" s="148">
        <v>11</v>
      </c>
      <c r="AS117" s="148">
        <v>26</v>
      </c>
      <c r="AT117" s="148">
        <v>165</v>
      </c>
      <c r="AU117" s="148">
        <v>0</v>
      </c>
      <c r="AV117" s="148">
        <v>0</v>
      </c>
      <c r="AW117" s="148">
        <v>0</v>
      </c>
      <c r="AX117" s="148">
        <v>0</v>
      </c>
      <c r="AY117" s="148">
        <v>0</v>
      </c>
      <c r="AZ117" s="148">
        <v>0</v>
      </c>
      <c r="BA117" s="148">
        <v>2</v>
      </c>
      <c r="BB117" s="148">
        <v>0</v>
      </c>
      <c r="BC117" s="148">
        <v>90</v>
      </c>
      <c r="BD117" s="148">
        <v>76</v>
      </c>
      <c r="BE117" s="148">
        <v>9</v>
      </c>
      <c r="BF117" s="148">
        <v>0</v>
      </c>
      <c r="BG117" s="148">
        <v>0</v>
      </c>
      <c r="BH117" s="148">
        <v>692</v>
      </c>
      <c r="BI117" s="148">
        <v>0</v>
      </c>
      <c r="BJ117" s="148">
        <v>34</v>
      </c>
      <c r="BK117" s="148">
        <v>4</v>
      </c>
      <c r="BL117" s="148">
        <v>0</v>
      </c>
      <c r="BM117" s="148">
        <v>0</v>
      </c>
      <c r="BN117" s="148">
        <v>0</v>
      </c>
      <c r="BO117" s="148">
        <v>1</v>
      </c>
      <c r="BP117" s="148">
        <v>0</v>
      </c>
      <c r="BQ117" s="148">
        <v>12</v>
      </c>
      <c r="BR117" s="148">
        <v>0</v>
      </c>
      <c r="BS117" s="148">
        <v>0</v>
      </c>
      <c r="BT117" s="148">
        <v>0</v>
      </c>
      <c r="BU117" s="148">
        <v>3115</v>
      </c>
      <c r="BV117" s="148">
        <v>0</v>
      </c>
      <c r="BW117" s="148">
        <v>0</v>
      </c>
      <c r="BX117" s="148">
        <v>0</v>
      </c>
      <c r="BY117" s="148">
        <v>0</v>
      </c>
      <c r="BZ117" s="148">
        <v>47608</v>
      </c>
      <c r="CA117" s="148">
        <v>0</v>
      </c>
      <c r="CB117" s="148">
        <v>47608</v>
      </c>
      <c r="CC117" s="148">
        <v>50723</v>
      </c>
      <c r="CE117" s="148">
        <v>32</v>
      </c>
      <c r="CF117" s="148">
        <v>121</v>
      </c>
      <c r="CG117" s="168">
        <v>7180</v>
      </c>
    </row>
    <row r="118" spans="1:85" ht="8.25" customHeight="1" x14ac:dyDescent="0.2">
      <c r="A118" s="143">
        <v>71802</v>
      </c>
      <c r="B118" s="77" t="str">
        <f>IFERROR(INDEX(SCNtoISIC!$M:$M,MATCH($A118,SCNtoISIC!$J:$J,0)),0)</f>
        <v>ISIC 69T82</v>
      </c>
      <c r="C118" s="144" t="s">
        <v>505</v>
      </c>
      <c r="D118" s="145">
        <v>788</v>
      </c>
      <c r="E118" s="145">
        <v>24</v>
      </c>
      <c r="F118" s="145">
        <v>0</v>
      </c>
      <c r="G118" s="145">
        <v>75</v>
      </c>
      <c r="H118" s="145">
        <v>2592</v>
      </c>
      <c r="I118" s="145">
        <v>389</v>
      </c>
      <c r="J118" s="145">
        <v>197</v>
      </c>
      <c r="K118" s="145">
        <v>1457</v>
      </c>
      <c r="L118" s="145">
        <v>367</v>
      </c>
      <c r="M118" s="145">
        <v>1375</v>
      </c>
      <c r="N118" s="145">
        <v>285</v>
      </c>
      <c r="O118" s="145">
        <v>151</v>
      </c>
      <c r="P118" s="145">
        <v>87</v>
      </c>
      <c r="Q118" s="145">
        <v>234</v>
      </c>
      <c r="R118" s="145">
        <v>153</v>
      </c>
      <c r="S118" s="145">
        <v>52</v>
      </c>
      <c r="T118" s="145">
        <v>641</v>
      </c>
      <c r="U118" s="145">
        <v>54</v>
      </c>
      <c r="V118" s="145">
        <v>216</v>
      </c>
      <c r="W118" s="145">
        <v>333</v>
      </c>
      <c r="X118" s="145">
        <v>872</v>
      </c>
      <c r="Y118" s="145">
        <v>763</v>
      </c>
      <c r="Z118" s="145">
        <v>529</v>
      </c>
      <c r="AA118" s="145">
        <v>1221</v>
      </c>
      <c r="AB118" s="145">
        <v>1071</v>
      </c>
      <c r="AC118" s="146">
        <f t="shared" si="6"/>
        <v>474</v>
      </c>
      <c r="AD118" s="146">
        <f t="shared" si="7"/>
        <v>316</v>
      </c>
      <c r="AE118" s="145">
        <v>510</v>
      </c>
      <c r="AF118" s="145">
        <v>338</v>
      </c>
      <c r="AG118" s="145">
        <v>577</v>
      </c>
      <c r="AH118" s="145">
        <v>909</v>
      </c>
      <c r="AI118" s="145">
        <v>501</v>
      </c>
      <c r="AJ118" s="145">
        <v>2018</v>
      </c>
      <c r="AK118" s="145">
        <v>2190</v>
      </c>
      <c r="AL118" s="145">
        <v>775</v>
      </c>
      <c r="AM118" s="145">
        <v>339</v>
      </c>
      <c r="AN118" s="145">
        <v>348</v>
      </c>
      <c r="AO118" s="145">
        <v>282</v>
      </c>
      <c r="AP118" s="146">
        <f t="shared" si="8"/>
        <v>3082.6666666666665</v>
      </c>
      <c r="AQ118" s="146">
        <f t="shared" si="9"/>
        <v>1541.3333333333333</v>
      </c>
      <c r="AR118" s="145">
        <v>602</v>
      </c>
      <c r="AS118" s="145">
        <v>4631</v>
      </c>
      <c r="AT118" s="145">
        <v>2112</v>
      </c>
      <c r="AU118" s="145">
        <v>472</v>
      </c>
      <c r="AV118" s="145">
        <v>19</v>
      </c>
      <c r="AW118" s="145">
        <v>0</v>
      </c>
      <c r="AX118" s="145">
        <v>5911</v>
      </c>
      <c r="AY118" s="145">
        <v>9</v>
      </c>
      <c r="AZ118" s="145">
        <v>0</v>
      </c>
      <c r="BA118" s="145">
        <v>0</v>
      </c>
      <c r="BB118" s="145">
        <v>0</v>
      </c>
      <c r="BC118" s="145">
        <v>9</v>
      </c>
      <c r="BD118" s="145">
        <v>449</v>
      </c>
      <c r="BE118" s="145">
        <v>1023</v>
      </c>
      <c r="BF118" s="145">
        <v>22</v>
      </c>
      <c r="BG118" s="145">
        <v>0</v>
      </c>
      <c r="BH118" s="145">
        <v>4306</v>
      </c>
      <c r="BI118" s="145">
        <v>0</v>
      </c>
      <c r="BJ118" s="145">
        <v>96</v>
      </c>
      <c r="BK118" s="145">
        <v>28</v>
      </c>
      <c r="BL118" s="145">
        <v>0</v>
      </c>
      <c r="BM118" s="145">
        <v>5316</v>
      </c>
      <c r="BN118" s="145">
        <v>1795</v>
      </c>
      <c r="BO118" s="145">
        <v>139</v>
      </c>
      <c r="BP118" s="145">
        <v>2031</v>
      </c>
      <c r="BQ118" s="145">
        <v>0</v>
      </c>
      <c r="BR118" s="145">
        <v>0</v>
      </c>
      <c r="BS118" s="145">
        <v>0</v>
      </c>
      <c r="BT118" s="145">
        <v>0</v>
      </c>
      <c r="BU118" s="145">
        <v>57097</v>
      </c>
      <c r="BV118" s="145">
        <v>15544</v>
      </c>
      <c r="BW118" s="145">
        <v>0</v>
      </c>
      <c r="BX118" s="145">
        <v>0</v>
      </c>
      <c r="BY118" s="145">
        <v>613</v>
      </c>
      <c r="BZ118" s="145">
        <v>3514</v>
      </c>
      <c r="CA118" s="145">
        <v>0</v>
      </c>
      <c r="CB118" s="145">
        <v>19671</v>
      </c>
      <c r="CC118" s="145">
        <v>76768</v>
      </c>
      <c r="CE118" s="145">
        <v>790</v>
      </c>
      <c r="CF118" s="145">
        <v>4624</v>
      </c>
      <c r="CG118" s="165">
        <v>7180</v>
      </c>
    </row>
    <row r="119" spans="1:85" ht="8.25" customHeight="1" x14ac:dyDescent="0.2">
      <c r="A119" s="143">
        <v>73801</v>
      </c>
      <c r="B119" s="77" t="str">
        <f>IFERROR(INDEX(SCNtoISIC!$M:$M,MATCH($A119,SCNtoISIC!$J:$J,0)),0)</f>
        <v>ISIC 69T82</v>
      </c>
      <c r="C119" s="144" t="s">
        <v>507</v>
      </c>
      <c r="D119" s="145">
        <v>16</v>
      </c>
      <c r="E119" s="145">
        <v>489</v>
      </c>
      <c r="F119" s="145">
        <v>113</v>
      </c>
      <c r="G119" s="145">
        <v>43</v>
      </c>
      <c r="H119" s="145">
        <v>648</v>
      </c>
      <c r="I119" s="145">
        <v>9</v>
      </c>
      <c r="J119" s="145">
        <v>1</v>
      </c>
      <c r="K119" s="145">
        <v>2694</v>
      </c>
      <c r="L119" s="145">
        <v>166</v>
      </c>
      <c r="M119" s="145">
        <v>4226</v>
      </c>
      <c r="N119" s="145">
        <v>6406</v>
      </c>
      <c r="O119" s="145">
        <v>314</v>
      </c>
      <c r="P119" s="145">
        <v>115</v>
      </c>
      <c r="Q119" s="145">
        <v>518</v>
      </c>
      <c r="R119" s="145">
        <v>1064</v>
      </c>
      <c r="S119" s="145">
        <v>39</v>
      </c>
      <c r="T119" s="145">
        <v>682</v>
      </c>
      <c r="U119" s="145">
        <v>81</v>
      </c>
      <c r="V119" s="145">
        <v>265</v>
      </c>
      <c r="W119" s="145">
        <v>106</v>
      </c>
      <c r="X119" s="145">
        <v>134</v>
      </c>
      <c r="Y119" s="145">
        <v>617</v>
      </c>
      <c r="Z119" s="145">
        <v>1556</v>
      </c>
      <c r="AA119" s="145">
        <v>2481</v>
      </c>
      <c r="AB119" s="145">
        <v>571</v>
      </c>
      <c r="AC119" s="146">
        <f t="shared" si="6"/>
        <v>217.2</v>
      </c>
      <c r="AD119" s="146">
        <f t="shared" si="7"/>
        <v>144.80000000000001</v>
      </c>
      <c r="AE119" s="145">
        <v>252</v>
      </c>
      <c r="AF119" s="145">
        <v>23</v>
      </c>
      <c r="AG119" s="145">
        <v>621</v>
      </c>
      <c r="AH119" s="145">
        <v>1785</v>
      </c>
      <c r="AI119" s="145">
        <v>846</v>
      </c>
      <c r="AJ119" s="145">
        <v>588</v>
      </c>
      <c r="AK119" s="145">
        <v>5306</v>
      </c>
      <c r="AL119" s="145">
        <v>166</v>
      </c>
      <c r="AM119" s="145">
        <v>389</v>
      </c>
      <c r="AN119" s="145">
        <v>557</v>
      </c>
      <c r="AO119" s="145">
        <v>138</v>
      </c>
      <c r="AP119" s="146">
        <f t="shared" si="8"/>
        <v>2826.6666666666665</v>
      </c>
      <c r="AQ119" s="146">
        <f t="shared" si="9"/>
        <v>1413.3333333333333</v>
      </c>
      <c r="AR119" s="145">
        <v>227</v>
      </c>
      <c r="AS119" s="145">
        <v>2349</v>
      </c>
      <c r="AT119" s="145">
        <v>24831</v>
      </c>
      <c r="AU119" s="145">
        <v>753</v>
      </c>
      <c r="AV119" s="145">
        <v>45</v>
      </c>
      <c r="AW119" s="145">
        <v>286</v>
      </c>
      <c r="AX119" s="145">
        <v>1332</v>
      </c>
      <c r="AY119" s="145">
        <v>388</v>
      </c>
      <c r="AZ119" s="145">
        <v>901</v>
      </c>
      <c r="BA119" s="145">
        <v>1190</v>
      </c>
      <c r="BB119" s="145">
        <v>2340</v>
      </c>
      <c r="BC119" s="145">
        <v>4464</v>
      </c>
      <c r="BD119" s="145">
        <v>1996</v>
      </c>
      <c r="BE119" s="145">
        <v>14457</v>
      </c>
      <c r="BF119" s="145">
        <v>1085</v>
      </c>
      <c r="BG119" s="145">
        <v>5534</v>
      </c>
      <c r="BH119" s="145">
        <v>492</v>
      </c>
      <c r="BI119" s="145">
        <v>2105</v>
      </c>
      <c r="BJ119" s="145">
        <v>1226</v>
      </c>
      <c r="BK119" s="145">
        <v>1759</v>
      </c>
      <c r="BL119" s="145">
        <v>214</v>
      </c>
      <c r="BM119" s="145">
        <v>4409</v>
      </c>
      <c r="BN119" s="145">
        <v>815</v>
      </c>
      <c r="BO119" s="145">
        <v>3162</v>
      </c>
      <c r="BP119" s="145">
        <v>1321</v>
      </c>
      <c r="BQ119" s="145">
        <v>47</v>
      </c>
      <c r="BR119" s="145">
        <v>1916</v>
      </c>
      <c r="BS119" s="145">
        <v>1986</v>
      </c>
      <c r="BT119" s="145">
        <v>0</v>
      </c>
      <c r="BU119" s="145">
        <v>120257</v>
      </c>
      <c r="BV119" s="145">
        <v>2937</v>
      </c>
      <c r="BW119" s="145">
        <v>0</v>
      </c>
      <c r="BX119" s="145">
        <v>0</v>
      </c>
      <c r="BY119" s="145">
        <v>1658</v>
      </c>
      <c r="BZ119" s="145">
        <v>0</v>
      </c>
      <c r="CA119" s="145">
        <v>0</v>
      </c>
      <c r="CB119" s="145">
        <v>4595</v>
      </c>
      <c r="CC119" s="145">
        <v>124852</v>
      </c>
      <c r="CE119" s="145">
        <v>362</v>
      </c>
      <c r="CF119" s="145">
        <v>4240</v>
      </c>
      <c r="CG119" s="165">
        <v>7380</v>
      </c>
    </row>
    <row r="120" spans="1:85" ht="8.25" customHeight="1" x14ac:dyDescent="0.2">
      <c r="A120" s="143">
        <v>77001</v>
      </c>
      <c r="B120" s="77" t="str">
        <f>IFERROR(INDEX(SCNtoISIC!$M:$M,MATCH($A120,SCNtoISIC!$J:$J,0)),0)</f>
        <v>ISIC 69T82</v>
      </c>
      <c r="C120" s="144" t="s">
        <v>275</v>
      </c>
      <c r="D120" s="145">
        <v>520</v>
      </c>
      <c r="E120" s="145">
        <v>83</v>
      </c>
      <c r="F120" s="145">
        <v>121</v>
      </c>
      <c r="G120" s="145">
        <v>336</v>
      </c>
      <c r="H120" s="145">
        <v>15864</v>
      </c>
      <c r="I120" s="145">
        <v>1821</v>
      </c>
      <c r="J120" s="145">
        <v>440</v>
      </c>
      <c r="K120" s="145">
        <v>569</v>
      </c>
      <c r="L120" s="145">
        <v>537</v>
      </c>
      <c r="M120" s="145">
        <v>1870</v>
      </c>
      <c r="N120" s="145">
        <v>679</v>
      </c>
      <c r="O120" s="145">
        <v>72</v>
      </c>
      <c r="P120" s="145">
        <v>76</v>
      </c>
      <c r="Q120" s="145">
        <v>168</v>
      </c>
      <c r="R120" s="145">
        <v>117</v>
      </c>
      <c r="S120" s="145">
        <v>191</v>
      </c>
      <c r="T120" s="145">
        <v>1145</v>
      </c>
      <c r="U120" s="145">
        <v>235</v>
      </c>
      <c r="V120" s="145">
        <v>772</v>
      </c>
      <c r="W120" s="145">
        <v>105</v>
      </c>
      <c r="X120" s="145">
        <v>645</v>
      </c>
      <c r="Y120" s="145">
        <v>777</v>
      </c>
      <c r="Z120" s="145">
        <v>148</v>
      </c>
      <c r="AA120" s="145">
        <v>321</v>
      </c>
      <c r="AB120" s="145">
        <v>938</v>
      </c>
      <c r="AC120" s="146">
        <f t="shared" si="6"/>
        <v>354.59999999999997</v>
      </c>
      <c r="AD120" s="146">
        <f t="shared" si="7"/>
        <v>236.4</v>
      </c>
      <c r="AE120" s="145">
        <v>744</v>
      </c>
      <c r="AF120" s="145">
        <v>335</v>
      </c>
      <c r="AG120" s="145">
        <v>1188</v>
      </c>
      <c r="AH120" s="145">
        <v>955</v>
      </c>
      <c r="AI120" s="145">
        <v>369</v>
      </c>
      <c r="AJ120" s="145">
        <v>1089</v>
      </c>
      <c r="AK120" s="145">
        <v>2635</v>
      </c>
      <c r="AL120" s="145">
        <v>800</v>
      </c>
      <c r="AM120" s="145">
        <v>1072</v>
      </c>
      <c r="AN120" s="145">
        <v>390</v>
      </c>
      <c r="AO120" s="145">
        <v>617</v>
      </c>
      <c r="AP120" s="146">
        <f t="shared" si="8"/>
        <v>977.33333333333326</v>
      </c>
      <c r="AQ120" s="146">
        <f t="shared" si="9"/>
        <v>488.66666666666663</v>
      </c>
      <c r="AR120" s="145">
        <v>2171</v>
      </c>
      <c r="AS120" s="145">
        <v>7157</v>
      </c>
      <c r="AT120" s="145">
        <v>14511</v>
      </c>
      <c r="AU120" s="145">
        <v>6230</v>
      </c>
      <c r="AV120" s="145">
        <v>1537</v>
      </c>
      <c r="AW120" s="145">
        <v>4850</v>
      </c>
      <c r="AX120" s="145">
        <v>3142</v>
      </c>
      <c r="AY120" s="145">
        <v>221</v>
      </c>
      <c r="AZ120" s="145">
        <v>1823</v>
      </c>
      <c r="BA120" s="145">
        <v>1314</v>
      </c>
      <c r="BB120" s="145">
        <v>1836</v>
      </c>
      <c r="BC120" s="145">
        <v>8142</v>
      </c>
      <c r="BD120" s="145">
        <v>4123</v>
      </c>
      <c r="BE120" s="145">
        <v>2814</v>
      </c>
      <c r="BF120" s="145">
        <v>359</v>
      </c>
      <c r="BG120" s="145">
        <v>1195</v>
      </c>
      <c r="BH120" s="145">
        <v>1571</v>
      </c>
      <c r="BI120" s="145">
        <v>410</v>
      </c>
      <c r="BJ120" s="145">
        <v>2653</v>
      </c>
      <c r="BK120" s="145">
        <v>1557</v>
      </c>
      <c r="BL120" s="145">
        <v>496</v>
      </c>
      <c r="BM120" s="145">
        <v>4812</v>
      </c>
      <c r="BN120" s="145">
        <v>1811</v>
      </c>
      <c r="BO120" s="145">
        <v>3550</v>
      </c>
      <c r="BP120" s="145">
        <v>2320</v>
      </c>
      <c r="BQ120" s="145">
        <v>1224</v>
      </c>
      <c r="BR120" s="145">
        <v>828</v>
      </c>
      <c r="BS120" s="145">
        <v>356</v>
      </c>
      <c r="BT120" s="145">
        <v>0</v>
      </c>
      <c r="BU120" s="145">
        <v>123814</v>
      </c>
      <c r="BV120" s="145">
        <v>4015</v>
      </c>
      <c r="BW120" s="145">
        <v>0</v>
      </c>
      <c r="BX120" s="145">
        <v>0</v>
      </c>
      <c r="BY120" s="145">
        <v>4708</v>
      </c>
      <c r="BZ120" s="145">
        <v>0</v>
      </c>
      <c r="CA120" s="145">
        <v>0</v>
      </c>
      <c r="CB120" s="145">
        <v>8723</v>
      </c>
      <c r="CC120" s="145">
        <v>132537</v>
      </c>
      <c r="CE120" s="145">
        <v>591</v>
      </c>
      <c r="CF120" s="145">
        <v>1466</v>
      </c>
      <c r="CG120" s="165">
        <v>7700</v>
      </c>
    </row>
    <row r="121" spans="1:85" ht="8.25" customHeight="1" x14ac:dyDescent="0.2">
      <c r="A121" s="143">
        <v>78801</v>
      </c>
      <c r="B121" s="77" t="str">
        <f>IFERROR(INDEX(SCNtoISIC!$M:$M,MATCH($A121,SCNtoISIC!$J:$J,0)),0)</f>
        <v>ISIC 69T82</v>
      </c>
      <c r="C121" s="144" t="s">
        <v>510</v>
      </c>
      <c r="D121" s="145">
        <v>25</v>
      </c>
      <c r="E121" s="145">
        <v>15</v>
      </c>
      <c r="F121" s="145">
        <v>12</v>
      </c>
      <c r="G121" s="145">
        <v>12</v>
      </c>
      <c r="H121" s="145">
        <v>496</v>
      </c>
      <c r="I121" s="145">
        <v>155</v>
      </c>
      <c r="J121" s="145">
        <v>43</v>
      </c>
      <c r="K121" s="145">
        <v>396</v>
      </c>
      <c r="L121" s="145">
        <v>273</v>
      </c>
      <c r="M121" s="145">
        <v>477</v>
      </c>
      <c r="N121" s="145">
        <v>193</v>
      </c>
      <c r="O121" s="145">
        <v>39</v>
      </c>
      <c r="P121" s="145">
        <v>65</v>
      </c>
      <c r="Q121" s="145">
        <v>40</v>
      </c>
      <c r="R121" s="145">
        <v>61</v>
      </c>
      <c r="S121" s="145">
        <v>33</v>
      </c>
      <c r="T121" s="145">
        <v>544</v>
      </c>
      <c r="U121" s="145">
        <v>26</v>
      </c>
      <c r="V121" s="145">
        <v>207</v>
      </c>
      <c r="W121" s="145">
        <v>404</v>
      </c>
      <c r="X121" s="145">
        <v>231</v>
      </c>
      <c r="Y121" s="145">
        <v>563</v>
      </c>
      <c r="Z121" s="145">
        <v>154</v>
      </c>
      <c r="AA121" s="145">
        <v>416</v>
      </c>
      <c r="AB121" s="145">
        <v>552</v>
      </c>
      <c r="AC121" s="146">
        <f t="shared" si="6"/>
        <v>115.19999999999999</v>
      </c>
      <c r="AD121" s="146">
        <f t="shared" si="7"/>
        <v>76.800000000000011</v>
      </c>
      <c r="AE121" s="145">
        <v>216</v>
      </c>
      <c r="AF121" s="145">
        <v>98</v>
      </c>
      <c r="AG121" s="145">
        <v>212</v>
      </c>
      <c r="AH121" s="145">
        <v>174</v>
      </c>
      <c r="AI121" s="145">
        <v>209</v>
      </c>
      <c r="AJ121" s="145">
        <v>402</v>
      </c>
      <c r="AK121" s="145">
        <v>884</v>
      </c>
      <c r="AL121" s="145">
        <v>163</v>
      </c>
      <c r="AM121" s="145">
        <v>159</v>
      </c>
      <c r="AN121" s="145">
        <v>168</v>
      </c>
      <c r="AO121" s="145">
        <v>62</v>
      </c>
      <c r="AP121" s="146">
        <f t="shared" si="8"/>
        <v>640</v>
      </c>
      <c r="AQ121" s="146">
        <f t="shared" si="9"/>
        <v>320</v>
      </c>
      <c r="AR121" s="145">
        <v>260</v>
      </c>
      <c r="AS121" s="145">
        <v>1339</v>
      </c>
      <c r="AT121" s="145">
        <v>9217</v>
      </c>
      <c r="AU121" s="145">
        <v>936</v>
      </c>
      <c r="AV121" s="145">
        <v>5</v>
      </c>
      <c r="AW121" s="145">
        <v>434</v>
      </c>
      <c r="AX121" s="145">
        <v>1693</v>
      </c>
      <c r="AY121" s="145">
        <v>227</v>
      </c>
      <c r="AZ121" s="145">
        <v>1022</v>
      </c>
      <c r="BA121" s="145">
        <v>100</v>
      </c>
      <c r="BB121" s="145">
        <v>666</v>
      </c>
      <c r="BC121" s="145">
        <v>1466</v>
      </c>
      <c r="BD121" s="145">
        <v>1417</v>
      </c>
      <c r="BE121" s="145">
        <v>3818</v>
      </c>
      <c r="BF121" s="145">
        <v>850</v>
      </c>
      <c r="BG121" s="145">
        <v>1867</v>
      </c>
      <c r="BH121" s="145">
        <v>225</v>
      </c>
      <c r="BI121" s="145">
        <v>210</v>
      </c>
      <c r="BJ121" s="145">
        <v>195</v>
      </c>
      <c r="BK121" s="145">
        <v>2814</v>
      </c>
      <c r="BL121" s="145">
        <v>75</v>
      </c>
      <c r="BM121" s="145">
        <v>7088</v>
      </c>
      <c r="BN121" s="145">
        <v>4700</v>
      </c>
      <c r="BO121" s="145">
        <v>1667</v>
      </c>
      <c r="BP121" s="145">
        <v>2930</v>
      </c>
      <c r="BQ121" s="145">
        <v>1988</v>
      </c>
      <c r="BR121" s="145">
        <v>639</v>
      </c>
      <c r="BS121" s="145">
        <v>1789</v>
      </c>
      <c r="BT121" s="145">
        <v>0</v>
      </c>
      <c r="BU121" s="145">
        <v>58968</v>
      </c>
      <c r="BV121" s="145">
        <v>4283</v>
      </c>
      <c r="BW121" s="145">
        <v>0</v>
      </c>
      <c r="BX121" s="145">
        <v>27650</v>
      </c>
      <c r="BY121" s="145">
        <v>2308</v>
      </c>
      <c r="BZ121" s="145">
        <v>0</v>
      </c>
      <c r="CA121" s="145">
        <v>0</v>
      </c>
      <c r="CB121" s="145">
        <v>34241</v>
      </c>
      <c r="CC121" s="145">
        <v>93209</v>
      </c>
      <c r="CE121" s="145">
        <v>192</v>
      </c>
      <c r="CF121" s="145">
        <v>960</v>
      </c>
      <c r="CG121" s="165">
        <v>7880</v>
      </c>
    </row>
    <row r="122" spans="1:85" ht="8.25" customHeight="1" x14ac:dyDescent="0.2">
      <c r="A122" s="143">
        <v>78802</v>
      </c>
      <c r="B122" s="77" t="str">
        <f>IFERROR(INDEX(SCNtoISIC!$M:$M,MATCH($A122,SCNtoISIC!$J:$J,0)),0)</f>
        <v>ISIC 69T82</v>
      </c>
      <c r="C122" s="144" t="s">
        <v>512</v>
      </c>
      <c r="D122" s="145">
        <v>3</v>
      </c>
      <c r="E122" s="145">
        <v>1</v>
      </c>
      <c r="F122" s="145">
        <v>17</v>
      </c>
      <c r="G122" s="145">
        <v>431</v>
      </c>
      <c r="H122" s="145">
        <v>247</v>
      </c>
      <c r="I122" s="145">
        <v>242</v>
      </c>
      <c r="J122" s="145">
        <v>141</v>
      </c>
      <c r="K122" s="145">
        <v>315</v>
      </c>
      <c r="L122" s="145">
        <v>129</v>
      </c>
      <c r="M122" s="145">
        <v>668</v>
      </c>
      <c r="N122" s="145">
        <v>789</v>
      </c>
      <c r="O122" s="145">
        <v>90</v>
      </c>
      <c r="P122" s="145">
        <v>124</v>
      </c>
      <c r="Q122" s="145">
        <v>128</v>
      </c>
      <c r="R122" s="145">
        <v>172</v>
      </c>
      <c r="S122" s="145">
        <v>11</v>
      </c>
      <c r="T122" s="145">
        <v>61</v>
      </c>
      <c r="U122" s="145">
        <v>8</v>
      </c>
      <c r="V122" s="145">
        <v>28</v>
      </c>
      <c r="W122" s="145">
        <v>21</v>
      </c>
      <c r="X122" s="145">
        <v>251</v>
      </c>
      <c r="Y122" s="145">
        <v>232</v>
      </c>
      <c r="Z122" s="145">
        <v>204</v>
      </c>
      <c r="AA122" s="145">
        <v>764</v>
      </c>
      <c r="AB122" s="145">
        <v>74</v>
      </c>
      <c r="AC122" s="146">
        <f t="shared" si="6"/>
        <v>367.8</v>
      </c>
      <c r="AD122" s="146">
        <f t="shared" si="7"/>
        <v>245.20000000000002</v>
      </c>
      <c r="AE122" s="145">
        <v>276</v>
      </c>
      <c r="AF122" s="145">
        <v>374</v>
      </c>
      <c r="AG122" s="145">
        <v>449</v>
      </c>
      <c r="AH122" s="145">
        <v>723</v>
      </c>
      <c r="AI122" s="145">
        <v>443</v>
      </c>
      <c r="AJ122" s="145">
        <v>1312</v>
      </c>
      <c r="AK122" s="145">
        <v>413</v>
      </c>
      <c r="AL122" s="145">
        <v>149</v>
      </c>
      <c r="AM122" s="145">
        <v>66</v>
      </c>
      <c r="AN122" s="145">
        <v>112</v>
      </c>
      <c r="AO122" s="145">
        <v>345</v>
      </c>
      <c r="AP122" s="146">
        <f t="shared" si="8"/>
        <v>1454.6666666666665</v>
      </c>
      <c r="AQ122" s="146">
        <f t="shared" si="9"/>
        <v>727.33333333333326</v>
      </c>
      <c r="AR122" s="145">
        <v>69</v>
      </c>
      <c r="AS122" s="145">
        <v>872</v>
      </c>
      <c r="AT122" s="145">
        <v>18846</v>
      </c>
      <c r="AU122" s="145">
        <v>761</v>
      </c>
      <c r="AV122" s="145">
        <v>92</v>
      </c>
      <c r="AW122" s="145">
        <v>491</v>
      </c>
      <c r="AX122" s="145">
        <v>1084</v>
      </c>
      <c r="AY122" s="145">
        <v>614</v>
      </c>
      <c r="AZ122" s="145">
        <v>603</v>
      </c>
      <c r="BA122" s="145">
        <v>179</v>
      </c>
      <c r="BB122" s="145">
        <v>198</v>
      </c>
      <c r="BC122" s="145">
        <v>14928</v>
      </c>
      <c r="BD122" s="145">
        <v>3854</v>
      </c>
      <c r="BE122" s="145">
        <v>17146</v>
      </c>
      <c r="BF122" s="145">
        <v>313</v>
      </c>
      <c r="BG122" s="145">
        <v>1972</v>
      </c>
      <c r="BH122" s="145">
        <v>362</v>
      </c>
      <c r="BI122" s="145">
        <v>408</v>
      </c>
      <c r="BJ122" s="145">
        <v>380</v>
      </c>
      <c r="BK122" s="145">
        <v>2083</v>
      </c>
      <c r="BL122" s="145">
        <v>284</v>
      </c>
      <c r="BM122" s="145">
        <v>17560</v>
      </c>
      <c r="BN122" s="145">
        <v>6601</v>
      </c>
      <c r="BO122" s="145">
        <v>1662</v>
      </c>
      <c r="BP122" s="145">
        <v>7740</v>
      </c>
      <c r="BQ122" s="145">
        <v>1226</v>
      </c>
      <c r="BR122" s="145">
        <v>364</v>
      </c>
      <c r="BS122" s="145">
        <v>3844</v>
      </c>
      <c r="BT122" s="145">
        <v>0</v>
      </c>
      <c r="BU122" s="145">
        <v>117144</v>
      </c>
      <c r="BV122" s="145">
        <v>5706</v>
      </c>
      <c r="BW122" s="145">
        <v>0</v>
      </c>
      <c r="BX122" s="145">
        <v>0</v>
      </c>
      <c r="BY122" s="145">
        <v>9228</v>
      </c>
      <c r="BZ122" s="145">
        <v>0</v>
      </c>
      <c r="CA122" s="145">
        <v>0</v>
      </c>
      <c r="CB122" s="145">
        <v>14934</v>
      </c>
      <c r="CC122" s="145">
        <v>132078</v>
      </c>
      <c r="CE122" s="145">
        <v>613</v>
      </c>
      <c r="CF122" s="145">
        <v>2182</v>
      </c>
      <c r="CG122" s="165">
        <v>7880</v>
      </c>
    </row>
    <row r="123" spans="1:85" ht="8.25" customHeight="1" x14ac:dyDescent="0.2">
      <c r="A123" s="147">
        <v>80001</v>
      </c>
      <c r="B123" s="77" t="str">
        <f>IFERROR(INDEX(SCNtoISIC!$M:$M,MATCH($A123,SCNtoISIC!$J:$J,0)),0)</f>
        <v>ISIC 69T82</v>
      </c>
      <c r="C123" s="93" t="s">
        <v>514</v>
      </c>
      <c r="D123" s="148">
        <v>1</v>
      </c>
      <c r="E123" s="148">
        <v>0</v>
      </c>
      <c r="F123" s="148">
        <v>3</v>
      </c>
      <c r="G123" s="148">
        <v>7</v>
      </c>
      <c r="H123" s="148">
        <v>111</v>
      </c>
      <c r="I123" s="148">
        <v>55</v>
      </c>
      <c r="J123" s="148">
        <v>19</v>
      </c>
      <c r="K123" s="148">
        <v>332</v>
      </c>
      <c r="L123" s="148">
        <v>107</v>
      </c>
      <c r="M123" s="148">
        <v>289</v>
      </c>
      <c r="N123" s="148">
        <v>124</v>
      </c>
      <c r="O123" s="148">
        <v>126</v>
      </c>
      <c r="P123" s="148">
        <v>31</v>
      </c>
      <c r="Q123" s="148">
        <v>35</v>
      </c>
      <c r="R123" s="148">
        <v>45</v>
      </c>
      <c r="S123" s="148">
        <v>50</v>
      </c>
      <c r="T123" s="148">
        <v>391</v>
      </c>
      <c r="U123" s="148">
        <v>17</v>
      </c>
      <c r="V123" s="148">
        <v>121</v>
      </c>
      <c r="W123" s="148">
        <v>1</v>
      </c>
      <c r="X123" s="148">
        <v>229</v>
      </c>
      <c r="Y123" s="148">
        <v>172</v>
      </c>
      <c r="Z123" s="148">
        <v>36</v>
      </c>
      <c r="AA123" s="148">
        <v>231</v>
      </c>
      <c r="AB123" s="148">
        <v>191</v>
      </c>
      <c r="AC123" s="146">
        <f t="shared" si="6"/>
        <v>289.2</v>
      </c>
      <c r="AD123" s="146">
        <f t="shared" si="7"/>
        <v>192.8</v>
      </c>
      <c r="AE123" s="148">
        <v>73</v>
      </c>
      <c r="AF123" s="148">
        <v>62</v>
      </c>
      <c r="AG123" s="148">
        <v>210</v>
      </c>
      <c r="AH123" s="148">
        <v>161</v>
      </c>
      <c r="AI123" s="148">
        <v>100</v>
      </c>
      <c r="AJ123" s="148">
        <v>262</v>
      </c>
      <c r="AK123" s="148">
        <v>583</v>
      </c>
      <c r="AL123" s="148">
        <v>236</v>
      </c>
      <c r="AM123" s="148">
        <v>131</v>
      </c>
      <c r="AN123" s="148">
        <v>60</v>
      </c>
      <c r="AO123" s="148">
        <v>197</v>
      </c>
      <c r="AP123" s="146">
        <f t="shared" si="8"/>
        <v>247.33333333333331</v>
      </c>
      <c r="AQ123" s="146">
        <f t="shared" si="9"/>
        <v>123.66666666666666</v>
      </c>
      <c r="AR123" s="148">
        <v>468</v>
      </c>
      <c r="AS123" s="148">
        <v>746</v>
      </c>
      <c r="AT123" s="148">
        <v>5853</v>
      </c>
      <c r="AU123" s="148">
        <v>1366</v>
      </c>
      <c r="AV123" s="148">
        <v>22</v>
      </c>
      <c r="AW123" s="148">
        <v>213</v>
      </c>
      <c r="AX123" s="148">
        <v>2806</v>
      </c>
      <c r="AY123" s="148">
        <v>103</v>
      </c>
      <c r="AZ123" s="148">
        <v>571</v>
      </c>
      <c r="BA123" s="148">
        <v>44</v>
      </c>
      <c r="BB123" s="148">
        <v>297</v>
      </c>
      <c r="BC123" s="148">
        <v>704</v>
      </c>
      <c r="BD123" s="148">
        <v>472</v>
      </c>
      <c r="BE123" s="148">
        <v>6139</v>
      </c>
      <c r="BF123" s="148">
        <v>195</v>
      </c>
      <c r="BG123" s="148">
        <v>891</v>
      </c>
      <c r="BH123" s="148">
        <v>12</v>
      </c>
      <c r="BI123" s="148">
        <v>188</v>
      </c>
      <c r="BJ123" s="148">
        <v>125</v>
      </c>
      <c r="BK123" s="148">
        <v>643</v>
      </c>
      <c r="BL123" s="148">
        <v>48</v>
      </c>
      <c r="BM123" s="148">
        <v>7518</v>
      </c>
      <c r="BN123" s="148">
        <v>3122</v>
      </c>
      <c r="BO123" s="148">
        <v>1393</v>
      </c>
      <c r="BP123" s="148">
        <v>1411</v>
      </c>
      <c r="BQ123" s="148">
        <v>0</v>
      </c>
      <c r="BR123" s="148">
        <v>162</v>
      </c>
      <c r="BS123" s="148">
        <v>3</v>
      </c>
      <c r="BT123" s="148">
        <v>0</v>
      </c>
      <c r="BU123" s="148">
        <v>41167</v>
      </c>
      <c r="BV123" s="148">
        <v>0</v>
      </c>
      <c r="BW123" s="148">
        <v>0</v>
      </c>
      <c r="BX123" s="148">
        <v>0</v>
      </c>
      <c r="BY123" s="148">
        <v>429</v>
      </c>
      <c r="BZ123" s="148">
        <v>0</v>
      </c>
      <c r="CA123" s="148">
        <v>0</v>
      </c>
      <c r="CB123" s="148">
        <v>429</v>
      </c>
      <c r="CC123" s="148">
        <v>41596</v>
      </c>
      <c r="CE123" s="148">
        <v>482</v>
      </c>
      <c r="CF123" s="148">
        <v>371</v>
      </c>
      <c r="CG123" s="166">
        <v>8000</v>
      </c>
    </row>
    <row r="124" spans="1:85" ht="8.25" customHeight="1" x14ac:dyDescent="0.2">
      <c r="A124" s="147">
        <v>84001</v>
      </c>
      <c r="B124" s="77" t="str">
        <f>IFERROR(INDEX(SCNtoISIC!$M:$M,MATCH($A124,SCNtoISIC!$J:$J,0)),0)</f>
        <v>ISIC 84</v>
      </c>
      <c r="C124" s="93" t="s">
        <v>515</v>
      </c>
      <c r="D124" s="148">
        <v>0</v>
      </c>
      <c r="E124" s="148">
        <v>0</v>
      </c>
      <c r="F124" s="148">
        <v>0</v>
      </c>
      <c r="G124" s="148">
        <v>0</v>
      </c>
      <c r="H124" s="148">
        <v>0</v>
      </c>
      <c r="I124" s="148">
        <v>0</v>
      </c>
      <c r="J124" s="148">
        <v>0</v>
      </c>
      <c r="K124" s="148">
        <v>0</v>
      </c>
      <c r="L124" s="148">
        <v>0</v>
      </c>
      <c r="M124" s="148">
        <v>0</v>
      </c>
      <c r="N124" s="148">
        <v>0</v>
      </c>
      <c r="O124" s="148">
        <v>0</v>
      </c>
      <c r="P124" s="148">
        <v>0</v>
      </c>
      <c r="Q124" s="148">
        <v>0</v>
      </c>
      <c r="R124" s="148">
        <v>0</v>
      </c>
      <c r="S124" s="148">
        <v>0</v>
      </c>
      <c r="T124" s="148">
        <v>0</v>
      </c>
      <c r="U124" s="148">
        <v>0</v>
      </c>
      <c r="V124" s="148">
        <v>0</v>
      </c>
      <c r="W124" s="148">
        <v>0</v>
      </c>
      <c r="X124" s="148">
        <v>0</v>
      </c>
      <c r="Y124" s="148">
        <v>0</v>
      </c>
      <c r="Z124" s="148">
        <v>0</v>
      </c>
      <c r="AA124" s="148">
        <v>0</v>
      </c>
      <c r="AB124" s="148">
        <v>0</v>
      </c>
      <c r="AC124" s="146">
        <f t="shared" si="6"/>
        <v>0</v>
      </c>
      <c r="AD124" s="146">
        <f t="shared" si="7"/>
        <v>0</v>
      </c>
      <c r="AE124" s="148">
        <v>0</v>
      </c>
      <c r="AF124" s="148">
        <v>0</v>
      </c>
      <c r="AG124" s="148">
        <v>0</v>
      </c>
      <c r="AH124" s="148">
        <v>0</v>
      </c>
      <c r="AI124" s="148">
        <v>0</v>
      </c>
      <c r="AJ124" s="148">
        <v>0</v>
      </c>
      <c r="AK124" s="148">
        <v>0</v>
      </c>
      <c r="AL124" s="148">
        <v>0</v>
      </c>
      <c r="AM124" s="148">
        <v>0</v>
      </c>
      <c r="AN124" s="148">
        <v>0</v>
      </c>
      <c r="AO124" s="148">
        <v>0</v>
      </c>
      <c r="AP124" s="146">
        <f t="shared" si="8"/>
        <v>0</v>
      </c>
      <c r="AQ124" s="146">
        <f t="shared" si="9"/>
        <v>0</v>
      </c>
      <c r="AR124" s="148">
        <v>0</v>
      </c>
      <c r="AS124" s="148">
        <v>0</v>
      </c>
      <c r="AT124" s="148">
        <v>0</v>
      </c>
      <c r="AU124" s="148">
        <v>0</v>
      </c>
      <c r="AV124" s="148">
        <v>0</v>
      </c>
      <c r="AW124" s="148">
        <v>0</v>
      </c>
      <c r="AX124" s="148">
        <v>0</v>
      </c>
      <c r="AY124" s="148">
        <v>0</v>
      </c>
      <c r="AZ124" s="148">
        <v>0</v>
      </c>
      <c r="BA124" s="148">
        <v>0</v>
      </c>
      <c r="BB124" s="148">
        <v>0</v>
      </c>
      <c r="BC124" s="148">
        <v>0</v>
      </c>
      <c r="BD124" s="148">
        <v>0</v>
      </c>
      <c r="BE124" s="148">
        <v>0</v>
      </c>
      <c r="BF124" s="148">
        <v>0</v>
      </c>
      <c r="BG124" s="148">
        <v>0</v>
      </c>
      <c r="BH124" s="148">
        <v>0</v>
      </c>
      <c r="BI124" s="148">
        <v>0</v>
      </c>
      <c r="BJ124" s="148">
        <v>0</v>
      </c>
      <c r="BK124" s="148">
        <v>0</v>
      </c>
      <c r="BL124" s="148">
        <v>0</v>
      </c>
      <c r="BM124" s="148">
        <v>0</v>
      </c>
      <c r="BN124" s="148">
        <v>0</v>
      </c>
      <c r="BO124" s="148">
        <v>0</v>
      </c>
      <c r="BP124" s="148">
        <v>0</v>
      </c>
      <c r="BQ124" s="148">
        <v>0</v>
      </c>
      <c r="BR124" s="148">
        <v>0</v>
      </c>
      <c r="BS124" s="148">
        <v>0</v>
      </c>
      <c r="BT124" s="148">
        <v>0</v>
      </c>
      <c r="BU124" s="148">
        <v>0</v>
      </c>
      <c r="BV124" s="148">
        <v>0</v>
      </c>
      <c r="BW124" s="148">
        <v>659138</v>
      </c>
      <c r="BX124" s="148">
        <v>0</v>
      </c>
      <c r="BY124" s="148">
        <v>0</v>
      </c>
      <c r="BZ124" s="148">
        <v>0</v>
      </c>
      <c r="CA124" s="148">
        <v>0</v>
      </c>
      <c r="CB124" s="148">
        <v>659138</v>
      </c>
      <c r="CC124" s="148">
        <v>659138</v>
      </c>
      <c r="CE124" s="148">
        <v>0</v>
      </c>
      <c r="CF124" s="148">
        <v>0</v>
      </c>
      <c r="CG124" s="166">
        <v>8400</v>
      </c>
    </row>
    <row r="125" spans="1:85" ht="8.25" customHeight="1" x14ac:dyDescent="0.2">
      <c r="A125" s="147">
        <v>84002</v>
      </c>
      <c r="B125" s="77" t="str">
        <f>IFERROR(INDEX(SCNtoISIC!$M:$M,MATCH($A125,SCNtoISIC!$J:$J,0)),0)</f>
        <v>ISIC 84</v>
      </c>
      <c r="C125" s="93" t="s">
        <v>517</v>
      </c>
      <c r="D125" s="148">
        <v>0</v>
      </c>
      <c r="E125" s="148">
        <v>0</v>
      </c>
      <c r="F125" s="148">
        <v>0</v>
      </c>
      <c r="G125" s="148">
        <v>0</v>
      </c>
      <c r="H125" s="148">
        <v>0</v>
      </c>
      <c r="I125" s="148">
        <v>0</v>
      </c>
      <c r="J125" s="148">
        <v>0</v>
      </c>
      <c r="K125" s="148">
        <v>0</v>
      </c>
      <c r="L125" s="148">
        <v>0</v>
      </c>
      <c r="M125" s="148">
        <v>0</v>
      </c>
      <c r="N125" s="148">
        <v>0</v>
      </c>
      <c r="O125" s="148">
        <v>0</v>
      </c>
      <c r="P125" s="148">
        <v>0</v>
      </c>
      <c r="Q125" s="148">
        <v>0</v>
      </c>
      <c r="R125" s="148">
        <v>0</v>
      </c>
      <c r="S125" s="148">
        <v>0</v>
      </c>
      <c r="T125" s="148">
        <v>0</v>
      </c>
      <c r="U125" s="148">
        <v>0</v>
      </c>
      <c r="V125" s="148">
        <v>0</v>
      </c>
      <c r="W125" s="148">
        <v>0</v>
      </c>
      <c r="X125" s="148">
        <v>0</v>
      </c>
      <c r="Y125" s="148">
        <v>0</v>
      </c>
      <c r="Z125" s="148">
        <v>0</v>
      </c>
      <c r="AA125" s="148">
        <v>0</v>
      </c>
      <c r="AB125" s="148">
        <v>0</v>
      </c>
      <c r="AC125" s="146">
        <f t="shared" si="6"/>
        <v>0</v>
      </c>
      <c r="AD125" s="146">
        <f t="shared" si="7"/>
        <v>0</v>
      </c>
      <c r="AE125" s="148">
        <v>0</v>
      </c>
      <c r="AF125" s="148">
        <v>0</v>
      </c>
      <c r="AG125" s="148">
        <v>0</v>
      </c>
      <c r="AH125" s="148">
        <v>0</v>
      </c>
      <c r="AI125" s="148">
        <v>0</v>
      </c>
      <c r="AJ125" s="148">
        <v>0</v>
      </c>
      <c r="AK125" s="148">
        <v>0</v>
      </c>
      <c r="AL125" s="148">
        <v>0</v>
      </c>
      <c r="AM125" s="148">
        <v>0</v>
      </c>
      <c r="AN125" s="148">
        <v>0</v>
      </c>
      <c r="AO125" s="148">
        <v>0</v>
      </c>
      <c r="AP125" s="146">
        <f t="shared" si="8"/>
        <v>0</v>
      </c>
      <c r="AQ125" s="146">
        <f t="shared" si="9"/>
        <v>0</v>
      </c>
      <c r="AR125" s="148">
        <v>0</v>
      </c>
      <c r="AS125" s="148">
        <v>0</v>
      </c>
      <c r="AT125" s="148">
        <v>0</v>
      </c>
      <c r="AU125" s="148">
        <v>0</v>
      </c>
      <c r="AV125" s="148">
        <v>0</v>
      </c>
      <c r="AW125" s="148">
        <v>0</v>
      </c>
      <c r="AX125" s="148">
        <v>0</v>
      </c>
      <c r="AY125" s="148">
        <v>0</v>
      </c>
      <c r="AZ125" s="148">
        <v>0</v>
      </c>
      <c r="BA125" s="148">
        <v>0</v>
      </c>
      <c r="BB125" s="148">
        <v>0</v>
      </c>
      <c r="BC125" s="148">
        <v>0</v>
      </c>
      <c r="BD125" s="148">
        <v>0</v>
      </c>
      <c r="BE125" s="148">
        <v>0</v>
      </c>
      <c r="BF125" s="148">
        <v>0</v>
      </c>
      <c r="BG125" s="148">
        <v>0</v>
      </c>
      <c r="BH125" s="148">
        <v>0</v>
      </c>
      <c r="BI125" s="148">
        <v>0</v>
      </c>
      <c r="BJ125" s="148">
        <v>0</v>
      </c>
      <c r="BK125" s="148">
        <v>0</v>
      </c>
      <c r="BL125" s="148">
        <v>0</v>
      </c>
      <c r="BM125" s="148">
        <v>0</v>
      </c>
      <c r="BN125" s="148">
        <v>0</v>
      </c>
      <c r="BO125" s="148">
        <v>0</v>
      </c>
      <c r="BP125" s="148">
        <v>0</v>
      </c>
      <c r="BQ125" s="148">
        <v>0</v>
      </c>
      <c r="BR125" s="148">
        <v>0</v>
      </c>
      <c r="BS125" s="148">
        <v>0</v>
      </c>
      <c r="BT125" s="148">
        <v>0</v>
      </c>
      <c r="BU125" s="148">
        <v>0</v>
      </c>
      <c r="BV125" s="148">
        <v>0</v>
      </c>
      <c r="BW125" s="148">
        <v>13234</v>
      </c>
      <c r="BX125" s="148">
        <v>0</v>
      </c>
      <c r="BY125" s="148">
        <v>0</v>
      </c>
      <c r="BZ125" s="148">
        <v>0</v>
      </c>
      <c r="CA125" s="148">
        <v>0</v>
      </c>
      <c r="CB125" s="148">
        <v>13234</v>
      </c>
      <c r="CC125" s="148">
        <v>13234</v>
      </c>
      <c r="CE125" s="148">
        <v>0</v>
      </c>
      <c r="CF125" s="148">
        <v>0</v>
      </c>
      <c r="CG125" s="166">
        <v>8400</v>
      </c>
    </row>
    <row r="126" spans="1:85" ht="8.25" customHeight="1" x14ac:dyDescent="0.2">
      <c r="A126" s="147">
        <v>85911</v>
      </c>
      <c r="B126" s="77" t="str">
        <f>IFERROR(INDEX(SCNtoISIC!$M:$M,MATCH($A126,SCNtoISIC!$J:$J,0)),0)</f>
        <v>ISIC 85</v>
      </c>
      <c r="C126" s="93" t="s">
        <v>279</v>
      </c>
      <c r="D126" s="148">
        <v>0</v>
      </c>
      <c r="E126" s="148">
        <v>0</v>
      </c>
      <c r="F126" s="148">
        <v>0</v>
      </c>
      <c r="G126" s="148">
        <v>0</v>
      </c>
      <c r="H126" s="148">
        <v>0</v>
      </c>
      <c r="I126" s="148">
        <v>0</v>
      </c>
      <c r="J126" s="148">
        <v>0</v>
      </c>
      <c r="K126" s="148">
        <v>0</v>
      </c>
      <c r="L126" s="148">
        <v>0</v>
      </c>
      <c r="M126" s="148">
        <v>0</v>
      </c>
      <c r="N126" s="148">
        <v>0</v>
      </c>
      <c r="O126" s="148">
        <v>0</v>
      </c>
      <c r="P126" s="148">
        <v>0</v>
      </c>
      <c r="Q126" s="148">
        <v>0</v>
      </c>
      <c r="R126" s="148">
        <v>0</v>
      </c>
      <c r="S126" s="148">
        <v>0</v>
      </c>
      <c r="T126" s="148">
        <v>0</v>
      </c>
      <c r="U126" s="148">
        <v>0</v>
      </c>
      <c r="V126" s="148">
        <v>0</v>
      </c>
      <c r="W126" s="148">
        <v>0</v>
      </c>
      <c r="X126" s="148">
        <v>0</v>
      </c>
      <c r="Y126" s="148">
        <v>0</v>
      </c>
      <c r="Z126" s="148">
        <v>0</v>
      </c>
      <c r="AA126" s="148">
        <v>0</v>
      </c>
      <c r="AB126" s="148">
        <v>0</v>
      </c>
      <c r="AC126" s="146">
        <f t="shared" si="6"/>
        <v>0</v>
      </c>
      <c r="AD126" s="146">
        <f t="shared" si="7"/>
        <v>0</v>
      </c>
      <c r="AE126" s="148">
        <v>0</v>
      </c>
      <c r="AF126" s="148">
        <v>0</v>
      </c>
      <c r="AG126" s="148">
        <v>0</v>
      </c>
      <c r="AH126" s="148">
        <v>0</v>
      </c>
      <c r="AI126" s="148">
        <v>0</v>
      </c>
      <c r="AJ126" s="148">
        <v>0</v>
      </c>
      <c r="AK126" s="148">
        <v>0</v>
      </c>
      <c r="AL126" s="148">
        <v>0</v>
      </c>
      <c r="AM126" s="148">
        <v>0</v>
      </c>
      <c r="AN126" s="148">
        <v>0</v>
      </c>
      <c r="AO126" s="148">
        <v>0</v>
      </c>
      <c r="AP126" s="146">
        <f t="shared" si="8"/>
        <v>0</v>
      </c>
      <c r="AQ126" s="146">
        <f t="shared" si="9"/>
        <v>0</v>
      </c>
      <c r="AR126" s="148">
        <v>0</v>
      </c>
      <c r="AS126" s="148">
        <v>0</v>
      </c>
      <c r="AT126" s="148">
        <v>0</v>
      </c>
      <c r="AU126" s="148">
        <v>0</v>
      </c>
      <c r="AV126" s="148">
        <v>0</v>
      </c>
      <c r="AW126" s="148">
        <v>0</v>
      </c>
      <c r="AX126" s="148">
        <v>0</v>
      </c>
      <c r="AY126" s="148">
        <v>0</v>
      </c>
      <c r="AZ126" s="148">
        <v>0</v>
      </c>
      <c r="BA126" s="148">
        <v>0</v>
      </c>
      <c r="BB126" s="148">
        <v>0</v>
      </c>
      <c r="BC126" s="148">
        <v>0</v>
      </c>
      <c r="BD126" s="148">
        <v>0</v>
      </c>
      <c r="BE126" s="148">
        <v>0</v>
      </c>
      <c r="BF126" s="148">
        <v>0</v>
      </c>
      <c r="BG126" s="148">
        <v>0</v>
      </c>
      <c r="BH126" s="148">
        <v>0</v>
      </c>
      <c r="BI126" s="148">
        <v>0</v>
      </c>
      <c r="BJ126" s="148">
        <v>0</v>
      </c>
      <c r="BK126" s="148">
        <v>0</v>
      </c>
      <c r="BL126" s="148">
        <v>0</v>
      </c>
      <c r="BM126" s="148">
        <v>0</v>
      </c>
      <c r="BN126" s="148">
        <v>0</v>
      </c>
      <c r="BO126" s="148">
        <v>0</v>
      </c>
      <c r="BP126" s="148">
        <v>0</v>
      </c>
      <c r="BQ126" s="148">
        <v>0</v>
      </c>
      <c r="BR126" s="148">
        <v>0</v>
      </c>
      <c r="BS126" s="148">
        <v>0</v>
      </c>
      <c r="BT126" s="148">
        <v>0</v>
      </c>
      <c r="BU126" s="148">
        <v>0</v>
      </c>
      <c r="BV126" s="148">
        <v>0</v>
      </c>
      <c r="BW126" s="148">
        <v>288544</v>
      </c>
      <c r="BX126" s="148">
        <v>0</v>
      </c>
      <c r="BY126" s="148">
        <v>0</v>
      </c>
      <c r="BZ126" s="148">
        <v>0</v>
      </c>
      <c r="CA126" s="148">
        <v>0</v>
      </c>
      <c r="CB126" s="148">
        <v>288544</v>
      </c>
      <c r="CC126" s="148">
        <v>288544</v>
      </c>
      <c r="CE126" s="148">
        <v>0</v>
      </c>
      <c r="CF126" s="148">
        <v>0</v>
      </c>
      <c r="CG126" s="166">
        <v>8591</v>
      </c>
    </row>
    <row r="127" spans="1:85" ht="8.25" customHeight="1" x14ac:dyDescent="0.2">
      <c r="A127" s="151">
        <v>85921</v>
      </c>
      <c r="B127" s="77" t="str">
        <f>IFERROR(INDEX(SCNtoISIC!$M:$M,MATCH($A127,SCNtoISIC!$J:$J,0)),0)</f>
        <v>ISIC 85</v>
      </c>
      <c r="C127" s="142" t="s">
        <v>280</v>
      </c>
      <c r="D127" s="148">
        <v>3</v>
      </c>
      <c r="E127" s="148">
        <v>1</v>
      </c>
      <c r="F127" s="148">
        <v>0</v>
      </c>
      <c r="G127" s="148">
        <v>1</v>
      </c>
      <c r="H127" s="148">
        <v>42</v>
      </c>
      <c r="I127" s="148">
        <v>112</v>
      </c>
      <c r="J127" s="148">
        <v>28</v>
      </c>
      <c r="K127" s="148">
        <v>3</v>
      </c>
      <c r="L127" s="148">
        <v>0</v>
      </c>
      <c r="M127" s="148">
        <v>22</v>
      </c>
      <c r="N127" s="148">
        <v>0</v>
      </c>
      <c r="O127" s="148">
        <v>0</v>
      </c>
      <c r="P127" s="148">
        <v>1</v>
      </c>
      <c r="Q127" s="148">
        <v>0</v>
      </c>
      <c r="R127" s="148">
        <v>0</v>
      </c>
      <c r="S127" s="148">
        <v>0</v>
      </c>
      <c r="T127" s="148">
        <v>40</v>
      </c>
      <c r="U127" s="148">
        <v>0</v>
      </c>
      <c r="V127" s="148">
        <v>8</v>
      </c>
      <c r="W127" s="148">
        <v>0</v>
      </c>
      <c r="X127" s="148">
        <v>10</v>
      </c>
      <c r="Y127" s="148">
        <v>28</v>
      </c>
      <c r="Z127" s="148">
        <v>0</v>
      </c>
      <c r="AA127" s="148">
        <v>0</v>
      </c>
      <c r="AB127" s="148">
        <v>2</v>
      </c>
      <c r="AC127" s="146">
        <f t="shared" si="6"/>
        <v>0</v>
      </c>
      <c r="AD127" s="146">
        <f t="shared" si="7"/>
        <v>0</v>
      </c>
      <c r="AE127" s="148">
        <v>195</v>
      </c>
      <c r="AF127" s="148">
        <v>67</v>
      </c>
      <c r="AG127" s="148">
        <v>64</v>
      </c>
      <c r="AH127" s="148">
        <v>1</v>
      </c>
      <c r="AI127" s="148">
        <v>0</v>
      </c>
      <c r="AJ127" s="148">
        <v>28</v>
      </c>
      <c r="AK127" s="148">
        <v>71</v>
      </c>
      <c r="AL127" s="148">
        <v>3</v>
      </c>
      <c r="AM127" s="148">
        <v>0</v>
      </c>
      <c r="AN127" s="148">
        <v>0</v>
      </c>
      <c r="AO127" s="148">
        <v>8</v>
      </c>
      <c r="AP127" s="146">
        <f t="shared" si="8"/>
        <v>89.333333333333329</v>
      </c>
      <c r="AQ127" s="146">
        <f t="shared" si="9"/>
        <v>44.666666666666664</v>
      </c>
      <c r="AR127" s="148">
        <v>1</v>
      </c>
      <c r="AS127" s="148">
        <v>2</v>
      </c>
      <c r="AT127" s="148">
        <v>789</v>
      </c>
      <c r="AU127" s="148">
        <v>967</v>
      </c>
      <c r="AV127" s="148">
        <v>73</v>
      </c>
      <c r="AW127" s="148">
        <v>15</v>
      </c>
      <c r="AX127" s="148">
        <v>264</v>
      </c>
      <c r="AY127" s="148">
        <v>1</v>
      </c>
      <c r="AZ127" s="148">
        <v>0</v>
      </c>
      <c r="BA127" s="148">
        <v>0</v>
      </c>
      <c r="BB127" s="148">
        <v>0</v>
      </c>
      <c r="BC127" s="148">
        <v>61</v>
      </c>
      <c r="BD127" s="148">
        <v>0</v>
      </c>
      <c r="BE127" s="148">
        <v>1932</v>
      </c>
      <c r="BF127" s="148">
        <v>0</v>
      </c>
      <c r="BG127" s="148">
        <v>2852</v>
      </c>
      <c r="BH127" s="148">
        <v>177</v>
      </c>
      <c r="BI127" s="148">
        <v>574</v>
      </c>
      <c r="BJ127" s="148">
        <v>62</v>
      </c>
      <c r="BK127" s="148">
        <v>1419</v>
      </c>
      <c r="BL127" s="148">
        <v>142</v>
      </c>
      <c r="BM127" s="148">
        <v>497</v>
      </c>
      <c r="BN127" s="148">
        <v>546</v>
      </c>
      <c r="BO127" s="148">
        <v>0</v>
      </c>
      <c r="BP127" s="148">
        <v>592</v>
      </c>
      <c r="BQ127" s="148">
        <v>0</v>
      </c>
      <c r="BR127" s="148">
        <v>0</v>
      </c>
      <c r="BS127" s="148">
        <v>412</v>
      </c>
      <c r="BT127" s="148">
        <v>0</v>
      </c>
      <c r="BU127" s="148">
        <v>12250</v>
      </c>
      <c r="BV127" s="148">
        <v>78</v>
      </c>
      <c r="BW127" s="148">
        <v>0</v>
      </c>
      <c r="BX127" s="148">
        <v>0</v>
      </c>
      <c r="BY127" s="148">
        <v>103904</v>
      </c>
      <c r="BZ127" s="148">
        <v>0</v>
      </c>
      <c r="CA127" s="148">
        <v>0</v>
      </c>
      <c r="CB127" s="148">
        <v>103982</v>
      </c>
      <c r="CC127" s="148">
        <v>116232</v>
      </c>
      <c r="CE127" s="148">
        <v>0</v>
      </c>
      <c r="CF127" s="148">
        <v>134</v>
      </c>
      <c r="CG127" s="168">
        <v>8592</v>
      </c>
    </row>
    <row r="128" spans="1:85" ht="8.25" customHeight="1" x14ac:dyDescent="0.2">
      <c r="A128" s="143">
        <v>86911</v>
      </c>
      <c r="B128" s="77" t="str">
        <f>IFERROR(INDEX(SCNtoISIC!$M:$M,MATCH($A128,SCNtoISIC!$J:$J,0)),0)</f>
        <v>ISIC 86T88</v>
      </c>
      <c r="C128" s="144" t="s">
        <v>281</v>
      </c>
      <c r="D128" s="145">
        <v>0</v>
      </c>
      <c r="E128" s="145">
        <v>0</v>
      </c>
      <c r="F128" s="145">
        <v>0</v>
      </c>
      <c r="G128" s="145">
        <v>0</v>
      </c>
      <c r="H128" s="145">
        <v>0</v>
      </c>
      <c r="I128" s="145">
        <v>0</v>
      </c>
      <c r="J128" s="145">
        <v>0</v>
      </c>
      <c r="K128" s="145">
        <v>0</v>
      </c>
      <c r="L128" s="145">
        <v>0</v>
      </c>
      <c r="M128" s="145">
        <v>0</v>
      </c>
      <c r="N128" s="145">
        <v>0</v>
      </c>
      <c r="O128" s="145">
        <v>0</v>
      </c>
      <c r="P128" s="145">
        <v>0</v>
      </c>
      <c r="Q128" s="145">
        <v>0</v>
      </c>
      <c r="R128" s="145">
        <v>0</v>
      </c>
      <c r="S128" s="145">
        <v>0</v>
      </c>
      <c r="T128" s="145">
        <v>0</v>
      </c>
      <c r="U128" s="145">
        <v>0</v>
      </c>
      <c r="V128" s="145">
        <v>0</v>
      </c>
      <c r="W128" s="145">
        <v>0</v>
      </c>
      <c r="X128" s="145">
        <v>0</v>
      </c>
      <c r="Y128" s="145">
        <v>0</v>
      </c>
      <c r="Z128" s="145">
        <v>0</v>
      </c>
      <c r="AA128" s="145">
        <v>0</v>
      </c>
      <c r="AB128" s="145">
        <v>0</v>
      </c>
      <c r="AC128" s="146">
        <f t="shared" si="6"/>
        <v>0</v>
      </c>
      <c r="AD128" s="146">
        <f t="shared" si="7"/>
        <v>0</v>
      </c>
      <c r="AE128" s="145">
        <v>0</v>
      </c>
      <c r="AF128" s="145">
        <v>0</v>
      </c>
      <c r="AG128" s="145">
        <v>0</v>
      </c>
      <c r="AH128" s="145">
        <v>0</v>
      </c>
      <c r="AI128" s="145">
        <v>0</v>
      </c>
      <c r="AJ128" s="145">
        <v>0</v>
      </c>
      <c r="AK128" s="145">
        <v>0</v>
      </c>
      <c r="AL128" s="145">
        <v>0</v>
      </c>
      <c r="AM128" s="145">
        <v>0</v>
      </c>
      <c r="AN128" s="145">
        <v>0</v>
      </c>
      <c r="AO128" s="145">
        <v>0</v>
      </c>
      <c r="AP128" s="146">
        <f t="shared" si="8"/>
        <v>0</v>
      </c>
      <c r="AQ128" s="146">
        <f t="shared" si="9"/>
        <v>0</v>
      </c>
      <c r="AR128" s="145">
        <v>0</v>
      </c>
      <c r="AS128" s="145">
        <v>0</v>
      </c>
      <c r="AT128" s="145">
        <v>0</v>
      </c>
      <c r="AU128" s="145">
        <v>0</v>
      </c>
      <c r="AV128" s="145">
        <v>0</v>
      </c>
      <c r="AW128" s="145">
        <v>0</v>
      </c>
      <c r="AX128" s="145">
        <v>0</v>
      </c>
      <c r="AY128" s="145">
        <v>0</v>
      </c>
      <c r="AZ128" s="145">
        <v>0</v>
      </c>
      <c r="BA128" s="145">
        <v>0</v>
      </c>
      <c r="BB128" s="145">
        <v>0</v>
      </c>
      <c r="BC128" s="145">
        <v>0</v>
      </c>
      <c r="BD128" s="145">
        <v>0</v>
      </c>
      <c r="BE128" s="145">
        <v>0</v>
      </c>
      <c r="BF128" s="145">
        <v>0</v>
      </c>
      <c r="BG128" s="145">
        <v>0</v>
      </c>
      <c r="BH128" s="145">
        <v>0</v>
      </c>
      <c r="BI128" s="145">
        <v>0</v>
      </c>
      <c r="BJ128" s="145">
        <v>0</v>
      </c>
      <c r="BK128" s="145">
        <v>0</v>
      </c>
      <c r="BL128" s="145">
        <v>0</v>
      </c>
      <c r="BM128" s="145">
        <v>0</v>
      </c>
      <c r="BN128" s="145">
        <v>0</v>
      </c>
      <c r="BO128" s="145">
        <v>0</v>
      </c>
      <c r="BP128" s="145">
        <v>0</v>
      </c>
      <c r="BQ128" s="145">
        <v>0</v>
      </c>
      <c r="BR128" s="145">
        <v>0</v>
      </c>
      <c r="BS128" s="145">
        <v>0</v>
      </c>
      <c r="BT128" s="145">
        <v>0</v>
      </c>
      <c r="BU128" s="145">
        <v>0</v>
      </c>
      <c r="BV128" s="145">
        <v>0</v>
      </c>
      <c r="BW128" s="145">
        <v>175278</v>
      </c>
      <c r="BX128" s="145">
        <v>0</v>
      </c>
      <c r="BY128" s="145">
        <v>0</v>
      </c>
      <c r="BZ128" s="145">
        <v>0</v>
      </c>
      <c r="CA128" s="145">
        <v>0</v>
      </c>
      <c r="CB128" s="145">
        <v>175278</v>
      </c>
      <c r="CC128" s="145">
        <v>175278</v>
      </c>
      <c r="CE128" s="145">
        <v>0</v>
      </c>
      <c r="CF128" s="145">
        <v>0</v>
      </c>
      <c r="CG128" s="165">
        <v>8691</v>
      </c>
    </row>
    <row r="129" spans="1:85" ht="8.25" customHeight="1" x14ac:dyDescent="0.2">
      <c r="A129" s="143">
        <v>86921</v>
      </c>
      <c r="B129" s="77" t="str">
        <f>IFERROR(INDEX(SCNtoISIC!$M:$M,MATCH($A129,SCNtoISIC!$J:$J,0)),0)</f>
        <v>ISIC 86T88</v>
      </c>
      <c r="C129" s="144" t="s">
        <v>282</v>
      </c>
      <c r="D129" s="145">
        <v>0</v>
      </c>
      <c r="E129" s="145">
        <v>0</v>
      </c>
      <c r="F129" s="145">
        <v>0</v>
      </c>
      <c r="G129" s="145">
        <v>0</v>
      </c>
      <c r="H129" s="145">
        <v>0</v>
      </c>
      <c r="I129" s="145">
        <v>0</v>
      </c>
      <c r="J129" s="145">
        <v>0</v>
      </c>
      <c r="K129" s="145">
        <v>0</v>
      </c>
      <c r="L129" s="145">
        <v>0</v>
      </c>
      <c r="M129" s="145">
        <v>0</v>
      </c>
      <c r="N129" s="145">
        <v>0</v>
      </c>
      <c r="O129" s="145">
        <v>0</v>
      </c>
      <c r="P129" s="145">
        <v>0</v>
      </c>
      <c r="Q129" s="145">
        <v>0</v>
      </c>
      <c r="R129" s="145">
        <v>0</v>
      </c>
      <c r="S129" s="145">
        <v>0</v>
      </c>
      <c r="T129" s="145">
        <v>0</v>
      </c>
      <c r="U129" s="145">
        <v>0</v>
      </c>
      <c r="V129" s="145">
        <v>0</v>
      </c>
      <c r="W129" s="145">
        <v>0</v>
      </c>
      <c r="X129" s="145">
        <v>0</v>
      </c>
      <c r="Y129" s="145">
        <v>0</v>
      </c>
      <c r="Z129" s="145">
        <v>0</v>
      </c>
      <c r="AA129" s="145">
        <v>0</v>
      </c>
      <c r="AB129" s="145">
        <v>0</v>
      </c>
      <c r="AC129" s="146">
        <f t="shared" si="6"/>
        <v>0</v>
      </c>
      <c r="AD129" s="146">
        <f t="shared" si="7"/>
        <v>0</v>
      </c>
      <c r="AE129" s="145">
        <v>0</v>
      </c>
      <c r="AF129" s="145">
        <v>0</v>
      </c>
      <c r="AG129" s="145">
        <v>0</v>
      </c>
      <c r="AH129" s="145">
        <v>0</v>
      </c>
      <c r="AI129" s="145">
        <v>0</v>
      </c>
      <c r="AJ129" s="145">
        <v>0</v>
      </c>
      <c r="AK129" s="145">
        <v>0</v>
      </c>
      <c r="AL129" s="145">
        <v>0</v>
      </c>
      <c r="AM129" s="145">
        <v>0</v>
      </c>
      <c r="AN129" s="145">
        <v>0</v>
      </c>
      <c r="AO129" s="145">
        <v>0</v>
      </c>
      <c r="AP129" s="146">
        <f t="shared" si="8"/>
        <v>0</v>
      </c>
      <c r="AQ129" s="146">
        <f t="shared" si="9"/>
        <v>0</v>
      </c>
      <c r="AR129" s="145">
        <v>0</v>
      </c>
      <c r="AS129" s="145">
        <v>0</v>
      </c>
      <c r="AT129" s="145">
        <v>0</v>
      </c>
      <c r="AU129" s="145">
        <v>0</v>
      </c>
      <c r="AV129" s="145">
        <v>0</v>
      </c>
      <c r="AW129" s="145">
        <v>0</v>
      </c>
      <c r="AX129" s="145">
        <v>0</v>
      </c>
      <c r="AY129" s="145">
        <v>0</v>
      </c>
      <c r="AZ129" s="145">
        <v>0</v>
      </c>
      <c r="BA129" s="145">
        <v>0</v>
      </c>
      <c r="BB129" s="145">
        <v>0</v>
      </c>
      <c r="BC129" s="145">
        <v>0</v>
      </c>
      <c r="BD129" s="145">
        <v>0</v>
      </c>
      <c r="BE129" s="145">
        <v>0</v>
      </c>
      <c r="BF129" s="145">
        <v>0</v>
      </c>
      <c r="BG129" s="145">
        <v>0</v>
      </c>
      <c r="BH129" s="145">
        <v>0</v>
      </c>
      <c r="BI129" s="145">
        <v>0</v>
      </c>
      <c r="BJ129" s="145">
        <v>0</v>
      </c>
      <c r="BK129" s="145">
        <v>0</v>
      </c>
      <c r="BL129" s="145">
        <v>0</v>
      </c>
      <c r="BM129" s="145">
        <v>62</v>
      </c>
      <c r="BN129" s="145">
        <v>5</v>
      </c>
      <c r="BO129" s="145">
        <v>0</v>
      </c>
      <c r="BP129" s="145">
        <v>13</v>
      </c>
      <c r="BQ129" s="145">
        <v>21538</v>
      </c>
      <c r="BR129" s="145">
        <v>0</v>
      </c>
      <c r="BS129" s="145">
        <v>0</v>
      </c>
      <c r="BT129" s="145">
        <v>0</v>
      </c>
      <c r="BU129" s="145">
        <v>21618</v>
      </c>
      <c r="BV129" s="145">
        <v>227</v>
      </c>
      <c r="BW129" s="145">
        <v>36280</v>
      </c>
      <c r="BX129" s="145">
        <v>7583</v>
      </c>
      <c r="BY129" s="145">
        <v>165917</v>
      </c>
      <c r="BZ129" s="145">
        <v>0</v>
      </c>
      <c r="CA129" s="145">
        <v>0</v>
      </c>
      <c r="CB129" s="145">
        <v>210007</v>
      </c>
      <c r="CC129" s="145">
        <v>231625</v>
      </c>
      <c r="CE129" s="145">
        <v>0</v>
      </c>
      <c r="CF129" s="145">
        <v>0</v>
      </c>
      <c r="CG129" s="165">
        <v>8692</v>
      </c>
    </row>
    <row r="130" spans="1:85" ht="8.25" customHeight="1" x14ac:dyDescent="0.2">
      <c r="A130" s="143">
        <v>90801</v>
      </c>
      <c r="B130" s="77" t="str">
        <f>IFERROR(INDEX(SCNtoISIC!$M:$M,MATCH($A130,SCNtoISIC!$J:$J,0)),0)</f>
        <v>ISIC 90T96</v>
      </c>
      <c r="C130" s="144" t="s">
        <v>523</v>
      </c>
      <c r="D130" s="145">
        <v>0</v>
      </c>
      <c r="E130" s="145">
        <v>0</v>
      </c>
      <c r="F130" s="145">
        <v>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0</v>
      </c>
      <c r="S130" s="145">
        <v>0</v>
      </c>
      <c r="T130" s="145">
        <v>0</v>
      </c>
      <c r="U130" s="145">
        <v>0</v>
      </c>
      <c r="V130" s="145">
        <v>0</v>
      </c>
      <c r="W130" s="145">
        <v>0</v>
      </c>
      <c r="X130" s="145">
        <v>0</v>
      </c>
      <c r="Y130" s="145">
        <v>0</v>
      </c>
      <c r="Z130" s="145">
        <v>0</v>
      </c>
      <c r="AA130" s="145">
        <v>0</v>
      </c>
      <c r="AB130" s="145">
        <v>0</v>
      </c>
      <c r="AC130" s="146">
        <f t="shared" si="6"/>
        <v>0</v>
      </c>
      <c r="AD130" s="146">
        <f t="shared" si="7"/>
        <v>0</v>
      </c>
      <c r="AE130" s="145">
        <v>0</v>
      </c>
      <c r="AF130" s="145">
        <v>0</v>
      </c>
      <c r="AG130" s="145">
        <v>0</v>
      </c>
      <c r="AH130" s="145">
        <v>0</v>
      </c>
      <c r="AI130" s="145">
        <v>0</v>
      </c>
      <c r="AJ130" s="145">
        <v>0</v>
      </c>
      <c r="AK130" s="145">
        <v>0</v>
      </c>
      <c r="AL130" s="145">
        <v>0</v>
      </c>
      <c r="AM130" s="145">
        <v>0</v>
      </c>
      <c r="AN130" s="145">
        <v>0</v>
      </c>
      <c r="AO130" s="145">
        <v>0</v>
      </c>
      <c r="AP130" s="146">
        <f t="shared" si="8"/>
        <v>0</v>
      </c>
      <c r="AQ130" s="146">
        <f t="shared" si="9"/>
        <v>0</v>
      </c>
      <c r="AR130" s="145">
        <v>0</v>
      </c>
      <c r="AS130" s="145">
        <v>0</v>
      </c>
      <c r="AT130" s="145">
        <v>1</v>
      </c>
      <c r="AU130" s="145">
        <v>0</v>
      </c>
      <c r="AV130" s="145">
        <v>0</v>
      </c>
      <c r="AW130" s="145">
        <v>0</v>
      </c>
      <c r="AX130" s="145">
        <v>0</v>
      </c>
      <c r="AY130" s="145">
        <v>16</v>
      </c>
      <c r="AZ130" s="145">
        <v>0</v>
      </c>
      <c r="BA130" s="145">
        <v>0</v>
      </c>
      <c r="BB130" s="145">
        <v>2474</v>
      </c>
      <c r="BC130" s="145">
        <v>410</v>
      </c>
      <c r="BD130" s="145">
        <v>0</v>
      </c>
      <c r="BE130" s="145">
        <v>0</v>
      </c>
      <c r="BF130" s="145">
        <v>0</v>
      </c>
      <c r="BG130" s="145">
        <v>0</v>
      </c>
      <c r="BH130" s="145">
        <v>0</v>
      </c>
      <c r="BI130" s="145">
        <v>71</v>
      </c>
      <c r="BJ130" s="145">
        <v>0</v>
      </c>
      <c r="BK130" s="145">
        <v>21</v>
      </c>
      <c r="BL130" s="145">
        <v>0</v>
      </c>
      <c r="BM130" s="145">
        <v>711</v>
      </c>
      <c r="BN130" s="145">
        <v>83</v>
      </c>
      <c r="BO130" s="145">
        <v>0</v>
      </c>
      <c r="BP130" s="145">
        <v>67</v>
      </c>
      <c r="BQ130" s="145">
        <v>0</v>
      </c>
      <c r="BR130" s="145">
        <v>821</v>
      </c>
      <c r="BS130" s="145">
        <v>1382</v>
      </c>
      <c r="BT130" s="145">
        <v>0</v>
      </c>
      <c r="BU130" s="145">
        <v>6057</v>
      </c>
      <c r="BV130" s="145">
        <v>1753</v>
      </c>
      <c r="BW130" s="145">
        <v>0</v>
      </c>
      <c r="BX130" s="145">
        <v>7742</v>
      </c>
      <c r="BY130" s="145">
        <v>29457</v>
      </c>
      <c r="BZ130" s="145">
        <v>0</v>
      </c>
      <c r="CA130" s="145">
        <v>0</v>
      </c>
      <c r="CB130" s="145">
        <v>38952</v>
      </c>
      <c r="CC130" s="145">
        <v>45009</v>
      </c>
      <c r="CE130" s="145">
        <v>0</v>
      </c>
      <c r="CF130" s="145">
        <v>0</v>
      </c>
      <c r="CG130" s="165">
        <v>9080</v>
      </c>
    </row>
    <row r="131" spans="1:85" ht="8.25" customHeight="1" x14ac:dyDescent="0.2">
      <c r="A131" s="143">
        <v>94801</v>
      </c>
      <c r="B131" s="77" t="str">
        <f>IFERROR(INDEX(SCNtoISIC!$M:$M,MATCH($A131,SCNtoISIC!$J:$J,0)),0)</f>
        <v>ISIC 90T96</v>
      </c>
      <c r="C131" s="144" t="s">
        <v>524</v>
      </c>
      <c r="D131" s="145">
        <v>104</v>
      </c>
      <c r="E131" s="145">
        <v>29</v>
      </c>
      <c r="F131" s="145">
        <v>14</v>
      </c>
      <c r="G131" s="145">
        <v>35</v>
      </c>
      <c r="H131" s="145">
        <v>458</v>
      </c>
      <c r="I131" s="145">
        <v>178</v>
      </c>
      <c r="J131" s="145">
        <v>52</v>
      </c>
      <c r="K131" s="145">
        <v>183</v>
      </c>
      <c r="L131" s="145">
        <v>63</v>
      </c>
      <c r="M131" s="145">
        <v>197</v>
      </c>
      <c r="N131" s="145">
        <v>123</v>
      </c>
      <c r="O131" s="145">
        <v>13</v>
      </c>
      <c r="P131" s="145">
        <v>43</v>
      </c>
      <c r="Q131" s="145">
        <v>103</v>
      </c>
      <c r="R131" s="145">
        <v>53</v>
      </c>
      <c r="S131" s="145">
        <v>53</v>
      </c>
      <c r="T131" s="145">
        <v>120</v>
      </c>
      <c r="U131" s="145">
        <v>32</v>
      </c>
      <c r="V131" s="145">
        <v>127</v>
      </c>
      <c r="W131" s="145">
        <v>47</v>
      </c>
      <c r="X131" s="145">
        <v>98</v>
      </c>
      <c r="Y131" s="145">
        <v>49</v>
      </c>
      <c r="Z131" s="145">
        <v>44</v>
      </c>
      <c r="AA131" s="145">
        <v>99</v>
      </c>
      <c r="AB131" s="145">
        <v>156</v>
      </c>
      <c r="AC131" s="146">
        <f t="shared" si="6"/>
        <v>93</v>
      </c>
      <c r="AD131" s="146">
        <f t="shared" si="7"/>
        <v>62</v>
      </c>
      <c r="AE131" s="145">
        <v>96</v>
      </c>
      <c r="AF131" s="145">
        <v>45</v>
      </c>
      <c r="AG131" s="145">
        <v>194</v>
      </c>
      <c r="AH131" s="145">
        <v>88</v>
      </c>
      <c r="AI131" s="145">
        <v>89</v>
      </c>
      <c r="AJ131" s="145">
        <v>189</v>
      </c>
      <c r="AK131" s="145">
        <v>208</v>
      </c>
      <c r="AL131" s="145">
        <v>115</v>
      </c>
      <c r="AM131" s="145">
        <v>65</v>
      </c>
      <c r="AN131" s="145">
        <v>105</v>
      </c>
      <c r="AO131" s="145">
        <v>0</v>
      </c>
      <c r="AP131" s="146">
        <f t="shared" si="8"/>
        <v>0</v>
      </c>
      <c r="AQ131" s="146">
        <f t="shared" si="9"/>
        <v>0</v>
      </c>
      <c r="AR131" s="145">
        <v>0</v>
      </c>
      <c r="AS131" s="145">
        <v>0</v>
      </c>
      <c r="AT131" s="145">
        <v>132</v>
      </c>
      <c r="AU131" s="145">
        <v>51</v>
      </c>
      <c r="AV131" s="145">
        <v>3</v>
      </c>
      <c r="AW131" s="145">
        <v>7</v>
      </c>
      <c r="AX131" s="145">
        <v>1021</v>
      </c>
      <c r="AY131" s="145">
        <v>10</v>
      </c>
      <c r="AZ131" s="145">
        <v>34</v>
      </c>
      <c r="BA131" s="145">
        <v>5</v>
      </c>
      <c r="BB131" s="145">
        <v>13</v>
      </c>
      <c r="BC131" s="145">
        <v>65</v>
      </c>
      <c r="BD131" s="145">
        <v>44</v>
      </c>
      <c r="BE131" s="145">
        <v>66</v>
      </c>
      <c r="BF131" s="145">
        <v>9</v>
      </c>
      <c r="BG131" s="145">
        <v>68</v>
      </c>
      <c r="BH131" s="145">
        <v>27</v>
      </c>
      <c r="BI131" s="145">
        <v>15</v>
      </c>
      <c r="BJ131" s="145">
        <v>19</v>
      </c>
      <c r="BK131" s="145">
        <v>61</v>
      </c>
      <c r="BL131" s="145">
        <v>20</v>
      </c>
      <c r="BM131" s="145">
        <v>0</v>
      </c>
      <c r="BN131" s="145">
        <v>0</v>
      </c>
      <c r="BO131" s="145">
        <v>0</v>
      </c>
      <c r="BP131" s="145">
        <v>0</v>
      </c>
      <c r="BQ131" s="145">
        <v>0</v>
      </c>
      <c r="BR131" s="145">
        <v>0</v>
      </c>
      <c r="BS131" s="145">
        <v>10</v>
      </c>
      <c r="BT131" s="145">
        <v>0</v>
      </c>
      <c r="BU131" s="145">
        <v>5502</v>
      </c>
      <c r="BV131" s="145">
        <v>0</v>
      </c>
      <c r="BW131" s="145">
        <v>0</v>
      </c>
      <c r="BX131" s="145">
        <v>44348</v>
      </c>
      <c r="BY131" s="145">
        <v>33484</v>
      </c>
      <c r="BZ131" s="145">
        <v>0</v>
      </c>
      <c r="CA131" s="145">
        <v>0</v>
      </c>
      <c r="CB131" s="145">
        <v>77832</v>
      </c>
      <c r="CC131" s="145">
        <v>83334</v>
      </c>
      <c r="CE131" s="145">
        <v>155</v>
      </c>
      <c r="CF131" s="145">
        <v>0</v>
      </c>
      <c r="CG131" s="165">
        <v>9480</v>
      </c>
    </row>
    <row r="132" spans="1:85" ht="8.25" customHeight="1" x14ac:dyDescent="0.2">
      <c r="A132" s="143">
        <v>94802</v>
      </c>
      <c r="B132" s="77" t="str">
        <f>IFERROR(INDEX(SCNtoISIC!$M:$M,MATCH($A132,SCNtoISIC!$J:$J,0)),0)</f>
        <v>ISIC 90T96</v>
      </c>
      <c r="C132" s="144" t="s">
        <v>525</v>
      </c>
      <c r="D132" s="145">
        <v>0</v>
      </c>
      <c r="E132" s="145">
        <v>0</v>
      </c>
      <c r="F132" s="145">
        <v>5</v>
      </c>
      <c r="G132" s="145">
        <v>0</v>
      </c>
      <c r="H132" s="145">
        <v>77</v>
      </c>
      <c r="I132" s="145">
        <v>0</v>
      </c>
      <c r="J132" s="145">
        <v>2</v>
      </c>
      <c r="K132" s="145">
        <v>0</v>
      </c>
      <c r="L132" s="145">
        <v>0</v>
      </c>
      <c r="M132" s="145">
        <v>2</v>
      </c>
      <c r="N132" s="145">
        <v>0</v>
      </c>
      <c r="O132" s="145">
        <v>0</v>
      </c>
      <c r="P132" s="145">
        <v>11</v>
      </c>
      <c r="Q132" s="145">
        <v>0</v>
      </c>
      <c r="R132" s="145">
        <v>0</v>
      </c>
      <c r="S132" s="145">
        <v>0</v>
      </c>
      <c r="T132" s="145">
        <v>0</v>
      </c>
      <c r="U132" s="145">
        <v>15</v>
      </c>
      <c r="V132" s="145">
        <v>0</v>
      </c>
      <c r="W132" s="145">
        <v>0</v>
      </c>
      <c r="X132" s="145">
        <v>0</v>
      </c>
      <c r="Y132" s="145">
        <v>0</v>
      </c>
      <c r="Z132" s="145">
        <v>0</v>
      </c>
      <c r="AA132" s="145">
        <v>0</v>
      </c>
      <c r="AB132" s="145">
        <v>0</v>
      </c>
      <c r="AC132" s="146">
        <f t="shared" si="6"/>
        <v>1.2</v>
      </c>
      <c r="AD132" s="146">
        <f t="shared" si="7"/>
        <v>0.8</v>
      </c>
      <c r="AE132" s="145">
        <v>21</v>
      </c>
      <c r="AF132" s="145">
        <v>3</v>
      </c>
      <c r="AG132" s="145">
        <v>30</v>
      </c>
      <c r="AH132" s="145">
        <v>292</v>
      </c>
      <c r="AI132" s="145">
        <v>61</v>
      </c>
      <c r="AJ132" s="145">
        <v>19</v>
      </c>
      <c r="AK132" s="145">
        <v>2</v>
      </c>
      <c r="AL132" s="145">
        <v>0</v>
      </c>
      <c r="AM132" s="145">
        <v>0</v>
      </c>
      <c r="AN132" s="145">
        <v>4</v>
      </c>
      <c r="AO132" s="145">
        <v>3</v>
      </c>
      <c r="AP132" s="146">
        <f t="shared" si="8"/>
        <v>524.66666666666663</v>
      </c>
      <c r="AQ132" s="146">
        <f t="shared" si="9"/>
        <v>262.33333333333331</v>
      </c>
      <c r="AR132" s="145">
        <v>0</v>
      </c>
      <c r="AS132" s="145">
        <v>161</v>
      </c>
      <c r="AT132" s="145">
        <v>3319</v>
      </c>
      <c r="AU132" s="145">
        <v>413</v>
      </c>
      <c r="AV132" s="145">
        <v>3</v>
      </c>
      <c r="AW132" s="145">
        <v>1</v>
      </c>
      <c r="AX132" s="145">
        <v>178</v>
      </c>
      <c r="AY132" s="145">
        <v>48</v>
      </c>
      <c r="AZ132" s="145">
        <v>127</v>
      </c>
      <c r="BA132" s="145">
        <v>49</v>
      </c>
      <c r="BB132" s="145">
        <v>170</v>
      </c>
      <c r="BC132" s="145">
        <v>4195</v>
      </c>
      <c r="BD132" s="145">
        <v>1328</v>
      </c>
      <c r="BE132" s="145">
        <v>1785</v>
      </c>
      <c r="BF132" s="145">
        <v>124</v>
      </c>
      <c r="BG132" s="145">
        <v>482</v>
      </c>
      <c r="BH132" s="145">
        <v>53</v>
      </c>
      <c r="BI132" s="145">
        <v>93</v>
      </c>
      <c r="BJ132" s="145">
        <v>87</v>
      </c>
      <c r="BK132" s="145">
        <v>1111</v>
      </c>
      <c r="BL132" s="145">
        <v>17</v>
      </c>
      <c r="BM132" s="145">
        <v>742</v>
      </c>
      <c r="BN132" s="145">
        <v>83</v>
      </c>
      <c r="BO132" s="145">
        <v>562</v>
      </c>
      <c r="BP132" s="145">
        <v>355</v>
      </c>
      <c r="BQ132" s="145">
        <v>775</v>
      </c>
      <c r="BR132" s="145">
        <v>19</v>
      </c>
      <c r="BS132" s="145">
        <v>172</v>
      </c>
      <c r="BT132" s="145">
        <v>0</v>
      </c>
      <c r="BU132" s="145">
        <v>17788</v>
      </c>
      <c r="BV132" s="145">
        <v>0</v>
      </c>
      <c r="BW132" s="145">
        <v>0</v>
      </c>
      <c r="BX132" s="145">
        <v>0</v>
      </c>
      <c r="BY132" s="145">
        <v>9800</v>
      </c>
      <c r="BZ132" s="145">
        <v>0</v>
      </c>
      <c r="CA132" s="145">
        <v>0</v>
      </c>
      <c r="CB132" s="145">
        <v>9800</v>
      </c>
      <c r="CC132" s="145">
        <v>27588</v>
      </c>
      <c r="CE132" s="145">
        <v>2</v>
      </c>
      <c r="CF132" s="145">
        <v>787</v>
      </c>
      <c r="CG132" s="165">
        <v>9480</v>
      </c>
    </row>
    <row r="133" spans="1:85" ht="8.25" customHeight="1" x14ac:dyDescent="0.2">
      <c r="A133" s="147">
        <v>94803</v>
      </c>
      <c r="B133" s="77" t="str">
        <f>IFERROR(INDEX(SCNtoISIC!$M:$M,MATCH($A133,SCNtoISIC!$J:$J,0)),0)</f>
        <v>ISIC 90T96</v>
      </c>
      <c r="C133" s="93" t="s">
        <v>527</v>
      </c>
      <c r="D133" s="148">
        <v>0</v>
      </c>
      <c r="E133" s="148">
        <v>0</v>
      </c>
      <c r="F133" s="148">
        <v>0</v>
      </c>
      <c r="G133" s="148">
        <v>0</v>
      </c>
      <c r="H133" s="148">
        <v>0</v>
      </c>
      <c r="I133" s="148">
        <v>0</v>
      </c>
      <c r="J133" s="148">
        <v>0</v>
      </c>
      <c r="K133" s="148">
        <v>0</v>
      </c>
      <c r="L133" s="148">
        <v>0</v>
      </c>
      <c r="M133" s="148">
        <v>0</v>
      </c>
      <c r="N133" s="148">
        <v>0</v>
      </c>
      <c r="O133" s="148">
        <v>0</v>
      </c>
      <c r="P133" s="148">
        <v>0</v>
      </c>
      <c r="Q133" s="148">
        <v>0</v>
      </c>
      <c r="R133" s="148">
        <v>0</v>
      </c>
      <c r="S133" s="148">
        <v>0</v>
      </c>
      <c r="T133" s="148">
        <v>0</v>
      </c>
      <c r="U133" s="148">
        <v>0</v>
      </c>
      <c r="V133" s="148">
        <v>0</v>
      </c>
      <c r="W133" s="148">
        <v>0</v>
      </c>
      <c r="X133" s="148">
        <v>0</v>
      </c>
      <c r="Y133" s="148">
        <v>0</v>
      </c>
      <c r="Z133" s="148">
        <v>0</v>
      </c>
      <c r="AA133" s="148">
        <v>0</v>
      </c>
      <c r="AB133" s="148">
        <v>0</v>
      </c>
      <c r="AC133" s="146">
        <f t="shared" si="6"/>
        <v>0</v>
      </c>
      <c r="AD133" s="146">
        <f t="shared" si="7"/>
        <v>0</v>
      </c>
      <c r="AE133" s="148">
        <v>0</v>
      </c>
      <c r="AF133" s="148">
        <v>0</v>
      </c>
      <c r="AG133" s="148">
        <v>0</v>
      </c>
      <c r="AH133" s="148">
        <v>0</v>
      </c>
      <c r="AI133" s="148">
        <v>0</v>
      </c>
      <c r="AJ133" s="148">
        <v>0</v>
      </c>
      <c r="AK133" s="148">
        <v>0</v>
      </c>
      <c r="AL133" s="148">
        <v>0</v>
      </c>
      <c r="AM133" s="148">
        <v>0</v>
      </c>
      <c r="AN133" s="148">
        <v>0</v>
      </c>
      <c r="AO133" s="148">
        <v>0</v>
      </c>
      <c r="AP133" s="146">
        <f t="shared" si="8"/>
        <v>0</v>
      </c>
      <c r="AQ133" s="146">
        <f t="shared" si="9"/>
        <v>0</v>
      </c>
      <c r="AR133" s="148">
        <v>0</v>
      </c>
      <c r="AS133" s="148">
        <v>0</v>
      </c>
      <c r="AT133" s="148">
        <v>0</v>
      </c>
      <c r="AU133" s="148">
        <v>0</v>
      </c>
      <c r="AV133" s="148">
        <v>0</v>
      </c>
      <c r="AW133" s="148">
        <v>0</v>
      </c>
      <c r="AX133" s="148">
        <v>0</v>
      </c>
      <c r="AY133" s="148">
        <v>71</v>
      </c>
      <c r="AZ133" s="148">
        <v>12</v>
      </c>
      <c r="BA133" s="148">
        <v>0</v>
      </c>
      <c r="BB133" s="148">
        <v>0</v>
      </c>
      <c r="BC133" s="148">
        <v>0</v>
      </c>
      <c r="BD133" s="148">
        <v>0</v>
      </c>
      <c r="BE133" s="148">
        <v>563</v>
      </c>
      <c r="BF133" s="148">
        <v>3</v>
      </c>
      <c r="BG133" s="148">
        <v>0</v>
      </c>
      <c r="BH133" s="148">
        <v>0</v>
      </c>
      <c r="BI133" s="148">
        <v>264</v>
      </c>
      <c r="BJ133" s="148">
        <v>0</v>
      </c>
      <c r="BK133" s="148">
        <v>9</v>
      </c>
      <c r="BL133" s="148">
        <v>0</v>
      </c>
      <c r="BM133" s="148">
        <v>2</v>
      </c>
      <c r="BN133" s="148">
        <v>34</v>
      </c>
      <c r="BO133" s="148">
        <v>0</v>
      </c>
      <c r="BP133" s="148">
        <v>1205</v>
      </c>
      <c r="BQ133" s="148">
        <v>1359</v>
      </c>
      <c r="BR133" s="148">
        <v>0</v>
      </c>
      <c r="BS133" s="148">
        <v>228</v>
      </c>
      <c r="BT133" s="148">
        <v>0</v>
      </c>
      <c r="BU133" s="148">
        <v>3750</v>
      </c>
      <c r="BV133" s="148">
        <v>0</v>
      </c>
      <c r="BW133" s="148">
        <v>0</v>
      </c>
      <c r="BX133" s="148">
        <v>0</v>
      </c>
      <c r="BY133" s="148">
        <v>39189</v>
      </c>
      <c r="BZ133" s="148">
        <v>0</v>
      </c>
      <c r="CA133" s="148">
        <v>0</v>
      </c>
      <c r="CB133" s="148">
        <v>39189</v>
      </c>
      <c r="CC133" s="148">
        <v>42939</v>
      </c>
      <c r="CE133" s="148">
        <v>0</v>
      </c>
      <c r="CF133" s="148">
        <v>0</v>
      </c>
      <c r="CG133" s="166">
        <v>9480</v>
      </c>
    </row>
    <row r="134" spans="1:85" ht="8.25" customHeight="1" x14ac:dyDescent="0.2">
      <c r="A134" s="147">
        <v>97001</v>
      </c>
      <c r="B134" s="77" t="str">
        <f>IFERROR(INDEX(SCNtoISIC!$M:$M,MATCH($A134,SCNtoISIC!$J:$J,0)),0)</f>
        <v>ISIC 97T98</v>
      </c>
      <c r="C134" s="93" t="s">
        <v>285</v>
      </c>
      <c r="D134" s="148">
        <v>0</v>
      </c>
      <c r="E134" s="148">
        <v>0</v>
      </c>
      <c r="F134" s="148">
        <v>0</v>
      </c>
      <c r="G134" s="148">
        <v>0</v>
      </c>
      <c r="H134" s="148">
        <v>0</v>
      </c>
      <c r="I134" s="148">
        <v>0</v>
      </c>
      <c r="J134" s="148">
        <v>0</v>
      </c>
      <c r="K134" s="148">
        <v>0</v>
      </c>
      <c r="L134" s="148">
        <v>0</v>
      </c>
      <c r="M134" s="148">
        <v>0</v>
      </c>
      <c r="N134" s="148">
        <v>0</v>
      </c>
      <c r="O134" s="148">
        <v>0</v>
      </c>
      <c r="P134" s="148">
        <v>0</v>
      </c>
      <c r="Q134" s="148">
        <v>0</v>
      </c>
      <c r="R134" s="148">
        <v>0</v>
      </c>
      <c r="S134" s="148">
        <v>0</v>
      </c>
      <c r="T134" s="148">
        <v>0</v>
      </c>
      <c r="U134" s="148">
        <v>0</v>
      </c>
      <c r="V134" s="148">
        <v>0</v>
      </c>
      <c r="W134" s="148">
        <v>0</v>
      </c>
      <c r="X134" s="148">
        <v>0</v>
      </c>
      <c r="Y134" s="148">
        <v>0</v>
      </c>
      <c r="Z134" s="148">
        <v>0</v>
      </c>
      <c r="AA134" s="148">
        <v>0</v>
      </c>
      <c r="AB134" s="148">
        <v>0</v>
      </c>
      <c r="AC134" s="146">
        <f t="shared" si="6"/>
        <v>0</v>
      </c>
      <c r="AD134" s="146">
        <f t="shared" si="7"/>
        <v>0</v>
      </c>
      <c r="AE134" s="148">
        <v>0</v>
      </c>
      <c r="AF134" s="148">
        <v>0</v>
      </c>
      <c r="AG134" s="148">
        <v>0</v>
      </c>
      <c r="AH134" s="148">
        <v>0</v>
      </c>
      <c r="AI134" s="148">
        <v>0</v>
      </c>
      <c r="AJ134" s="148">
        <v>0</v>
      </c>
      <c r="AK134" s="148">
        <v>0</v>
      </c>
      <c r="AL134" s="148">
        <v>0</v>
      </c>
      <c r="AM134" s="148">
        <v>0</v>
      </c>
      <c r="AN134" s="148">
        <v>0</v>
      </c>
      <c r="AO134" s="148">
        <v>0</v>
      </c>
      <c r="AP134" s="146">
        <f t="shared" si="8"/>
        <v>0</v>
      </c>
      <c r="AQ134" s="146">
        <f t="shared" si="9"/>
        <v>0</v>
      </c>
      <c r="AR134" s="148">
        <v>0</v>
      </c>
      <c r="AS134" s="148">
        <v>0</v>
      </c>
      <c r="AT134" s="148">
        <v>0</v>
      </c>
      <c r="AU134" s="148">
        <v>0</v>
      </c>
      <c r="AV134" s="148">
        <v>0</v>
      </c>
      <c r="AW134" s="148">
        <v>0</v>
      </c>
      <c r="AX134" s="148">
        <v>0</v>
      </c>
      <c r="AY134" s="148">
        <v>0</v>
      </c>
      <c r="AZ134" s="148">
        <v>0</v>
      </c>
      <c r="BA134" s="148">
        <v>0</v>
      </c>
      <c r="BB134" s="148">
        <v>0</v>
      </c>
      <c r="BC134" s="148">
        <v>0</v>
      </c>
      <c r="BD134" s="148">
        <v>0</v>
      </c>
      <c r="BE134" s="148">
        <v>0</v>
      </c>
      <c r="BF134" s="148">
        <v>0</v>
      </c>
      <c r="BG134" s="148">
        <v>0</v>
      </c>
      <c r="BH134" s="148">
        <v>0</v>
      </c>
      <c r="BI134" s="148">
        <v>0</v>
      </c>
      <c r="BJ134" s="148">
        <v>0</v>
      </c>
      <c r="BK134" s="148">
        <v>0</v>
      </c>
      <c r="BL134" s="148">
        <v>0</v>
      </c>
      <c r="BM134" s="148">
        <v>0</v>
      </c>
      <c r="BN134" s="148">
        <v>0</v>
      </c>
      <c r="BO134" s="148">
        <v>0</v>
      </c>
      <c r="BP134" s="148">
        <v>0</v>
      </c>
      <c r="BQ134" s="148">
        <v>0</v>
      </c>
      <c r="BR134" s="148">
        <v>0</v>
      </c>
      <c r="BS134" s="148">
        <v>0</v>
      </c>
      <c r="BT134" s="148">
        <v>0</v>
      </c>
      <c r="BU134" s="148">
        <v>0</v>
      </c>
      <c r="BV134" s="148">
        <v>0</v>
      </c>
      <c r="BW134" s="148">
        <v>0</v>
      </c>
      <c r="BX134" s="148">
        <v>0</v>
      </c>
      <c r="BY134" s="148">
        <v>61996</v>
      </c>
      <c r="BZ134" s="148">
        <v>0</v>
      </c>
      <c r="CA134" s="148">
        <v>0</v>
      </c>
      <c r="CB134" s="148">
        <v>61996</v>
      </c>
      <c r="CC134" s="148">
        <v>61996</v>
      </c>
      <c r="CE134" s="148">
        <v>0</v>
      </c>
      <c r="CF134" s="148">
        <v>0</v>
      </c>
      <c r="CG134" s="166">
        <v>9700</v>
      </c>
    </row>
    <row r="135" spans="1:85" ht="8.25" customHeight="1" x14ac:dyDescent="0.2">
      <c r="A135" s="152"/>
      <c r="B135" s="152"/>
      <c r="C135" s="93"/>
      <c r="D135" s="148">
        <f>SUM(D7:D134)</f>
        <v>146174</v>
      </c>
      <c r="E135" s="148">
        <f t="shared" ref="E135:BP135" si="14">SUM(E7:E134)</f>
        <v>65569</v>
      </c>
      <c r="F135" s="148">
        <f t="shared" si="14"/>
        <v>8020</v>
      </c>
      <c r="G135" s="148">
        <f t="shared" si="14"/>
        <v>10878</v>
      </c>
      <c r="H135" s="148">
        <f t="shared" si="14"/>
        <v>98428</v>
      </c>
      <c r="I135" s="148">
        <f t="shared" si="14"/>
        <v>28837</v>
      </c>
      <c r="J135" s="148">
        <f t="shared" si="14"/>
        <v>11661</v>
      </c>
      <c r="K135" s="148">
        <f t="shared" si="14"/>
        <v>214821</v>
      </c>
      <c r="L135" s="148">
        <f t="shared" si="14"/>
        <v>40678</v>
      </c>
      <c r="M135" s="148">
        <f t="shared" si="14"/>
        <v>204687</v>
      </c>
      <c r="N135" s="148">
        <f t="shared" si="14"/>
        <v>53521</v>
      </c>
      <c r="O135" s="148">
        <f t="shared" si="14"/>
        <v>10826</v>
      </c>
      <c r="P135" s="148">
        <f t="shared" si="14"/>
        <v>33055</v>
      </c>
      <c r="Q135" s="148">
        <f t="shared" si="14"/>
        <v>36373</v>
      </c>
      <c r="R135" s="148">
        <f t="shared" si="14"/>
        <v>26696</v>
      </c>
      <c r="S135" s="148">
        <f t="shared" si="14"/>
        <v>16748</v>
      </c>
      <c r="T135" s="148">
        <f t="shared" si="14"/>
        <v>57550</v>
      </c>
      <c r="U135" s="148">
        <f t="shared" si="14"/>
        <v>11077</v>
      </c>
      <c r="V135" s="148">
        <f t="shared" si="14"/>
        <v>336922</v>
      </c>
      <c r="W135" s="148">
        <f t="shared" si="14"/>
        <v>34161</v>
      </c>
      <c r="X135" s="148">
        <f t="shared" si="14"/>
        <v>120094</v>
      </c>
      <c r="Y135" s="148">
        <f t="shared" si="14"/>
        <v>59389</v>
      </c>
      <c r="Z135" s="148">
        <f t="shared" si="14"/>
        <v>32078</v>
      </c>
      <c r="AA135" s="148">
        <f t="shared" si="14"/>
        <v>34825</v>
      </c>
      <c r="AB135" s="148">
        <f t="shared" si="14"/>
        <v>75094</v>
      </c>
      <c r="AC135" s="148">
        <f t="shared" si="14"/>
        <v>37091.39999999998</v>
      </c>
      <c r="AD135" s="148">
        <f t="shared" si="14"/>
        <v>24727.599999999995</v>
      </c>
      <c r="AE135" s="148">
        <f t="shared" si="14"/>
        <v>79845</v>
      </c>
      <c r="AF135" s="148">
        <f t="shared" si="14"/>
        <v>44607</v>
      </c>
      <c r="AG135" s="148">
        <f t="shared" si="14"/>
        <v>56967</v>
      </c>
      <c r="AH135" s="148">
        <f t="shared" si="14"/>
        <v>71494</v>
      </c>
      <c r="AI135" s="148">
        <f t="shared" si="14"/>
        <v>54961</v>
      </c>
      <c r="AJ135" s="148">
        <f t="shared" si="14"/>
        <v>82995</v>
      </c>
      <c r="AK135" s="148">
        <f t="shared" si="14"/>
        <v>124036</v>
      </c>
      <c r="AL135" s="148">
        <f t="shared" si="14"/>
        <v>52081</v>
      </c>
      <c r="AM135" s="148">
        <f t="shared" si="14"/>
        <v>38950</v>
      </c>
      <c r="AN135" s="148">
        <f t="shared" si="14"/>
        <v>39022</v>
      </c>
      <c r="AO135" s="148">
        <f t="shared" si="14"/>
        <v>40275</v>
      </c>
      <c r="AP135" s="148">
        <f t="shared" si="14"/>
        <v>116866.00000000003</v>
      </c>
      <c r="AQ135" s="148">
        <f t="shared" si="14"/>
        <v>58433.000000000015</v>
      </c>
      <c r="AR135" s="148">
        <f t="shared" si="14"/>
        <v>25127</v>
      </c>
      <c r="AS135" s="148">
        <f t="shared" si="14"/>
        <v>336290</v>
      </c>
      <c r="AT135" s="148">
        <f t="shared" si="14"/>
        <v>415048</v>
      </c>
      <c r="AU135" s="148">
        <f t="shared" si="14"/>
        <v>187084</v>
      </c>
      <c r="AV135" s="148">
        <f t="shared" si="14"/>
        <v>11322</v>
      </c>
      <c r="AW135" s="148">
        <f t="shared" si="14"/>
        <v>30456</v>
      </c>
      <c r="AX135" s="148">
        <f t="shared" si="14"/>
        <v>50054</v>
      </c>
      <c r="AY135" s="148">
        <f t="shared" si="14"/>
        <v>10865</v>
      </c>
      <c r="AZ135" s="148">
        <f t="shared" si="14"/>
        <v>113919</v>
      </c>
      <c r="BA135" s="148">
        <f t="shared" si="14"/>
        <v>11729</v>
      </c>
      <c r="BB135" s="148">
        <f t="shared" si="14"/>
        <v>24162</v>
      </c>
      <c r="BC135" s="148">
        <f t="shared" si="14"/>
        <v>95736</v>
      </c>
      <c r="BD135" s="148">
        <f t="shared" si="14"/>
        <v>42835</v>
      </c>
      <c r="BE135" s="148">
        <f t="shared" si="14"/>
        <v>209334</v>
      </c>
      <c r="BF135" s="148">
        <f t="shared" si="14"/>
        <v>47045</v>
      </c>
      <c r="BG135" s="148">
        <f t="shared" si="14"/>
        <v>62343</v>
      </c>
      <c r="BH135" s="148">
        <f t="shared" si="14"/>
        <v>25978</v>
      </c>
      <c r="BI135" s="148">
        <f t="shared" si="14"/>
        <v>60911</v>
      </c>
      <c r="BJ135" s="148">
        <f t="shared" si="14"/>
        <v>16122</v>
      </c>
      <c r="BK135" s="148">
        <f t="shared" si="14"/>
        <v>61584</v>
      </c>
      <c r="BL135" s="148">
        <f t="shared" si="14"/>
        <v>7012</v>
      </c>
      <c r="BM135" s="148">
        <f t="shared" si="14"/>
        <v>210478</v>
      </c>
      <c r="BN135" s="148">
        <f t="shared" si="14"/>
        <v>51733</v>
      </c>
      <c r="BO135" s="148">
        <f t="shared" si="14"/>
        <v>34132</v>
      </c>
      <c r="BP135" s="148">
        <f t="shared" si="14"/>
        <v>60011</v>
      </c>
      <c r="BQ135" s="148">
        <f t="shared" ref="BQ135:BU135" si="15">SUM(BQ7:BQ134)</f>
        <v>89394</v>
      </c>
      <c r="BR135" s="148">
        <f t="shared" si="15"/>
        <v>15492</v>
      </c>
      <c r="BS135" s="148">
        <f t="shared" si="15"/>
        <v>74559</v>
      </c>
      <c r="BT135" s="148">
        <f t="shared" si="15"/>
        <v>0</v>
      </c>
      <c r="BU135" s="148">
        <f t="shared" si="15"/>
        <v>5071268</v>
      </c>
      <c r="BV135" s="148"/>
      <c r="BW135" s="148"/>
      <c r="BX135" s="148"/>
      <c r="BY135" s="148"/>
      <c r="BZ135" s="148"/>
      <c r="CA135" s="148"/>
      <c r="CB135" s="148"/>
      <c r="CC135" s="148"/>
      <c r="CE135" s="153"/>
      <c r="CF135" s="153"/>
      <c r="CG135" s="152"/>
    </row>
    <row r="136" spans="1:85" s="154" customFormat="1" ht="9" customHeight="1" x14ac:dyDescent="0.2">
      <c r="A136" s="155" t="s">
        <v>287</v>
      </c>
      <c r="B136" s="155"/>
      <c r="C136" s="118"/>
      <c r="D136" s="156">
        <v>146174</v>
      </c>
      <c r="E136" s="156">
        <v>65569</v>
      </c>
      <c r="F136" s="156">
        <v>8020</v>
      </c>
      <c r="G136" s="156">
        <v>10878</v>
      </c>
      <c r="H136" s="156">
        <v>98428</v>
      </c>
      <c r="I136" s="156">
        <v>28837</v>
      </c>
      <c r="J136" s="156">
        <v>11661</v>
      </c>
      <c r="K136" s="156">
        <v>214821</v>
      </c>
      <c r="L136" s="156">
        <v>40678</v>
      </c>
      <c r="M136" s="156">
        <v>204687</v>
      </c>
      <c r="N136" s="156">
        <v>53521</v>
      </c>
      <c r="O136" s="156">
        <v>10826</v>
      </c>
      <c r="P136" s="156">
        <v>33055</v>
      </c>
      <c r="Q136" s="156">
        <v>36373</v>
      </c>
      <c r="R136" s="156">
        <v>26696</v>
      </c>
      <c r="S136" s="156">
        <v>16748</v>
      </c>
      <c r="T136" s="156">
        <v>57550</v>
      </c>
      <c r="U136" s="156">
        <v>11077</v>
      </c>
      <c r="V136" s="156">
        <v>336922</v>
      </c>
      <c r="W136" s="156">
        <v>34161</v>
      </c>
      <c r="X136" s="156">
        <v>120094</v>
      </c>
      <c r="Y136" s="156">
        <v>59389</v>
      </c>
      <c r="Z136" s="156">
        <v>32078</v>
      </c>
      <c r="AA136" s="156">
        <v>34825</v>
      </c>
      <c r="AB136" s="156">
        <v>75094</v>
      </c>
      <c r="AC136" s="157">
        <f t="shared" ref="AC136" si="16">0.6*CE136</f>
        <v>37091.4</v>
      </c>
      <c r="AD136" s="157">
        <f t="shared" ref="AD136" si="17">(1-0.6)*CE136</f>
        <v>24727.600000000002</v>
      </c>
      <c r="AE136" s="156">
        <v>79845</v>
      </c>
      <c r="AF136" s="156">
        <v>44607</v>
      </c>
      <c r="AG136" s="156">
        <v>56967</v>
      </c>
      <c r="AH136" s="156">
        <v>71494</v>
      </c>
      <c r="AI136" s="156">
        <v>54961</v>
      </c>
      <c r="AJ136" s="156">
        <v>82995</v>
      </c>
      <c r="AK136" s="156">
        <v>124036</v>
      </c>
      <c r="AL136" s="156">
        <v>52081</v>
      </c>
      <c r="AM136" s="156">
        <v>38950</v>
      </c>
      <c r="AN136" s="156">
        <v>39022</v>
      </c>
      <c r="AO136" s="156">
        <v>40275</v>
      </c>
      <c r="AP136" s="157">
        <f t="shared" ref="AP136" si="18">2/3*CF136</f>
        <v>116866</v>
      </c>
      <c r="AQ136" s="157">
        <f t="shared" ref="AQ136" si="19">1/3*CF136</f>
        <v>58433</v>
      </c>
      <c r="AR136" s="156">
        <v>25127</v>
      </c>
      <c r="AS136" s="156">
        <v>336290</v>
      </c>
      <c r="AT136" s="156">
        <v>415048</v>
      </c>
      <c r="AU136" s="156">
        <v>187084</v>
      </c>
      <c r="AV136" s="156">
        <v>11322</v>
      </c>
      <c r="AW136" s="156">
        <v>30456</v>
      </c>
      <c r="AX136" s="156">
        <v>50054</v>
      </c>
      <c r="AY136" s="156">
        <v>10865</v>
      </c>
      <c r="AZ136" s="156">
        <v>113919</v>
      </c>
      <c r="BA136" s="156">
        <v>11729</v>
      </c>
      <c r="BB136" s="156">
        <v>24162</v>
      </c>
      <c r="BC136" s="156">
        <v>95736</v>
      </c>
      <c r="BD136" s="156">
        <v>42835</v>
      </c>
      <c r="BE136" s="156">
        <v>209334</v>
      </c>
      <c r="BF136" s="156">
        <v>47045</v>
      </c>
      <c r="BG136" s="156">
        <v>62343</v>
      </c>
      <c r="BH136" s="156">
        <v>25978</v>
      </c>
      <c r="BI136" s="156">
        <v>60911</v>
      </c>
      <c r="BJ136" s="156">
        <v>16122</v>
      </c>
      <c r="BK136" s="156">
        <v>61584</v>
      </c>
      <c r="BL136" s="156">
        <v>7012</v>
      </c>
      <c r="BM136" s="156">
        <v>210478</v>
      </c>
      <c r="BN136" s="156">
        <v>51733</v>
      </c>
      <c r="BO136" s="156">
        <v>34132</v>
      </c>
      <c r="BP136" s="156">
        <v>60011</v>
      </c>
      <c r="BQ136" s="156">
        <v>89394</v>
      </c>
      <c r="BR136" s="156">
        <v>15492</v>
      </c>
      <c r="BS136" s="156">
        <v>74559</v>
      </c>
      <c r="BT136" s="156">
        <v>0</v>
      </c>
      <c r="BU136" s="156">
        <v>5071268</v>
      </c>
      <c r="BV136" s="156">
        <v>773468</v>
      </c>
      <c r="BW136" s="156">
        <v>1185776</v>
      </c>
      <c r="BX136" s="156">
        <v>87323</v>
      </c>
      <c r="BY136" s="156">
        <v>3747870</v>
      </c>
      <c r="BZ136" s="156">
        <v>1069397</v>
      </c>
      <c r="CA136" s="156">
        <v>-25433</v>
      </c>
      <c r="CB136" s="156">
        <v>6838401</v>
      </c>
      <c r="CC136" s="156">
        <v>11909669</v>
      </c>
      <c r="CE136" s="156">
        <v>61819</v>
      </c>
      <c r="CF136" s="156">
        <v>175299</v>
      </c>
      <c r="CG136" s="155"/>
    </row>
    <row r="137" spans="1:85" ht="8" customHeight="1" x14ac:dyDescent="0.2">
      <c r="A137" s="158"/>
      <c r="B137" s="159"/>
      <c r="C137" s="160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  <c r="BI137" s="148"/>
      <c r="BJ137" s="148"/>
      <c r="BK137" s="148"/>
      <c r="BL137" s="148"/>
      <c r="BM137" s="148"/>
      <c r="BN137" s="148"/>
      <c r="BO137" s="148"/>
      <c r="BP137" s="148"/>
      <c r="BQ137" s="148"/>
      <c r="BR137" s="148"/>
      <c r="BS137" s="148"/>
      <c r="BT137" s="148"/>
      <c r="BV137" s="148">
        <f>SUM(D136:BT136)</f>
        <v>5071268</v>
      </c>
      <c r="BW137" s="161"/>
      <c r="BX137" s="161"/>
      <c r="BY137" s="161"/>
      <c r="BZ137" s="161"/>
      <c r="CA137" s="161"/>
      <c r="CB137" s="162"/>
      <c r="CC137" s="162"/>
      <c r="CE137" s="160"/>
      <c r="CF137" s="160"/>
      <c r="CG137" s="158"/>
    </row>
    <row r="138" spans="1:85" ht="8" customHeight="1" x14ac:dyDescent="0.2">
      <c r="A138" s="163"/>
      <c r="B138" s="164"/>
      <c r="C138" s="93" t="s">
        <v>632</v>
      </c>
      <c r="D138" s="148">
        <v>26121</v>
      </c>
      <c r="E138" s="148">
        <v>21490</v>
      </c>
      <c r="F138" s="148">
        <v>2199</v>
      </c>
      <c r="G138" s="148">
        <v>4040</v>
      </c>
      <c r="H138" s="148">
        <v>22138</v>
      </c>
      <c r="I138" s="148">
        <v>4349</v>
      </c>
      <c r="J138" s="148">
        <v>2264</v>
      </c>
      <c r="K138" s="148">
        <v>25736</v>
      </c>
      <c r="L138" s="148">
        <v>8420</v>
      </c>
      <c r="M138" s="148">
        <v>28893</v>
      </c>
      <c r="N138" s="148">
        <v>8407</v>
      </c>
      <c r="O138" s="148">
        <v>1379</v>
      </c>
      <c r="P138" s="148">
        <v>9992</v>
      </c>
      <c r="Q138" s="148">
        <v>17703</v>
      </c>
      <c r="R138" s="148">
        <v>9781</v>
      </c>
      <c r="S138" s="148">
        <v>5910</v>
      </c>
      <c r="T138" s="148">
        <v>11483</v>
      </c>
      <c r="U138" s="148">
        <v>5677</v>
      </c>
      <c r="V138" s="148">
        <v>6968</v>
      </c>
      <c r="W138" s="148">
        <v>6275</v>
      </c>
      <c r="X138" s="148">
        <v>11285</v>
      </c>
      <c r="Y138" s="148">
        <v>9342</v>
      </c>
      <c r="Z138" s="148">
        <v>5589</v>
      </c>
      <c r="AA138" s="148">
        <v>11215</v>
      </c>
      <c r="AB138" s="148">
        <v>20552</v>
      </c>
      <c r="AC138" s="148">
        <v>20003</v>
      </c>
      <c r="AD138" s="121"/>
      <c r="AE138" s="148">
        <v>12073</v>
      </c>
      <c r="AF138" s="148">
        <v>22659</v>
      </c>
      <c r="AG138" s="148">
        <v>10116</v>
      </c>
      <c r="AH138" s="148">
        <v>14442</v>
      </c>
      <c r="AI138" s="148">
        <v>28171</v>
      </c>
      <c r="AJ138" s="148">
        <v>20227</v>
      </c>
      <c r="AK138" s="148">
        <v>17896</v>
      </c>
      <c r="AL138" s="148">
        <v>9718</v>
      </c>
      <c r="AM138" s="148">
        <v>16132</v>
      </c>
      <c r="AN138" s="148">
        <v>11883</v>
      </c>
      <c r="AO138" s="148">
        <v>16133</v>
      </c>
      <c r="AP138" s="148">
        <v>16809</v>
      </c>
      <c r="AQ138" s="121"/>
      <c r="AR138" s="148">
        <v>126609</v>
      </c>
      <c r="AS138" s="148">
        <v>44837</v>
      </c>
      <c r="AT138" s="148">
        <v>299831</v>
      </c>
      <c r="AU138" s="148">
        <v>78373</v>
      </c>
      <c r="AV138" s="148">
        <v>5048</v>
      </c>
      <c r="AW138" s="148">
        <v>7103</v>
      </c>
      <c r="AX138" s="148">
        <v>40882</v>
      </c>
      <c r="AY138" s="148">
        <v>9604</v>
      </c>
      <c r="AZ138" s="148">
        <v>47868</v>
      </c>
      <c r="BA138" s="148">
        <v>6996</v>
      </c>
      <c r="BB138" s="148">
        <v>10394</v>
      </c>
      <c r="BC138" s="148">
        <v>17317</v>
      </c>
      <c r="BD138" s="148">
        <v>46704</v>
      </c>
      <c r="BE138" s="148">
        <v>143243</v>
      </c>
      <c r="BF138" s="148">
        <v>6713</v>
      </c>
      <c r="BG138" s="148">
        <v>52463</v>
      </c>
      <c r="BH138" s="148">
        <v>21956</v>
      </c>
      <c r="BI138" s="148">
        <v>11200</v>
      </c>
      <c r="BJ138" s="148">
        <v>10547</v>
      </c>
      <c r="BK138" s="148">
        <v>99876</v>
      </c>
      <c r="BL138" s="148">
        <v>28312</v>
      </c>
      <c r="BM138" s="148">
        <v>438035</v>
      </c>
      <c r="BN138" s="148">
        <v>246146</v>
      </c>
      <c r="BO138" s="148">
        <v>68720</v>
      </c>
      <c r="BP138" s="148">
        <v>113676</v>
      </c>
      <c r="BQ138" s="148">
        <v>67773</v>
      </c>
      <c r="BR138" s="148">
        <v>10977</v>
      </c>
      <c r="BS138" s="148">
        <v>39513</v>
      </c>
      <c r="BT138" s="148">
        <v>61996</v>
      </c>
      <c r="BU138" s="148">
        <v>2666182</v>
      </c>
      <c r="BV138" s="148">
        <v>2666182</v>
      </c>
      <c r="BW138" s="148"/>
      <c r="BX138" s="148"/>
      <c r="BY138" s="148"/>
      <c r="BZ138" s="148"/>
      <c r="CA138" s="148"/>
      <c r="CB138" s="148"/>
      <c r="CC138" s="148"/>
      <c r="CG138" s="163"/>
    </row>
    <row r="139" spans="1:85" ht="8" customHeight="1" x14ac:dyDescent="0.2">
      <c r="A139" s="163"/>
      <c r="B139" s="164"/>
      <c r="C139" s="93" t="s">
        <v>633</v>
      </c>
      <c r="D139" s="148">
        <v>1255</v>
      </c>
      <c r="E139" s="148">
        <v>564</v>
      </c>
      <c r="F139" s="148">
        <v>123</v>
      </c>
      <c r="G139" s="148">
        <v>177</v>
      </c>
      <c r="H139" s="148">
        <v>1210</v>
      </c>
      <c r="I139" s="148">
        <v>354</v>
      </c>
      <c r="J139" s="148">
        <v>138</v>
      </c>
      <c r="K139" s="148">
        <v>1875</v>
      </c>
      <c r="L139" s="148">
        <v>604</v>
      </c>
      <c r="M139" s="148">
        <v>2126</v>
      </c>
      <c r="N139" s="148">
        <v>717</v>
      </c>
      <c r="O139" s="148">
        <v>101</v>
      </c>
      <c r="P139" s="148">
        <v>419</v>
      </c>
      <c r="Q139" s="148">
        <v>583</v>
      </c>
      <c r="R139" s="148">
        <v>409</v>
      </c>
      <c r="S139" s="148">
        <v>264</v>
      </c>
      <c r="T139" s="148">
        <v>645</v>
      </c>
      <c r="U139" s="148">
        <v>234</v>
      </c>
      <c r="V139" s="148">
        <v>1007</v>
      </c>
      <c r="W139" s="148">
        <v>372</v>
      </c>
      <c r="X139" s="148">
        <v>969</v>
      </c>
      <c r="Y139" s="148">
        <v>570</v>
      </c>
      <c r="Z139" s="148">
        <v>339</v>
      </c>
      <c r="AA139" s="148">
        <v>514</v>
      </c>
      <c r="AB139" s="148">
        <v>945</v>
      </c>
      <c r="AC139" s="148">
        <v>855</v>
      </c>
      <c r="AD139" s="121"/>
      <c r="AE139" s="148">
        <v>766</v>
      </c>
      <c r="AF139" s="148">
        <v>926</v>
      </c>
      <c r="AG139" s="148">
        <v>768</v>
      </c>
      <c r="AH139" s="148">
        <v>671</v>
      </c>
      <c r="AI139" s="148">
        <v>1215</v>
      </c>
      <c r="AJ139" s="148">
        <v>1160</v>
      </c>
      <c r="AK139" s="148">
        <v>775</v>
      </c>
      <c r="AL139" s="148">
        <v>474</v>
      </c>
      <c r="AM139" s="148">
        <v>643</v>
      </c>
      <c r="AN139" s="148">
        <v>387</v>
      </c>
      <c r="AO139" s="148">
        <v>2114</v>
      </c>
      <c r="AP139" s="148">
        <v>656</v>
      </c>
      <c r="AQ139" s="121"/>
      <c r="AR139" s="148">
        <v>4023</v>
      </c>
      <c r="AS139" s="148">
        <v>1271</v>
      </c>
      <c r="AT139" s="148">
        <v>10006</v>
      </c>
      <c r="AU139" s="148">
        <v>2944</v>
      </c>
      <c r="AV139" s="148">
        <v>370</v>
      </c>
      <c r="AW139" s="148">
        <v>574</v>
      </c>
      <c r="AX139" s="148">
        <v>1611</v>
      </c>
      <c r="AY139" s="148">
        <v>323</v>
      </c>
      <c r="AZ139" s="148">
        <v>1374</v>
      </c>
      <c r="BA139" s="148">
        <v>237</v>
      </c>
      <c r="BB139" s="148">
        <v>1273</v>
      </c>
      <c r="BC139" s="148">
        <v>4701</v>
      </c>
      <c r="BD139" s="148">
        <v>1570</v>
      </c>
      <c r="BE139" s="148">
        <v>7277</v>
      </c>
      <c r="BF139" s="148">
        <v>358</v>
      </c>
      <c r="BG139" s="148">
        <v>2003</v>
      </c>
      <c r="BH139" s="148">
        <v>712</v>
      </c>
      <c r="BI139" s="148">
        <v>383</v>
      </c>
      <c r="BJ139" s="148">
        <v>454</v>
      </c>
      <c r="BK139" s="148">
        <v>2724</v>
      </c>
      <c r="BL139" s="148">
        <v>872</v>
      </c>
      <c r="BM139" s="148">
        <v>136</v>
      </c>
      <c r="BN139" s="148">
        <v>4</v>
      </c>
      <c r="BO139" s="148">
        <v>2064</v>
      </c>
      <c r="BP139" s="148">
        <v>1</v>
      </c>
      <c r="BQ139" s="148">
        <v>2209</v>
      </c>
      <c r="BR139" s="148">
        <v>250</v>
      </c>
      <c r="BS139" s="148">
        <v>1048</v>
      </c>
      <c r="BT139" s="148">
        <v>0</v>
      </c>
      <c r="BU139" s="148">
        <v>78696</v>
      </c>
      <c r="BV139" s="148">
        <v>78696</v>
      </c>
      <c r="BW139" s="148"/>
      <c r="BX139" s="148"/>
      <c r="BY139" s="148"/>
      <c r="BZ139" s="148"/>
      <c r="CA139" s="148"/>
      <c r="CB139" s="148"/>
      <c r="CC139" s="148"/>
      <c r="CG139" s="163"/>
    </row>
    <row r="140" spans="1:85" ht="8" customHeight="1" x14ac:dyDescent="0.15">
      <c r="A140" s="163"/>
      <c r="B140" s="164"/>
      <c r="C140" s="171" t="s">
        <v>172</v>
      </c>
      <c r="D140" s="172">
        <f>SUM(D136,D138,D139)</f>
        <v>173550</v>
      </c>
      <c r="E140" s="172">
        <f t="shared" ref="E140:BP140" si="20">SUM(E136,E138,E139)</f>
        <v>87623</v>
      </c>
      <c r="F140" s="172">
        <f t="shared" si="20"/>
        <v>10342</v>
      </c>
      <c r="G140" s="172">
        <f t="shared" si="20"/>
        <v>15095</v>
      </c>
      <c r="H140" s="172">
        <f t="shared" si="20"/>
        <v>121776</v>
      </c>
      <c r="I140" s="172">
        <f t="shared" si="20"/>
        <v>33540</v>
      </c>
      <c r="J140" s="172">
        <f t="shared" si="20"/>
        <v>14063</v>
      </c>
      <c r="K140" s="172">
        <f t="shared" si="20"/>
        <v>242432</v>
      </c>
      <c r="L140" s="172">
        <f t="shared" si="20"/>
        <v>49702</v>
      </c>
      <c r="M140" s="172">
        <f t="shared" si="20"/>
        <v>235706</v>
      </c>
      <c r="N140" s="172">
        <f t="shared" si="20"/>
        <v>62645</v>
      </c>
      <c r="O140" s="172">
        <f t="shared" si="20"/>
        <v>12306</v>
      </c>
      <c r="P140" s="172">
        <f t="shared" si="20"/>
        <v>43466</v>
      </c>
      <c r="Q140" s="172">
        <f t="shared" si="20"/>
        <v>54659</v>
      </c>
      <c r="R140" s="172">
        <f t="shared" si="20"/>
        <v>36886</v>
      </c>
      <c r="S140" s="172">
        <f t="shared" si="20"/>
        <v>22922</v>
      </c>
      <c r="T140" s="172">
        <f t="shared" si="20"/>
        <v>69678</v>
      </c>
      <c r="U140" s="172">
        <f t="shared" si="20"/>
        <v>16988</v>
      </c>
      <c r="V140" s="172">
        <f t="shared" si="20"/>
        <v>344897</v>
      </c>
      <c r="W140" s="172">
        <f t="shared" si="20"/>
        <v>40808</v>
      </c>
      <c r="X140" s="172">
        <f t="shared" si="20"/>
        <v>132348</v>
      </c>
      <c r="Y140" s="172">
        <f t="shared" si="20"/>
        <v>69301</v>
      </c>
      <c r="Z140" s="172">
        <f t="shared" si="20"/>
        <v>38006</v>
      </c>
      <c r="AA140" s="172">
        <f t="shared" si="20"/>
        <v>46554</v>
      </c>
      <c r="AB140" s="172">
        <f t="shared" si="20"/>
        <v>96591</v>
      </c>
      <c r="AC140" s="172">
        <f t="shared" si="20"/>
        <v>57949.4</v>
      </c>
      <c r="AD140" s="172">
        <f t="shared" si="20"/>
        <v>24727.600000000002</v>
      </c>
      <c r="AE140" s="172">
        <f t="shared" si="20"/>
        <v>92684</v>
      </c>
      <c r="AF140" s="172">
        <f t="shared" si="20"/>
        <v>68192</v>
      </c>
      <c r="AG140" s="172">
        <f t="shared" si="20"/>
        <v>67851</v>
      </c>
      <c r="AH140" s="172">
        <f t="shared" si="20"/>
        <v>86607</v>
      </c>
      <c r="AI140" s="172">
        <f t="shared" si="20"/>
        <v>84347</v>
      </c>
      <c r="AJ140" s="172">
        <f t="shared" si="20"/>
        <v>104382</v>
      </c>
      <c r="AK140" s="172">
        <f t="shared" si="20"/>
        <v>142707</v>
      </c>
      <c r="AL140" s="172">
        <f t="shared" si="20"/>
        <v>62273</v>
      </c>
      <c r="AM140" s="172">
        <f t="shared" si="20"/>
        <v>55725</v>
      </c>
      <c r="AN140" s="172">
        <f t="shared" si="20"/>
        <v>51292</v>
      </c>
      <c r="AO140" s="172">
        <f t="shared" si="20"/>
        <v>58522</v>
      </c>
      <c r="AP140" s="172">
        <f t="shared" si="20"/>
        <v>134331</v>
      </c>
      <c r="AQ140" s="172">
        <f t="shared" si="20"/>
        <v>58433</v>
      </c>
      <c r="AR140" s="172">
        <f t="shared" si="20"/>
        <v>155759</v>
      </c>
      <c r="AS140" s="172">
        <f t="shared" si="20"/>
        <v>382398</v>
      </c>
      <c r="AT140" s="172">
        <f t="shared" si="20"/>
        <v>724885</v>
      </c>
      <c r="AU140" s="172">
        <f t="shared" si="20"/>
        <v>268401</v>
      </c>
      <c r="AV140" s="172">
        <f t="shared" si="20"/>
        <v>16740</v>
      </c>
      <c r="AW140" s="172">
        <f t="shared" si="20"/>
        <v>38133</v>
      </c>
      <c r="AX140" s="172">
        <f t="shared" si="20"/>
        <v>92547</v>
      </c>
      <c r="AY140" s="172">
        <f t="shared" si="20"/>
        <v>20792</v>
      </c>
      <c r="AZ140" s="172">
        <f t="shared" si="20"/>
        <v>163161</v>
      </c>
      <c r="BA140" s="172">
        <f t="shared" si="20"/>
        <v>18962</v>
      </c>
      <c r="BB140" s="172">
        <f t="shared" si="20"/>
        <v>35829</v>
      </c>
      <c r="BC140" s="172">
        <f t="shared" si="20"/>
        <v>117754</v>
      </c>
      <c r="BD140" s="172">
        <f t="shared" si="20"/>
        <v>91109</v>
      </c>
      <c r="BE140" s="172">
        <f t="shared" si="20"/>
        <v>359854</v>
      </c>
      <c r="BF140" s="172">
        <f t="shared" si="20"/>
        <v>54116</v>
      </c>
      <c r="BG140" s="172">
        <f t="shared" si="20"/>
        <v>116809</v>
      </c>
      <c r="BH140" s="172">
        <f t="shared" si="20"/>
        <v>48646</v>
      </c>
      <c r="BI140" s="172">
        <f t="shared" si="20"/>
        <v>72494</v>
      </c>
      <c r="BJ140" s="172">
        <f t="shared" si="20"/>
        <v>27123</v>
      </c>
      <c r="BK140" s="172">
        <f t="shared" si="20"/>
        <v>164184</v>
      </c>
      <c r="BL140" s="172">
        <f t="shared" si="20"/>
        <v>36196</v>
      </c>
      <c r="BM140" s="172">
        <f t="shared" si="20"/>
        <v>648649</v>
      </c>
      <c r="BN140" s="172">
        <f t="shared" si="20"/>
        <v>297883</v>
      </c>
      <c r="BO140" s="172">
        <f t="shared" si="20"/>
        <v>104916</v>
      </c>
      <c r="BP140" s="172">
        <f t="shared" si="20"/>
        <v>173688</v>
      </c>
      <c r="BQ140" s="172">
        <f t="shared" ref="BQ140:BU140" si="21">SUM(BQ136,BQ138,BQ139)</f>
        <v>159376</v>
      </c>
      <c r="BR140" s="172">
        <f t="shared" si="21"/>
        <v>26719</v>
      </c>
      <c r="BS140" s="172">
        <f t="shared" si="21"/>
        <v>115120</v>
      </c>
      <c r="BT140" s="172">
        <f t="shared" si="21"/>
        <v>61996</v>
      </c>
      <c r="BU140" s="173">
        <f t="shared" si="21"/>
        <v>7816146</v>
      </c>
      <c r="BV140" s="148"/>
      <c r="BW140" s="148"/>
      <c r="BX140" s="148"/>
      <c r="BY140" s="148"/>
      <c r="BZ140" s="148"/>
      <c r="CA140" s="148"/>
      <c r="CB140" s="148"/>
      <c r="CC140" s="148"/>
      <c r="CG140" s="163"/>
    </row>
    <row r="141" spans="1:85" ht="8" customHeight="1" x14ac:dyDescent="0.2">
      <c r="A141" s="163"/>
      <c r="B141" s="164"/>
      <c r="C141" s="93" t="s">
        <v>634</v>
      </c>
      <c r="D141" s="148">
        <v>-10763</v>
      </c>
      <c r="E141" s="148">
        <v>-168</v>
      </c>
      <c r="F141" s="148">
        <v>-42</v>
      </c>
      <c r="G141" s="148">
        <v>-91</v>
      </c>
      <c r="H141" s="148">
        <v>0</v>
      </c>
      <c r="I141" s="148">
        <v>-36</v>
      </c>
      <c r="J141" s="148">
        <v>0</v>
      </c>
      <c r="K141" s="148">
        <v>-121</v>
      </c>
      <c r="L141" s="148">
        <v>-169</v>
      </c>
      <c r="M141" s="148">
        <v>-157</v>
      </c>
      <c r="N141" s="148">
        <v>-47</v>
      </c>
      <c r="O141" s="148">
        <v>0</v>
      </c>
      <c r="P141" s="148">
        <v>-31</v>
      </c>
      <c r="Q141" s="148">
        <v>0</v>
      </c>
      <c r="R141" s="148">
        <v>0</v>
      </c>
      <c r="S141" s="148">
        <v>-46</v>
      </c>
      <c r="T141" s="148">
        <v>-118</v>
      </c>
      <c r="U141" s="148">
        <v>0</v>
      </c>
      <c r="V141" s="148">
        <v>-223</v>
      </c>
      <c r="W141" s="148">
        <v>-198</v>
      </c>
      <c r="X141" s="148">
        <v>-45</v>
      </c>
      <c r="Y141" s="148">
        <v>0</v>
      </c>
      <c r="Z141" s="148">
        <v>0</v>
      </c>
      <c r="AA141" s="148">
        <v>-31</v>
      </c>
      <c r="AB141" s="148">
        <v>-178</v>
      </c>
      <c r="AC141" s="148">
        <v>-147</v>
      </c>
      <c r="AD141" s="121"/>
      <c r="AE141" s="148">
        <v>-80</v>
      </c>
      <c r="AF141" s="148">
        <v>-98</v>
      </c>
      <c r="AG141" s="148">
        <v>0</v>
      </c>
      <c r="AH141" s="148">
        <v>-110</v>
      </c>
      <c r="AI141" s="148">
        <v>-289</v>
      </c>
      <c r="AJ141" s="148">
        <v>-326</v>
      </c>
      <c r="AK141" s="148">
        <v>-266</v>
      </c>
      <c r="AL141" s="148">
        <v>-74</v>
      </c>
      <c r="AM141" s="148">
        <v>-42</v>
      </c>
      <c r="AN141" s="148">
        <v>0</v>
      </c>
      <c r="AO141" s="148">
        <v>-807</v>
      </c>
      <c r="AP141" s="148">
        <v>-46</v>
      </c>
      <c r="AQ141" s="121"/>
      <c r="AR141" s="148">
        <v>-540</v>
      </c>
      <c r="AS141" s="148">
        <v>-42</v>
      </c>
      <c r="AT141" s="148">
        <v>-1375</v>
      </c>
      <c r="AU141" s="148">
        <v>-2421</v>
      </c>
      <c r="AV141" s="148">
        <v>0</v>
      </c>
      <c r="AW141" s="148">
        <v>-37</v>
      </c>
      <c r="AX141" s="148">
        <v>-72</v>
      </c>
      <c r="AY141" s="148">
        <v>0</v>
      </c>
      <c r="AZ141" s="148">
        <v>0</v>
      </c>
      <c r="BA141" s="148">
        <v>0</v>
      </c>
      <c r="BB141" s="148">
        <v>0</v>
      </c>
      <c r="BC141" s="148">
        <v>-95</v>
      </c>
      <c r="BD141" s="148">
        <v>0</v>
      </c>
      <c r="BE141" s="148">
        <v>0</v>
      </c>
      <c r="BF141" s="148">
        <v>0</v>
      </c>
      <c r="BG141" s="148">
        <v>0</v>
      </c>
      <c r="BH141" s="148">
        <v>-642</v>
      </c>
      <c r="BI141" s="148">
        <v>0</v>
      </c>
      <c r="BJ141" s="148">
        <v>-230</v>
      </c>
      <c r="BK141" s="148">
        <v>-72</v>
      </c>
      <c r="BL141" s="148">
        <v>0</v>
      </c>
      <c r="BM141" s="148">
        <v>0</v>
      </c>
      <c r="BN141" s="148">
        <v>0</v>
      </c>
      <c r="BO141" s="148">
        <v>0</v>
      </c>
      <c r="BP141" s="148">
        <v>0</v>
      </c>
      <c r="BQ141" s="148">
        <v>-36</v>
      </c>
      <c r="BR141" s="148">
        <v>0</v>
      </c>
      <c r="BS141" s="148">
        <v>0</v>
      </c>
      <c r="BT141" s="148">
        <v>0</v>
      </c>
      <c r="BU141" s="148">
        <v>-20311</v>
      </c>
      <c r="BV141" s="148">
        <v>-20311</v>
      </c>
      <c r="BW141" s="148"/>
      <c r="BX141" s="148"/>
      <c r="BY141" s="148"/>
      <c r="BZ141" s="148"/>
      <c r="CA141" s="148"/>
      <c r="CB141" s="148"/>
      <c r="CC141" s="148"/>
      <c r="CG141" s="163"/>
    </row>
    <row r="142" spans="1:85" ht="8" customHeight="1" x14ac:dyDescent="0.15">
      <c r="A142" s="163"/>
      <c r="B142" s="164"/>
      <c r="C142" s="87" t="s">
        <v>288</v>
      </c>
      <c r="D142" s="88">
        <f>SUM(D140,D141)</f>
        <v>162787</v>
      </c>
      <c r="E142" s="88">
        <f t="shared" ref="E142:BP142" si="22">SUM(E140,E141)</f>
        <v>87455</v>
      </c>
      <c r="F142" s="88">
        <f t="shared" si="22"/>
        <v>10300</v>
      </c>
      <c r="G142" s="88">
        <f t="shared" si="22"/>
        <v>15004</v>
      </c>
      <c r="H142" s="88">
        <f t="shared" si="22"/>
        <v>121776</v>
      </c>
      <c r="I142" s="88">
        <f t="shared" si="22"/>
        <v>33504</v>
      </c>
      <c r="J142" s="88">
        <f t="shared" si="22"/>
        <v>14063</v>
      </c>
      <c r="K142" s="88">
        <f t="shared" si="22"/>
        <v>242311</v>
      </c>
      <c r="L142" s="88">
        <f t="shared" si="22"/>
        <v>49533</v>
      </c>
      <c r="M142" s="88">
        <f t="shared" si="22"/>
        <v>235549</v>
      </c>
      <c r="N142" s="88">
        <f t="shared" si="22"/>
        <v>62598</v>
      </c>
      <c r="O142" s="88">
        <f t="shared" si="22"/>
        <v>12306</v>
      </c>
      <c r="P142" s="88">
        <f t="shared" si="22"/>
        <v>43435</v>
      </c>
      <c r="Q142" s="88">
        <f t="shared" si="22"/>
        <v>54659</v>
      </c>
      <c r="R142" s="88">
        <f t="shared" si="22"/>
        <v>36886</v>
      </c>
      <c r="S142" s="88">
        <f t="shared" si="22"/>
        <v>22876</v>
      </c>
      <c r="T142" s="88">
        <f t="shared" si="22"/>
        <v>69560</v>
      </c>
      <c r="U142" s="88">
        <f t="shared" si="22"/>
        <v>16988</v>
      </c>
      <c r="V142" s="88">
        <f t="shared" si="22"/>
        <v>344674</v>
      </c>
      <c r="W142" s="88">
        <f t="shared" si="22"/>
        <v>40610</v>
      </c>
      <c r="X142" s="88">
        <f t="shared" si="22"/>
        <v>132303</v>
      </c>
      <c r="Y142" s="88">
        <f t="shared" si="22"/>
        <v>69301</v>
      </c>
      <c r="Z142" s="88">
        <f t="shared" si="22"/>
        <v>38006</v>
      </c>
      <c r="AA142" s="88">
        <f t="shared" si="22"/>
        <v>46523</v>
      </c>
      <c r="AB142" s="88">
        <f t="shared" si="22"/>
        <v>96413</v>
      </c>
      <c r="AC142" s="88">
        <f t="shared" si="22"/>
        <v>57802.400000000001</v>
      </c>
      <c r="AD142" s="88">
        <f t="shared" si="22"/>
        <v>24727.600000000002</v>
      </c>
      <c r="AE142" s="88">
        <f t="shared" si="22"/>
        <v>92604</v>
      </c>
      <c r="AF142" s="88">
        <f t="shared" si="22"/>
        <v>68094</v>
      </c>
      <c r="AG142" s="88">
        <f t="shared" si="22"/>
        <v>67851</v>
      </c>
      <c r="AH142" s="88">
        <f t="shared" si="22"/>
        <v>86497</v>
      </c>
      <c r="AI142" s="88">
        <f t="shared" si="22"/>
        <v>84058</v>
      </c>
      <c r="AJ142" s="88">
        <f t="shared" si="22"/>
        <v>104056</v>
      </c>
      <c r="AK142" s="88">
        <f t="shared" si="22"/>
        <v>142441</v>
      </c>
      <c r="AL142" s="88">
        <f t="shared" si="22"/>
        <v>62199</v>
      </c>
      <c r="AM142" s="88">
        <f t="shared" si="22"/>
        <v>55683</v>
      </c>
      <c r="AN142" s="88">
        <f t="shared" si="22"/>
        <v>51292</v>
      </c>
      <c r="AO142" s="88">
        <f t="shared" si="22"/>
        <v>57715</v>
      </c>
      <c r="AP142" s="88">
        <f t="shared" si="22"/>
        <v>134285</v>
      </c>
      <c r="AQ142" s="88">
        <f t="shared" si="22"/>
        <v>58433</v>
      </c>
      <c r="AR142" s="88">
        <f t="shared" si="22"/>
        <v>155219</v>
      </c>
      <c r="AS142" s="88">
        <f t="shared" si="22"/>
        <v>382356</v>
      </c>
      <c r="AT142" s="88">
        <f t="shared" si="22"/>
        <v>723510</v>
      </c>
      <c r="AU142" s="88">
        <f t="shared" si="22"/>
        <v>265980</v>
      </c>
      <c r="AV142" s="88">
        <f t="shared" si="22"/>
        <v>16740</v>
      </c>
      <c r="AW142" s="88">
        <f t="shared" si="22"/>
        <v>38096</v>
      </c>
      <c r="AX142" s="88">
        <f t="shared" si="22"/>
        <v>92475</v>
      </c>
      <c r="AY142" s="88">
        <f t="shared" si="22"/>
        <v>20792</v>
      </c>
      <c r="AZ142" s="88">
        <f t="shared" si="22"/>
        <v>163161</v>
      </c>
      <c r="BA142" s="88">
        <f t="shared" si="22"/>
        <v>18962</v>
      </c>
      <c r="BB142" s="88">
        <f t="shared" si="22"/>
        <v>35829</v>
      </c>
      <c r="BC142" s="88">
        <f t="shared" si="22"/>
        <v>117659</v>
      </c>
      <c r="BD142" s="88">
        <f t="shared" si="22"/>
        <v>91109</v>
      </c>
      <c r="BE142" s="88">
        <f t="shared" si="22"/>
        <v>359854</v>
      </c>
      <c r="BF142" s="88">
        <f t="shared" si="22"/>
        <v>54116</v>
      </c>
      <c r="BG142" s="88">
        <f t="shared" si="22"/>
        <v>116809</v>
      </c>
      <c r="BH142" s="88">
        <f t="shared" si="22"/>
        <v>48004</v>
      </c>
      <c r="BI142" s="88">
        <f t="shared" si="22"/>
        <v>72494</v>
      </c>
      <c r="BJ142" s="88">
        <f t="shared" si="22"/>
        <v>26893</v>
      </c>
      <c r="BK142" s="88">
        <f t="shared" si="22"/>
        <v>164112</v>
      </c>
      <c r="BL142" s="88">
        <f t="shared" si="22"/>
        <v>36196</v>
      </c>
      <c r="BM142" s="88">
        <f t="shared" si="22"/>
        <v>648649</v>
      </c>
      <c r="BN142" s="88">
        <f t="shared" si="22"/>
        <v>297883</v>
      </c>
      <c r="BO142" s="88">
        <f t="shared" si="22"/>
        <v>104916</v>
      </c>
      <c r="BP142" s="88">
        <f t="shared" si="22"/>
        <v>173688</v>
      </c>
      <c r="BQ142" s="88">
        <f t="shared" ref="BQ142:BT142" si="23">SUM(BQ140,BQ141)</f>
        <v>159340</v>
      </c>
      <c r="BR142" s="88">
        <f t="shared" si="23"/>
        <v>26719</v>
      </c>
      <c r="BS142" s="88">
        <f t="shared" si="23"/>
        <v>115120</v>
      </c>
      <c r="BT142" s="88">
        <f t="shared" si="23"/>
        <v>61996</v>
      </c>
      <c r="BU142" s="89">
        <f t="shared" ref="BU142" si="24">SUM(BU136:BU141)</f>
        <v>15611981</v>
      </c>
      <c r="BV142" s="156">
        <f>SUM(D142:BT142)</f>
        <v>7795835</v>
      </c>
      <c r="BW142" s="148"/>
      <c r="BX142" s="148"/>
      <c r="BY142" s="148"/>
      <c r="BZ142" s="148"/>
      <c r="CA142" s="148"/>
      <c r="CB142" s="148"/>
      <c r="CC142" s="148"/>
      <c r="CG142" s="163"/>
    </row>
    <row r="143" spans="1:85" ht="8" customHeight="1" x14ac:dyDescent="0.2">
      <c r="A143" s="163"/>
      <c r="B143" s="164"/>
      <c r="C143" s="93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21"/>
      <c r="AE143" s="148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  <c r="BC143" s="148"/>
      <c r="BD143" s="148"/>
      <c r="BE143" s="148"/>
      <c r="BF143" s="148"/>
      <c r="BG143" s="148"/>
      <c r="BH143" s="148"/>
      <c r="BI143" s="148"/>
      <c r="BJ143" s="148"/>
      <c r="BK143" s="148"/>
      <c r="BL143" s="148"/>
      <c r="BM143" s="148"/>
      <c r="BN143" s="148"/>
      <c r="BO143" s="148"/>
      <c r="BP143" s="148"/>
      <c r="BQ143" s="148"/>
      <c r="BR143" s="148"/>
      <c r="BS143" s="148"/>
      <c r="BT143" s="148"/>
      <c r="BU143" s="148"/>
      <c r="BW143" s="148"/>
      <c r="BX143" s="148"/>
      <c r="BY143" s="148"/>
      <c r="BZ143" s="148"/>
      <c r="CA143" s="148"/>
      <c r="CB143" s="148"/>
      <c r="CC143" s="148" t="s">
        <v>345</v>
      </c>
      <c r="CG143" s="163"/>
    </row>
    <row r="144" spans="1:85" x14ac:dyDescent="0.2">
      <c r="A144" s="93" t="s">
        <v>289</v>
      </c>
      <c r="CC144" s="142" t="s">
        <v>345</v>
      </c>
      <c r="CG144" s="93"/>
    </row>
    <row r="145" spans="1:85" x14ac:dyDescent="0.2">
      <c r="A145" s="93" t="s">
        <v>290</v>
      </c>
      <c r="CC145" s="142" t="s">
        <v>345</v>
      </c>
      <c r="CG145" s="93"/>
    </row>
    <row r="146" spans="1:85" ht="8.25" customHeight="1" x14ac:dyDescent="0.2">
      <c r="A146" s="149">
        <v>35001</v>
      </c>
      <c r="B146" s="84"/>
      <c r="C146" s="150" t="s">
        <v>465</v>
      </c>
      <c r="D146" s="146">
        <v>7468</v>
      </c>
      <c r="E146" s="146">
        <v>5007</v>
      </c>
      <c r="F146" s="146">
        <v>411</v>
      </c>
      <c r="G146" s="146">
        <v>697</v>
      </c>
      <c r="H146" s="146">
        <v>309</v>
      </c>
      <c r="I146" s="146">
        <v>1156</v>
      </c>
      <c r="J146" s="146">
        <v>479</v>
      </c>
      <c r="K146" s="146">
        <v>1643</v>
      </c>
      <c r="L146" s="146">
        <v>55</v>
      </c>
      <c r="M146" s="146">
        <v>3271</v>
      </c>
      <c r="N146" s="146">
        <v>725</v>
      </c>
      <c r="O146" s="146">
        <v>63</v>
      </c>
      <c r="P146" s="146">
        <v>1513</v>
      </c>
      <c r="Q146" s="146">
        <v>242</v>
      </c>
      <c r="R146" s="146">
        <v>294</v>
      </c>
      <c r="S146" s="146">
        <v>883</v>
      </c>
      <c r="T146" s="146">
        <v>2169</v>
      </c>
      <c r="U146" s="146">
        <v>159</v>
      </c>
      <c r="V146" s="146">
        <v>39</v>
      </c>
      <c r="W146" s="146">
        <v>172</v>
      </c>
      <c r="X146" s="146">
        <v>4583</v>
      </c>
      <c r="Y146" s="146">
        <v>723</v>
      </c>
      <c r="Z146" s="146">
        <v>221</v>
      </c>
      <c r="AA146" s="146">
        <v>316</v>
      </c>
      <c r="AB146" s="146">
        <v>2227</v>
      </c>
      <c r="AC146" s="146"/>
      <c r="AD146" s="146"/>
      <c r="AE146" s="146">
        <v>3605</v>
      </c>
      <c r="AF146" s="146">
        <v>2800</v>
      </c>
      <c r="AG146" s="146">
        <v>1317</v>
      </c>
      <c r="AH146" s="146">
        <v>169</v>
      </c>
      <c r="AI146" s="146">
        <v>658</v>
      </c>
      <c r="AJ146" s="146">
        <v>701</v>
      </c>
      <c r="AK146" s="146">
        <v>506</v>
      </c>
      <c r="AL146" s="146">
        <v>1189</v>
      </c>
      <c r="AM146" s="146">
        <v>326</v>
      </c>
      <c r="AN146" s="146">
        <v>414</v>
      </c>
      <c r="AO146" s="146">
        <v>260</v>
      </c>
      <c r="AP146" s="146"/>
      <c r="AQ146" s="146"/>
      <c r="AR146" s="146">
        <v>3458</v>
      </c>
      <c r="AS146" s="146">
        <v>640</v>
      </c>
      <c r="AT146" s="146">
        <v>21120</v>
      </c>
      <c r="AU146" s="146">
        <v>1405</v>
      </c>
      <c r="AV146" s="146">
        <v>61</v>
      </c>
      <c r="AW146" s="146">
        <v>41</v>
      </c>
      <c r="AX146" s="146">
        <v>1169</v>
      </c>
      <c r="AY146" s="146">
        <v>1364</v>
      </c>
      <c r="AZ146" s="146">
        <v>1742</v>
      </c>
      <c r="BA146" s="146">
        <v>169</v>
      </c>
      <c r="BB146" s="146">
        <v>410</v>
      </c>
      <c r="BC146" s="146">
        <v>2034</v>
      </c>
      <c r="BD146" s="146">
        <v>584</v>
      </c>
      <c r="BE146" s="146">
        <v>2544</v>
      </c>
      <c r="BF146" s="146">
        <v>464</v>
      </c>
      <c r="BG146" s="146">
        <v>1125</v>
      </c>
      <c r="BH146" s="146">
        <v>320</v>
      </c>
      <c r="BI146" s="146">
        <v>186</v>
      </c>
      <c r="BJ146" s="146">
        <v>163</v>
      </c>
      <c r="BK146" s="146">
        <v>7055</v>
      </c>
      <c r="BL146" s="146">
        <v>103</v>
      </c>
      <c r="BM146" s="146">
        <v>5902</v>
      </c>
      <c r="BN146" s="146">
        <v>1836</v>
      </c>
      <c r="BO146" s="146">
        <v>2459</v>
      </c>
      <c r="BP146" s="146">
        <v>1392</v>
      </c>
      <c r="BQ146" s="146">
        <v>1630</v>
      </c>
      <c r="BR146" s="146">
        <v>966</v>
      </c>
      <c r="BS146" s="146">
        <v>3464</v>
      </c>
      <c r="BT146" s="146">
        <v>0</v>
      </c>
      <c r="BU146" s="146">
        <v>209805</v>
      </c>
      <c r="BV146" s="146">
        <v>0</v>
      </c>
      <c r="BW146" s="146">
        <v>0</v>
      </c>
      <c r="BX146" s="146">
        <v>0</v>
      </c>
      <c r="BY146" s="146">
        <v>100586</v>
      </c>
      <c r="BZ146" s="146">
        <v>0</v>
      </c>
      <c r="CA146" s="146">
        <v>0</v>
      </c>
      <c r="CB146" s="146">
        <v>100586</v>
      </c>
      <c r="CC146" s="146">
        <v>310391</v>
      </c>
      <c r="CE146" s="146">
        <v>4615</v>
      </c>
      <c r="CF146" s="146">
        <v>94614</v>
      </c>
      <c r="CG146" s="149"/>
    </row>
  </sheetData>
  <mergeCells count="3">
    <mergeCell ref="A3:A4"/>
    <mergeCell ref="B3:B4"/>
    <mergeCell ref="CG3:CG4"/>
  </mergeCells>
  <printOptions horizontalCentered="1"/>
  <pageMargins left="0.19685039370078741" right="0" top="0.19685039370078741" bottom="0.1968503937007874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D587-3F86-4EE2-9BCE-0D17BB167BC1}">
  <dimension ref="A1:BY143"/>
  <sheetViews>
    <sheetView showGridLines="0" zoomScaleNormal="100" workbookViewId="0"/>
  </sheetViews>
  <sheetFormatPr baseColWidth="10" defaultColWidth="11.5" defaultRowHeight="15" x14ac:dyDescent="0.2"/>
  <cols>
    <col min="1" max="1" width="7.1640625" style="73" customWidth="1"/>
    <col min="3" max="3" width="36.1640625" style="73" bestFit="1" customWidth="1"/>
    <col min="4" max="74" width="12.83203125" style="73" customWidth="1"/>
    <col min="75" max="75" width="11.5" style="73"/>
    <col min="76" max="77" width="12.83203125" style="73" customWidth="1"/>
    <col min="78" max="254" width="11.5" style="73"/>
    <col min="255" max="255" width="7.1640625" style="73" customWidth="1"/>
    <col min="256" max="256" width="36.1640625" style="73" bestFit="1" customWidth="1"/>
    <col min="257" max="330" width="12.83203125" style="73" customWidth="1"/>
    <col min="331" max="510" width="11.5" style="73"/>
    <col min="511" max="511" width="7.1640625" style="73" customWidth="1"/>
    <col min="512" max="512" width="36.1640625" style="73" bestFit="1" customWidth="1"/>
    <col min="513" max="586" width="12.83203125" style="73" customWidth="1"/>
    <col min="587" max="766" width="11.5" style="73"/>
    <col min="767" max="767" width="7.1640625" style="73" customWidth="1"/>
    <col min="768" max="768" width="36.1640625" style="73" bestFit="1" customWidth="1"/>
    <col min="769" max="842" width="12.83203125" style="73" customWidth="1"/>
    <col min="843" max="1022" width="11.5" style="73"/>
    <col min="1023" max="1023" width="7.1640625" style="73" customWidth="1"/>
    <col min="1024" max="1024" width="36.1640625" style="73" bestFit="1" customWidth="1"/>
    <col min="1025" max="1098" width="12.83203125" style="73" customWidth="1"/>
    <col min="1099" max="1278" width="11.5" style="73"/>
    <col min="1279" max="1279" width="7.1640625" style="73" customWidth="1"/>
    <col min="1280" max="1280" width="36.1640625" style="73" bestFit="1" customWidth="1"/>
    <col min="1281" max="1354" width="12.83203125" style="73" customWidth="1"/>
    <col min="1355" max="1534" width="11.5" style="73"/>
    <col min="1535" max="1535" width="7.1640625" style="73" customWidth="1"/>
    <col min="1536" max="1536" width="36.1640625" style="73" bestFit="1" customWidth="1"/>
    <col min="1537" max="1610" width="12.83203125" style="73" customWidth="1"/>
    <col min="1611" max="1790" width="11.5" style="73"/>
    <col min="1791" max="1791" width="7.1640625" style="73" customWidth="1"/>
    <col min="1792" max="1792" width="36.1640625" style="73" bestFit="1" customWidth="1"/>
    <col min="1793" max="1866" width="12.83203125" style="73" customWidth="1"/>
    <col min="1867" max="2046" width="11.5" style="73"/>
    <col min="2047" max="2047" width="7.1640625" style="73" customWidth="1"/>
    <col min="2048" max="2048" width="36.1640625" style="73" bestFit="1" customWidth="1"/>
    <col min="2049" max="2122" width="12.83203125" style="73" customWidth="1"/>
    <col min="2123" max="2302" width="11.5" style="73"/>
    <col min="2303" max="2303" width="7.1640625" style="73" customWidth="1"/>
    <col min="2304" max="2304" width="36.1640625" style="73" bestFit="1" customWidth="1"/>
    <col min="2305" max="2378" width="12.83203125" style="73" customWidth="1"/>
    <col min="2379" max="2558" width="11.5" style="73"/>
    <col min="2559" max="2559" width="7.1640625" style="73" customWidth="1"/>
    <col min="2560" max="2560" width="36.1640625" style="73" bestFit="1" customWidth="1"/>
    <col min="2561" max="2634" width="12.83203125" style="73" customWidth="1"/>
    <col min="2635" max="2814" width="11.5" style="73"/>
    <col min="2815" max="2815" width="7.1640625" style="73" customWidth="1"/>
    <col min="2816" max="2816" width="36.1640625" style="73" bestFit="1" customWidth="1"/>
    <col min="2817" max="2890" width="12.83203125" style="73" customWidth="1"/>
    <col min="2891" max="3070" width="11.5" style="73"/>
    <col min="3071" max="3071" width="7.1640625" style="73" customWidth="1"/>
    <col min="3072" max="3072" width="36.1640625" style="73" bestFit="1" customWidth="1"/>
    <col min="3073" max="3146" width="12.83203125" style="73" customWidth="1"/>
    <col min="3147" max="3326" width="11.5" style="73"/>
    <col min="3327" max="3327" width="7.1640625" style="73" customWidth="1"/>
    <col min="3328" max="3328" width="36.1640625" style="73" bestFit="1" customWidth="1"/>
    <col min="3329" max="3402" width="12.83203125" style="73" customWidth="1"/>
    <col min="3403" max="3582" width="11.5" style="73"/>
    <col min="3583" max="3583" width="7.1640625" style="73" customWidth="1"/>
    <col min="3584" max="3584" width="36.1640625" style="73" bestFit="1" customWidth="1"/>
    <col min="3585" max="3658" width="12.83203125" style="73" customWidth="1"/>
    <col min="3659" max="3838" width="11.5" style="73"/>
    <col min="3839" max="3839" width="7.1640625" style="73" customWidth="1"/>
    <col min="3840" max="3840" width="36.1640625" style="73" bestFit="1" customWidth="1"/>
    <col min="3841" max="3914" width="12.83203125" style="73" customWidth="1"/>
    <col min="3915" max="4094" width="11.5" style="73"/>
    <col min="4095" max="4095" width="7.1640625" style="73" customWidth="1"/>
    <col min="4096" max="4096" width="36.1640625" style="73" bestFit="1" customWidth="1"/>
    <col min="4097" max="4170" width="12.83203125" style="73" customWidth="1"/>
    <col min="4171" max="4350" width="11.5" style="73"/>
    <col min="4351" max="4351" width="7.1640625" style="73" customWidth="1"/>
    <col min="4352" max="4352" width="36.1640625" style="73" bestFit="1" customWidth="1"/>
    <col min="4353" max="4426" width="12.83203125" style="73" customWidth="1"/>
    <col min="4427" max="4606" width="11.5" style="73"/>
    <col min="4607" max="4607" width="7.1640625" style="73" customWidth="1"/>
    <col min="4608" max="4608" width="36.1640625" style="73" bestFit="1" customWidth="1"/>
    <col min="4609" max="4682" width="12.83203125" style="73" customWidth="1"/>
    <col min="4683" max="4862" width="11.5" style="73"/>
    <col min="4863" max="4863" width="7.1640625" style="73" customWidth="1"/>
    <col min="4864" max="4864" width="36.1640625" style="73" bestFit="1" customWidth="1"/>
    <col min="4865" max="4938" width="12.83203125" style="73" customWidth="1"/>
    <col min="4939" max="5118" width="11.5" style="73"/>
    <col min="5119" max="5119" width="7.1640625" style="73" customWidth="1"/>
    <col min="5120" max="5120" width="36.1640625" style="73" bestFit="1" customWidth="1"/>
    <col min="5121" max="5194" width="12.83203125" style="73" customWidth="1"/>
    <col min="5195" max="5374" width="11.5" style="73"/>
    <col min="5375" max="5375" width="7.1640625" style="73" customWidth="1"/>
    <col min="5376" max="5376" width="36.1640625" style="73" bestFit="1" customWidth="1"/>
    <col min="5377" max="5450" width="12.83203125" style="73" customWidth="1"/>
    <col min="5451" max="5630" width="11.5" style="73"/>
    <col min="5631" max="5631" width="7.1640625" style="73" customWidth="1"/>
    <col min="5632" max="5632" width="36.1640625" style="73" bestFit="1" customWidth="1"/>
    <col min="5633" max="5706" width="12.83203125" style="73" customWidth="1"/>
    <col min="5707" max="5886" width="11.5" style="73"/>
    <col min="5887" max="5887" width="7.1640625" style="73" customWidth="1"/>
    <col min="5888" max="5888" width="36.1640625" style="73" bestFit="1" customWidth="1"/>
    <col min="5889" max="5962" width="12.83203125" style="73" customWidth="1"/>
    <col min="5963" max="6142" width="11.5" style="73"/>
    <col min="6143" max="6143" width="7.1640625" style="73" customWidth="1"/>
    <col min="6144" max="6144" width="36.1640625" style="73" bestFit="1" customWidth="1"/>
    <col min="6145" max="6218" width="12.83203125" style="73" customWidth="1"/>
    <col min="6219" max="6398" width="11.5" style="73"/>
    <col min="6399" max="6399" width="7.1640625" style="73" customWidth="1"/>
    <col min="6400" max="6400" width="36.1640625" style="73" bestFit="1" customWidth="1"/>
    <col min="6401" max="6474" width="12.83203125" style="73" customWidth="1"/>
    <col min="6475" max="6654" width="11.5" style="73"/>
    <col min="6655" max="6655" width="7.1640625" style="73" customWidth="1"/>
    <col min="6656" max="6656" width="36.1640625" style="73" bestFit="1" customWidth="1"/>
    <col min="6657" max="6730" width="12.83203125" style="73" customWidth="1"/>
    <col min="6731" max="6910" width="11.5" style="73"/>
    <col min="6911" max="6911" width="7.1640625" style="73" customWidth="1"/>
    <col min="6912" max="6912" width="36.1640625" style="73" bestFit="1" customWidth="1"/>
    <col min="6913" max="6986" width="12.83203125" style="73" customWidth="1"/>
    <col min="6987" max="7166" width="11.5" style="73"/>
    <col min="7167" max="7167" width="7.1640625" style="73" customWidth="1"/>
    <col min="7168" max="7168" width="36.1640625" style="73" bestFit="1" customWidth="1"/>
    <col min="7169" max="7242" width="12.83203125" style="73" customWidth="1"/>
    <col min="7243" max="7422" width="11.5" style="73"/>
    <col min="7423" max="7423" width="7.1640625" style="73" customWidth="1"/>
    <col min="7424" max="7424" width="36.1640625" style="73" bestFit="1" customWidth="1"/>
    <col min="7425" max="7498" width="12.83203125" style="73" customWidth="1"/>
    <col min="7499" max="7678" width="11.5" style="73"/>
    <col min="7679" max="7679" width="7.1640625" style="73" customWidth="1"/>
    <col min="7680" max="7680" width="36.1640625" style="73" bestFit="1" customWidth="1"/>
    <col min="7681" max="7754" width="12.83203125" style="73" customWidth="1"/>
    <col min="7755" max="7934" width="11.5" style="73"/>
    <col min="7935" max="7935" width="7.1640625" style="73" customWidth="1"/>
    <col min="7936" max="7936" width="36.1640625" style="73" bestFit="1" customWidth="1"/>
    <col min="7937" max="8010" width="12.83203125" style="73" customWidth="1"/>
    <col min="8011" max="8190" width="11.5" style="73"/>
    <col min="8191" max="8191" width="7.1640625" style="73" customWidth="1"/>
    <col min="8192" max="8192" width="36.1640625" style="73" bestFit="1" customWidth="1"/>
    <col min="8193" max="8266" width="12.83203125" style="73" customWidth="1"/>
    <col min="8267" max="8446" width="11.5" style="73"/>
    <col min="8447" max="8447" width="7.1640625" style="73" customWidth="1"/>
    <col min="8448" max="8448" width="36.1640625" style="73" bestFit="1" customWidth="1"/>
    <col min="8449" max="8522" width="12.83203125" style="73" customWidth="1"/>
    <col min="8523" max="8702" width="11.5" style="73"/>
    <col min="8703" max="8703" width="7.1640625" style="73" customWidth="1"/>
    <col min="8704" max="8704" width="36.1640625" style="73" bestFit="1" customWidth="1"/>
    <col min="8705" max="8778" width="12.83203125" style="73" customWidth="1"/>
    <col min="8779" max="8958" width="11.5" style="73"/>
    <col min="8959" max="8959" width="7.1640625" style="73" customWidth="1"/>
    <col min="8960" max="8960" width="36.1640625" style="73" bestFit="1" customWidth="1"/>
    <col min="8961" max="9034" width="12.83203125" style="73" customWidth="1"/>
    <col min="9035" max="9214" width="11.5" style="73"/>
    <col min="9215" max="9215" width="7.1640625" style="73" customWidth="1"/>
    <col min="9216" max="9216" width="36.1640625" style="73" bestFit="1" customWidth="1"/>
    <col min="9217" max="9290" width="12.83203125" style="73" customWidth="1"/>
    <col min="9291" max="9470" width="11.5" style="73"/>
    <col min="9471" max="9471" width="7.1640625" style="73" customWidth="1"/>
    <col min="9472" max="9472" width="36.1640625" style="73" bestFit="1" customWidth="1"/>
    <col min="9473" max="9546" width="12.83203125" style="73" customWidth="1"/>
    <col min="9547" max="9726" width="11.5" style="73"/>
    <col min="9727" max="9727" width="7.1640625" style="73" customWidth="1"/>
    <col min="9728" max="9728" width="36.1640625" style="73" bestFit="1" customWidth="1"/>
    <col min="9729" max="9802" width="12.83203125" style="73" customWidth="1"/>
    <col min="9803" max="9982" width="11.5" style="73"/>
    <col min="9983" max="9983" width="7.1640625" style="73" customWidth="1"/>
    <col min="9984" max="9984" width="36.1640625" style="73" bestFit="1" customWidth="1"/>
    <col min="9985" max="10058" width="12.83203125" style="73" customWidth="1"/>
    <col min="10059" max="10238" width="11.5" style="73"/>
    <col min="10239" max="10239" width="7.1640625" style="73" customWidth="1"/>
    <col min="10240" max="10240" width="36.1640625" style="73" bestFit="1" customWidth="1"/>
    <col min="10241" max="10314" width="12.83203125" style="73" customWidth="1"/>
    <col min="10315" max="10494" width="11.5" style="73"/>
    <col min="10495" max="10495" width="7.1640625" style="73" customWidth="1"/>
    <col min="10496" max="10496" width="36.1640625" style="73" bestFit="1" customWidth="1"/>
    <col min="10497" max="10570" width="12.83203125" style="73" customWidth="1"/>
    <col min="10571" max="10750" width="11.5" style="73"/>
    <col min="10751" max="10751" width="7.1640625" style="73" customWidth="1"/>
    <col min="10752" max="10752" width="36.1640625" style="73" bestFit="1" customWidth="1"/>
    <col min="10753" max="10826" width="12.83203125" style="73" customWidth="1"/>
    <col min="10827" max="11006" width="11.5" style="73"/>
    <col min="11007" max="11007" width="7.1640625" style="73" customWidth="1"/>
    <col min="11008" max="11008" width="36.1640625" style="73" bestFit="1" customWidth="1"/>
    <col min="11009" max="11082" width="12.83203125" style="73" customWidth="1"/>
    <col min="11083" max="11262" width="11.5" style="73"/>
    <col min="11263" max="11263" width="7.1640625" style="73" customWidth="1"/>
    <col min="11264" max="11264" width="36.1640625" style="73" bestFit="1" customWidth="1"/>
    <col min="11265" max="11338" width="12.83203125" style="73" customWidth="1"/>
    <col min="11339" max="11518" width="11.5" style="73"/>
    <col min="11519" max="11519" width="7.1640625" style="73" customWidth="1"/>
    <col min="11520" max="11520" width="36.1640625" style="73" bestFit="1" customWidth="1"/>
    <col min="11521" max="11594" width="12.83203125" style="73" customWidth="1"/>
    <col min="11595" max="11774" width="11.5" style="73"/>
    <col min="11775" max="11775" width="7.1640625" style="73" customWidth="1"/>
    <col min="11776" max="11776" width="36.1640625" style="73" bestFit="1" customWidth="1"/>
    <col min="11777" max="11850" width="12.83203125" style="73" customWidth="1"/>
    <col min="11851" max="12030" width="11.5" style="73"/>
    <col min="12031" max="12031" width="7.1640625" style="73" customWidth="1"/>
    <col min="12032" max="12032" width="36.1640625" style="73" bestFit="1" customWidth="1"/>
    <col min="12033" max="12106" width="12.83203125" style="73" customWidth="1"/>
    <col min="12107" max="12286" width="11.5" style="73"/>
    <col min="12287" max="12287" width="7.1640625" style="73" customWidth="1"/>
    <col min="12288" max="12288" width="36.1640625" style="73" bestFit="1" customWidth="1"/>
    <col min="12289" max="12362" width="12.83203125" style="73" customWidth="1"/>
    <col min="12363" max="12542" width="11.5" style="73"/>
    <col min="12543" max="12543" width="7.1640625" style="73" customWidth="1"/>
    <col min="12544" max="12544" width="36.1640625" style="73" bestFit="1" customWidth="1"/>
    <col min="12545" max="12618" width="12.83203125" style="73" customWidth="1"/>
    <col min="12619" max="12798" width="11.5" style="73"/>
    <col min="12799" max="12799" width="7.1640625" style="73" customWidth="1"/>
    <col min="12800" max="12800" width="36.1640625" style="73" bestFit="1" customWidth="1"/>
    <col min="12801" max="12874" width="12.83203125" style="73" customWidth="1"/>
    <col min="12875" max="13054" width="11.5" style="73"/>
    <col min="13055" max="13055" width="7.1640625" style="73" customWidth="1"/>
    <col min="13056" max="13056" width="36.1640625" style="73" bestFit="1" customWidth="1"/>
    <col min="13057" max="13130" width="12.83203125" style="73" customWidth="1"/>
    <col min="13131" max="13310" width="11.5" style="73"/>
    <col min="13311" max="13311" width="7.1640625" style="73" customWidth="1"/>
    <col min="13312" max="13312" width="36.1640625" style="73" bestFit="1" customWidth="1"/>
    <col min="13313" max="13386" width="12.83203125" style="73" customWidth="1"/>
    <col min="13387" max="13566" width="11.5" style="73"/>
    <col min="13567" max="13567" width="7.1640625" style="73" customWidth="1"/>
    <col min="13568" max="13568" width="36.1640625" style="73" bestFit="1" customWidth="1"/>
    <col min="13569" max="13642" width="12.83203125" style="73" customWidth="1"/>
    <col min="13643" max="13822" width="11.5" style="73"/>
    <col min="13823" max="13823" width="7.1640625" style="73" customWidth="1"/>
    <col min="13824" max="13824" width="36.1640625" style="73" bestFit="1" customWidth="1"/>
    <col min="13825" max="13898" width="12.83203125" style="73" customWidth="1"/>
    <col min="13899" max="14078" width="11.5" style="73"/>
    <col min="14079" max="14079" width="7.1640625" style="73" customWidth="1"/>
    <col min="14080" max="14080" width="36.1640625" style="73" bestFit="1" customWidth="1"/>
    <col min="14081" max="14154" width="12.83203125" style="73" customWidth="1"/>
    <col min="14155" max="14334" width="11.5" style="73"/>
    <col min="14335" max="14335" width="7.1640625" style="73" customWidth="1"/>
    <col min="14336" max="14336" width="36.1640625" style="73" bestFit="1" customWidth="1"/>
    <col min="14337" max="14410" width="12.83203125" style="73" customWidth="1"/>
    <col min="14411" max="14590" width="11.5" style="73"/>
    <col min="14591" max="14591" width="7.1640625" style="73" customWidth="1"/>
    <col min="14592" max="14592" width="36.1640625" style="73" bestFit="1" customWidth="1"/>
    <col min="14593" max="14666" width="12.83203125" style="73" customWidth="1"/>
    <col min="14667" max="14846" width="11.5" style="73"/>
    <col min="14847" max="14847" width="7.1640625" style="73" customWidth="1"/>
    <col min="14848" max="14848" width="36.1640625" style="73" bestFit="1" customWidth="1"/>
    <col min="14849" max="14922" width="12.83203125" style="73" customWidth="1"/>
    <col min="14923" max="15102" width="11.5" style="73"/>
    <col min="15103" max="15103" width="7.1640625" style="73" customWidth="1"/>
    <col min="15104" max="15104" width="36.1640625" style="73" bestFit="1" customWidth="1"/>
    <col min="15105" max="15178" width="12.83203125" style="73" customWidth="1"/>
    <col min="15179" max="15358" width="11.5" style="73"/>
    <col min="15359" max="15359" width="7.1640625" style="73" customWidth="1"/>
    <col min="15360" max="15360" width="36.1640625" style="73" bestFit="1" customWidth="1"/>
    <col min="15361" max="15434" width="12.83203125" style="73" customWidth="1"/>
    <col min="15435" max="15614" width="11.5" style="73"/>
    <col min="15615" max="15615" width="7.1640625" style="73" customWidth="1"/>
    <col min="15616" max="15616" width="36.1640625" style="73" bestFit="1" customWidth="1"/>
    <col min="15617" max="15690" width="12.83203125" style="73" customWidth="1"/>
    <col min="15691" max="15870" width="11.5" style="73"/>
    <col min="15871" max="15871" width="7.1640625" style="73" customWidth="1"/>
    <col min="15872" max="15872" width="36.1640625" style="73" bestFit="1" customWidth="1"/>
    <col min="15873" max="15946" width="12.83203125" style="73" customWidth="1"/>
    <col min="15947" max="16126" width="11.5" style="73"/>
    <col min="16127" max="16127" width="7.1640625" style="73" customWidth="1"/>
    <col min="16128" max="16128" width="36.1640625" style="73" bestFit="1" customWidth="1"/>
    <col min="16129" max="16202" width="12.83203125" style="73" customWidth="1"/>
    <col min="16203" max="16384" width="11.5" style="73"/>
  </cols>
  <sheetData>
    <row r="1" spans="1:77" s="71" customFormat="1" ht="10.25" customHeight="1" x14ac:dyDescent="0.15">
      <c r="A1" s="71" t="s">
        <v>628</v>
      </c>
      <c r="C1" s="72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X1" s="81"/>
      <c r="BY1" s="81"/>
    </row>
    <row r="2" spans="1:77" ht="12" customHeight="1" x14ac:dyDescent="0.15">
      <c r="B2" s="73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X2" s="81"/>
      <c r="BY2" s="81"/>
    </row>
    <row r="3" spans="1:77" ht="12" customHeight="1" x14ac:dyDescent="0.15">
      <c r="A3" s="230" t="s">
        <v>214</v>
      </c>
      <c r="B3" s="228" t="s">
        <v>169</v>
      </c>
      <c r="C3" s="174" t="s">
        <v>629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X3" s="176"/>
      <c r="BY3" s="177"/>
    </row>
    <row r="4" spans="1:77" ht="49.5" customHeight="1" x14ac:dyDescent="0.15">
      <c r="A4" s="231"/>
      <c r="B4" s="232"/>
      <c r="C4" s="203" t="s">
        <v>216</v>
      </c>
      <c r="D4" s="178" t="s">
        <v>217</v>
      </c>
      <c r="E4" s="178" t="s">
        <v>218</v>
      </c>
      <c r="F4" s="178" t="s">
        <v>219</v>
      </c>
      <c r="G4" s="178" t="s">
        <v>220</v>
      </c>
      <c r="H4" s="178" t="s">
        <v>221</v>
      </c>
      <c r="I4" s="178" t="s">
        <v>222</v>
      </c>
      <c r="J4" s="178" t="s">
        <v>223</v>
      </c>
      <c r="K4" s="178" t="s">
        <v>224</v>
      </c>
      <c r="L4" s="178" t="s">
        <v>225</v>
      </c>
      <c r="M4" s="178" t="s">
        <v>226</v>
      </c>
      <c r="N4" s="178" t="s">
        <v>227</v>
      </c>
      <c r="O4" s="178" t="s">
        <v>228</v>
      </c>
      <c r="P4" s="178" t="s">
        <v>229</v>
      </c>
      <c r="Q4" s="178" t="s">
        <v>230</v>
      </c>
      <c r="R4" s="178" t="s">
        <v>231</v>
      </c>
      <c r="S4" s="178" t="s">
        <v>232</v>
      </c>
      <c r="T4" s="178" t="s">
        <v>233</v>
      </c>
      <c r="U4" s="178" t="s">
        <v>234</v>
      </c>
      <c r="V4" s="178" t="s">
        <v>235</v>
      </c>
      <c r="W4" s="178" t="s">
        <v>236</v>
      </c>
      <c r="X4" s="178" t="s">
        <v>237</v>
      </c>
      <c r="Y4" s="178" t="s">
        <v>238</v>
      </c>
      <c r="Z4" s="178" t="s">
        <v>239</v>
      </c>
      <c r="AA4" s="178" t="s">
        <v>240</v>
      </c>
      <c r="AB4" s="178" t="s">
        <v>241</v>
      </c>
      <c r="AC4" s="179" t="s">
        <v>242</v>
      </c>
      <c r="AD4" s="179" t="s">
        <v>243</v>
      </c>
      <c r="AE4" s="178" t="s">
        <v>244</v>
      </c>
      <c r="AF4" s="178" t="s">
        <v>245</v>
      </c>
      <c r="AG4" s="178" t="s">
        <v>246</v>
      </c>
      <c r="AH4" s="178" t="s">
        <v>247</v>
      </c>
      <c r="AI4" s="178" t="s">
        <v>248</v>
      </c>
      <c r="AJ4" s="178" t="s">
        <v>249</v>
      </c>
      <c r="AK4" s="178" t="s">
        <v>250</v>
      </c>
      <c r="AL4" s="178" t="s">
        <v>251</v>
      </c>
      <c r="AM4" s="178" t="s">
        <v>252</v>
      </c>
      <c r="AN4" s="178" t="s">
        <v>253</v>
      </c>
      <c r="AO4" s="178" t="s">
        <v>254</v>
      </c>
      <c r="AP4" s="179" t="s">
        <v>255</v>
      </c>
      <c r="AQ4" s="179" t="s">
        <v>256</v>
      </c>
      <c r="AR4" s="178" t="s">
        <v>257</v>
      </c>
      <c r="AS4" s="178" t="s">
        <v>258</v>
      </c>
      <c r="AT4" s="178" t="s">
        <v>259</v>
      </c>
      <c r="AU4" s="178" t="s">
        <v>260</v>
      </c>
      <c r="AV4" s="178" t="s">
        <v>261</v>
      </c>
      <c r="AW4" s="178" t="s">
        <v>262</v>
      </c>
      <c r="AX4" s="178" t="s">
        <v>263</v>
      </c>
      <c r="AY4" s="178" t="s">
        <v>264</v>
      </c>
      <c r="AZ4" s="178" t="s">
        <v>265</v>
      </c>
      <c r="BA4" s="178" t="s">
        <v>266</v>
      </c>
      <c r="BB4" s="178" t="s">
        <v>267</v>
      </c>
      <c r="BC4" s="178" t="s">
        <v>268</v>
      </c>
      <c r="BD4" s="178" t="s">
        <v>269</v>
      </c>
      <c r="BE4" s="178" t="s">
        <v>270</v>
      </c>
      <c r="BF4" s="178" t="s">
        <v>271</v>
      </c>
      <c r="BG4" s="178" t="s">
        <v>272</v>
      </c>
      <c r="BH4" s="178" t="s">
        <v>273</v>
      </c>
      <c r="BI4" s="178" t="s">
        <v>274</v>
      </c>
      <c r="BJ4" s="178" t="s">
        <v>275</v>
      </c>
      <c r="BK4" s="178" t="s">
        <v>276</v>
      </c>
      <c r="BL4" s="178" t="s">
        <v>277</v>
      </c>
      <c r="BM4" s="178" t="s">
        <v>278</v>
      </c>
      <c r="BN4" s="178" t="s">
        <v>279</v>
      </c>
      <c r="BO4" s="178" t="s">
        <v>280</v>
      </c>
      <c r="BP4" s="178" t="s">
        <v>281</v>
      </c>
      <c r="BQ4" s="178" t="s">
        <v>282</v>
      </c>
      <c r="BR4" s="178" t="s">
        <v>283</v>
      </c>
      <c r="BS4" s="178" t="s">
        <v>284</v>
      </c>
      <c r="BT4" s="178" t="s">
        <v>285</v>
      </c>
      <c r="BU4" s="180" t="s">
        <v>286</v>
      </c>
      <c r="BV4" s="178" t="s">
        <v>630</v>
      </c>
      <c r="BX4" s="181" t="s">
        <v>344</v>
      </c>
      <c r="BY4" s="182" t="s">
        <v>375</v>
      </c>
    </row>
    <row r="5" spans="1:77" ht="9" customHeight="1" x14ac:dyDescent="0.2">
      <c r="A5" s="204"/>
      <c r="B5" s="205"/>
      <c r="C5" s="206"/>
      <c r="D5" s="207">
        <v>191</v>
      </c>
      <c r="E5" s="207">
        <v>192</v>
      </c>
      <c r="F5" s="207">
        <v>280</v>
      </c>
      <c r="G5" s="207">
        <v>580</v>
      </c>
      <c r="H5" s="207">
        <v>680</v>
      </c>
      <c r="I5" s="207">
        <v>791</v>
      </c>
      <c r="J5" s="207">
        <v>792</v>
      </c>
      <c r="K5" s="207">
        <v>1091</v>
      </c>
      <c r="L5" s="207">
        <v>1092</v>
      </c>
      <c r="M5" s="207">
        <v>1093</v>
      </c>
      <c r="N5" s="207">
        <v>1100</v>
      </c>
      <c r="O5" s="207">
        <v>1200</v>
      </c>
      <c r="P5" s="207">
        <v>1300</v>
      </c>
      <c r="Q5" s="207">
        <v>1400</v>
      </c>
      <c r="R5" s="207">
        <v>1500</v>
      </c>
      <c r="S5" s="207">
        <v>1600</v>
      </c>
      <c r="T5" s="207">
        <v>1700</v>
      </c>
      <c r="U5" s="207">
        <v>1800</v>
      </c>
      <c r="V5" s="207">
        <v>1991</v>
      </c>
      <c r="W5" s="207">
        <v>1992</v>
      </c>
      <c r="X5" s="207">
        <v>2091</v>
      </c>
      <c r="Y5" s="207">
        <v>2092</v>
      </c>
      <c r="Z5" s="207">
        <v>2093</v>
      </c>
      <c r="AA5" s="207">
        <v>2100</v>
      </c>
      <c r="AB5" s="207">
        <v>2200</v>
      </c>
      <c r="AC5" s="207">
        <v>2310</v>
      </c>
      <c r="AD5" s="207">
        <v>2320</v>
      </c>
      <c r="AE5" s="207">
        <v>2491</v>
      </c>
      <c r="AF5" s="207">
        <v>2492</v>
      </c>
      <c r="AG5" s="207">
        <v>2500</v>
      </c>
      <c r="AH5" s="207">
        <v>2600</v>
      </c>
      <c r="AI5" s="207">
        <v>2700</v>
      </c>
      <c r="AJ5" s="207">
        <v>2800</v>
      </c>
      <c r="AK5" s="207">
        <v>2991</v>
      </c>
      <c r="AL5" s="207">
        <v>2992</v>
      </c>
      <c r="AM5" s="207">
        <v>3000</v>
      </c>
      <c r="AN5" s="207">
        <v>3180</v>
      </c>
      <c r="AO5" s="207">
        <v>3300</v>
      </c>
      <c r="AP5" s="207">
        <v>3510</v>
      </c>
      <c r="AQ5" s="207">
        <v>3520</v>
      </c>
      <c r="AR5" s="207">
        <v>3680</v>
      </c>
      <c r="AS5" s="207">
        <v>4180</v>
      </c>
      <c r="AT5" s="207">
        <v>4580</v>
      </c>
      <c r="AU5" s="207">
        <v>4900</v>
      </c>
      <c r="AV5" s="207">
        <v>5000</v>
      </c>
      <c r="AW5" s="207">
        <v>5100</v>
      </c>
      <c r="AX5" s="207">
        <v>5280</v>
      </c>
      <c r="AY5" s="207">
        <v>5500</v>
      </c>
      <c r="AZ5" s="207">
        <v>5600</v>
      </c>
      <c r="BA5" s="207">
        <v>5800</v>
      </c>
      <c r="BB5" s="207">
        <v>5980</v>
      </c>
      <c r="BC5" s="207">
        <v>6100</v>
      </c>
      <c r="BD5" s="207">
        <v>6280</v>
      </c>
      <c r="BE5" s="207">
        <v>6480</v>
      </c>
      <c r="BF5" s="207">
        <v>6800</v>
      </c>
      <c r="BG5" s="207">
        <v>6980</v>
      </c>
      <c r="BH5" s="207">
        <v>7180</v>
      </c>
      <c r="BI5" s="207">
        <v>7380</v>
      </c>
      <c r="BJ5" s="207">
        <v>7700</v>
      </c>
      <c r="BK5" s="207">
        <v>7880</v>
      </c>
      <c r="BL5" s="207">
        <v>8000</v>
      </c>
      <c r="BM5" s="207">
        <v>8400</v>
      </c>
      <c r="BN5" s="207">
        <v>8591</v>
      </c>
      <c r="BO5" s="207">
        <v>8592</v>
      </c>
      <c r="BP5" s="207">
        <v>8691</v>
      </c>
      <c r="BQ5" s="207">
        <v>8692</v>
      </c>
      <c r="BR5" s="207">
        <v>9080</v>
      </c>
      <c r="BS5" s="207">
        <v>9480</v>
      </c>
      <c r="BT5" s="207">
        <v>9700</v>
      </c>
      <c r="BU5" s="81"/>
      <c r="BV5" s="81"/>
      <c r="BX5" s="183">
        <v>2300</v>
      </c>
      <c r="BY5" s="184">
        <v>3500</v>
      </c>
    </row>
    <row r="6" spans="1:77" ht="9" customHeight="1" thickBot="1" x14ac:dyDescent="0.25">
      <c r="A6" s="139" t="s">
        <v>169</v>
      </c>
      <c r="B6" s="23"/>
      <c r="C6" s="24"/>
      <c r="D6" s="75" t="str">
        <f>IFERROR(INDEX(SCNtoISIC!$F:$F,MATCH(D$5,SCNtoISIC!$C:$C,0)),0)</f>
        <v>ISIC 01T03</v>
      </c>
      <c r="E6" s="75" t="str">
        <f>IFERROR(INDEX(SCNtoISIC!$F:$F,MATCH(E$5,SCNtoISIC!$C:$C,0)),0)</f>
        <v>ISIC 01T03</v>
      </c>
      <c r="F6" s="75" t="str">
        <f>IFERROR(INDEX(SCNtoISIC!$F:$F,MATCH(F$5,SCNtoISIC!$C:$C,0)),0)</f>
        <v>ISIC 01T03</v>
      </c>
      <c r="G6" s="75" t="str">
        <f>IFERROR(INDEX(SCNtoISIC!$F:$F,MATCH(G$5,SCNtoISIC!$C:$C,0)),0)</f>
        <v>ISIC 05</v>
      </c>
      <c r="H6" s="75" t="str">
        <f>IFERROR(INDEX(SCNtoISIC!$F:$F,MATCH(H$5,SCNtoISIC!$C:$C,0)),0)</f>
        <v>ISIC 06</v>
      </c>
      <c r="I6" s="75" t="str">
        <f>IFERROR(INDEX(SCNtoISIC!$F:$F,MATCH(I$5,SCNtoISIC!$C:$C,0)),0)</f>
        <v>ISIC 07T08</v>
      </c>
      <c r="J6" s="75" t="str">
        <f>IFERROR(INDEX(SCNtoISIC!$F:$F,MATCH(J$5,SCNtoISIC!$C:$C,0)),0)</f>
        <v>ISIC 09</v>
      </c>
      <c r="K6" s="75" t="str">
        <f>IFERROR(INDEX(SCNtoISIC!$F:$F,MATCH(K$5,SCNtoISIC!$C:$C,0)),0)</f>
        <v>ISIC 10T12</v>
      </c>
      <c r="L6" s="75" t="str">
        <f>IFERROR(INDEX(SCNtoISIC!$F:$F,MATCH(L$5,SCNtoISIC!$C:$C,0)),0)</f>
        <v>ISIC 10T12</v>
      </c>
      <c r="M6" s="75" t="str">
        <f>IFERROR(INDEX(SCNtoISIC!$F:$F,MATCH(M$5,SCNtoISIC!$C:$C,0)),0)</f>
        <v>ISIC 10T12</v>
      </c>
      <c r="N6" s="75" t="str">
        <f>IFERROR(INDEX(SCNtoISIC!$F:$F,MATCH(N$5,SCNtoISIC!$C:$C,0)),0)</f>
        <v>ISIC 10T12</v>
      </c>
      <c r="O6" s="75" t="str">
        <f>IFERROR(INDEX(SCNtoISIC!$F:$F,MATCH(O$5,SCNtoISIC!$C:$C,0)),0)</f>
        <v>ISIC 10T12</v>
      </c>
      <c r="P6" s="75" t="str">
        <f>IFERROR(INDEX(SCNtoISIC!$F:$F,MATCH(P$5,SCNtoISIC!$C:$C,0)),0)</f>
        <v>ISIC 13T15</v>
      </c>
      <c r="Q6" s="75" t="str">
        <f>IFERROR(INDEX(SCNtoISIC!$F:$F,MATCH(Q$5,SCNtoISIC!$C:$C,0)),0)</f>
        <v>ISIC 13T15</v>
      </c>
      <c r="R6" s="75" t="str">
        <f>IFERROR(INDEX(SCNtoISIC!$F:$F,MATCH(R$5,SCNtoISIC!$C:$C,0)),0)</f>
        <v>ISIC 13T15</v>
      </c>
      <c r="S6" s="75" t="str">
        <f>IFERROR(INDEX(SCNtoISIC!$F:$F,MATCH(S$5,SCNtoISIC!$C:$C,0)),0)</f>
        <v>ISIC 16</v>
      </c>
      <c r="T6" s="75" t="str">
        <f>IFERROR(INDEX(SCNtoISIC!$F:$F,MATCH(T$5,SCNtoISIC!$C:$C,0)),0)</f>
        <v>ISIC 17T18</v>
      </c>
      <c r="U6" s="75" t="str">
        <f>IFERROR(INDEX(SCNtoISIC!$F:$F,MATCH(U$5,SCNtoISIC!$C:$C,0)),0)</f>
        <v>ISIC 17T18</v>
      </c>
      <c r="V6" s="75" t="str">
        <f>IFERROR(INDEX(SCNtoISIC!$F:$F,MATCH(V$5,SCNtoISIC!$C:$C,0)),0)</f>
        <v>ISIC 19</v>
      </c>
      <c r="W6" s="75" t="str">
        <f>IFERROR(INDEX(SCNtoISIC!$F:$F,MATCH(W$5,SCNtoISIC!$C:$C,0)),0)</f>
        <v>ISIC 19</v>
      </c>
      <c r="X6" s="75" t="str">
        <f>IFERROR(INDEX(SCNtoISIC!$F:$F,MATCH(X$5,SCNtoISIC!$C:$C,0)),0)</f>
        <v>ISIC 20</v>
      </c>
      <c r="Y6" s="75" t="str">
        <f>IFERROR(INDEX(SCNtoISIC!$F:$F,MATCH(Y$5,SCNtoISIC!$C:$C,0)),0)</f>
        <v>ISIC 20</v>
      </c>
      <c r="Z6" s="75" t="str">
        <f>IFERROR(INDEX(SCNtoISIC!$F:$F,MATCH(Z$5,SCNtoISIC!$C:$C,0)),0)</f>
        <v>ISIC 20</v>
      </c>
      <c r="AA6" s="75" t="str">
        <f>IFERROR(INDEX(SCNtoISIC!$F:$F,MATCH(AA$5,SCNtoISIC!$C:$C,0)),0)</f>
        <v>ISIC 21</v>
      </c>
      <c r="AB6" s="75" t="str">
        <f>IFERROR(INDEX(SCNtoISIC!$F:$F,MATCH(AB$5,SCNtoISIC!$C:$C,0)),0)</f>
        <v>ISIC 22</v>
      </c>
      <c r="AC6" s="75" t="str">
        <f>IFERROR(INDEX(SCNtoISIC!$F:$F,MATCH(AC$5,SCNtoISIC!$C:$C,0)),0)</f>
        <v>ISIC 239</v>
      </c>
      <c r="AD6" s="75" t="str">
        <f>IFERROR(INDEX(SCNtoISIC!$F:$F,MATCH(AD$5,SCNtoISIC!$C:$C,0)),0)</f>
        <v>ISIC 231</v>
      </c>
      <c r="AE6" s="75" t="str">
        <f>IFERROR(INDEX(SCNtoISIC!$F:$F,MATCH(AE$5,SCNtoISIC!$C:$C,0)),0)</f>
        <v>ISIC 241</v>
      </c>
      <c r="AF6" s="75" t="str">
        <f>IFERROR(INDEX(SCNtoISIC!$F:$F,MATCH(AF$5,SCNtoISIC!$C:$C,0)),0)</f>
        <v>ISIC 242</v>
      </c>
      <c r="AG6" s="75" t="str">
        <f>IFERROR(INDEX(SCNtoISIC!$F:$F,MATCH(AG$5,SCNtoISIC!$C:$C,0)),0)</f>
        <v>ISIC 25</v>
      </c>
      <c r="AH6" s="75" t="str">
        <f>IFERROR(INDEX(SCNtoISIC!$F:$F,MATCH(AH$5,SCNtoISIC!$C:$C,0)),0)</f>
        <v>ISIC 26</v>
      </c>
      <c r="AI6" s="75" t="str">
        <f>IFERROR(INDEX(SCNtoISIC!$F:$F,MATCH(AI$5,SCNtoISIC!$C:$C,0)),0)</f>
        <v>ISIC 27</v>
      </c>
      <c r="AJ6" s="75" t="str">
        <f>IFERROR(INDEX(SCNtoISIC!$F:$F,MATCH(AJ$5,SCNtoISIC!$C:$C,0)),0)</f>
        <v>ISIC 28</v>
      </c>
      <c r="AK6" s="75" t="str">
        <f>IFERROR(INDEX(SCNtoISIC!$F:$F,MATCH(AK$5,SCNtoISIC!$C:$C,0)),0)</f>
        <v>ISIC 29</v>
      </c>
      <c r="AL6" s="75" t="str">
        <f>IFERROR(INDEX(SCNtoISIC!$F:$F,MATCH(AL$5,SCNtoISIC!$C:$C,0)),0)</f>
        <v>ISIC 29</v>
      </c>
      <c r="AM6" s="75" t="str">
        <f>IFERROR(INDEX(SCNtoISIC!$F:$F,MATCH(AM$5,SCNtoISIC!$C:$C,0)),0)</f>
        <v>ISIC 30</v>
      </c>
      <c r="AN6" s="75" t="str">
        <f>IFERROR(INDEX(SCNtoISIC!$F:$F,MATCH(AN$5,SCNtoISIC!$C:$C,0)),0)</f>
        <v>ISIC 30</v>
      </c>
      <c r="AO6" s="75" t="str">
        <f>IFERROR(INDEX(SCNtoISIC!$F:$F,MATCH(AO$5,SCNtoISIC!$C:$C,0)),0)</f>
        <v>ISIC 31T33</v>
      </c>
      <c r="AP6" s="75" t="str">
        <f>IFERROR(INDEX(SCNtoISIC!$F:$F,MATCH(AP$5,SCNtoISIC!$C:$C,0)),0)</f>
        <v>ISIC 351</v>
      </c>
      <c r="AQ6" s="75" t="str">
        <f>IFERROR(INDEX(SCNtoISIC!$F:$F,MATCH(AQ$5,SCNtoISIC!$C:$C,0)),0)</f>
        <v>ISIC 352T353</v>
      </c>
      <c r="AR6" s="75" t="str">
        <f>IFERROR(INDEX(SCNtoISIC!$F:$F,MATCH(AR$5,SCNtoISIC!$C:$C,0)),0)</f>
        <v>ISIC 36T39</v>
      </c>
      <c r="AS6" s="75" t="str">
        <f>IFERROR(INDEX(SCNtoISIC!$F:$F,MATCH(AS$5,SCNtoISIC!$C:$C,0)),0)</f>
        <v>ISIC 41T43</v>
      </c>
      <c r="AT6" s="75" t="str">
        <f>IFERROR(INDEX(SCNtoISIC!$F:$F,MATCH(AT$5,SCNtoISIC!$C:$C,0)),0)</f>
        <v>ISIC 45T47</v>
      </c>
      <c r="AU6" s="75" t="str">
        <f>IFERROR(INDEX(SCNtoISIC!$F:$F,MATCH(AU$5,SCNtoISIC!$C:$C,0)),0)</f>
        <v>ISIC 49T53</v>
      </c>
      <c r="AV6" s="75" t="str">
        <f>IFERROR(INDEX(SCNtoISIC!$F:$F,MATCH(AV$5,SCNtoISIC!$C:$C,0)),0)</f>
        <v>ISIC 49T53</v>
      </c>
      <c r="AW6" s="75" t="str">
        <f>IFERROR(INDEX(SCNtoISIC!$F:$F,MATCH(AW$5,SCNtoISIC!$C:$C,0)),0)</f>
        <v>ISIC 49T53</v>
      </c>
      <c r="AX6" s="75" t="str">
        <f>IFERROR(INDEX(SCNtoISIC!$F:$F,MATCH(AX$5,SCNtoISIC!$C:$C,0)),0)</f>
        <v>ISIC 49T53</v>
      </c>
      <c r="AY6" s="75" t="str">
        <f>IFERROR(INDEX(SCNtoISIC!$F:$F,MATCH(AY$5,SCNtoISIC!$C:$C,0)),0)</f>
        <v>ISIC 55T56</v>
      </c>
      <c r="AZ6" s="75" t="str">
        <f>IFERROR(INDEX(SCNtoISIC!$F:$F,MATCH(AZ$5,SCNtoISIC!$C:$C,0)),0)</f>
        <v>ISIC 55T56</v>
      </c>
      <c r="BA6" s="75" t="str">
        <f>IFERROR(INDEX(SCNtoISIC!$F:$F,MATCH(BA$5,SCNtoISIC!$C:$C,0)),0)</f>
        <v>ISIC 58T60</v>
      </c>
      <c r="BB6" s="75" t="str">
        <f>IFERROR(INDEX(SCNtoISIC!$F:$F,MATCH(BB$5,SCNtoISIC!$C:$C,0)),0)</f>
        <v>ISIC 58T60</v>
      </c>
      <c r="BC6" s="75" t="str">
        <f>IFERROR(INDEX(SCNtoISIC!$F:$F,MATCH(BC$5,SCNtoISIC!$C:$C,0)),0)</f>
        <v>ISIC 61</v>
      </c>
      <c r="BD6" s="75" t="str">
        <f>IFERROR(INDEX(SCNtoISIC!$F:$F,MATCH(BD$5,SCNtoISIC!$C:$C,0)),0)</f>
        <v>ISIC 62T63</v>
      </c>
      <c r="BE6" s="75" t="str">
        <f>IFERROR(INDEX(SCNtoISIC!$F:$F,MATCH(BE$5,SCNtoISIC!$C:$C,0)),0)</f>
        <v>ISIC 64T66</v>
      </c>
      <c r="BF6" s="75" t="str">
        <f>IFERROR(INDEX(SCNtoISIC!$F:$F,MATCH(BF$5,SCNtoISIC!$C:$C,0)),0)</f>
        <v>ISIC 68</v>
      </c>
      <c r="BG6" s="75" t="str">
        <f>IFERROR(INDEX(SCNtoISIC!$F:$F,MATCH(BG$5,SCNtoISIC!$C:$C,0)),0)</f>
        <v>ISIC 69T82</v>
      </c>
      <c r="BH6" s="75" t="str">
        <f>IFERROR(INDEX(SCNtoISIC!$F:$F,MATCH(BH$5,SCNtoISIC!$C:$C,0)),0)</f>
        <v>ISIC 69T82</v>
      </c>
      <c r="BI6" s="75" t="str">
        <f>IFERROR(INDEX(SCNtoISIC!$F:$F,MATCH(BI$5,SCNtoISIC!$C:$C,0)),0)</f>
        <v>ISIC 69T82</v>
      </c>
      <c r="BJ6" s="75" t="str">
        <f>IFERROR(INDEX(SCNtoISIC!$F:$F,MATCH(BJ$5,SCNtoISIC!$C:$C,0)),0)</f>
        <v>ISIC 69T82</v>
      </c>
      <c r="BK6" s="75" t="str">
        <f>IFERROR(INDEX(SCNtoISIC!$F:$F,MATCH(BK$5,SCNtoISIC!$C:$C,0)),0)</f>
        <v>ISIC 69T82</v>
      </c>
      <c r="BL6" s="75" t="str">
        <f>IFERROR(INDEX(SCNtoISIC!$F:$F,MATCH(BL$5,SCNtoISIC!$C:$C,0)),0)</f>
        <v>ISIC 69T82</v>
      </c>
      <c r="BM6" s="75" t="str">
        <f>IFERROR(INDEX(SCNtoISIC!$F:$F,MATCH(BM$5,SCNtoISIC!$C:$C,0)),0)</f>
        <v>ISIC 84</v>
      </c>
      <c r="BN6" s="75" t="str">
        <f>IFERROR(INDEX(SCNtoISIC!$F:$F,MATCH(BN$5,SCNtoISIC!$C:$C,0)),0)</f>
        <v>ISIC 85</v>
      </c>
      <c r="BO6" s="75" t="str">
        <f>IFERROR(INDEX(SCNtoISIC!$F:$F,MATCH(BO$5,SCNtoISIC!$C:$C,0)),0)</f>
        <v>ISIC 85</v>
      </c>
      <c r="BP6" s="75" t="str">
        <f>IFERROR(INDEX(SCNtoISIC!$F:$F,MATCH(BP$5,SCNtoISIC!$C:$C,0)),0)</f>
        <v>ISIC 86T88</v>
      </c>
      <c r="BQ6" s="75" t="str">
        <f>IFERROR(INDEX(SCNtoISIC!$F:$F,MATCH(BQ$5,SCNtoISIC!$C:$C,0)),0)</f>
        <v>ISIC 86T88</v>
      </c>
      <c r="BR6" s="75" t="str">
        <f>IFERROR(INDEX(SCNtoISIC!$F:$F,MATCH(BR$5,SCNtoISIC!$C:$C,0)),0)</f>
        <v>ISIC 90T96</v>
      </c>
      <c r="BS6" s="75" t="str">
        <f>IFERROR(INDEX(SCNtoISIC!$F:$F,MATCH(BS$5,SCNtoISIC!$C:$C,0)),0)</f>
        <v>ISIC 90T96</v>
      </c>
      <c r="BT6" s="75" t="str">
        <f>IFERROR(INDEX(SCNtoISIC!$F:$F,MATCH(BT$5,SCNtoISIC!$C:$C,0)),0)</f>
        <v>ISIC 97T98</v>
      </c>
      <c r="BU6" s="81"/>
      <c r="BV6" s="81"/>
      <c r="BX6" s="183"/>
      <c r="BY6" s="184"/>
    </row>
    <row r="7" spans="1:77" ht="8.25" customHeight="1" x14ac:dyDescent="0.15">
      <c r="A7" s="185">
        <v>1911</v>
      </c>
      <c r="B7" s="77" t="str">
        <f>IFERROR(INDEX(SCNtoISIC!$M:$M,MATCH($A7,SCNtoISIC!$J:$J,0)),0)</f>
        <v>ISIC 01T03</v>
      </c>
      <c r="C7" s="78" t="s">
        <v>299</v>
      </c>
      <c r="D7" s="79">
        <v>10551</v>
      </c>
      <c r="E7" s="79">
        <v>321</v>
      </c>
      <c r="F7" s="79">
        <v>8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79">
        <v>0</v>
      </c>
      <c r="T7" s="79">
        <v>0</v>
      </c>
      <c r="U7" s="79">
        <v>0</v>
      </c>
      <c r="V7" s="79">
        <v>0</v>
      </c>
      <c r="W7" s="79">
        <v>0</v>
      </c>
      <c r="X7" s="79">
        <v>0</v>
      </c>
      <c r="Y7" s="79">
        <v>0</v>
      </c>
      <c r="Z7" s="79">
        <v>0</v>
      </c>
      <c r="AA7" s="79">
        <v>0</v>
      </c>
      <c r="AB7" s="79">
        <v>0</v>
      </c>
      <c r="AC7" s="80">
        <v>0</v>
      </c>
      <c r="AD7" s="80">
        <v>0</v>
      </c>
      <c r="AE7" s="79">
        <v>0</v>
      </c>
      <c r="AF7" s="79">
        <v>0</v>
      </c>
      <c r="AG7" s="79">
        <v>0</v>
      </c>
      <c r="AH7" s="79">
        <v>0</v>
      </c>
      <c r="AI7" s="79">
        <v>0</v>
      </c>
      <c r="AJ7" s="79">
        <v>0</v>
      </c>
      <c r="AK7" s="79">
        <v>0</v>
      </c>
      <c r="AL7" s="79">
        <v>0</v>
      </c>
      <c r="AM7" s="79">
        <v>0</v>
      </c>
      <c r="AN7" s="79">
        <v>0</v>
      </c>
      <c r="AO7" s="79">
        <v>0</v>
      </c>
      <c r="AP7" s="80">
        <v>0</v>
      </c>
      <c r="AQ7" s="80">
        <v>0</v>
      </c>
      <c r="AR7" s="79">
        <v>0</v>
      </c>
      <c r="AS7" s="79">
        <v>0</v>
      </c>
      <c r="AT7" s="79">
        <v>0</v>
      </c>
      <c r="AU7" s="79">
        <v>0</v>
      </c>
      <c r="AV7" s="79">
        <v>0</v>
      </c>
      <c r="AW7" s="79">
        <v>0</v>
      </c>
      <c r="AX7" s="79">
        <v>0</v>
      </c>
      <c r="AY7" s="79">
        <v>0</v>
      </c>
      <c r="AZ7" s="79">
        <v>0</v>
      </c>
      <c r="BA7" s="79">
        <v>0</v>
      </c>
      <c r="BB7" s="79">
        <v>0</v>
      </c>
      <c r="BC7" s="79">
        <v>0</v>
      </c>
      <c r="BD7" s="79">
        <v>0</v>
      </c>
      <c r="BE7" s="79">
        <v>0</v>
      </c>
      <c r="BF7" s="79">
        <v>0</v>
      </c>
      <c r="BG7" s="79">
        <v>0</v>
      </c>
      <c r="BH7" s="79">
        <v>0</v>
      </c>
      <c r="BI7" s="79">
        <v>0</v>
      </c>
      <c r="BJ7" s="79">
        <v>0</v>
      </c>
      <c r="BK7" s="79">
        <v>0</v>
      </c>
      <c r="BL7" s="79">
        <v>0</v>
      </c>
      <c r="BM7" s="79">
        <v>156</v>
      </c>
      <c r="BN7" s="79">
        <v>0</v>
      </c>
      <c r="BO7" s="79">
        <v>0</v>
      </c>
      <c r="BP7" s="79">
        <v>0</v>
      </c>
      <c r="BQ7" s="79">
        <v>0</v>
      </c>
      <c r="BR7" s="79">
        <v>0</v>
      </c>
      <c r="BS7" s="79">
        <v>0</v>
      </c>
      <c r="BT7" s="79">
        <v>0</v>
      </c>
      <c r="BU7" s="79">
        <v>11036</v>
      </c>
      <c r="BV7" s="79">
        <v>4924</v>
      </c>
      <c r="BX7" s="186">
        <v>0</v>
      </c>
      <c r="BY7" s="187">
        <v>0</v>
      </c>
    </row>
    <row r="8" spans="1:77" ht="8.25" customHeight="1" x14ac:dyDescent="0.15">
      <c r="A8" s="185">
        <v>1912</v>
      </c>
      <c r="B8" s="77" t="str">
        <f>IFERROR(INDEX(SCNtoISIC!$M:$M,MATCH($A8,SCNtoISIC!$J:$J,0)),0)</f>
        <v>ISIC 01T03</v>
      </c>
      <c r="C8" s="78" t="s">
        <v>301</v>
      </c>
      <c r="D8" s="79">
        <v>28173</v>
      </c>
      <c r="E8" s="79">
        <v>1641</v>
      </c>
      <c r="F8" s="79">
        <v>51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  <c r="Z8" s="79">
        <v>0</v>
      </c>
      <c r="AA8" s="79">
        <v>0</v>
      </c>
      <c r="AB8" s="79">
        <v>0</v>
      </c>
      <c r="AC8" s="80">
        <v>0</v>
      </c>
      <c r="AD8" s="80">
        <v>0</v>
      </c>
      <c r="AE8" s="79">
        <v>0</v>
      </c>
      <c r="AF8" s="79">
        <v>0</v>
      </c>
      <c r="AG8" s="79">
        <v>0</v>
      </c>
      <c r="AH8" s="79">
        <v>0</v>
      </c>
      <c r="AI8" s="79">
        <v>0</v>
      </c>
      <c r="AJ8" s="79">
        <v>0</v>
      </c>
      <c r="AK8" s="79">
        <v>0</v>
      </c>
      <c r="AL8" s="79">
        <v>0</v>
      </c>
      <c r="AM8" s="79">
        <v>0</v>
      </c>
      <c r="AN8" s="79">
        <v>0</v>
      </c>
      <c r="AO8" s="79">
        <v>0</v>
      </c>
      <c r="AP8" s="80">
        <v>0</v>
      </c>
      <c r="AQ8" s="80">
        <v>0</v>
      </c>
      <c r="AR8" s="79">
        <v>0</v>
      </c>
      <c r="AS8" s="79">
        <v>0</v>
      </c>
      <c r="AT8" s="79">
        <v>0</v>
      </c>
      <c r="AU8" s="79">
        <v>0</v>
      </c>
      <c r="AV8" s="79">
        <v>0</v>
      </c>
      <c r="AW8" s="79">
        <v>0</v>
      </c>
      <c r="AX8" s="79">
        <v>0</v>
      </c>
      <c r="AY8" s="79">
        <v>0</v>
      </c>
      <c r="AZ8" s="79">
        <v>0</v>
      </c>
      <c r="BA8" s="79">
        <v>0</v>
      </c>
      <c r="BB8" s="79">
        <v>0</v>
      </c>
      <c r="BC8" s="79">
        <v>0</v>
      </c>
      <c r="BD8" s="79">
        <v>0</v>
      </c>
      <c r="BE8" s="79">
        <v>0</v>
      </c>
      <c r="BF8" s="79">
        <v>0</v>
      </c>
      <c r="BG8" s="79">
        <v>0</v>
      </c>
      <c r="BH8" s="79">
        <v>0</v>
      </c>
      <c r="BI8" s="79">
        <v>0</v>
      </c>
      <c r="BJ8" s="79">
        <v>0</v>
      </c>
      <c r="BK8" s="79">
        <v>0</v>
      </c>
      <c r="BL8" s="79">
        <v>0</v>
      </c>
      <c r="BM8" s="79">
        <v>110</v>
      </c>
      <c r="BN8" s="79">
        <v>0</v>
      </c>
      <c r="BO8" s="79">
        <v>0</v>
      </c>
      <c r="BP8" s="79">
        <v>0</v>
      </c>
      <c r="BQ8" s="79">
        <v>0</v>
      </c>
      <c r="BR8" s="79">
        <v>0</v>
      </c>
      <c r="BS8" s="79">
        <v>0</v>
      </c>
      <c r="BT8" s="79">
        <v>0</v>
      </c>
      <c r="BU8" s="79">
        <v>29975</v>
      </c>
      <c r="BV8" s="79">
        <v>158</v>
      </c>
      <c r="BX8" s="186">
        <v>0</v>
      </c>
      <c r="BY8" s="187">
        <v>0</v>
      </c>
    </row>
    <row r="9" spans="1:77" ht="8.25" customHeight="1" x14ac:dyDescent="0.15">
      <c r="A9" s="185">
        <v>1913</v>
      </c>
      <c r="B9" s="77" t="str">
        <f>IFERROR(INDEX(SCNtoISIC!$M:$M,MATCH($A9,SCNtoISIC!$J:$J,0)),0)</f>
        <v>ISIC 01T03</v>
      </c>
      <c r="C9" s="78" t="s">
        <v>610</v>
      </c>
      <c r="D9" s="79">
        <v>8931</v>
      </c>
      <c r="E9" s="79">
        <v>11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0</v>
      </c>
      <c r="X9" s="79">
        <v>0</v>
      </c>
      <c r="Y9" s="79">
        <v>0</v>
      </c>
      <c r="Z9" s="79">
        <v>0</v>
      </c>
      <c r="AA9" s="79">
        <v>0</v>
      </c>
      <c r="AB9" s="79">
        <v>0</v>
      </c>
      <c r="AC9" s="80">
        <v>0</v>
      </c>
      <c r="AD9" s="80">
        <v>0</v>
      </c>
      <c r="AE9" s="79">
        <v>0</v>
      </c>
      <c r="AF9" s="79">
        <v>0</v>
      </c>
      <c r="AG9" s="79">
        <v>0</v>
      </c>
      <c r="AH9" s="79">
        <v>0</v>
      </c>
      <c r="AI9" s="79">
        <v>0</v>
      </c>
      <c r="AJ9" s="79">
        <v>0</v>
      </c>
      <c r="AK9" s="79">
        <v>0</v>
      </c>
      <c r="AL9" s="79">
        <v>0</v>
      </c>
      <c r="AM9" s="79">
        <v>0</v>
      </c>
      <c r="AN9" s="79">
        <v>0</v>
      </c>
      <c r="AO9" s="79">
        <v>0</v>
      </c>
      <c r="AP9" s="80">
        <v>0</v>
      </c>
      <c r="AQ9" s="80">
        <v>0</v>
      </c>
      <c r="AR9" s="79">
        <v>0</v>
      </c>
      <c r="AS9" s="79">
        <v>0</v>
      </c>
      <c r="AT9" s="79">
        <v>0</v>
      </c>
      <c r="AU9" s="79">
        <v>0</v>
      </c>
      <c r="AV9" s="79">
        <v>0</v>
      </c>
      <c r="AW9" s="79">
        <v>0</v>
      </c>
      <c r="AX9" s="79">
        <v>0</v>
      </c>
      <c r="AY9" s="79">
        <v>0</v>
      </c>
      <c r="AZ9" s="79">
        <v>0</v>
      </c>
      <c r="BA9" s="79">
        <v>0</v>
      </c>
      <c r="BB9" s="79">
        <v>0</v>
      </c>
      <c r="BC9" s="79">
        <v>0</v>
      </c>
      <c r="BD9" s="79">
        <v>0</v>
      </c>
      <c r="BE9" s="79">
        <v>0</v>
      </c>
      <c r="BF9" s="79">
        <v>0</v>
      </c>
      <c r="BG9" s="79">
        <v>0</v>
      </c>
      <c r="BH9" s="79">
        <v>0</v>
      </c>
      <c r="BI9" s="79">
        <v>0</v>
      </c>
      <c r="BJ9" s="79">
        <v>0</v>
      </c>
      <c r="BK9" s="79">
        <v>0</v>
      </c>
      <c r="BL9" s="79">
        <v>0</v>
      </c>
      <c r="BM9" s="79">
        <v>1</v>
      </c>
      <c r="BN9" s="79">
        <v>0</v>
      </c>
      <c r="BO9" s="79">
        <v>0</v>
      </c>
      <c r="BP9" s="79">
        <v>0</v>
      </c>
      <c r="BQ9" s="79">
        <v>0</v>
      </c>
      <c r="BR9" s="79">
        <v>0</v>
      </c>
      <c r="BS9" s="79">
        <v>0</v>
      </c>
      <c r="BT9" s="79">
        <v>0</v>
      </c>
      <c r="BU9" s="79">
        <v>8943</v>
      </c>
      <c r="BV9" s="79">
        <v>18</v>
      </c>
      <c r="BX9" s="186">
        <v>0</v>
      </c>
      <c r="BY9" s="187">
        <v>0</v>
      </c>
    </row>
    <row r="10" spans="1:77" ht="8.25" customHeight="1" x14ac:dyDescent="0.15">
      <c r="A10" s="185">
        <v>1914</v>
      </c>
      <c r="B10" s="77" t="str">
        <f>IFERROR(INDEX(SCNtoISIC!$M:$M,MATCH($A10,SCNtoISIC!$J:$J,0)),0)</f>
        <v>ISIC 01T03</v>
      </c>
      <c r="C10" s="78" t="s">
        <v>304</v>
      </c>
      <c r="D10" s="79">
        <v>45840</v>
      </c>
      <c r="E10" s="79">
        <v>239</v>
      </c>
      <c r="F10" s="79">
        <v>1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0</v>
      </c>
      <c r="X10" s="79">
        <v>0</v>
      </c>
      <c r="Y10" s="79">
        <v>0</v>
      </c>
      <c r="Z10" s="79">
        <v>0</v>
      </c>
      <c r="AA10" s="79">
        <v>0</v>
      </c>
      <c r="AB10" s="79">
        <v>0</v>
      </c>
      <c r="AC10" s="80">
        <v>0</v>
      </c>
      <c r="AD10" s="80">
        <v>0</v>
      </c>
      <c r="AE10" s="79">
        <v>0</v>
      </c>
      <c r="AF10" s="79">
        <v>0</v>
      </c>
      <c r="AG10" s="79">
        <v>0</v>
      </c>
      <c r="AH10" s="79">
        <v>0</v>
      </c>
      <c r="AI10" s="79">
        <v>0</v>
      </c>
      <c r="AJ10" s="79">
        <v>0</v>
      </c>
      <c r="AK10" s="79">
        <v>0</v>
      </c>
      <c r="AL10" s="79">
        <v>0</v>
      </c>
      <c r="AM10" s="79">
        <v>0</v>
      </c>
      <c r="AN10" s="79">
        <v>0</v>
      </c>
      <c r="AO10" s="79">
        <v>0</v>
      </c>
      <c r="AP10" s="80">
        <v>0</v>
      </c>
      <c r="AQ10" s="80">
        <v>0</v>
      </c>
      <c r="AR10" s="79">
        <v>0</v>
      </c>
      <c r="AS10" s="79">
        <v>0</v>
      </c>
      <c r="AT10" s="79">
        <v>0</v>
      </c>
      <c r="AU10" s="79">
        <v>0</v>
      </c>
      <c r="AV10" s="79">
        <v>0</v>
      </c>
      <c r="AW10" s="79">
        <v>0</v>
      </c>
      <c r="AX10" s="79">
        <v>0</v>
      </c>
      <c r="AY10" s="79">
        <v>0</v>
      </c>
      <c r="AZ10" s="79">
        <v>0</v>
      </c>
      <c r="BA10" s="79">
        <v>0</v>
      </c>
      <c r="BB10" s="79">
        <v>0</v>
      </c>
      <c r="BC10" s="79">
        <v>0</v>
      </c>
      <c r="BD10" s="79">
        <v>0</v>
      </c>
      <c r="BE10" s="79">
        <v>0</v>
      </c>
      <c r="BF10" s="79">
        <v>0</v>
      </c>
      <c r="BG10" s="79">
        <v>0</v>
      </c>
      <c r="BH10" s="79">
        <v>0</v>
      </c>
      <c r="BI10" s="79">
        <v>0</v>
      </c>
      <c r="BJ10" s="79">
        <v>0</v>
      </c>
      <c r="BK10" s="79">
        <v>0</v>
      </c>
      <c r="BL10" s="79">
        <v>0</v>
      </c>
      <c r="BM10" s="79">
        <v>0</v>
      </c>
      <c r="BN10" s="79">
        <v>0</v>
      </c>
      <c r="BO10" s="79">
        <v>0</v>
      </c>
      <c r="BP10" s="79">
        <v>0</v>
      </c>
      <c r="BQ10" s="79">
        <v>0</v>
      </c>
      <c r="BR10" s="79">
        <v>0</v>
      </c>
      <c r="BS10" s="79">
        <v>0</v>
      </c>
      <c r="BT10" s="79">
        <v>0</v>
      </c>
      <c r="BU10" s="79">
        <v>46080</v>
      </c>
      <c r="BV10" s="79">
        <v>0</v>
      </c>
      <c r="BX10" s="186">
        <v>0</v>
      </c>
      <c r="BY10" s="187">
        <v>0</v>
      </c>
    </row>
    <row r="11" spans="1:77" ht="8.25" customHeight="1" x14ac:dyDescent="0.15">
      <c r="A11" s="185">
        <v>1915</v>
      </c>
      <c r="B11" s="77" t="str">
        <f>IFERROR(INDEX(SCNtoISIC!$M:$M,MATCH($A11,SCNtoISIC!$J:$J,0)),0)</f>
        <v>ISIC 01T03</v>
      </c>
      <c r="C11" s="78" t="s">
        <v>306</v>
      </c>
      <c r="D11" s="79">
        <v>106355</v>
      </c>
      <c r="E11" s="79">
        <v>2773</v>
      </c>
      <c r="F11" s="79">
        <v>42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0</v>
      </c>
      <c r="W11" s="79">
        <v>0</v>
      </c>
      <c r="X11" s="79">
        <v>0</v>
      </c>
      <c r="Y11" s="79">
        <v>0</v>
      </c>
      <c r="Z11" s="79">
        <v>0</v>
      </c>
      <c r="AA11" s="79">
        <v>0</v>
      </c>
      <c r="AB11" s="79">
        <v>0</v>
      </c>
      <c r="AC11" s="80">
        <v>0</v>
      </c>
      <c r="AD11" s="80">
        <v>0</v>
      </c>
      <c r="AE11" s="79">
        <v>0</v>
      </c>
      <c r="AF11" s="79">
        <v>0</v>
      </c>
      <c r="AG11" s="79">
        <v>0</v>
      </c>
      <c r="AH11" s="79">
        <v>0</v>
      </c>
      <c r="AI11" s="79">
        <v>0</v>
      </c>
      <c r="AJ11" s="79">
        <v>0</v>
      </c>
      <c r="AK11" s="79">
        <v>0</v>
      </c>
      <c r="AL11" s="79">
        <v>0</v>
      </c>
      <c r="AM11" s="79">
        <v>0</v>
      </c>
      <c r="AN11" s="79">
        <v>0</v>
      </c>
      <c r="AO11" s="79">
        <v>0</v>
      </c>
      <c r="AP11" s="80">
        <v>0</v>
      </c>
      <c r="AQ11" s="80">
        <v>0</v>
      </c>
      <c r="AR11" s="79">
        <v>0</v>
      </c>
      <c r="AS11" s="79">
        <v>0</v>
      </c>
      <c r="AT11" s="79">
        <v>0</v>
      </c>
      <c r="AU11" s="79">
        <v>0</v>
      </c>
      <c r="AV11" s="79">
        <v>0</v>
      </c>
      <c r="AW11" s="79">
        <v>0</v>
      </c>
      <c r="AX11" s="79">
        <v>0</v>
      </c>
      <c r="AY11" s="79">
        <v>0</v>
      </c>
      <c r="AZ11" s="79">
        <v>0</v>
      </c>
      <c r="BA11" s="79">
        <v>0</v>
      </c>
      <c r="BB11" s="79">
        <v>0</v>
      </c>
      <c r="BC11" s="79">
        <v>0</v>
      </c>
      <c r="BD11" s="79">
        <v>0</v>
      </c>
      <c r="BE11" s="79">
        <v>0</v>
      </c>
      <c r="BF11" s="79">
        <v>0</v>
      </c>
      <c r="BG11" s="79">
        <v>0</v>
      </c>
      <c r="BH11" s="79">
        <v>0</v>
      </c>
      <c r="BI11" s="79">
        <v>0</v>
      </c>
      <c r="BJ11" s="79">
        <v>0</v>
      </c>
      <c r="BK11" s="79">
        <v>0</v>
      </c>
      <c r="BL11" s="79">
        <v>0</v>
      </c>
      <c r="BM11" s="79">
        <v>0</v>
      </c>
      <c r="BN11" s="79">
        <v>0</v>
      </c>
      <c r="BO11" s="79">
        <v>0</v>
      </c>
      <c r="BP11" s="79">
        <v>0</v>
      </c>
      <c r="BQ11" s="79">
        <v>0</v>
      </c>
      <c r="BR11" s="79">
        <v>0</v>
      </c>
      <c r="BS11" s="79">
        <v>0</v>
      </c>
      <c r="BT11" s="79">
        <v>0</v>
      </c>
      <c r="BU11" s="79">
        <v>109170</v>
      </c>
      <c r="BV11" s="79">
        <v>501</v>
      </c>
      <c r="BX11" s="186">
        <v>0</v>
      </c>
      <c r="BY11" s="187">
        <v>0</v>
      </c>
    </row>
    <row r="12" spans="1:77" ht="8.25" customHeight="1" x14ac:dyDescent="0.15">
      <c r="A12" s="188">
        <v>1916</v>
      </c>
      <c r="B12" s="77" t="str">
        <f>IFERROR(INDEX(SCNtoISIC!$M:$M,MATCH($A12,SCNtoISIC!$J:$J,0)),0)</f>
        <v>ISIC 01T03</v>
      </c>
      <c r="C12" s="81" t="s">
        <v>308</v>
      </c>
      <c r="D12" s="82">
        <v>51381</v>
      </c>
      <c r="E12" s="82">
        <v>2050</v>
      </c>
      <c r="F12" s="82">
        <v>115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Z12" s="82">
        <v>0</v>
      </c>
      <c r="AA12" s="82">
        <v>0</v>
      </c>
      <c r="AB12" s="82">
        <v>0</v>
      </c>
      <c r="AC12" s="80">
        <v>0</v>
      </c>
      <c r="AD12" s="80">
        <v>0</v>
      </c>
      <c r="AE12" s="82">
        <v>0</v>
      </c>
      <c r="AF12" s="82">
        <v>0</v>
      </c>
      <c r="AG12" s="82">
        <v>0</v>
      </c>
      <c r="AH12" s="82">
        <v>0</v>
      </c>
      <c r="AI12" s="82">
        <v>0</v>
      </c>
      <c r="AJ12" s="82">
        <v>0</v>
      </c>
      <c r="AK12" s="82">
        <v>0</v>
      </c>
      <c r="AL12" s="82">
        <v>0</v>
      </c>
      <c r="AM12" s="82">
        <v>0</v>
      </c>
      <c r="AN12" s="82">
        <v>0</v>
      </c>
      <c r="AO12" s="82">
        <v>0</v>
      </c>
      <c r="AP12" s="80">
        <v>0</v>
      </c>
      <c r="AQ12" s="80">
        <v>0</v>
      </c>
      <c r="AR12" s="82">
        <v>0</v>
      </c>
      <c r="AS12" s="82">
        <v>0</v>
      </c>
      <c r="AT12" s="82">
        <v>0</v>
      </c>
      <c r="AU12" s="82">
        <v>0</v>
      </c>
      <c r="AV12" s="82">
        <v>0</v>
      </c>
      <c r="AW12" s="82">
        <v>0</v>
      </c>
      <c r="AX12" s="82">
        <v>0</v>
      </c>
      <c r="AY12" s="82">
        <v>0</v>
      </c>
      <c r="AZ12" s="82">
        <v>0</v>
      </c>
      <c r="BA12" s="82">
        <v>0</v>
      </c>
      <c r="BB12" s="82">
        <v>0</v>
      </c>
      <c r="BC12" s="82">
        <v>0</v>
      </c>
      <c r="BD12" s="82">
        <v>0</v>
      </c>
      <c r="BE12" s="82">
        <v>0</v>
      </c>
      <c r="BF12" s="82">
        <v>0</v>
      </c>
      <c r="BG12" s="82">
        <v>0</v>
      </c>
      <c r="BH12" s="82">
        <v>0</v>
      </c>
      <c r="BI12" s="82">
        <v>0</v>
      </c>
      <c r="BJ12" s="82">
        <v>0</v>
      </c>
      <c r="BK12" s="82">
        <v>0</v>
      </c>
      <c r="BL12" s="82">
        <v>0</v>
      </c>
      <c r="BM12" s="82">
        <v>187</v>
      </c>
      <c r="BN12" s="82">
        <v>1</v>
      </c>
      <c r="BO12" s="82">
        <v>0</v>
      </c>
      <c r="BP12" s="82">
        <v>0</v>
      </c>
      <c r="BQ12" s="82">
        <v>0</v>
      </c>
      <c r="BR12" s="82">
        <v>0</v>
      </c>
      <c r="BS12" s="82">
        <v>0</v>
      </c>
      <c r="BT12" s="82">
        <v>0</v>
      </c>
      <c r="BU12" s="82">
        <v>53734</v>
      </c>
      <c r="BV12" s="82">
        <v>2181</v>
      </c>
      <c r="BX12" s="189">
        <v>0</v>
      </c>
      <c r="BY12" s="190">
        <v>0</v>
      </c>
    </row>
    <row r="13" spans="1:77" ht="8.25" customHeight="1" x14ac:dyDescent="0.15">
      <c r="A13" s="188">
        <v>1917</v>
      </c>
      <c r="B13" s="77" t="str">
        <f>IFERROR(INDEX(SCNtoISIC!$M:$M,MATCH($A13,SCNtoISIC!$J:$J,0)),0)</f>
        <v>ISIC 01T03</v>
      </c>
      <c r="C13" s="81" t="s">
        <v>310</v>
      </c>
      <c r="D13" s="82">
        <v>5840</v>
      </c>
      <c r="E13" s="82">
        <v>54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X13" s="82">
        <v>0</v>
      </c>
      <c r="Y13" s="82">
        <v>0</v>
      </c>
      <c r="Z13" s="82">
        <v>0</v>
      </c>
      <c r="AA13" s="82">
        <v>0</v>
      </c>
      <c r="AB13" s="82">
        <v>0</v>
      </c>
      <c r="AC13" s="80">
        <v>0</v>
      </c>
      <c r="AD13" s="80">
        <v>0</v>
      </c>
      <c r="AE13" s="82">
        <v>0</v>
      </c>
      <c r="AF13" s="82">
        <v>0</v>
      </c>
      <c r="AG13" s="82">
        <v>0</v>
      </c>
      <c r="AH13" s="82">
        <v>0</v>
      </c>
      <c r="AI13" s="82">
        <v>0</v>
      </c>
      <c r="AJ13" s="82">
        <v>0</v>
      </c>
      <c r="AK13" s="82">
        <v>0</v>
      </c>
      <c r="AL13" s="82">
        <v>0</v>
      </c>
      <c r="AM13" s="82">
        <v>0</v>
      </c>
      <c r="AN13" s="82">
        <v>0</v>
      </c>
      <c r="AO13" s="82">
        <v>0</v>
      </c>
      <c r="AP13" s="80">
        <v>0</v>
      </c>
      <c r="AQ13" s="80">
        <v>0</v>
      </c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>
        <v>0</v>
      </c>
      <c r="AZ13" s="82">
        <v>0</v>
      </c>
      <c r="BA13" s="82">
        <v>0</v>
      </c>
      <c r="BB13" s="82">
        <v>0</v>
      </c>
      <c r="BC13" s="82">
        <v>0</v>
      </c>
      <c r="BD13" s="82">
        <v>0</v>
      </c>
      <c r="BE13" s="82">
        <v>0</v>
      </c>
      <c r="BF13" s="82">
        <v>0</v>
      </c>
      <c r="BG13" s="82">
        <v>0</v>
      </c>
      <c r="BH13" s="82">
        <v>0</v>
      </c>
      <c r="BI13" s="82">
        <v>0</v>
      </c>
      <c r="BJ13" s="82">
        <v>0</v>
      </c>
      <c r="BK13" s="82">
        <v>0</v>
      </c>
      <c r="BL13" s="82">
        <v>0</v>
      </c>
      <c r="BM13" s="82">
        <v>0</v>
      </c>
      <c r="BN13" s="82">
        <v>0</v>
      </c>
      <c r="BO13" s="82">
        <v>0</v>
      </c>
      <c r="BP13" s="82">
        <v>0</v>
      </c>
      <c r="BQ13" s="82">
        <v>0</v>
      </c>
      <c r="BR13" s="82">
        <v>0</v>
      </c>
      <c r="BS13" s="82">
        <v>0</v>
      </c>
      <c r="BT13" s="82">
        <v>0</v>
      </c>
      <c r="BU13" s="82">
        <v>5894</v>
      </c>
      <c r="BV13" s="82">
        <v>39</v>
      </c>
      <c r="BX13" s="189">
        <v>0</v>
      </c>
      <c r="BY13" s="190">
        <v>0</v>
      </c>
    </row>
    <row r="14" spans="1:77" ht="8.25" customHeight="1" x14ac:dyDescent="0.15">
      <c r="A14" s="188">
        <v>1918</v>
      </c>
      <c r="B14" s="77" t="str">
        <f>IFERROR(INDEX(SCNtoISIC!$M:$M,MATCH($A14,SCNtoISIC!$J:$J,0)),0)</f>
        <v>ISIC 01T03</v>
      </c>
      <c r="C14" s="81" t="s">
        <v>312</v>
      </c>
      <c r="D14" s="82">
        <v>15655</v>
      </c>
      <c r="E14" s="82">
        <v>526</v>
      </c>
      <c r="F14" s="82">
        <v>18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0</v>
      </c>
      <c r="X14" s="82">
        <v>0</v>
      </c>
      <c r="Y14" s="82">
        <v>0</v>
      </c>
      <c r="Z14" s="82">
        <v>0</v>
      </c>
      <c r="AA14" s="82">
        <v>0</v>
      </c>
      <c r="AB14" s="82">
        <v>0</v>
      </c>
      <c r="AC14" s="80">
        <v>0</v>
      </c>
      <c r="AD14" s="80">
        <v>0</v>
      </c>
      <c r="AE14" s="82">
        <v>0</v>
      </c>
      <c r="AF14" s="82">
        <v>0</v>
      </c>
      <c r="AG14" s="82">
        <v>0</v>
      </c>
      <c r="AH14" s="82">
        <v>0</v>
      </c>
      <c r="AI14" s="82">
        <v>0</v>
      </c>
      <c r="AJ14" s="82">
        <v>0</v>
      </c>
      <c r="AK14" s="82">
        <v>0</v>
      </c>
      <c r="AL14" s="82">
        <v>0</v>
      </c>
      <c r="AM14" s="82">
        <v>0</v>
      </c>
      <c r="AN14" s="82">
        <v>0</v>
      </c>
      <c r="AO14" s="82">
        <v>0</v>
      </c>
      <c r="AP14" s="80">
        <v>0</v>
      </c>
      <c r="AQ14" s="80">
        <v>0</v>
      </c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>
        <v>0</v>
      </c>
      <c r="AZ14" s="82">
        <v>0</v>
      </c>
      <c r="BA14" s="82">
        <v>0</v>
      </c>
      <c r="BB14" s="82">
        <v>0</v>
      </c>
      <c r="BC14" s="82">
        <v>0</v>
      </c>
      <c r="BD14" s="82">
        <v>0</v>
      </c>
      <c r="BE14" s="82">
        <v>0</v>
      </c>
      <c r="BF14" s="82">
        <v>0</v>
      </c>
      <c r="BG14" s="82">
        <v>0</v>
      </c>
      <c r="BH14" s="82">
        <v>0</v>
      </c>
      <c r="BI14" s="82">
        <v>0</v>
      </c>
      <c r="BJ14" s="82">
        <v>0</v>
      </c>
      <c r="BK14" s="82">
        <v>0</v>
      </c>
      <c r="BL14" s="82">
        <v>0</v>
      </c>
      <c r="BM14" s="82">
        <v>142</v>
      </c>
      <c r="BN14" s="82">
        <v>0</v>
      </c>
      <c r="BO14" s="82">
        <v>0</v>
      </c>
      <c r="BP14" s="82">
        <v>0</v>
      </c>
      <c r="BQ14" s="82">
        <v>0</v>
      </c>
      <c r="BR14" s="82">
        <v>0</v>
      </c>
      <c r="BS14" s="82">
        <v>0</v>
      </c>
      <c r="BT14" s="82">
        <v>0</v>
      </c>
      <c r="BU14" s="82">
        <v>16341</v>
      </c>
      <c r="BV14" s="82">
        <v>0</v>
      </c>
      <c r="BX14" s="189">
        <v>0</v>
      </c>
      <c r="BY14" s="190">
        <v>0</v>
      </c>
    </row>
    <row r="15" spans="1:77" ht="8.25" customHeight="1" x14ac:dyDescent="0.15">
      <c r="A15" s="188">
        <v>1919</v>
      </c>
      <c r="B15" s="77" t="str">
        <f>IFERROR(INDEX(SCNtoISIC!$M:$M,MATCH($A15,SCNtoISIC!$J:$J,0)),0)</f>
        <v>ISIC 01T03</v>
      </c>
      <c r="C15" s="81" t="s">
        <v>313</v>
      </c>
      <c r="D15" s="82">
        <v>20386</v>
      </c>
      <c r="E15" s="82">
        <v>521</v>
      </c>
      <c r="F15" s="82">
        <v>98</v>
      </c>
      <c r="G15" s="82">
        <v>0</v>
      </c>
      <c r="H15" s="82">
        <v>0</v>
      </c>
      <c r="I15" s="82">
        <v>0</v>
      </c>
      <c r="J15" s="82">
        <v>0</v>
      </c>
      <c r="K15" s="82">
        <v>0</v>
      </c>
      <c r="L15" s="82">
        <v>0</v>
      </c>
      <c r="M15" s="82">
        <v>0</v>
      </c>
      <c r="N15" s="82">
        <v>0</v>
      </c>
      <c r="O15" s="82">
        <v>0</v>
      </c>
      <c r="P15" s="82">
        <v>0</v>
      </c>
      <c r="Q15" s="82">
        <v>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2">
        <v>0</v>
      </c>
      <c r="Y15" s="82">
        <v>0</v>
      </c>
      <c r="Z15" s="82">
        <v>0</v>
      </c>
      <c r="AA15" s="82">
        <v>0</v>
      </c>
      <c r="AB15" s="82">
        <v>0</v>
      </c>
      <c r="AC15" s="80">
        <v>0</v>
      </c>
      <c r="AD15" s="80">
        <v>0</v>
      </c>
      <c r="AE15" s="82">
        <v>0</v>
      </c>
      <c r="AF15" s="82">
        <v>0</v>
      </c>
      <c r="AG15" s="82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0">
        <v>0</v>
      </c>
      <c r="AQ15" s="80">
        <v>0</v>
      </c>
      <c r="AR15" s="82">
        <v>0</v>
      </c>
      <c r="AS15" s="82">
        <v>0</v>
      </c>
      <c r="AT15" s="82">
        <v>135</v>
      </c>
      <c r="AU15" s="82">
        <v>0</v>
      </c>
      <c r="AV15" s="82">
        <v>0</v>
      </c>
      <c r="AW15" s="82">
        <v>0</v>
      </c>
      <c r="AX15" s="82">
        <v>0</v>
      </c>
      <c r="AY15" s="82">
        <v>0</v>
      </c>
      <c r="AZ15" s="82">
        <v>0</v>
      </c>
      <c r="BA15" s="82">
        <v>0</v>
      </c>
      <c r="BB15" s="82">
        <v>0</v>
      </c>
      <c r="BC15" s="82">
        <v>0</v>
      </c>
      <c r="BD15" s="82">
        <v>0</v>
      </c>
      <c r="BE15" s="82">
        <v>0</v>
      </c>
      <c r="BF15" s="82">
        <v>0</v>
      </c>
      <c r="BG15" s="82">
        <v>0</v>
      </c>
      <c r="BH15" s="82">
        <v>0</v>
      </c>
      <c r="BI15" s="82">
        <v>0</v>
      </c>
      <c r="BJ15" s="82">
        <v>0</v>
      </c>
      <c r="BK15" s="82">
        <v>0</v>
      </c>
      <c r="BL15" s="82">
        <v>0</v>
      </c>
      <c r="BM15" s="82">
        <v>8</v>
      </c>
      <c r="BN15" s="82">
        <v>0</v>
      </c>
      <c r="BO15" s="82">
        <v>0</v>
      </c>
      <c r="BP15" s="82">
        <v>0</v>
      </c>
      <c r="BQ15" s="82">
        <v>0</v>
      </c>
      <c r="BR15" s="82">
        <v>0</v>
      </c>
      <c r="BS15" s="82">
        <v>0</v>
      </c>
      <c r="BT15" s="82">
        <v>0</v>
      </c>
      <c r="BU15" s="82">
        <v>21148</v>
      </c>
      <c r="BV15" s="82">
        <v>1876</v>
      </c>
      <c r="BX15" s="189">
        <v>0</v>
      </c>
      <c r="BY15" s="190">
        <v>0</v>
      </c>
    </row>
    <row r="16" spans="1:77" ht="8.25" customHeight="1" x14ac:dyDescent="0.15">
      <c r="A16" s="188">
        <v>1921</v>
      </c>
      <c r="B16" s="77" t="str">
        <f>IFERROR(INDEX(SCNtoISIC!$M:$M,MATCH($A16,SCNtoISIC!$J:$J,0)),0)</f>
        <v>ISIC 01T03</v>
      </c>
      <c r="C16" s="81" t="s">
        <v>611</v>
      </c>
      <c r="D16" s="82">
        <v>4755</v>
      </c>
      <c r="E16" s="82">
        <v>65761</v>
      </c>
      <c r="F16" s="82">
        <v>231</v>
      </c>
      <c r="G16" s="82">
        <v>0</v>
      </c>
      <c r="H16" s="82">
        <v>0</v>
      </c>
      <c r="I16" s="82">
        <v>0</v>
      </c>
      <c r="J16" s="82">
        <v>0</v>
      </c>
      <c r="K16" s="82">
        <v>0</v>
      </c>
      <c r="L16" s="82">
        <v>0</v>
      </c>
      <c r="M16" s="82">
        <v>0</v>
      </c>
      <c r="N16" s="82">
        <v>0</v>
      </c>
      <c r="O16" s="82">
        <v>0</v>
      </c>
      <c r="P16" s="82">
        <v>0</v>
      </c>
      <c r="Q16" s="82">
        <v>0</v>
      </c>
      <c r="R16" s="82">
        <v>0</v>
      </c>
      <c r="S16" s="82">
        <v>0</v>
      </c>
      <c r="T16" s="82">
        <v>0</v>
      </c>
      <c r="U16" s="82">
        <v>0</v>
      </c>
      <c r="V16" s="82">
        <v>0</v>
      </c>
      <c r="W16" s="82">
        <v>0</v>
      </c>
      <c r="X16" s="82">
        <v>0</v>
      </c>
      <c r="Y16" s="82">
        <v>0</v>
      </c>
      <c r="Z16" s="82">
        <v>0</v>
      </c>
      <c r="AA16" s="82">
        <v>0</v>
      </c>
      <c r="AB16" s="82">
        <v>0</v>
      </c>
      <c r="AC16" s="80">
        <v>0</v>
      </c>
      <c r="AD16" s="80">
        <v>0</v>
      </c>
      <c r="AE16" s="82">
        <v>0</v>
      </c>
      <c r="AF16" s="82">
        <v>0</v>
      </c>
      <c r="AG16" s="82">
        <v>0</v>
      </c>
      <c r="AH16" s="82">
        <v>0</v>
      </c>
      <c r="AI16" s="82">
        <v>0</v>
      </c>
      <c r="AJ16" s="82">
        <v>0</v>
      </c>
      <c r="AK16" s="82">
        <v>0</v>
      </c>
      <c r="AL16" s="82">
        <v>0</v>
      </c>
      <c r="AM16" s="82">
        <v>0</v>
      </c>
      <c r="AN16" s="82">
        <v>0</v>
      </c>
      <c r="AO16" s="82">
        <v>0</v>
      </c>
      <c r="AP16" s="80">
        <v>0</v>
      </c>
      <c r="AQ16" s="80">
        <v>0</v>
      </c>
      <c r="AR16" s="82">
        <v>0</v>
      </c>
      <c r="AS16" s="82">
        <v>0</v>
      </c>
      <c r="AT16" s="82">
        <v>101</v>
      </c>
      <c r="AU16" s="82">
        <v>0</v>
      </c>
      <c r="AV16" s="82">
        <v>0</v>
      </c>
      <c r="AW16" s="82">
        <v>0</v>
      </c>
      <c r="AX16" s="82">
        <v>0</v>
      </c>
      <c r="AY16" s="82">
        <v>0</v>
      </c>
      <c r="AZ16" s="82">
        <v>0</v>
      </c>
      <c r="BA16" s="82">
        <v>0</v>
      </c>
      <c r="BB16" s="82">
        <v>0</v>
      </c>
      <c r="BC16" s="82">
        <v>0</v>
      </c>
      <c r="BD16" s="82">
        <v>0</v>
      </c>
      <c r="BE16" s="82">
        <v>0</v>
      </c>
      <c r="BF16" s="82">
        <v>0</v>
      </c>
      <c r="BG16" s="82">
        <v>0</v>
      </c>
      <c r="BH16" s="82">
        <v>0</v>
      </c>
      <c r="BI16" s="82">
        <v>0</v>
      </c>
      <c r="BJ16" s="82">
        <v>0</v>
      </c>
      <c r="BK16" s="82">
        <v>0</v>
      </c>
      <c r="BL16" s="82">
        <v>0</v>
      </c>
      <c r="BM16" s="82">
        <v>11</v>
      </c>
      <c r="BN16" s="82">
        <v>7</v>
      </c>
      <c r="BO16" s="82">
        <v>0</v>
      </c>
      <c r="BP16" s="82">
        <v>0</v>
      </c>
      <c r="BQ16" s="82">
        <v>0</v>
      </c>
      <c r="BR16" s="82">
        <v>0</v>
      </c>
      <c r="BS16" s="82">
        <v>0</v>
      </c>
      <c r="BT16" s="82">
        <v>0</v>
      </c>
      <c r="BU16" s="82">
        <v>70866</v>
      </c>
      <c r="BV16" s="82">
        <v>129</v>
      </c>
      <c r="BX16" s="189">
        <v>0</v>
      </c>
      <c r="BY16" s="190">
        <v>0</v>
      </c>
    </row>
    <row r="17" spans="1:77" ht="8.25" customHeight="1" x14ac:dyDescent="0.15">
      <c r="A17" s="185">
        <v>1922</v>
      </c>
      <c r="B17" s="77" t="str">
        <f>IFERROR(INDEX(SCNtoISIC!$M:$M,MATCH($A17,SCNtoISIC!$J:$J,0)),0)</f>
        <v>ISIC 01T03</v>
      </c>
      <c r="C17" s="78" t="s">
        <v>316</v>
      </c>
      <c r="D17" s="79">
        <v>2476</v>
      </c>
      <c r="E17" s="79">
        <v>22740</v>
      </c>
      <c r="F17" s="79">
        <v>67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0</v>
      </c>
      <c r="Z17" s="79">
        <v>0</v>
      </c>
      <c r="AA17" s="79">
        <v>0</v>
      </c>
      <c r="AB17" s="79">
        <v>0</v>
      </c>
      <c r="AC17" s="80">
        <v>0</v>
      </c>
      <c r="AD17" s="80">
        <v>0</v>
      </c>
      <c r="AE17" s="79">
        <v>0</v>
      </c>
      <c r="AF17" s="79">
        <v>0</v>
      </c>
      <c r="AG17" s="79">
        <v>0</v>
      </c>
      <c r="AH17" s="79">
        <v>0</v>
      </c>
      <c r="AI17" s="79">
        <v>0</v>
      </c>
      <c r="AJ17" s="79">
        <v>0</v>
      </c>
      <c r="AK17" s="79">
        <v>0</v>
      </c>
      <c r="AL17" s="79">
        <v>0</v>
      </c>
      <c r="AM17" s="79">
        <v>0</v>
      </c>
      <c r="AN17" s="79">
        <v>0</v>
      </c>
      <c r="AO17" s="79">
        <v>0</v>
      </c>
      <c r="AP17" s="80">
        <v>0</v>
      </c>
      <c r="AQ17" s="80">
        <v>0</v>
      </c>
      <c r="AR17" s="79">
        <v>0</v>
      </c>
      <c r="AS17" s="79">
        <v>0</v>
      </c>
      <c r="AT17" s="79">
        <v>0</v>
      </c>
      <c r="AU17" s="79">
        <v>0</v>
      </c>
      <c r="AV17" s="79">
        <v>0</v>
      </c>
      <c r="AW17" s="79">
        <v>0</v>
      </c>
      <c r="AX17" s="79">
        <v>0</v>
      </c>
      <c r="AY17" s="79">
        <v>0</v>
      </c>
      <c r="AZ17" s="79">
        <v>0</v>
      </c>
      <c r="BA17" s="79">
        <v>0</v>
      </c>
      <c r="BB17" s="79">
        <v>0</v>
      </c>
      <c r="BC17" s="79">
        <v>0</v>
      </c>
      <c r="BD17" s="79">
        <v>0</v>
      </c>
      <c r="BE17" s="79">
        <v>0</v>
      </c>
      <c r="BF17" s="79">
        <v>0</v>
      </c>
      <c r="BG17" s="79">
        <v>0</v>
      </c>
      <c r="BH17" s="79">
        <v>0</v>
      </c>
      <c r="BI17" s="79">
        <v>0</v>
      </c>
      <c r="BJ17" s="79">
        <v>0</v>
      </c>
      <c r="BK17" s="79">
        <v>0</v>
      </c>
      <c r="BL17" s="79">
        <v>0</v>
      </c>
      <c r="BM17" s="79">
        <v>1</v>
      </c>
      <c r="BN17" s="79">
        <v>0</v>
      </c>
      <c r="BO17" s="79">
        <v>0</v>
      </c>
      <c r="BP17" s="79">
        <v>0</v>
      </c>
      <c r="BQ17" s="79">
        <v>0</v>
      </c>
      <c r="BR17" s="79">
        <v>0</v>
      </c>
      <c r="BS17" s="79">
        <v>0</v>
      </c>
      <c r="BT17" s="79">
        <v>0</v>
      </c>
      <c r="BU17" s="79">
        <v>25284</v>
      </c>
      <c r="BV17" s="79">
        <v>0</v>
      </c>
      <c r="BX17" s="186">
        <v>0</v>
      </c>
      <c r="BY17" s="187">
        <v>0</v>
      </c>
    </row>
    <row r="18" spans="1:77" ht="8" customHeight="1" x14ac:dyDescent="0.15">
      <c r="A18" s="185">
        <v>1923</v>
      </c>
      <c r="B18" s="77" t="str">
        <f>IFERROR(INDEX(SCNtoISIC!$M:$M,MATCH($A18,SCNtoISIC!$J:$J,0)),0)</f>
        <v>ISIC 01T03</v>
      </c>
      <c r="C18" s="78" t="s">
        <v>317</v>
      </c>
      <c r="D18" s="79">
        <v>503</v>
      </c>
      <c r="E18" s="79">
        <v>8107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79">
        <v>0</v>
      </c>
      <c r="T18" s="79">
        <v>0</v>
      </c>
      <c r="U18" s="79">
        <v>0</v>
      </c>
      <c r="V18" s="79">
        <v>0</v>
      </c>
      <c r="W18" s="79">
        <v>0</v>
      </c>
      <c r="X18" s="79">
        <v>0</v>
      </c>
      <c r="Y18" s="79">
        <v>0</v>
      </c>
      <c r="Z18" s="79">
        <v>0</v>
      </c>
      <c r="AA18" s="79">
        <v>0</v>
      </c>
      <c r="AB18" s="79">
        <v>0</v>
      </c>
      <c r="AC18" s="80">
        <v>0</v>
      </c>
      <c r="AD18" s="80">
        <v>0</v>
      </c>
      <c r="AE18" s="79">
        <v>0</v>
      </c>
      <c r="AF18" s="79">
        <v>0</v>
      </c>
      <c r="AG18" s="79">
        <v>0</v>
      </c>
      <c r="AH18" s="79">
        <v>0</v>
      </c>
      <c r="AI18" s="79">
        <v>0</v>
      </c>
      <c r="AJ18" s="79">
        <v>0</v>
      </c>
      <c r="AK18" s="79">
        <v>0</v>
      </c>
      <c r="AL18" s="79">
        <v>0</v>
      </c>
      <c r="AM18" s="79">
        <v>0</v>
      </c>
      <c r="AN18" s="79">
        <v>0</v>
      </c>
      <c r="AO18" s="79">
        <v>0</v>
      </c>
      <c r="AP18" s="80">
        <v>0</v>
      </c>
      <c r="AQ18" s="80">
        <v>0</v>
      </c>
      <c r="AR18" s="79">
        <v>0</v>
      </c>
      <c r="AS18" s="79">
        <v>0</v>
      </c>
      <c r="AT18" s="79">
        <v>0</v>
      </c>
      <c r="AU18" s="79">
        <v>0</v>
      </c>
      <c r="AV18" s="79">
        <v>0</v>
      </c>
      <c r="AW18" s="79">
        <v>0</v>
      </c>
      <c r="AX18" s="79">
        <v>0</v>
      </c>
      <c r="AY18" s="79">
        <v>0</v>
      </c>
      <c r="AZ18" s="79">
        <v>0</v>
      </c>
      <c r="BA18" s="79">
        <v>0</v>
      </c>
      <c r="BB18" s="79">
        <v>0</v>
      </c>
      <c r="BC18" s="79">
        <v>0</v>
      </c>
      <c r="BD18" s="79">
        <v>0</v>
      </c>
      <c r="BE18" s="79">
        <v>0</v>
      </c>
      <c r="BF18" s="79">
        <v>0</v>
      </c>
      <c r="BG18" s="79">
        <v>0</v>
      </c>
      <c r="BH18" s="79">
        <v>0</v>
      </c>
      <c r="BI18" s="79">
        <v>0</v>
      </c>
      <c r="BJ18" s="79">
        <v>0</v>
      </c>
      <c r="BK18" s="79">
        <v>0</v>
      </c>
      <c r="BL18" s="79">
        <v>0</v>
      </c>
      <c r="BM18" s="79">
        <v>0</v>
      </c>
      <c r="BN18" s="79">
        <v>0</v>
      </c>
      <c r="BO18" s="79">
        <v>0</v>
      </c>
      <c r="BP18" s="79">
        <v>0</v>
      </c>
      <c r="BQ18" s="79">
        <v>0</v>
      </c>
      <c r="BR18" s="79">
        <v>0</v>
      </c>
      <c r="BS18" s="79">
        <v>0</v>
      </c>
      <c r="BT18" s="79">
        <v>0</v>
      </c>
      <c r="BU18" s="79">
        <v>8610</v>
      </c>
      <c r="BV18" s="79">
        <v>6</v>
      </c>
      <c r="BX18" s="186">
        <v>0</v>
      </c>
      <c r="BY18" s="187">
        <v>0</v>
      </c>
    </row>
    <row r="19" spans="1:77" ht="8.25" customHeight="1" x14ac:dyDescent="0.15">
      <c r="A19" s="185">
        <v>1924</v>
      </c>
      <c r="B19" s="77" t="str">
        <f>IFERROR(INDEX(SCNtoISIC!$M:$M,MATCH($A19,SCNtoISIC!$J:$J,0)),0)</f>
        <v>ISIC 01T03</v>
      </c>
      <c r="C19" s="78" t="s">
        <v>319</v>
      </c>
      <c r="D19" s="79">
        <v>467</v>
      </c>
      <c r="E19" s="79">
        <v>23680</v>
      </c>
      <c r="F19" s="79">
        <v>13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0</v>
      </c>
      <c r="Z19" s="79">
        <v>0</v>
      </c>
      <c r="AA19" s="79">
        <v>0</v>
      </c>
      <c r="AB19" s="79">
        <v>0</v>
      </c>
      <c r="AC19" s="80">
        <v>0</v>
      </c>
      <c r="AD19" s="80">
        <v>0</v>
      </c>
      <c r="AE19" s="79">
        <v>0</v>
      </c>
      <c r="AF19" s="79">
        <v>0</v>
      </c>
      <c r="AG19" s="79">
        <v>0</v>
      </c>
      <c r="AH19" s="79">
        <v>0</v>
      </c>
      <c r="AI19" s="79">
        <v>0</v>
      </c>
      <c r="AJ19" s="79">
        <v>0</v>
      </c>
      <c r="AK19" s="79">
        <v>0</v>
      </c>
      <c r="AL19" s="79">
        <v>0</v>
      </c>
      <c r="AM19" s="79">
        <v>0</v>
      </c>
      <c r="AN19" s="79">
        <v>0</v>
      </c>
      <c r="AO19" s="79">
        <v>0</v>
      </c>
      <c r="AP19" s="80">
        <v>0</v>
      </c>
      <c r="AQ19" s="80">
        <v>0</v>
      </c>
      <c r="AR19" s="79">
        <v>0</v>
      </c>
      <c r="AS19" s="79">
        <v>0</v>
      </c>
      <c r="AT19" s="79">
        <v>0</v>
      </c>
      <c r="AU19" s="79">
        <v>0</v>
      </c>
      <c r="AV19" s="79">
        <v>0</v>
      </c>
      <c r="AW19" s="79">
        <v>0</v>
      </c>
      <c r="AX19" s="79">
        <v>0</v>
      </c>
      <c r="AY19" s="79">
        <v>0</v>
      </c>
      <c r="AZ19" s="79">
        <v>0</v>
      </c>
      <c r="BA19" s="79">
        <v>0</v>
      </c>
      <c r="BB19" s="79">
        <v>0</v>
      </c>
      <c r="BC19" s="79">
        <v>0</v>
      </c>
      <c r="BD19" s="79">
        <v>0</v>
      </c>
      <c r="BE19" s="79">
        <v>0</v>
      </c>
      <c r="BF19" s="79">
        <v>0</v>
      </c>
      <c r="BG19" s="79">
        <v>0</v>
      </c>
      <c r="BH19" s="79">
        <v>0</v>
      </c>
      <c r="BI19" s="79">
        <v>0</v>
      </c>
      <c r="BJ19" s="79">
        <v>0</v>
      </c>
      <c r="BK19" s="79">
        <v>0</v>
      </c>
      <c r="BL19" s="79">
        <v>0</v>
      </c>
      <c r="BM19" s="79">
        <v>0</v>
      </c>
      <c r="BN19" s="79">
        <v>0</v>
      </c>
      <c r="BO19" s="79">
        <v>0</v>
      </c>
      <c r="BP19" s="79">
        <v>0</v>
      </c>
      <c r="BQ19" s="79">
        <v>0</v>
      </c>
      <c r="BR19" s="79">
        <v>0</v>
      </c>
      <c r="BS19" s="79">
        <v>0</v>
      </c>
      <c r="BT19" s="79">
        <v>0</v>
      </c>
      <c r="BU19" s="79">
        <v>24160</v>
      </c>
      <c r="BV19" s="79">
        <v>99</v>
      </c>
      <c r="BX19" s="186">
        <v>0</v>
      </c>
      <c r="BY19" s="187">
        <v>0</v>
      </c>
    </row>
    <row r="20" spans="1:77" ht="8.25" customHeight="1" x14ac:dyDescent="0.15">
      <c r="A20" s="185">
        <v>2801</v>
      </c>
      <c r="B20" s="77" t="str">
        <f>IFERROR(INDEX(SCNtoISIC!$M:$M,MATCH($A20,SCNtoISIC!$J:$J,0)),0)</f>
        <v>ISIC 01T03</v>
      </c>
      <c r="C20" s="78" t="s">
        <v>320</v>
      </c>
      <c r="D20" s="79">
        <v>986</v>
      </c>
      <c r="E20" s="79">
        <v>1125</v>
      </c>
      <c r="F20" s="79">
        <v>19410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0</v>
      </c>
      <c r="Z20" s="79">
        <v>0</v>
      </c>
      <c r="AA20" s="79">
        <v>0</v>
      </c>
      <c r="AB20" s="79">
        <v>0</v>
      </c>
      <c r="AC20" s="80">
        <v>0</v>
      </c>
      <c r="AD20" s="80">
        <v>0</v>
      </c>
      <c r="AE20" s="79">
        <v>0</v>
      </c>
      <c r="AF20" s="79">
        <v>0</v>
      </c>
      <c r="AG20" s="79">
        <v>0</v>
      </c>
      <c r="AH20" s="79">
        <v>0</v>
      </c>
      <c r="AI20" s="79">
        <v>0</v>
      </c>
      <c r="AJ20" s="79">
        <v>0</v>
      </c>
      <c r="AK20" s="79">
        <v>0</v>
      </c>
      <c r="AL20" s="79">
        <v>0</v>
      </c>
      <c r="AM20" s="79">
        <v>0</v>
      </c>
      <c r="AN20" s="79">
        <v>0</v>
      </c>
      <c r="AO20" s="79">
        <v>0</v>
      </c>
      <c r="AP20" s="80">
        <v>0</v>
      </c>
      <c r="AQ20" s="80">
        <v>0</v>
      </c>
      <c r="AR20" s="79">
        <v>0</v>
      </c>
      <c r="AS20" s="79">
        <v>0</v>
      </c>
      <c r="AT20" s="79">
        <v>0</v>
      </c>
      <c r="AU20" s="79">
        <v>42</v>
      </c>
      <c r="AV20" s="79">
        <v>0</v>
      </c>
      <c r="AW20" s="79">
        <v>0</v>
      </c>
      <c r="AX20" s="79">
        <v>0</v>
      </c>
      <c r="AY20" s="79">
        <v>0</v>
      </c>
      <c r="AZ20" s="79">
        <v>0</v>
      </c>
      <c r="BA20" s="79">
        <v>0</v>
      </c>
      <c r="BB20" s="79">
        <v>0</v>
      </c>
      <c r="BC20" s="79">
        <v>0</v>
      </c>
      <c r="BD20" s="79">
        <v>0</v>
      </c>
      <c r="BE20" s="79">
        <v>0</v>
      </c>
      <c r="BF20" s="79">
        <v>0</v>
      </c>
      <c r="BG20" s="79">
        <v>0</v>
      </c>
      <c r="BH20" s="79">
        <v>0</v>
      </c>
      <c r="BI20" s="79">
        <v>0</v>
      </c>
      <c r="BJ20" s="79">
        <v>0</v>
      </c>
      <c r="BK20" s="79">
        <v>0</v>
      </c>
      <c r="BL20" s="79">
        <v>0</v>
      </c>
      <c r="BM20" s="79">
        <v>0</v>
      </c>
      <c r="BN20" s="79">
        <v>0</v>
      </c>
      <c r="BO20" s="79">
        <v>0</v>
      </c>
      <c r="BP20" s="79">
        <v>0</v>
      </c>
      <c r="BQ20" s="79">
        <v>0</v>
      </c>
      <c r="BR20" s="79">
        <v>0</v>
      </c>
      <c r="BS20" s="79">
        <v>0</v>
      </c>
      <c r="BT20" s="79">
        <v>0</v>
      </c>
      <c r="BU20" s="79">
        <v>21563</v>
      </c>
      <c r="BV20" s="79">
        <v>1272</v>
      </c>
      <c r="BX20" s="186">
        <v>0</v>
      </c>
      <c r="BY20" s="187">
        <v>0</v>
      </c>
    </row>
    <row r="21" spans="1:77" ht="8.25" customHeight="1" x14ac:dyDescent="0.15">
      <c r="A21" s="185">
        <v>2802</v>
      </c>
      <c r="B21" s="77" t="str">
        <f>IFERROR(INDEX(SCNtoISIC!$M:$M,MATCH($A21,SCNtoISIC!$J:$J,0)),0)</f>
        <v>ISIC 01T03</v>
      </c>
      <c r="C21" s="78" t="s">
        <v>322</v>
      </c>
      <c r="D21" s="79">
        <v>367</v>
      </c>
      <c r="E21" s="79">
        <v>457</v>
      </c>
      <c r="F21" s="79">
        <v>11714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79">
        <v>0</v>
      </c>
      <c r="Y21" s="79">
        <v>0</v>
      </c>
      <c r="Z21" s="79">
        <v>0</v>
      </c>
      <c r="AA21" s="79">
        <v>0</v>
      </c>
      <c r="AB21" s="79">
        <v>0</v>
      </c>
      <c r="AC21" s="80">
        <v>0</v>
      </c>
      <c r="AD21" s="80">
        <v>0</v>
      </c>
      <c r="AE21" s="79">
        <v>0</v>
      </c>
      <c r="AF21" s="79">
        <v>0</v>
      </c>
      <c r="AG21" s="79">
        <v>0</v>
      </c>
      <c r="AH21" s="79">
        <v>0</v>
      </c>
      <c r="AI21" s="79">
        <v>0</v>
      </c>
      <c r="AJ21" s="79">
        <v>0</v>
      </c>
      <c r="AK21" s="79">
        <v>0</v>
      </c>
      <c r="AL21" s="79">
        <v>0</v>
      </c>
      <c r="AM21" s="79">
        <v>0</v>
      </c>
      <c r="AN21" s="79">
        <v>0</v>
      </c>
      <c r="AO21" s="79">
        <v>0</v>
      </c>
      <c r="AP21" s="80">
        <v>0</v>
      </c>
      <c r="AQ21" s="80">
        <v>0</v>
      </c>
      <c r="AR21" s="79">
        <v>0</v>
      </c>
      <c r="AS21" s="79">
        <v>0</v>
      </c>
      <c r="AT21" s="79">
        <v>0</v>
      </c>
      <c r="AU21" s="79">
        <v>0</v>
      </c>
      <c r="AV21" s="79">
        <v>0</v>
      </c>
      <c r="AW21" s="79">
        <v>0</v>
      </c>
      <c r="AX21" s="79">
        <v>0</v>
      </c>
      <c r="AY21" s="79">
        <v>0</v>
      </c>
      <c r="AZ21" s="79">
        <v>0</v>
      </c>
      <c r="BA21" s="79">
        <v>0</v>
      </c>
      <c r="BB21" s="79">
        <v>0</v>
      </c>
      <c r="BC21" s="79">
        <v>0</v>
      </c>
      <c r="BD21" s="79">
        <v>0</v>
      </c>
      <c r="BE21" s="79">
        <v>0</v>
      </c>
      <c r="BF21" s="79">
        <v>0</v>
      </c>
      <c r="BG21" s="79">
        <v>0</v>
      </c>
      <c r="BH21" s="79">
        <v>0</v>
      </c>
      <c r="BI21" s="79">
        <v>0</v>
      </c>
      <c r="BJ21" s="79">
        <v>0</v>
      </c>
      <c r="BK21" s="79">
        <v>0</v>
      </c>
      <c r="BL21" s="79">
        <v>0</v>
      </c>
      <c r="BM21" s="79">
        <v>0</v>
      </c>
      <c r="BN21" s="79">
        <v>0</v>
      </c>
      <c r="BO21" s="79">
        <v>0</v>
      </c>
      <c r="BP21" s="79">
        <v>0</v>
      </c>
      <c r="BQ21" s="79">
        <v>0</v>
      </c>
      <c r="BR21" s="79">
        <v>0</v>
      </c>
      <c r="BS21" s="79">
        <v>0</v>
      </c>
      <c r="BT21" s="79">
        <v>0</v>
      </c>
      <c r="BU21" s="79">
        <v>12538</v>
      </c>
      <c r="BV21" s="79">
        <v>1358</v>
      </c>
      <c r="BX21" s="186">
        <v>0</v>
      </c>
      <c r="BY21" s="187">
        <v>0</v>
      </c>
    </row>
    <row r="22" spans="1:77" ht="8.25" customHeight="1" x14ac:dyDescent="0.15">
      <c r="A22" s="188">
        <v>5801</v>
      </c>
      <c r="B22" s="77" t="str">
        <f>IFERROR(INDEX(SCNtoISIC!$M:$M,MATCH($A22,SCNtoISIC!$J:$J,0)),0)</f>
        <v>ISIC 05</v>
      </c>
      <c r="C22" s="81" t="s">
        <v>324</v>
      </c>
      <c r="D22" s="82">
        <v>0</v>
      </c>
      <c r="E22" s="82">
        <v>0</v>
      </c>
      <c r="F22" s="82">
        <v>0</v>
      </c>
      <c r="G22" s="82">
        <v>1338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14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80">
        <v>0</v>
      </c>
      <c r="AD22" s="80">
        <v>0</v>
      </c>
      <c r="AE22" s="82">
        <v>0</v>
      </c>
      <c r="AF22" s="82">
        <v>0</v>
      </c>
      <c r="AG22" s="82">
        <v>0</v>
      </c>
      <c r="AH22" s="82">
        <v>0</v>
      </c>
      <c r="AI22" s="82">
        <v>0</v>
      </c>
      <c r="AJ22" s="82">
        <v>0</v>
      </c>
      <c r="AK22" s="82">
        <v>0</v>
      </c>
      <c r="AL22" s="82">
        <v>16</v>
      </c>
      <c r="AM22" s="82">
        <v>0</v>
      </c>
      <c r="AN22" s="82">
        <v>0</v>
      </c>
      <c r="AO22" s="82">
        <v>0</v>
      </c>
      <c r="AP22" s="80">
        <v>0</v>
      </c>
      <c r="AQ22" s="80">
        <v>0</v>
      </c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>
        <v>0</v>
      </c>
      <c r="AZ22" s="82">
        <v>0</v>
      </c>
      <c r="BA22" s="82">
        <v>0</v>
      </c>
      <c r="BB22" s="82">
        <v>0</v>
      </c>
      <c r="BC22" s="82">
        <v>0</v>
      </c>
      <c r="BD22" s="82">
        <v>0</v>
      </c>
      <c r="BE22" s="82">
        <v>0</v>
      </c>
      <c r="BF22" s="82">
        <v>0</v>
      </c>
      <c r="BG22" s="82">
        <v>0</v>
      </c>
      <c r="BH22" s="82">
        <v>0</v>
      </c>
      <c r="BI22" s="82">
        <v>0</v>
      </c>
      <c r="BJ22" s="82">
        <v>0</v>
      </c>
      <c r="BK22" s="82">
        <v>0</v>
      </c>
      <c r="BL22" s="82">
        <v>0</v>
      </c>
      <c r="BM22" s="82">
        <v>0</v>
      </c>
      <c r="BN22" s="82">
        <v>0</v>
      </c>
      <c r="BO22" s="82">
        <v>0</v>
      </c>
      <c r="BP22" s="82">
        <v>0</v>
      </c>
      <c r="BQ22" s="82">
        <v>0</v>
      </c>
      <c r="BR22" s="82">
        <v>0</v>
      </c>
      <c r="BS22" s="82">
        <v>0</v>
      </c>
      <c r="BT22" s="82">
        <v>0</v>
      </c>
      <c r="BU22" s="82">
        <v>1368</v>
      </c>
      <c r="BV22" s="82">
        <v>7136</v>
      </c>
      <c r="BX22" s="189">
        <v>0</v>
      </c>
      <c r="BY22" s="190">
        <v>0</v>
      </c>
    </row>
    <row r="23" spans="1:77" ht="8.25" customHeight="1" x14ac:dyDescent="0.15">
      <c r="A23" s="188">
        <v>5802</v>
      </c>
      <c r="B23" s="77" t="str">
        <f>IFERROR(INDEX(SCNtoISIC!$M:$M,MATCH($A23,SCNtoISIC!$J:$J,0)),0)</f>
        <v>ISIC 05</v>
      </c>
      <c r="C23" s="81" t="s">
        <v>612</v>
      </c>
      <c r="D23" s="82">
        <v>53</v>
      </c>
      <c r="E23" s="82">
        <v>259</v>
      </c>
      <c r="F23" s="82">
        <v>21</v>
      </c>
      <c r="G23" s="82">
        <v>17284</v>
      </c>
      <c r="H23" s="82">
        <v>0</v>
      </c>
      <c r="I23" s="82">
        <v>0</v>
      </c>
      <c r="J23" s="82">
        <v>60</v>
      </c>
      <c r="K23" s="82">
        <v>0</v>
      </c>
      <c r="L23" s="82">
        <v>0</v>
      </c>
      <c r="M23" s="82">
        <v>16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290</v>
      </c>
      <c r="Y23" s="82">
        <v>26</v>
      </c>
      <c r="Z23" s="82">
        <v>0</v>
      </c>
      <c r="AA23" s="82">
        <v>0</v>
      </c>
      <c r="AB23" s="82">
        <v>0</v>
      </c>
      <c r="AC23" s="80">
        <v>378.59999999999997</v>
      </c>
      <c r="AD23" s="80">
        <v>252.4</v>
      </c>
      <c r="AE23" s="82">
        <v>16</v>
      </c>
      <c r="AF23" s="82">
        <v>0</v>
      </c>
      <c r="AG23" s="82">
        <v>15</v>
      </c>
      <c r="AH23" s="82">
        <v>0</v>
      </c>
      <c r="AI23" s="82">
        <v>0</v>
      </c>
      <c r="AJ23" s="82">
        <v>0</v>
      </c>
      <c r="AK23" s="82">
        <v>0</v>
      </c>
      <c r="AL23" s="82">
        <v>199</v>
      </c>
      <c r="AM23" s="82">
        <v>0</v>
      </c>
      <c r="AN23" s="82">
        <v>0</v>
      </c>
      <c r="AO23" s="82">
        <v>0</v>
      </c>
      <c r="AP23" s="80">
        <v>0</v>
      </c>
      <c r="AQ23" s="80">
        <v>0</v>
      </c>
      <c r="AR23" s="82">
        <v>0</v>
      </c>
      <c r="AS23" s="82">
        <v>0</v>
      </c>
      <c r="AT23" s="82">
        <v>121</v>
      </c>
      <c r="AU23" s="82">
        <v>0</v>
      </c>
      <c r="AV23" s="82">
        <v>0</v>
      </c>
      <c r="AW23" s="82">
        <v>0</v>
      </c>
      <c r="AX23" s="82">
        <v>0</v>
      </c>
      <c r="AY23" s="82">
        <v>0</v>
      </c>
      <c r="AZ23" s="82">
        <v>0</v>
      </c>
      <c r="BA23" s="82">
        <v>0</v>
      </c>
      <c r="BB23" s="82">
        <v>0</v>
      </c>
      <c r="BC23" s="82">
        <v>0</v>
      </c>
      <c r="BD23" s="82">
        <v>0</v>
      </c>
      <c r="BE23" s="82">
        <v>0</v>
      </c>
      <c r="BF23" s="82">
        <v>0</v>
      </c>
      <c r="BG23" s="82">
        <v>0</v>
      </c>
      <c r="BH23" s="82">
        <v>0</v>
      </c>
      <c r="BI23" s="82">
        <v>0</v>
      </c>
      <c r="BJ23" s="82">
        <v>0</v>
      </c>
      <c r="BK23" s="82">
        <v>0</v>
      </c>
      <c r="BL23" s="82">
        <v>0</v>
      </c>
      <c r="BM23" s="82">
        <v>6</v>
      </c>
      <c r="BN23" s="82">
        <v>0</v>
      </c>
      <c r="BO23" s="82">
        <v>0</v>
      </c>
      <c r="BP23" s="82">
        <v>0</v>
      </c>
      <c r="BQ23" s="82">
        <v>0</v>
      </c>
      <c r="BR23" s="82">
        <v>0</v>
      </c>
      <c r="BS23" s="82">
        <v>0</v>
      </c>
      <c r="BT23" s="82">
        <v>0</v>
      </c>
      <c r="BU23" s="82">
        <v>18997</v>
      </c>
      <c r="BV23" s="82">
        <v>2061</v>
      </c>
      <c r="BX23" s="189">
        <v>631</v>
      </c>
      <c r="BY23" s="190">
        <v>0</v>
      </c>
    </row>
    <row r="24" spans="1:77" ht="8.25" customHeight="1" x14ac:dyDescent="0.15">
      <c r="A24" s="188">
        <v>6801</v>
      </c>
      <c r="B24" s="77" t="str">
        <f>IFERROR(INDEX(SCNtoISIC!$M:$M,MATCH($A24,SCNtoISIC!$J:$J,0)),0)</f>
        <v>ISIC 06</v>
      </c>
      <c r="C24" s="81" t="s">
        <v>328</v>
      </c>
      <c r="D24" s="82">
        <v>0</v>
      </c>
      <c r="E24" s="82">
        <v>0</v>
      </c>
      <c r="F24" s="82">
        <v>0</v>
      </c>
      <c r="G24" s="82">
        <v>0</v>
      </c>
      <c r="H24" s="82">
        <v>161477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47</v>
      </c>
      <c r="W24" s="82">
        <v>0</v>
      </c>
      <c r="X24" s="82">
        <v>19</v>
      </c>
      <c r="Y24" s="82">
        <v>0</v>
      </c>
      <c r="Z24" s="82">
        <v>0</v>
      </c>
      <c r="AA24" s="82">
        <v>0</v>
      </c>
      <c r="AB24" s="82">
        <v>0</v>
      </c>
      <c r="AC24" s="80">
        <v>0</v>
      </c>
      <c r="AD24" s="80">
        <v>0</v>
      </c>
      <c r="AE24" s="82">
        <v>0</v>
      </c>
      <c r="AF24" s="82">
        <v>0</v>
      </c>
      <c r="AG24" s="82">
        <v>22</v>
      </c>
      <c r="AH24" s="82">
        <v>0</v>
      </c>
      <c r="AI24" s="82">
        <v>0</v>
      </c>
      <c r="AJ24" s="82">
        <v>211</v>
      </c>
      <c r="AK24" s="82">
        <v>0</v>
      </c>
      <c r="AL24" s="82">
        <v>0</v>
      </c>
      <c r="AM24" s="82">
        <v>0</v>
      </c>
      <c r="AN24" s="82">
        <v>0</v>
      </c>
      <c r="AO24" s="82">
        <v>0</v>
      </c>
      <c r="AP24" s="80">
        <v>0</v>
      </c>
      <c r="AQ24" s="80">
        <v>0</v>
      </c>
      <c r="AR24" s="82">
        <v>0</v>
      </c>
      <c r="AS24" s="82">
        <v>0</v>
      </c>
      <c r="AT24" s="82">
        <v>354</v>
      </c>
      <c r="AU24" s="82">
        <v>0</v>
      </c>
      <c r="AV24" s="82">
        <v>0</v>
      </c>
      <c r="AW24" s="82">
        <v>0</v>
      </c>
      <c r="AX24" s="82">
        <v>0</v>
      </c>
      <c r="AY24" s="82">
        <v>0</v>
      </c>
      <c r="AZ24" s="82">
        <v>0</v>
      </c>
      <c r="BA24" s="82">
        <v>0</v>
      </c>
      <c r="BB24" s="82">
        <v>0</v>
      </c>
      <c r="BC24" s="82">
        <v>0</v>
      </c>
      <c r="BD24" s="82">
        <v>0</v>
      </c>
      <c r="BE24" s="82">
        <v>0</v>
      </c>
      <c r="BF24" s="82">
        <v>0</v>
      </c>
      <c r="BG24" s="82">
        <v>0</v>
      </c>
      <c r="BH24" s="82">
        <v>0</v>
      </c>
      <c r="BI24" s="82">
        <v>0</v>
      </c>
      <c r="BJ24" s="82">
        <v>0</v>
      </c>
      <c r="BK24" s="82">
        <v>0</v>
      </c>
      <c r="BL24" s="82">
        <v>0</v>
      </c>
      <c r="BM24" s="82">
        <v>0</v>
      </c>
      <c r="BN24" s="82">
        <v>0</v>
      </c>
      <c r="BO24" s="82">
        <v>0</v>
      </c>
      <c r="BP24" s="82">
        <v>0</v>
      </c>
      <c r="BQ24" s="82">
        <v>0</v>
      </c>
      <c r="BR24" s="82">
        <v>0</v>
      </c>
      <c r="BS24" s="82">
        <v>0</v>
      </c>
      <c r="BT24" s="82">
        <v>0</v>
      </c>
      <c r="BU24" s="82">
        <v>162130</v>
      </c>
      <c r="BV24" s="82">
        <v>40773</v>
      </c>
      <c r="BX24" s="189">
        <v>0</v>
      </c>
      <c r="BY24" s="190">
        <v>0</v>
      </c>
    </row>
    <row r="25" spans="1:77" ht="8.25" customHeight="1" x14ac:dyDescent="0.15">
      <c r="A25" s="188">
        <v>7911</v>
      </c>
      <c r="B25" s="77" t="str">
        <f>IFERROR(INDEX(SCNtoISIC!$M:$M,MATCH($A25,SCNtoISIC!$J:$J,0)),0)</f>
        <v>ISIC 07T08</v>
      </c>
      <c r="C25" s="81" t="s">
        <v>331</v>
      </c>
      <c r="D25" s="82">
        <v>0</v>
      </c>
      <c r="E25" s="82">
        <v>0</v>
      </c>
      <c r="F25" s="82">
        <v>0</v>
      </c>
      <c r="G25" s="82">
        <v>0</v>
      </c>
      <c r="H25" s="82">
        <v>0</v>
      </c>
      <c r="I25" s="82">
        <v>52000</v>
      </c>
      <c r="J25" s="82">
        <v>0</v>
      </c>
      <c r="K25" s="82">
        <v>0</v>
      </c>
      <c r="L25" s="82">
        <v>0</v>
      </c>
      <c r="M25" s="82">
        <v>0</v>
      </c>
      <c r="N25" s="82">
        <v>0</v>
      </c>
      <c r="O25" s="82">
        <v>0</v>
      </c>
      <c r="P25" s="82">
        <v>0</v>
      </c>
      <c r="Q25" s="82">
        <v>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2">
        <v>0</v>
      </c>
      <c r="Y25" s="82">
        <v>0</v>
      </c>
      <c r="Z25" s="82">
        <v>0</v>
      </c>
      <c r="AA25" s="82">
        <v>0</v>
      </c>
      <c r="AB25" s="82">
        <v>0</v>
      </c>
      <c r="AC25" s="80">
        <v>0</v>
      </c>
      <c r="AD25" s="80">
        <v>0</v>
      </c>
      <c r="AE25" s="82">
        <v>647</v>
      </c>
      <c r="AF25" s="82">
        <v>0</v>
      </c>
      <c r="AG25" s="82">
        <v>0</v>
      </c>
      <c r="AH25" s="82">
        <v>0</v>
      </c>
      <c r="AI25" s="82">
        <v>0</v>
      </c>
      <c r="AJ25" s="82">
        <v>0</v>
      </c>
      <c r="AK25" s="82">
        <v>0</v>
      </c>
      <c r="AL25" s="82">
        <v>0</v>
      </c>
      <c r="AM25" s="82">
        <v>0</v>
      </c>
      <c r="AN25" s="82">
        <v>0</v>
      </c>
      <c r="AO25" s="82">
        <v>0</v>
      </c>
      <c r="AP25" s="80">
        <v>0</v>
      </c>
      <c r="AQ25" s="80">
        <v>0</v>
      </c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>
        <v>0</v>
      </c>
      <c r="AZ25" s="82">
        <v>0</v>
      </c>
      <c r="BA25" s="82">
        <v>0</v>
      </c>
      <c r="BB25" s="82">
        <v>0</v>
      </c>
      <c r="BC25" s="82">
        <v>0</v>
      </c>
      <c r="BD25" s="82">
        <v>0</v>
      </c>
      <c r="BE25" s="82">
        <v>0</v>
      </c>
      <c r="BF25" s="82">
        <v>0</v>
      </c>
      <c r="BG25" s="82">
        <v>0</v>
      </c>
      <c r="BH25" s="82">
        <v>0</v>
      </c>
      <c r="BI25" s="82">
        <v>0</v>
      </c>
      <c r="BJ25" s="82">
        <v>0</v>
      </c>
      <c r="BK25" s="82">
        <v>0</v>
      </c>
      <c r="BL25" s="82">
        <v>0</v>
      </c>
      <c r="BM25" s="82">
        <v>0</v>
      </c>
      <c r="BN25" s="82">
        <v>0</v>
      </c>
      <c r="BO25" s="82">
        <v>0</v>
      </c>
      <c r="BP25" s="82">
        <v>0</v>
      </c>
      <c r="BQ25" s="82">
        <v>0</v>
      </c>
      <c r="BR25" s="82">
        <v>0</v>
      </c>
      <c r="BS25" s="82">
        <v>0</v>
      </c>
      <c r="BT25" s="82">
        <v>0</v>
      </c>
      <c r="BU25" s="82">
        <v>52647</v>
      </c>
      <c r="BV25" s="82">
        <v>0</v>
      </c>
      <c r="BX25" s="189">
        <v>0</v>
      </c>
      <c r="BY25" s="190">
        <v>0</v>
      </c>
    </row>
    <row r="26" spans="1:77" ht="8.25" customHeight="1" x14ac:dyDescent="0.15">
      <c r="A26" s="188">
        <v>7921</v>
      </c>
      <c r="B26" s="77" t="str">
        <f>IFERROR(INDEX(SCNtoISIC!$M:$M,MATCH($A26,SCNtoISIC!$J:$J,0)),0)</f>
        <v>ISIC 09</v>
      </c>
      <c r="C26" s="81" t="s">
        <v>613</v>
      </c>
      <c r="D26" s="82">
        <v>0</v>
      </c>
      <c r="E26" s="82">
        <v>0</v>
      </c>
      <c r="F26" s="82">
        <v>0</v>
      </c>
      <c r="G26" s="82">
        <v>15</v>
      </c>
      <c r="H26" s="82">
        <v>0</v>
      </c>
      <c r="I26" s="82">
        <v>537</v>
      </c>
      <c r="J26" s="82">
        <v>15400</v>
      </c>
      <c r="K26" s="82">
        <v>0</v>
      </c>
      <c r="L26" s="82">
        <v>0</v>
      </c>
      <c r="M26" s="82">
        <v>0</v>
      </c>
      <c r="N26" s="82">
        <v>0</v>
      </c>
      <c r="O26" s="82"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18</v>
      </c>
      <c r="Y26" s="82">
        <v>0</v>
      </c>
      <c r="Z26" s="82">
        <v>0</v>
      </c>
      <c r="AA26" s="82">
        <v>0</v>
      </c>
      <c r="AB26" s="82">
        <v>0</v>
      </c>
      <c r="AC26" s="80">
        <v>21</v>
      </c>
      <c r="AD26" s="80">
        <v>14</v>
      </c>
      <c r="AE26" s="82">
        <v>567</v>
      </c>
      <c r="AF26" s="82">
        <v>16</v>
      </c>
      <c r="AG26" s="82">
        <v>7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0">
        <v>0</v>
      </c>
      <c r="AQ26" s="80">
        <v>0</v>
      </c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>
        <v>0</v>
      </c>
      <c r="AZ26" s="82">
        <v>0</v>
      </c>
      <c r="BA26" s="82">
        <v>0</v>
      </c>
      <c r="BB26" s="82">
        <v>0</v>
      </c>
      <c r="BC26" s="82">
        <v>0</v>
      </c>
      <c r="BD26" s="82">
        <v>0</v>
      </c>
      <c r="BE26" s="82">
        <v>0</v>
      </c>
      <c r="BF26" s="82">
        <v>0</v>
      </c>
      <c r="BG26" s="82">
        <v>0</v>
      </c>
      <c r="BH26" s="82">
        <v>0</v>
      </c>
      <c r="BI26" s="82">
        <v>0</v>
      </c>
      <c r="BJ26" s="82">
        <v>0</v>
      </c>
      <c r="BK26" s="82">
        <v>0</v>
      </c>
      <c r="BL26" s="82">
        <v>0</v>
      </c>
      <c r="BM26" s="82">
        <v>0</v>
      </c>
      <c r="BN26" s="82">
        <v>0</v>
      </c>
      <c r="BO26" s="82">
        <v>0</v>
      </c>
      <c r="BP26" s="82">
        <v>0</v>
      </c>
      <c r="BQ26" s="82">
        <v>0</v>
      </c>
      <c r="BR26" s="82">
        <v>0</v>
      </c>
      <c r="BS26" s="82">
        <v>0</v>
      </c>
      <c r="BT26" s="82">
        <v>0</v>
      </c>
      <c r="BU26" s="82">
        <v>16595</v>
      </c>
      <c r="BV26" s="82">
        <v>3561</v>
      </c>
      <c r="BX26" s="189">
        <v>35</v>
      </c>
      <c r="BY26" s="190">
        <v>0</v>
      </c>
    </row>
    <row r="27" spans="1:77" ht="8.25" customHeight="1" x14ac:dyDescent="0.15">
      <c r="A27" s="185">
        <v>10911</v>
      </c>
      <c r="B27" s="77" t="str">
        <f>IFERROR(INDEX(SCNtoISIC!$M:$M,MATCH($A27,SCNtoISIC!$J:$J,0)),0)</f>
        <v>ISIC 10T12</v>
      </c>
      <c r="C27" s="83" t="s">
        <v>614</v>
      </c>
      <c r="D27" s="79">
        <v>104</v>
      </c>
      <c r="E27" s="79">
        <v>375</v>
      </c>
      <c r="F27" s="79">
        <v>4</v>
      </c>
      <c r="G27" s="79">
        <v>0</v>
      </c>
      <c r="H27" s="79">
        <v>0</v>
      </c>
      <c r="I27" s="79">
        <v>0</v>
      </c>
      <c r="J27" s="79">
        <v>0</v>
      </c>
      <c r="K27" s="79">
        <v>120927</v>
      </c>
      <c r="L27" s="79">
        <v>0</v>
      </c>
      <c r="M27" s="79">
        <v>892</v>
      </c>
      <c r="N27" s="79">
        <v>0</v>
      </c>
      <c r="O27" s="79">
        <v>0</v>
      </c>
      <c r="P27" s="79">
        <v>9</v>
      </c>
      <c r="Q27" s="79">
        <v>0</v>
      </c>
      <c r="R27" s="79">
        <v>234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52</v>
      </c>
      <c r="Y27" s="79">
        <v>0</v>
      </c>
      <c r="Z27" s="79">
        <v>31</v>
      </c>
      <c r="AA27" s="79">
        <v>0</v>
      </c>
      <c r="AB27" s="79">
        <v>0</v>
      </c>
      <c r="AC27" s="80">
        <v>0</v>
      </c>
      <c r="AD27" s="80">
        <v>0</v>
      </c>
      <c r="AE27" s="79">
        <v>0</v>
      </c>
      <c r="AF27" s="79">
        <v>0</v>
      </c>
      <c r="AG27" s="79">
        <v>0</v>
      </c>
      <c r="AH27" s="79">
        <v>0</v>
      </c>
      <c r="AI27" s="79">
        <v>0</v>
      </c>
      <c r="AJ27" s="79">
        <v>0</v>
      </c>
      <c r="AK27" s="79">
        <v>0</v>
      </c>
      <c r="AL27" s="79">
        <v>0</v>
      </c>
      <c r="AM27" s="79">
        <v>0</v>
      </c>
      <c r="AN27" s="79">
        <v>0</v>
      </c>
      <c r="AO27" s="79">
        <v>0</v>
      </c>
      <c r="AP27" s="80">
        <v>0</v>
      </c>
      <c r="AQ27" s="80">
        <v>0</v>
      </c>
      <c r="AR27" s="79">
        <v>0</v>
      </c>
      <c r="AS27" s="79">
        <v>0</v>
      </c>
      <c r="AT27" s="79">
        <v>981</v>
      </c>
      <c r="AU27" s="79">
        <v>0</v>
      </c>
      <c r="AV27" s="79">
        <v>0</v>
      </c>
      <c r="AW27" s="79">
        <v>0</v>
      </c>
      <c r="AX27" s="79">
        <v>0</v>
      </c>
      <c r="AY27" s="79">
        <v>0</v>
      </c>
      <c r="AZ27" s="79">
        <v>0</v>
      </c>
      <c r="BA27" s="79">
        <v>0</v>
      </c>
      <c r="BB27" s="79">
        <v>0</v>
      </c>
      <c r="BC27" s="79">
        <v>0</v>
      </c>
      <c r="BD27" s="79">
        <v>0</v>
      </c>
      <c r="BE27" s="79">
        <v>0</v>
      </c>
      <c r="BF27" s="79">
        <v>0</v>
      </c>
      <c r="BG27" s="79">
        <v>0</v>
      </c>
      <c r="BH27" s="79">
        <v>0</v>
      </c>
      <c r="BI27" s="79">
        <v>0</v>
      </c>
      <c r="BJ27" s="79">
        <v>0</v>
      </c>
      <c r="BK27" s="79">
        <v>0</v>
      </c>
      <c r="BL27" s="79">
        <v>0</v>
      </c>
      <c r="BM27" s="79">
        <v>0</v>
      </c>
      <c r="BN27" s="79">
        <v>0</v>
      </c>
      <c r="BO27" s="79">
        <v>0</v>
      </c>
      <c r="BP27" s="79">
        <v>0</v>
      </c>
      <c r="BQ27" s="79">
        <v>0</v>
      </c>
      <c r="BR27" s="79">
        <v>0</v>
      </c>
      <c r="BS27" s="79">
        <v>0</v>
      </c>
      <c r="BT27" s="79">
        <v>0</v>
      </c>
      <c r="BU27" s="79">
        <v>123609</v>
      </c>
      <c r="BV27" s="79">
        <v>1611</v>
      </c>
      <c r="BX27" s="186">
        <v>0</v>
      </c>
      <c r="BY27" s="187">
        <v>0</v>
      </c>
    </row>
    <row r="28" spans="1:77" ht="8.25" customHeight="1" x14ac:dyDescent="0.15">
      <c r="A28" s="185">
        <v>10912</v>
      </c>
      <c r="B28" s="77" t="str">
        <f>IFERROR(INDEX(SCNtoISIC!$M:$M,MATCH($A28,SCNtoISIC!$J:$J,0)),0)</f>
        <v>ISIC 10T12</v>
      </c>
      <c r="C28" s="78" t="s">
        <v>338</v>
      </c>
      <c r="D28" s="79">
        <v>27</v>
      </c>
      <c r="E28" s="79">
        <v>45</v>
      </c>
      <c r="F28" s="79">
        <v>1</v>
      </c>
      <c r="G28" s="79">
        <v>0</v>
      </c>
      <c r="H28" s="79">
        <v>0</v>
      </c>
      <c r="I28" s="79">
        <v>0</v>
      </c>
      <c r="J28" s="79">
        <v>0</v>
      </c>
      <c r="K28" s="79">
        <v>13953</v>
      </c>
      <c r="L28" s="79">
        <v>0</v>
      </c>
      <c r="M28" s="79">
        <v>447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  <c r="Z28" s="79">
        <v>0</v>
      </c>
      <c r="AA28" s="79">
        <v>0</v>
      </c>
      <c r="AB28" s="79">
        <v>0</v>
      </c>
      <c r="AC28" s="80">
        <v>0</v>
      </c>
      <c r="AD28" s="80">
        <v>0</v>
      </c>
      <c r="AE28" s="79">
        <v>0</v>
      </c>
      <c r="AF28" s="79">
        <v>0</v>
      </c>
      <c r="AG28" s="79">
        <v>0</v>
      </c>
      <c r="AH28" s="79">
        <v>0</v>
      </c>
      <c r="AI28" s="79">
        <v>0</v>
      </c>
      <c r="AJ28" s="79">
        <v>0</v>
      </c>
      <c r="AK28" s="79">
        <v>0</v>
      </c>
      <c r="AL28" s="79">
        <v>0</v>
      </c>
      <c r="AM28" s="79">
        <v>0</v>
      </c>
      <c r="AN28" s="79">
        <v>0</v>
      </c>
      <c r="AO28" s="79">
        <v>0</v>
      </c>
      <c r="AP28" s="80">
        <v>0</v>
      </c>
      <c r="AQ28" s="80">
        <v>0</v>
      </c>
      <c r="AR28" s="79">
        <v>0</v>
      </c>
      <c r="AS28" s="79">
        <v>0</v>
      </c>
      <c r="AT28" s="79">
        <v>0</v>
      </c>
      <c r="AU28" s="79">
        <v>0</v>
      </c>
      <c r="AV28" s="79">
        <v>0</v>
      </c>
      <c r="AW28" s="79">
        <v>0</v>
      </c>
      <c r="AX28" s="79">
        <v>0</v>
      </c>
      <c r="AY28" s="79">
        <v>0</v>
      </c>
      <c r="AZ28" s="79">
        <v>0</v>
      </c>
      <c r="BA28" s="79">
        <v>0</v>
      </c>
      <c r="BB28" s="79">
        <v>0</v>
      </c>
      <c r="BC28" s="79">
        <v>0</v>
      </c>
      <c r="BD28" s="79">
        <v>0</v>
      </c>
      <c r="BE28" s="79">
        <v>0</v>
      </c>
      <c r="BF28" s="79">
        <v>0</v>
      </c>
      <c r="BG28" s="79">
        <v>0</v>
      </c>
      <c r="BH28" s="79">
        <v>0</v>
      </c>
      <c r="BI28" s="79">
        <v>0</v>
      </c>
      <c r="BJ28" s="79">
        <v>0</v>
      </c>
      <c r="BK28" s="79">
        <v>0</v>
      </c>
      <c r="BL28" s="79">
        <v>0</v>
      </c>
      <c r="BM28" s="79">
        <v>0</v>
      </c>
      <c r="BN28" s="79">
        <v>0</v>
      </c>
      <c r="BO28" s="79">
        <v>0</v>
      </c>
      <c r="BP28" s="79">
        <v>0</v>
      </c>
      <c r="BQ28" s="79">
        <v>0</v>
      </c>
      <c r="BR28" s="79">
        <v>0</v>
      </c>
      <c r="BS28" s="79">
        <v>0</v>
      </c>
      <c r="BT28" s="79">
        <v>0</v>
      </c>
      <c r="BU28" s="79">
        <v>14473</v>
      </c>
      <c r="BV28" s="79">
        <v>0</v>
      </c>
      <c r="BX28" s="186">
        <v>0</v>
      </c>
      <c r="BY28" s="187">
        <v>0</v>
      </c>
    </row>
    <row r="29" spans="1:77" ht="8.25" customHeight="1" x14ac:dyDescent="0.15">
      <c r="A29" s="185">
        <v>10913</v>
      </c>
      <c r="B29" s="77" t="str">
        <f>IFERROR(INDEX(SCNtoISIC!$M:$M,MATCH($A29,SCNtoISIC!$J:$J,0)),0)</f>
        <v>ISIC 10T12</v>
      </c>
      <c r="C29" s="78" t="s">
        <v>339</v>
      </c>
      <c r="D29" s="79">
        <v>0</v>
      </c>
      <c r="E29" s="79">
        <v>24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48701</v>
      </c>
      <c r="L29" s="79">
        <v>0</v>
      </c>
      <c r="M29" s="79">
        <v>1733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  <c r="Z29" s="79">
        <v>0</v>
      </c>
      <c r="AA29" s="79">
        <v>0</v>
      </c>
      <c r="AB29" s="79">
        <v>0</v>
      </c>
      <c r="AC29" s="80">
        <v>0</v>
      </c>
      <c r="AD29" s="80">
        <v>0</v>
      </c>
      <c r="AE29" s="79">
        <v>0</v>
      </c>
      <c r="AF29" s="79">
        <v>0</v>
      </c>
      <c r="AG29" s="79">
        <v>0</v>
      </c>
      <c r="AH29" s="79">
        <v>0</v>
      </c>
      <c r="AI29" s="79">
        <v>0</v>
      </c>
      <c r="AJ29" s="79">
        <v>0</v>
      </c>
      <c r="AK29" s="79">
        <v>0</v>
      </c>
      <c r="AL29" s="79">
        <v>0</v>
      </c>
      <c r="AM29" s="79">
        <v>0</v>
      </c>
      <c r="AN29" s="79">
        <v>0</v>
      </c>
      <c r="AO29" s="79">
        <v>0</v>
      </c>
      <c r="AP29" s="80">
        <v>0</v>
      </c>
      <c r="AQ29" s="80">
        <v>0</v>
      </c>
      <c r="AR29" s="79">
        <v>0</v>
      </c>
      <c r="AS29" s="79">
        <v>0</v>
      </c>
      <c r="AT29" s="79">
        <v>2430</v>
      </c>
      <c r="AU29" s="79">
        <v>0</v>
      </c>
      <c r="AV29" s="79">
        <v>0</v>
      </c>
      <c r="AW29" s="79">
        <v>0</v>
      </c>
      <c r="AX29" s="79">
        <v>0</v>
      </c>
      <c r="AY29" s="79">
        <v>0</v>
      </c>
      <c r="AZ29" s="79">
        <v>0</v>
      </c>
      <c r="BA29" s="79">
        <v>0</v>
      </c>
      <c r="BB29" s="79">
        <v>0</v>
      </c>
      <c r="BC29" s="79">
        <v>0</v>
      </c>
      <c r="BD29" s="79">
        <v>0</v>
      </c>
      <c r="BE29" s="79">
        <v>0</v>
      </c>
      <c r="BF29" s="79">
        <v>0</v>
      </c>
      <c r="BG29" s="79">
        <v>0</v>
      </c>
      <c r="BH29" s="79">
        <v>0</v>
      </c>
      <c r="BI29" s="79">
        <v>0</v>
      </c>
      <c r="BJ29" s="79">
        <v>0</v>
      </c>
      <c r="BK29" s="79">
        <v>0</v>
      </c>
      <c r="BL29" s="79">
        <v>0</v>
      </c>
      <c r="BM29" s="79">
        <v>0</v>
      </c>
      <c r="BN29" s="79">
        <v>0</v>
      </c>
      <c r="BO29" s="79">
        <v>0</v>
      </c>
      <c r="BP29" s="79">
        <v>0</v>
      </c>
      <c r="BQ29" s="79">
        <v>0</v>
      </c>
      <c r="BR29" s="79">
        <v>0</v>
      </c>
      <c r="BS29" s="79">
        <v>0</v>
      </c>
      <c r="BT29" s="79">
        <v>0</v>
      </c>
      <c r="BU29" s="79">
        <v>52888</v>
      </c>
      <c r="BV29" s="79">
        <v>34</v>
      </c>
      <c r="BX29" s="186">
        <v>0</v>
      </c>
      <c r="BY29" s="187">
        <v>0</v>
      </c>
    </row>
    <row r="30" spans="1:77" ht="8.25" customHeight="1" x14ac:dyDescent="0.15">
      <c r="A30" s="185">
        <v>10914</v>
      </c>
      <c r="B30" s="77" t="str">
        <f>IFERROR(INDEX(SCNtoISIC!$M:$M,MATCH($A30,SCNtoISIC!$J:$J,0)),0)</f>
        <v>ISIC 10T12</v>
      </c>
      <c r="C30" s="78" t="s">
        <v>341</v>
      </c>
      <c r="D30" s="79">
        <v>0</v>
      </c>
      <c r="E30" s="79">
        <v>0</v>
      </c>
      <c r="F30" s="79">
        <v>7</v>
      </c>
      <c r="G30" s="79">
        <v>0</v>
      </c>
      <c r="H30" s="79">
        <v>0</v>
      </c>
      <c r="I30" s="79">
        <v>0</v>
      </c>
      <c r="J30" s="79">
        <v>0</v>
      </c>
      <c r="K30" s="79">
        <v>4147</v>
      </c>
      <c r="L30" s="79">
        <v>0</v>
      </c>
      <c r="M30" s="79">
        <v>8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80">
        <v>0</v>
      </c>
      <c r="AD30" s="80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0</v>
      </c>
      <c r="AO30" s="79">
        <v>0</v>
      </c>
      <c r="AP30" s="80">
        <v>0</v>
      </c>
      <c r="AQ30" s="80">
        <v>0</v>
      </c>
      <c r="AR30" s="79">
        <v>0</v>
      </c>
      <c r="AS30" s="79">
        <v>0</v>
      </c>
      <c r="AT30" s="79">
        <v>0</v>
      </c>
      <c r="AU30" s="79">
        <v>0</v>
      </c>
      <c r="AV30" s="79">
        <v>0</v>
      </c>
      <c r="AW30" s="79">
        <v>0</v>
      </c>
      <c r="AX30" s="79">
        <v>0</v>
      </c>
      <c r="AY30" s="79">
        <v>0</v>
      </c>
      <c r="AZ30" s="79">
        <v>0</v>
      </c>
      <c r="BA30" s="79">
        <v>0</v>
      </c>
      <c r="BB30" s="79">
        <v>0</v>
      </c>
      <c r="BC30" s="79">
        <v>0</v>
      </c>
      <c r="BD30" s="79">
        <v>0</v>
      </c>
      <c r="BE30" s="79">
        <v>0</v>
      </c>
      <c r="BF30" s="79">
        <v>0</v>
      </c>
      <c r="BG30" s="79">
        <v>0</v>
      </c>
      <c r="BH30" s="79">
        <v>0</v>
      </c>
      <c r="BI30" s="79">
        <v>0</v>
      </c>
      <c r="BJ30" s="79">
        <v>0</v>
      </c>
      <c r="BK30" s="79">
        <v>0</v>
      </c>
      <c r="BL30" s="79">
        <v>0</v>
      </c>
      <c r="BM30" s="79">
        <v>0</v>
      </c>
      <c r="BN30" s="79">
        <v>0</v>
      </c>
      <c r="BO30" s="79">
        <v>0</v>
      </c>
      <c r="BP30" s="79">
        <v>0</v>
      </c>
      <c r="BQ30" s="79">
        <v>0</v>
      </c>
      <c r="BR30" s="79">
        <v>0</v>
      </c>
      <c r="BS30" s="79">
        <v>0</v>
      </c>
      <c r="BT30" s="79">
        <v>0</v>
      </c>
      <c r="BU30" s="79">
        <v>4162</v>
      </c>
      <c r="BV30" s="79">
        <v>2650</v>
      </c>
      <c r="BX30" s="186">
        <v>0</v>
      </c>
      <c r="BY30" s="187">
        <v>0</v>
      </c>
    </row>
    <row r="31" spans="1:77" ht="8.25" customHeight="1" x14ac:dyDescent="0.15">
      <c r="A31" s="185">
        <v>10915</v>
      </c>
      <c r="B31" s="77" t="str">
        <f>IFERROR(INDEX(SCNtoISIC!$M:$M,MATCH($A31,SCNtoISIC!$J:$J,0)),0)</f>
        <v>ISIC 10T12</v>
      </c>
      <c r="C31" s="78" t="s">
        <v>343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16792</v>
      </c>
      <c r="L31" s="79">
        <v>0</v>
      </c>
      <c r="M31" s="79">
        <v>99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80">
        <v>0</v>
      </c>
      <c r="AD31" s="80">
        <v>0</v>
      </c>
      <c r="AE31" s="79">
        <v>0</v>
      </c>
      <c r="AF31" s="79">
        <v>0</v>
      </c>
      <c r="AG31" s="79">
        <v>0</v>
      </c>
      <c r="AH31" s="79">
        <v>0</v>
      </c>
      <c r="AI31" s="79">
        <v>0</v>
      </c>
      <c r="AJ31" s="79">
        <v>0</v>
      </c>
      <c r="AK31" s="79">
        <v>0</v>
      </c>
      <c r="AL31" s="79">
        <v>0</v>
      </c>
      <c r="AM31" s="79">
        <v>0</v>
      </c>
      <c r="AN31" s="79">
        <v>0</v>
      </c>
      <c r="AO31" s="79">
        <v>0</v>
      </c>
      <c r="AP31" s="80">
        <v>0</v>
      </c>
      <c r="AQ31" s="80">
        <v>0</v>
      </c>
      <c r="AR31" s="79">
        <v>0</v>
      </c>
      <c r="AS31" s="79">
        <v>0</v>
      </c>
      <c r="AT31" s="79">
        <v>2738</v>
      </c>
      <c r="AU31" s="79">
        <v>0</v>
      </c>
      <c r="AV31" s="79">
        <v>0</v>
      </c>
      <c r="AW31" s="79">
        <v>0</v>
      </c>
      <c r="AX31" s="79">
        <v>0</v>
      </c>
      <c r="AY31" s="79">
        <v>0</v>
      </c>
      <c r="AZ31" s="79">
        <v>0</v>
      </c>
      <c r="BA31" s="79">
        <v>0</v>
      </c>
      <c r="BB31" s="79">
        <v>0</v>
      </c>
      <c r="BC31" s="79">
        <v>0</v>
      </c>
      <c r="BD31" s="79">
        <v>0</v>
      </c>
      <c r="BE31" s="79">
        <v>0</v>
      </c>
      <c r="BF31" s="79">
        <v>0</v>
      </c>
      <c r="BG31" s="79">
        <v>0</v>
      </c>
      <c r="BH31" s="79">
        <v>0</v>
      </c>
      <c r="BI31" s="79">
        <v>0</v>
      </c>
      <c r="BJ31" s="79">
        <v>0</v>
      </c>
      <c r="BK31" s="79">
        <v>0</v>
      </c>
      <c r="BL31" s="79">
        <v>0</v>
      </c>
      <c r="BM31" s="79">
        <v>0</v>
      </c>
      <c r="BN31" s="79">
        <v>0</v>
      </c>
      <c r="BO31" s="79">
        <v>0</v>
      </c>
      <c r="BP31" s="79">
        <v>0</v>
      </c>
      <c r="BQ31" s="79">
        <v>0</v>
      </c>
      <c r="BR31" s="79">
        <v>0</v>
      </c>
      <c r="BS31" s="79">
        <v>0</v>
      </c>
      <c r="BT31" s="79">
        <v>0</v>
      </c>
      <c r="BU31" s="79">
        <v>19629</v>
      </c>
      <c r="BV31" s="79">
        <v>1</v>
      </c>
      <c r="BX31" s="186">
        <v>0</v>
      </c>
      <c r="BY31" s="187">
        <v>0</v>
      </c>
    </row>
    <row r="32" spans="1:77" ht="8.25" customHeight="1" x14ac:dyDescent="0.15">
      <c r="A32" s="188">
        <v>10916</v>
      </c>
      <c r="B32" s="77" t="str">
        <f>IFERROR(INDEX(SCNtoISIC!$M:$M,MATCH($A32,SCNtoISIC!$J:$J,0)),0)</f>
        <v>ISIC 10T12</v>
      </c>
      <c r="C32" s="81" t="s">
        <v>346</v>
      </c>
      <c r="D32" s="82">
        <v>128</v>
      </c>
      <c r="E32" s="82">
        <v>1130</v>
      </c>
      <c r="F32" s="82">
        <v>4</v>
      </c>
      <c r="G32" s="82">
        <v>0</v>
      </c>
      <c r="H32" s="82">
        <v>0</v>
      </c>
      <c r="I32" s="82">
        <v>0</v>
      </c>
      <c r="J32" s="82">
        <v>0</v>
      </c>
      <c r="K32" s="82">
        <v>43588</v>
      </c>
      <c r="L32" s="82">
        <v>0</v>
      </c>
      <c r="M32" s="82">
        <v>758</v>
      </c>
      <c r="N32" s="82">
        <v>0</v>
      </c>
      <c r="O32" s="82">
        <v>0</v>
      </c>
      <c r="P32" s="82">
        <v>0</v>
      </c>
      <c r="Q32" s="82">
        <v>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2">
        <v>0</v>
      </c>
      <c r="Y32" s="82">
        <v>0</v>
      </c>
      <c r="Z32" s="82">
        <v>0</v>
      </c>
      <c r="AA32" s="82">
        <v>0</v>
      </c>
      <c r="AB32" s="82">
        <v>0</v>
      </c>
      <c r="AC32" s="80">
        <v>0</v>
      </c>
      <c r="AD32" s="80">
        <v>0</v>
      </c>
      <c r="AE32" s="82">
        <v>0</v>
      </c>
      <c r="AF32" s="82">
        <v>0</v>
      </c>
      <c r="AG32" s="82">
        <v>0</v>
      </c>
      <c r="AH32" s="82">
        <v>0</v>
      </c>
      <c r="AI32" s="82">
        <v>0</v>
      </c>
      <c r="AJ32" s="82">
        <v>0</v>
      </c>
      <c r="AK32" s="82">
        <v>0</v>
      </c>
      <c r="AL32" s="82">
        <v>0</v>
      </c>
      <c r="AM32" s="82">
        <v>0</v>
      </c>
      <c r="AN32" s="82">
        <v>0</v>
      </c>
      <c r="AO32" s="82">
        <v>0</v>
      </c>
      <c r="AP32" s="80">
        <v>0</v>
      </c>
      <c r="AQ32" s="80">
        <v>0</v>
      </c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>
        <v>0</v>
      </c>
      <c r="AZ32" s="82">
        <v>0</v>
      </c>
      <c r="BA32" s="82">
        <v>0</v>
      </c>
      <c r="BB32" s="82">
        <v>0</v>
      </c>
      <c r="BC32" s="82">
        <v>0</v>
      </c>
      <c r="BD32" s="82">
        <v>0</v>
      </c>
      <c r="BE32" s="82">
        <v>0</v>
      </c>
      <c r="BF32" s="82">
        <v>0</v>
      </c>
      <c r="BG32" s="82">
        <v>0</v>
      </c>
      <c r="BH32" s="82">
        <v>0</v>
      </c>
      <c r="BI32" s="82">
        <v>0</v>
      </c>
      <c r="BJ32" s="82">
        <v>0</v>
      </c>
      <c r="BK32" s="82">
        <v>0</v>
      </c>
      <c r="BL32" s="82">
        <v>0</v>
      </c>
      <c r="BM32" s="82">
        <v>0</v>
      </c>
      <c r="BN32" s="82">
        <v>0</v>
      </c>
      <c r="BO32" s="82">
        <v>0</v>
      </c>
      <c r="BP32" s="82">
        <v>0</v>
      </c>
      <c r="BQ32" s="82">
        <v>0</v>
      </c>
      <c r="BR32" s="82">
        <v>0</v>
      </c>
      <c r="BS32" s="82">
        <v>0</v>
      </c>
      <c r="BT32" s="82">
        <v>0</v>
      </c>
      <c r="BU32" s="82">
        <v>45608</v>
      </c>
      <c r="BV32" s="82">
        <v>1560</v>
      </c>
      <c r="BX32" s="189">
        <v>0</v>
      </c>
      <c r="BY32" s="190">
        <v>0</v>
      </c>
    </row>
    <row r="33" spans="1:77" ht="8.25" customHeight="1" x14ac:dyDescent="0.15">
      <c r="A33" s="188">
        <v>10921</v>
      </c>
      <c r="B33" s="77" t="str">
        <f>IFERROR(INDEX(SCNtoISIC!$M:$M,MATCH($A33,SCNtoISIC!$J:$J,0)),0)</f>
        <v>ISIC 10T12</v>
      </c>
      <c r="C33" s="81" t="s">
        <v>348</v>
      </c>
      <c r="D33" s="82">
        <v>149</v>
      </c>
      <c r="E33" s="82">
        <v>50</v>
      </c>
      <c r="F33" s="82">
        <v>3</v>
      </c>
      <c r="G33" s="82">
        <v>32</v>
      </c>
      <c r="H33" s="82">
        <v>0</v>
      </c>
      <c r="I33" s="82">
        <v>0</v>
      </c>
      <c r="J33" s="82">
        <v>0</v>
      </c>
      <c r="K33" s="82">
        <v>29</v>
      </c>
      <c r="L33" s="82">
        <v>28871</v>
      </c>
      <c r="M33" s="82">
        <v>397</v>
      </c>
      <c r="N33" s="82">
        <v>6</v>
      </c>
      <c r="O33" s="82">
        <v>0</v>
      </c>
      <c r="P33" s="82">
        <v>0</v>
      </c>
      <c r="Q33" s="82">
        <v>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6207</v>
      </c>
      <c r="X33" s="82">
        <v>0</v>
      </c>
      <c r="Y33" s="82">
        <v>0</v>
      </c>
      <c r="Z33" s="82">
        <v>0</v>
      </c>
      <c r="AA33" s="82">
        <v>0</v>
      </c>
      <c r="AB33" s="82">
        <v>0</v>
      </c>
      <c r="AC33" s="80">
        <v>0</v>
      </c>
      <c r="AD33" s="80">
        <v>0</v>
      </c>
      <c r="AE33" s="82">
        <v>0</v>
      </c>
      <c r="AF33" s="82">
        <v>0</v>
      </c>
      <c r="AG33" s="82">
        <v>0</v>
      </c>
      <c r="AH33" s="82">
        <v>0</v>
      </c>
      <c r="AI33" s="82">
        <v>0</v>
      </c>
      <c r="AJ33" s="82">
        <v>0</v>
      </c>
      <c r="AK33" s="82">
        <v>0</v>
      </c>
      <c r="AL33" s="82">
        <v>0</v>
      </c>
      <c r="AM33" s="82">
        <v>0</v>
      </c>
      <c r="AN33" s="82">
        <v>0</v>
      </c>
      <c r="AO33" s="82">
        <v>0</v>
      </c>
      <c r="AP33" s="80">
        <v>0</v>
      </c>
      <c r="AQ33" s="80">
        <v>0</v>
      </c>
      <c r="AR33" s="82">
        <v>0</v>
      </c>
      <c r="AS33" s="82">
        <v>0</v>
      </c>
      <c r="AT33" s="82">
        <v>0</v>
      </c>
      <c r="AU33" s="82">
        <v>0</v>
      </c>
      <c r="AV33" s="82">
        <v>0</v>
      </c>
      <c r="AW33" s="82">
        <v>0</v>
      </c>
      <c r="AX33" s="82">
        <v>0</v>
      </c>
      <c r="AY33" s="82">
        <v>0</v>
      </c>
      <c r="AZ33" s="82">
        <v>0</v>
      </c>
      <c r="BA33" s="82">
        <v>0</v>
      </c>
      <c r="BB33" s="82">
        <v>0</v>
      </c>
      <c r="BC33" s="82">
        <v>0</v>
      </c>
      <c r="BD33" s="82">
        <v>0</v>
      </c>
      <c r="BE33" s="82">
        <v>0</v>
      </c>
      <c r="BF33" s="82">
        <v>0</v>
      </c>
      <c r="BG33" s="82">
        <v>0</v>
      </c>
      <c r="BH33" s="82">
        <v>0</v>
      </c>
      <c r="BI33" s="82">
        <v>0</v>
      </c>
      <c r="BJ33" s="82">
        <v>0</v>
      </c>
      <c r="BK33" s="82">
        <v>0</v>
      </c>
      <c r="BL33" s="82">
        <v>0</v>
      </c>
      <c r="BM33" s="82">
        <v>0</v>
      </c>
      <c r="BN33" s="82">
        <v>0</v>
      </c>
      <c r="BO33" s="82">
        <v>0</v>
      </c>
      <c r="BP33" s="82">
        <v>0</v>
      </c>
      <c r="BQ33" s="82">
        <v>0</v>
      </c>
      <c r="BR33" s="82">
        <v>0</v>
      </c>
      <c r="BS33" s="82">
        <v>0</v>
      </c>
      <c r="BT33" s="82">
        <v>0</v>
      </c>
      <c r="BU33" s="82">
        <v>35744</v>
      </c>
      <c r="BV33" s="82">
        <v>34</v>
      </c>
      <c r="BX33" s="189">
        <v>0</v>
      </c>
      <c r="BY33" s="190">
        <v>0</v>
      </c>
    </row>
    <row r="34" spans="1:77" ht="8.25" customHeight="1" x14ac:dyDescent="0.15">
      <c r="A34" s="188">
        <v>10931</v>
      </c>
      <c r="B34" s="77" t="str">
        <f>IFERROR(INDEX(SCNtoISIC!$M:$M,MATCH($A34,SCNtoISIC!$J:$J,0)),0)</f>
        <v>ISIC 10T12</v>
      </c>
      <c r="C34" s="81" t="s">
        <v>351</v>
      </c>
      <c r="D34" s="82">
        <v>54</v>
      </c>
      <c r="E34" s="82">
        <v>27</v>
      </c>
      <c r="F34" s="82">
        <v>16</v>
      </c>
      <c r="G34" s="82">
        <v>0</v>
      </c>
      <c r="H34" s="82">
        <v>0</v>
      </c>
      <c r="I34" s="82">
        <v>0</v>
      </c>
      <c r="J34" s="82">
        <v>0</v>
      </c>
      <c r="K34" s="82">
        <v>423</v>
      </c>
      <c r="L34" s="82">
        <v>0</v>
      </c>
      <c r="M34" s="82">
        <v>22477</v>
      </c>
      <c r="N34" s="82">
        <v>608</v>
      </c>
      <c r="O34" s="82">
        <v>0</v>
      </c>
      <c r="P34" s="82">
        <v>0</v>
      </c>
      <c r="Q34" s="82">
        <v>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0</v>
      </c>
      <c r="X34" s="82">
        <v>0</v>
      </c>
      <c r="Y34" s="82">
        <v>50</v>
      </c>
      <c r="Z34" s="82">
        <v>0</v>
      </c>
      <c r="AA34" s="82">
        <v>0</v>
      </c>
      <c r="AB34" s="82">
        <v>0</v>
      </c>
      <c r="AC34" s="80">
        <v>0</v>
      </c>
      <c r="AD34" s="80">
        <v>0</v>
      </c>
      <c r="AE34" s="82">
        <v>0</v>
      </c>
      <c r="AF34" s="82">
        <v>0</v>
      </c>
      <c r="AG34" s="82">
        <v>0</v>
      </c>
      <c r="AH34" s="82">
        <v>0</v>
      </c>
      <c r="AI34" s="82">
        <v>0</v>
      </c>
      <c r="AJ34" s="82">
        <v>0</v>
      </c>
      <c r="AK34" s="82">
        <v>0</v>
      </c>
      <c r="AL34" s="82">
        <v>0</v>
      </c>
      <c r="AM34" s="82">
        <v>0</v>
      </c>
      <c r="AN34" s="82">
        <v>0</v>
      </c>
      <c r="AO34" s="82">
        <v>0</v>
      </c>
      <c r="AP34" s="80">
        <v>0</v>
      </c>
      <c r="AQ34" s="80">
        <v>0</v>
      </c>
      <c r="AR34" s="82">
        <v>0</v>
      </c>
      <c r="AS34" s="82">
        <v>0</v>
      </c>
      <c r="AT34" s="82">
        <v>193</v>
      </c>
      <c r="AU34" s="82">
        <v>0</v>
      </c>
      <c r="AV34" s="82">
        <v>0</v>
      </c>
      <c r="AW34" s="82">
        <v>0</v>
      </c>
      <c r="AX34" s="82">
        <v>0</v>
      </c>
      <c r="AY34" s="82">
        <v>0</v>
      </c>
      <c r="AZ34" s="82">
        <v>0</v>
      </c>
      <c r="BA34" s="82">
        <v>0</v>
      </c>
      <c r="BB34" s="82">
        <v>0</v>
      </c>
      <c r="BC34" s="82">
        <v>0</v>
      </c>
      <c r="BD34" s="82">
        <v>0</v>
      </c>
      <c r="BE34" s="82">
        <v>0</v>
      </c>
      <c r="BF34" s="82">
        <v>0</v>
      </c>
      <c r="BG34" s="82">
        <v>0</v>
      </c>
      <c r="BH34" s="82">
        <v>0</v>
      </c>
      <c r="BI34" s="82">
        <v>0</v>
      </c>
      <c r="BJ34" s="82">
        <v>0</v>
      </c>
      <c r="BK34" s="82">
        <v>0</v>
      </c>
      <c r="BL34" s="82">
        <v>0</v>
      </c>
      <c r="BM34" s="82">
        <v>0</v>
      </c>
      <c r="BN34" s="82">
        <v>0</v>
      </c>
      <c r="BO34" s="82">
        <v>0</v>
      </c>
      <c r="BP34" s="82">
        <v>0</v>
      </c>
      <c r="BQ34" s="82">
        <v>0</v>
      </c>
      <c r="BR34" s="82">
        <v>0</v>
      </c>
      <c r="BS34" s="82">
        <v>0</v>
      </c>
      <c r="BT34" s="82">
        <v>0</v>
      </c>
      <c r="BU34" s="82">
        <v>23848</v>
      </c>
      <c r="BV34" s="82">
        <v>2943</v>
      </c>
      <c r="BX34" s="189">
        <v>0</v>
      </c>
      <c r="BY34" s="190">
        <v>0</v>
      </c>
    </row>
    <row r="35" spans="1:77" ht="8.25" customHeight="1" x14ac:dyDescent="0.15">
      <c r="A35" s="188">
        <v>10932</v>
      </c>
      <c r="B35" s="77" t="str">
        <f>IFERROR(INDEX(SCNtoISIC!$M:$M,MATCH($A35,SCNtoISIC!$J:$J,0)),0)</f>
        <v>ISIC 10T12</v>
      </c>
      <c r="C35" s="81" t="s">
        <v>354</v>
      </c>
      <c r="D35" s="82">
        <v>11</v>
      </c>
      <c r="E35" s="82">
        <v>3</v>
      </c>
      <c r="F35" s="82">
        <v>2</v>
      </c>
      <c r="G35" s="82">
        <v>0</v>
      </c>
      <c r="H35" s="82">
        <v>0</v>
      </c>
      <c r="I35" s="82">
        <v>0</v>
      </c>
      <c r="J35" s="82">
        <v>0</v>
      </c>
      <c r="K35" s="82">
        <v>631</v>
      </c>
      <c r="L35" s="82">
        <v>0</v>
      </c>
      <c r="M35" s="82">
        <v>55024</v>
      </c>
      <c r="N35" s="82">
        <v>0</v>
      </c>
      <c r="O35" s="82">
        <v>0</v>
      </c>
      <c r="P35" s="82">
        <v>7</v>
      </c>
      <c r="Q35" s="82">
        <v>0</v>
      </c>
      <c r="R35" s="82">
        <v>7</v>
      </c>
      <c r="S35" s="82">
        <v>0</v>
      </c>
      <c r="T35" s="82">
        <v>0</v>
      </c>
      <c r="U35" s="82">
        <v>0</v>
      </c>
      <c r="V35" s="82">
        <v>0</v>
      </c>
      <c r="W35" s="82">
        <v>380</v>
      </c>
      <c r="X35" s="82">
        <v>84</v>
      </c>
      <c r="Y35" s="82">
        <v>48</v>
      </c>
      <c r="Z35" s="82">
        <v>78</v>
      </c>
      <c r="AA35" s="82">
        <v>0</v>
      </c>
      <c r="AB35" s="82">
        <v>0</v>
      </c>
      <c r="AC35" s="80">
        <v>0</v>
      </c>
      <c r="AD35" s="80">
        <v>0</v>
      </c>
      <c r="AE35" s="82">
        <v>0</v>
      </c>
      <c r="AF35" s="82">
        <v>0</v>
      </c>
      <c r="AG35" s="82">
        <v>0</v>
      </c>
      <c r="AH35" s="82">
        <v>0</v>
      </c>
      <c r="AI35" s="82">
        <v>0</v>
      </c>
      <c r="AJ35" s="82">
        <v>0</v>
      </c>
      <c r="AK35" s="82">
        <v>0</v>
      </c>
      <c r="AL35" s="82">
        <v>0</v>
      </c>
      <c r="AM35" s="82">
        <v>0</v>
      </c>
      <c r="AN35" s="82">
        <v>0</v>
      </c>
      <c r="AO35" s="82">
        <v>0</v>
      </c>
      <c r="AP35" s="80">
        <v>0</v>
      </c>
      <c r="AQ35" s="80">
        <v>0</v>
      </c>
      <c r="AR35" s="82">
        <v>0</v>
      </c>
      <c r="AS35" s="82">
        <v>0</v>
      </c>
      <c r="AT35" s="82">
        <v>4704</v>
      </c>
      <c r="AU35" s="82">
        <v>0</v>
      </c>
      <c r="AV35" s="82">
        <v>0</v>
      </c>
      <c r="AW35" s="82">
        <v>0</v>
      </c>
      <c r="AX35" s="82">
        <v>0</v>
      </c>
      <c r="AY35" s="82">
        <v>0</v>
      </c>
      <c r="AZ35" s="82">
        <v>0</v>
      </c>
      <c r="BA35" s="82">
        <v>0</v>
      </c>
      <c r="BB35" s="82">
        <v>0</v>
      </c>
      <c r="BC35" s="82">
        <v>0</v>
      </c>
      <c r="BD35" s="82">
        <v>0</v>
      </c>
      <c r="BE35" s="82">
        <v>0</v>
      </c>
      <c r="BF35" s="82">
        <v>0</v>
      </c>
      <c r="BG35" s="82">
        <v>0</v>
      </c>
      <c r="BH35" s="82">
        <v>0</v>
      </c>
      <c r="BI35" s="82">
        <v>0</v>
      </c>
      <c r="BJ35" s="82">
        <v>0</v>
      </c>
      <c r="BK35" s="82">
        <v>0</v>
      </c>
      <c r="BL35" s="82">
        <v>0</v>
      </c>
      <c r="BM35" s="82">
        <v>0</v>
      </c>
      <c r="BN35" s="82">
        <v>0</v>
      </c>
      <c r="BO35" s="82">
        <v>0</v>
      </c>
      <c r="BP35" s="82">
        <v>0</v>
      </c>
      <c r="BQ35" s="82">
        <v>0</v>
      </c>
      <c r="BR35" s="82">
        <v>0</v>
      </c>
      <c r="BS35" s="82">
        <v>0</v>
      </c>
      <c r="BT35" s="82">
        <v>0</v>
      </c>
      <c r="BU35" s="82">
        <v>60979</v>
      </c>
      <c r="BV35" s="82">
        <v>2800</v>
      </c>
      <c r="BX35" s="189">
        <v>0</v>
      </c>
      <c r="BY35" s="190">
        <v>0</v>
      </c>
    </row>
    <row r="36" spans="1:77" ht="8" customHeight="1" x14ac:dyDescent="0.15">
      <c r="A36" s="188">
        <v>10933</v>
      </c>
      <c r="B36" s="77" t="str">
        <f>IFERROR(INDEX(SCNtoISIC!$M:$M,MATCH($A36,SCNtoISIC!$J:$J,0)),0)</f>
        <v>ISIC 10T12</v>
      </c>
      <c r="C36" s="81" t="s">
        <v>356</v>
      </c>
      <c r="D36" s="82">
        <v>72</v>
      </c>
      <c r="E36" s="82">
        <v>31</v>
      </c>
      <c r="F36" s="82">
        <v>1</v>
      </c>
      <c r="G36" s="82">
        <v>0</v>
      </c>
      <c r="H36" s="82">
        <v>0</v>
      </c>
      <c r="I36" s="82">
        <v>0</v>
      </c>
      <c r="J36" s="82">
        <v>0</v>
      </c>
      <c r="K36" s="82">
        <v>63</v>
      </c>
      <c r="L36" s="82">
        <v>15</v>
      </c>
      <c r="M36" s="82">
        <v>10978</v>
      </c>
      <c r="N36" s="82">
        <v>0</v>
      </c>
      <c r="O36" s="82">
        <v>0</v>
      </c>
      <c r="P36" s="82">
        <v>0</v>
      </c>
      <c r="Q36" s="82">
        <v>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2">
        <v>0</v>
      </c>
      <c r="Y36" s="82">
        <v>0</v>
      </c>
      <c r="Z36" s="82">
        <v>0</v>
      </c>
      <c r="AA36" s="82">
        <v>0</v>
      </c>
      <c r="AB36" s="82">
        <v>0</v>
      </c>
      <c r="AC36" s="80">
        <v>0</v>
      </c>
      <c r="AD36" s="80">
        <v>0</v>
      </c>
      <c r="AE36" s="82">
        <v>0</v>
      </c>
      <c r="AF36" s="82">
        <v>0</v>
      </c>
      <c r="AG36" s="82">
        <v>0</v>
      </c>
      <c r="AH36" s="82">
        <v>0</v>
      </c>
      <c r="AI36" s="82">
        <v>0</v>
      </c>
      <c r="AJ36" s="82">
        <v>0</v>
      </c>
      <c r="AK36" s="82">
        <v>0</v>
      </c>
      <c r="AL36" s="82">
        <v>0</v>
      </c>
      <c r="AM36" s="82">
        <v>0</v>
      </c>
      <c r="AN36" s="82">
        <v>0</v>
      </c>
      <c r="AO36" s="82">
        <v>0</v>
      </c>
      <c r="AP36" s="80">
        <v>0</v>
      </c>
      <c r="AQ36" s="80">
        <v>0</v>
      </c>
      <c r="AR36" s="82">
        <v>0</v>
      </c>
      <c r="AS36" s="82">
        <v>0</v>
      </c>
      <c r="AT36" s="82">
        <v>156</v>
      </c>
      <c r="AU36" s="82">
        <v>0</v>
      </c>
      <c r="AV36" s="82">
        <v>0</v>
      </c>
      <c r="AW36" s="82">
        <v>0</v>
      </c>
      <c r="AX36" s="82">
        <v>0</v>
      </c>
      <c r="AY36" s="82">
        <v>0</v>
      </c>
      <c r="AZ36" s="82">
        <v>0</v>
      </c>
      <c r="BA36" s="82">
        <v>0</v>
      </c>
      <c r="BB36" s="82">
        <v>0</v>
      </c>
      <c r="BC36" s="82">
        <v>0</v>
      </c>
      <c r="BD36" s="82">
        <v>0</v>
      </c>
      <c r="BE36" s="82">
        <v>0</v>
      </c>
      <c r="BF36" s="82">
        <v>0</v>
      </c>
      <c r="BG36" s="82">
        <v>0</v>
      </c>
      <c r="BH36" s="82">
        <v>0</v>
      </c>
      <c r="BI36" s="82">
        <v>0</v>
      </c>
      <c r="BJ36" s="82">
        <v>0</v>
      </c>
      <c r="BK36" s="82">
        <v>0</v>
      </c>
      <c r="BL36" s="82">
        <v>0</v>
      </c>
      <c r="BM36" s="82">
        <v>0</v>
      </c>
      <c r="BN36" s="82">
        <v>0</v>
      </c>
      <c r="BO36" s="82">
        <v>0</v>
      </c>
      <c r="BP36" s="82">
        <v>0</v>
      </c>
      <c r="BQ36" s="82">
        <v>0</v>
      </c>
      <c r="BR36" s="82">
        <v>0</v>
      </c>
      <c r="BS36" s="82">
        <v>0</v>
      </c>
      <c r="BT36" s="82">
        <v>0</v>
      </c>
      <c r="BU36" s="82">
        <v>11316</v>
      </c>
      <c r="BV36" s="82">
        <v>283</v>
      </c>
      <c r="BX36" s="189">
        <v>0</v>
      </c>
      <c r="BY36" s="190">
        <v>0</v>
      </c>
    </row>
    <row r="37" spans="1:77" ht="8.25" customHeight="1" x14ac:dyDescent="0.15">
      <c r="A37" s="185">
        <v>10934</v>
      </c>
      <c r="B37" s="77" t="str">
        <f>IFERROR(INDEX(SCNtoISIC!$M:$M,MATCH($A37,SCNtoISIC!$J:$J,0)),0)</f>
        <v>ISIC 10T12</v>
      </c>
      <c r="C37" s="78" t="s">
        <v>358</v>
      </c>
      <c r="D37" s="79">
        <v>558</v>
      </c>
      <c r="E37" s="79">
        <v>30</v>
      </c>
      <c r="F37" s="79">
        <v>7</v>
      </c>
      <c r="G37" s="79">
        <v>0</v>
      </c>
      <c r="H37" s="79">
        <v>0</v>
      </c>
      <c r="I37" s="79">
        <v>0</v>
      </c>
      <c r="J37" s="79">
        <v>0</v>
      </c>
      <c r="K37" s="79">
        <v>12</v>
      </c>
      <c r="L37" s="79">
        <v>0</v>
      </c>
      <c r="M37" s="79">
        <v>12155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0</v>
      </c>
      <c r="X37" s="79">
        <v>0</v>
      </c>
      <c r="Y37" s="79">
        <v>0</v>
      </c>
      <c r="Z37" s="79">
        <v>0</v>
      </c>
      <c r="AA37" s="79">
        <v>0</v>
      </c>
      <c r="AB37" s="79">
        <v>0</v>
      </c>
      <c r="AC37" s="80">
        <v>0</v>
      </c>
      <c r="AD37" s="80">
        <v>0</v>
      </c>
      <c r="AE37" s="79">
        <v>0</v>
      </c>
      <c r="AF37" s="79">
        <v>0</v>
      </c>
      <c r="AG37" s="79">
        <v>0</v>
      </c>
      <c r="AH37" s="79">
        <v>0</v>
      </c>
      <c r="AI37" s="79">
        <v>0</v>
      </c>
      <c r="AJ37" s="79">
        <v>0</v>
      </c>
      <c r="AK37" s="79">
        <v>0</v>
      </c>
      <c r="AL37" s="79">
        <v>0</v>
      </c>
      <c r="AM37" s="79">
        <v>0</v>
      </c>
      <c r="AN37" s="79">
        <v>0</v>
      </c>
      <c r="AO37" s="79">
        <v>0</v>
      </c>
      <c r="AP37" s="80">
        <v>0</v>
      </c>
      <c r="AQ37" s="80">
        <v>0</v>
      </c>
      <c r="AR37" s="79">
        <v>0</v>
      </c>
      <c r="AS37" s="79">
        <v>0</v>
      </c>
      <c r="AT37" s="79">
        <v>720</v>
      </c>
      <c r="AU37" s="79">
        <v>0</v>
      </c>
      <c r="AV37" s="79">
        <v>0</v>
      </c>
      <c r="AW37" s="79">
        <v>0</v>
      </c>
      <c r="AX37" s="79">
        <v>0</v>
      </c>
      <c r="AY37" s="79">
        <v>0</v>
      </c>
      <c r="AZ37" s="79">
        <v>0</v>
      </c>
      <c r="BA37" s="79">
        <v>0</v>
      </c>
      <c r="BB37" s="79">
        <v>0</v>
      </c>
      <c r="BC37" s="79">
        <v>0</v>
      </c>
      <c r="BD37" s="79">
        <v>0</v>
      </c>
      <c r="BE37" s="79">
        <v>0</v>
      </c>
      <c r="BF37" s="79">
        <v>0</v>
      </c>
      <c r="BG37" s="79">
        <v>0</v>
      </c>
      <c r="BH37" s="79">
        <v>0</v>
      </c>
      <c r="BI37" s="79">
        <v>0</v>
      </c>
      <c r="BJ37" s="79">
        <v>0</v>
      </c>
      <c r="BK37" s="79">
        <v>0</v>
      </c>
      <c r="BL37" s="79">
        <v>0</v>
      </c>
      <c r="BM37" s="79">
        <v>0</v>
      </c>
      <c r="BN37" s="79">
        <v>0</v>
      </c>
      <c r="BO37" s="79">
        <v>0</v>
      </c>
      <c r="BP37" s="79">
        <v>0</v>
      </c>
      <c r="BQ37" s="79">
        <v>0</v>
      </c>
      <c r="BR37" s="79">
        <v>0</v>
      </c>
      <c r="BS37" s="79">
        <v>0</v>
      </c>
      <c r="BT37" s="79">
        <v>0</v>
      </c>
      <c r="BU37" s="79">
        <v>13482</v>
      </c>
      <c r="BV37" s="79">
        <v>461</v>
      </c>
      <c r="BX37" s="186">
        <v>0</v>
      </c>
      <c r="BY37" s="187">
        <v>0</v>
      </c>
    </row>
    <row r="38" spans="1:77" ht="8.25" customHeight="1" x14ac:dyDescent="0.15">
      <c r="A38" s="185">
        <v>10935</v>
      </c>
      <c r="B38" s="77" t="str">
        <f>IFERROR(INDEX(SCNtoISIC!$M:$M,MATCH($A38,SCNtoISIC!$J:$J,0)),0)</f>
        <v>ISIC 10T12</v>
      </c>
      <c r="C38" s="78" t="s">
        <v>360</v>
      </c>
      <c r="D38" s="79">
        <v>1862</v>
      </c>
      <c r="E38" s="79">
        <v>713</v>
      </c>
      <c r="F38" s="79">
        <v>284</v>
      </c>
      <c r="G38" s="79">
        <v>0</v>
      </c>
      <c r="H38" s="79">
        <v>0</v>
      </c>
      <c r="I38" s="79">
        <v>0</v>
      </c>
      <c r="J38" s="79">
        <v>0</v>
      </c>
      <c r="K38" s="79">
        <v>225</v>
      </c>
      <c r="L38" s="79">
        <v>149</v>
      </c>
      <c r="M38" s="79">
        <v>29407</v>
      </c>
      <c r="N38" s="79">
        <v>62</v>
      </c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79">
        <v>11</v>
      </c>
      <c r="U38" s="79">
        <v>0</v>
      </c>
      <c r="V38" s="79">
        <v>0</v>
      </c>
      <c r="W38" s="79">
        <v>15</v>
      </c>
      <c r="X38" s="79">
        <v>44</v>
      </c>
      <c r="Y38" s="79">
        <v>0</v>
      </c>
      <c r="Z38" s="79">
        <v>14</v>
      </c>
      <c r="AA38" s="79">
        <v>0</v>
      </c>
      <c r="AB38" s="79">
        <v>0</v>
      </c>
      <c r="AC38" s="80">
        <v>0</v>
      </c>
      <c r="AD38" s="80">
        <v>0</v>
      </c>
      <c r="AE38" s="79">
        <v>0</v>
      </c>
      <c r="AF38" s="79">
        <v>0</v>
      </c>
      <c r="AG38" s="79">
        <v>0</v>
      </c>
      <c r="AH38" s="79">
        <v>0</v>
      </c>
      <c r="AI38" s="79">
        <v>0</v>
      </c>
      <c r="AJ38" s="79">
        <v>0</v>
      </c>
      <c r="AK38" s="79">
        <v>0</v>
      </c>
      <c r="AL38" s="79">
        <v>0</v>
      </c>
      <c r="AM38" s="79">
        <v>0</v>
      </c>
      <c r="AN38" s="79">
        <v>0</v>
      </c>
      <c r="AO38" s="79">
        <v>0</v>
      </c>
      <c r="AP38" s="80">
        <v>0</v>
      </c>
      <c r="AQ38" s="80">
        <v>0</v>
      </c>
      <c r="AR38" s="79">
        <v>0</v>
      </c>
      <c r="AS38" s="79">
        <v>0</v>
      </c>
      <c r="AT38" s="79">
        <v>1230</v>
      </c>
      <c r="AU38" s="79">
        <v>0</v>
      </c>
      <c r="AV38" s="79">
        <v>0</v>
      </c>
      <c r="AW38" s="79">
        <v>0</v>
      </c>
      <c r="AX38" s="79">
        <v>0</v>
      </c>
      <c r="AY38" s="79">
        <v>0</v>
      </c>
      <c r="AZ38" s="79">
        <v>0</v>
      </c>
      <c r="BA38" s="79">
        <v>0</v>
      </c>
      <c r="BB38" s="79">
        <v>0</v>
      </c>
      <c r="BC38" s="79">
        <v>0</v>
      </c>
      <c r="BD38" s="79">
        <v>0</v>
      </c>
      <c r="BE38" s="79">
        <v>0</v>
      </c>
      <c r="BF38" s="79">
        <v>0</v>
      </c>
      <c r="BG38" s="79">
        <v>0</v>
      </c>
      <c r="BH38" s="79">
        <v>0</v>
      </c>
      <c r="BI38" s="79">
        <v>0</v>
      </c>
      <c r="BJ38" s="79">
        <v>0</v>
      </c>
      <c r="BK38" s="79">
        <v>0</v>
      </c>
      <c r="BL38" s="79">
        <v>0</v>
      </c>
      <c r="BM38" s="79">
        <v>0</v>
      </c>
      <c r="BN38" s="79">
        <v>0</v>
      </c>
      <c r="BO38" s="79">
        <v>0</v>
      </c>
      <c r="BP38" s="79">
        <v>0</v>
      </c>
      <c r="BQ38" s="79">
        <v>0</v>
      </c>
      <c r="BR38" s="79">
        <v>0</v>
      </c>
      <c r="BS38" s="79">
        <v>0</v>
      </c>
      <c r="BT38" s="79">
        <v>0</v>
      </c>
      <c r="BU38" s="79">
        <v>34016</v>
      </c>
      <c r="BV38" s="79">
        <v>768</v>
      </c>
      <c r="BX38" s="186">
        <v>0</v>
      </c>
      <c r="BY38" s="187">
        <v>0</v>
      </c>
    </row>
    <row r="39" spans="1:77" ht="8.25" customHeight="1" x14ac:dyDescent="0.15">
      <c r="A39" s="185">
        <v>10936</v>
      </c>
      <c r="B39" s="77" t="str">
        <f>IFERROR(INDEX(SCNtoISIC!$M:$M,MATCH($A39,SCNtoISIC!$J:$J,0)),0)</f>
        <v>ISIC 10T12</v>
      </c>
      <c r="C39" s="78" t="s">
        <v>362</v>
      </c>
      <c r="D39" s="79">
        <v>0</v>
      </c>
      <c r="E39" s="79">
        <v>0</v>
      </c>
      <c r="F39" s="79">
        <v>0</v>
      </c>
      <c r="G39" s="79">
        <v>15</v>
      </c>
      <c r="H39" s="79">
        <v>0</v>
      </c>
      <c r="I39" s="79">
        <v>0</v>
      </c>
      <c r="J39" s="79">
        <v>0</v>
      </c>
      <c r="K39" s="79">
        <v>1962</v>
      </c>
      <c r="L39" s="79">
        <v>0</v>
      </c>
      <c r="M39" s="79">
        <v>30756</v>
      </c>
      <c r="N39" s="79">
        <v>0</v>
      </c>
      <c r="O39" s="79">
        <v>0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79">
        <v>32</v>
      </c>
      <c r="Y39" s="79">
        <v>90</v>
      </c>
      <c r="Z39" s="79">
        <v>0</v>
      </c>
      <c r="AA39" s="79">
        <v>126</v>
      </c>
      <c r="AB39" s="79">
        <v>0</v>
      </c>
      <c r="AC39" s="80">
        <v>0</v>
      </c>
      <c r="AD39" s="80">
        <v>0</v>
      </c>
      <c r="AE39" s="79">
        <v>0</v>
      </c>
      <c r="AF39" s="79">
        <v>0</v>
      </c>
      <c r="AG39" s="79">
        <v>0</v>
      </c>
      <c r="AH39" s="79">
        <v>0</v>
      </c>
      <c r="AI39" s="79">
        <v>0</v>
      </c>
      <c r="AJ39" s="79">
        <v>0</v>
      </c>
      <c r="AK39" s="79">
        <v>0</v>
      </c>
      <c r="AL39" s="79">
        <v>0</v>
      </c>
      <c r="AM39" s="79">
        <v>0</v>
      </c>
      <c r="AN39" s="79">
        <v>0</v>
      </c>
      <c r="AO39" s="79">
        <v>0</v>
      </c>
      <c r="AP39" s="80">
        <v>0</v>
      </c>
      <c r="AQ39" s="80">
        <v>0</v>
      </c>
      <c r="AR39" s="79">
        <v>0</v>
      </c>
      <c r="AS39" s="79">
        <v>0</v>
      </c>
      <c r="AT39" s="79">
        <v>227</v>
      </c>
      <c r="AU39" s="79">
        <v>7</v>
      </c>
      <c r="AV39" s="79">
        <v>0</v>
      </c>
      <c r="AW39" s="79">
        <v>0</v>
      </c>
      <c r="AX39" s="79">
        <v>0</v>
      </c>
      <c r="AY39" s="79">
        <v>0</v>
      </c>
      <c r="AZ39" s="79">
        <v>0</v>
      </c>
      <c r="BA39" s="79">
        <v>0</v>
      </c>
      <c r="BB39" s="79">
        <v>0</v>
      </c>
      <c r="BC39" s="79">
        <v>0</v>
      </c>
      <c r="BD39" s="79">
        <v>0</v>
      </c>
      <c r="BE39" s="79">
        <v>0</v>
      </c>
      <c r="BF39" s="79">
        <v>0</v>
      </c>
      <c r="BG39" s="79">
        <v>0</v>
      </c>
      <c r="BH39" s="79">
        <v>0</v>
      </c>
      <c r="BI39" s="79">
        <v>0</v>
      </c>
      <c r="BJ39" s="79">
        <v>0</v>
      </c>
      <c r="BK39" s="79">
        <v>0</v>
      </c>
      <c r="BL39" s="79">
        <v>0</v>
      </c>
      <c r="BM39" s="79">
        <v>0</v>
      </c>
      <c r="BN39" s="79">
        <v>0</v>
      </c>
      <c r="BO39" s="79">
        <v>0</v>
      </c>
      <c r="BP39" s="79">
        <v>0</v>
      </c>
      <c r="BQ39" s="79">
        <v>0</v>
      </c>
      <c r="BR39" s="79">
        <v>0</v>
      </c>
      <c r="BS39" s="79">
        <v>0</v>
      </c>
      <c r="BT39" s="79">
        <v>0</v>
      </c>
      <c r="BU39" s="79">
        <v>33215</v>
      </c>
      <c r="BV39" s="79">
        <v>889</v>
      </c>
      <c r="BX39" s="186">
        <v>0</v>
      </c>
      <c r="BY39" s="187">
        <v>0</v>
      </c>
    </row>
    <row r="40" spans="1:77" ht="8.25" customHeight="1" x14ac:dyDescent="0.15">
      <c r="A40" s="185">
        <v>10937</v>
      </c>
      <c r="B40" s="77" t="str">
        <f>IFERROR(INDEX(SCNtoISIC!$M:$M,MATCH($A40,SCNtoISIC!$J:$J,0)),0)</f>
        <v>ISIC 10T12</v>
      </c>
      <c r="C40" s="78" t="s">
        <v>226</v>
      </c>
      <c r="D40" s="79">
        <v>13</v>
      </c>
      <c r="E40" s="79">
        <v>14</v>
      </c>
      <c r="F40" s="79">
        <v>3</v>
      </c>
      <c r="G40" s="79">
        <v>74</v>
      </c>
      <c r="H40" s="79">
        <v>0</v>
      </c>
      <c r="I40" s="79">
        <v>0</v>
      </c>
      <c r="J40" s="79">
        <v>0</v>
      </c>
      <c r="K40" s="79">
        <v>2402</v>
      </c>
      <c r="L40" s="79">
        <v>28</v>
      </c>
      <c r="M40" s="79">
        <v>73665</v>
      </c>
      <c r="N40" s="79">
        <v>161</v>
      </c>
      <c r="O40" s="79">
        <v>0</v>
      </c>
      <c r="P40" s="79">
        <v>0</v>
      </c>
      <c r="Q40" s="79">
        <v>0</v>
      </c>
      <c r="R40" s="79">
        <v>10</v>
      </c>
      <c r="S40" s="79">
        <v>0</v>
      </c>
      <c r="T40" s="79">
        <v>0</v>
      </c>
      <c r="U40" s="79">
        <v>0</v>
      </c>
      <c r="V40" s="79">
        <v>0</v>
      </c>
      <c r="W40" s="79">
        <v>16</v>
      </c>
      <c r="X40" s="79">
        <v>76</v>
      </c>
      <c r="Y40" s="79">
        <v>497</v>
      </c>
      <c r="Z40" s="79">
        <v>84</v>
      </c>
      <c r="AA40" s="79">
        <v>300</v>
      </c>
      <c r="AB40" s="79">
        <v>7</v>
      </c>
      <c r="AC40" s="80">
        <v>0</v>
      </c>
      <c r="AD40" s="80">
        <v>0</v>
      </c>
      <c r="AE40" s="79">
        <v>0</v>
      </c>
      <c r="AF40" s="79">
        <v>0</v>
      </c>
      <c r="AG40" s="79">
        <v>0</v>
      </c>
      <c r="AH40" s="79">
        <v>0</v>
      </c>
      <c r="AI40" s="79">
        <v>0</v>
      </c>
      <c r="AJ40" s="79">
        <v>0</v>
      </c>
      <c r="AK40" s="79">
        <v>0</v>
      </c>
      <c r="AL40" s="79">
        <v>0</v>
      </c>
      <c r="AM40" s="79">
        <v>0</v>
      </c>
      <c r="AN40" s="79">
        <v>9</v>
      </c>
      <c r="AO40" s="79">
        <v>0</v>
      </c>
      <c r="AP40" s="80">
        <v>0</v>
      </c>
      <c r="AQ40" s="80">
        <v>0</v>
      </c>
      <c r="AR40" s="79">
        <v>0</v>
      </c>
      <c r="AS40" s="79">
        <v>0</v>
      </c>
      <c r="AT40" s="79">
        <v>21589</v>
      </c>
      <c r="AU40" s="79">
        <v>0</v>
      </c>
      <c r="AV40" s="79">
        <v>0</v>
      </c>
      <c r="AW40" s="79">
        <v>0</v>
      </c>
      <c r="AX40" s="79">
        <v>0</v>
      </c>
      <c r="AY40" s="79">
        <v>0</v>
      </c>
      <c r="AZ40" s="79">
        <v>0</v>
      </c>
      <c r="BA40" s="79">
        <v>0</v>
      </c>
      <c r="BB40" s="79">
        <v>0</v>
      </c>
      <c r="BC40" s="79">
        <v>0</v>
      </c>
      <c r="BD40" s="79">
        <v>0</v>
      </c>
      <c r="BE40" s="79">
        <v>0</v>
      </c>
      <c r="BF40" s="79">
        <v>0</v>
      </c>
      <c r="BG40" s="79">
        <v>0</v>
      </c>
      <c r="BH40" s="79">
        <v>0</v>
      </c>
      <c r="BI40" s="79">
        <v>0</v>
      </c>
      <c r="BJ40" s="79">
        <v>0</v>
      </c>
      <c r="BK40" s="79">
        <v>0</v>
      </c>
      <c r="BL40" s="79">
        <v>0</v>
      </c>
      <c r="BM40" s="79">
        <v>0</v>
      </c>
      <c r="BN40" s="79">
        <v>0</v>
      </c>
      <c r="BO40" s="79">
        <v>0</v>
      </c>
      <c r="BP40" s="79">
        <v>0</v>
      </c>
      <c r="BQ40" s="79">
        <v>0</v>
      </c>
      <c r="BR40" s="79">
        <v>0</v>
      </c>
      <c r="BS40" s="79">
        <v>0</v>
      </c>
      <c r="BT40" s="79">
        <v>0</v>
      </c>
      <c r="BU40" s="79">
        <v>98948</v>
      </c>
      <c r="BV40" s="79">
        <v>3461</v>
      </c>
      <c r="BX40" s="186">
        <v>0</v>
      </c>
      <c r="BY40" s="187">
        <v>0</v>
      </c>
    </row>
    <row r="41" spans="1:77" ht="8.25" customHeight="1" x14ac:dyDescent="0.15">
      <c r="A41" s="185">
        <v>11001</v>
      </c>
      <c r="B41" s="77" t="str">
        <f>IFERROR(INDEX(SCNtoISIC!$M:$M,MATCH($A41,SCNtoISIC!$J:$J,0)),0)</f>
        <v>ISIC 10T12</v>
      </c>
      <c r="C41" s="78" t="s">
        <v>365</v>
      </c>
      <c r="D41" s="79">
        <v>169</v>
      </c>
      <c r="E41" s="79">
        <v>225</v>
      </c>
      <c r="F41" s="79">
        <v>7</v>
      </c>
      <c r="G41" s="79">
        <v>0</v>
      </c>
      <c r="H41" s="79">
        <v>0</v>
      </c>
      <c r="I41" s="79">
        <v>0</v>
      </c>
      <c r="J41" s="79">
        <v>0</v>
      </c>
      <c r="K41" s="79">
        <v>111</v>
      </c>
      <c r="L41" s="79">
        <v>42</v>
      </c>
      <c r="M41" s="79">
        <v>2507</v>
      </c>
      <c r="N41" s="79">
        <v>73600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90</v>
      </c>
      <c r="X41" s="79">
        <v>0</v>
      </c>
      <c r="Y41" s="79">
        <v>46</v>
      </c>
      <c r="Z41" s="79">
        <v>0</v>
      </c>
      <c r="AA41" s="79">
        <v>24</v>
      </c>
      <c r="AB41" s="79">
        <v>0</v>
      </c>
      <c r="AC41" s="80">
        <v>0</v>
      </c>
      <c r="AD41" s="80">
        <v>0</v>
      </c>
      <c r="AE41" s="79">
        <v>0</v>
      </c>
      <c r="AF41" s="79">
        <v>0</v>
      </c>
      <c r="AG41" s="79">
        <v>0</v>
      </c>
      <c r="AH41" s="79">
        <v>0</v>
      </c>
      <c r="AI41" s="79">
        <v>0</v>
      </c>
      <c r="AJ41" s="79">
        <v>0</v>
      </c>
      <c r="AK41" s="79">
        <v>0</v>
      </c>
      <c r="AL41" s="79">
        <v>0</v>
      </c>
      <c r="AM41" s="79">
        <v>0</v>
      </c>
      <c r="AN41" s="79">
        <v>0</v>
      </c>
      <c r="AO41" s="79">
        <v>0</v>
      </c>
      <c r="AP41" s="80">
        <v>0</v>
      </c>
      <c r="AQ41" s="80">
        <v>0</v>
      </c>
      <c r="AR41" s="79">
        <v>0</v>
      </c>
      <c r="AS41" s="79">
        <v>0</v>
      </c>
      <c r="AT41" s="79">
        <v>1397</v>
      </c>
      <c r="AU41" s="79">
        <v>0</v>
      </c>
      <c r="AV41" s="79">
        <v>0</v>
      </c>
      <c r="AW41" s="79">
        <v>0</v>
      </c>
      <c r="AX41" s="79">
        <v>0</v>
      </c>
      <c r="AY41" s="79">
        <v>0</v>
      </c>
      <c r="AZ41" s="79">
        <v>0</v>
      </c>
      <c r="BA41" s="79">
        <v>0</v>
      </c>
      <c r="BB41" s="79">
        <v>0</v>
      </c>
      <c r="BC41" s="79">
        <v>0</v>
      </c>
      <c r="BD41" s="79">
        <v>0</v>
      </c>
      <c r="BE41" s="79">
        <v>0</v>
      </c>
      <c r="BF41" s="79">
        <v>0</v>
      </c>
      <c r="BG41" s="79">
        <v>0</v>
      </c>
      <c r="BH41" s="79">
        <v>0</v>
      </c>
      <c r="BI41" s="79">
        <v>0</v>
      </c>
      <c r="BJ41" s="79">
        <v>0</v>
      </c>
      <c r="BK41" s="79">
        <v>0</v>
      </c>
      <c r="BL41" s="79">
        <v>0</v>
      </c>
      <c r="BM41" s="79">
        <v>0</v>
      </c>
      <c r="BN41" s="79">
        <v>0</v>
      </c>
      <c r="BO41" s="79">
        <v>0</v>
      </c>
      <c r="BP41" s="79">
        <v>0</v>
      </c>
      <c r="BQ41" s="79">
        <v>0</v>
      </c>
      <c r="BR41" s="79">
        <v>0</v>
      </c>
      <c r="BS41" s="79">
        <v>0</v>
      </c>
      <c r="BT41" s="79">
        <v>0</v>
      </c>
      <c r="BU41" s="79">
        <v>78218</v>
      </c>
      <c r="BV41" s="79">
        <v>7490</v>
      </c>
      <c r="BX41" s="186">
        <v>0</v>
      </c>
      <c r="BY41" s="187">
        <v>0</v>
      </c>
    </row>
    <row r="42" spans="1:77" ht="8.25" customHeight="1" x14ac:dyDescent="0.15">
      <c r="A42" s="188">
        <v>12001</v>
      </c>
      <c r="B42" s="77" t="str">
        <f>IFERROR(INDEX(SCNtoISIC!$M:$M,MATCH($A42,SCNtoISIC!$J:$J,0)),0)</f>
        <v>ISIC 10T12</v>
      </c>
      <c r="C42" s="81" t="s">
        <v>367</v>
      </c>
      <c r="D42" s="82">
        <v>109</v>
      </c>
      <c r="E42" s="82">
        <v>62</v>
      </c>
      <c r="F42" s="82">
        <v>1</v>
      </c>
      <c r="G42" s="82">
        <v>0</v>
      </c>
      <c r="H42" s="82">
        <v>0</v>
      </c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2">
        <v>14919</v>
      </c>
      <c r="P42" s="82">
        <v>0</v>
      </c>
      <c r="Q42" s="82">
        <v>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2">
        <v>0</v>
      </c>
      <c r="Y42" s="82">
        <v>6</v>
      </c>
      <c r="Z42" s="82">
        <v>0</v>
      </c>
      <c r="AA42" s="82">
        <v>0</v>
      </c>
      <c r="AB42" s="82">
        <v>0</v>
      </c>
      <c r="AC42" s="80">
        <v>0</v>
      </c>
      <c r="AD42" s="80">
        <v>0</v>
      </c>
      <c r="AE42" s="82">
        <v>0</v>
      </c>
      <c r="AF42" s="82">
        <v>0</v>
      </c>
      <c r="AG42" s="82">
        <v>0</v>
      </c>
      <c r="AH42" s="82">
        <v>0</v>
      </c>
      <c r="AI42" s="82">
        <v>0</v>
      </c>
      <c r="AJ42" s="82">
        <v>0</v>
      </c>
      <c r="AK42" s="82">
        <v>0</v>
      </c>
      <c r="AL42" s="82">
        <v>0</v>
      </c>
      <c r="AM42" s="82">
        <v>0</v>
      </c>
      <c r="AN42" s="82">
        <v>0</v>
      </c>
      <c r="AO42" s="82">
        <v>0</v>
      </c>
      <c r="AP42" s="80">
        <v>0</v>
      </c>
      <c r="AQ42" s="80">
        <v>0</v>
      </c>
      <c r="AR42" s="82">
        <v>0</v>
      </c>
      <c r="AS42" s="82">
        <v>0</v>
      </c>
      <c r="AT42" s="82">
        <v>0</v>
      </c>
      <c r="AU42" s="82">
        <v>0</v>
      </c>
      <c r="AV42" s="82">
        <v>0</v>
      </c>
      <c r="AW42" s="82">
        <v>0</v>
      </c>
      <c r="AX42" s="82">
        <v>0</v>
      </c>
      <c r="AY42" s="82">
        <v>0</v>
      </c>
      <c r="AZ42" s="82">
        <v>0</v>
      </c>
      <c r="BA42" s="82">
        <v>0</v>
      </c>
      <c r="BB42" s="82">
        <v>0</v>
      </c>
      <c r="BC42" s="82">
        <v>0</v>
      </c>
      <c r="BD42" s="82">
        <v>0</v>
      </c>
      <c r="BE42" s="82">
        <v>0</v>
      </c>
      <c r="BF42" s="82">
        <v>0</v>
      </c>
      <c r="BG42" s="82">
        <v>0</v>
      </c>
      <c r="BH42" s="82">
        <v>0</v>
      </c>
      <c r="BI42" s="82">
        <v>0</v>
      </c>
      <c r="BJ42" s="82">
        <v>0</v>
      </c>
      <c r="BK42" s="82">
        <v>0</v>
      </c>
      <c r="BL42" s="82">
        <v>0</v>
      </c>
      <c r="BM42" s="82">
        <v>0</v>
      </c>
      <c r="BN42" s="82">
        <v>0</v>
      </c>
      <c r="BO42" s="82">
        <v>0</v>
      </c>
      <c r="BP42" s="82">
        <v>0</v>
      </c>
      <c r="BQ42" s="82">
        <v>0</v>
      </c>
      <c r="BR42" s="82">
        <v>0</v>
      </c>
      <c r="BS42" s="82">
        <v>0</v>
      </c>
      <c r="BT42" s="82">
        <v>0</v>
      </c>
      <c r="BU42" s="82">
        <v>15097</v>
      </c>
      <c r="BV42" s="82">
        <v>5716</v>
      </c>
      <c r="BX42" s="189">
        <v>0</v>
      </c>
      <c r="BY42" s="190">
        <v>0</v>
      </c>
    </row>
    <row r="43" spans="1:77" ht="8.25" customHeight="1" x14ac:dyDescent="0.15">
      <c r="A43" s="188">
        <v>13001</v>
      </c>
      <c r="B43" s="77" t="str">
        <f>IFERROR(INDEX(SCNtoISIC!$M:$M,MATCH($A43,SCNtoISIC!$J:$J,0)),0)</f>
        <v>ISIC 13T15</v>
      </c>
      <c r="C43" s="81" t="s">
        <v>370</v>
      </c>
      <c r="D43" s="82">
        <v>1330</v>
      </c>
      <c r="E43" s="82">
        <v>314</v>
      </c>
      <c r="F43" s="82">
        <v>6</v>
      </c>
      <c r="G43" s="82">
        <v>0</v>
      </c>
      <c r="H43" s="82">
        <v>0</v>
      </c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2">
        <v>0</v>
      </c>
      <c r="P43" s="82">
        <v>7432</v>
      </c>
      <c r="Q43" s="82">
        <v>22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2">
        <v>38</v>
      </c>
      <c r="Y43" s="82">
        <v>0</v>
      </c>
      <c r="Z43" s="82">
        <v>8</v>
      </c>
      <c r="AA43" s="82">
        <v>0</v>
      </c>
      <c r="AB43" s="82">
        <v>0</v>
      </c>
      <c r="AC43" s="80">
        <v>0</v>
      </c>
      <c r="AD43" s="80">
        <v>0</v>
      </c>
      <c r="AE43" s="82">
        <v>0</v>
      </c>
      <c r="AF43" s="82">
        <v>0</v>
      </c>
      <c r="AG43" s="82">
        <v>0</v>
      </c>
      <c r="AH43" s="82">
        <v>0</v>
      </c>
      <c r="AI43" s="82">
        <v>0</v>
      </c>
      <c r="AJ43" s="82">
        <v>0</v>
      </c>
      <c r="AK43" s="82">
        <v>0</v>
      </c>
      <c r="AL43" s="82">
        <v>0</v>
      </c>
      <c r="AM43" s="82">
        <v>0</v>
      </c>
      <c r="AN43" s="82">
        <v>0</v>
      </c>
      <c r="AO43" s="82">
        <v>0</v>
      </c>
      <c r="AP43" s="80">
        <v>0</v>
      </c>
      <c r="AQ43" s="80">
        <v>0</v>
      </c>
      <c r="AR43" s="82">
        <v>0</v>
      </c>
      <c r="AS43" s="82">
        <v>0</v>
      </c>
      <c r="AT43" s="82">
        <v>0</v>
      </c>
      <c r="AU43" s="82">
        <v>0</v>
      </c>
      <c r="AV43" s="82">
        <v>0</v>
      </c>
      <c r="AW43" s="82">
        <v>0</v>
      </c>
      <c r="AX43" s="82">
        <v>0</v>
      </c>
      <c r="AY43" s="82">
        <v>0</v>
      </c>
      <c r="AZ43" s="82">
        <v>0</v>
      </c>
      <c r="BA43" s="82">
        <v>0</v>
      </c>
      <c r="BB43" s="82">
        <v>0</v>
      </c>
      <c r="BC43" s="82">
        <v>0</v>
      </c>
      <c r="BD43" s="82">
        <v>0</v>
      </c>
      <c r="BE43" s="82">
        <v>0</v>
      </c>
      <c r="BF43" s="82">
        <v>0</v>
      </c>
      <c r="BG43" s="82">
        <v>0</v>
      </c>
      <c r="BH43" s="82">
        <v>0</v>
      </c>
      <c r="BI43" s="82">
        <v>0</v>
      </c>
      <c r="BJ43" s="82">
        <v>0</v>
      </c>
      <c r="BK43" s="82">
        <v>0</v>
      </c>
      <c r="BL43" s="82">
        <v>0</v>
      </c>
      <c r="BM43" s="82">
        <v>0</v>
      </c>
      <c r="BN43" s="82">
        <v>0</v>
      </c>
      <c r="BO43" s="82">
        <v>0</v>
      </c>
      <c r="BP43" s="82">
        <v>0</v>
      </c>
      <c r="BQ43" s="82">
        <v>0</v>
      </c>
      <c r="BR43" s="82">
        <v>0</v>
      </c>
      <c r="BS43" s="82">
        <v>0</v>
      </c>
      <c r="BT43" s="82">
        <v>0</v>
      </c>
      <c r="BU43" s="82">
        <v>9150</v>
      </c>
      <c r="BV43" s="82">
        <v>1574</v>
      </c>
      <c r="BX43" s="189">
        <v>0</v>
      </c>
      <c r="BY43" s="190">
        <v>0</v>
      </c>
    </row>
    <row r="44" spans="1:77" ht="8.25" customHeight="1" x14ac:dyDescent="0.15">
      <c r="A44" s="188">
        <v>13002</v>
      </c>
      <c r="B44" s="77" t="str">
        <f>IFERROR(INDEX(SCNtoISIC!$M:$M,MATCH($A44,SCNtoISIC!$J:$J,0)),0)</f>
        <v>ISIC 13T15</v>
      </c>
      <c r="C44" s="81" t="s">
        <v>372</v>
      </c>
      <c r="D44" s="82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2">
        <v>0</v>
      </c>
      <c r="P44" s="82">
        <v>16241</v>
      </c>
      <c r="Q44" s="82">
        <v>225</v>
      </c>
      <c r="R44" s="82">
        <v>11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2">
        <v>0</v>
      </c>
      <c r="Y44" s="82">
        <v>0</v>
      </c>
      <c r="Z44" s="82">
        <v>0</v>
      </c>
      <c r="AA44" s="82">
        <v>0</v>
      </c>
      <c r="AB44" s="82">
        <v>218</v>
      </c>
      <c r="AC44" s="80">
        <v>43.199999999999996</v>
      </c>
      <c r="AD44" s="80">
        <v>28.8</v>
      </c>
      <c r="AE44" s="82">
        <v>0</v>
      </c>
      <c r="AF44" s="82">
        <v>0</v>
      </c>
      <c r="AG44" s="82">
        <v>0</v>
      </c>
      <c r="AH44" s="82">
        <v>0</v>
      </c>
      <c r="AI44" s="82">
        <v>0</v>
      </c>
      <c r="AJ44" s="82">
        <v>0</v>
      </c>
      <c r="AK44" s="82">
        <v>0</v>
      </c>
      <c r="AL44" s="82">
        <v>0</v>
      </c>
      <c r="AM44" s="82">
        <v>0</v>
      </c>
      <c r="AN44" s="82">
        <v>0</v>
      </c>
      <c r="AO44" s="82">
        <v>16</v>
      </c>
      <c r="AP44" s="80">
        <v>0</v>
      </c>
      <c r="AQ44" s="80">
        <v>0</v>
      </c>
      <c r="AR44" s="82">
        <v>0</v>
      </c>
      <c r="AS44" s="82">
        <v>0</v>
      </c>
      <c r="AT44" s="82">
        <v>0</v>
      </c>
      <c r="AU44" s="82">
        <v>0</v>
      </c>
      <c r="AV44" s="82">
        <v>0</v>
      </c>
      <c r="AW44" s="82">
        <v>0</v>
      </c>
      <c r="AX44" s="82">
        <v>0</v>
      </c>
      <c r="AY44" s="82">
        <v>0</v>
      </c>
      <c r="AZ44" s="82">
        <v>0</v>
      </c>
      <c r="BA44" s="82">
        <v>0</v>
      </c>
      <c r="BB44" s="82">
        <v>0</v>
      </c>
      <c r="BC44" s="82">
        <v>0</v>
      </c>
      <c r="BD44" s="82">
        <v>0</v>
      </c>
      <c r="BE44" s="82">
        <v>0</v>
      </c>
      <c r="BF44" s="82">
        <v>0</v>
      </c>
      <c r="BG44" s="82">
        <v>0</v>
      </c>
      <c r="BH44" s="82">
        <v>0</v>
      </c>
      <c r="BI44" s="82">
        <v>0</v>
      </c>
      <c r="BJ44" s="82">
        <v>0</v>
      </c>
      <c r="BK44" s="82">
        <v>0</v>
      </c>
      <c r="BL44" s="82">
        <v>0</v>
      </c>
      <c r="BM44" s="82">
        <v>0</v>
      </c>
      <c r="BN44" s="82">
        <v>0</v>
      </c>
      <c r="BO44" s="82">
        <v>0</v>
      </c>
      <c r="BP44" s="82">
        <v>0</v>
      </c>
      <c r="BQ44" s="82">
        <v>0</v>
      </c>
      <c r="BR44" s="82">
        <v>0</v>
      </c>
      <c r="BS44" s="82">
        <v>0</v>
      </c>
      <c r="BT44" s="82">
        <v>0</v>
      </c>
      <c r="BU44" s="82">
        <v>16783</v>
      </c>
      <c r="BV44" s="82">
        <v>4137</v>
      </c>
      <c r="BX44" s="189">
        <v>72</v>
      </c>
      <c r="BY44" s="190">
        <v>0</v>
      </c>
    </row>
    <row r="45" spans="1:77" ht="8.25" customHeight="1" x14ac:dyDescent="0.15">
      <c r="A45" s="188">
        <v>13003</v>
      </c>
      <c r="B45" s="77" t="str">
        <f>IFERROR(INDEX(SCNtoISIC!$M:$M,MATCH($A45,SCNtoISIC!$J:$J,0)),0)</f>
        <v>ISIC 13T15</v>
      </c>
      <c r="C45" s="81" t="s">
        <v>615</v>
      </c>
      <c r="D45" s="82">
        <v>0</v>
      </c>
      <c r="E45" s="82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2">
        <v>0</v>
      </c>
      <c r="P45" s="82">
        <v>20212</v>
      </c>
      <c r="Q45" s="82">
        <v>110</v>
      </c>
      <c r="R45" s="82">
        <v>43</v>
      </c>
      <c r="S45" s="82">
        <v>0</v>
      </c>
      <c r="T45" s="82">
        <v>43</v>
      </c>
      <c r="U45" s="82">
        <v>0</v>
      </c>
      <c r="V45" s="82">
        <v>0</v>
      </c>
      <c r="W45" s="82">
        <v>0</v>
      </c>
      <c r="X45" s="82">
        <v>335</v>
      </c>
      <c r="Y45" s="82">
        <v>7</v>
      </c>
      <c r="Z45" s="82">
        <v>24</v>
      </c>
      <c r="AA45" s="82">
        <v>0</v>
      </c>
      <c r="AB45" s="82">
        <v>566</v>
      </c>
      <c r="AC45" s="80">
        <v>44.4</v>
      </c>
      <c r="AD45" s="80">
        <v>29.6</v>
      </c>
      <c r="AE45" s="82">
        <v>0</v>
      </c>
      <c r="AF45" s="82">
        <v>0</v>
      </c>
      <c r="AG45" s="82">
        <v>27</v>
      </c>
      <c r="AH45" s="82">
        <v>11</v>
      </c>
      <c r="AI45" s="82">
        <v>7</v>
      </c>
      <c r="AJ45" s="82">
        <v>20</v>
      </c>
      <c r="AK45" s="82">
        <v>0</v>
      </c>
      <c r="AL45" s="82">
        <v>195</v>
      </c>
      <c r="AM45" s="82">
        <v>0</v>
      </c>
      <c r="AN45" s="82">
        <v>330</v>
      </c>
      <c r="AO45" s="82">
        <v>45</v>
      </c>
      <c r="AP45" s="80">
        <v>0</v>
      </c>
      <c r="AQ45" s="80">
        <v>0</v>
      </c>
      <c r="AR45" s="82">
        <v>0</v>
      </c>
      <c r="AS45" s="82">
        <v>0</v>
      </c>
      <c r="AT45" s="82">
        <v>65</v>
      </c>
      <c r="AU45" s="82">
        <v>0</v>
      </c>
      <c r="AV45" s="82">
        <v>0</v>
      </c>
      <c r="AW45" s="82">
        <v>0</v>
      </c>
      <c r="AX45" s="82">
        <v>0</v>
      </c>
      <c r="AY45" s="82">
        <v>0</v>
      </c>
      <c r="AZ45" s="82">
        <v>0</v>
      </c>
      <c r="BA45" s="82">
        <v>0</v>
      </c>
      <c r="BB45" s="82">
        <v>0</v>
      </c>
      <c r="BC45" s="82">
        <v>0</v>
      </c>
      <c r="BD45" s="82">
        <v>0</v>
      </c>
      <c r="BE45" s="82">
        <v>0</v>
      </c>
      <c r="BF45" s="82">
        <v>0</v>
      </c>
      <c r="BG45" s="82">
        <v>0</v>
      </c>
      <c r="BH45" s="82">
        <v>0</v>
      </c>
      <c r="BI45" s="82">
        <v>0</v>
      </c>
      <c r="BJ45" s="82">
        <v>33</v>
      </c>
      <c r="BK45" s="82">
        <v>0</v>
      </c>
      <c r="BL45" s="82">
        <v>0</v>
      </c>
      <c r="BM45" s="82">
        <v>0</v>
      </c>
      <c r="BN45" s="82">
        <v>0</v>
      </c>
      <c r="BO45" s="82">
        <v>0</v>
      </c>
      <c r="BP45" s="82">
        <v>0</v>
      </c>
      <c r="BQ45" s="82">
        <v>0</v>
      </c>
      <c r="BR45" s="82">
        <v>0</v>
      </c>
      <c r="BS45" s="82">
        <v>0</v>
      </c>
      <c r="BT45" s="82">
        <v>0</v>
      </c>
      <c r="BU45" s="82">
        <v>22147</v>
      </c>
      <c r="BV45" s="82">
        <v>4529</v>
      </c>
      <c r="BX45" s="189">
        <v>74</v>
      </c>
      <c r="BY45" s="190">
        <v>0</v>
      </c>
    </row>
    <row r="46" spans="1:77" ht="8.25" customHeight="1" x14ac:dyDescent="0.15">
      <c r="A46" s="188">
        <v>14001</v>
      </c>
      <c r="B46" s="77" t="str">
        <f>IFERROR(INDEX(SCNtoISIC!$M:$M,MATCH($A46,SCNtoISIC!$J:$J,0)),0)</f>
        <v>ISIC 13T15</v>
      </c>
      <c r="C46" s="81" t="s">
        <v>376</v>
      </c>
      <c r="D46" s="82">
        <v>0</v>
      </c>
      <c r="E46" s="82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2">
        <v>0</v>
      </c>
      <c r="P46" s="82">
        <v>387</v>
      </c>
      <c r="Q46" s="82">
        <v>60213</v>
      </c>
      <c r="R46" s="82">
        <v>152</v>
      </c>
      <c r="S46" s="82">
        <v>0</v>
      </c>
      <c r="T46" s="82">
        <v>0</v>
      </c>
      <c r="U46" s="82">
        <v>0</v>
      </c>
      <c r="V46" s="82">
        <v>0</v>
      </c>
      <c r="W46" s="82">
        <v>0</v>
      </c>
      <c r="X46" s="82">
        <v>0</v>
      </c>
      <c r="Y46" s="82">
        <v>0</v>
      </c>
      <c r="Z46" s="82">
        <v>0</v>
      </c>
      <c r="AA46" s="82">
        <v>0</v>
      </c>
      <c r="AB46" s="82">
        <v>11</v>
      </c>
      <c r="AC46" s="80">
        <v>0</v>
      </c>
      <c r="AD46" s="80">
        <v>0</v>
      </c>
      <c r="AE46" s="82">
        <v>0</v>
      </c>
      <c r="AF46" s="82">
        <v>0</v>
      </c>
      <c r="AG46" s="82">
        <v>0</v>
      </c>
      <c r="AH46" s="82">
        <v>0</v>
      </c>
      <c r="AI46" s="82">
        <v>0</v>
      </c>
      <c r="AJ46" s="82">
        <v>0</v>
      </c>
      <c r="AK46" s="82">
        <v>0</v>
      </c>
      <c r="AL46" s="82">
        <v>0</v>
      </c>
      <c r="AM46" s="82">
        <v>0</v>
      </c>
      <c r="AN46" s="82">
        <v>143</v>
      </c>
      <c r="AO46" s="82">
        <v>0</v>
      </c>
      <c r="AP46" s="80">
        <v>0</v>
      </c>
      <c r="AQ46" s="80">
        <v>0</v>
      </c>
      <c r="AR46" s="82">
        <v>0</v>
      </c>
      <c r="AS46" s="82">
        <v>0</v>
      </c>
      <c r="AT46" s="82">
        <v>1015</v>
      </c>
      <c r="AU46" s="82">
        <v>0</v>
      </c>
      <c r="AV46" s="82">
        <v>0</v>
      </c>
      <c r="AW46" s="82">
        <v>0</v>
      </c>
      <c r="AX46" s="82">
        <v>0</v>
      </c>
      <c r="AY46" s="82">
        <v>0</v>
      </c>
      <c r="AZ46" s="82">
        <v>0</v>
      </c>
      <c r="BA46" s="82">
        <v>0</v>
      </c>
      <c r="BB46" s="82">
        <v>0</v>
      </c>
      <c r="BC46" s="82">
        <v>0</v>
      </c>
      <c r="BD46" s="82">
        <v>0</v>
      </c>
      <c r="BE46" s="82">
        <v>0</v>
      </c>
      <c r="BF46" s="82">
        <v>0</v>
      </c>
      <c r="BG46" s="82">
        <v>0</v>
      </c>
      <c r="BH46" s="82">
        <v>0</v>
      </c>
      <c r="BI46" s="82">
        <v>0</v>
      </c>
      <c r="BJ46" s="82">
        <v>0</v>
      </c>
      <c r="BK46" s="82">
        <v>0</v>
      </c>
      <c r="BL46" s="82">
        <v>0</v>
      </c>
      <c r="BM46" s="82">
        <v>0</v>
      </c>
      <c r="BN46" s="82">
        <v>0</v>
      </c>
      <c r="BO46" s="82">
        <v>0</v>
      </c>
      <c r="BP46" s="82">
        <v>0</v>
      </c>
      <c r="BQ46" s="82">
        <v>0</v>
      </c>
      <c r="BR46" s="82">
        <v>0</v>
      </c>
      <c r="BS46" s="82">
        <v>0</v>
      </c>
      <c r="BT46" s="82">
        <v>0</v>
      </c>
      <c r="BU46" s="82">
        <v>61921</v>
      </c>
      <c r="BV46" s="82">
        <v>11474</v>
      </c>
      <c r="BX46" s="189">
        <v>0</v>
      </c>
      <c r="BY46" s="190">
        <v>0</v>
      </c>
    </row>
    <row r="47" spans="1:77" ht="8.25" customHeight="1" x14ac:dyDescent="0.15">
      <c r="A47" s="185">
        <v>15001</v>
      </c>
      <c r="B47" s="77" t="str">
        <f>IFERROR(INDEX(SCNtoISIC!$M:$M,MATCH($A47,SCNtoISIC!$J:$J,0)),0)</f>
        <v>ISIC 13T15</v>
      </c>
      <c r="C47" s="78" t="s">
        <v>379</v>
      </c>
      <c r="D47" s="79">
        <v>0</v>
      </c>
      <c r="E47" s="79">
        <v>0</v>
      </c>
      <c r="F47" s="79">
        <v>0</v>
      </c>
      <c r="G47" s="79">
        <v>0</v>
      </c>
      <c r="H47" s="79">
        <v>0</v>
      </c>
      <c r="I47" s="79">
        <v>0</v>
      </c>
      <c r="J47" s="79">
        <v>0</v>
      </c>
      <c r="K47" s="79">
        <v>28</v>
      </c>
      <c r="L47" s="79">
        <v>0</v>
      </c>
      <c r="M47" s="79">
        <v>0</v>
      </c>
      <c r="N47" s="79">
        <v>0</v>
      </c>
      <c r="O47" s="79">
        <v>0</v>
      </c>
      <c r="P47" s="79">
        <v>29</v>
      </c>
      <c r="Q47" s="79">
        <v>164</v>
      </c>
      <c r="R47" s="79">
        <v>38662</v>
      </c>
      <c r="S47" s="79">
        <v>0</v>
      </c>
      <c r="T47" s="79">
        <v>8</v>
      </c>
      <c r="U47" s="79">
        <v>0</v>
      </c>
      <c r="V47" s="79">
        <v>0</v>
      </c>
      <c r="W47" s="79">
        <v>0</v>
      </c>
      <c r="X47" s="79">
        <v>0</v>
      </c>
      <c r="Y47" s="79">
        <v>35</v>
      </c>
      <c r="Z47" s="79">
        <v>0</v>
      </c>
      <c r="AA47" s="79">
        <v>0</v>
      </c>
      <c r="AB47" s="79">
        <v>174</v>
      </c>
      <c r="AC47" s="80">
        <v>0</v>
      </c>
      <c r="AD47" s="80">
        <v>0</v>
      </c>
      <c r="AE47" s="79">
        <v>0</v>
      </c>
      <c r="AF47" s="79">
        <v>0</v>
      </c>
      <c r="AG47" s="79">
        <v>9</v>
      </c>
      <c r="AH47" s="79">
        <v>11</v>
      </c>
      <c r="AI47" s="79">
        <v>0</v>
      </c>
      <c r="AJ47" s="79">
        <v>0</v>
      </c>
      <c r="AK47" s="79">
        <v>0</v>
      </c>
      <c r="AL47" s="79">
        <v>26</v>
      </c>
      <c r="AM47" s="79">
        <v>0</v>
      </c>
      <c r="AN47" s="79">
        <v>118</v>
      </c>
      <c r="AO47" s="79">
        <v>0</v>
      </c>
      <c r="AP47" s="80">
        <v>0</v>
      </c>
      <c r="AQ47" s="80">
        <v>0</v>
      </c>
      <c r="AR47" s="79">
        <v>0</v>
      </c>
      <c r="AS47" s="79">
        <v>0</v>
      </c>
      <c r="AT47" s="79">
        <v>125</v>
      </c>
      <c r="AU47" s="79">
        <v>0</v>
      </c>
      <c r="AV47" s="79">
        <v>0</v>
      </c>
      <c r="AW47" s="79">
        <v>0</v>
      </c>
      <c r="AX47" s="79">
        <v>0</v>
      </c>
      <c r="AY47" s="79">
        <v>0</v>
      </c>
      <c r="AZ47" s="79">
        <v>0</v>
      </c>
      <c r="BA47" s="79">
        <v>0</v>
      </c>
      <c r="BB47" s="79">
        <v>0</v>
      </c>
      <c r="BC47" s="79">
        <v>0</v>
      </c>
      <c r="BD47" s="79">
        <v>0</v>
      </c>
      <c r="BE47" s="79">
        <v>0</v>
      </c>
      <c r="BF47" s="79">
        <v>0</v>
      </c>
      <c r="BG47" s="79">
        <v>0</v>
      </c>
      <c r="BH47" s="79">
        <v>0</v>
      </c>
      <c r="BI47" s="79">
        <v>0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0</v>
      </c>
      <c r="BT47" s="79">
        <v>0</v>
      </c>
      <c r="BU47" s="79">
        <v>39389</v>
      </c>
      <c r="BV47" s="79">
        <v>3707</v>
      </c>
      <c r="BX47" s="186">
        <v>0</v>
      </c>
      <c r="BY47" s="187">
        <v>0</v>
      </c>
    </row>
    <row r="48" spans="1:77" ht="8.25" customHeight="1" x14ac:dyDescent="0.15">
      <c r="A48" s="185">
        <v>16001</v>
      </c>
      <c r="B48" s="77" t="str">
        <f>IFERROR(INDEX(SCNtoISIC!$M:$M,MATCH($A48,SCNtoISIC!$J:$J,0)),0)</f>
        <v>ISIC 16</v>
      </c>
      <c r="C48" s="78" t="s">
        <v>382</v>
      </c>
      <c r="D48" s="79">
        <v>17</v>
      </c>
      <c r="E48" s="79">
        <v>14</v>
      </c>
      <c r="F48" s="79">
        <v>4</v>
      </c>
      <c r="G48" s="79">
        <v>0</v>
      </c>
      <c r="H48" s="79">
        <v>0</v>
      </c>
      <c r="I48" s="79">
        <v>0</v>
      </c>
      <c r="J48" s="79">
        <v>0</v>
      </c>
      <c r="K48" s="79">
        <v>0</v>
      </c>
      <c r="L48" s="79">
        <v>0</v>
      </c>
      <c r="M48" s="79">
        <v>6</v>
      </c>
      <c r="N48" s="79">
        <v>0</v>
      </c>
      <c r="O48" s="79">
        <v>0</v>
      </c>
      <c r="P48" s="79">
        <v>15</v>
      </c>
      <c r="Q48" s="79">
        <v>0</v>
      </c>
      <c r="R48" s="79">
        <v>0</v>
      </c>
      <c r="S48" s="79">
        <v>25468</v>
      </c>
      <c r="T48" s="79">
        <v>124</v>
      </c>
      <c r="U48" s="79">
        <v>0</v>
      </c>
      <c r="V48" s="79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30</v>
      </c>
      <c r="AC48" s="80">
        <v>0</v>
      </c>
      <c r="AD48" s="80">
        <v>0</v>
      </c>
      <c r="AE48" s="79">
        <v>0</v>
      </c>
      <c r="AF48" s="79">
        <v>0</v>
      </c>
      <c r="AG48" s="79">
        <v>53</v>
      </c>
      <c r="AH48" s="79">
        <v>0</v>
      </c>
      <c r="AI48" s="79">
        <v>0</v>
      </c>
      <c r="AJ48" s="79">
        <v>19</v>
      </c>
      <c r="AK48" s="79">
        <v>0</v>
      </c>
      <c r="AL48" s="79">
        <v>0</v>
      </c>
      <c r="AM48" s="79">
        <v>0</v>
      </c>
      <c r="AN48" s="79">
        <v>181</v>
      </c>
      <c r="AO48" s="79">
        <v>0</v>
      </c>
      <c r="AP48" s="80">
        <v>0</v>
      </c>
      <c r="AQ48" s="80">
        <v>0</v>
      </c>
      <c r="AR48" s="79">
        <v>0</v>
      </c>
      <c r="AS48" s="79">
        <v>0</v>
      </c>
      <c r="AT48" s="79">
        <v>227</v>
      </c>
      <c r="AU48" s="79">
        <v>0</v>
      </c>
      <c r="AV48" s="79">
        <v>0</v>
      </c>
      <c r="AW48" s="79">
        <v>0</v>
      </c>
      <c r="AX48" s="79">
        <v>0</v>
      </c>
      <c r="AY48" s="79">
        <v>0</v>
      </c>
      <c r="AZ48" s="79">
        <v>0</v>
      </c>
      <c r="BA48" s="79">
        <v>0</v>
      </c>
      <c r="BB48" s="79">
        <v>0</v>
      </c>
      <c r="BC48" s="79">
        <v>0</v>
      </c>
      <c r="BD48" s="79">
        <v>0</v>
      </c>
      <c r="BE48" s="79">
        <v>0</v>
      </c>
      <c r="BF48" s="79">
        <v>0</v>
      </c>
      <c r="BG48" s="79">
        <v>0</v>
      </c>
      <c r="BH48" s="79">
        <v>0</v>
      </c>
      <c r="BI48" s="79">
        <v>0</v>
      </c>
      <c r="BJ48" s="79">
        <v>0</v>
      </c>
      <c r="BK48" s="79">
        <v>0</v>
      </c>
      <c r="BL48" s="79">
        <v>0</v>
      </c>
      <c r="BM48" s="79">
        <v>0</v>
      </c>
      <c r="BN48" s="79">
        <v>0</v>
      </c>
      <c r="BO48" s="79">
        <v>0</v>
      </c>
      <c r="BP48" s="79">
        <v>0</v>
      </c>
      <c r="BQ48" s="79">
        <v>0</v>
      </c>
      <c r="BR48" s="79">
        <v>0</v>
      </c>
      <c r="BS48" s="79">
        <v>0</v>
      </c>
      <c r="BT48" s="79">
        <v>0</v>
      </c>
      <c r="BU48" s="79">
        <v>26158</v>
      </c>
      <c r="BV48" s="79">
        <v>450</v>
      </c>
      <c r="BX48" s="186">
        <v>0</v>
      </c>
      <c r="BY48" s="187">
        <v>0</v>
      </c>
    </row>
    <row r="49" spans="1:77" ht="8.25" customHeight="1" x14ac:dyDescent="0.15">
      <c r="A49" s="185">
        <v>17001</v>
      </c>
      <c r="B49" s="77" t="str">
        <f>IFERROR(INDEX(SCNtoISIC!$M:$M,MATCH($A49,SCNtoISIC!$J:$J,0)),0)</f>
        <v>ISIC 16</v>
      </c>
      <c r="C49" s="78" t="s">
        <v>385</v>
      </c>
      <c r="D49" s="79">
        <v>0</v>
      </c>
      <c r="E49" s="79">
        <v>0</v>
      </c>
      <c r="F49" s="79">
        <v>0</v>
      </c>
      <c r="G49" s="79">
        <v>0</v>
      </c>
      <c r="H49" s="79">
        <v>0</v>
      </c>
      <c r="I49" s="79">
        <v>0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0</v>
      </c>
      <c r="Q49" s="79">
        <v>0</v>
      </c>
      <c r="R49" s="79">
        <v>0</v>
      </c>
      <c r="S49" s="79">
        <v>8</v>
      </c>
      <c r="T49" s="79">
        <v>21448</v>
      </c>
      <c r="U49" s="79">
        <v>0</v>
      </c>
      <c r="V49" s="79">
        <v>0</v>
      </c>
      <c r="W49" s="79">
        <v>0</v>
      </c>
      <c r="X49" s="79">
        <v>0</v>
      </c>
      <c r="Y49" s="79">
        <v>0</v>
      </c>
      <c r="Z49" s="79">
        <v>0</v>
      </c>
      <c r="AA49" s="79">
        <v>0</v>
      </c>
      <c r="AB49" s="79">
        <v>0</v>
      </c>
      <c r="AC49" s="80">
        <v>0</v>
      </c>
      <c r="AD49" s="80">
        <v>0</v>
      </c>
      <c r="AE49" s="79">
        <v>0</v>
      </c>
      <c r="AF49" s="79">
        <v>0</v>
      </c>
      <c r="AG49" s="79">
        <v>0</v>
      </c>
      <c r="AH49" s="79">
        <v>0</v>
      </c>
      <c r="AI49" s="79">
        <v>0</v>
      </c>
      <c r="AJ49" s="79">
        <v>0</v>
      </c>
      <c r="AK49" s="79">
        <v>0</v>
      </c>
      <c r="AL49" s="79">
        <v>0</v>
      </c>
      <c r="AM49" s="79">
        <v>0</v>
      </c>
      <c r="AN49" s="79">
        <v>0</v>
      </c>
      <c r="AO49" s="79">
        <v>0</v>
      </c>
      <c r="AP49" s="80">
        <v>0</v>
      </c>
      <c r="AQ49" s="80">
        <v>0</v>
      </c>
      <c r="AR49" s="79">
        <v>0</v>
      </c>
      <c r="AS49" s="79">
        <v>0</v>
      </c>
      <c r="AT49" s="79">
        <v>0</v>
      </c>
      <c r="AU49" s="79">
        <v>0</v>
      </c>
      <c r="AV49" s="79">
        <v>0</v>
      </c>
      <c r="AW49" s="79">
        <v>0</v>
      </c>
      <c r="AX49" s="79">
        <v>0</v>
      </c>
      <c r="AY49" s="79">
        <v>0</v>
      </c>
      <c r="AZ49" s="79">
        <v>0</v>
      </c>
      <c r="BA49" s="79">
        <v>0</v>
      </c>
      <c r="BB49" s="79">
        <v>0</v>
      </c>
      <c r="BC49" s="79">
        <v>0</v>
      </c>
      <c r="BD49" s="79">
        <v>0</v>
      </c>
      <c r="BE49" s="79">
        <v>0</v>
      </c>
      <c r="BF49" s="79">
        <v>0</v>
      </c>
      <c r="BG49" s="79">
        <v>0</v>
      </c>
      <c r="BH49" s="79">
        <v>0</v>
      </c>
      <c r="BI49" s="79">
        <v>0</v>
      </c>
      <c r="BJ49" s="79">
        <v>0</v>
      </c>
      <c r="BK49" s="79">
        <v>0</v>
      </c>
      <c r="BL49" s="79">
        <v>0</v>
      </c>
      <c r="BM49" s="79">
        <v>0</v>
      </c>
      <c r="BN49" s="79">
        <v>0</v>
      </c>
      <c r="BO49" s="79">
        <v>0</v>
      </c>
      <c r="BP49" s="79">
        <v>0</v>
      </c>
      <c r="BQ49" s="79">
        <v>0</v>
      </c>
      <c r="BR49" s="79">
        <v>0</v>
      </c>
      <c r="BS49" s="79">
        <v>0</v>
      </c>
      <c r="BT49" s="79">
        <v>0</v>
      </c>
      <c r="BU49" s="79">
        <v>21456</v>
      </c>
      <c r="BV49" s="79">
        <v>1166</v>
      </c>
      <c r="BX49" s="186">
        <v>0</v>
      </c>
      <c r="BY49" s="187">
        <v>0</v>
      </c>
    </row>
    <row r="50" spans="1:77" ht="8.25" customHeight="1" x14ac:dyDescent="0.15">
      <c r="A50" s="185">
        <v>17002</v>
      </c>
      <c r="B50" s="77" t="str">
        <f>IFERROR(INDEX(SCNtoISIC!$M:$M,MATCH($A50,SCNtoISIC!$J:$J,0)),0)</f>
        <v>ISIC 17T18</v>
      </c>
      <c r="C50" s="78" t="s">
        <v>388</v>
      </c>
      <c r="D50" s="79">
        <v>0</v>
      </c>
      <c r="E50" s="79">
        <v>0</v>
      </c>
      <c r="F50" s="79">
        <v>0</v>
      </c>
      <c r="G50" s="79">
        <v>0</v>
      </c>
      <c r="H50" s="79">
        <v>0</v>
      </c>
      <c r="I50" s="79">
        <v>0</v>
      </c>
      <c r="J50" s="79">
        <v>0</v>
      </c>
      <c r="K50" s="79">
        <v>0</v>
      </c>
      <c r="L50" s="79">
        <v>0</v>
      </c>
      <c r="M50" s="79">
        <v>0</v>
      </c>
      <c r="N50" s="79">
        <v>0</v>
      </c>
      <c r="O50" s="79">
        <v>13</v>
      </c>
      <c r="P50" s="79">
        <v>5</v>
      </c>
      <c r="Q50" s="79">
        <v>0</v>
      </c>
      <c r="R50" s="79">
        <v>0</v>
      </c>
      <c r="S50" s="79">
        <v>0</v>
      </c>
      <c r="T50" s="79">
        <v>55179</v>
      </c>
      <c r="U50" s="79">
        <v>416</v>
      </c>
      <c r="V50" s="79">
        <v>0</v>
      </c>
      <c r="W50" s="79">
        <v>0</v>
      </c>
      <c r="X50" s="79">
        <v>0</v>
      </c>
      <c r="Y50" s="79">
        <v>79</v>
      </c>
      <c r="Z50" s="79">
        <v>834</v>
      </c>
      <c r="AA50" s="79">
        <v>0</v>
      </c>
      <c r="AB50" s="79">
        <v>381</v>
      </c>
      <c r="AC50" s="80">
        <v>38.4</v>
      </c>
      <c r="AD50" s="80">
        <v>25.6</v>
      </c>
      <c r="AE50" s="79">
        <v>0</v>
      </c>
      <c r="AF50" s="79">
        <v>10</v>
      </c>
      <c r="AG50" s="79">
        <v>0</v>
      </c>
      <c r="AH50" s="79">
        <v>0</v>
      </c>
      <c r="AI50" s="79">
        <v>0</v>
      </c>
      <c r="AJ50" s="79">
        <v>28</v>
      </c>
      <c r="AK50" s="79">
        <v>0</v>
      </c>
      <c r="AL50" s="79">
        <v>0</v>
      </c>
      <c r="AM50" s="79">
        <v>0</v>
      </c>
      <c r="AN50" s="79">
        <v>27</v>
      </c>
      <c r="AO50" s="79">
        <v>0</v>
      </c>
      <c r="AP50" s="80">
        <v>0</v>
      </c>
      <c r="AQ50" s="80">
        <v>0</v>
      </c>
      <c r="AR50" s="79">
        <v>0</v>
      </c>
      <c r="AS50" s="79">
        <v>0</v>
      </c>
      <c r="AT50" s="79">
        <v>114</v>
      </c>
      <c r="AU50" s="79">
        <v>0</v>
      </c>
      <c r="AV50" s="79">
        <v>0</v>
      </c>
      <c r="AW50" s="79">
        <v>0</v>
      </c>
      <c r="AX50" s="79">
        <v>0</v>
      </c>
      <c r="AY50" s="79">
        <v>0</v>
      </c>
      <c r="AZ50" s="79">
        <v>0</v>
      </c>
      <c r="BA50" s="79">
        <v>0</v>
      </c>
      <c r="BB50" s="79">
        <v>0</v>
      </c>
      <c r="BC50" s="79">
        <v>0</v>
      </c>
      <c r="BD50" s="79">
        <v>0</v>
      </c>
      <c r="BE50" s="79">
        <v>0</v>
      </c>
      <c r="BF50" s="79">
        <v>0</v>
      </c>
      <c r="BG50" s="79">
        <v>0</v>
      </c>
      <c r="BH50" s="79">
        <v>0</v>
      </c>
      <c r="BI50" s="79">
        <v>0</v>
      </c>
      <c r="BJ50" s="79">
        <v>0</v>
      </c>
      <c r="BK50" s="79">
        <v>0</v>
      </c>
      <c r="BL50" s="79">
        <v>0</v>
      </c>
      <c r="BM50" s="79">
        <v>0</v>
      </c>
      <c r="BN50" s="79">
        <v>0</v>
      </c>
      <c r="BO50" s="79">
        <v>0</v>
      </c>
      <c r="BP50" s="79">
        <v>0</v>
      </c>
      <c r="BQ50" s="79">
        <v>0</v>
      </c>
      <c r="BR50" s="79">
        <v>0</v>
      </c>
      <c r="BS50" s="79">
        <v>0</v>
      </c>
      <c r="BT50" s="79">
        <v>0</v>
      </c>
      <c r="BU50" s="79">
        <v>57150</v>
      </c>
      <c r="BV50" s="79">
        <v>3653</v>
      </c>
      <c r="BX50" s="186">
        <v>64</v>
      </c>
      <c r="BY50" s="187">
        <v>0</v>
      </c>
    </row>
    <row r="51" spans="1:77" ht="8.25" customHeight="1" x14ac:dyDescent="0.15">
      <c r="A51" s="185">
        <v>18001</v>
      </c>
      <c r="B51" s="77" t="str">
        <f>IFERROR(INDEX(SCNtoISIC!$M:$M,MATCH($A51,SCNtoISIC!$J:$J,0)),0)</f>
        <v>ISIC 17T18</v>
      </c>
      <c r="C51" s="78" t="s">
        <v>390</v>
      </c>
      <c r="D51" s="79">
        <v>0</v>
      </c>
      <c r="E51" s="79">
        <v>0</v>
      </c>
      <c r="F51" s="79">
        <v>0</v>
      </c>
      <c r="G51" s="79">
        <v>0</v>
      </c>
      <c r="H51" s="79">
        <v>0</v>
      </c>
      <c r="I51" s="79">
        <v>0</v>
      </c>
      <c r="J51" s="79">
        <v>0</v>
      </c>
      <c r="K51" s="79">
        <v>0</v>
      </c>
      <c r="L51" s="79">
        <v>0</v>
      </c>
      <c r="M51" s="79">
        <v>0</v>
      </c>
      <c r="N51" s="79">
        <v>0</v>
      </c>
      <c r="O51" s="79">
        <v>0</v>
      </c>
      <c r="P51" s="79">
        <v>9</v>
      </c>
      <c r="Q51" s="79">
        <v>0</v>
      </c>
      <c r="R51" s="79">
        <v>19</v>
      </c>
      <c r="S51" s="79">
        <v>0</v>
      </c>
      <c r="T51" s="79">
        <v>305</v>
      </c>
      <c r="U51" s="79">
        <v>17502</v>
      </c>
      <c r="V51" s="79">
        <v>0</v>
      </c>
      <c r="W51" s="79">
        <v>0</v>
      </c>
      <c r="X51" s="79">
        <v>0</v>
      </c>
      <c r="Y51" s="79">
        <v>9</v>
      </c>
      <c r="Z51" s="79">
        <v>204</v>
      </c>
      <c r="AA51" s="79">
        <v>0</v>
      </c>
      <c r="AB51" s="79">
        <v>75</v>
      </c>
      <c r="AC51" s="80">
        <v>0</v>
      </c>
      <c r="AD51" s="80">
        <v>0</v>
      </c>
      <c r="AE51" s="79">
        <v>0</v>
      </c>
      <c r="AF51" s="79">
        <v>0</v>
      </c>
      <c r="AG51" s="79">
        <v>7</v>
      </c>
      <c r="AH51" s="79">
        <v>14</v>
      </c>
      <c r="AI51" s="79">
        <v>10</v>
      </c>
      <c r="AJ51" s="79">
        <v>0</v>
      </c>
      <c r="AK51" s="79">
        <v>0</v>
      </c>
      <c r="AL51" s="79">
        <v>0</v>
      </c>
      <c r="AM51" s="79">
        <v>0</v>
      </c>
      <c r="AN51" s="79">
        <v>6</v>
      </c>
      <c r="AO51" s="79">
        <v>0</v>
      </c>
      <c r="AP51" s="80">
        <v>0</v>
      </c>
      <c r="AQ51" s="80">
        <v>0</v>
      </c>
      <c r="AR51" s="79">
        <v>0</v>
      </c>
      <c r="AS51" s="79">
        <v>0</v>
      </c>
      <c r="AT51" s="79">
        <v>386</v>
      </c>
      <c r="AU51" s="79">
        <v>0</v>
      </c>
      <c r="AV51" s="79">
        <v>0</v>
      </c>
      <c r="AW51" s="79">
        <v>0</v>
      </c>
      <c r="AX51" s="79">
        <v>0</v>
      </c>
      <c r="AY51" s="79">
        <v>0</v>
      </c>
      <c r="AZ51" s="79">
        <v>0</v>
      </c>
      <c r="BA51" s="79">
        <v>338</v>
      </c>
      <c r="BB51" s="79">
        <v>0</v>
      </c>
      <c r="BC51" s="79">
        <v>0</v>
      </c>
      <c r="BD51" s="79">
        <v>0</v>
      </c>
      <c r="BE51" s="79">
        <v>0</v>
      </c>
      <c r="BF51" s="79">
        <v>0</v>
      </c>
      <c r="BG51" s="79">
        <v>0</v>
      </c>
      <c r="BH51" s="79">
        <v>0</v>
      </c>
      <c r="BI51" s="79">
        <v>0</v>
      </c>
      <c r="BJ51" s="79">
        <v>0</v>
      </c>
      <c r="BK51" s="79">
        <v>0</v>
      </c>
      <c r="BL51" s="79">
        <v>0</v>
      </c>
      <c r="BM51" s="79">
        <v>0</v>
      </c>
      <c r="BN51" s="79">
        <v>0</v>
      </c>
      <c r="BO51" s="79">
        <v>0</v>
      </c>
      <c r="BP51" s="79">
        <v>0</v>
      </c>
      <c r="BQ51" s="79">
        <v>0</v>
      </c>
      <c r="BR51" s="79">
        <v>0</v>
      </c>
      <c r="BS51" s="79">
        <v>0</v>
      </c>
      <c r="BT51" s="79">
        <v>0</v>
      </c>
      <c r="BU51" s="79">
        <v>18884</v>
      </c>
      <c r="BV51" s="79">
        <v>370</v>
      </c>
      <c r="BX51" s="186">
        <v>0</v>
      </c>
      <c r="BY51" s="187">
        <v>0</v>
      </c>
    </row>
    <row r="52" spans="1:77" ht="8.25" customHeight="1" x14ac:dyDescent="0.15">
      <c r="A52" s="188">
        <v>19911</v>
      </c>
      <c r="B52" s="77" t="str">
        <f>IFERROR(INDEX(SCNtoISIC!$M:$M,MATCH($A52,SCNtoISIC!$J:$J,0)),0)</f>
        <v>ISIC 19</v>
      </c>
      <c r="C52" s="81" t="s">
        <v>393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>
        <v>0</v>
      </c>
      <c r="O52" s="82">
        <v>0</v>
      </c>
      <c r="P52" s="82">
        <v>0</v>
      </c>
      <c r="Q52" s="82">
        <v>0</v>
      </c>
      <c r="R52" s="82">
        <v>0</v>
      </c>
      <c r="S52" s="82">
        <v>0</v>
      </c>
      <c r="T52" s="82">
        <v>0</v>
      </c>
      <c r="U52" s="82">
        <v>0</v>
      </c>
      <c r="V52" s="82">
        <v>10345</v>
      </c>
      <c r="W52" s="82">
        <v>0</v>
      </c>
      <c r="X52" s="82">
        <v>0</v>
      </c>
      <c r="Y52" s="82">
        <v>0</v>
      </c>
      <c r="Z52" s="82">
        <v>0</v>
      </c>
      <c r="AA52" s="82">
        <v>0</v>
      </c>
      <c r="AB52" s="82">
        <v>0</v>
      </c>
      <c r="AC52" s="80">
        <v>0</v>
      </c>
      <c r="AD52" s="80">
        <v>0</v>
      </c>
      <c r="AE52" s="82">
        <v>0</v>
      </c>
      <c r="AF52" s="82">
        <v>0</v>
      </c>
      <c r="AG52" s="82">
        <v>0</v>
      </c>
      <c r="AH52" s="82">
        <v>0</v>
      </c>
      <c r="AI52" s="82">
        <v>0</v>
      </c>
      <c r="AJ52" s="82">
        <v>0</v>
      </c>
      <c r="AK52" s="82">
        <v>0</v>
      </c>
      <c r="AL52" s="82">
        <v>0</v>
      </c>
      <c r="AM52" s="82">
        <v>0</v>
      </c>
      <c r="AN52" s="82">
        <v>0</v>
      </c>
      <c r="AO52" s="82">
        <v>0</v>
      </c>
      <c r="AP52" s="80">
        <v>0</v>
      </c>
      <c r="AQ52" s="80">
        <v>0</v>
      </c>
      <c r="AR52" s="82">
        <v>0</v>
      </c>
      <c r="AS52" s="82">
        <v>0</v>
      </c>
      <c r="AT52" s="82">
        <v>0</v>
      </c>
      <c r="AU52" s="82">
        <v>0</v>
      </c>
      <c r="AV52" s="82">
        <v>0</v>
      </c>
      <c r="AW52" s="82">
        <v>0</v>
      </c>
      <c r="AX52" s="82">
        <v>0</v>
      </c>
      <c r="AY52" s="82">
        <v>0</v>
      </c>
      <c r="AZ52" s="82">
        <v>0</v>
      </c>
      <c r="BA52" s="82">
        <v>0</v>
      </c>
      <c r="BB52" s="82">
        <v>0</v>
      </c>
      <c r="BC52" s="82">
        <v>0</v>
      </c>
      <c r="BD52" s="82">
        <v>0</v>
      </c>
      <c r="BE52" s="82">
        <v>0</v>
      </c>
      <c r="BF52" s="82">
        <v>0</v>
      </c>
      <c r="BG52" s="82">
        <v>0</v>
      </c>
      <c r="BH52" s="82">
        <v>0</v>
      </c>
      <c r="BI52" s="82">
        <v>0</v>
      </c>
      <c r="BJ52" s="82">
        <v>0</v>
      </c>
      <c r="BK52" s="82">
        <v>0</v>
      </c>
      <c r="BL52" s="82">
        <v>0</v>
      </c>
      <c r="BM52" s="82">
        <v>0</v>
      </c>
      <c r="BN52" s="82">
        <v>0</v>
      </c>
      <c r="BO52" s="82">
        <v>0</v>
      </c>
      <c r="BP52" s="82">
        <v>0</v>
      </c>
      <c r="BQ52" s="82">
        <v>0</v>
      </c>
      <c r="BR52" s="82">
        <v>0</v>
      </c>
      <c r="BS52" s="82">
        <v>0</v>
      </c>
      <c r="BT52" s="82">
        <v>0</v>
      </c>
      <c r="BU52" s="82">
        <v>10345</v>
      </c>
      <c r="BV52" s="82">
        <v>4689</v>
      </c>
      <c r="BX52" s="189">
        <v>0</v>
      </c>
      <c r="BY52" s="190">
        <v>0</v>
      </c>
    </row>
    <row r="53" spans="1:77" ht="8.25" customHeight="1" x14ac:dyDescent="0.15">
      <c r="A53" s="188">
        <v>19912</v>
      </c>
      <c r="B53" s="77" t="str">
        <f>IFERROR(INDEX(SCNtoISIC!$M:$M,MATCH($A53,SCNtoISIC!$J:$J,0)),0)</f>
        <v>ISIC 19</v>
      </c>
      <c r="C53" s="81" t="s">
        <v>395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81385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0">
        <v>0</v>
      </c>
      <c r="AD53" s="80">
        <v>0</v>
      </c>
      <c r="AE53" s="82">
        <v>0</v>
      </c>
      <c r="AF53" s="82">
        <v>0</v>
      </c>
      <c r="AG53" s="82">
        <v>0</v>
      </c>
      <c r="AH53" s="82">
        <v>0</v>
      </c>
      <c r="AI53" s="82">
        <v>0</v>
      </c>
      <c r="AJ53" s="82">
        <v>0</v>
      </c>
      <c r="AK53" s="82">
        <v>0</v>
      </c>
      <c r="AL53" s="82">
        <v>0</v>
      </c>
      <c r="AM53" s="82">
        <v>0</v>
      </c>
      <c r="AN53" s="82">
        <v>0</v>
      </c>
      <c r="AO53" s="82">
        <v>0</v>
      </c>
      <c r="AP53" s="80">
        <v>0</v>
      </c>
      <c r="AQ53" s="80">
        <v>0</v>
      </c>
      <c r="AR53" s="82">
        <v>0</v>
      </c>
      <c r="AS53" s="82">
        <v>0</v>
      </c>
      <c r="AT53" s="82">
        <v>0</v>
      </c>
      <c r="AU53" s="82">
        <v>0</v>
      </c>
      <c r="AV53" s="82">
        <v>0</v>
      </c>
      <c r="AW53" s="82">
        <v>0</v>
      </c>
      <c r="AX53" s="82">
        <v>0</v>
      </c>
      <c r="AY53" s="82">
        <v>0</v>
      </c>
      <c r="AZ53" s="82">
        <v>0</v>
      </c>
      <c r="BA53" s="82">
        <v>0</v>
      </c>
      <c r="BB53" s="82">
        <v>0</v>
      </c>
      <c r="BC53" s="82">
        <v>0</v>
      </c>
      <c r="BD53" s="82">
        <v>0</v>
      </c>
      <c r="BE53" s="82">
        <v>0</v>
      </c>
      <c r="BF53" s="82">
        <v>0</v>
      </c>
      <c r="BG53" s="82">
        <v>0</v>
      </c>
      <c r="BH53" s="82">
        <v>0</v>
      </c>
      <c r="BI53" s="82">
        <v>0</v>
      </c>
      <c r="BJ53" s="82">
        <v>0</v>
      </c>
      <c r="BK53" s="82">
        <v>0</v>
      </c>
      <c r="BL53" s="82">
        <v>0</v>
      </c>
      <c r="BM53" s="82">
        <v>0</v>
      </c>
      <c r="BN53" s="82">
        <v>0</v>
      </c>
      <c r="BO53" s="82">
        <v>0</v>
      </c>
      <c r="BP53" s="82">
        <v>0</v>
      </c>
      <c r="BQ53" s="82">
        <v>0</v>
      </c>
      <c r="BR53" s="82">
        <v>0</v>
      </c>
      <c r="BS53" s="82">
        <v>0</v>
      </c>
      <c r="BT53" s="82">
        <v>0</v>
      </c>
      <c r="BU53" s="82">
        <v>81385</v>
      </c>
      <c r="BV53" s="82">
        <v>0</v>
      </c>
      <c r="BX53" s="189">
        <v>0</v>
      </c>
      <c r="BY53" s="190">
        <v>0</v>
      </c>
    </row>
    <row r="54" spans="1:77" ht="8.25" customHeight="1" x14ac:dyDescent="0.15">
      <c r="A54" s="188">
        <v>19913</v>
      </c>
      <c r="B54" s="77" t="str">
        <f>IFERROR(INDEX(SCNtoISIC!$M:$M,MATCH($A54,SCNtoISIC!$J:$J,0)),0)</f>
        <v>ISIC 19</v>
      </c>
      <c r="C54" s="81" t="s">
        <v>396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8218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0">
        <v>0</v>
      </c>
      <c r="AD54" s="80">
        <v>0</v>
      </c>
      <c r="AE54" s="82">
        <v>0</v>
      </c>
      <c r="AF54" s="82">
        <v>0</v>
      </c>
      <c r="AG54" s="82">
        <v>0</v>
      </c>
      <c r="AH54" s="82">
        <v>0</v>
      </c>
      <c r="AI54" s="82">
        <v>0</v>
      </c>
      <c r="AJ54" s="82">
        <v>0</v>
      </c>
      <c r="AK54" s="82">
        <v>0</v>
      </c>
      <c r="AL54" s="82">
        <v>0</v>
      </c>
      <c r="AM54" s="82">
        <v>0</v>
      </c>
      <c r="AN54" s="82">
        <v>0</v>
      </c>
      <c r="AO54" s="82">
        <v>0</v>
      </c>
      <c r="AP54" s="80">
        <v>0</v>
      </c>
      <c r="AQ54" s="80">
        <v>0</v>
      </c>
      <c r="AR54" s="82">
        <v>0</v>
      </c>
      <c r="AS54" s="82">
        <v>0</v>
      </c>
      <c r="AT54" s="82">
        <v>0</v>
      </c>
      <c r="AU54" s="82">
        <v>0</v>
      </c>
      <c r="AV54" s="82">
        <v>0</v>
      </c>
      <c r="AW54" s="82">
        <v>0</v>
      </c>
      <c r="AX54" s="82">
        <v>0</v>
      </c>
      <c r="AY54" s="82">
        <v>0</v>
      </c>
      <c r="AZ54" s="82">
        <v>0</v>
      </c>
      <c r="BA54" s="82">
        <v>0</v>
      </c>
      <c r="BB54" s="82">
        <v>0</v>
      </c>
      <c r="BC54" s="82">
        <v>0</v>
      </c>
      <c r="BD54" s="82">
        <v>0</v>
      </c>
      <c r="BE54" s="82">
        <v>0</v>
      </c>
      <c r="BF54" s="82">
        <v>0</v>
      </c>
      <c r="BG54" s="82">
        <v>0</v>
      </c>
      <c r="BH54" s="82">
        <v>0</v>
      </c>
      <c r="BI54" s="82">
        <v>0</v>
      </c>
      <c r="BJ54" s="82">
        <v>0</v>
      </c>
      <c r="BK54" s="82">
        <v>0</v>
      </c>
      <c r="BL54" s="82">
        <v>0</v>
      </c>
      <c r="BM54" s="82">
        <v>0</v>
      </c>
      <c r="BN54" s="82">
        <v>0</v>
      </c>
      <c r="BO54" s="82">
        <v>0</v>
      </c>
      <c r="BP54" s="82">
        <v>0</v>
      </c>
      <c r="BQ54" s="82">
        <v>0</v>
      </c>
      <c r="BR54" s="82">
        <v>0</v>
      </c>
      <c r="BS54" s="82">
        <v>0</v>
      </c>
      <c r="BT54" s="82">
        <v>0</v>
      </c>
      <c r="BU54" s="82">
        <v>8218</v>
      </c>
      <c r="BV54" s="82">
        <v>8350</v>
      </c>
      <c r="BX54" s="189">
        <v>0</v>
      </c>
      <c r="BY54" s="190">
        <v>0</v>
      </c>
    </row>
    <row r="55" spans="1:77" ht="8.25" customHeight="1" x14ac:dyDescent="0.15">
      <c r="A55" s="188">
        <v>19914</v>
      </c>
      <c r="B55" s="77" t="str">
        <f>IFERROR(INDEX(SCNtoISIC!$M:$M,MATCH($A55,SCNtoISIC!$J:$J,0)),0)</f>
        <v>ISIC 19</v>
      </c>
      <c r="C55" s="81" t="s">
        <v>397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>
        <v>0</v>
      </c>
      <c r="O55" s="82">
        <v>0</v>
      </c>
      <c r="P55" s="82">
        <v>0</v>
      </c>
      <c r="Q55" s="82">
        <v>0</v>
      </c>
      <c r="R55" s="82">
        <v>0</v>
      </c>
      <c r="S55" s="82">
        <v>0</v>
      </c>
      <c r="T55" s="82">
        <v>0</v>
      </c>
      <c r="U55" s="82">
        <v>0</v>
      </c>
      <c r="V55" s="82">
        <v>16379</v>
      </c>
      <c r="W55" s="82">
        <v>0</v>
      </c>
      <c r="X55" s="82">
        <v>0</v>
      </c>
      <c r="Y55" s="82">
        <v>0</v>
      </c>
      <c r="Z55" s="82">
        <v>0</v>
      </c>
      <c r="AA55" s="82">
        <v>0</v>
      </c>
      <c r="AB55" s="82">
        <v>0</v>
      </c>
      <c r="AC55" s="80">
        <v>12</v>
      </c>
      <c r="AD55" s="80">
        <v>8</v>
      </c>
      <c r="AE55" s="82">
        <v>0</v>
      </c>
      <c r="AF55" s="82">
        <v>0</v>
      </c>
      <c r="AG55" s="82">
        <v>0</v>
      </c>
      <c r="AH55" s="82">
        <v>0</v>
      </c>
      <c r="AI55" s="82">
        <v>0</v>
      </c>
      <c r="AJ55" s="82">
        <v>23</v>
      </c>
      <c r="AK55" s="82">
        <v>0</v>
      </c>
      <c r="AL55" s="82">
        <v>0</v>
      </c>
      <c r="AM55" s="82">
        <v>0</v>
      </c>
      <c r="AN55" s="82">
        <v>0</v>
      </c>
      <c r="AO55" s="82">
        <v>0</v>
      </c>
      <c r="AP55" s="80">
        <v>0</v>
      </c>
      <c r="AQ55" s="80">
        <v>0</v>
      </c>
      <c r="AR55" s="82">
        <v>0</v>
      </c>
      <c r="AS55" s="82">
        <v>0</v>
      </c>
      <c r="AT55" s="82">
        <v>0</v>
      </c>
      <c r="AU55" s="82">
        <v>0</v>
      </c>
      <c r="AV55" s="82">
        <v>0</v>
      </c>
      <c r="AW55" s="82">
        <v>0</v>
      </c>
      <c r="AX55" s="82">
        <v>0</v>
      </c>
      <c r="AY55" s="82">
        <v>0</v>
      </c>
      <c r="AZ55" s="82">
        <v>0</v>
      </c>
      <c r="BA55" s="82">
        <v>0</v>
      </c>
      <c r="BB55" s="82">
        <v>0</v>
      </c>
      <c r="BC55" s="82">
        <v>0</v>
      </c>
      <c r="BD55" s="82">
        <v>0</v>
      </c>
      <c r="BE55" s="82">
        <v>0</v>
      </c>
      <c r="BF55" s="82">
        <v>0</v>
      </c>
      <c r="BG55" s="82">
        <v>0</v>
      </c>
      <c r="BH55" s="82">
        <v>0</v>
      </c>
      <c r="BI55" s="82">
        <v>0</v>
      </c>
      <c r="BJ55" s="82">
        <v>0</v>
      </c>
      <c r="BK55" s="82">
        <v>0</v>
      </c>
      <c r="BL55" s="82">
        <v>0</v>
      </c>
      <c r="BM55" s="82">
        <v>0</v>
      </c>
      <c r="BN55" s="82">
        <v>0</v>
      </c>
      <c r="BO55" s="82">
        <v>0</v>
      </c>
      <c r="BP55" s="82">
        <v>0</v>
      </c>
      <c r="BQ55" s="82">
        <v>0</v>
      </c>
      <c r="BR55" s="82">
        <v>0</v>
      </c>
      <c r="BS55" s="82">
        <v>0</v>
      </c>
      <c r="BT55" s="82">
        <v>0</v>
      </c>
      <c r="BU55" s="82">
        <v>16422</v>
      </c>
      <c r="BV55" s="82">
        <v>436</v>
      </c>
      <c r="BX55" s="189">
        <v>20</v>
      </c>
      <c r="BY55" s="190">
        <v>0</v>
      </c>
    </row>
    <row r="56" spans="1:77" ht="8.25" customHeight="1" x14ac:dyDescent="0.15">
      <c r="A56" s="188">
        <v>19915</v>
      </c>
      <c r="B56" s="77" t="str">
        <f>IFERROR(INDEX(SCNtoISIC!$M:$M,MATCH($A56,SCNtoISIC!$J:$J,0)),0)</f>
        <v>ISIC 19</v>
      </c>
      <c r="C56" s="81" t="s">
        <v>399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>
        <v>0</v>
      </c>
      <c r="O56" s="82">
        <v>0</v>
      </c>
      <c r="P56" s="82">
        <v>0</v>
      </c>
      <c r="Q56" s="82">
        <v>0</v>
      </c>
      <c r="R56" s="82">
        <v>0</v>
      </c>
      <c r="S56" s="82">
        <v>0</v>
      </c>
      <c r="T56" s="82">
        <v>0</v>
      </c>
      <c r="U56" s="82">
        <v>0</v>
      </c>
      <c r="V56" s="82">
        <v>112428</v>
      </c>
      <c r="W56" s="82">
        <v>0</v>
      </c>
      <c r="X56" s="82">
        <v>0</v>
      </c>
      <c r="Y56" s="82">
        <v>0</v>
      </c>
      <c r="Z56" s="82">
        <v>0</v>
      </c>
      <c r="AA56" s="82">
        <v>0</v>
      </c>
      <c r="AB56" s="82">
        <v>0</v>
      </c>
      <c r="AC56" s="80">
        <v>0</v>
      </c>
      <c r="AD56" s="80">
        <v>0</v>
      </c>
      <c r="AE56" s="82">
        <v>0</v>
      </c>
      <c r="AF56" s="82">
        <v>0</v>
      </c>
      <c r="AG56" s="82">
        <v>0</v>
      </c>
      <c r="AH56" s="82">
        <v>0</v>
      </c>
      <c r="AI56" s="82">
        <v>0</v>
      </c>
      <c r="AJ56" s="82">
        <v>0</v>
      </c>
      <c r="AK56" s="82">
        <v>0</v>
      </c>
      <c r="AL56" s="82">
        <v>0</v>
      </c>
      <c r="AM56" s="82">
        <v>0</v>
      </c>
      <c r="AN56" s="82">
        <v>0</v>
      </c>
      <c r="AO56" s="82">
        <v>0</v>
      </c>
      <c r="AP56" s="80">
        <v>0</v>
      </c>
      <c r="AQ56" s="80">
        <v>0</v>
      </c>
      <c r="AR56" s="82">
        <v>0</v>
      </c>
      <c r="AS56" s="82">
        <v>0</v>
      </c>
      <c r="AT56" s="82">
        <v>0</v>
      </c>
      <c r="AU56" s="82">
        <v>0</v>
      </c>
      <c r="AV56" s="82">
        <v>0</v>
      </c>
      <c r="AW56" s="82">
        <v>0</v>
      </c>
      <c r="AX56" s="82">
        <v>0</v>
      </c>
      <c r="AY56" s="82">
        <v>0</v>
      </c>
      <c r="AZ56" s="82">
        <v>0</v>
      </c>
      <c r="BA56" s="82">
        <v>0</v>
      </c>
      <c r="BB56" s="82">
        <v>0</v>
      </c>
      <c r="BC56" s="82">
        <v>0</v>
      </c>
      <c r="BD56" s="82">
        <v>0</v>
      </c>
      <c r="BE56" s="82">
        <v>0</v>
      </c>
      <c r="BF56" s="82">
        <v>0</v>
      </c>
      <c r="BG56" s="82">
        <v>0</v>
      </c>
      <c r="BH56" s="82">
        <v>0</v>
      </c>
      <c r="BI56" s="82">
        <v>0</v>
      </c>
      <c r="BJ56" s="82">
        <v>0</v>
      </c>
      <c r="BK56" s="82">
        <v>0</v>
      </c>
      <c r="BL56" s="82">
        <v>0</v>
      </c>
      <c r="BM56" s="82">
        <v>0</v>
      </c>
      <c r="BN56" s="82">
        <v>0</v>
      </c>
      <c r="BO56" s="82">
        <v>0</v>
      </c>
      <c r="BP56" s="82">
        <v>0</v>
      </c>
      <c r="BQ56" s="82">
        <v>0</v>
      </c>
      <c r="BR56" s="82">
        <v>0</v>
      </c>
      <c r="BS56" s="82">
        <v>0</v>
      </c>
      <c r="BT56" s="82">
        <v>0</v>
      </c>
      <c r="BU56" s="82">
        <v>112428</v>
      </c>
      <c r="BV56" s="82">
        <v>0</v>
      </c>
      <c r="BX56" s="189">
        <v>0</v>
      </c>
      <c r="BY56" s="190">
        <v>0</v>
      </c>
    </row>
    <row r="57" spans="1:77" ht="8.25" customHeight="1" x14ac:dyDescent="0.15">
      <c r="A57" s="185">
        <v>19916</v>
      </c>
      <c r="B57" s="77" t="str">
        <f>IFERROR(INDEX(SCNtoISIC!$M:$M,MATCH($A57,SCNtoISIC!$J:$J,0)),0)</f>
        <v>ISIC 19</v>
      </c>
      <c r="C57" s="78" t="s">
        <v>400</v>
      </c>
      <c r="D57" s="79">
        <v>0</v>
      </c>
      <c r="E57" s="79">
        <v>0</v>
      </c>
      <c r="F57" s="79">
        <v>0</v>
      </c>
      <c r="G57" s="79">
        <v>30</v>
      </c>
      <c r="H57" s="79">
        <v>1591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79">
        <v>0</v>
      </c>
      <c r="Q57" s="79">
        <v>0</v>
      </c>
      <c r="R57" s="79">
        <v>0</v>
      </c>
      <c r="S57" s="79">
        <v>0</v>
      </c>
      <c r="T57" s="79">
        <v>0</v>
      </c>
      <c r="U57" s="79">
        <v>0</v>
      </c>
      <c r="V57" s="79">
        <v>143913</v>
      </c>
      <c r="W57" s="79">
        <v>0</v>
      </c>
      <c r="X57" s="79">
        <v>2188</v>
      </c>
      <c r="Y57" s="79">
        <v>375</v>
      </c>
      <c r="Z57" s="79">
        <v>130</v>
      </c>
      <c r="AA57" s="79">
        <v>0</v>
      </c>
      <c r="AB57" s="79">
        <v>0</v>
      </c>
      <c r="AC57" s="80">
        <v>142.19999999999999</v>
      </c>
      <c r="AD57" s="80">
        <v>94.800000000000011</v>
      </c>
      <c r="AE57" s="79">
        <v>0</v>
      </c>
      <c r="AF57" s="79">
        <v>0</v>
      </c>
      <c r="AG57" s="79">
        <v>0</v>
      </c>
      <c r="AH57" s="79">
        <v>0</v>
      </c>
      <c r="AI57" s="79">
        <v>0</v>
      </c>
      <c r="AJ57" s="79">
        <v>0</v>
      </c>
      <c r="AK57" s="79">
        <v>0</v>
      </c>
      <c r="AL57" s="79">
        <v>0</v>
      </c>
      <c r="AM57" s="79">
        <v>0</v>
      </c>
      <c r="AN57" s="79">
        <v>19</v>
      </c>
      <c r="AO57" s="79">
        <v>0</v>
      </c>
      <c r="AP57" s="80">
        <v>0</v>
      </c>
      <c r="AQ57" s="80">
        <v>0</v>
      </c>
      <c r="AR57" s="79">
        <v>0</v>
      </c>
      <c r="AS57" s="79">
        <v>0</v>
      </c>
      <c r="AT57" s="79">
        <v>2530</v>
      </c>
      <c r="AU57" s="79">
        <v>0</v>
      </c>
      <c r="AV57" s="79">
        <v>0</v>
      </c>
      <c r="AW57" s="79">
        <v>0</v>
      </c>
      <c r="AX57" s="79">
        <v>0</v>
      </c>
      <c r="AY57" s="79">
        <v>0</v>
      </c>
      <c r="AZ57" s="79">
        <v>0</v>
      </c>
      <c r="BA57" s="79">
        <v>0</v>
      </c>
      <c r="BB57" s="79">
        <v>0</v>
      </c>
      <c r="BC57" s="79">
        <v>0</v>
      </c>
      <c r="BD57" s="79">
        <v>0</v>
      </c>
      <c r="BE57" s="79">
        <v>0</v>
      </c>
      <c r="BF57" s="79">
        <v>0</v>
      </c>
      <c r="BG57" s="79">
        <v>0</v>
      </c>
      <c r="BH57" s="79">
        <v>0</v>
      </c>
      <c r="BI57" s="79">
        <v>0</v>
      </c>
      <c r="BJ57" s="79">
        <v>0</v>
      </c>
      <c r="BK57" s="79">
        <v>0</v>
      </c>
      <c r="BL57" s="79">
        <v>0</v>
      </c>
      <c r="BM57" s="79">
        <v>0</v>
      </c>
      <c r="BN57" s="79">
        <v>0</v>
      </c>
      <c r="BO57" s="79">
        <v>0</v>
      </c>
      <c r="BP57" s="79">
        <v>0</v>
      </c>
      <c r="BQ57" s="79">
        <v>0</v>
      </c>
      <c r="BR57" s="79">
        <v>0</v>
      </c>
      <c r="BS57" s="79">
        <v>0</v>
      </c>
      <c r="BT57" s="79">
        <v>0</v>
      </c>
      <c r="BU57" s="79">
        <v>151013</v>
      </c>
      <c r="BV57" s="79">
        <v>21337</v>
      </c>
      <c r="BX57" s="186">
        <v>237</v>
      </c>
      <c r="BY57" s="187">
        <v>0</v>
      </c>
    </row>
    <row r="58" spans="1:77" ht="8.25" customHeight="1" x14ac:dyDescent="0.15">
      <c r="A58" s="185">
        <v>19921</v>
      </c>
      <c r="B58" s="77" t="str">
        <f>IFERROR(INDEX(SCNtoISIC!$M:$M,MATCH($A58,SCNtoISIC!$J:$J,0)),0)</f>
        <v>ISIC 19</v>
      </c>
      <c r="C58" s="78" t="s">
        <v>402</v>
      </c>
      <c r="D58" s="79">
        <v>22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18002</v>
      </c>
      <c r="M58" s="79">
        <v>3976</v>
      </c>
      <c r="N58" s="79">
        <v>125</v>
      </c>
      <c r="O58" s="79">
        <v>0</v>
      </c>
      <c r="P58" s="79">
        <v>0</v>
      </c>
      <c r="Q58" s="79">
        <v>0</v>
      </c>
      <c r="R58" s="79">
        <v>168</v>
      </c>
      <c r="S58" s="79">
        <v>0</v>
      </c>
      <c r="T58" s="79">
        <v>0</v>
      </c>
      <c r="U58" s="79">
        <v>0</v>
      </c>
      <c r="V58" s="79">
        <v>0</v>
      </c>
      <c r="W58" s="79">
        <v>35848</v>
      </c>
      <c r="X58" s="79">
        <v>19</v>
      </c>
      <c r="Y58" s="79">
        <v>6</v>
      </c>
      <c r="Z58" s="79">
        <v>73</v>
      </c>
      <c r="AA58" s="79">
        <v>0</v>
      </c>
      <c r="AB58" s="79">
        <v>0</v>
      </c>
      <c r="AC58" s="80">
        <v>0</v>
      </c>
      <c r="AD58" s="80">
        <v>0</v>
      </c>
      <c r="AE58" s="79">
        <v>0</v>
      </c>
      <c r="AF58" s="79">
        <v>0</v>
      </c>
      <c r="AG58" s="79">
        <v>0</v>
      </c>
      <c r="AH58" s="79">
        <v>0</v>
      </c>
      <c r="AI58" s="79">
        <v>0</v>
      </c>
      <c r="AJ58" s="79">
        <v>0</v>
      </c>
      <c r="AK58" s="79">
        <v>0</v>
      </c>
      <c r="AL58" s="79">
        <v>0</v>
      </c>
      <c r="AM58" s="79">
        <v>0</v>
      </c>
      <c r="AN58" s="79">
        <v>0</v>
      </c>
      <c r="AO58" s="79">
        <v>0</v>
      </c>
      <c r="AP58" s="80">
        <v>0</v>
      </c>
      <c r="AQ58" s="80">
        <v>0</v>
      </c>
      <c r="AR58" s="79">
        <v>0</v>
      </c>
      <c r="AS58" s="79">
        <v>0</v>
      </c>
      <c r="AT58" s="79">
        <v>497</v>
      </c>
      <c r="AU58" s="79">
        <v>34</v>
      </c>
      <c r="AV58" s="79">
        <v>0</v>
      </c>
      <c r="AW58" s="79">
        <v>0</v>
      </c>
      <c r="AX58" s="79">
        <v>0</v>
      </c>
      <c r="AY58" s="79">
        <v>0</v>
      </c>
      <c r="AZ58" s="79">
        <v>0</v>
      </c>
      <c r="BA58" s="79">
        <v>0</v>
      </c>
      <c r="BB58" s="79">
        <v>0</v>
      </c>
      <c r="BC58" s="79">
        <v>0</v>
      </c>
      <c r="BD58" s="79">
        <v>0</v>
      </c>
      <c r="BE58" s="79">
        <v>0</v>
      </c>
      <c r="BF58" s="79">
        <v>0</v>
      </c>
      <c r="BG58" s="79">
        <v>0</v>
      </c>
      <c r="BH58" s="79">
        <v>0</v>
      </c>
      <c r="BI58" s="79">
        <v>0</v>
      </c>
      <c r="BJ58" s="79">
        <v>0</v>
      </c>
      <c r="BK58" s="79">
        <v>0</v>
      </c>
      <c r="BL58" s="79">
        <v>0</v>
      </c>
      <c r="BM58" s="79">
        <v>0</v>
      </c>
      <c r="BN58" s="79">
        <v>0</v>
      </c>
      <c r="BO58" s="79">
        <v>0</v>
      </c>
      <c r="BP58" s="79">
        <v>0</v>
      </c>
      <c r="BQ58" s="79">
        <v>0</v>
      </c>
      <c r="BR58" s="79">
        <v>0</v>
      </c>
      <c r="BS58" s="79">
        <v>0</v>
      </c>
      <c r="BT58" s="79">
        <v>0</v>
      </c>
      <c r="BU58" s="79">
        <v>58770</v>
      </c>
      <c r="BV58" s="79">
        <v>992</v>
      </c>
      <c r="BX58" s="186">
        <v>0</v>
      </c>
      <c r="BY58" s="187">
        <v>0</v>
      </c>
    </row>
    <row r="59" spans="1:77" ht="8.25" customHeight="1" x14ac:dyDescent="0.15">
      <c r="A59" s="185">
        <v>20911</v>
      </c>
      <c r="B59" s="77" t="str">
        <f>IFERROR(INDEX(SCNtoISIC!$M:$M,MATCH($A59,SCNtoISIC!$J:$J,0)),0)</f>
        <v>ISIC 20</v>
      </c>
      <c r="C59" s="78" t="s">
        <v>405</v>
      </c>
      <c r="D59" s="79">
        <v>0</v>
      </c>
      <c r="E59" s="79">
        <v>0</v>
      </c>
      <c r="F59" s="79">
        <v>0</v>
      </c>
      <c r="G59" s="79">
        <v>152</v>
      </c>
      <c r="H59" s="79">
        <v>0</v>
      </c>
      <c r="I59" s="79">
        <v>0</v>
      </c>
      <c r="J59" s="79">
        <v>37</v>
      </c>
      <c r="K59" s="79">
        <v>0</v>
      </c>
      <c r="L59" s="79">
        <v>0</v>
      </c>
      <c r="M59" s="79">
        <v>27</v>
      </c>
      <c r="N59" s="79">
        <v>0</v>
      </c>
      <c r="O59" s="79">
        <v>0</v>
      </c>
      <c r="P59" s="79">
        <v>0</v>
      </c>
      <c r="Q59" s="79">
        <v>0</v>
      </c>
      <c r="R59" s="79">
        <v>0</v>
      </c>
      <c r="S59" s="79">
        <v>0</v>
      </c>
      <c r="T59" s="79">
        <v>7</v>
      </c>
      <c r="U59" s="79">
        <v>0</v>
      </c>
      <c r="V59" s="79">
        <v>75</v>
      </c>
      <c r="W59" s="79">
        <v>0</v>
      </c>
      <c r="X59" s="79">
        <v>27882</v>
      </c>
      <c r="Y59" s="79">
        <v>905</v>
      </c>
      <c r="Z59" s="79">
        <v>205</v>
      </c>
      <c r="AA59" s="79">
        <v>23</v>
      </c>
      <c r="AB59" s="79">
        <v>47</v>
      </c>
      <c r="AC59" s="80">
        <v>135.6</v>
      </c>
      <c r="AD59" s="80">
        <v>90.4</v>
      </c>
      <c r="AE59" s="79">
        <v>28</v>
      </c>
      <c r="AF59" s="79">
        <v>1045</v>
      </c>
      <c r="AG59" s="79">
        <v>0</v>
      </c>
      <c r="AH59" s="79">
        <v>0</v>
      </c>
      <c r="AI59" s="79">
        <v>0</v>
      </c>
      <c r="AJ59" s="79">
        <v>0</v>
      </c>
      <c r="AK59" s="79">
        <v>0</v>
      </c>
      <c r="AL59" s="79">
        <v>0</v>
      </c>
      <c r="AM59" s="79">
        <v>0</v>
      </c>
      <c r="AN59" s="79">
        <v>65</v>
      </c>
      <c r="AO59" s="79">
        <v>0</v>
      </c>
      <c r="AP59" s="80">
        <v>0</v>
      </c>
      <c r="AQ59" s="80">
        <v>0</v>
      </c>
      <c r="AR59" s="79">
        <v>0</v>
      </c>
      <c r="AS59" s="79">
        <v>0</v>
      </c>
      <c r="AT59" s="79">
        <v>0</v>
      </c>
      <c r="AU59" s="79">
        <v>0</v>
      </c>
      <c r="AV59" s="79">
        <v>0</v>
      </c>
      <c r="AW59" s="79">
        <v>0</v>
      </c>
      <c r="AX59" s="79">
        <v>0</v>
      </c>
      <c r="AY59" s="79">
        <v>0</v>
      </c>
      <c r="AZ59" s="79">
        <v>0</v>
      </c>
      <c r="BA59" s="79">
        <v>0</v>
      </c>
      <c r="BB59" s="79">
        <v>0</v>
      </c>
      <c r="BC59" s="79">
        <v>0</v>
      </c>
      <c r="BD59" s="79">
        <v>0</v>
      </c>
      <c r="BE59" s="79">
        <v>0</v>
      </c>
      <c r="BF59" s="79">
        <v>0</v>
      </c>
      <c r="BG59" s="79">
        <v>0</v>
      </c>
      <c r="BH59" s="79">
        <v>0</v>
      </c>
      <c r="BI59" s="79">
        <v>0</v>
      </c>
      <c r="BJ59" s="79">
        <v>0</v>
      </c>
      <c r="BK59" s="79">
        <v>0</v>
      </c>
      <c r="BL59" s="79">
        <v>0</v>
      </c>
      <c r="BM59" s="79">
        <v>452</v>
      </c>
      <c r="BN59" s="79">
        <v>0</v>
      </c>
      <c r="BO59" s="79">
        <v>0</v>
      </c>
      <c r="BP59" s="79">
        <v>0</v>
      </c>
      <c r="BQ59" s="79">
        <v>0</v>
      </c>
      <c r="BR59" s="79">
        <v>0</v>
      </c>
      <c r="BS59" s="79">
        <v>0</v>
      </c>
      <c r="BT59" s="79">
        <v>0</v>
      </c>
      <c r="BU59" s="79">
        <v>31176</v>
      </c>
      <c r="BV59" s="79">
        <v>27322</v>
      </c>
      <c r="BX59" s="186">
        <v>226</v>
      </c>
      <c r="BY59" s="187">
        <v>0</v>
      </c>
    </row>
    <row r="60" spans="1:77" ht="8.25" customHeight="1" x14ac:dyDescent="0.15">
      <c r="A60" s="185">
        <v>20912</v>
      </c>
      <c r="B60" s="77" t="str">
        <f>IFERROR(INDEX(SCNtoISIC!$M:$M,MATCH($A60,SCNtoISIC!$J:$J,0)),0)</f>
        <v>ISIC 20</v>
      </c>
      <c r="C60" s="78" t="s">
        <v>408</v>
      </c>
      <c r="D60" s="79">
        <v>0</v>
      </c>
      <c r="E60" s="79">
        <v>0</v>
      </c>
      <c r="F60" s="79">
        <v>0</v>
      </c>
      <c r="G60" s="79">
        <v>103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222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  <c r="U60" s="79">
        <v>0</v>
      </c>
      <c r="V60" s="79">
        <v>0</v>
      </c>
      <c r="W60" s="79">
        <v>0</v>
      </c>
      <c r="X60" s="79">
        <v>37333</v>
      </c>
      <c r="Y60" s="79">
        <v>225</v>
      </c>
      <c r="Z60" s="79">
        <v>0</v>
      </c>
      <c r="AA60" s="79">
        <v>0</v>
      </c>
      <c r="AB60" s="79">
        <v>9</v>
      </c>
      <c r="AC60" s="80">
        <v>4.2</v>
      </c>
      <c r="AD60" s="80">
        <v>2.8000000000000003</v>
      </c>
      <c r="AE60" s="79">
        <v>0</v>
      </c>
      <c r="AF60" s="79">
        <v>0</v>
      </c>
      <c r="AG60" s="79">
        <v>0</v>
      </c>
      <c r="AH60" s="79">
        <v>0</v>
      </c>
      <c r="AI60" s="79">
        <v>0</v>
      </c>
      <c r="AJ60" s="79">
        <v>0</v>
      </c>
      <c r="AK60" s="79">
        <v>0</v>
      </c>
      <c r="AL60" s="79">
        <v>0</v>
      </c>
      <c r="AM60" s="79">
        <v>0</v>
      </c>
      <c r="AN60" s="79">
        <v>0</v>
      </c>
      <c r="AO60" s="79">
        <v>0</v>
      </c>
      <c r="AP60" s="80">
        <v>0</v>
      </c>
      <c r="AQ60" s="80">
        <v>0</v>
      </c>
      <c r="AR60" s="79">
        <v>0</v>
      </c>
      <c r="AS60" s="79">
        <v>0</v>
      </c>
      <c r="AT60" s="79">
        <v>404</v>
      </c>
      <c r="AU60" s="79">
        <v>0</v>
      </c>
      <c r="AV60" s="79">
        <v>0</v>
      </c>
      <c r="AW60" s="79">
        <v>0</v>
      </c>
      <c r="AX60" s="79">
        <v>0</v>
      </c>
      <c r="AY60" s="79">
        <v>0</v>
      </c>
      <c r="AZ60" s="79">
        <v>0</v>
      </c>
      <c r="BA60" s="79">
        <v>0</v>
      </c>
      <c r="BB60" s="79">
        <v>0</v>
      </c>
      <c r="BC60" s="79">
        <v>0</v>
      </c>
      <c r="BD60" s="79">
        <v>0</v>
      </c>
      <c r="BE60" s="79">
        <v>0</v>
      </c>
      <c r="BF60" s="79">
        <v>0</v>
      </c>
      <c r="BG60" s="79">
        <v>0</v>
      </c>
      <c r="BH60" s="79">
        <v>0</v>
      </c>
      <c r="BI60" s="79">
        <v>0</v>
      </c>
      <c r="BJ60" s="79">
        <v>0</v>
      </c>
      <c r="BK60" s="79">
        <v>0</v>
      </c>
      <c r="BL60" s="79">
        <v>0</v>
      </c>
      <c r="BM60" s="79">
        <v>0</v>
      </c>
      <c r="BN60" s="79">
        <v>0</v>
      </c>
      <c r="BO60" s="79">
        <v>0</v>
      </c>
      <c r="BP60" s="79">
        <v>0</v>
      </c>
      <c r="BQ60" s="79">
        <v>0</v>
      </c>
      <c r="BR60" s="79">
        <v>0</v>
      </c>
      <c r="BS60" s="79">
        <v>0</v>
      </c>
      <c r="BT60" s="79">
        <v>0</v>
      </c>
      <c r="BU60" s="79">
        <v>38303</v>
      </c>
      <c r="BV60" s="79">
        <v>3070</v>
      </c>
      <c r="BX60" s="186">
        <v>7</v>
      </c>
      <c r="BY60" s="187">
        <v>0</v>
      </c>
    </row>
    <row r="61" spans="1:77" ht="8.25" customHeight="1" x14ac:dyDescent="0.15">
      <c r="A61" s="185">
        <v>20913</v>
      </c>
      <c r="B61" s="77" t="str">
        <f>IFERROR(INDEX(SCNtoISIC!$M:$M,MATCH($A61,SCNtoISIC!$J:$J,0)),0)</f>
        <v>ISIC 20</v>
      </c>
      <c r="C61" s="78" t="s">
        <v>410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22</v>
      </c>
      <c r="M61" s="79">
        <v>884</v>
      </c>
      <c r="N61" s="79">
        <v>0</v>
      </c>
      <c r="O61" s="79">
        <v>0</v>
      </c>
      <c r="P61" s="79">
        <v>0</v>
      </c>
      <c r="Q61" s="79">
        <v>0</v>
      </c>
      <c r="R61" s="79">
        <v>8</v>
      </c>
      <c r="S61" s="79">
        <v>0</v>
      </c>
      <c r="T61" s="79">
        <v>0</v>
      </c>
      <c r="U61" s="79">
        <v>0</v>
      </c>
      <c r="V61" s="79">
        <v>47</v>
      </c>
      <c r="W61" s="79">
        <v>13</v>
      </c>
      <c r="X61" s="79">
        <v>36565</v>
      </c>
      <c r="Y61" s="79">
        <v>1855</v>
      </c>
      <c r="Z61" s="79">
        <v>467</v>
      </c>
      <c r="AA61" s="79">
        <v>245</v>
      </c>
      <c r="AB61" s="79">
        <v>58</v>
      </c>
      <c r="AC61" s="80">
        <v>24</v>
      </c>
      <c r="AD61" s="80">
        <v>16</v>
      </c>
      <c r="AE61" s="79">
        <v>66</v>
      </c>
      <c r="AF61" s="79">
        <v>0</v>
      </c>
      <c r="AG61" s="79">
        <v>0</v>
      </c>
      <c r="AH61" s="79">
        <v>0</v>
      </c>
      <c r="AI61" s="79">
        <v>0</v>
      </c>
      <c r="AJ61" s="79">
        <v>11</v>
      </c>
      <c r="AK61" s="79">
        <v>0</v>
      </c>
      <c r="AL61" s="79">
        <v>0</v>
      </c>
      <c r="AM61" s="79">
        <v>0</v>
      </c>
      <c r="AN61" s="79">
        <v>11</v>
      </c>
      <c r="AO61" s="79">
        <v>0</v>
      </c>
      <c r="AP61" s="80">
        <v>0</v>
      </c>
      <c r="AQ61" s="80">
        <v>0</v>
      </c>
      <c r="AR61" s="79">
        <v>0</v>
      </c>
      <c r="AS61" s="79">
        <v>0</v>
      </c>
      <c r="AT61" s="79">
        <v>0</v>
      </c>
      <c r="AU61" s="79">
        <v>0</v>
      </c>
      <c r="AV61" s="79">
        <v>0</v>
      </c>
      <c r="AW61" s="79">
        <v>0</v>
      </c>
      <c r="AX61" s="79">
        <v>0</v>
      </c>
      <c r="AY61" s="79">
        <v>0</v>
      </c>
      <c r="AZ61" s="79">
        <v>0</v>
      </c>
      <c r="BA61" s="79">
        <v>0</v>
      </c>
      <c r="BB61" s="79">
        <v>0</v>
      </c>
      <c r="BC61" s="79">
        <v>0</v>
      </c>
      <c r="BD61" s="79">
        <v>0</v>
      </c>
      <c r="BE61" s="79">
        <v>0</v>
      </c>
      <c r="BF61" s="79">
        <v>0</v>
      </c>
      <c r="BG61" s="79">
        <v>0</v>
      </c>
      <c r="BH61" s="79">
        <v>0</v>
      </c>
      <c r="BI61" s="79">
        <v>0</v>
      </c>
      <c r="BJ61" s="79">
        <v>0</v>
      </c>
      <c r="BK61" s="79">
        <v>0</v>
      </c>
      <c r="BL61" s="79">
        <v>0</v>
      </c>
      <c r="BM61" s="79">
        <v>0</v>
      </c>
      <c r="BN61" s="79">
        <v>0</v>
      </c>
      <c r="BO61" s="79">
        <v>0</v>
      </c>
      <c r="BP61" s="79">
        <v>0</v>
      </c>
      <c r="BQ61" s="79">
        <v>0</v>
      </c>
      <c r="BR61" s="79">
        <v>0</v>
      </c>
      <c r="BS61" s="79">
        <v>0</v>
      </c>
      <c r="BT61" s="79">
        <v>0</v>
      </c>
      <c r="BU61" s="79">
        <v>40292</v>
      </c>
      <c r="BV61" s="79">
        <v>26130</v>
      </c>
      <c r="BX61" s="186">
        <v>40</v>
      </c>
      <c r="BY61" s="187">
        <v>0</v>
      </c>
    </row>
    <row r="62" spans="1:77" ht="8.25" customHeight="1" x14ac:dyDescent="0.15">
      <c r="A62" s="188">
        <v>20914</v>
      </c>
      <c r="B62" s="77" t="str">
        <f>IFERROR(INDEX(SCNtoISIC!$M:$M,MATCH($A62,SCNtoISIC!$J:$J,0)),0)</f>
        <v>ISIC 20</v>
      </c>
      <c r="C62" s="81" t="s">
        <v>616</v>
      </c>
      <c r="D62" s="82">
        <v>0</v>
      </c>
      <c r="E62" s="82">
        <v>0</v>
      </c>
      <c r="F62" s="82">
        <v>0</v>
      </c>
      <c r="G62" s="82">
        <v>7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2">
        <v>0</v>
      </c>
      <c r="P62" s="82">
        <v>548</v>
      </c>
      <c r="Q62" s="82">
        <v>0</v>
      </c>
      <c r="R62" s="82">
        <v>31</v>
      </c>
      <c r="S62" s="82">
        <v>0</v>
      </c>
      <c r="T62" s="82">
        <v>0</v>
      </c>
      <c r="U62" s="82">
        <v>0</v>
      </c>
      <c r="V62" s="82">
        <v>0</v>
      </c>
      <c r="W62" s="82">
        <v>0</v>
      </c>
      <c r="X62" s="82">
        <v>31459</v>
      </c>
      <c r="Y62" s="82">
        <v>2205</v>
      </c>
      <c r="Z62" s="82">
        <v>81</v>
      </c>
      <c r="AA62" s="82">
        <v>29</v>
      </c>
      <c r="AB62" s="82">
        <v>577</v>
      </c>
      <c r="AC62" s="80">
        <v>33</v>
      </c>
      <c r="AD62" s="80">
        <v>22</v>
      </c>
      <c r="AE62" s="82">
        <v>0</v>
      </c>
      <c r="AF62" s="82">
        <v>0</v>
      </c>
      <c r="AG62" s="82">
        <v>19</v>
      </c>
      <c r="AH62" s="82">
        <v>0</v>
      </c>
      <c r="AI62" s="82">
        <v>45</v>
      </c>
      <c r="AJ62" s="82">
        <v>27</v>
      </c>
      <c r="AK62" s="82">
        <v>0</v>
      </c>
      <c r="AL62" s="82">
        <v>9</v>
      </c>
      <c r="AM62" s="82">
        <v>0</v>
      </c>
      <c r="AN62" s="82">
        <v>79</v>
      </c>
      <c r="AO62" s="82">
        <v>14</v>
      </c>
      <c r="AP62" s="80">
        <v>0</v>
      </c>
      <c r="AQ62" s="80">
        <v>0</v>
      </c>
      <c r="AR62" s="82">
        <v>0</v>
      </c>
      <c r="AS62" s="82">
        <v>0</v>
      </c>
      <c r="AT62" s="82">
        <v>0</v>
      </c>
      <c r="AU62" s="82">
        <v>0</v>
      </c>
      <c r="AV62" s="82">
        <v>0</v>
      </c>
      <c r="AW62" s="82">
        <v>0</v>
      </c>
      <c r="AX62" s="82">
        <v>0</v>
      </c>
      <c r="AY62" s="82">
        <v>0</v>
      </c>
      <c r="AZ62" s="82">
        <v>0</v>
      </c>
      <c r="BA62" s="82">
        <v>0</v>
      </c>
      <c r="BB62" s="82">
        <v>0</v>
      </c>
      <c r="BC62" s="82">
        <v>0</v>
      </c>
      <c r="BD62" s="82">
        <v>0</v>
      </c>
      <c r="BE62" s="82">
        <v>0</v>
      </c>
      <c r="BF62" s="82">
        <v>0</v>
      </c>
      <c r="BG62" s="82">
        <v>0</v>
      </c>
      <c r="BH62" s="82">
        <v>0</v>
      </c>
      <c r="BI62" s="82">
        <v>0</v>
      </c>
      <c r="BJ62" s="82">
        <v>0</v>
      </c>
      <c r="BK62" s="82">
        <v>0</v>
      </c>
      <c r="BL62" s="82">
        <v>0</v>
      </c>
      <c r="BM62" s="82">
        <v>0</v>
      </c>
      <c r="BN62" s="82">
        <v>0</v>
      </c>
      <c r="BO62" s="82">
        <v>0</v>
      </c>
      <c r="BP62" s="82">
        <v>0</v>
      </c>
      <c r="BQ62" s="82">
        <v>0</v>
      </c>
      <c r="BR62" s="82">
        <v>0</v>
      </c>
      <c r="BS62" s="82">
        <v>0</v>
      </c>
      <c r="BT62" s="82">
        <v>0</v>
      </c>
      <c r="BU62" s="82">
        <v>35185</v>
      </c>
      <c r="BV62" s="82">
        <v>18793</v>
      </c>
      <c r="BX62" s="189">
        <v>55</v>
      </c>
      <c r="BY62" s="190">
        <v>0</v>
      </c>
    </row>
    <row r="63" spans="1:77" ht="8.25" customHeight="1" x14ac:dyDescent="0.15">
      <c r="A63" s="188">
        <v>20921</v>
      </c>
      <c r="B63" s="77" t="str">
        <f>IFERROR(INDEX(SCNtoISIC!$M:$M,MATCH($A63,SCNtoISIC!$J:$J,0)),0)</f>
        <v>ISIC 20</v>
      </c>
      <c r="C63" s="81" t="s">
        <v>414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227</v>
      </c>
      <c r="Y63" s="82">
        <v>28259</v>
      </c>
      <c r="Z63" s="82">
        <v>960</v>
      </c>
      <c r="AA63" s="82">
        <v>424</v>
      </c>
      <c r="AB63" s="82">
        <v>0</v>
      </c>
      <c r="AC63" s="80">
        <v>0</v>
      </c>
      <c r="AD63" s="80">
        <v>0</v>
      </c>
      <c r="AE63" s="82">
        <v>0</v>
      </c>
      <c r="AF63" s="82">
        <v>0</v>
      </c>
      <c r="AG63" s="82">
        <v>0</v>
      </c>
      <c r="AH63" s="82">
        <v>0</v>
      </c>
      <c r="AI63" s="82">
        <v>0</v>
      </c>
      <c r="AJ63" s="82">
        <v>7</v>
      </c>
      <c r="AK63" s="82">
        <v>0</v>
      </c>
      <c r="AL63" s="82">
        <v>0</v>
      </c>
      <c r="AM63" s="82">
        <v>0</v>
      </c>
      <c r="AN63" s="82">
        <v>0</v>
      </c>
      <c r="AO63" s="82">
        <v>0</v>
      </c>
      <c r="AP63" s="80">
        <v>0</v>
      </c>
      <c r="AQ63" s="80">
        <v>0</v>
      </c>
      <c r="AR63" s="82">
        <v>0</v>
      </c>
      <c r="AS63" s="82">
        <v>0</v>
      </c>
      <c r="AT63" s="82">
        <v>0</v>
      </c>
      <c r="AU63" s="82">
        <v>0</v>
      </c>
      <c r="AV63" s="82">
        <v>0</v>
      </c>
      <c r="AW63" s="82">
        <v>0</v>
      </c>
      <c r="AX63" s="82">
        <v>0</v>
      </c>
      <c r="AY63" s="82">
        <v>0</v>
      </c>
      <c r="AZ63" s="82">
        <v>0</v>
      </c>
      <c r="BA63" s="82">
        <v>0</v>
      </c>
      <c r="BB63" s="82">
        <v>0</v>
      </c>
      <c r="BC63" s="82">
        <v>0</v>
      </c>
      <c r="BD63" s="82">
        <v>0</v>
      </c>
      <c r="BE63" s="82">
        <v>0</v>
      </c>
      <c r="BF63" s="82">
        <v>0</v>
      </c>
      <c r="BG63" s="82">
        <v>0</v>
      </c>
      <c r="BH63" s="82">
        <v>0</v>
      </c>
      <c r="BI63" s="82">
        <v>0</v>
      </c>
      <c r="BJ63" s="82">
        <v>0</v>
      </c>
      <c r="BK63" s="82">
        <v>0</v>
      </c>
      <c r="BL63" s="82">
        <v>0</v>
      </c>
      <c r="BM63" s="82">
        <v>0</v>
      </c>
      <c r="BN63" s="82">
        <v>0</v>
      </c>
      <c r="BO63" s="82">
        <v>0</v>
      </c>
      <c r="BP63" s="82">
        <v>0</v>
      </c>
      <c r="BQ63" s="82">
        <v>0</v>
      </c>
      <c r="BR63" s="82">
        <v>0</v>
      </c>
      <c r="BS63" s="82">
        <v>0</v>
      </c>
      <c r="BT63" s="82">
        <v>0</v>
      </c>
      <c r="BU63" s="82">
        <v>29877</v>
      </c>
      <c r="BV63" s="82">
        <v>16040</v>
      </c>
      <c r="BX63" s="189">
        <v>0</v>
      </c>
      <c r="BY63" s="190">
        <v>0</v>
      </c>
    </row>
    <row r="64" spans="1:77" ht="8.25" customHeight="1" x14ac:dyDescent="0.15">
      <c r="A64" s="188">
        <v>20922</v>
      </c>
      <c r="B64" s="77" t="str">
        <f>IFERROR(INDEX(SCNtoISIC!$M:$M,MATCH($A64,SCNtoISIC!$J:$J,0)),0)</f>
        <v>ISIC 20</v>
      </c>
      <c r="C64" s="81" t="s">
        <v>417</v>
      </c>
      <c r="D64" s="82">
        <v>0</v>
      </c>
      <c r="E64" s="82">
        <v>0</v>
      </c>
      <c r="F64" s="82">
        <v>0</v>
      </c>
      <c r="G64" s="82">
        <v>44</v>
      </c>
      <c r="H64" s="82">
        <v>0</v>
      </c>
      <c r="I64" s="82">
        <v>0</v>
      </c>
      <c r="J64" s="82">
        <v>140</v>
      </c>
      <c r="K64" s="82">
        <v>31</v>
      </c>
      <c r="L64" s="82">
        <v>0</v>
      </c>
      <c r="M64" s="82">
        <v>1290</v>
      </c>
      <c r="N64" s="82">
        <v>18</v>
      </c>
      <c r="O64" s="82">
        <v>0</v>
      </c>
      <c r="P64" s="82">
        <v>90</v>
      </c>
      <c r="Q64" s="82">
        <v>0</v>
      </c>
      <c r="R64" s="82">
        <v>73</v>
      </c>
      <c r="S64" s="82">
        <v>0</v>
      </c>
      <c r="T64" s="82">
        <v>8</v>
      </c>
      <c r="U64" s="82">
        <v>0</v>
      </c>
      <c r="V64" s="82">
        <v>231</v>
      </c>
      <c r="W64" s="82">
        <v>0</v>
      </c>
      <c r="X64" s="82">
        <v>2384</v>
      </c>
      <c r="Y64" s="82">
        <v>19583</v>
      </c>
      <c r="Z64" s="82">
        <v>248</v>
      </c>
      <c r="AA64" s="82">
        <v>59</v>
      </c>
      <c r="AB64" s="82">
        <v>129</v>
      </c>
      <c r="AC64" s="80">
        <v>179.4</v>
      </c>
      <c r="AD64" s="80">
        <v>119.60000000000001</v>
      </c>
      <c r="AE64" s="82">
        <v>43</v>
      </c>
      <c r="AF64" s="82">
        <v>28</v>
      </c>
      <c r="AG64" s="82">
        <v>7</v>
      </c>
      <c r="AH64" s="82">
        <v>18</v>
      </c>
      <c r="AI64" s="82">
        <v>48</v>
      </c>
      <c r="AJ64" s="82">
        <v>11</v>
      </c>
      <c r="AK64" s="82">
        <v>0</v>
      </c>
      <c r="AL64" s="82">
        <v>35</v>
      </c>
      <c r="AM64" s="82">
        <v>0</v>
      </c>
      <c r="AN64" s="82">
        <v>121</v>
      </c>
      <c r="AO64" s="82">
        <v>22</v>
      </c>
      <c r="AP64" s="80">
        <v>0</v>
      </c>
      <c r="AQ64" s="80">
        <v>0</v>
      </c>
      <c r="AR64" s="82">
        <v>0</v>
      </c>
      <c r="AS64" s="82">
        <v>0</v>
      </c>
      <c r="AT64" s="82">
        <v>0</v>
      </c>
      <c r="AU64" s="82">
        <v>0</v>
      </c>
      <c r="AV64" s="82">
        <v>0</v>
      </c>
      <c r="AW64" s="82">
        <v>0</v>
      </c>
      <c r="AX64" s="82">
        <v>0</v>
      </c>
      <c r="AY64" s="82">
        <v>0</v>
      </c>
      <c r="AZ64" s="82">
        <v>0</v>
      </c>
      <c r="BA64" s="82">
        <v>0</v>
      </c>
      <c r="BB64" s="82">
        <v>0</v>
      </c>
      <c r="BC64" s="82">
        <v>0</v>
      </c>
      <c r="BD64" s="82">
        <v>0</v>
      </c>
      <c r="BE64" s="82">
        <v>0</v>
      </c>
      <c r="BF64" s="82">
        <v>0</v>
      </c>
      <c r="BG64" s="82">
        <v>0</v>
      </c>
      <c r="BH64" s="82">
        <v>0</v>
      </c>
      <c r="BI64" s="82">
        <v>0</v>
      </c>
      <c r="BJ64" s="82">
        <v>0</v>
      </c>
      <c r="BK64" s="82">
        <v>0</v>
      </c>
      <c r="BL64" s="82">
        <v>0</v>
      </c>
      <c r="BM64" s="82">
        <v>13</v>
      </c>
      <c r="BN64" s="82">
        <v>0</v>
      </c>
      <c r="BO64" s="82">
        <v>0</v>
      </c>
      <c r="BP64" s="82">
        <v>0</v>
      </c>
      <c r="BQ64" s="82">
        <v>0</v>
      </c>
      <c r="BR64" s="82">
        <v>0</v>
      </c>
      <c r="BS64" s="82">
        <v>0</v>
      </c>
      <c r="BT64" s="82">
        <v>0</v>
      </c>
      <c r="BU64" s="82">
        <v>24973</v>
      </c>
      <c r="BV64" s="82">
        <v>8142</v>
      </c>
      <c r="BX64" s="189">
        <v>299</v>
      </c>
      <c r="BY64" s="190">
        <v>0</v>
      </c>
    </row>
    <row r="65" spans="1:77" ht="8.25" customHeight="1" x14ac:dyDescent="0.15">
      <c r="A65" s="188">
        <v>20923</v>
      </c>
      <c r="B65" s="77" t="str">
        <f>IFERROR(INDEX(SCNtoISIC!$M:$M,MATCH($A65,SCNtoISIC!$J:$J,0)),0)</f>
        <v>ISIC 20</v>
      </c>
      <c r="C65" s="81" t="s">
        <v>418</v>
      </c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2">
        <v>0</v>
      </c>
      <c r="P65" s="82">
        <v>0</v>
      </c>
      <c r="Q65" s="82">
        <v>0</v>
      </c>
      <c r="R65" s="82">
        <v>0</v>
      </c>
      <c r="S65" s="82">
        <v>0</v>
      </c>
      <c r="T65" s="82">
        <v>0</v>
      </c>
      <c r="U65" s="82">
        <v>13</v>
      </c>
      <c r="V65" s="82">
        <v>7</v>
      </c>
      <c r="W65" s="82">
        <v>0</v>
      </c>
      <c r="X65" s="82">
        <v>257</v>
      </c>
      <c r="Y65" s="82">
        <v>16831</v>
      </c>
      <c r="Z65" s="82">
        <v>75</v>
      </c>
      <c r="AA65" s="82">
        <v>0</v>
      </c>
      <c r="AB65" s="82">
        <v>7</v>
      </c>
      <c r="AC65" s="80">
        <v>137.4</v>
      </c>
      <c r="AD65" s="80">
        <v>91.600000000000009</v>
      </c>
      <c r="AE65" s="82">
        <v>0</v>
      </c>
      <c r="AF65" s="82">
        <v>0</v>
      </c>
      <c r="AG65" s="82">
        <v>0</v>
      </c>
      <c r="AH65" s="82">
        <v>0</v>
      </c>
      <c r="AI65" s="82">
        <v>0</v>
      </c>
      <c r="AJ65" s="82">
        <v>0</v>
      </c>
      <c r="AK65" s="82">
        <v>0</v>
      </c>
      <c r="AL65" s="82">
        <v>0</v>
      </c>
      <c r="AM65" s="82">
        <v>0</v>
      </c>
      <c r="AN65" s="82">
        <v>56</v>
      </c>
      <c r="AO65" s="82">
        <v>0</v>
      </c>
      <c r="AP65" s="80">
        <v>0</v>
      </c>
      <c r="AQ65" s="80">
        <v>0</v>
      </c>
      <c r="AR65" s="82">
        <v>0</v>
      </c>
      <c r="AS65" s="82">
        <v>0</v>
      </c>
      <c r="AT65" s="82">
        <v>17</v>
      </c>
      <c r="AU65" s="82">
        <v>0</v>
      </c>
      <c r="AV65" s="82">
        <v>0</v>
      </c>
      <c r="AW65" s="82">
        <v>0</v>
      </c>
      <c r="AX65" s="82">
        <v>0</v>
      </c>
      <c r="AY65" s="82">
        <v>0</v>
      </c>
      <c r="AZ65" s="82">
        <v>0</v>
      </c>
      <c r="BA65" s="82">
        <v>0</v>
      </c>
      <c r="BB65" s="82">
        <v>0</v>
      </c>
      <c r="BC65" s="82">
        <v>0</v>
      </c>
      <c r="BD65" s="82">
        <v>0</v>
      </c>
      <c r="BE65" s="82">
        <v>0</v>
      </c>
      <c r="BF65" s="82">
        <v>0</v>
      </c>
      <c r="BG65" s="82">
        <v>0</v>
      </c>
      <c r="BH65" s="82">
        <v>0</v>
      </c>
      <c r="BI65" s="82">
        <v>0</v>
      </c>
      <c r="BJ65" s="82">
        <v>0</v>
      </c>
      <c r="BK65" s="82">
        <v>0</v>
      </c>
      <c r="BL65" s="82">
        <v>0</v>
      </c>
      <c r="BM65" s="82">
        <v>0</v>
      </c>
      <c r="BN65" s="82">
        <v>0</v>
      </c>
      <c r="BO65" s="82">
        <v>0</v>
      </c>
      <c r="BP65" s="82">
        <v>0</v>
      </c>
      <c r="BQ65" s="82">
        <v>0</v>
      </c>
      <c r="BR65" s="82">
        <v>0</v>
      </c>
      <c r="BS65" s="82">
        <v>0</v>
      </c>
      <c r="BT65" s="82">
        <v>0</v>
      </c>
      <c r="BU65" s="82">
        <v>17492</v>
      </c>
      <c r="BV65" s="82">
        <v>1504</v>
      </c>
      <c r="BX65" s="189">
        <v>229</v>
      </c>
      <c r="BY65" s="190">
        <v>0</v>
      </c>
    </row>
    <row r="66" spans="1:77" ht="8.25" customHeight="1" x14ac:dyDescent="0.15">
      <c r="A66" s="188">
        <v>20931</v>
      </c>
      <c r="B66" s="77" t="str">
        <f>IFERROR(INDEX(SCNtoISIC!$M:$M,MATCH($A66,SCNtoISIC!$J:$J,0)),0)</f>
        <v>ISIC 20</v>
      </c>
      <c r="C66" s="81" t="s">
        <v>419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>
        <v>0</v>
      </c>
      <c r="L66" s="82">
        <v>0</v>
      </c>
      <c r="M66" s="82">
        <v>85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54</v>
      </c>
      <c r="U66" s="82">
        <v>0</v>
      </c>
      <c r="V66" s="82">
        <v>6</v>
      </c>
      <c r="W66" s="82">
        <v>48</v>
      </c>
      <c r="X66" s="82">
        <v>806</v>
      </c>
      <c r="Y66" s="82">
        <v>454</v>
      </c>
      <c r="Z66" s="82">
        <v>35161</v>
      </c>
      <c r="AA66" s="82">
        <v>466</v>
      </c>
      <c r="AB66" s="82">
        <v>0</v>
      </c>
      <c r="AC66" s="80">
        <v>11.4</v>
      </c>
      <c r="AD66" s="80">
        <v>7.6000000000000005</v>
      </c>
      <c r="AE66" s="82">
        <v>0</v>
      </c>
      <c r="AF66" s="82">
        <v>0</v>
      </c>
      <c r="AG66" s="82">
        <v>27</v>
      </c>
      <c r="AH66" s="82">
        <v>0</v>
      </c>
      <c r="AI66" s="82">
        <v>0</v>
      </c>
      <c r="AJ66" s="82">
        <v>12</v>
      </c>
      <c r="AK66" s="82">
        <v>0</v>
      </c>
      <c r="AL66" s="82">
        <v>0</v>
      </c>
      <c r="AM66" s="82">
        <v>0</v>
      </c>
      <c r="AN66" s="82">
        <v>84</v>
      </c>
      <c r="AO66" s="82">
        <v>0</v>
      </c>
      <c r="AP66" s="80">
        <v>0</v>
      </c>
      <c r="AQ66" s="80">
        <v>0</v>
      </c>
      <c r="AR66" s="82">
        <v>0</v>
      </c>
      <c r="AS66" s="82">
        <v>0</v>
      </c>
      <c r="AT66" s="82">
        <v>22</v>
      </c>
      <c r="AU66" s="82">
        <v>0</v>
      </c>
      <c r="AV66" s="82">
        <v>0</v>
      </c>
      <c r="AW66" s="82">
        <v>0</v>
      </c>
      <c r="AX66" s="82">
        <v>0</v>
      </c>
      <c r="AY66" s="82">
        <v>0</v>
      </c>
      <c r="AZ66" s="82">
        <v>0</v>
      </c>
      <c r="BA66" s="82">
        <v>0</v>
      </c>
      <c r="BB66" s="82">
        <v>0</v>
      </c>
      <c r="BC66" s="82">
        <v>0</v>
      </c>
      <c r="BD66" s="82">
        <v>0</v>
      </c>
      <c r="BE66" s="82">
        <v>0</v>
      </c>
      <c r="BF66" s="82">
        <v>0</v>
      </c>
      <c r="BG66" s="82">
        <v>0</v>
      </c>
      <c r="BH66" s="82">
        <v>0</v>
      </c>
      <c r="BI66" s="82">
        <v>0</v>
      </c>
      <c r="BJ66" s="82">
        <v>0</v>
      </c>
      <c r="BK66" s="82">
        <v>0</v>
      </c>
      <c r="BL66" s="82">
        <v>0</v>
      </c>
      <c r="BM66" s="82">
        <v>0</v>
      </c>
      <c r="BN66" s="82">
        <v>0</v>
      </c>
      <c r="BO66" s="82">
        <v>0</v>
      </c>
      <c r="BP66" s="82">
        <v>0</v>
      </c>
      <c r="BQ66" s="82">
        <v>0</v>
      </c>
      <c r="BR66" s="82">
        <v>0</v>
      </c>
      <c r="BS66" s="82">
        <v>0</v>
      </c>
      <c r="BT66" s="82">
        <v>0</v>
      </c>
      <c r="BU66" s="82">
        <v>37244</v>
      </c>
      <c r="BV66" s="82">
        <v>11838</v>
      </c>
      <c r="BX66" s="189">
        <v>19</v>
      </c>
      <c r="BY66" s="190">
        <v>0</v>
      </c>
    </row>
    <row r="67" spans="1:77" ht="8.25" customHeight="1" x14ac:dyDescent="0.15">
      <c r="A67" s="185">
        <v>21001</v>
      </c>
      <c r="B67" s="77" t="str">
        <f>IFERROR(INDEX(SCNtoISIC!$M:$M,MATCH($A67,SCNtoISIC!$J:$J,0)),0)</f>
        <v>ISIC 21</v>
      </c>
      <c r="C67" s="78" t="s">
        <v>421</v>
      </c>
      <c r="D67" s="79">
        <v>0</v>
      </c>
      <c r="E67" s="79">
        <v>0</v>
      </c>
      <c r="F67" s="79">
        <v>0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>
        <v>0</v>
      </c>
      <c r="M67" s="79">
        <v>158</v>
      </c>
      <c r="N67" s="79">
        <v>0</v>
      </c>
      <c r="O67" s="79">
        <v>0</v>
      </c>
      <c r="P67" s="79">
        <v>1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164</v>
      </c>
      <c r="Y67" s="79">
        <v>71</v>
      </c>
      <c r="Z67" s="79">
        <v>100</v>
      </c>
      <c r="AA67" s="79">
        <v>54528</v>
      </c>
      <c r="AB67" s="79">
        <v>15</v>
      </c>
      <c r="AC67" s="80">
        <v>42</v>
      </c>
      <c r="AD67" s="80">
        <v>28</v>
      </c>
      <c r="AE67" s="79">
        <v>0</v>
      </c>
      <c r="AF67" s="79">
        <v>0</v>
      </c>
      <c r="AG67" s="79">
        <v>0</v>
      </c>
      <c r="AH67" s="79">
        <v>11</v>
      </c>
      <c r="AI67" s="79">
        <v>0</v>
      </c>
      <c r="AJ67" s="79">
        <v>0</v>
      </c>
      <c r="AK67" s="79">
        <v>0</v>
      </c>
      <c r="AL67" s="79">
        <v>0</v>
      </c>
      <c r="AM67" s="79">
        <v>0</v>
      </c>
      <c r="AN67" s="79">
        <v>251</v>
      </c>
      <c r="AO67" s="79">
        <v>0</v>
      </c>
      <c r="AP67" s="80">
        <v>0</v>
      </c>
      <c r="AQ67" s="80">
        <v>0</v>
      </c>
      <c r="AR67" s="79">
        <v>0</v>
      </c>
      <c r="AS67" s="79">
        <v>0</v>
      </c>
      <c r="AT67" s="79">
        <v>6559</v>
      </c>
      <c r="AU67" s="79">
        <v>0</v>
      </c>
      <c r="AV67" s="79">
        <v>0</v>
      </c>
      <c r="AW67" s="79">
        <v>0</v>
      </c>
      <c r="AX67" s="79">
        <v>0</v>
      </c>
      <c r="AY67" s="79">
        <v>0</v>
      </c>
      <c r="AZ67" s="79">
        <v>0</v>
      </c>
      <c r="BA67" s="79">
        <v>0</v>
      </c>
      <c r="BB67" s="79">
        <v>0</v>
      </c>
      <c r="BC67" s="79">
        <v>0</v>
      </c>
      <c r="BD67" s="79">
        <v>0</v>
      </c>
      <c r="BE67" s="79">
        <v>0</v>
      </c>
      <c r="BF67" s="79">
        <v>0</v>
      </c>
      <c r="BG67" s="79">
        <v>0</v>
      </c>
      <c r="BH67" s="79">
        <v>0</v>
      </c>
      <c r="BI67" s="79">
        <v>0</v>
      </c>
      <c r="BJ67" s="79">
        <v>0</v>
      </c>
      <c r="BK67" s="79">
        <v>0</v>
      </c>
      <c r="BL67" s="79">
        <v>0</v>
      </c>
      <c r="BM67" s="79">
        <v>246</v>
      </c>
      <c r="BN67" s="79">
        <v>0</v>
      </c>
      <c r="BO67" s="79">
        <v>0</v>
      </c>
      <c r="BP67" s="79">
        <v>0</v>
      </c>
      <c r="BQ67" s="79">
        <v>0</v>
      </c>
      <c r="BR67" s="79">
        <v>0</v>
      </c>
      <c r="BS67" s="79">
        <v>0</v>
      </c>
      <c r="BT67" s="79">
        <v>0</v>
      </c>
      <c r="BU67" s="79">
        <v>62174</v>
      </c>
      <c r="BV67" s="79">
        <v>27872</v>
      </c>
      <c r="BX67" s="186">
        <v>70</v>
      </c>
      <c r="BY67" s="187">
        <v>0</v>
      </c>
    </row>
    <row r="68" spans="1:77" ht="8.25" customHeight="1" x14ac:dyDescent="0.15">
      <c r="A68" s="185">
        <v>22001</v>
      </c>
      <c r="B68" s="77" t="str">
        <f>IFERROR(INDEX(SCNtoISIC!$M:$M,MATCH($A68,SCNtoISIC!$J:$J,0)),0)</f>
        <v>ISIC 22</v>
      </c>
      <c r="C68" s="78" t="s">
        <v>423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11</v>
      </c>
      <c r="L68" s="79">
        <v>0</v>
      </c>
      <c r="M68" s="79">
        <v>0</v>
      </c>
      <c r="N68" s="79">
        <v>0</v>
      </c>
      <c r="O68" s="79">
        <v>0</v>
      </c>
      <c r="P68" s="79">
        <v>20</v>
      </c>
      <c r="Q68" s="79">
        <v>0</v>
      </c>
      <c r="R68" s="79">
        <v>51</v>
      </c>
      <c r="S68" s="79">
        <v>0</v>
      </c>
      <c r="T68" s="79">
        <v>0</v>
      </c>
      <c r="U68" s="79">
        <v>0</v>
      </c>
      <c r="V68" s="79">
        <v>0</v>
      </c>
      <c r="W68" s="79">
        <v>0</v>
      </c>
      <c r="X68" s="79">
        <v>9</v>
      </c>
      <c r="Y68" s="79">
        <v>112</v>
      </c>
      <c r="Z68" s="79">
        <v>0</v>
      </c>
      <c r="AA68" s="79">
        <v>6</v>
      </c>
      <c r="AB68" s="79">
        <v>23679</v>
      </c>
      <c r="AC68" s="80">
        <v>0</v>
      </c>
      <c r="AD68" s="80">
        <v>0</v>
      </c>
      <c r="AE68" s="79">
        <v>9</v>
      </c>
      <c r="AF68" s="79">
        <v>0</v>
      </c>
      <c r="AG68" s="79">
        <v>9</v>
      </c>
      <c r="AH68" s="79">
        <v>0</v>
      </c>
      <c r="AI68" s="79">
        <v>6</v>
      </c>
      <c r="AJ68" s="79">
        <v>155</v>
      </c>
      <c r="AK68" s="79">
        <v>0</v>
      </c>
      <c r="AL68" s="79">
        <v>238</v>
      </c>
      <c r="AM68" s="79">
        <v>0</v>
      </c>
      <c r="AN68" s="79">
        <v>36</v>
      </c>
      <c r="AO68" s="79">
        <v>29</v>
      </c>
      <c r="AP68" s="80">
        <v>0</v>
      </c>
      <c r="AQ68" s="80">
        <v>0</v>
      </c>
      <c r="AR68" s="79">
        <v>0</v>
      </c>
      <c r="AS68" s="79">
        <v>0</v>
      </c>
      <c r="AT68" s="79">
        <v>54</v>
      </c>
      <c r="AU68" s="79">
        <v>0</v>
      </c>
      <c r="AV68" s="79">
        <v>0</v>
      </c>
      <c r="AW68" s="79">
        <v>0</v>
      </c>
      <c r="AX68" s="79">
        <v>0</v>
      </c>
      <c r="AY68" s="79">
        <v>0</v>
      </c>
      <c r="AZ68" s="79">
        <v>0</v>
      </c>
      <c r="BA68" s="79">
        <v>0</v>
      </c>
      <c r="BB68" s="79">
        <v>0</v>
      </c>
      <c r="BC68" s="79">
        <v>0</v>
      </c>
      <c r="BD68" s="79">
        <v>0</v>
      </c>
      <c r="BE68" s="79">
        <v>0</v>
      </c>
      <c r="BF68" s="79">
        <v>0</v>
      </c>
      <c r="BG68" s="79">
        <v>0</v>
      </c>
      <c r="BH68" s="79">
        <v>0</v>
      </c>
      <c r="BI68" s="79">
        <v>0</v>
      </c>
      <c r="BJ68" s="79">
        <v>0</v>
      </c>
      <c r="BK68" s="79">
        <v>0</v>
      </c>
      <c r="BL68" s="79">
        <v>0</v>
      </c>
      <c r="BM68" s="79">
        <v>0</v>
      </c>
      <c r="BN68" s="79">
        <v>0</v>
      </c>
      <c r="BO68" s="79">
        <v>0</v>
      </c>
      <c r="BP68" s="79">
        <v>0</v>
      </c>
      <c r="BQ68" s="79">
        <v>0</v>
      </c>
      <c r="BR68" s="79">
        <v>0</v>
      </c>
      <c r="BS68" s="79">
        <v>0</v>
      </c>
      <c r="BT68" s="79">
        <v>0</v>
      </c>
      <c r="BU68" s="79">
        <v>24424</v>
      </c>
      <c r="BV68" s="79">
        <v>7272</v>
      </c>
      <c r="BX68" s="186">
        <v>0</v>
      </c>
      <c r="BY68" s="187">
        <v>0</v>
      </c>
    </row>
    <row r="69" spans="1:77" ht="8.25" customHeight="1" x14ac:dyDescent="0.15">
      <c r="A69" s="185">
        <v>22002</v>
      </c>
      <c r="B69" s="77" t="str">
        <f>IFERROR(INDEX(SCNtoISIC!$M:$M,MATCH($A69,SCNtoISIC!$J:$J,0)),0)</f>
        <v>ISIC 22</v>
      </c>
      <c r="C69" s="78" t="s">
        <v>425</v>
      </c>
      <c r="D69" s="79">
        <v>0</v>
      </c>
      <c r="E69" s="79">
        <v>0</v>
      </c>
      <c r="F69" s="79">
        <v>0</v>
      </c>
      <c r="G69" s="79">
        <v>0</v>
      </c>
      <c r="H69" s="79">
        <v>0</v>
      </c>
      <c r="I69" s="79">
        <v>0</v>
      </c>
      <c r="J69" s="79">
        <v>0</v>
      </c>
      <c r="K69" s="79">
        <v>27</v>
      </c>
      <c r="L69" s="79">
        <v>0</v>
      </c>
      <c r="M69" s="79">
        <v>25</v>
      </c>
      <c r="N69" s="79">
        <v>0</v>
      </c>
      <c r="O69" s="79">
        <v>0</v>
      </c>
      <c r="P69" s="79">
        <v>308</v>
      </c>
      <c r="Q69" s="79">
        <v>8</v>
      </c>
      <c r="R69" s="79">
        <v>55</v>
      </c>
      <c r="S69" s="79">
        <v>95</v>
      </c>
      <c r="T69" s="79">
        <v>499</v>
      </c>
      <c r="U69" s="79">
        <v>69</v>
      </c>
      <c r="V69" s="79">
        <v>0</v>
      </c>
      <c r="W69" s="79">
        <v>0</v>
      </c>
      <c r="X69" s="79">
        <v>555</v>
      </c>
      <c r="Y69" s="79">
        <v>70</v>
      </c>
      <c r="Z69" s="79">
        <v>92</v>
      </c>
      <c r="AA69" s="79">
        <v>39</v>
      </c>
      <c r="AB69" s="79">
        <v>68940</v>
      </c>
      <c r="AC69" s="80">
        <v>127.19999999999999</v>
      </c>
      <c r="AD69" s="80">
        <v>84.800000000000011</v>
      </c>
      <c r="AE69" s="79">
        <v>35</v>
      </c>
      <c r="AF69" s="79">
        <v>21</v>
      </c>
      <c r="AG69" s="79">
        <v>381</v>
      </c>
      <c r="AH69" s="79">
        <v>39</v>
      </c>
      <c r="AI69" s="79">
        <v>171</v>
      </c>
      <c r="AJ69" s="79">
        <v>222</v>
      </c>
      <c r="AK69" s="79">
        <v>0</v>
      </c>
      <c r="AL69" s="79">
        <v>188</v>
      </c>
      <c r="AM69" s="79">
        <v>25</v>
      </c>
      <c r="AN69" s="79">
        <v>680</v>
      </c>
      <c r="AO69" s="79">
        <v>38</v>
      </c>
      <c r="AP69" s="80">
        <v>0</v>
      </c>
      <c r="AQ69" s="80">
        <v>0</v>
      </c>
      <c r="AR69" s="79">
        <v>0</v>
      </c>
      <c r="AS69" s="79">
        <v>0</v>
      </c>
      <c r="AT69" s="79">
        <v>439</v>
      </c>
      <c r="AU69" s="79">
        <v>8</v>
      </c>
      <c r="AV69" s="79">
        <v>0</v>
      </c>
      <c r="AW69" s="79">
        <v>0</v>
      </c>
      <c r="AX69" s="79">
        <v>0</v>
      </c>
      <c r="AY69" s="79">
        <v>0</v>
      </c>
      <c r="AZ69" s="79">
        <v>0</v>
      </c>
      <c r="BA69" s="79">
        <v>0</v>
      </c>
      <c r="BB69" s="79">
        <v>0</v>
      </c>
      <c r="BC69" s="79">
        <v>0</v>
      </c>
      <c r="BD69" s="79">
        <v>0</v>
      </c>
      <c r="BE69" s="79">
        <v>0</v>
      </c>
      <c r="BF69" s="79">
        <v>0</v>
      </c>
      <c r="BG69" s="79">
        <v>0</v>
      </c>
      <c r="BH69" s="79">
        <v>30</v>
      </c>
      <c r="BI69" s="79">
        <v>0</v>
      </c>
      <c r="BJ69" s="79">
        <v>0</v>
      </c>
      <c r="BK69" s="79">
        <v>0</v>
      </c>
      <c r="BL69" s="79">
        <v>0</v>
      </c>
      <c r="BM69" s="79">
        <v>0</v>
      </c>
      <c r="BN69" s="79">
        <v>0</v>
      </c>
      <c r="BO69" s="79">
        <v>0</v>
      </c>
      <c r="BP69" s="79">
        <v>0</v>
      </c>
      <c r="BQ69" s="79">
        <v>0</v>
      </c>
      <c r="BR69" s="79">
        <v>0</v>
      </c>
      <c r="BS69" s="79">
        <v>0</v>
      </c>
      <c r="BT69" s="79">
        <v>0</v>
      </c>
      <c r="BU69" s="79">
        <v>73271</v>
      </c>
      <c r="BV69" s="79">
        <v>9009</v>
      </c>
      <c r="BX69" s="186">
        <v>212</v>
      </c>
      <c r="BY69" s="187">
        <v>0</v>
      </c>
    </row>
    <row r="70" spans="1:77" ht="8.25" customHeight="1" x14ac:dyDescent="0.15">
      <c r="A70" s="191">
        <v>23001</v>
      </c>
      <c r="B70" s="77" t="str">
        <f>IFERROR(INDEX(SCNtoISIC!$M:$M,MATCH($A70,SCNtoISIC!$J:$J,0)),0)</f>
        <v>ISIC 239</v>
      </c>
      <c r="C70" s="85" t="s">
        <v>242</v>
      </c>
      <c r="D70" s="80">
        <v>0</v>
      </c>
      <c r="E70" s="80">
        <v>0</v>
      </c>
      <c r="F70" s="80">
        <v>0</v>
      </c>
      <c r="G70" s="80">
        <v>149</v>
      </c>
      <c r="H70" s="80">
        <v>0</v>
      </c>
      <c r="I70" s="80">
        <v>0</v>
      </c>
      <c r="J70" s="80">
        <v>0</v>
      </c>
      <c r="K70" s="80">
        <v>0</v>
      </c>
      <c r="L70" s="80">
        <v>0</v>
      </c>
      <c r="M70" s="80">
        <v>9</v>
      </c>
      <c r="N70" s="80">
        <v>0</v>
      </c>
      <c r="O70" s="80">
        <v>0</v>
      </c>
      <c r="P70" s="80">
        <v>0</v>
      </c>
      <c r="Q70" s="80">
        <v>0</v>
      </c>
      <c r="R70" s="80">
        <v>0</v>
      </c>
      <c r="S70" s="80">
        <v>12</v>
      </c>
      <c r="T70" s="80">
        <v>0</v>
      </c>
      <c r="U70" s="80">
        <v>0</v>
      </c>
      <c r="V70" s="80">
        <v>0</v>
      </c>
      <c r="W70" s="80">
        <v>0</v>
      </c>
      <c r="X70" s="80">
        <v>0</v>
      </c>
      <c r="Y70" s="80">
        <v>13</v>
      </c>
      <c r="Z70" s="80">
        <v>0</v>
      </c>
      <c r="AA70" s="80">
        <v>0</v>
      </c>
      <c r="AB70" s="80">
        <v>27</v>
      </c>
      <c r="AC70" s="80">
        <v>23869.200000000001</v>
      </c>
      <c r="AD70" s="80">
        <v>15912.800000000001</v>
      </c>
      <c r="AE70" s="80">
        <v>13</v>
      </c>
      <c r="AF70" s="80">
        <v>0</v>
      </c>
      <c r="AG70" s="80">
        <v>68</v>
      </c>
      <c r="AH70" s="80">
        <v>0</v>
      </c>
      <c r="AI70" s="80">
        <v>0</v>
      </c>
      <c r="AJ70" s="80">
        <v>0</v>
      </c>
      <c r="AK70" s="80">
        <v>0</v>
      </c>
      <c r="AL70" s="80">
        <v>0</v>
      </c>
      <c r="AM70" s="80">
        <v>15</v>
      </c>
      <c r="AN70" s="80">
        <v>80</v>
      </c>
      <c r="AO70" s="80">
        <v>0</v>
      </c>
      <c r="AP70" s="80">
        <v>0</v>
      </c>
      <c r="AQ70" s="80">
        <v>0</v>
      </c>
      <c r="AR70" s="80">
        <v>0</v>
      </c>
      <c r="AS70" s="80">
        <v>0</v>
      </c>
      <c r="AT70" s="80">
        <v>386</v>
      </c>
      <c r="AU70" s="80">
        <v>0</v>
      </c>
      <c r="AV70" s="80">
        <v>0</v>
      </c>
      <c r="AW70" s="80">
        <v>0</v>
      </c>
      <c r="AX70" s="80">
        <v>0</v>
      </c>
      <c r="AY70" s="80">
        <v>0</v>
      </c>
      <c r="AZ70" s="80">
        <v>0</v>
      </c>
      <c r="BA70" s="80">
        <v>0</v>
      </c>
      <c r="BB70" s="80">
        <v>0</v>
      </c>
      <c r="BC70" s="80">
        <v>0</v>
      </c>
      <c r="BD70" s="80">
        <v>0</v>
      </c>
      <c r="BE70" s="80">
        <v>0</v>
      </c>
      <c r="BF70" s="80">
        <v>0</v>
      </c>
      <c r="BG70" s="80">
        <v>0</v>
      </c>
      <c r="BH70" s="80">
        <v>0</v>
      </c>
      <c r="BI70" s="80">
        <v>0</v>
      </c>
      <c r="BJ70" s="80">
        <v>0</v>
      </c>
      <c r="BK70" s="80">
        <v>0</v>
      </c>
      <c r="BL70" s="80">
        <v>0</v>
      </c>
      <c r="BM70" s="80">
        <v>0</v>
      </c>
      <c r="BN70" s="80">
        <v>0</v>
      </c>
      <c r="BO70" s="80">
        <v>0</v>
      </c>
      <c r="BP70" s="80">
        <v>0</v>
      </c>
      <c r="BQ70" s="80">
        <v>0</v>
      </c>
      <c r="BR70" s="80">
        <v>0</v>
      </c>
      <c r="BS70" s="80">
        <v>0</v>
      </c>
      <c r="BT70" s="80">
        <v>0</v>
      </c>
      <c r="BU70" s="80">
        <f>BU141+BU142</f>
        <v>40554</v>
      </c>
      <c r="BV70" s="80">
        <f>BV141+BV142</f>
        <v>674</v>
      </c>
      <c r="BX70" s="192">
        <v>39782</v>
      </c>
      <c r="BY70" s="193">
        <v>0</v>
      </c>
    </row>
    <row r="71" spans="1:77" ht="8.25" customHeight="1" x14ac:dyDescent="0.15">
      <c r="A71" s="191">
        <v>23001</v>
      </c>
      <c r="B71" s="77" t="str">
        <f>IFERROR(INDEX(SCNtoISIC!$M:$M,MATCH($A71,SCNtoISIC!$J:$J,0)),0)</f>
        <v>ISIC 239</v>
      </c>
      <c r="C71" s="85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X71" s="192"/>
      <c r="BY71" s="193"/>
    </row>
    <row r="72" spans="1:77" ht="8.25" customHeight="1" x14ac:dyDescent="0.15">
      <c r="A72" s="188">
        <v>23003</v>
      </c>
      <c r="B72" s="77" t="str">
        <f>IFERROR(INDEX(SCNtoISIC!$M:$M,MATCH($A72,SCNtoISIC!$J:$J,0)),0)</f>
        <v>ISIC 231</v>
      </c>
      <c r="C72" s="81" t="s">
        <v>617</v>
      </c>
      <c r="D72" s="82">
        <v>0</v>
      </c>
      <c r="E72" s="82">
        <v>0</v>
      </c>
      <c r="F72" s="82">
        <v>0</v>
      </c>
      <c r="G72" s="82">
        <v>362</v>
      </c>
      <c r="H72" s="82">
        <v>0</v>
      </c>
      <c r="I72" s="82">
        <v>0</v>
      </c>
      <c r="J72" s="82">
        <v>5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29</v>
      </c>
      <c r="Q72" s="82">
        <v>0</v>
      </c>
      <c r="R72" s="82">
        <v>0</v>
      </c>
      <c r="S72" s="82">
        <v>6</v>
      </c>
      <c r="T72" s="82">
        <v>0</v>
      </c>
      <c r="U72" s="82">
        <v>0</v>
      </c>
      <c r="V72" s="82">
        <v>0</v>
      </c>
      <c r="W72" s="82">
        <v>0</v>
      </c>
      <c r="X72" s="82">
        <v>62</v>
      </c>
      <c r="Y72" s="82">
        <v>133</v>
      </c>
      <c r="Z72" s="82">
        <v>0</v>
      </c>
      <c r="AA72" s="82">
        <v>6</v>
      </c>
      <c r="AB72" s="82">
        <v>47</v>
      </c>
      <c r="AC72" s="80">
        <v>27190.799999999999</v>
      </c>
      <c r="AD72" s="80">
        <v>18127.2</v>
      </c>
      <c r="AE72" s="82">
        <v>0</v>
      </c>
      <c r="AF72" s="82">
        <v>0</v>
      </c>
      <c r="AG72" s="82">
        <v>103</v>
      </c>
      <c r="AH72" s="82">
        <v>0</v>
      </c>
      <c r="AI72" s="82">
        <v>42</v>
      </c>
      <c r="AJ72" s="82">
        <v>81</v>
      </c>
      <c r="AK72" s="82">
        <v>37</v>
      </c>
      <c r="AL72" s="82">
        <v>157</v>
      </c>
      <c r="AM72" s="82">
        <v>0</v>
      </c>
      <c r="AN72" s="82">
        <v>172</v>
      </c>
      <c r="AO72" s="82">
        <v>0</v>
      </c>
      <c r="AP72" s="80">
        <v>0</v>
      </c>
      <c r="AQ72" s="80">
        <v>0</v>
      </c>
      <c r="AR72" s="82">
        <v>0</v>
      </c>
      <c r="AS72" s="82">
        <v>0</v>
      </c>
      <c r="AT72" s="82">
        <v>0</v>
      </c>
      <c r="AU72" s="82">
        <v>0</v>
      </c>
      <c r="AV72" s="82">
        <v>0</v>
      </c>
      <c r="AW72" s="82">
        <v>0</v>
      </c>
      <c r="AX72" s="82">
        <v>0</v>
      </c>
      <c r="AY72" s="82">
        <v>0</v>
      </c>
      <c r="AZ72" s="82">
        <v>0</v>
      </c>
      <c r="BA72" s="82">
        <v>0</v>
      </c>
      <c r="BB72" s="82">
        <v>0</v>
      </c>
      <c r="BC72" s="82">
        <v>0</v>
      </c>
      <c r="BD72" s="82">
        <v>0</v>
      </c>
      <c r="BE72" s="82">
        <v>0</v>
      </c>
      <c r="BF72" s="82">
        <v>0</v>
      </c>
      <c r="BG72" s="82">
        <v>0</v>
      </c>
      <c r="BH72" s="82">
        <v>0</v>
      </c>
      <c r="BI72" s="82">
        <v>0</v>
      </c>
      <c r="BJ72" s="82">
        <v>0</v>
      </c>
      <c r="BK72" s="82">
        <v>0</v>
      </c>
      <c r="BL72" s="82">
        <v>0</v>
      </c>
      <c r="BM72" s="82">
        <v>0</v>
      </c>
      <c r="BN72" s="82">
        <v>0</v>
      </c>
      <c r="BO72" s="82">
        <v>0</v>
      </c>
      <c r="BP72" s="82">
        <v>0</v>
      </c>
      <c r="BQ72" s="82">
        <v>0</v>
      </c>
      <c r="BR72" s="82">
        <v>0</v>
      </c>
      <c r="BS72" s="82">
        <v>0</v>
      </c>
      <c r="BT72" s="82">
        <v>0</v>
      </c>
      <c r="BU72" s="82">
        <v>46560</v>
      </c>
      <c r="BV72" s="82">
        <v>5653</v>
      </c>
      <c r="BX72" s="189">
        <v>45318</v>
      </c>
      <c r="BY72" s="190">
        <v>0</v>
      </c>
    </row>
    <row r="73" spans="1:77" ht="8.25" customHeight="1" x14ac:dyDescent="0.15">
      <c r="A73" s="188">
        <v>24911</v>
      </c>
      <c r="B73" s="77" t="str">
        <f>IFERROR(INDEX(SCNtoISIC!$M:$M,MATCH($A73,SCNtoISIC!$J:$J,0)),0)</f>
        <v>ISIC 241</v>
      </c>
      <c r="C73" s="81" t="s">
        <v>618</v>
      </c>
      <c r="D73" s="82">
        <v>0</v>
      </c>
      <c r="E73" s="82">
        <v>0</v>
      </c>
      <c r="F73" s="82">
        <v>0</v>
      </c>
      <c r="G73" s="82">
        <v>0</v>
      </c>
      <c r="H73" s="82">
        <v>0</v>
      </c>
      <c r="I73" s="82">
        <v>0</v>
      </c>
      <c r="J73" s="82">
        <v>0</v>
      </c>
      <c r="K73" s="82">
        <v>0</v>
      </c>
      <c r="L73" s="82">
        <v>0</v>
      </c>
      <c r="M73" s="82">
        <v>0</v>
      </c>
      <c r="N73" s="82">
        <v>0</v>
      </c>
      <c r="O73" s="82">
        <v>0</v>
      </c>
      <c r="P73" s="82">
        <v>0</v>
      </c>
      <c r="Q73" s="82">
        <v>0</v>
      </c>
      <c r="R73" s="82">
        <v>0</v>
      </c>
      <c r="S73" s="82">
        <v>0</v>
      </c>
      <c r="T73" s="82">
        <v>0</v>
      </c>
      <c r="U73" s="82">
        <v>0</v>
      </c>
      <c r="V73" s="82">
        <v>0</v>
      </c>
      <c r="W73" s="82">
        <v>0</v>
      </c>
      <c r="X73" s="82">
        <v>69</v>
      </c>
      <c r="Y73" s="82">
        <v>65</v>
      </c>
      <c r="Z73" s="82">
        <v>0</v>
      </c>
      <c r="AA73" s="82">
        <v>0</v>
      </c>
      <c r="AB73" s="82">
        <v>0</v>
      </c>
      <c r="AC73" s="80">
        <v>0</v>
      </c>
      <c r="AD73" s="80">
        <v>0</v>
      </c>
      <c r="AE73" s="82">
        <v>11533</v>
      </c>
      <c r="AF73" s="82">
        <v>0</v>
      </c>
      <c r="AG73" s="82">
        <v>0</v>
      </c>
      <c r="AH73" s="82">
        <v>0</v>
      </c>
      <c r="AI73" s="82">
        <v>0</v>
      </c>
      <c r="AJ73" s="82">
        <v>0</v>
      </c>
      <c r="AK73" s="82">
        <v>0</v>
      </c>
      <c r="AL73" s="82">
        <v>8</v>
      </c>
      <c r="AM73" s="82">
        <v>0</v>
      </c>
      <c r="AN73" s="82">
        <v>0</v>
      </c>
      <c r="AO73" s="82">
        <v>0</v>
      </c>
      <c r="AP73" s="80">
        <v>0</v>
      </c>
      <c r="AQ73" s="80">
        <v>0</v>
      </c>
      <c r="AR73" s="82">
        <v>0</v>
      </c>
      <c r="AS73" s="82">
        <v>0</v>
      </c>
      <c r="AT73" s="82">
        <v>0</v>
      </c>
      <c r="AU73" s="82">
        <v>0</v>
      </c>
      <c r="AV73" s="82">
        <v>0</v>
      </c>
      <c r="AW73" s="82">
        <v>0</v>
      </c>
      <c r="AX73" s="82">
        <v>0</v>
      </c>
      <c r="AY73" s="82">
        <v>0</v>
      </c>
      <c r="AZ73" s="82">
        <v>0</v>
      </c>
      <c r="BA73" s="82">
        <v>0</v>
      </c>
      <c r="BB73" s="82">
        <v>0</v>
      </c>
      <c r="BC73" s="82">
        <v>0</v>
      </c>
      <c r="BD73" s="82">
        <v>0</v>
      </c>
      <c r="BE73" s="82">
        <v>0</v>
      </c>
      <c r="BF73" s="82">
        <v>0</v>
      </c>
      <c r="BG73" s="82">
        <v>0</v>
      </c>
      <c r="BH73" s="82">
        <v>0</v>
      </c>
      <c r="BI73" s="82">
        <v>0</v>
      </c>
      <c r="BJ73" s="82">
        <v>0</v>
      </c>
      <c r="BK73" s="82">
        <v>0</v>
      </c>
      <c r="BL73" s="82">
        <v>0</v>
      </c>
      <c r="BM73" s="82">
        <v>0</v>
      </c>
      <c r="BN73" s="82">
        <v>0</v>
      </c>
      <c r="BO73" s="82">
        <v>0</v>
      </c>
      <c r="BP73" s="82">
        <v>0</v>
      </c>
      <c r="BQ73" s="82">
        <v>0</v>
      </c>
      <c r="BR73" s="82">
        <v>0</v>
      </c>
      <c r="BS73" s="82">
        <v>0</v>
      </c>
      <c r="BT73" s="82">
        <v>0</v>
      </c>
      <c r="BU73" s="82">
        <v>11675</v>
      </c>
      <c r="BV73" s="82">
        <v>826</v>
      </c>
      <c r="BX73" s="189">
        <v>0</v>
      </c>
      <c r="BY73" s="190">
        <v>0</v>
      </c>
    </row>
    <row r="74" spans="1:77" ht="8.25" customHeight="1" x14ac:dyDescent="0.15">
      <c r="A74" s="188">
        <v>24912</v>
      </c>
      <c r="B74" s="77" t="str">
        <f>IFERROR(INDEX(SCNtoISIC!$M:$M,MATCH($A74,SCNtoISIC!$J:$J,0)),0)</f>
        <v>ISIC 241</v>
      </c>
      <c r="C74" s="81" t="s">
        <v>619</v>
      </c>
      <c r="D74" s="82">
        <v>0</v>
      </c>
      <c r="E74" s="82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>
        <v>0</v>
      </c>
      <c r="L74" s="82">
        <v>0</v>
      </c>
      <c r="M74" s="82">
        <v>0</v>
      </c>
      <c r="N74" s="82">
        <v>0</v>
      </c>
      <c r="O74" s="82">
        <v>0</v>
      </c>
      <c r="P74" s="82">
        <v>9</v>
      </c>
      <c r="Q74" s="82">
        <v>0</v>
      </c>
      <c r="R74" s="82">
        <v>0</v>
      </c>
      <c r="S74" s="82">
        <v>17</v>
      </c>
      <c r="T74" s="82">
        <v>0</v>
      </c>
      <c r="U74" s="82">
        <v>0</v>
      </c>
      <c r="V74" s="82">
        <v>0</v>
      </c>
      <c r="W74" s="82">
        <v>0</v>
      </c>
      <c r="X74" s="82">
        <v>0</v>
      </c>
      <c r="Y74" s="82">
        <v>0</v>
      </c>
      <c r="Z74" s="82">
        <v>0</v>
      </c>
      <c r="AA74" s="82">
        <v>0</v>
      </c>
      <c r="AB74" s="82">
        <v>24</v>
      </c>
      <c r="AC74" s="80">
        <v>12.6</v>
      </c>
      <c r="AD74" s="80">
        <v>8.4</v>
      </c>
      <c r="AE74" s="82">
        <v>81970</v>
      </c>
      <c r="AF74" s="82">
        <v>39</v>
      </c>
      <c r="AG74" s="82">
        <v>1746</v>
      </c>
      <c r="AH74" s="82">
        <v>6</v>
      </c>
      <c r="AI74" s="82">
        <v>148</v>
      </c>
      <c r="AJ74" s="82">
        <v>390</v>
      </c>
      <c r="AK74" s="82">
        <v>9</v>
      </c>
      <c r="AL74" s="82">
        <v>187</v>
      </c>
      <c r="AM74" s="82">
        <v>30</v>
      </c>
      <c r="AN74" s="82">
        <v>8</v>
      </c>
      <c r="AO74" s="82">
        <v>54</v>
      </c>
      <c r="AP74" s="80">
        <v>0</v>
      </c>
      <c r="AQ74" s="80">
        <v>0</v>
      </c>
      <c r="AR74" s="82">
        <v>0</v>
      </c>
      <c r="AS74" s="82">
        <v>0</v>
      </c>
      <c r="AT74" s="82">
        <v>0</v>
      </c>
      <c r="AU74" s="82">
        <v>9</v>
      </c>
      <c r="AV74" s="82">
        <v>0</v>
      </c>
      <c r="AW74" s="82">
        <v>0</v>
      </c>
      <c r="AX74" s="82">
        <v>0</v>
      </c>
      <c r="AY74" s="82">
        <v>0</v>
      </c>
      <c r="AZ74" s="82">
        <v>0</v>
      </c>
      <c r="BA74" s="82">
        <v>0</v>
      </c>
      <c r="BB74" s="82">
        <v>0</v>
      </c>
      <c r="BC74" s="82">
        <v>0</v>
      </c>
      <c r="BD74" s="82">
        <v>0</v>
      </c>
      <c r="BE74" s="82">
        <v>0</v>
      </c>
      <c r="BF74" s="82">
        <v>0</v>
      </c>
      <c r="BG74" s="82">
        <v>0</v>
      </c>
      <c r="BH74" s="82">
        <v>0</v>
      </c>
      <c r="BI74" s="82">
        <v>0</v>
      </c>
      <c r="BJ74" s="82">
        <v>0</v>
      </c>
      <c r="BK74" s="82">
        <v>0</v>
      </c>
      <c r="BL74" s="82">
        <v>0</v>
      </c>
      <c r="BM74" s="82">
        <v>0</v>
      </c>
      <c r="BN74" s="82">
        <v>0</v>
      </c>
      <c r="BO74" s="82">
        <v>0</v>
      </c>
      <c r="BP74" s="82">
        <v>0</v>
      </c>
      <c r="BQ74" s="82">
        <v>0</v>
      </c>
      <c r="BR74" s="82">
        <v>0</v>
      </c>
      <c r="BS74" s="82">
        <v>0</v>
      </c>
      <c r="BT74" s="82">
        <v>0</v>
      </c>
      <c r="BU74" s="82">
        <v>84667</v>
      </c>
      <c r="BV74" s="82">
        <v>11163</v>
      </c>
      <c r="BX74" s="189">
        <v>21</v>
      </c>
      <c r="BY74" s="190">
        <v>0</v>
      </c>
    </row>
    <row r="75" spans="1:77" ht="8.25" customHeight="1" x14ac:dyDescent="0.15">
      <c r="A75" s="188">
        <v>24921</v>
      </c>
      <c r="B75" s="77" t="str">
        <f>IFERROR(INDEX(SCNtoISIC!$M:$M,MATCH($A75,SCNtoISIC!$J:$J,0)),0)</f>
        <v>ISIC 242</v>
      </c>
      <c r="C75" s="81" t="s">
        <v>620</v>
      </c>
      <c r="D75" s="82">
        <v>0</v>
      </c>
      <c r="E75" s="82">
        <v>0</v>
      </c>
      <c r="F75" s="82">
        <v>0</v>
      </c>
      <c r="G75" s="82">
        <v>0</v>
      </c>
      <c r="H75" s="82">
        <v>0</v>
      </c>
      <c r="I75" s="82">
        <v>0</v>
      </c>
      <c r="J75" s="82">
        <v>380</v>
      </c>
      <c r="K75" s="82">
        <v>0</v>
      </c>
      <c r="L75" s="82">
        <v>0</v>
      </c>
      <c r="M75" s="82">
        <v>0</v>
      </c>
      <c r="N75" s="82">
        <v>0</v>
      </c>
      <c r="O75" s="82">
        <v>0</v>
      </c>
      <c r="P75" s="82">
        <v>0</v>
      </c>
      <c r="Q75" s="82">
        <v>0</v>
      </c>
      <c r="R75" s="82">
        <v>0</v>
      </c>
      <c r="S75" s="82">
        <v>0</v>
      </c>
      <c r="T75" s="82">
        <v>21</v>
      </c>
      <c r="U75" s="82">
        <v>0</v>
      </c>
      <c r="V75" s="82">
        <v>0</v>
      </c>
      <c r="W75" s="82">
        <v>0</v>
      </c>
      <c r="X75" s="82">
        <v>368</v>
      </c>
      <c r="Y75" s="82">
        <v>40</v>
      </c>
      <c r="Z75" s="82">
        <v>0</v>
      </c>
      <c r="AA75" s="82">
        <v>0</v>
      </c>
      <c r="AB75" s="82">
        <v>150</v>
      </c>
      <c r="AC75" s="80">
        <v>9</v>
      </c>
      <c r="AD75" s="80">
        <v>6</v>
      </c>
      <c r="AE75" s="82">
        <v>239</v>
      </c>
      <c r="AF75" s="82">
        <v>47156</v>
      </c>
      <c r="AG75" s="82">
        <v>513</v>
      </c>
      <c r="AH75" s="82">
        <v>0</v>
      </c>
      <c r="AI75" s="82">
        <v>473</v>
      </c>
      <c r="AJ75" s="82">
        <v>141</v>
      </c>
      <c r="AK75" s="82">
        <v>0</v>
      </c>
      <c r="AL75" s="82">
        <v>16</v>
      </c>
      <c r="AM75" s="82">
        <v>0</v>
      </c>
      <c r="AN75" s="82">
        <v>31</v>
      </c>
      <c r="AO75" s="82">
        <v>19</v>
      </c>
      <c r="AP75" s="80">
        <v>0</v>
      </c>
      <c r="AQ75" s="80">
        <v>0</v>
      </c>
      <c r="AR75" s="82">
        <v>0</v>
      </c>
      <c r="AS75" s="82">
        <v>0</v>
      </c>
      <c r="AT75" s="82">
        <v>135</v>
      </c>
      <c r="AU75" s="82">
        <v>0</v>
      </c>
      <c r="AV75" s="82">
        <v>0</v>
      </c>
      <c r="AW75" s="82">
        <v>0</v>
      </c>
      <c r="AX75" s="82">
        <v>0</v>
      </c>
      <c r="AY75" s="82">
        <v>0</v>
      </c>
      <c r="AZ75" s="82">
        <v>0</v>
      </c>
      <c r="BA75" s="82">
        <v>0</v>
      </c>
      <c r="BB75" s="82">
        <v>0</v>
      </c>
      <c r="BC75" s="82">
        <v>0</v>
      </c>
      <c r="BD75" s="82">
        <v>0</v>
      </c>
      <c r="BE75" s="82">
        <v>0</v>
      </c>
      <c r="BF75" s="82">
        <v>0</v>
      </c>
      <c r="BG75" s="82">
        <v>0</v>
      </c>
      <c r="BH75" s="82">
        <v>0</v>
      </c>
      <c r="BI75" s="82">
        <v>0</v>
      </c>
      <c r="BJ75" s="82">
        <v>0</v>
      </c>
      <c r="BK75" s="82">
        <v>0</v>
      </c>
      <c r="BL75" s="82">
        <v>0</v>
      </c>
      <c r="BM75" s="82">
        <v>0</v>
      </c>
      <c r="BN75" s="82">
        <v>0</v>
      </c>
      <c r="BO75" s="82">
        <v>0</v>
      </c>
      <c r="BP75" s="82">
        <v>0</v>
      </c>
      <c r="BQ75" s="82">
        <v>0</v>
      </c>
      <c r="BR75" s="82">
        <v>0</v>
      </c>
      <c r="BS75" s="82">
        <v>0</v>
      </c>
      <c r="BT75" s="82">
        <v>0</v>
      </c>
      <c r="BU75" s="82">
        <v>49697</v>
      </c>
      <c r="BV75" s="82">
        <v>12754</v>
      </c>
      <c r="BX75" s="189">
        <v>15</v>
      </c>
      <c r="BY75" s="190">
        <v>0</v>
      </c>
    </row>
    <row r="76" spans="1:77" ht="8.25" customHeight="1" x14ac:dyDescent="0.15">
      <c r="A76" s="188">
        <v>24922</v>
      </c>
      <c r="B76" s="77" t="str">
        <f>IFERROR(INDEX(SCNtoISIC!$M:$M,MATCH($A76,SCNtoISIC!$J:$J,0)),0)</f>
        <v>ISIC 242</v>
      </c>
      <c r="C76" s="81" t="s">
        <v>438</v>
      </c>
      <c r="D76" s="82">
        <v>0</v>
      </c>
      <c r="E76" s="82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2">
        <v>0</v>
      </c>
      <c r="P76" s="82">
        <v>0</v>
      </c>
      <c r="Q76" s="82">
        <v>0</v>
      </c>
      <c r="R76" s="82">
        <v>0</v>
      </c>
      <c r="S76" s="82">
        <v>0</v>
      </c>
      <c r="T76" s="82">
        <v>0</v>
      </c>
      <c r="U76" s="82">
        <v>0</v>
      </c>
      <c r="V76" s="82">
        <v>0</v>
      </c>
      <c r="W76" s="82">
        <v>0</v>
      </c>
      <c r="X76" s="82">
        <v>0</v>
      </c>
      <c r="Y76" s="82">
        <v>0</v>
      </c>
      <c r="Z76" s="82">
        <v>0</v>
      </c>
      <c r="AA76" s="82">
        <v>0</v>
      </c>
      <c r="AB76" s="82">
        <v>14</v>
      </c>
      <c r="AC76" s="80">
        <v>0</v>
      </c>
      <c r="AD76" s="80">
        <v>0</v>
      </c>
      <c r="AE76" s="82">
        <v>0</v>
      </c>
      <c r="AF76" s="82">
        <v>4481</v>
      </c>
      <c r="AG76" s="82">
        <v>44</v>
      </c>
      <c r="AH76" s="82">
        <v>0</v>
      </c>
      <c r="AI76" s="82">
        <v>0</v>
      </c>
      <c r="AJ76" s="82">
        <v>69</v>
      </c>
      <c r="AK76" s="82">
        <v>6</v>
      </c>
      <c r="AL76" s="82">
        <v>30</v>
      </c>
      <c r="AM76" s="82">
        <v>10</v>
      </c>
      <c r="AN76" s="82">
        <v>71</v>
      </c>
      <c r="AO76" s="82">
        <v>0</v>
      </c>
      <c r="AP76" s="80">
        <v>0</v>
      </c>
      <c r="AQ76" s="80">
        <v>0</v>
      </c>
      <c r="AR76" s="82">
        <v>0</v>
      </c>
      <c r="AS76" s="82">
        <v>0</v>
      </c>
      <c r="AT76" s="82">
        <v>0</v>
      </c>
      <c r="AU76" s="82">
        <v>0</v>
      </c>
      <c r="AV76" s="82">
        <v>0</v>
      </c>
      <c r="AW76" s="82">
        <v>0</v>
      </c>
      <c r="AX76" s="82">
        <v>0</v>
      </c>
      <c r="AY76" s="82">
        <v>0</v>
      </c>
      <c r="AZ76" s="82">
        <v>0</v>
      </c>
      <c r="BA76" s="82">
        <v>0</v>
      </c>
      <c r="BB76" s="82">
        <v>0</v>
      </c>
      <c r="BC76" s="82">
        <v>0</v>
      </c>
      <c r="BD76" s="82">
        <v>0</v>
      </c>
      <c r="BE76" s="82">
        <v>0</v>
      </c>
      <c r="BF76" s="82">
        <v>0</v>
      </c>
      <c r="BG76" s="82">
        <v>0</v>
      </c>
      <c r="BH76" s="82">
        <v>0</v>
      </c>
      <c r="BI76" s="82">
        <v>0</v>
      </c>
      <c r="BJ76" s="82">
        <v>0</v>
      </c>
      <c r="BK76" s="82">
        <v>0</v>
      </c>
      <c r="BL76" s="82">
        <v>0</v>
      </c>
      <c r="BM76" s="82">
        <v>0</v>
      </c>
      <c r="BN76" s="82">
        <v>0</v>
      </c>
      <c r="BO76" s="82">
        <v>0</v>
      </c>
      <c r="BP76" s="82">
        <v>0</v>
      </c>
      <c r="BQ76" s="82">
        <v>0</v>
      </c>
      <c r="BR76" s="82">
        <v>0</v>
      </c>
      <c r="BS76" s="82">
        <v>0</v>
      </c>
      <c r="BT76" s="82">
        <v>0</v>
      </c>
      <c r="BU76" s="82">
        <v>4725</v>
      </c>
      <c r="BV76" s="82">
        <v>296</v>
      </c>
      <c r="BX76" s="189">
        <v>0</v>
      </c>
      <c r="BY76" s="190">
        <v>0</v>
      </c>
    </row>
    <row r="77" spans="1:77" ht="8.25" customHeight="1" x14ac:dyDescent="0.15">
      <c r="A77" s="185">
        <v>25001</v>
      </c>
      <c r="B77" s="77" t="str">
        <f>IFERROR(INDEX(SCNtoISIC!$M:$M,MATCH($A77,SCNtoISIC!$J:$J,0)),0)</f>
        <v>ISIC 25</v>
      </c>
      <c r="C77" s="78" t="s">
        <v>621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169</v>
      </c>
      <c r="O77" s="79">
        <v>0</v>
      </c>
      <c r="P77" s="79">
        <v>59</v>
      </c>
      <c r="Q77" s="79">
        <v>0</v>
      </c>
      <c r="R77" s="79">
        <v>24</v>
      </c>
      <c r="S77" s="79">
        <v>39</v>
      </c>
      <c r="T77" s="79">
        <v>14</v>
      </c>
      <c r="U77" s="79">
        <v>0</v>
      </c>
      <c r="V77" s="79">
        <v>0</v>
      </c>
      <c r="W77" s="79">
        <v>0</v>
      </c>
      <c r="X77" s="79">
        <v>0</v>
      </c>
      <c r="Y77" s="79">
        <v>26</v>
      </c>
      <c r="Z77" s="79">
        <v>273</v>
      </c>
      <c r="AA77" s="79">
        <v>0</v>
      </c>
      <c r="AB77" s="79">
        <v>474</v>
      </c>
      <c r="AC77" s="80">
        <v>58.8</v>
      </c>
      <c r="AD77" s="80">
        <v>39.200000000000003</v>
      </c>
      <c r="AE77" s="79">
        <v>3057</v>
      </c>
      <c r="AF77" s="79">
        <v>539</v>
      </c>
      <c r="AG77" s="79">
        <v>82490</v>
      </c>
      <c r="AH77" s="79">
        <v>170</v>
      </c>
      <c r="AI77" s="79">
        <v>727</v>
      </c>
      <c r="AJ77" s="79">
        <v>2382</v>
      </c>
      <c r="AK77" s="79">
        <v>67</v>
      </c>
      <c r="AL77" s="79">
        <v>1396</v>
      </c>
      <c r="AM77" s="79">
        <v>635</v>
      </c>
      <c r="AN77" s="79">
        <v>708</v>
      </c>
      <c r="AO77" s="79">
        <v>282</v>
      </c>
      <c r="AP77" s="80">
        <v>0</v>
      </c>
      <c r="AQ77" s="80">
        <v>0</v>
      </c>
      <c r="AR77" s="79">
        <v>0</v>
      </c>
      <c r="AS77" s="79">
        <v>0</v>
      </c>
      <c r="AT77" s="79">
        <v>803</v>
      </c>
      <c r="AU77" s="79">
        <v>0</v>
      </c>
      <c r="AV77" s="79">
        <v>0</v>
      </c>
      <c r="AW77" s="79">
        <v>0</v>
      </c>
      <c r="AX77" s="79">
        <v>0</v>
      </c>
      <c r="AY77" s="79">
        <v>0</v>
      </c>
      <c r="AZ77" s="79">
        <v>0</v>
      </c>
      <c r="BA77" s="79">
        <v>0</v>
      </c>
      <c r="BB77" s="79">
        <v>0</v>
      </c>
      <c r="BC77" s="79">
        <v>0</v>
      </c>
      <c r="BD77" s="79">
        <v>0</v>
      </c>
      <c r="BE77" s="79">
        <v>0</v>
      </c>
      <c r="BF77" s="79">
        <v>0</v>
      </c>
      <c r="BG77" s="79">
        <v>0</v>
      </c>
      <c r="BH77" s="79">
        <v>112</v>
      </c>
      <c r="BI77" s="79">
        <v>0</v>
      </c>
      <c r="BJ77" s="79">
        <v>18</v>
      </c>
      <c r="BK77" s="79">
        <v>0</v>
      </c>
      <c r="BL77" s="79">
        <v>0</v>
      </c>
      <c r="BM77" s="79">
        <v>76</v>
      </c>
      <c r="BN77" s="79">
        <v>0</v>
      </c>
      <c r="BO77" s="79">
        <v>0</v>
      </c>
      <c r="BP77" s="79">
        <v>0</v>
      </c>
      <c r="BQ77" s="79">
        <v>0</v>
      </c>
      <c r="BR77" s="79">
        <v>0</v>
      </c>
      <c r="BS77" s="79">
        <v>0</v>
      </c>
      <c r="BT77" s="79">
        <v>0</v>
      </c>
      <c r="BU77" s="79">
        <v>94638</v>
      </c>
      <c r="BV77" s="79">
        <v>13643</v>
      </c>
      <c r="BX77" s="186">
        <v>98</v>
      </c>
      <c r="BY77" s="187">
        <v>0</v>
      </c>
    </row>
    <row r="78" spans="1:77" ht="8.25" customHeight="1" x14ac:dyDescent="0.15">
      <c r="A78" s="185">
        <v>26001</v>
      </c>
      <c r="B78" s="77" t="str">
        <f>IFERROR(INDEX(SCNtoISIC!$M:$M,MATCH($A78,SCNtoISIC!$J:$J,0)),0)</f>
        <v>ISIC 26</v>
      </c>
      <c r="C78" s="78" t="s">
        <v>443</v>
      </c>
      <c r="D78" s="79">
        <v>0</v>
      </c>
      <c r="E78" s="79">
        <v>0</v>
      </c>
      <c r="F78" s="79">
        <v>0</v>
      </c>
      <c r="G78" s="79">
        <v>0</v>
      </c>
      <c r="H78" s="79">
        <v>0</v>
      </c>
      <c r="I78" s="79">
        <v>0</v>
      </c>
      <c r="J78" s="79">
        <v>0</v>
      </c>
      <c r="K78" s="79">
        <v>0</v>
      </c>
      <c r="L78" s="79">
        <v>0</v>
      </c>
      <c r="M78" s="79">
        <v>0</v>
      </c>
      <c r="N78" s="79">
        <v>0</v>
      </c>
      <c r="O78" s="79">
        <v>0</v>
      </c>
      <c r="P78" s="79">
        <v>0</v>
      </c>
      <c r="Q78" s="79">
        <v>0</v>
      </c>
      <c r="R78" s="79">
        <v>0</v>
      </c>
      <c r="S78" s="79">
        <v>0</v>
      </c>
      <c r="T78" s="79">
        <v>0</v>
      </c>
      <c r="U78" s="79">
        <v>105</v>
      </c>
      <c r="V78" s="79">
        <v>0</v>
      </c>
      <c r="W78" s="79">
        <v>0</v>
      </c>
      <c r="X78" s="79">
        <v>0</v>
      </c>
      <c r="Y78" s="79">
        <v>0</v>
      </c>
      <c r="Z78" s="79">
        <v>0</v>
      </c>
      <c r="AA78" s="79">
        <v>0</v>
      </c>
      <c r="AB78" s="79">
        <v>0</v>
      </c>
      <c r="AC78" s="80">
        <v>0</v>
      </c>
      <c r="AD78" s="80">
        <v>0</v>
      </c>
      <c r="AE78" s="79">
        <v>0</v>
      </c>
      <c r="AF78" s="79">
        <v>0</v>
      </c>
      <c r="AG78" s="79">
        <v>0</v>
      </c>
      <c r="AH78" s="79">
        <v>3806</v>
      </c>
      <c r="AI78" s="79">
        <v>120</v>
      </c>
      <c r="AJ78" s="79">
        <v>11</v>
      </c>
      <c r="AK78" s="79">
        <v>0</v>
      </c>
      <c r="AL78" s="79">
        <v>0</v>
      </c>
      <c r="AM78" s="79">
        <v>0</v>
      </c>
      <c r="AN78" s="79">
        <v>0</v>
      </c>
      <c r="AO78" s="79">
        <v>0</v>
      </c>
      <c r="AP78" s="80">
        <v>0</v>
      </c>
      <c r="AQ78" s="80">
        <v>0</v>
      </c>
      <c r="AR78" s="79">
        <v>0</v>
      </c>
      <c r="AS78" s="79">
        <v>0</v>
      </c>
      <c r="AT78" s="79">
        <v>0</v>
      </c>
      <c r="AU78" s="79">
        <v>0</v>
      </c>
      <c r="AV78" s="79">
        <v>0</v>
      </c>
      <c r="AW78" s="79">
        <v>0</v>
      </c>
      <c r="AX78" s="79">
        <v>0</v>
      </c>
      <c r="AY78" s="79">
        <v>0</v>
      </c>
      <c r="AZ78" s="79">
        <v>0</v>
      </c>
      <c r="BA78" s="79">
        <v>0</v>
      </c>
      <c r="BB78" s="79">
        <v>0</v>
      </c>
      <c r="BC78" s="79">
        <v>0</v>
      </c>
      <c r="BD78" s="79">
        <v>8</v>
      </c>
      <c r="BE78" s="79">
        <v>0</v>
      </c>
      <c r="BF78" s="79">
        <v>0</v>
      </c>
      <c r="BG78" s="79">
        <v>0</v>
      </c>
      <c r="BH78" s="79">
        <v>0</v>
      </c>
      <c r="BI78" s="79">
        <v>0</v>
      </c>
      <c r="BJ78" s="79">
        <v>0</v>
      </c>
      <c r="BK78" s="79">
        <v>0</v>
      </c>
      <c r="BL78" s="79">
        <v>0</v>
      </c>
      <c r="BM78" s="79">
        <v>0</v>
      </c>
      <c r="BN78" s="79">
        <v>0</v>
      </c>
      <c r="BO78" s="79">
        <v>0</v>
      </c>
      <c r="BP78" s="79">
        <v>0</v>
      </c>
      <c r="BQ78" s="79">
        <v>0</v>
      </c>
      <c r="BR78" s="79">
        <v>0</v>
      </c>
      <c r="BS78" s="79">
        <v>0</v>
      </c>
      <c r="BT78" s="79">
        <v>0</v>
      </c>
      <c r="BU78" s="79">
        <v>4050</v>
      </c>
      <c r="BV78" s="79">
        <v>15729</v>
      </c>
      <c r="BX78" s="186">
        <v>0</v>
      </c>
      <c r="BY78" s="187">
        <v>0</v>
      </c>
    </row>
    <row r="79" spans="1:77" ht="8.25" customHeight="1" x14ac:dyDescent="0.15">
      <c r="A79" s="185">
        <v>26002</v>
      </c>
      <c r="B79" s="77" t="str">
        <f>IFERROR(INDEX(SCNtoISIC!$M:$M,MATCH($A79,SCNtoISIC!$J:$J,0)),0)</f>
        <v>ISIC 26</v>
      </c>
      <c r="C79" s="78" t="s">
        <v>622</v>
      </c>
      <c r="D79" s="79">
        <v>0</v>
      </c>
      <c r="E79" s="79">
        <v>0</v>
      </c>
      <c r="F79" s="79">
        <v>0</v>
      </c>
      <c r="G79" s="79">
        <v>0</v>
      </c>
      <c r="H79" s="79">
        <v>0</v>
      </c>
      <c r="I79" s="79">
        <v>0</v>
      </c>
      <c r="J79" s="79">
        <v>0</v>
      </c>
      <c r="K79" s="79">
        <v>0</v>
      </c>
      <c r="L79" s="79">
        <v>0</v>
      </c>
      <c r="M79" s="79">
        <v>0</v>
      </c>
      <c r="N79" s="79">
        <v>0</v>
      </c>
      <c r="O79" s="79">
        <v>0</v>
      </c>
      <c r="P79" s="79">
        <v>0</v>
      </c>
      <c r="Q79" s="79">
        <v>0</v>
      </c>
      <c r="R79" s="79">
        <v>0</v>
      </c>
      <c r="S79" s="79">
        <v>0</v>
      </c>
      <c r="T79" s="79">
        <v>0</v>
      </c>
      <c r="U79" s="79">
        <v>0</v>
      </c>
      <c r="V79" s="79">
        <v>0</v>
      </c>
      <c r="W79" s="79">
        <v>0</v>
      </c>
      <c r="X79" s="79">
        <v>0</v>
      </c>
      <c r="Y79" s="79">
        <v>0</v>
      </c>
      <c r="Z79" s="79">
        <v>0</v>
      </c>
      <c r="AA79" s="79">
        <v>0</v>
      </c>
      <c r="AB79" s="79">
        <v>0</v>
      </c>
      <c r="AC79" s="80">
        <v>0</v>
      </c>
      <c r="AD79" s="80">
        <v>0</v>
      </c>
      <c r="AE79" s="79">
        <v>0</v>
      </c>
      <c r="AF79" s="79">
        <v>0</v>
      </c>
      <c r="AG79" s="79">
        <v>37</v>
      </c>
      <c r="AH79" s="79">
        <v>22432</v>
      </c>
      <c r="AI79" s="79">
        <v>20</v>
      </c>
      <c r="AJ79" s="79">
        <v>70</v>
      </c>
      <c r="AK79" s="79">
        <v>0</v>
      </c>
      <c r="AL79" s="79">
        <v>0</v>
      </c>
      <c r="AM79" s="79">
        <v>0</v>
      </c>
      <c r="AN79" s="79">
        <v>6</v>
      </c>
      <c r="AO79" s="79">
        <v>13</v>
      </c>
      <c r="AP79" s="80">
        <v>0</v>
      </c>
      <c r="AQ79" s="80">
        <v>0</v>
      </c>
      <c r="AR79" s="79">
        <v>0</v>
      </c>
      <c r="AS79" s="79">
        <v>0</v>
      </c>
      <c r="AT79" s="79">
        <v>908</v>
      </c>
      <c r="AU79" s="79">
        <v>0</v>
      </c>
      <c r="AV79" s="79">
        <v>0</v>
      </c>
      <c r="AW79" s="79">
        <v>0</v>
      </c>
      <c r="AX79" s="79">
        <v>0</v>
      </c>
      <c r="AY79" s="79">
        <v>0</v>
      </c>
      <c r="AZ79" s="79">
        <v>0</v>
      </c>
      <c r="BA79" s="79">
        <v>0</v>
      </c>
      <c r="BB79" s="79">
        <v>0</v>
      </c>
      <c r="BC79" s="79">
        <v>0</v>
      </c>
      <c r="BD79" s="79">
        <v>107</v>
      </c>
      <c r="BE79" s="79">
        <v>0</v>
      </c>
      <c r="BF79" s="79">
        <v>0</v>
      </c>
      <c r="BG79" s="79">
        <v>0</v>
      </c>
      <c r="BH79" s="79">
        <v>0</v>
      </c>
      <c r="BI79" s="79">
        <v>0</v>
      </c>
      <c r="BJ79" s="79">
        <v>0</v>
      </c>
      <c r="BK79" s="79">
        <v>0</v>
      </c>
      <c r="BL79" s="79">
        <v>0</v>
      </c>
      <c r="BM79" s="79">
        <v>0</v>
      </c>
      <c r="BN79" s="79">
        <v>0</v>
      </c>
      <c r="BO79" s="79">
        <v>0</v>
      </c>
      <c r="BP79" s="79">
        <v>0</v>
      </c>
      <c r="BQ79" s="79">
        <v>0</v>
      </c>
      <c r="BR79" s="79">
        <v>0</v>
      </c>
      <c r="BS79" s="79">
        <v>0</v>
      </c>
      <c r="BT79" s="79">
        <v>0</v>
      </c>
      <c r="BU79" s="79">
        <v>23593</v>
      </c>
      <c r="BV79" s="79">
        <v>13949</v>
      </c>
      <c r="BX79" s="186">
        <v>0</v>
      </c>
      <c r="BY79" s="187">
        <v>0</v>
      </c>
    </row>
    <row r="80" spans="1:77" ht="8.25" customHeight="1" x14ac:dyDescent="0.15">
      <c r="A80" s="185">
        <v>26003</v>
      </c>
      <c r="B80" s="77" t="str">
        <f>IFERROR(INDEX(SCNtoISIC!$M:$M,MATCH($A80,SCNtoISIC!$J:$J,0)),0)</f>
        <v>ISIC 26</v>
      </c>
      <c r="C80" s="78" t="s">
        <v>623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22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150</v>
      </c>
      <c r="AC80" s="80">
        <v>0</v>
      </c>
      <c r="AD80" s="80">
        <v>0</v>
      </c>
      <c r="AE80" s="79">
        <v>0</v>
      </c>
      <c r="AF80" s="79">
        <v>0</v>
      </c>
      <c r="AG80" s="79">
        <v>68</v>
      </c>
      <c r="AH80" s="79">
        <v>42684</v>
      </c>
      <c r="AI80" s="79">
        <v>253</v>
      </c>
      <c r="AJ80" s="79">
        <v>10</v>
      </c>
      <c r="AK80" s="79">
        <v>28</v>
      </c>
      <c r="AL80" s="79">
        <v>53</v>
      </c>
      <c r="AM80" s="79">
        <v>32</v>
      </c>
      <c r="AN80" s="79">
        <v>10</v>
      </c>
      <c r="AO80" s="79">
        <v>0</v>
      </c>
      <c r="AP80" s="80">
        <v>0</v>
      </c>
      <c r="AQ80" s="80">
        <v>0</v>
      </c>
      <c r="AR80" s="79">
        <v>0</v>
      </c>
      <c r="AS80" s="79">
        <v>0</v>
      </c>
      <c r="AT80" s="79">
        <v>143</v>
      </c>
      <c r="AU80" s="79">
        <v>0</v>
      </c>
      <c r="AV80" s="79">
        <v>0</v>
      </c>
      <c r="AW80" s="79">
        <v>0</v>
      </c>
      <c r="AX80" s="79">
        <v>0</v>
      </c>
      <c r="AY80" s="79">
        <v>0</v>
      </c>
      <c r="AZ80" s="79">
        <v>0</v>
      </c>
      <c r="BA80" s="79">
        <v>0</v>
      </c>
      <c r="BB80" s="79">
        <v>0</v>
      </c>
      <c r="BC80" s="79">
        <v>0</v>
      </c>
      <c r="BD80" s="79">
        <v>0</v>
      </c>
      <c r="BE80" s="79">
        <v>0</v>
      </c>
      <c r="BF80" s="79">
        <v>0</v>
      </c>
      <c r="BG80" s="79">
        <v>0</v>
      </c>
      <c r="BH80" s="79">
        <v>0</v>
      </c>
      <c r="BI80" s="79">
        <v>0</v>
      </c>
      <c r="BJ80" s="79">
        <v>0</v>
      </c>
      <c r="BK80" s="79">
        <v>0</v>
      </c>
      <c r="BL80" s="79">
        <v>0</v>
      </c>
      <c r="BM80" s="79">
        <v>0</v>
      </c>
      <c r="BN80" s="79">
        <v>0</v>
      </c>
      <c r="BO80" s="79">
        <v>0</v>
      </c>
      <c r="BP80" s="79">
        <v>0</v>
      </c>
      <c r="BQ80" s="79">
        <v>0</v>
      </c>
      <c r="BR80" s="79">
        <v>0</v>
      </c>
      <c r="BS80" s="79">
        <v>0</v>
      </c>
      <c r="BT80" s="79">
        <v>0</v>
      </c>
      <c r="BU80" s="79">
        <v>43453</v>
      </c>
      <c r="BV80" s="79">
        <v>26026</v>
      </c>
      <c r="BX80" s="186">
        <v>0</v>
      </c>
      <c r="BY80" s="187">
        <v>0</v>
      </c>
    </row>
    <row r="81" spans="1:77" ht="8.25" customHeight="1" x14ac:dyDescent="0.15">
      <c r="A81" s="185">
        <v>26004</v>
      </c>
      <c r="B81" s="77" t="str">
        <f>IFERROR(INDEX(SCNtoISIC!$M:$M,MATCH($A81,SCNtoISIC!$J:$J,0)),0)</f>
        <v>ISIC 26</v>
      </c>
      <c r="C81" s="78" t="s">
        <v>624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40</v>
      </c>
      <c r="AC81" s="80">
        <v>13.799999999999999</v>
      </c>
      <c r="AD81" s="80">
        <v>9.2000000000000011</v>
      </c>
      <c r="AE81" s="79">
        <v>0</v>
      </c>
      <c r="AF81" s="79">
        <v>0</v>
      </c>
      <c r="AG81" s="79">
        <v>33</v>
      </c>
      <c r="AH81" s="79">
        <v>8418</v>
      </c>
      <c r="AI81" s="79">
        <v>308</v>
      </c>
      <c r="AJ81" s="79">
        <v>290</v>
      </c>
      <c r="AK81" s="79">
        <v>0</v>
      </c>
      <c r="AL81" s="79">
        <v>157</v>
      </c>
      <c r="AM81" s="79">
        <v>0</v>
      </c>
      <c r="AN81" s="79">
        <v>157</v>
      </c>
      <c r="AO81" s="79">
        <v>95</v>
      </c>
      <c r="AP81" s="80">
        <v>0</v>
      </c>
      <c r="AQ81" s="80">
        <v>0</v>
      </c>
      <c r="AR81" s="79">
        <v>0</v>
      </c>
      <c r="AS81" s="79">
        <v>0</v>
      </c>
      <c r="AT81" s="79">
        <v>393</v>
      </c>
      <c r="AU81" s="79">
        <v>0</v>
      </c>
      <c r="AV81" s="79">
        <v>0</v>
      </c>
      <c r="AW81" s="79">
        <v>0</v>
      </c>
      <c r="AX81" s="79">
        <v>0</v>
      </c>
      <c r="AY81" s="79">
        <v>0</v>
      </c>
      <c r="AZ81" s="79">
        <v>0</v>
      </c>
      <c r="BA81" s="79">
        <v>0</v>
      </c>
      <c r="BB81" s="79">
        <v>0</v>
      </c>
      <c r="BC81" s="79">
        <v>0</v>
      </c>
      <c r="BD81" s="79">
        <v>0</v>
      </c>
      <c r="BE81" s="79">
        <v>0</v>
      </c>
      <c r="BF81" s="79">
        <v>0</v>
      </c>
      <c r="BG81" s="79">
        <v>0</v>
      </c>
      <c r="BH81" s="79">
        <v>0</v>
      </c>
      <c r="BI81" s="79">
        <v>0</v>
      </c>
      <c r="BJ81" s="79">
        <v>0</v>
      </c>
      <c r="BK81" s="79">
        <v>0</v>
      </c>
      <c r="BL81" s="79">
        <v>0</v>
      </c>
      <c r="BM81" s="79">
        <v>0</v>
      </c>
      <c r="BN81" s="79">
        <v>0</v>
      </c>
      <c r="BO81" s="79">
        <v>0</v>
      </c>
      <c r="BP81" s="79">
        <v>0</v>
      </c>
      <c r="BQ81" s="79">
        <v>0</v>
      </c>
      <c r="BR81" s="79">
        <v>0</v>
      </c>
      <c r="BS81" s="79">
        <v>0</v>
      </c>
      <c r="BT81" s="79">
        <v>0</v>
      </c>
      <c r="BU81" s="79">
        <v>9914</v>
      </c>
      <c r="BV81" s="79">
        <v>13305</v>
      </c>
      <c r="BX81" s="186">
        <v>23</v>
      </c>
      <c r="BY81" s="187">
        <v>0</v>
      </c>
    </row>
    <row r="82" spans="1:77" ht="8.25" customHeight="1" x14ac:dyDescent="0.15">
      <c r="A82" s="188">
        <v>27001</v>
      </c>
      <c r="B82" s="77" t="str">
        <f>IFERROR(INDEX(SCNtoISIC!$M:$M,MATCH($A82,SCNtoISIC!$J:$J,0)),0)</f>
        <v>ISIC 27</v>
      </c>
      <c r="C82" s="81" t="s">
        <v>448</v>
      </c>
      <c r="D82" s="82">
        <v>0</v>
      </c>
      <c r="E82" s="82">
        <v>0</v>
      </c>
      <c r="F82" s="82">
        <v>0</v>
      </c>
      <c r="G82" s="82">
        <v>0</v>
      </c>
      <c r="H82" s="82">
        <v>0</v>
      </c>
      <c r="I82" s="82">
        <v>0</v>
      </c>
      <c r="J82" s="82">
        <v>0</v>
      </c>
      <c r="K82" s="82">
        <v>0</v>
      </c>
      <c r="L82" s="82">
        <v>0</v>
      </c>
      <c r="M82" s="82">
        <v>0</v>
      </c>
      <c r="N82" s="82">
        <v>0</v>
      </c>
      <c r="O82" s="82">
        <v>0</v>
      </c>
      <c r="P82" s="82">
        <v>25</v>
      </c>
      <c r="Q82" s="82">
        <v>0</v>
      </c>
      <c r="R82" s="82">
        <v>0</v>
      </c>
      <c r="S82" s="82">
        <v>0</v>
      </c>
      <c r="T82" s="82">
        <v>0</v>
      </c>
      <c r="U82" s="82">
        <v>0</v>
      </c>
      <c r="V82" s="82">
        <v>0</v>
      </c>
      <c r="W82" s="82">
        <v>0</v>
      </c>
      <c r="X82" s="82">
        <v>8</v>
      </c>
      <c r="Y82" s="82">
        <v>0</v>
      </c>
      <c r="Z82" s="82">
        <v>0</v>
      </c>
      <c r="AA82" s="82">
        <v>0</v>
      </c>
      <c r="AB82" s="82">
        <v>153</v>
      </c>
      <c r="AC82" s="80">
        <v>15.6</v>
      </c>
      <c r="AD82" s="80">
        <v>10.4</v>
      </c>
      <c r="AE82" s="82">
        <v>185</v>
      </c>
      <c r="AF82" s="82">
        <v>311</v>
      </c>
      <c r="AG82" s="82">
        <v>566</v>
      </c>
      <c r="AH82" s="82">
        <v>1559</v>
      </c>
      <c r="AI82" s="82">
        <v>49691</v>
      </c>
      <c r="AJ82" s="82">
        <v>1261</v>
      </c>
      <c r="AK82" s="82">
        <v>881</v>
      </c>
      <c r="AL82" s="82">
        <v>836</v>
      </c>
      <c r="AM82" s="82">
        <v>35</v>
      </c>
      <c r="AN82" s="82">
        <v>51</v>
      </c>
      <c r="AO82" s="82">
        <v>723</v>
      </c>
      <c r="AP82" s="80">
        <v>0</v>
      </c>
      <c r="AQ82" s="80">
        <v>0</v>
      </c>
      <c r="AR82" s="82">
        <v>0</v>
      </c>
      <c r="AS82" s="82">
        <v>0</v>
      </c>
      <c r="AT82" s="82">
        <v>1</v>
      </c>
      <c r="AU82" s="82">
        <v>0</v>
      </c>
      <c r="AV82" s="82">
        <v>0</v>
      </c>
      <c r="AW82" s="82">
        <v>0</v>
      </c>
      <c r="AX82" s="82">
        <v>0</v>
      </c>
      <c r="AY82" s="82">
        <v>0</v>
      </c>
      <c r="AZ82" s="82">
        <v>0</v>
      </c>
      <c r="BA82" s="82">
        <v>0</v>
      </c>
      <c r="BB82" s="82">
        <v>0</v>
      </c>
      <c r="BC82" s="82">
        <v>0</v>
      </c>
      <c r="BD82" s="82">
        <v>0</v>
      </c>
      <c r="BE82" s="82">
        <v>0</v>
      </c>
      <c r="BF82" s="82">
        <v>0</v>
      </c>
      <c r="BG82" s="82">
        <v>0</v>
      </c>
      <c r="BH82" s="82">
        <v>0</v>
      </c>
      <c r="BI82" s="82">
        <v>0</v>
      </c>
      <c r="BJ82" s="82">
        <v>0</v>
      </c>
      <c r="BK82" s="82">
        <v>0</v>
      </c>
      <c r="BL82" s="82">
        <v>0</v>
      </c>
      <c r="BM82" s="82">
        <v>0</v>
      </c>
      <c r="BN82" s="82">
        <v>0</v>
      </c>
      <c r="BO82" s="82">
        <v>0</v>
      </c>
      <c r="BP82" s="82">
        <v>0</v>
      </c>
      <c r="BQ82" s="82">
        <v>0</v>
      </c>
      <c r="BR82" s="82">
        <v>0</v>
      </c>
      <c r="BS82" s="82">
        <v>0</v>
      </c>
      <c r="BT82" s="82">
        <v>0</v>
      </c>
      <c r="BU82" s="82">
        <v>56312</v>
      </c>
      <c r="BV82" s="82">
        <v>23215</v>
      </c>
      <c r="BX82" s="189">
        <v>26</v>
      </c>
      <c r="BY82" s="190">
        <v>0</v>
      </c>
    </row>
    <row r="83" spans="1:77" ht="8.25" customHeight="1" x14ac:dyDescent="0.15">
      <c r="A83" s="188">
        <v>27002</v>
      </c>
      <c r="B83" s="77" t="str">
        <f>IFERROR(INDEX(SCNtoISIC!$M:$M,MATCH($A83,SCNtoISIC!$J:$J,0)),0)</f>
        <v>ISIC 27</v>
      </c>
      <c r="C83" s="81" t="s">
        <v>449</v>
      </c>
      <c r="D83" s="82">
        <v>0</v>
      </c>
      <c r="E83" s="82">
        <v>0</v>
      </c>
      <c r="F83" s="82">
        <v>0</v>
      </c>
      <c r="G83" s="82">
        <v>0</v>
      </c>
      <c r="H83" s="82">
        <v>0</v>
      </c>
      <c r="I83" s="82">
        <v>0</v>
      </c>
      <c r="J83" s="82">
        <v>0</v>
      </c>
      <c r="K83" s="82">
        <v>0</v>
      </c>
      <c r="L83" s="82">
        <v>0</v>
      </c>
      <c r="M83" s="82">
        <v>0</v>
      </c>
      <c r="N83" s="82">
        <v>0</v>
      </c>
      <c r="O83" s="82">
        <v>0</v>
      </c>
      <c r="P83" s="82">
        <v>0</v>
      </c>
      <c r="Q83" s="82">
        <v>0</v>
      </c>
      <c r="R83" s="82">
        <v>0</v>
      </c>
      <c r="S83" s="82">
        <v>0</v>
      </c>
      <c r="T83" s="82">
        <v>0</v>
      </c>
      <c r="U83" s="82">
        <v>0</v>
      </c>
      <c r="V83" s="82">
        <v>0</v>
      </c>
      <c r="W83" s="82">
        <v>0</v>
      </c>
      <c r="X83" s="82">
        <v>0</v>
      </c>
      <c r="Y83" s="82">
        <v>0</v>
      </c>
      <c r="Z83" s="82">
        <v>0</v>
      </c>
      <c r="AA83" s="82">
        <v>0</v>
      </c>
      <c r="AB83" s="82">
        <v>265</v>
      </c>
      <c r="AC83" s="80">
        <v>26.4</v>
      </c>
      <c r="AD83" s="80">
        <v>17.600000000000001</v>
      </c>
      <c r="AE83" s="82">
        <v>0</v>
      </c>
      <c r="AF83" s="82">
        <v>0</v>
      </c>
      <c r="AG83" s="82">
        <v>89</v>
      </c>
      <c r="AH83" s="82">
        <v>371</v>
      </c>
      <c r="AI83" s="82">
        <v>15491</v>
      </c>
      <c r="AJ83" s="82">
        <v>858</v>
      </c>
      <c r="AK83" s="82">
        <v>0</v>
      </c>
      <c r="AL83" s="82">
        <v>14</v>
      </c>
      <c r="AM83" s="82">
        <v>6</v>
      </c>
      <c r="AN83" s="82">
        <v>12</v>
      </c>
      <c r="AO83" s="82">
        <v>0</v>
      </c>
      <c r="AP83" s="80">
        <v>0</v>
      </c>
      <c r="AQ83" s="80">
        <v>0</v>
      </c>
      <c r="AR83" s="82">
        <v>0</v>
      </c>
      <c r="AS83" s="82">
        <v>0</v>
      </c>
      <c r="AT83" s="82">
        <v>634</v>
      </c>
      <c r="AU83" s="82">
        <v>0</v>
      </c>
      <c r="AV83" s="82">
        <v>0</v>
      </c>
      <c r="AW83" s="82">
        <v>0</v>
      </c>
      <c r="AX83" s="82">
        <v>0</v>
      </c>
      <c r="AY83" s="82">
        <v>0</v>
      </c>
      <c r="AZ83" s="82">
        <v>0</v>
      </c>
      <c r="BA83" s="82">
        <v>0</v>
      </c>
      <c r="BB83" s="82">
        <v>0</v>
      </c>
      <c r="BC83" s="82">
        <v>0</v>
      </c>
      <c r="BD83" s="82">
        <v>0</v>
      </c>
      <c r="BE83" s="82">
        <v>0</v>
      </c>
      <c r="BF83" s="82">
        <v>0</v>
      </c>
      <c r="BG83" s="82">
        <v>0</v>
      </c>
      <c r="BH83" s="82">
        <v>0</v>
      </c>
      <c r="BI83" s="82">
        <v>0</v>
      </c>
      <c r="BJ83" s="82">
        <v>0</v>
      </c>
      <c r="BK83" s="82">
        <v>0</v>
      </c>
      <c r="BL83" s="82">
        <v>0</v>
      </c>
      <c r="BM83" s="82">
        <v>0</v>
      </c>
      <c r="BN83" s="82">
        <v>0</v>
      </c>
      <c r="BO83" s="82">
        <v>0</v>
      </c>
      <c r="BP83" s="82">
        <v>0</v>
      </c>
      <c r="BQ83" s="82">
        <v>0</v>
      </c>
      <c r="BR83" s="82">
        <v>0</v>
      </c>
      <c r="BS83" s="82">
        <v>0</v>
      </c>
      <c r="BT83" s="82">
        <v>0</v>
      </c>
      <c r="BU83" s="82">
        <v>17784</v>
      </c>
      <c r="BV83" s="82">
        <v>3180</v>
      </c>
      <c r="BX83" s="189">
        <v>44</v>
      </c>
      <c r="BY83" s="190">
        <v>0</v>
      </c>
    </row>
    <row r="84" spans="1:77" ht="8.25" customHeight="1" x14ac:dyDescent="0.15">
      <c r="A84" s="188">
        <v>28001</v>
      </c>
      <c r="B84" s="77" t="str">
        <f>IFERROR(INDEX(SCNtoISIC!$M:$M,MATCH($A84,SCNtoISIC!$J:$J,0)),0)</f>
        <v>ISIC 28</v>
      </c>
      <c r="C84" s="81" t="s">
        <v>451</v>
      </c>
      <c r="D84" s="82">
        <v>0</v>
      </c>
      <c r="E84" s="82">
        <v>0</v>
      </c>
      <c r="F84" s="82">
        <v>0</v>
      </c>
      <c r="G84" s="82">
        <v>0</v>
      </c>
      <c r="H84" s="82">
        <v>0</v>
      </c>
      <c r="I84" s="82">
        <v>0</v>
      </c>
      <c r="J84" s="82">
        <v>0</v>
      </c>
      <c r="K84" s="82">
        <v>0</v>
      </c>
      <c r="L84" s="82">
        <v>0</v>
      </c>
      <c r="M84" s="82">
        <v>0</v>
      </c>
      <c r="N84" s="82">
        <v>0</v>
      </c>
      <c r="O84" s="82">
        <v>0</v>
      </c>
      <c r="P84" s="82">
        <v>10</v>
      </c>
      <c r="Q84" s="82">
        <v>0</v>
      </c>
      <c r="R84" s="82">
        <v>0</v>
      </c>
      <c r="S84" s="82">
        <v>0</v>
      </c>
      <c r="T84" s="82">
        <v>0</v>
      </c>
      <c r="U84" s="82">
        <v>0</v>
      </c>
      <c r="V84" s="82">
        <v>0</v>
      </c>
      <c r="W84" s="82">
        <v>0</v>
      </c>
      <c r="X84" s="82">
        <v>0</v>
      </c>
      <c r="Y84" s="82">
        <v>0</v>
      </c>
      <c r="Z84" s="82">
        <v>0</v>
      </c>
      <c r="AA84" s="82">
        <v>0</v>
      </c>
      <c r="AB84" s="82">
        <v>82</v>
      </c>
      <c r="AC84" s="80">
        <v>19.2</v>
      </c>
      <c r="AD84" s="80">
        <v>12.8</v>
      </c>
      <c r="AE84" s="82">
        <v>11</v>
      </c>
      <c r="AF84" s="82">
        <v>105</v>
      </c>
      <c r="AG84" s="82">
        <v>175</v>
      </c>
      <c r="AH84" s="82">
        <v>25</v>
      </c>
      <c r="AI84" s="82">
        <v>18</v>
      </c>
      <c r="AJ84" s="82">
        <v>20339</v>
      </c>
      <c r="AK84" s="82">
        <v>236</v>
      </c>
      <c r="AL84" s="82">
        <v>156</v>
      </c>
      <c r="AM84" s="82">
        <v>0</v>
      </c>
      <c r="AN84" s="82">
        <v>42</v>
      </c>
      <c r="AO84" s="82">
        <v>12</v>
      </c>
      <c r="AP84" s="80">
        <v>0</v>
      </c>
      <c r="AQ84" s="80">
        <v>0</v>
      </c>
      <c r="AR84" s="82">
        <v>0</v>
      </c>
      <c r="AS84" s="82">
        <v>0</v>
      </c>
      <c r="AT84" s="82">
        <v>93</v>
      </c>
      <c r="AU84" s="82">
        <v>0</v>
      </c>
      <c r="AV84" s="82">
        <v>0</v>
      </c>
      <c r="AW84" s="82">
        <v>0</v>
      </c>
      <c r="AX84" s="82">
        <v>0</v>
      </c>
      <c r="AY84" s="82">
        <v>0</v>
      </c>
      <c r="AZ84" s="82">
        <v>0</v>
      </c>
      <c r="BA84" s="82">
        <v>0</v>
      </c>
      <c r="BB84" s="82">
        <v>0</v>
      </c>
      <c r="BC84" s="82">
        <v>0</v>
      </c>
      <c r="BD84" s="82">
        <v>0</v>
      </c>
      <c r="BE84" s="82">
        <v>0</v>
      </c>
      <c r="BF84" s="82">
        <v>0</v>
      </c>
      <c r="BG84" s="82">
        <v>0</v>
      </c>
      <c r="BH84" s="82">
        <v>0</v>
      </c>
      <c r="BI84" s="82">
        <v>0</v>
      </c>
      <c r="BJ84" s="82">
        <v>0</v>
      </c>
      <c r="BK84" s="82">
        <v>0</v>
      </c>
      <c r="BL84" s="82">
        <v>0</v>
      </c>
      <c r="BM84" s="82">
        <v>0</v>
      </c>
      <c r="BN84" s="82">
        <v>0</v>
      </c>
      <c r="BO84" s="82">
        <v>0</v>
      </c>
      <c r="BP84" s="82">
        <v>0</v>
      </c>
      <c r="BQ84" s="82">
        <v>0</v>
      </c>
      <c r="BR84" s="82">
        <v>0</v>
      </c>
      <c r="BS84" s="82">
        <v>0</v>
      </c>
      <c r="BT84" s="82">
        <v>0</v>
      </c>
      <c r="BU84" s="82">
        <v>21336</v>
      </c>
      <c r="BV84" s="82">
        <v>1671</v>
      </c>
      <c r="BX84" s="189">
        <v>32</v>
      </c>
      <c r="BY84" s="190">
        <v>0</v>
      </c>
    </row>
    <row r="85" spans="1:77" ht="8.25" customHeight="1" x14ac:dyDescent="0.15">
      <c r="A85" s="188">
        <v>28002</v>
      </c>
      <c r="B85" s="77" t="str">
        <f>IFERROR(INDEX(SCNtoISIC!$M:$M,MATCH($A85,SCNtoISIC!$J:$J,0)),0)</f>
        <v>ISIC 28</v>
      </c>
      <c r="C85" s="81" t="s">
        <v>452</v>
      </c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0</v>
      </c>
      <c r="K85" s="82">
        <v>0</v>
      </c>
      <c r="L85" s="82">
        <v>0</v>
      </c>
      <c r="M85" s="82">
        <v>0</v>
      </c>
      <c r="N85" s="82">
        <v>0</v>
      </c>
      <c r="O85" s="82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0</v>
      </c>
      <c r="AA85" s="82">
        <v>0</v>
      </c>
      <c r="AB85" s="82">
        <v>9</v>
      </c>
      <c r="AC85" s="80">
        <v>0</v>
      </c>
      <c r="AD85" s="80">
        <v>0</v>
      </c>
      <c r="AE85" s="82">
        <v>48</v>
      </c>
      <c r="AF85" s="82">
        <v>60</v>
      </c>
      <c r="AG85" s="82">
        <v>244</v>
      </c>
      <c r="AH85" s="82">
        <v>6</v>
      </c>
      <c r="AI85" s="82">
        <v>29</v>
      </c>
      <c r="AJ85" s="82">
        <v>16934</v>
      </c>
      <c r="AK85" s="82">
        <v>58</v>
      </c>
      <c r="AL85" s="82">
        <v>36</v>
      </c>
      <c r="AM85" s="82">
        <v>63</v>
      </c>
      <c r="AN85" s="82">
        <v>0</v>
      </c>
      <c r="AO85" s="82">
        <v>21</v>
      </c>
      <c r="AP85" s="80">
        <v>0</v>
      </c>
      <c r="AQ85" s="80">
        <v>0</v>
      </c>
      <c r="AR85" s="82">
        <v>0</v>
      </c>
      <c r="AS85" s="82">
        <v>66</v>
      </c>
      <c r="AT85" s="82">
        <v>6</v>
      </c>
      <c r="AU85" s="82">
        <v>0</v>
      </c>
      <c r="AV85" s="82">
        <v>0</v>
      </c>
      <c r="AW85" s="82">
        <v>0</v>
      </c>
      <c r="AX85" s="82">
        <v>0</v>
      </c>
      <c r="AY85" s="82">
        <v>0</v>
      </c>
      <c r="AZ85" s="82">
        <v>0</v>
      </c>
      <c r="BA85" s="82">
        <v>0</v>
      </c>
      <c r="BB85" s="82">
        <v>0</v>
      </c>
      <c r="BC85" s="82">
        <v>0</v>
      </c>
      <c r="BD85" s="82">
        <v>0</v>
      </c>
      <c r="BE85" s="82">
        <v>0</v>
      </c>
      <c r="BF85" s="82">
        <v>0</v>
      </c>
      <c r="BG85" s="82">
        <v>0</v>
      </c>
      <c r="BH85" s="82">
        <v>0</v>
      </c>
      <c r="BI85" s="82">
        <v>0</v>
      </c>
      <c r="BJ85" s="82">
        <v>0</v>
      </c>
      <c r="BK85" s="82">
        <v>0</v>
      </c>
      <c r="BL85" s="82">
        <v>0</v>
      </c>
      <c r="BM85" s="82">
        <v>0</v>
      </c>
      <c r="BN85" s="82">
        <v>0</v>
      </c>
      <c r="BO85" s="82">
        <v>0</v>
      </c>
      <c r="BP85" s="82">
        <v>0</v>
      </c>
      <c r="BQ85" s="82">
        <v>0</v>
      </c>
      <c r="BR85" s="82">
        <v>0</v>
      </c>
      <c r="BS85" s="82">
        <v>0</v>
      </c>
      <c r="BT85" s="82">
        <v>0</v>
      </c>
      <c r="BU85" s="82">
        <v>17580</v>
      </c>
      <c r="BV85" s="82">
        <v>5127</v>
      </c>
      <c r="BX85" s="189">
        <v>0</v>
      </c>
      <c r="BY85" s="190">
        <v>0</v>
      </c>
    </row>
    <row r="86" spans="1:77" ht="8.25" customHeight="1" x14ac:dyDescent="0.15">
      <c r="A86" s="188">
        <v>28003</v>
      </c>
      <c r="B86" s="77" t="str">
        <f>IFERROR(INDEX(SCNtoISIC!$M:$M,MATCH($A86,SCNtoISIC!$J:$J,0)),0)</f>
        <v>ISIC 28</v>
      </c>
      <c r="C86" s="81" t="s">
        <v>453</v>
      </c>
      <c r="D86" s="82">
        <v>0</v>
      </c>
      <c r="E86" s="82">
        <v>0</v>
      </c>
      <c r="F86" s="82">
        <v>0</v>
      </c>
      <c r="G86" s="82">
        <v>0</v>
      </c>
      <c r="H86" s="82">
        <v>3</v>
      </c>
      <c r="I86" s="82">
        <v>0</v>
      </c>
      <c r="J86" s="82">
        <v>65</v>
      </c>
      <c r="K86" s="82">
        <v>26</v>
      </c>
      <c r="L86" s="82">
        <v>370</v>
      </c>
      <c r="M86" s="82">
        <v>68</v>
      </c>
      <c r="N86" s="82">
        <v>169</v>
      </c>
      <c r="O86" s="82">
        <v>12</v>
      </c>
      <c r="P86" s="82">
        <v>82</v>
      </c>
      <c r="Q86" s="82">
        <v>8</v>
      </c>
      <c r="R86" s="82">
        <v>5</v>
      </c>
      <c r="S86" s="82">
        <v>11</v>
      </c>
      <c r="T86" s="82">
        <v>546</v>
      </c>
      <c r="U86" s="82">
        <v>15</v>
      </c>
      <c r="V86" s="82">
        <v>0</v>
      </c>
      <c r="W86" s="82">
        <v>91</v>
      </c>
      <c r="X86" s="82">
        <v>323</v>
      </c>
      <c r="Y86" s="82">
        <v>186</v>
      </c>
      <c r="Z86" s="82">
        <v>110</v>
      </c>
      <c r="AA86" s="82">
        <v>4</v>
      </c>
      <c r="AB86" s="82">
        <v>594</v>
      </c>
      <c r="AC86" s="80">
        <v>35.4</v>
      </c>
      <c r="AD86" s="80">
        <v>23.6</v>
      </c>
      <c r="AE86" s="82">
        <v>397</v>
      </c>
      <c r="AF86" s="82">
        <v>430</v>
      </c>
      <c r="AG86" s="82">
        <v>1206</v>
      </c>
      <c r="AH86" s="82">
        <v>2793</v>
      </c>
      <c r="AI86" s="82">
        <v>1887</v>
      </c>
      <c r="AJ86" s="82">
        <v>69865</v>
      </c>
      <c r="AK86" s="82">
        <v>304</v>
      </c>
      <c r="AL86" s="82">
        <v>1139</v>
      </c>
      <c r="AM86" s="82">
        <v>437</v>
      </c>
      <c r="AN86" s="82">
        <v>366</v>
      </c>
      <c r="AO86" s="82">
        <v>481</v>
      </c>
      <c r="AP86" s="80">
        <v>1.3333333333333333</v>
      </c>
      <c r="AQ86" s="80">
        <v>0.66666666666666663</v>
      </c>
      <c r="AR86" s="82">
        <v>0</v>
      </c>
      <c r="AS86" s="82">
        <v>0</v>
      </c>
      <c r="AT86" s="82">
        <v>845</v>
      </c>
      <c r="AU86" s="82">
        <v>0</v>
      </c>
      <c r="AV86" s="82">
        <v>0</v>
      </c>
      <c r="AW86" s="82">
        <v>0</v>
      </c>
      <c r="AX86" s="82">
        <v>0</v>
      </c>
      <c r="AY86" s="82">
        <v>0</v>
      </c>
      <c r="AZ86" s="82">
        <v>0</v>
      </c>
      <c r="BA86" s="82">
        <v>0</v>
      </c>
      <c r="BB86" s="82">
        <v>0</v>
      </c>
      <c r="BC86" s="82">
        <v>0</v>
      </c>
      <c r="BD86" s="82">
        <v>13</v>
      </c>
      <c r="BE86" s="82">
        <v>0</v>
      </c>
      <c r="BF86" s="82">
        <v>0</v>
      </c>
      <c r="BG86" s="82">
        <v>0</v>
      </c>
      <c r="BH86" s="82">
        <v>91</v>
      </c>
      <c r="BI86" s="82">
        <v>0</v>
      </c>
      <c r="BJ86" s="82">
        <v>0</v>
      </c>
      <c r="BK86" s="82">
        <v>0</v>
      </c>
      <c r="BL86" s="82">
        <v>0</v>
      </c>
      <c r="BM86" s="82">
        <v>201</v>
      </c>
      <c r="BN86" s="82">
        <v>0</v>
      </c>
      <c r="BO86" s="82">
        <v>0</v>
      </c>
      <c r="BP86" s="82">
        <v>0</v>
      </c>
      <c r="BQ86" s="82">
        <v>0</v>
      </c>
      <c r="BR86" s="82">
        <v>0</v>
      </c>
      <c r="BS86" s="82">
        <v>0</v>
      </c>
      <c r="BT86" s="82">
        <v>0</v>
      </c>
      <c r="BU86" s="82">
        <v>83204</v>
      </c>
      <c r="BV86" s="82">
        <v>50153</v>
      </c>
      <c r="BX86" s="189">
        <v>59</v>
      </c>
      <c r="BY86" s="190">
        <v>2</v>
      </c>
    </row>
    <row r="87" spans="1:77" ht="8.25" customHeight="1" x14ac:dyDescent="0.15">
      <c r="A87" s="185">
        <v>29911</v>
      </c>
      <c r="B87" s="77" t="str">
        <f>IFERROR(INDEX(SCNtoISIC!$M:$M,MATCH($A87,SCNtoISIC!$J:$J,0)),0)</f>
        <v>ISIC 29</v>
      </c>
      <c r="C87" s="78" t="s">
        <v>455</v>
      </c>
      <c r="D87" s="79">
        <v>0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79">
        <v>0</v>
      </c>
      <c r="L87" s="79">
        <v>0</v>
      </c>
      <c r="M87" s="79">
        <v>0</v>
      </c>
      <c r="N87" s="79">
        <v>0</v>
      </c>
      <c r="O87" s="79">
        <v>0</v>
      </c>
      <c r="P87" s="79">
        <v>0</v>
      </c>
      <c r="Q87" s="79">
        <v>0</v>
      </c>
      <c r="R87" s="79">
        <v>0</v>
      </c>
      <c r="S87" s="79">
        <v>0</v>
      </c>
      <c r="T87" s="79">
        <v>0</v>
      </c>
      <c r="U87" s="79">
        <v>0</v>
      </c>
      <c r="V87" s="79">
        <v>0</v>
      </c>
      <c r="W87" s="79">
        <v>0</v>
      </c>
      <c r="X87" s="79">
        <v>0</v>
      </c>
      <c r="Y87" s="79">
        <v>0</v>
      </c>
      <c r="Z87" s="79">
        <v>0</v>
      </c>
      <c r="AA87" s="79">
        <v>0</v>
      </c>
      <c r="AB87" s="79">
        <v>0</v>
      </c>
      <c r="AC87" s="80">
        <v>0</v>
      </c>
      <c r="AD87" s="80">
        <v>0</v>
      </c>
      <c r="AE87" s="79">
        <v>0</v>
      </c>
      <c r="AF87" s="79">
        <v>0</v>
      </c>
      <c r="AG87" s="79">
        <v>0</v>
      </c>
      <c r="AH87" s="79">
        <v>0</v>
      </c>
      <c r="AI87" s="79">
        <v>0</v>
      </c>
      <c r="AJ87" s="79">
        <v>12</v>
      </c>
      <c r="AK87" s="79">
        <v>105526</v>
      </c>
      <c r="AL87" s="79">
        <v>467</v>
      </c>
      <c r="AM87" s="79">
        <v>0</v>
      </c>
      <c r="AN87" s="79">
        <v>0</v>
      </c>
      <c r="AO87" s="79">
        <v>0</v>
      </c>
      <c r="AP87" s="80">
        <v>0</v>
      </c>
      <c r="AQ87" s="80">
        <v>0</v>
      </c>
      <c r="AR87" s="79">
        <v>0</v>
      </c>
      <c r="AS87" s="79">
        <v>0</v>
      </c>
      <c r="AT87" s="79">
        <v>0</v>
      </c>
      <c r="AU87" s="79">
        <v>0</v>
      </c>
      <c r="AV87" s="79">
        <v>0</v>
      </c>
      <c r="AW87" s="79">
        <v>0</v>
      </c>
      <c r="AX87" s="79">
        <v>0</v>
      </c>
      <c r="AY87" s="79">
        <v>0</v>
      </c>
      <c r="AZ87" s="79">
        <v>0</v>
      </c>
      <c r="BA87" s="79">
        <v>0</v>
      </c>
      <c r="BB87" s="79">
        <v>0</v>
      </c>
      <c r="BC87" s="79">
        <v>0</v>
      </c>
      <c r="BD87" s="79">
        <v>0</v>
      </c>
      <c r="BE87" s="79">
        <v>0</v>
      </c>
      <c r="BF87" s="79">
        <v>0</v>
      </c>
      <c r="BG87" s="79">
        <v>0</v>
      </c>
      <c r="BH87" s="79">
        <v>0</v>
      </c>
      <c r="BI87" s="79">
        <v>0</v>
      </c>
      <c r="BJ87" s="79">
        <v>0</v>
      </c>
      <c r="BK87" s="79">
        <v>0</v>
      </c>
      <c r="BL87" s="79">
        <v>0</v>
      </c>
      <c r="BM87" s="79">
        <v>0</v>
      </c>
      <c r="BN87" s="79">
        <v>0</v>
      </c>
      <c r="BO87" s="79">
        <v>0</v>
      </c>
      <c r="BP87" s="79">
        <v>0</v>
      </c>
      <c r="BQ87" s="79">
        <v>0</v>
      </c>
      <c r="BR87" s="79">
        <v>0</v>
      </c>
      <c r="BS87" s="79">
        <v>0</v>
      </c>
      <c r="BT87" s="79">
        <v>0</v>
      </c>
      <c r="BU87" s="79">
        <v>106005</v>
      </c>
      <c r="BV87" s="79">
        <v>23688</v>
      </c>
      <c r="BX87" s="186">
        <v>0</v>
      </c>
      <c r="BY87" s="187">
        <v>0</v>
      </c>
    </row>
    <row r="88" spans="1:77" ht="8.25" customHeight="1" x14ac:dyDescent="0.15">
      <c r="A88" s="185">
        <v>29912</v>
      </c>
      <c r="B88" s="77" t="str">
        <f>IFERROR(INDEX(SCNtoISIC!$M:$M,MATCH($A88,SCNtoISIC!$J:$J,0)),0)</f>
        <v>ISIC 29</v>
      </c>
      <c r="C88" s="78" t="s">
        <v>625</v>
      </c>
      <c r="D88" s="79">
        <v>0</v>
      </c>
      <c r="E88" s="79">
        <v>0</v>
      </c>
      <c r="F88" s="79">
        <v>0</v>
      </c>
      <c r="G88" s="79">
        <v>0</v>
      </c>
      <c r="H88" s="79">
        <v>0</v>
      </c>
      <c r="I88" s="79">
        <v>0</v>
      </c>
      <c r="J88" s="79">
        <v>0</v>
      </c>
      <c r="K88" s="79">
        <v>0</v>
      </c>
      <c r="L88" s="79">
        <v>0</v>
      </c>
      <c r="M88" s="79">
        <v>0</v>
      </c>
      <c r="N88" s="79">
        <v>0</v>
      </c>
      <c r="O88" s="79">
        <v>0</v>
      </c>
      <c r="P88" s="79">
        <v>9</v>
      </c>
      <c r="Q88" s="79">
        <v>0</v>
      </c>
      <c r="R88" s="79">
        <v>0</v>
      </c>
      <c r="S88" s="79">
        <v>0</v>
      </c>
      <c r="T88" s="79">
        <v>0</v>
      </c>
      <c r="U88" s="79">
        <v>0</v>
      </c>
      <c r="V88" s="79">
        <v>0</v>
      </c>
      <c r="W88" s="79">
        <v>0</v>
      </c>
      <c r="X88" s="79">
        <v>0</v>
      </c>
      <c r="Y88" s="79">
        <v>0</v>
      </c>
      <c r="Z88" s="79">
        <v>0</v>
      </c>
      <c r="AA88" s="79">
        <v>0</v>
      </c>
      <c r="AB88" s="79">
        <v>254</v>
      </c>
      <c r="AC88" s="80">
        <v>88.8</v>
      </c>
      <c r="AD88" s="80">
        <v>59.2</v>
      </c>
      <c r="AE88" s="79">
        <v>0</v>
      </c>
      <c r="AF88" s="79">
        <v>0</v>
      </c>
      <c r="AG88" s="79">
        <v>149</v>
      </c>
      <c r="AH88" s="79">
        <v>0</v>
      </c>
      <c r="AI88" s="79">
        <v>3</v>
      </c>
      <c r="AJ88" s="79">
        <v>203</v>
      </c>
      <c r="AK88" s="79">
        <v>32985</v>
      </c>
      <c r="AL88" s="79">
        <v>304</v>
      </c>
      <c r="AM88" s="79">
        <v>0</v>
      </c>
      <c r="AN88" s="79">
        <v>6</v>
      </c>
      <c r="AO88" s="79">
        <v>28</v>
      </c>
      <c r="AP88" s="80">
        <v>0</v>
      </c>
      <c r="AQ88" s="80">
        <v>0</v>
      </c>
      <c r="AR88" s="79">
        <v>0</v>
      </c>
      <c r="AS88" s="79">
        <v>0</v>
      </c>
      <c r="AT88" s="79">
        <v>0</v>
      </c>
      <c r="AU88" s="79">
        <v>0</v>
      </c>
      <c r="AV88" s="79">
        <v>0</v>
      </c>
      <c r="AW88" s="79">
        <v>0</v>
      </c>
      <c r="AX88" s="79">
        <v>0</v>
      </c>
      <c r="AY88" s="79">
        <v>0</v>
      </c>
      <c r="AZ88" s="79">
        <v>0</v>
      </c>
      <c r="BA88" s="79">
        <v>0</v>
      </c>
      <c r="BB88" s="79">
        <v>0</v>
      </c>
      <c r="BC88" s="79">
        <v>0</v>
      </c>
      <c r="BD88" s="79">
        <v>0</v>
      </c>
      <c r="BE88" s="79">
        <v>0</v>
      </c>
      <c r="BF88" s="79">
        <v>0</v>
      </c>
      <c r="BG88" s="79">
        <v>0</v>
      </c>
      <c r="BH88" s="79">
        <v>0</v>
      </c>
      <c r="BI88" s="79">
        <v>0</v>
      </c>
      <c r="BJ88" s="79">
        <v>56</v>
      </c>
      <c r="BK88" s="79">
        <v>0</v>
      </c>
      <c r="BL88" s="79">
        <v>0</v>
      </c>
      <c r="BM88" s="79">
        <v>0</v>
      </c>
      <c r="BN88" s="79">
        <v>0</v>
      </c>
      <c r="BO88" s="79">
        <v>0</v>
      </c>
      <c r="BP88" s="79">
        <v>0</v>
      </c>
      <c r="BQ88" s="79">
        <v>0</v>
      </c>
      <c r="BR88" s="79">
        <v>0</v>
      </c>
      <c r="BS88" s="79">
        <v>0</v>
      </c>
      <c r="BT88" s="79">
        <v>0</v>
      </c>
      <c r="BU88" s="79">
        <v>34145</v>
      </c>
      <c r="BV88" s="79">
        <v>3168</v>
      </c>
      <c r="BX88" s="186">
        <v>148</v>
      </c>
      <c r="BY88" s="187">
        <v>0</v>
      </c>
    </row>
    <row r="89" spans="1:77" ht="8.25" customHeight="1" x14ac:dyDescent="0.15">
      <c r="A89" s="185">
        <v>29921</v>
      </c>
      <c r="B89" s="77" t="str">
        <f>IFERROR(INDEX(SCNtoISIC!$M:$M,MATCH($A89,SCNtoISIC!$J:$J,0)),0)</f>
        <v>ISIC 29</v>
      </c>
      <c r="C89" s="78" t="s">
        <v>458</v>
      </c>
      <c r="D89" s="79">
        <v>0</v>
      </c>
      <c r="E89" s="79">
        <v>0</v>
      </c>
      <c r="F89" s="79">
        <v>0</v>
      </c>
      <c r="G89" s="79">
        <v>0</v>
      </c>
      <c r="H89" s="79">
        <v>0</v>
      </c>
      <c r="I89" s="79">
        <v>0</v>
      </c>
      <c r="J89" s="79">
        <v>0</v>
      </c>
      <c r="K89" s="79">
        <v>0</v>
      </c>
      <c r="L89" s="79">
        <v>0</v>
      </c>
      <c r="M89" s="79">
        <v>0</v>
      </c>
      <c r="N89" s="79">
        <v>0</v>
      </c>
      <c r="O89" s="79">
        <v>0</v>
      </c>
      <c r="P89" s="79">
        <v>55</v>
      </c>
      <c r="Q89" s="79">
        <v>0</v>
      </c>
      <c r="R89" s="79">
        <v>48</v>
      </c>
      <c r="S89" s="79">
        <v>0</v>
      </c>
      <c r="T89" s="79">
        <v>0</v>
      </c>
      <c r="U89" s="79">
        <v>0</v>
      </c>
      <c r="V89" s="79">
        <v>0</v>
      </c>
      <c r="W89" s="79">
        <v>0</v>
      </c>
      <c r="X89" s="79">
        <v>12</v>
      </c>
      <c r="Y89" s="79">
        <v>21</v>
      </c>
      <c r="Z89" s="79">
        <v>0</v>
      </c>
      <c r="AA89" s="79">
        <v>0</v>
      </c>
      <c r="AB89" s="79">
        <v>797</v>
      </c>
      <c r="AC89" s="80">
        <v>37.799999999999997</v>
      </c>
      <c r="AD89" s="80">
        <v>25.200000000000003</v>
      </c>
      <c r="AE89" s="79">
        <v>42</v>
      </c>
      <c r="AF89" s="79">
        <v>151</v>
      </c>
      <c r="AG89" s="79">
        <v>305</v>
      </c>
      <c r="AH89" s="79">
        <v>131</v>
      </c>
      <c r="AI89" s="79">
        <v>170</v>
      </c>
      <c r="AJ89" s="79">
        <v>2037</v>
      </c>
      <c r="AK89" s="79">
        <v>1530</v>
      </c>
      <c r="AL89" s="79">
        <v>63028</v>
      </c>
      <c r="AM89" s="79">
        <v>198</v>
      </c>
      <c r="AN89" s="79">
        <v>21</v>
      </c>
      <c r="AO89" s="79">
        <v>19</v>
      </c>
      <c r="AP89" s="80">
        <v>0</v>
      </c>
      <c r="AQ89" s="80">
        <v>0</v>
      </c>
      <c r="AR89" s="79">
        <v>0</v>
      </c>
      <c r="AS89" s="79">
        <v>0</v>
      </c>
      <c r="AT89" s="79">
        <v>657</v>
      </c>
      <c r="AU89" s="79">
        <v>0</v>
      </c>
      <c r="AV89" s="79">
        <v>0</v>
      </c>
      <c r="AW89" s="79">
        <v>0</v>
      </c>
      <c r="AX89" s="79">
        <v>0</v>
      </c>
      <c r="AY89" s="79">
        <v>0</v>
      </c>
      <c r="AZ89" s="79">
        <v>0</v>
      </c>
      <c r="BA89" s="79">
        <v>0</v>
      </c>
      <c r="BB89" s="79">
        <v>0</v>
      </c>
      <c r="BC89" s="79">
        <v>0</v>
      </c>
      <c r="BD89" s="79">
        <v>0</v>
      </c>
      <c r="BE89" s="79">
        <v>0</v>
      </c>
      <c r="BF89" s="79">
        <v>0</v>
      </c>
      <c r="BG89" s="79">
        <v>0</v>
      </c>
      <c r="BH89" s="79">
        <v>0</v>
      </c>
      <c r="BI89" s="79">
        <v>0</v>
      </c>
      <c r="BJ89" s="79">
        <v>0</v>
      </c>
      <c r="BK89" s="79">
        <v>0</v>
      </c>
      <c r="BL89" s="79">
        <v>0</v>
      </c>
      <c r="BM89" s="79">
        <v>0</v>
      </c>
      <c r="BN89" s="79">
        <v>0</v>
      </c>
      <c r="BO89" s="79">
        <v>0</v>
      </c>
      <c r="BP89" s="79">
        <v>0</v>
      </c>
      <c r="BQ89" s="79">
        <v>0</v>
      </c>
      <c r="BR89" s="79">
        <v>0</v>
      </c>
      <c r="BS89" s="79">
        <v>0</v>
      </c>
      <c r="BT89" s="79">
        <v>0</v>
      </c>
      <c r="BU89" s="79">
        <v>69285</v>
      </c>
      <c r="BV89" s="79">
        <v>26565</v>
      </c>
      <c r="BX89" s="186">
        <v>63</v>
      </c>
      <c r="BY89" s="187">
        <v>0</v>
      </c>
    </row>
    <row r="90" spans="1:77" ht="8.25" customHeight="1" x14ac:dyDescent="0.15">
      <c r="A90" s="185">
        <v>30001</v>
      </c>
      <c r="B90" s="77" t="str">
        <f>IFERROR(INDEX(SCNtoISIC!$M:$M,MATCH($A90,SCNtoISIC!$J:$J,0)),0)</f>
        <v>ISIC 30</v>
      </c>
      <c r="C90" s="78" t="s">
        <v>460</v>
      </c>
      <c r="D90" s="79">
        <v>0</v>
      </c>
      <c r="E90" s="79">
        <v>0</v>
      </c>
      <c r="F90" s="79">
        <v>0</v>
      </c>
      <c r="G90" s="79">
        <v>0</v>
      </c>
      <c r="H90" s="79">
        <v>0</v>
      </c>
      <c r="I90" s="79">
        <v>0</v>
      </c>
      <c r="J90" s="79">
        <v>0</v>
      </c>
      <c r="K90" s="79">
        <v>0</v>
      </c>
      <c r="L90" s="79">
        <v>0</v>
      </c>
      <c r="M90" s="79">
        <v>0</v>
      </c>
      <c r="N90" s="79">
        <v>0</v>
      </c>
      <c r="O90" s="79">
        <v>0</v>
      </c>
      <c r="P90" s="79">
        <v>0</v>
      </c>
      <c r="Q90" s="79">
        <v>0</v>
      </c>
      <c r="R90" s="79">
        <v>0</v>
      </c>
      <c r="S90" s="79">
        <v>0</v>
      </c>
      <c r="T90" s="79">
        <v>0</v>
      </c>
      <c r="U90" s="79">
        <v>0</v>
      </c>
      <c r="V90" s="79">
        <v>0</v>
      </c>
      <c r="W90" s="79">
        <v>0</v>
      </c>
      <c r="X90" s="79">
        <v>0</v>
      </c>
      <c r="Y90" s="79">
        <v>0</v>
      </c>
      <c r="Z90" s="79">
        <v>0</v>
      </c>
      <c r="AA90" s="79">
        <v>0</v>
      </c>
      <c r="AB90" s="79">
        <v>58</v>
      </c>
      <c r="AC90" s="80">
        <v>0</v>
      </c>
      <c r="AD90" s="80">
        <v>0</v>
      </c>
      <c r="AE90" s="79">
        <v>0</v>
      </c>
      <c r="AF90" s="79">
        <v>210</v>
      </c>
      <c r="AG90" s="79">
        <v>272</v>
      </c>
      <c r="AH90" s="79">
        <v>14</v>
      </c>
      <c r="AI90" s="79">
        <v>182</v>
      </c>
      <c r="AJ90" s="79">
        <v>140</v>
      </c>
      <c r="AK90" s="79">
        <v>905</v>
      </c>
      <c r="AL90" s="79">
        <v>301</v>
      </c>
      <c r="AM90" s="79">
        <v>48373</v>
      </c>
      <c r="AN90" s="79">
        <v>133</v>
      </c>
      <c r="AO90" s="79">
        <v>568</v>
      </c>
      <c r="AP90" s="80">
        <v>0</v>
      </c>
      <c r="AQ90" s="80">
        <v>0</v>
      </c>
      <c r="AR90" s="79">
        <v>0</v>
      </c>
      <c r="AS90" s="79">
        <v>0</v>
      </c>
      <c r="AT90" s="79">
        <v>0</v>
      </c>
      <c r="AU90" s="79">
        <v>0</v>
      </c>
      <c r="AV90" s="79">
        <v>0</v>
      </c>
      <c r="AW90" s="79">
        <v>0</v>
      </c>
      <c r="AX90" s="79">
        <v>0</v>
      </c>
      <c r="AY90" s="79">
        <v>0</v>
      </c>
      <c r="AZ90" s="79">
        <v>0</v>
      </c>
      <c r="BA90" s="79">
        <v>0</v>
      </c>
      <c r="BB90" s="79">
        <v>0</v>
      </c>
      <c r="BC90" s="79">
        <v>0</v>
      </c>
      <c r="BD90" s="79">
        <v>0</v>
      </c>
      <c r="BE90" s="79">
        <v>0</v>
      </c>
      <c r="BF90" s="79">
        <v>0</v>
      </c>
      <c r="BG90" s="79">
        <v>0</v>
      </c>
      <c r="BH90" s="79">
        <v>0</v>
      </c>
      <c r="BI90" s="79">
        <v>0</v>
      </c>
      <c r="BJ90" s="79">
        <v>0</v>
      </c>
      <c r="BK90" s="79">
        <v>0</v>
      </c>
      <c r="BL90" s="79">
        <v>0</v>
      </c>
      <c r="BM90" s="79">
        <v>0</v>
      </c>
      <c r="BN90" s="79">
        <v>0</v>
      </c>
      <c r="BO90" s="79">
        <v>0</v>
      </c>
      <c r="BP90" s="79">
        <v>0</v>
      </c>
      <c r="BQ90" s="79">
        <v>0</v>
      </c>
      <c r="BR90" s="79">
        <v>0</v>
      </c>
      <c r="BS90" s="79">
        <v>0</v>
      </c>
      <c r="BT90" s="79">
        <v>0</v>
      </c>
      <c r="BU90" s="79">
        <v>51156</v>
      </c>
      <c r="BV90" s="79">
        <v>26906</v>
      </c>
      <c r="BX90" s="186">
        <v>0</v>
      </c>
      <c r="BY90" s="187">
        <v>0</v>
      </c>
    </row>
    <row r="91" spans="1:77" ht="8.25" customHeight="1" x14ac:dyDescent="0.15">
      <c r="A91" s="185">
        <v>31801</v>
      </c>
      <c r="B91" s="77" t="str">
        <f>IFERROR(INDEX(SCNtoISIC!$M:$M,MATCH($A91,SCNtoISIC!$J:$J,0)),0)</f>
        <v>ISIC 30</v>
      </c>
      <c r="C91" s="78" t="s">
        <v>462</v>
      </c>
      <c r="D91" s="79">
        <v>0</v>
      </c>
      <c r="E91" s="79">
        <v>0</v>
      </c>
      <c r="F91" s="79">
        <v>0</v>
      </c>
      <c r="G91" s="79">
        <v>0</v>
      </c>
      <c r="H91" s="79">
        <v>0</v>
      </c>
      <c r="I91" s="79">
        <v>0</v>
      </c>
      <c r="J91" s="79">
        <v>0</v>
      </c>
      <c r="K91" s="79">
        <v>0</v>
      </c>
      <c r="L91" s="79">
        <v>0</v>
      </c>
      <c r="M91" s="79">
        <v>0</v>
      </c>
      <c r="N91" s="79">
        <v>0</v>
      </c>
      <c r="O91" s="79">
        <v>0</v>
      </c>
      <c r="P91" s="79">
        <v>108</v>
      </c>
      <c r="Q91" s="79">
        <v>0</v>
      </c>
      <c r="R91" s="79">
        <v>0</v>
      </c>
      <c r="S91" s="79">
        <v>98</v>
      </c>
      <c r="T91" s="79">
        <v>0</v>
      </c>
      <c r="U91" s="79">
        <v>0</v>
      </c>
      <c r="V91" s="79">
        <v>0</v>
      </c>
      <c r="W91" s="79">
        <v>0</v>
      </c>
      <c r="X91" s="79">
        <v>3</v>
      </c>
      <c r="Y91" s="79">
        <v>0</v>
      </c>
      <c r="Z91" s="79">
        <v>0</v>
      </c>
      <c r="AA91" s="79">
        <v>0</v>
      </c>
      <c r="AB91" s="79">
        <v>221</v>
      </c>
      <c r="AC91" s="80">
        <v>6.6</v>
      </c>
      <c r="AD91" s="80">
        <v>4.4000000000000004</v>
      </c>
      <c r="AE91" s="79">
        <v>0</v>
      </c>
      <c r="AF91" s="79">
        <v>0</v>
      </c>
      <c r="AG91" s="79">
        <v>238</v>
      </c>
      <c r="AH91" s="79">
        <v>23</v>
      </c>
      <c r="AI91" s="79">
        <v>90</v>
      </c>
      <c r="AJ91" s="79">
        <v>146</v>
      </c>
      <c r="AK91" s="79">
        <v>0</v>
      </c>
      <c r="AL91" s="79">
        <v>12</v>
      </c>
      <c r="AM91" s="79">
        <v>51</v>
      </c>
      <c r="AN91" s="79">
        <v>35773</v>
      </c>
      <c r="AO91" s="79">
        <v>38</v>
      </c>
      <c r="AP91" s="80">
        <v>0</v>
      </c>
      <c r="AQ91" s="80">
        <v>0</v>
      </c>
      <c r="AR91" s="79">
        <v>0</v>
      </c>
      <c r="AS91" s="79">
        <v>0</v>
      </c>
      <c r="AT91" s="79">
        <v>872</v>
      </c>
      <c r="AU91" s="79">
        <v>0</v>
      </c>
      <c r="AV91" s="79">
        <v>0</v>
      </c>
      <c r="AW91" s="79">
        <v>0</v>
      </c>
      <c r="AX91" s="79">
        <v>0</v>
      </c>
      <c r="AY91" s="79">
        <v>0</v>
      </c>
      <c r="AZ91" s="79">
        <v>0</v>
      </c>
      <c r="BA91" s="79">
        <v>0</v>
      </c>
      <c r="BB91" s="79">
        <v>0</v>
      </c>
      <c r="BC91" s="79">
        <v>0</v>
      </c>
      <c r="BD91" s="79">
        <v>0</v>
      </c>
      <c r="BE91" s="79">
        <v>0</v>
      </c>
      <c r="BF91" s="79">
        <v>0</v>
      </c>
      <c r="BG91" s="79">
        <v>0</v>
      </c>
      <c r="BH91" s="79">
        <v>0</v>
      </c>
      <c r="BI91" s="79">
        <v>0</v>
      </c>
      <c r="BJ91" s="79">
        <v>0</v>
      </c>
      <c r="BK91" s="79">
        <v>0</v>
      </c>
      <c r="BL91" s="79">
        <v>0</v>
      </c>
      <c r="BM91" s="79">
        <v>0</v>
      </c>
      <c r="BN91" s="79">
        <v>0</v>
      </c>
      <c r="BO91" s="79">
        <v>0</v>
      </c>
      <c r="BP91" s="79">
        <v>0</v>
      </c>
      <c r="BQ91" s="79">
        <v>0</v>
      </c>
      <c r="BR91" s="79">
        <v>0</v>
      </c>
      <c r="BS91" s="79">
        <v>0</v>
      </c>
      <c r="BT91" s="79">
        <v>0</v>
      </c>
      <c r="BU91" s="79">
        <v>37684</v>
      </c>
      <c r="BV91" s="79">
        <v>1928</v>
      </c>
      <c r="BX91" s="186">
        <v>11</v>
      </c>
      <c r="BY91" s="187">
        <v>0</v>
      </c>
    </row>
    <row r="92" spans="1:77" ht="8.25" customHeight="1" x14ac:dyDescent="0.15">
      <c r="A92" s="188">
        <v>31802</v>
      </c>
      <c r="B92" s="77" t="str">
        <f>IFERROR(INDEX(SCNtoISIC!$M:$M,MATCH($A92,SCNtoISIC!$J:$J,0)),0)</f>
        <v>ISIC 30</v>
      </c>
      <c r="C92" s="81" t="s">
        <v>463</v>
      </c>
      <c r="D92" s="82">
        <v>0</v>
      </c>
      <c r="E92" s="82">
        <v>0</v>
      </c>
      <c r="F92" s="82">
        <v>0</v>
      </c>
      <c r="G92" s="82">
        <v>0</v>
      </c>
      <c r="H92" s="82">
        <v>0</v>
      </c>
      <c r="I92" s="82">
        <v>0</v>
      </c>
      <c r="J92" s="82">
        <v>0</v>
      </c>
      <c r="K92" s="82">
        <v>0</v>
      </c>
      <c r="L92" s="82">
        <v>0</v>
      </c>
      <c r="M92" s="82">
        <v>0</v>
      </c>
      <c r="N92" s="82">
        <v>0</v>
      </c>
      <c r="O92" s="82">
        <v>0</v>
      </c>
      <c r="P92" s="82">
        <v>148</v>
      </c>
      <c r="Q92" s="82">
        <v>135</v>
      </c>
      <c r="R92" s="82">
        <v>44</v>
      </c>
      <c r="S92" s="82">
        <v>8</v>
      </c>
      <c r="T92" s="82">
        <v>94</v>
      </c>
      <c r="U92" s="82">
        <v>250</v>
      </c>
      <c r="V92" s="82">
        <v>0</v>
      </c>
      <c r="W92" s="82">
        <v>0</v>
      </c>
      <c r="X92" s="82">
        <v>23</v>
      </c>
      <c r="Y92" s="82">
        <v>34</v>
      </c>
      <c r="Z92" s="82">
        <v>600</v>
      </c>
      <c r="AA92" s="82">
        <v>87</v>
      </c>
      <c r="AB92" s="82">
        <v>467</v>
      </c>
      <c r="AC92" s="80">
        <v>123.6</v>
      </c>
      <c r="AD92" s="80">
        <v>82.4</v>
      </c>
      <c r="AE92" s="82">
        <v>0</v>
      </c>
      <c r="AF92" s="82">
        <v>80</v>
      </c>
      <c r="AG92" s="82">
        <v>92</v>
      </c>
      <c r="AH92" s="82">
        <v>192</v>
      </c>
      <c r="AI92" s="82">
        <v>3</v>
      </c>
      <c r="AJ92" s="82">
        <v>39</v>
      </c>
      <c r="AK92" s="82">
        <v>0</v>
      </c>
      <c r="AL92" s="82">
        <v>0</v>
      </c>
      <c r="AM92" s="82">
        <v>78</v>
      </c>
      <c r="AN92" s="82">
        <v>29676</v>
      </c>
      <c r="AO92" s="82">
        <v>0</v>
      </c>
      <c r="AP92" s="80">
        <v>0</v>
      </c>
      <c r="AQ92" s="80">
        <v>0</v>
      </c>
      <c r="AR92" s="82">
        <v>0</v>
      </c>
      <c r="AS92" s="82">
        <v>0</v>
      </c>
      <c r="AT92" s="82">
        <v>299</v>
      </c>
      <c r="AU92" s="82">
        <v>0</v>
      </c>
      <c r="AV92" s="82">
        <v>0</v>
      </c>
      <c r="AW92" s="82">
        <v>0</v>
      </c>
      <c r="AX92" s="82">
        <v>0</v>
      </c>
      <c r="AY92" s="82">
        <v>0</v>
      </c>
      <c r="AZ92" s="82">
        <v>0</v>
      </c>
      <c r="BA92" s="82">
        <v>0</v>
      </c>
      <c r="BB92" s="82">
        <v>0</v>
      </c>
      <c r="BC92" s="82">
        <v>0</v>
      </c>
      <c r="BD92" s="82">
        <v>0</v>
      </c>
      <c r="BE92" s="82">
        <v>0</v>
      </c>
      <c r="BF92" s="82">
        <v>0</v>
      </c>
      <c r="BG92" s="82">
        <v>0</v>
      </c>
      <c r="BH92" s="82">
        <v>0</v>
      </c>
      <c r="BI92" s="82">
        <v>0</v>
      </c>
      <c r="BJ92" s="82">
        <v>0</v>
      </c>
      <c r="BK92" s="82">
        <v>0</v>
      </c>
      <c r="BL92" s="82">
        <v>0</v>
      </c>
      <c r="BM92" s="82">
        <v>0</v>
      </c>
      <c r="BN92" s="82">
        <v>0</v>
      </c>
      <c r="BO92" s="82">
        <v>0</v>
      </c>
      <c r="BP92" s="82">
        <v>0</v>
      </c>
      <c r="BQ92" s="82">
        <v>0</v>
      </c>
      <c r="BR92" s="82">
        <v>0</v>
      </c>
      <c r="BS92" s="82">
        <v>0</v>
      </c>
      <c r="BT92" s="82">
        <v>0</v>
      </c>
      <c r="BU92" s="82">
        <v>32555</v>
      </c>
      <c r="BV92" s="82">
        <v>12425</v>
      </c>
      <c r="BX92" s="189">
        <v>206</v>
      </c>
      <c r="BY92" s="190">
        <v>0</v>
      </c>
    </row>
    <row r="93" spans="1:77" ht="8.25" customHeight="1" x14ac:dyDescent="0.15">
      <c r="A93" s="188">
        <v>33001</v>
      </c>
      <c r="B93" s="77" t="str">
        <f>IFERROR(INDEX(SCNtoISIC!$M:$M,MATCH($A93,SCNtoISIC!$J:$J,0)),0)</f>
        <v>ISIC 31T33</v>
      </c>
      <c r="C93" s="81" t="s">
        <v>254</v>
      </c>
      <c r="D93" s="82">
        <v>0</v>
      </c>
      <c r="E93" s="82">
        <v>0</v>
      </c>
      <c r="F93" s="82">
        <v>0</v>
      </c>
      <c r="G93" s="82">
        <v>0</v>
      </c>
      <c r="H93" s="82">
        <v>0</v>
      </c>
      <c r="I93" s="82">
        <v>0</v>
      </c>
      <c r="J93" s="82">
        <v>0</v>
      </c>
      <c r="K93" s="82">
        <v>0</v>
      </c>
      <c r="L93" s="82">
        <v>0</v>
      </c>
      <c r="M93" s="82">
        <v>0</v>
      </c>
      <c r="N93" s="82">
        <v>0</v>
      </c>
      <c r="O93" s="82">
        <v>0</v>
      </c>
      <c r="P93" s="82">
        <v>0</v>
      </c>
      <c r="Q93" s="82">
        <v>0</v>
      </c>
      <c r="R93" s="82">
        <v>0</v>
      </c>
      <c r="S93" s="82">
        <v>0</v>
      </c>
      <c r="T93" s="82">
        <v>0</v>
      </c>
      <c r="U93" s="82">
        <v>0</v>
      </c>
      <c r="V93" s="82">
        <v>0</v>
      </c>
      <c r="W93" s="82">
        <v>0</v>
      </c>
      <c r="X93" s="82">
        <v>0</v>
      </c>
      <c r="Y93" s="82">
        <v>12</v>
      </c>
      <c r="Z93" s="82">
        <v>0</v>
      </c>
      <c r="AA93" s="82">
        <v>0</v>
      </c>
      <c r="AB93" s="82">
        <v>7</v>
      </c>
      <c r="AC93" s="80">
        <v>3.5999999999999996</v>
      </c>
      <c r="AD93" s="80">
        <v>2.4000000000000004</v>
      </c>
      <c r="AE93" s="82">
        <v>371</v>
      </c>
      <c r="AF93" s="82">
        <v>12</v>
      </c>
      <c r="AG93" s="82">
        <v>385</v>
      </c>
      <c r="AH93" s="82">
        <v>279</v>
      </c>
      <c r="AI93" s="82">
        <v>49</v>
      </c>
      <c r="AJ93" s="82">
        <v>1074</v>
      </c>
      <c r="AK93" s="82">
        <v>8</v>
      </c>
      <c r="AL93" s="82">
        <v>17</v>
      </c>
      <c r="AM93" s="82">
        <v>200</v>
      </c>
      <c r="AN93" s="82">
        <v>16</v>
      </c>
      <c r="AO93" s="82">
        <v>59640</v>
      </c>
      <c r="AP93" s="80">
        <v>0</v>
      </c>
      <c r="AQ93" s="80">
        <v>0</v>
      </c>
      <c r="AR93" s="82">
        <v>0</v>
      </c>
      <c r="AS93" s="82">
        <v>0</v>
      </c>
      <c r="AT93" s="82">
        <v>6365</v>
      </c>
      <c r="AU93" s="82">
        <v>0</v>
      </c>
      <c r="AV93" s="82">
        <v>0</v>
      </c>
      <c r="AW93" s="82">
        <v>0</v>
      </c>
      <c r="AX93" s="82">
        <v>0</v>
      </c>
      <c r="AY93" s="82">
        <v>0</v>
      </c>
      <c r="AZ93" s="82">
        <v>0</v>
      </c>
      <c r="BA93" s="82">
        <v>0</v>
      </c>
      <c r="BB93" s="82">
        <v>0</v>
      </c>
      <c r="BC93" s="82">
        <v>0</v>
      </c>
      <c r="BD93" s="82">
        <v>0</v>
      </c>
      <c r="BE93" s="82">
        <v>0</v>
      </c>
      <c r="BF93" s="82">
        <v>0</v>
      </c>
      <c r="BG93" s="82">
        <v>0</v>
      </c>
      <c r="BH93" s="82">
        <v>0</v>
      </c>
      <c r="BI93" s="82">
        <v>0</v>
      </c>
      <c r="BJ93" s="82">
        <v>2718</v>
      </c>
      <c r="BK93" s="82">
        <v>0</v>
      </c>
      <c r="BL93" s="82">
        <v>0</v>
      </c>
      <c r="BM93" s="82">
        <v>4</v>
      </c>
      <c r="BN93" s="82">
        <v>0</v>
      </c>
      <c r="BO93" s="82">
        <v>0</v>
      </c>
      <c r="BP93" s="82">
        <v>0</v>
      </c>
      <c r="BQ93" s="82">
        <v>0</v>
      </c>
      <c r="BR93" s="82">
        <v>0</v>
      </c>
      <c r="BS93" s="82">
        <v>0</v>
      </c>
      <c r="BT93" s="82">
        <v>0</v>
      </c>
      <c r="BU93" s="82">
        <v>71163</v>
      </c>
      <c r="BV93" s="82">
        <v>16712</v>
      </c>
      <c r="BX93" s="189">
        <v>6</v>
      </c>
      <c r="BY93" s="190">
        <v>0</v>
      </c>
    </row>
    <row r="94" spans="1:77" ht="8.25" customHeight="1" x14ac:dyDescent="0.15">
      <c r="A94" s="191">
        <v>35101</v>
      </c>
      <c r="B94" s="77" t="str">
        <f>IFERROR(INDEX(SCNtoISIC!$M:$M,MATCH($A94,SCNtoISIC!$J:$J,0)),0)</f>
        <v>ISIC 351</v>
      </c>
      <c r="C94" s="85" t="s">
        <v>255</v>
      </c>
      <c r="D94" s="80">
        <v>0</v>
      </c>
      <c r="E94" s="80">
        <v>0</v>
      </c>
      <c r="F94" s="80">
        <v>0</v>
      </c>
      <c r="G94" s="80">
        <v>0</v>
      </c>
      <c r="H94" s="80">
        <v>0</v>
      </c>
      <c r="I94" s="80">
        <v>0</v>
      </c>
      <c r="J94" s="80">
        <v>0</v>
      </c>
      <c r="K94" s="80">
        <v>0</v>
      </c>
      <c r="L94" s="80">
        <v>0</v>
      </c>
      <c r="M94" s="80">
        <v>0</v>
      </c>
      <c r="N94" s="80">
        <v>0</v>
      </c>
      <c r="O94" s="80">
        <v>0</v>
      </c>
      <c r="P94" s="80">
        <v>0</v>
      </c>
      <c r="Q94" s="80">
        <v>0</v>
      </c>
      <c r="R94" s="80">
        <v>0</v>
      </c>
      <c r="S94" s="80">
        <v>0</v>
      </c>
      <c r="T94" s="80">
        <v>0</v>
      </c>
      <c r="U94" s="80">
        <v>0</v>
      </c>
      <c r="V94" s="80">
        <v>0</v>
      </c>
      <c r="W94" s="80">
        <v>0</v>
      </c>
      <c r="X94" s="80">
        <v>0</v>
      </c>
      <c r="Y94" s="80">
        <v>0</v>
      </c>
      <c r="Z94" s="80">
        <v>0</v>
      </c>
      <c r="AA94" s="80">
        <v>0</v>
      </c>
      <c r="AB94" s="80">
        <v>0</v>
      </c>
      <c r="AC94" s="80">
        <v>0</v>
      </c>
      <c r="AD94" s="80">
        <v>0</v>
      </c>
      <c r="AE94" s="80">
        <v>0</v>
      </c>
      <c r="AF94" s="80">
        <v>0</v>
      </c>
      <c r="AG94" s="80">
        <v>0</v>
      </c>
      <c r="AH94" s="80">
        <v>0</v>
      </c>
      <c r="AI94" s="80">
        <v>0</v>
      </c>
      <c r="AJ94" s="80">
        <v>0</v>
      </c>
      <c r="AK94" s="80">
        <v>0</v>
      </c>
      <c r="AL94" s="80">
        <v>0</v>
      </c>
      <c r="AM94" s="80">
        <v>0</v>
      </c>
      <c r="AN94" s="80">
        <v>0</v>
      </c>
      <c r="AO94" s="80">
        <v>0</v>
      </c>
      <c r="AP94" s="80">
        <v>114179.11111111109</v>
      </c>
      <c r="AQ94" s="80">
        <v>57089.555555555555</v>
      </c>
      <c r="AR94" s="80">
        <v>0</v>
      </c>
      <c r="AS94" s="80">
        <v>0</v>
      </c>
      <c r="AT94" s="80">
        <v>0</v>
      </c>
      <c r="AU94" s="80">
        <v>0</v>
      </c>
      <c r="AV94" s="80">
        <v>0</v>
      </c>
      <c r="AW94" s="80">
        <v>0</v>
      </c>
      <c r="AX94" s="80">
        <v>0</v>
      </c>
      <c r="AY94" s="80">
        <v>0</v>
      </c>
      <c r="AZ94" s="80">
        <v>0</v>
      </c>
      <c r="BA94" s="80">
        <v>0</v>
      </c>
      <c r="BB94" s="80">
        <v>0</v>
      </c>
      <c r="BC94" s="80">
        <v>0</v>
      </c>
      <c r="BD94" s="80">
        <v>0</v>
      </c>
      <c r="BE94" s="80">
        <v>0</v>
      </c>
      <c r="BF94" s="80">
        <v>0</v>
      </c>
      <c r="BG94" s="80">
        <v>0</v>
      </c>
      <c r="BH94" s="80">
        <v>0</v>
      </c>
      <c r="BI94" s="80">
        <v>0</v>
      </c>
      <c r="BJ94" s="80">
        <v>0</v>
      </c>
      <c r="BK94" s="80">
        <v>0</v>
      </c>
      <c r="BL94" s="80">
        <v>0</v>
      </c>
      <c r="BM94" s="80">
        <v>320.66666666666663</v>
      </c>
      <c r="BN94" s="80">
        <v>0</v>
      </c>
      <c r="BO94" s="80">
        <v>0</v>
      </c>
      <c r="BP94" s="80">
        <v>0</v>
      </c>
      <c r="BQ94" s="80">
        <v>0</v>
      </c>
      <c r="BR94" s="80">
        <v>0</v>
      </c>
      <c r="BS94" s="80">
        <v>0</v>
      </c>
      <c r="BT94" s="80">
        <v>0</v>
      </c>
      <c r="BU94" s="80">
        <v>171589.33333333331</v>
      </c>
      <c r="BV94" s="80">
        <v>3066</v>
      </c>
      <c r="BX94" s="192">
        <v>0</v>
      </c>
      <c r="BY94" s="193">
        <v>171268.66666666666</v>
      </c>
    </row>
    <row r="95" spans="1:77" ht="8.25" customHeight="1" x14ac:dyDescent="0.15">
      <c r="A95" s="191">
        <v>35201</v>
      </c>
      <c r="B95" s="77" t="str">
        <f>IFERROR(INDEX(SCNtoISIC!$M:$M,MATCH($A95,SCNtoISIC!$J:$J,0)),0)</f>
        <v>ISIC 352T353</v>
      </c>
      <c r="C95" s="85" t="s">
        <v>256</v>
      </c>
      <c r="D95" s="80">
        <v>0</v>
      </c>
      <c r="E95" s="80">
        <v>0</v>
      </c>
      <c r="F95" s="80">
        <v>0</v>
      </c>
      <c r="G95" s="80">
        <v>0</v>
      </c>
      <c r="H95" s="80">
        <v>0</v>
      </c>
      <c r="I95" s="80">
        <v>0</v>
      </c>
      <c r="J95" s="80">
        <v>0</v>
      </c>
      <c r="K95" s="80">
        <v>0</v>
      </c>
      <c r="L95" s="80">
        <v>0</v>
      </c>
      <c r="M95" s="80">
        <v>0</v>
      </c>
      <c r="N95" s="80">
        <v>0</v>
      </c>
      <c r="O95" s="80">
        <v>0</v>
      </c>
      <c r="P95" s="80">
        <v>0</v>
      </c>
      <c r="Q95" s="80">
        <v>0</v>
      </c>
      <c r="R95" s="80">
        <v>0</v>
      </c>
      <c r="S95" s="80">
        <v>0</v>
      </c>
      <c r="T95" s="80">
        <v>0</v>
      </c>
      <c r="U95" s="80">
        <v>0</v>
      </c>
      <c r="V95" s="80">
        <v>0</v>
      </c>
      <c r="W95" s="80">
        <v>0</v>
      </c>
      <c r="X95" s="80">
        <v>0</v>
      </c>
      <c r="Y95" s="80">
        <v>0</v>
      </c>
      <c r="Z95" s="80">
        <v>0</v>
      </c>
      <c r="AA95" s="80">
        <v>0</v>
      </c>
      <c r="AB95" s="80">
        <v>0</v>
      </c>
      <c r="AC95" s="80">
        <v>0</v>
      </c>
      <c r="AD95" s="80">
        <v>0</v>
      </c>
      <c r="AE95" s="80">
        <v>0</v>
      </c>
      <c r="AF95" s="80">
        <v>0</v>
      </c>
      <c r="AG95" s="80">
        <v>0</v>
      </c>
      <c r="AH95" s="80">
        <v>0</v>
      </c>
      <c r="AI95" s="80">
        <v>0</v>
      </c>
      <c r="AJ95" s="80">
        <v>0</v>
      </c>
      <c r="AK95" s="80">
        <v>0</v>
      </c>
      <c r="AL95" s="80">
        <v>0</v>
      </c>
      <c r="AM95" s="80">
        <v>0</v>
      </c>
      <c r="AN95" s="80">
        <v>0</v>
      </c>
      <c r="AO95" s="80">
        <v>0</v>
      </c>
      <c r="AP95" s="80">
        <v>57089.555555555547</v>
      </c>
      <c r="AQ95" s="80">
        <v>28544.777777777777</v>
      </c>
      <c r="AR95" s="80">
        <v>0</v>
      </c>
      <c r="AS95" s="80">
        <v>0</v>
      </c>
      <c r="AT95" s="80">
        <v>0</v>
      </c>
      <c r="AU95" s="80">
        <v>0</v>
      </c>
      <c r="AV95" s="80">
        <v>0</v>
      </c>
      <c r="AW95" s="80">
        <v>0</v>
      </c>
      <c r="AX95" s="80">
        <v>0</v>
      </c>
      <c r="AY95" s="80">
        <v>0</v>
      </c>
      <c r="AZ95" s="80">
        <v>0</v>
      </c>
      <c r="BA95" s="80">
        <v>0</v>
      </c>
      <c r="BB95" s="80">
        <v>0</v>
      </c>
      <c r="BC95" s="80">
        <v>0</v>
      </c>
      <c r="BD95" s="80">
        <v>0</v>
      </c>
      <c r="BE95" s="80">
        <v>0</v>
      </c>
      <c r="BF95" s="80">
        <v>0</v>
      </c>
      <c r="BG95" s="80">
        <v>0</v>
      </c>
      <c r="BH95" s="80">
        <v>0</v>
      </c>
      <c r="BI95" s="80">
        <v>0</v>
      </c>
      <c r="BJ95" s="80">
        <v>0</v>
      </c>
      <c r="BK95" s="80">
        <v>0</v>
      </c>
      <c r="BL95" s="80">
        <v>0</v>
      </c>
      <c r="BM95" s="80">
        <v>160.33333333333331</v>
      </c>
      <c r="BN95" s="80">
        <v>0</v>
      </c>
      <c r="BO95" s="80">
        <v>0</v>
      </c>
      <c r="BP95" s="80">
        <v>0</v>
      </c>
      <c r="BQ95" s="80">
        <v>0</v>
      </c>
      <c r="BR95" s="80">
        <v>0</v>
      </c>
      <c r="BS95" s="80">
        <v>0</v>
      </c>
      <c r="BT95" s="80">
        <v>0</v>
      </c>
      <c r="BU95" s="80">
        <v>85794.666666666657</v>
      </c>
      <c r="BV95" s="80">
        <v>1533</v>
      </c>
      <c r="BX95" s="192">
        <v>0</v>
      </c>
      <c r="BY95" s="193">
        <v>85634.333333333328</v>
      </c>
    </row>
    <row r="96" spans="1:77" ht="8.25" customHeight="1" x14ac:dyDescent="0.15">
      <c r="A96" s="188">
        <v>36801</v>
      </c>
      <c r="B96" s="77" t="str">
        <f>IFERROR(INDEX(SCNtoISIC!$M:$M,MATCH($A96,SCNtoISIC!$J:$J,0)),0)</f>
        <v>ISIC 36T39</v>
      </c>
      <c r="C96" s="81" t="s">
        <v>470</v>
      </c>
      <c r="D96" s="82">
        <v>0</v>
      </c>
      <c r="E96" s="82">
        <v>0</v>
      </c>
      <c r="F96" s="82">
        <v>0</v>
      </c>
      <c r="G96" s="82">
        <v>0</v>
      </c>
      <c r="H96" s="82">
        <v>0</v>
      </c>
      <c r="I96" s="82">
        <v>0</v>
      </c>
      <c r="J96" s="82">
        <v>0</v>
      </c>
      <c r="K96" s="82">
        <v>0</v>
      </c>
      <c r="L96" s="82">
        <v>0</v>
      </c>
      <c r="M96" s="82">
        <v>0</v>
      </c>
      <c r="N96" s="82">
        <v>0</v>
      </c>
      <c r="O96" s="82">
        <v>0</v>
      </c>
      <c r="P96" s="82">
        <v>0</v>
      </c>
      <c r="Q96" s="82">
        <v>0</v>
      </c>
      <c r="R96" s="82">
        <v>0</v>
      </c>
      <c r="S96" s="82">
        <v>0</v>
      </c>
      <c r="T96" s="82">
        <v>0</v>
      </c>
      <c r="U96" s="82">
        <v>0</v>
      </c>
      <c r="V96" s="82">
        <v>0</v>
      </c>
      <c r="W96" s="82">
        <v>0</v>
      </c>
      <c r="X96" s="82">
        <v>0</v>
      </c>
      <c r="Y96" s="82">
        <v>0</v>
      </c>
      <c r="Z96" s="82">
        <v>0</v>
      </c>
      <c r="AA96" s="82">
        <v>0</v>
      </c>
      <c r="AB96" s="82">
        <v>0</v>
      </c>
      <c r="AC96" s="80">
        <v>0</v>
      </c>
      <c r="AD96" s="80">
        <v>0</v>
      </c>
      <c r="AE96" s="82">
        <v>0</v>
      </c>
      <c r="AF96" s="82">
        <v>0</v>
      </c>
      <c r="AG96" s="82">
        <v>0</v>
      </c>
      <c r="AH96" s="82">
        <v>0</v>
      </c>
      <c r="AI96" s="82">
        <v>0</v>
      </c>
      <c r="AJ96" s="82">
        <v>0</v>
      </c>
      <c r="AK96" s="82">
        <v>0</v>
      </c>
      <c r="AL96" s="82">
        <v>0</v>
      </c>
      <c r="AM96" s="82">
        <v>0</v>
      </c>
      <c r="AN96" s="82">
        <v>0</v>
      </c>
      <c r="AO96" s="82">
        <v>0</v>
      </c>
      <c r="AP96" s="80">
        <v>0</v>
      </c>
      <c r="AQ96" s="80">
        <v>0</v>
      </c>
      <c r="AR96" s="82">
        <v>62230</v>
      </c>
      <c r="AS96" s="82">
        <v>0</v>
      </c>
      <c r="AT96" s="82">
        <v>0</v>
      </c>
      <c r="AU96" s="82">
        <v>0</v>
      </c>
      <c r="AV96" s="82">
        <v>0</v>
      </c>
      <c r="AW96" s="82">
        <v>0</v>
      </c>
      <c r="AX96" s="82">
        <v>0</v>
      </c>
      <c r="AY96" s="82">
        <v>0</v>
      </c>
      <c r="AZ96" s="82">
        <v>0</v>
      </c>
      <c r="BA96" s="82">
        <v>0</v>
      </c>
      <c r="BB96" s="82">
        <v>0</v>
      </c>
      <c r="BC96" s="82">
        <v>0</v>
      </c>
      <c r="BD96" s="82">
        <v>0</v>
      </c>
      <c r="BE96" s="82">
        <v>0</v>
      </c>
      <c r="BF96" s="82">
        <v>0</v>
      </c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  <c r="BM96" s="82">
        <v>2183</v>
      </c>
      <c r="BN96" s="82">
        <v>0</v>
      </c>
      <c r="BO96" s="82">
        <v>0</v>
      </c>
      <c r="BP96" s="82">
        <v>0</v>
      </c>
      <c r="BQ96" s="82">
        <v>0</v>
      </c>
      <c r="BR96" s="82">
        <v>0</v>
      </c>
      <c r="BS96" s="82">
        <v>0</v>
      </c>
      <c r="BT96" s="82">
        <v>0</v>
      </c>
      <c r="BU96" s="82">
        <v>64413</v>
      </c>
      <c r="BV96" s="82">
        <v>0</v>
      </c>
      <c r="BX96" s="189">
        <v>0</v>
      </c>
      <c r="BY96" s="190">
        <v>0</v>
      </c>
    </row>
    <row r="97" spans="1:77" ht="8.25" customHeight="1" x14ac:dyDescent="0.15">
      <c r="A97" s="188">
        <v>41801</v>
      </c>
      <c r="B97" s="77" t="str">
        <f>IFERROR(INDEX(SCNtoISIC!$M:$M,MATCH($A97,SCNtoISIC!$J:$J,0)),0)</f>
        <v>ISIC 41T43</v>
      </c>
      <c r="C97" s="81" t="s">
        <v>471</v>
      </c>
      <c r="D97" s="82">
        <v>441</v>
      </c>
      <c r="E97" s="82">
        <v>801</v>
      </c>
      <c r="F97" s="82">
        <v>56</v>
      </c>
      <c r="G97" s="82">
        <v>0</v>
      </c>
      <c r="H97" s="82">
        <v>0</v>
      </c>
      <c r="I97" s="82">
        <v>0</v>
      </c>
      <c r="J97" s="82">
        <v>0</v>
      </c>
      <c r="K97" s="82">
        <v>0</v>
      </c>
      <c r="L97" s="82">
        <v>0</v>
      </c>
      <c r="M97" s="82">
        <v>0</v>
      </c>
      <c r="N97" s="82">
        <v>0</v>
      </c>
      <c r="O97" s="82">
        <v>0</v>
      </c>
      <c r="P97" s="82">
        <v>0</v>
      </c>
      <c r="Q97" s="82">
        <v>0</v>
      </c>
      <c r="R97" s="82">
        <v>0</v>
      </c>
      <c r="S97" s="82">
        <v>0</v>
      </c>
      <c r="T97" s="82">
        <v>0</v>
      </c>
      <c r="U97" s="82">
        <v>0</v>
      </c>
      <c r="V97" s="82">
        <v>0</v>
      </c>
      <c r="W97" s="82">
        <v>0</v>
      </c>
      <c r="X97" s="82">
        <v>0</v>
      </c>
      <c r="Y97" s="82">
        <v>0</v>
      </c>
      <c r="Z97" s="82">
        <v>0</v>
      </c>
      <c r="AA97" s="82">
        <v>0</v>
      </c>
      <c r="AB97" s="82">
        <v>0</v>
      </c>
      <c r="AC97" s="80">
        <v>0</v>
      </c>
      <c r="AD97" s="80">
        <v>0</v>
      </c>
      <c r="AE97" s="82">
        <v>0</v>
      </c>
      <c r="AF97" s="82">
        <v>0</v>
      </c>
      <c r="AG97" s="82">
        <v>0</v>
      </c>
      <c r="AH97" s="82">
        <v>0</v>
      </c>
      <c r="AI97" s="82">
        <v>0</v>
      </c>
      <c r="AJ97" s="82">
        <v>0</v>
      </c>
      <c r="AK97" s="82">
        <v>0</v>
      </c>
      <c r="AL97" s="82">
        <v>0</v>
      </c>
      <c r="AM97" s="82">
        <v>0</v>
      </c>
      <c r="AN97" s="82">
        <v>0</v>
      </c>
      <c r="AO97" s="82">
        <v>0</v>
      </c>
      <c r="AP97" s="80">
        <v>0</v>
      </c>
      <c r="AQ97" s="80">
        <v>0</v>
      </c>
      <c r="AR97" s="82">
        <v>0</v>
      </c>
      <c r="AS97" s="82">
        <v>364429</v>
      </c>
      <c r="AT97" s="82">
        <v>0</v>
      </c>
      <c r="AU97" s="82">
        <v>0</v>
      </c>
      <c r="AV97" s="82">
        <v>0</v>
      </c>
      <c r="AW97" s="82">
        <v>0</v>
      </c>
      <c r="AX97" s="82">
        <v>0</v>
      </c>
      <c r="AY97" s="82">
        <v>0</v>
      </c>
      <c r="AZ97" s="82">
        <v>0</v>
      </c>
      <c r="BA97" s="82">
        <v>0</v>
      </c>
      <c r="BB97" s="82">
        <v>0</v>
      </c>
      <c r="BC97" s="82">
        <v>0</v>
      </c>
      <c r="BD97" s="82">
        <v>0</v>
      </c>
      <c r="BE97" s="82">
        <v>0</v>
      </c>
      <c r="BF97" s="82">
        <v>162</v>
      </c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  <c r="BM97" s="82">
        <v>0</v>
      </c>
      <c r="BN97" s="82">
        <v>0</v>
      </c>
      <c r="BO97" s="82">
        <v>0</v>
      </c>
      <c r="BP97" s="82">
        <v>0</v>
      </c>
      <c r="BQ97" s="82">
        <v>0</v>
      </c>
      <c r="BR97" s="82">
        <v>0</v>
      </c>
      <c r="BS97" s="82">
        <v>0</v>
      </c>
      <c r="BT97" s="82">
        <v>0</v>
      </c>
      <c r="BU97" s="82">
        <v>365889</v>
      </c>
      <c r="BV97" s="82">
        <v>556</v>
      </c>
      <c r="BX97" s="189">
        <v>0</v>
      </c>
      <c r="BY97" s="190">
        <v>0</v>
      </c>
    </row>
    <row r="98" spans="1:77" ht="8.25" customHeight="1" x14ac:dyDescent="0.15">
      <c r="A98" s="185">
        <v>41802</v>
      </c>
      <c r="B98" s="77" t="str">
        <f>IFERROR(INDEX(SCNtoISIC!$M:$M,MATCH($A98,SCNtoISIC!$J:$J,0)),0)</f>
        <v>ISIC 41T43</v>
      </c>
      <c r="C98" s="78" t="s">
        <v>626</v>
      </c>
      <c r="D98" s="79">
        <v>3</v>
      </c>
      <c r="E98" s="79">
        <v>6</v>
      </c>
      <c r="F98" s="79">
        <v>0</v>
      </c>
      <c r="G98" s="79">
        <v>0</v>
      </c>
      <c r="H98" s="79">
        <v>8395</v>
      </c>
      <c r="I98" s="79">
        <v>0</v>
      </c>
      <c r="J98" s="79">
        <v>0</v>
      </c>
      <c r="K98" s="79">
        <v>0</v>
      </c>
      <c r="L98" s="79">
        <v>0</v>
      </c>
      <c r="M98" s="79">
        <v>0</v>
      </c>
      <c r="N98" s="79">
        <v>0</v>
      </c>
      <c r="O98" s="79">
        <v>0</v>
      </c>
      <c r="P98" s="79">
        <v>0</v>
      </c>
      <c r="Q98" s="79">
        <v>0</v>
      </c>
      <c r="R98" s="79">
        <v>0</v>
      </c>
      <c r="S98" s="79">
        <v>0</v>
      </c>
      <c r="T98" s="79">
        <v>0</v>
      </c>
      <c r="U98" s="79">
        <v>0</v>
      </c>
      <c r="V98" s="79">
        <v>0</v>
      </c>
      <c r="W98" s="79">
        <v>0</v>
      </c>
      <c r="X98" s="79">
        <v>0</v>
      </c>
      <c r="Y98" s="79">
        <v>0</v>
      </c>
      <c r="Z98" s="79">
        <v>0</v>
      </c>
      <c r="AA98" s="79">
        <v>0</v>
      </c>
      <c r="AB98" s="79">
        <v>0</v>
      </c>
      <c r="AC98" s="80">
        <v>0</v>
      </c>
      <c r="AD98" s="80">
        <v>0</v>
      </c>
      <c r="AE98" s="79">
        <v>0</v>
      </c>
      <c r="AF98" s="79">
        <v>0</v>
      </c>
      <c r="AG98" s="79">
        <v>0</v>
      </c>
      <c r="AH98" s="79">
        <v>0</v>
      </c>
      <c r="AI98" s="79">
        <v>0</v>
      </c>
      <c r="AJ98" s="79">
        <v>0</v>
      </c>
      <c r="AK98" s="79">
        <v>0</v>
      </c>
      <c r="AL98" s="79">
        <v>0</v>
      </c>
      <c r="AM98" s="79">
        <v>0</v>
      </c>
      <c r="AN98" s="79">
        <v>0</v>
      </c>
      <c r="AO98" s="79">
        <v>0</v>
      </c>
      <c r="AP98" s="80">
        <v>0</v>
      </c>
      <c r="AQ98" s="80">
        <v>0</v>
      </c>
      <c r="AR98" s="79">
        <v>0</v>
      </c>
      <c r="AS98" s="79">
        <v>127439</v>
      </c>
      <c r="AT98" s="79">
        <v>0</v>
      </c>
      <c r="AU98" s="79">
        <v>0</v>
      </c>
      <c r="AV98" s="79">
        <v>0</v>
      </c>
      <c r="AW98" s="79">
        <v>0</v>
      </c>
      <c r="AX98" s="79">
        <v>0</v>
      </c>
      <c r="AY98" s="79">
        <v>0</v>
      </c>
      <c r="AZ98" s="79">
        <v>0</v>
      </c>
      <c r="BA98" s="79">
        <v>0</v>
      </c>
      <c r="BB98" s="79">
        <v>0</v>
      </c>
      <c r="BC98" s="79">
        <v>0</v>
      </c>
      <c r="BD98" s="79">
        <v>0</v>
      </c>
      <c r="BE98" s="79">
        <v>0</v>
      </c>
      <c r="BF98" s="79">
        <v>0</v>
      </c>
      <c r="BG98" s="79">
        <v>0</v>
      </c>
      <c r="BH98" s="79">
        <v>0</v>
      </c>
      <c r="BI98" s="79">
        <v>0</v>
      </c>
      <c r="BJ98" s="79">
        <v>0</v>
      </c>
      <c r="BK98" s="79">
        <v>0</v>
      </c>
      <c r="BL98" s="79">
        <v>0</v>
      </c>
      <c r="BM98" s="79">
        <v>0</v>
      </c>
      <c r="BN98" s="79">
        <v>0</v>
      </c>
      <c r="BO98" s="79">
        <v>0</v>
      </c>
      <c r="BP98" s="79">
        <v>0</v>
      </c>
      <c r="BQ98" s="79">
        <v>0</v>
      </c>
      <c r="BR98" s="79">
        <v>0</v>
      </c>
      <c r="BS98" s="79">
        <v>0</v>
      </c>
      <c r="BT98" s="79">
        <v>0</v>
      </c>
      <c r="BU98" s="79">
        <v>135843</v>
      </c>
      <c r="BV98" s="79">
        <v>0</v>
      </c>
      <c r="BX98" s="186">
        <v>0</v>
      </c>
      <c r="BY98" s="187">
        <v>0</v>
      </c>
    </row>
    <row r="99" spans="1:77" ht="8.25" customHeight="1" x14ac:dyDescent="0.15">
      <c r="A99" s="185">
        <v>41803</v>
      </c>
      <c r="B99" s="77" t="str">
        <f>IFERROR(INDEX(SCNtoISIC!$M:$M,MATCH($A99,SCNtoISIC!$J:$J,0)),0)</f>
        <v>ISIC 41T43</v>
      </c>
      <c r="C99" s="78" t="s">
        <v>474</v>
      </c>
      <c r="D99" s="79">
        <v>1453</v>
      </c>
      <c r="E99" s="79">
        <v>2765</v>
      </c>
      <c r="F99" s="79">
        <v>196</v>
      </c>
      <c r="G99" s="79">
        <v>0</v>
      </c>
      <c r="H99" s="79">
        <v>0</v>
      </c>
      <c r="I99" s="79">
        <v>0</v>
      </c>
      <c r="J99" s="79">
        <v>0</v>
      </c>
      <c r="K99" s="79">
        <v>0</v>
      </c>
      <c r="L99" s="79">
        <v>0</v>
      </c>
      <c r="M99" s="79">
        <v>0</v>
      </c>
      <c r="N99" s="79">
        <v>0</v>
      </c>
      <c r="O99" s="79">
        <v>0</v>
      </c>
      <c r="P99" s="79">
        <v>0</v>
      </c>
      <c r="Q99" s="79">
        <v>0</v>
      </c>
      <c r="R99" s="79">
        <v>0</v>
      </c>
      <c r="S99" s="79">
        <v>0</v>
      </c>
      <c r="T99" s="79">
        <v>0</v>
      </c>
      <c r="U99" s="79">
        <v>0</v>
      </c>
      <c r="V99" s="79">
        <v>0</v>
      </c>
      <c r="W99" s="79">
        <v>0</v>
      </c>
      <c r="X99" s="79">
        <v>0</v>
      </c>
      <c r="Y99" s="79">
        <v>0</v>
      </c>
      <c r="Z99" s="79">
        <v>0</v>
      </c>
      <c r="AA99" s="79">
        <v>0</v>
      </c>
      <c r="AB99" s="79">
        <v>0</v>
      </c>
      <c r="AC99" s="80">
        <v>0</v>
      </c>
      <c r="AD99" s="80">
        <v>0</v>
      </c>
      <c r="AE99" s="79">
        <v>0</v>
      </c>
      <c r="AF99" s="79">
        <v>0</v>
      </c>
      <c r="AG99" s="79">
        <v>0</v>
      </c>
      <c r="AH99" s="79">
        <v>0</v>
      </c>
      <c r="AI99" s="79">
        <v>0</v>
      </c>
      <c r="AJ99" s="79">
        <v>0</v>
      </c>
      <c r="AK99" s="79">
        <v>0</v>
      </c>
      <c r="AL99" s="79">
        <v>0</v>
      </c>
      <c r="AM99" s="79">
        <v>0</v>
      </c>
      <c r="AN99" s="79">
        <v>0</v>
      </c>
      <c r="AO99" s="79">
        <v>0</v>
      </c>
      <c r="AP99" s="80">
        <v>0</v>
      </c>
      <c r="AQ99" s="80">
        <v>0</v>
      </c>
      <c r="AR99" s="79">
        <v>0</v>
      </c>
      <c r="AS99" s="79">
        <v>138437</v>
      </c>
      <c r="AT99" s="79">
        <v>0</v>
      </c>
      <c r="AU99" s="79">
        <v>0</v>
      </c>
      <c r="AV99" s="79">
        <v>0</v>
      </c>
      <c r="AW99" s="79">
        <v>0</v>
      </c>
      <c r="AX99" s="79">
        <v>0</v>
      </c>
      <c r="AY99" s="79">
        <v>0</v>
      </c>
      <c r="AZ99" s="79">
        <v>0</v>
      </c>
      <c r="BA99" s="79">
        <v>0</v>
      </c>
      <c r="BB99" s="79">
        <v>0</v>
      </c>
      <c r="BC99" s="79">
        <v>0</v>
      </c>
      <c r="BD99" s="79">
        <v>0</v>
      </c>
      <c r="BE99" s="79">
        <v>0</v>
      </c>
      <c r="BF99" s="79">
        <v>0</v>
      </c>
      <c r="BG99" s="79">
        <v>0</v>
      </c>
      <c r="BH99" s="79">
        <v>0</v>
      </c>
      <c r="BI99" s="79">
        <v>0</v>
      </c>
      <c r="BJ99" s="79">
        <v>0</v>
      </c>
      <c r="BK99" s="79">
        <v>0</v>
      </c>
      <c r="BL99" s="79">
        <v>0</v>
      </c>
      <c r="BM99" s="79">
        <v>0</v>
      </c>
      <c r="BN99" s="79">
        <v>0</v>
      </c>
      <c r="BO99" s="79">
        <v>0</v>
      </c>
      <c r="BP99" s="79">
        <v>0</v>
      </c>
      <c r="BQ99" s="79">
        <v>0</v>
      </c>
      <c r="BR99" s="79">
        <v>0</v>
      </c>
      <c r="BS99" s="79">
        <v>0</v>
      </c>
      <c r="BT99" s="79">
        <v>0</v>
      </c>
      <c r="BU99" s="79">
        <v>142851</v>
      </c>
      <c r="BV99" s="79">
        <v>1961</v>
      </c>
      <c r="BX99" s="186">
        <v>0</v>
      </c>
      <c r="BY99" s="187">
        <v>0</v>
      </c>
    </row>
    <row r="100" spans="1:77" ht="8.25" customHeight="1" x14ac:dyDescent="0.15">
      <c r="A100" s="185">
        <v>45801</v>
      </c>
      <c r="B100" s="77">
        <f>IFERROR(INDEX(SCNtoISIC!$M:$M,MATCH($A100,SCNtoISIC!$J:$J,0)),0)</f>
        <v>0</v>
      </c>
      <c r="C100" s="78" t="s">
        <v>259</v>
      </c>
      <c r="D100" s="79">
        <v>0</v>
      </c>
      <c r="E100" s="79">
        <v>0</v>
      </c>
      <c r="F100" s="79">
        <v>0</v>
      </c>
      <c r="G100" s="79">
        <v>69</v>
      </c>
      <c r="H100" s="79">
        <v>0</v>
      </c>
      <c r="I100" s="79">
        <v>0</v>
      </c>
      <c r="J100" s="79">
        <v>0</v>
      </c>
      <c r="K100" s="79">
        <v>803</v>
      </c>
      <c r="L100" s="79">
        <v>452</v>
      </c>
      <c r="M100" s="79">
        <v>4250</v>
      </c>
      <c r="N100" s="79">
        <v>1288</v>
      </c>
      <c r="O100" s="79">
        <v>65</v>
      </c>
      <c r="P100" s="79">
        <v>197</v>
      </c>
      <c r="Q100" s="79">
        <v>281</v>
      </c>
      <c r="R100" s="79">
        <v>354</v>
      </c>
      <c r="S100" s="79">
        <v>70</v>
      </c>
      <c r="T100" s="79">
        <v>184</v>
      </c>
      <c r="U100" s="79">
        <v>62</v>
      </c>
      <c r="V100" s="79">
        <v>22</v>
      </c>
      <c r="W100" s="79">
        <v>52</v>
      </c>
      <c r="X100" s="79">
        <v>1128</v>
      </c>
      <c r="Y100" s="79">
        <v>193</v>
      </c>
      <c r="Z100" s="79">
        <v>250</v>
      </c>
      <c r="AA100" s="79">
        <v>164</v>
      </c>
      <c r="AB100" s="79">
        <v>379</v>
      </c>
      <c r="AC100" s="80">
        <v>129</v>
      </c>
      <c r="AD100" s="80">
        <v>86</v>
      </c>
      <c r="AE100" s="79">
        <v>124</v>
      </c>
      <c r="AF100" s="79">
        <v>79</v>
      </c>
      <c r="AG100" s="79">
        <v>429</v>
      </c>
      <c r="AH100" s="79">
        <v>520</v>
      </c>
      <c r="AI100" s="79">
        <v>333</v>
      </c>
      <c r="AJ100" s="79">
        <v>1198</v>
      </c>
      <c r="AK100" s="79">
        <v>2742</v>
      </c>
      <c r="AL100" s="79">
        <v>206</v>
      </c>
      <c r="AM100" s="79">
        <v>258</v>
      </c>
      <c r="AN100" s="79">
        <v>472</v>
      </c>
      <c r="AO100" s="79">
        <v>242</v>
      </c>
      <c r="AP100" s="80">
        <v>0</v>
      </c>
      <c r="AQ100" s="80">
        <v>0</v>
      </c>
      <c r="AR100" s="79">
        <v>0</v>
      </c>
      <c r="AS100" s="79">
        <v>0</v>
      </c>
      <c r="AT100" s="79">
        <v>1016576</v>
      </c>
      <c r="AU100" s="79">
        <v>64</v>
      </c>
      <c r="AV100" s="79">
        <v>0</v>
      </c>
      <c r="AW100" s="79">
        <v>28</v>
      </c>
      <c r="AX100" s="79">
        <v>-69</v>
      </c>
      <c r="AY100" s="79">
        <v>149</v>
      </c>
      <c r="AZ100" s="79">
        <v>150</v>
      </c>
      <c r="BA100" s="79">
        <v>189</v>
      </c>
      <c r="BB100" s="79">
        <v>66</v>
      </c>
      <c r="BC100" s="79">
        <v>366</v>
      </c>
      <c r="BD100" s="79">
        <v>839</v>
      </c>
      <c r="BE100" s="79">
        <v>0</v>
      </c>
      <c r="BF100" s="79">
        <v>0</v>
      </c>
      <c r="BG100" s="79">
        <v>17</v>
      </c>
      <c r="BH100" s="79">
        <v>-229</v>
      </c>
      <c r="BI100" s="79">
        <v>59</v>
      </c>
      <c r="BJ100" s="79">
        <v>175</v>
      </c>
      <c r="BK100" s="79">
        <v>72</v>
      </c>
      <c r="BL100" s="79">
        <v>104</v>
      </c>
      <c r="BM100" s="79">
        <v>283</v>
      </c>
      <c r="BN100" s="79">
        <v>9</v>
      </c>
      <c r="BO100" s="79">
        <v>94</v>
      </c>
      <c r="BP100" s="79">
        <v>0</v>
      </c>
      <c r="BQ100" s="79">
        <v>0</v>
      </c>
      <c r="BR100" s="79">
        <v>81</v>
      </c>
      <c r="BS100" s="79">
        <v>900</v>
      </c>
      <c r="BT100" s="79">
        <v>0</v>
      </c>
      <c r="BU100" s="79">
        <v>1037004</v>
      </c>
      <c r="BV100" s="79">
        <v>2502</v>
      </c>
      <c r="BX100" s="186">
        <v>215</v>
      </c>
      <c r="BY100" s="187">
        <v>0</v>
      </c>
    </row>
    <row r="101" spans="1:77" ht="8.25" customHeight="1" x14ac:dyDescent="0.15">
      <c r="A101" s="185">
        <v>49001</v>
      </c>
      <c r="B101" s="77" t="str">
        <f>IFERROR(INDEX(SCNtoISIC!$M:$M,MATCH($A101,SCNtoISIC!$J:$J,0)),0)</f>
        <v>ISIC 45T47</v>
      </c>
      <c r="C101" s="78" t="s">
        <v>478</v>
      </c>
      <c r="D101" s="79">
        <v>0</v>
      </c>
      <c r="E101" s="79">
        <v>0</v>
      </c>
      <c r="F101" s="79">
        <v>0</v>
      </c>
      <c r="G101" s="79">
        <v>0</v>
      </c>
      <c r="H101" s="79">
        <v>0</v>
      </c>
      <c r="I101" s="79">
        <v>0</v>
      </c>
      <c r="J101" s="79">
        <v>0</v>
      </c>
      <c r="K101" s="79">
        <v>0</v>
      </c>
      <c r="L101" s="79">
        <v>0</v>
      </c>
      <c r="M101" s="79">
        <v>0</v>
      </c>
      <c r="N101" s="79">
        <v>0</v>
      </c>
      <c r="O101" s="79">
        <v>0</v>
      </c>
      <c r="P101" s="79">
        <v>0</v>
      </c>
      <c r="Q101" s="79">
        <v>0</v>
      </c>
      <c r="R101" s="79">
        <v>0</v>
      </c>
      <c r="S101" s="79">
        <v>0</v>
      </c>
      <c r="T101" s="79">
        <v>0</v>
      </c>
      <c r="U101" s="79">
        <v>0</v>
      </c>
      <c r="V101" s="79">
        <v>0</v>
      </c>
      <c r="W101" s="79">
        <v>0</v>
      </c>
      <c r="X101" s="79">
        <v>0</v>
      </c>
      <c r="Y101" s="79">
        <v>0</v>
      </c>
      <c r="Z101" s="79">
        <v>0</v>
      </c>
      <c r="AA101" s="79">
        <v>0</v>
      </c>
      <c r="AB101" s="79">
        <v>0</v>
      </c>
      <c r="AC101" s="80">
        <v>0</v>
      </c>
      <c r="AD101" s="80">
        <v>0</v>
      </c>
      <c r="AE101" s="79">
        <v>0</v>
      </c>
      <c r="AF101" s="79">
        <v>0</v>
      </c>
      <c r="AG101" s="79">
        <v>0</v>
      </c>
      <c r="AH101" s="79">
        <v>0</v>
      </c>
      <c r="AI101" s="79">
        <v>0</v>
      </c>
      <c r="AJ101" s="79">
        <v>0</v>
      </c>
      <c r="AK101" s="79">
        <v>0</v>
      </c>
      <c r="AL101" s="79">
        <v>0</v>
      </c>
      <c r="AM101" s="79">
        <v>0</v>
      </c>
      <c r="AN101" s="79">
        <v>0</v>
      </c>
      <c r="AO101" s="79">
        <v>0</v>
      </c>
      <c r="AP101" s="80">
        <v>0</v>
      </c>
      <c r="AQ101" s="80">
        <v>0</v>
      </c>
      <c r="AR101" s="79">
        <v>31</v>
      </c>
      <c r="AS101" s="79">
        <v>0</v>
      </c>
      <c r="AT101" s="79">
        <v>1195</v>
      </c>
      <c r="AU101" s="79">
        <v>225991</v>
      </c>
      <c r="AV101" s="79">
        <v>0</v>
      </c>
      <c r="AW101" s="79">
        <v>0</v>
      </c>
      <c r="AX101" s="79">
        <v>0</v>
      </c>
      <c r="AY101" s="79">
        <v>0</v>
      </c>
      <c r="AZ101" s="79">
        <v>0</v>
      </c>
      <c r="BA101" s="79">
        <v>0</v>
      </c>
      <c r="BB101" s="79">
        <v>0</v>
      </c>
      <c r="BC101" s="79">
        <v>0</v>
      </c>
      <c r="BD101" s="79">
        <v>0</v>
      </c>
      <c r="BE101" s="79">
        <v>0</v>
      </c>
      <c r="BF101" s="79">
        <v>0</v>
      </c>
      <c r="BG101" s="79">
        <v>0</v>
      </c>
      <c r="BH101" s="79">
        <v>0</v>
      </c>
      <c r="BI101" s="79">
        <v>0</v>
      </c>
      <c r="BJ101" s="79">
        <v>12</v>
      </c>
      <c r="BK101" s="79">
        <v>0</v>
      </c>
      <c r="BL101" s="79">
        <v>0</v>
      </c>
      <c r="BM101" s="79">
        <v>0</v>
      </c>
      <c r="BN101" s="79">
        <v>0</v>
      </c>
      <c r="BO101" s="79">
        <v>0</v>
      </c>
      <c r="BP101" s="79">
        <v>0</v>
      </c>
      <c r="BQ101" s="79">
        <v>0</v>
      </c>
      <c r="BR101" s="79">
        <v>0</v>
      </c>
      <c r="BS101" s="79">
        <v>0</v>
      </c>
      <c r="BT101" s="79">
        <v>0</v>
      </c>
      <c r="BU101" s="79">
        <v>227229</v>
      </c>
      <c r="BV101" s="79">
        <v>28</v>
      </c>
      <c r="BX101" s="186">
        <v>0</v>
      </c>
      <c r="BY101" s="187">
        <v>0</v>
      </c>
    </row>
    <row r="102" spans="1:77" ht="8.25" customHeight="1" x14ac:dyDescent="0.15">
      <c r="A102" s="185">
        <v>49002</v>
      </c>
      <c r="B102" s="77" t="str">
        <f>IFERROR(INDEX(SCNtoISIC!$M:$M,MATCH($A102,SCNtoISIC!$J:$J,0)),0)</f>
        <v>ISIC 49T53</v>
      </c>
      <c r="C102" s="78" t="s">
        <v>480</v>
      </c>
      <c r="D102" s="79">
        <v>0</v>
      </c>
      <c r="E102" s="79">
        <v>0</v>
      </c>
      <c r="F102" s="79">
        <v>0</v>
      </c>
      <c r="G102" s="79">
        <v>0</v>
      </c>
      <c r="H102" s="79">
        <v>0</v>
      </c>
      <c r="I102" s="79">
        <v>0</v>
      </c>
      <c r="J102" s="79">
        <v>0</v>
      </c>
      <c r="K102" s="79">
        <v>0</v>
      </c>
      <c r="L102" s="79">
        <v>0</v>
      </c>
      <c r="M102" s="79">
        <v>0</v>
      </c>
      <c r="N102" s="79">
        <v>0</v>
      </c>
      <c r="O102" s="79">
        <v>0</v>
      </c>
      <c r="P102" s="79">
        <v>0</v>
      </c>
      <c r="Q102" s="79">
        <v>0</v>
      </c>
      <c r="R102" s="79">
        <v>0</v>
      </c>
      <c r="S102" s="79">
        <v>0</v>
      </c>
      <c r="T102" s="79">
        <v>0</v>
      </c>
      <c r="U102" s="79">
        <v>0</v>
      </c>
      <c r="V102" s="79">
        <v>0</v>
      </c>
      <c r="W102" s="79">
        <v>0</v>
      </c>
      <c r="X102" s="79">
        <v>0</v>
      </c>
      <c r="Y102" s="79">
        <v>0</v>
      </c>
      <c r="Z102" s="79">
        <v>0</v>
      </c>
      <c r="AA102" s="79">
        <v>0</v>
      </c>
      <c r="AB102" s="79">
        <v>0</v>
      </c>
      <c r="AC102" s="80">
        <v>0</v>
      </c>
      <c r="AD102" s="80">
        <v>0</v>
      </c>
      <c r="AE102" s="79">
        <v>0</v>
      </c>
      <c r="AF102" s="79">
        <v>0</v>
      </c>
      <c r="AG102" s="79">
        <v>0</v>
      </c>
      <c r="AH102" s="79">
        <v>0</v>
      </c>
      <c r="AI102" s="79">
        <v>0</v>
      </c>
      <c r="AJ102" s="79">
        <v>0</v>
      </c>
      <c r="AK102" s="79">
        <v>0</v>
      </c>
      <c r="AL102" s="79">
        <v>0</v>
      </c>
      <c r="AM102" s="79">
        <v>0</v>
      </c>
      <c r="AN102" s="79">
        <v>0</v>
      </c>
      <c r="AO102" s="79">
        <v>0</v>
      </c>
      <c r="AP102" s="80">
        <v>0</v>
      </c>
      <c r="AQ102" s="80">
        <v>0</v>
      </c>
      <c r="AR102" s="79">
        <v>0</v>
      </c>
      <c r="AS102" s="79">
        <v>0</v>
      </c>
      <c r="AT102" s="79">
        <v>0</v>
      </c>
      <c r="AU102" s="79">
        <v>89742</v>
      </c>
      <c r="AV102" s="79">
        <v>0</v>
      </c>
      <c r="AW102" s="79">
        <v>0</v>
      </c>
      <c r="AX102" s="79">
        <v>0</v>
      </c>
      <c r="AY102" s="79">
        <v>0</v>
      </c>
      <c r="AZ102" s="79">
        <v>0</v>
      </c>
      <c r="BA102" s="79">
        <v>0</v>
      </c>
      <c r="BB102" s="79">
        <v>0</v>
      </c>
      <c r="BC102" s="79">
        <v>0</v>
      </c>
      <c r="BD102" s="79">
        <v>0</v>
      </c>
      <c r="BE102" s="79">
        <v>0</v>
      </c>
      <c r="BF102" s="79">
        <v>0</v>
      </c>
      <c r="BG102" s="79">
        <v>0</v>
      </c>
      <c r="BH102" s="79">
        <v>0</v>
      </c>
      <c r="BI102" s="79">
        <v>0</v>
      </c>
      <c r="BJ102" s="79">
        <v>0</v>
      </c>
      <c r="BK102" s="79">
        <v>0</v>
      </c>
      <c r="BL102" s="79">
        <v>0</v>
      </c>
      <c r="BM102" s="79">
        <v>2519</v>
      </c>
      <c r="BN102" s="79">
        <v>0</v>
      </c>
      <c r="BO102" s="79">
        <v>0</v>
      </c>
      <c r="BP102" s="79">
        <v>0</v>
      </c>
      <c r="BQ102" s="79">
        <v>0</v>
      </c>
      <c r="BR102" s="79">
        <v>0</v>
      </c>
      <c r="BS102" s="79">
        <v>0</v>
      </c>
      <c r="BT102" s="79">
        <v>0</v>
      </c>
      <c r="BU102" s="79">
        <v>92261</v>
      </c>
      <c r="BV102" s="79">
        <v>3097</v>
      </c>
      <c r="BX102" s="186">
        <v>0</v>
      </c>
      <c r="BY102" s="187">
        <v>0</v>
      </c>
    </row>
    <row r="103" spans="1:77" ht="8.25" customHeight="1" x14ac:dyDescent="0.15">
      <c r="A103" s="188">
        <v>50001</v>
      </c>
      <c r="B103" s="77" t="str">
        <f>IFERROR(INDEX(SCNtoISIC!$M:$M,MATCH($A103,SCNtoISIC!$J:$J,0)),0)</f>
        <v>ISIC 49T53</v>
      </c>
      <c r="C103" s="81" t="s">
        <v>261</v>
      </c>
      <c r="D103" s="82">
        <v>0</v>
      </c>
      <c r="E103" s="82">
        <v>0</v>
      </c>
      <c r="F103" s="82">
        <v>0</v>
      </c>
      <c r="G103" s="82">
        <v>0</v>
      </c>
      <c r="H103" s="82">
        <v>0</v>
      </c>
      <c r="I103" s="82">
        <v>0</v>
      </c>
      <c r="J103" s="82">
        <v>0</v>
      </c>
      <c r="K103" s="82">
        <v>0</v>
      </c>
      <c r="L103" s="82">
        <v>0</v>
      </c>
      <c r="M103" s="82">
        <v>0</v>
      </c>
      <c r="N103" s="82">
        <v>0</v>
      </c>
      <c r="O103" s="82">
        <v>0</v>
      </c>
      <c r="P103" s="82">
        <v>0</v>
      </c>
      <c r="Q103" s="82">
        <v>0</v>
      </c>
      <c r="R103" s="82">
        <v>0</v>
      </c>
      <c r="S103" s="82">
        <v>0</v>
      </c>
      <c r="T103" s="82">
        <v>0</v>
      </c>
      <c r="U103" s="82">
        <v>0</v>
      </c>
      <c r="V103" s="82">
        <v>0</v>
      </c>
      <c r="W103" s="82">
        <v>0</v>
      </c>
      <c r="X103" s="82">
        <v>0</v>
      </c>
      <c r="Y103" s="82">
        <v>0</v>
      </c>
      <c r="Z103" s="82">
        <v>0</v>
      </c>
      <c r="AA103" s="82">
        <v>0</v>
      </c>
      <c r="AB103" s="82">
        <v>0</v>
      </c>
      <c r="AC103" s="80">
        <v>0</v>
      </c>
      <c r="AD103" s="80">
        <v>0</v>
      </c>
      <c r="AE103" s="82">
        <v>0</v>
      </c>
      <c r="AF103" s="82">
        <v>0</v>
      </c>
      <c r="AG103" s="82">
        <v>0</v>
      </c>
      <c r="AH103" s="82">
        <v>0</v>
      </c>
      <c r="AI103" s="82">
        <v>0</v>
      </c>
      <c r="AJ103" s="82">
        <v>0</v>
      </c>
      <c r="AK103" s="82">
        <v>0</v>
      </c>
      <c r="AL103" s="82">
        <v>0</v>
      </c>
      <c r="AM103" s="82">
        <v>0</v>
      </c>
      <c r="AN103" s="82">
        <v>0</v>
      </c>
      <c r="AO103" s="82">
        <v>0</v>
      </c>
      <c r="AP103" s="80">
        <v>0</v>
      </c>
      <c r="AQ103" s="80">
        <v>0</v>
      </c>
      <c r="AR103" s="82">
        <v>0</v>
      </c>
      <c r="AS103" s="82">
        <v>0</v>
      </c>
      <c r="AT103" s="82">
        <v>0</v>
      </c>
      <c r="AU103" s="82">
        <v>1506</v>
      </c>
      <c r="AV103" s="82">
        <v>19583</v>
      </c>
      <c r="AW103" s="82">
        <v>0</v>
      </c>
      <c r="AX103" s="82">
        <v>2002</v>
      </c>
      <c r="AY103" s="82">
        <v>0</v>
      </c>
      <c r="AZ103" s="82">
        <v>0</v>
      </c>
      <c r="BA103" s="82">
        <v>0</v>
      </c>
      <c r="BB103" s="82">
        <v>0</v>
      </c>
      <c r="BC103" s="82">
        <v>0</v>
      </c>
      <c r="BD103" s="82">
        <v>0</v>
      </c>
      <c r="BE103" s="82">
        <v>0</v>
      </c>
      <c r="BF103" s="82">
        <v>0</v>
      </c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  <c r="BM103" s="82">
        <v>39</v>
      </c>
      <c r="BN103" s="82">
        <v>0</v>
      </c>
      <c r="BO103" s="82">
        <v>0</v>
      </c>
      <c r="BP103" s="82">
        <v>0</v>
      </c>
      <c r="BQ103" s="82">
        <v>0</v>
      </c>
      <c r="BR103" s="82">
        <v>0</v>
      </c>
      <c r="BS103" s="82">
        <v>0</v>
      </c>
      <c r="BT103" s="82">
        <v>0</v>
      </c>
      <c r="BU103" s="82">
        <v>23130</v>
      </c>
      <c r="BV103" s="82">
        <v>6006</v>
      </c>
      <c r="BX103" s="189">
        <v>0</v>
      </c>
      <c r="BY103" s="190">
        <v>0</v>
      </c>
    </row>
    <row r="104" spans="1:77" ht="8.25" customHeight="1" x14ac:dyDescent="0.15">
      <c r="A104" s="188">
        <v>51001</v>
      </c>
      <c r="B104" s="77" t="str">
        <f>IFERROR(INDEX(SCNtoISIC!$M:$M,MATCH($A104,SCNtoISIC!$J:$J,0)),0)</f>
        <v>ISIC 49T53</v>
      </c>
      <c r="C104" s="81" t="s">
        <v>262</v>
      </c>
      <c r="D104" s="82">
        <v>0</v>
      </c>
      <c r="E104" s="82">
        <v>0</v>
      </c>
      <c r="F104" s="82">
        <v>0</v>
      </c>
      <c r="G104" s="82">
        <v>0</v>
      </c>
      <c r="H104" s="82">
        <v>0</v>
      </c>
      <c r="I104" s="82">
        <v>0</v>
      </c>
      <c r="J104" s="82">
        <v>0</v>
      </c>
      <c r="K104" s="82">
        <v>0</v>
      </c>
      <c r="L104" s="82">
        <v>0</v>
      </c>
      <c r="M104" s="82">
        <v>0</v>
      </c>
      <c r="N104" s="82">
        <v>0</v>
      </c>
      <c r="O104" s="82">
        <v>0</v>
      </c>
      <c r="P104" s="82">
        <v>0</v>
      </c>
      <c r="Q104" s="82">
        <v>0</v>
      </c>
      <c r="R104" s="82">
        <v>0</v>
      </c>
      <c r="S104" s="82">
        <v>0</v>
      </c>
      <c r="T104" s="82">
        <v>0</v>
      </c>
      <c r="U104" s="82">
        <v>0</v>
      </c>
      <c r="V104" s="82">
        <v>0</v>
      </c>
      <c r="W104" s="82">
        <v>0</v>
      </c>
      <c r="X104" s="82">
        <v>0</v>
      </c>
      <c r="Y104" s="82">
        <v>0</v>
      </c>
      <c r="Z104" s="82">
        <v>0</v>
      </c>
      <c r="AA104" s="82">
        <v>0</v>
      </c>
      <c r="AB104" s="82">
        <v>0</v>
      </c>
      <c r="AC104" s="80">
        <v>0</v>
      </c>
      <c r="AD104" s="80">
        <v>0</v>
      </c>
      <c r="AE104" s="82">
        <v>0</v>
      </c>
      <c r="AF104" s="82">
        <v>0</v>
      </c>
      <c r="AG104" s="82">
        <v>0</v>
      </c>
      <c r="AH104" s="82">
        <v>0</v>
      </c>
      <c r="AI104" s="82">
        <v>0</v>
      </c>
      <c r="AJ104" s="82">
        <v>0</v>
      </c>
      <c r="AK104" s="82">
        <v>0</v>
      </c>
      <c r="AL104" s="82">
        <v>0</v>
      </c>
      <c r="AM104" s="82">
        <v>0</v>
      </c>
      <c r="AN104" s="82">
        <v>0</v>
      </c>
      <c r="AO104" s="82">
        <v>0</v>
      </c>
      <c r="AP104" s="80">
        <v>0</v>
      </c>
      <c r="AQ104" s="80">
        <v>0</v>
      </c>
      <c r="AR104" s="82">
        <v>0</v>
      </c>
      <c r="AS104" s="82">
        <v>0</v>
      </c>
      <c r="AT104" s="82">
        <v>0</v>
      </c>
      <c r="AU104" s="82">
        <v>0</v>
      </c>
      <c r="AV104" s="82">
        <v>0</v>
      </c>
      <c r="AW104" s="82">
        <v>36878</v>
      </c>
      <c r="AX104" s="82">
        <v>0</v>
      </c>
      <c r="AY104" s="82">
        <v>0</v>
      </c>
      <c r="AZ104" s="82">
        <v>0</v>
      </c>
      <c r="BA104" s="82">
        <v>0</v>
      </c>
      <c r="BB104" s="82">
        <v>0</v>
      </c>
      <c r="BC104" s="82">
        <v>0</v>
      </c>
      <c r="BD104" s="82">
        <v>0</v>
      </c>
      <c r="BE104" s="82">
        <v>0</v>
      </c>
      <c r="BF104" s="82">
        <v>0</v>
      </c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  <c r="BM104" s="82">
        <v>7</v>
      </c>
      <c r="BN104" s="82">
        <v>0</v>
      </c>
      <c r="BO104" s="82">
        <v>0</v>
      </c>
      <c r="BP104" s="82">
        <v>0</v>
      </c>
      <c r="BQ104" s="82">
        <v>0</v>
      </c>
      <c r="BR104" s="82">
        <v>0</v>
      </c>
      <c r="BS104" s="82">
        <v>0</v>
      </c>
      <c r="BT104" s="82">
        <v>0</v>
      </c>
      <c r="BU104" s="82">
        <v>36885</v>
      </c>
      <c r="BV104" s="82">
        <v>8534</v>
      </c>
      <c r="BX104" s="189">
        <v>0</v>
      </c>
      <c r="BY104" s="190">
        <v>0</v>
      </c>
    </row>
    <row r="105" spans="1:77" ht="8.25" customHeight="1" x14ac:dyDescent="0.15">
      <c r="A105" s="188">
        <v>52801</v>
      </c>
      <c r="B105" s="77" t="str">
        <f>IFERROR(INDEX(SCNtoISIC!$M:$M,MATCH($A105,SCNtoISIC!$J:$J,0)),0)</f>
        <v>ISIC 49T53</v>
      </c>
      <c r="C105" s="81" t="s">
        <v>483</v>
      </c>
      <c r="D105" s="82">
        <v>0</v>
      </c>
      <c r="E105" s="82">
        <v>0</v>
      </c>
      <c r="F105" s="82">
        <v>0</v>
      </c>
      <c r="G105" s="82">
        <v>0</v>
      </c>
      <c r="H105" s="82">
        <v>0</v>
      </c>
      <c r="I105" s="82">
        <v>0</v>
      </c>
      <c r="J105" s="82">
        <v>0</v>
      </c>
      <c r="K105" s="82">
        <v>0</v>
      </c>
      <c r="L105" s="82">
        <v>0</v>
      </c>
      <c r="M105" s="82">
        <v>0</v>
      </c>
      <c r="N105" s="82">
        <v>0</v>
      </c>
      <c r="O105" s="82">
        <v>0</v>
      </c>
      <c r="P105" s="82">
        <v>0</v>
      </c>
      <c r="Q105" s="82">
        <v>0</v>
      </c>
      <c r="R105" s="82">
        <v>0</v>
      </c>
      <c r="S105" s="82">
        <v>0</v>
      </c>
      <c r="T105" s="82">
        <v>0</v>
      </c>
      <c r="U105" s="82">
        <v>0</v>
      </c>
      <c r="V105" s="82">
        <v>0</v>
      </c>
      <c r="W105" s="82">
        <v>0</v>
      </c>
      <c r="X105" s="82">
        <v>0</v>
      </c>
      <c r="Y105" s="82">
        <v>0</v>
      </c>
      <c r="Z105" s="82">
        <v>0</v>
      </c>
      <c r="AA105" s="82">
        <v>0</v>
      </c>
      <c r="AB105" s="82">
        <v>0</v>
      </c>
      <c r="AC105" s="80">
        <v>0</v>
      </c>
      <c r="AD105" s="80">
        <v>0</v>
      </c>
      <c r="AE105" s="82">
        <v>0</v>
      </c>
      <c r="AF105" s="82">
        <v>0</v>
      </c>
      <c r="AG105" s="82">
        <v>0</v>
      </c>
      <c r="AH105" s="82">
        <v>0</v>
      </c>
      <c r="AI105" s="82">
        <v>0</v>
      </c>
      <c r="AJ105" s="82">
        <v>0</v>
      </c>
      <c r="AK105" s="82">
        <v>0</v>
      </c>
      <c r="AL105" s="82">
        <v>0</v>
      </c>
      <c r="AM105" s="82">
        <v>0</v>
      </c>
      <c r="AN105" s="82">
        <v>0</v>
      </c>
      <c r="AO105" s="82">
        <v>0</v>
      </c>
      <c r="AP105" s="80">
        <v>0</v>
      </c>
      <c r="AQ105" s="80">
        <v>0</v>
      </c>
      <c r="AR105" s="82">
        <v>0</v>
      </c>
      <c r="AS105" s="82">
        <v>0</v>
      </c>
      <c r="AT105" s="82">
        <v>1815</v>
      </c>
      <c r="AU105" s="82">
        <v>1901</v>
      </c>
      <c r="AV105" s="82">
        <v>0</v>
      </c>
      <c r="AW105" s="82">
        <v>0</v>
      </c>
      <c r="AX105" s="82">
        <v>90232</v>
      </c>
      <c r="AY105" s="82">
        <v>0</v>
      </c>
      <c r="AZ105" s="82">
        <v>0</v>
      </c>
      <c r="BA105" s="82">
        <v>0</v>
      </c>
      <c r="BB105" s="82">
        <v>0</v>
      </c>
      <c r="BC105" s="82">
        <v>0</v>
      </c>
      <c r="BD105" s="82">
        <v>0</v>
      </c>
      <c r="BE105" s="82">
        <v>0</v>
      </c>
      <c r="BF105" s="82">
        <v>0</v>
      </c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  <c r="BM105" s="82">
        <v>3817</v>
      </c>
      <c r="BN105" s="82">
        <v>0</v>
      </c>
      <c r="BO105" s="82">
        <v>0</v>
      </c>
      <c r="BP105" s="82">
        <v>0</v>
      </c>
      <c r="BQ105" s="82">
        <v>0</v>
      </c>
      <c r="BR105" s="82">
        <v>0</v>
      </c>
      <c r="BS105" s="82">
        <v>0</v>
      </c>
      <c r="BT105" s="82">
        <v>0</v>
      </c>
      <c r="BU105" s="82">
        <v>97765</v>
      </c>
      <c r="BV105" s="82">
        <v>2419</v>
      </c>
      <c r="BX105" s="189">
        <v>0</v>
      </c>
      <c r="BY105" s="190">
        <v>0</v>
      </c>
    </row>
    <row r="106" spans="1:77" ht="8.25" customHeight="1" x14ac:dyDescent="0.15">
      <c r="A106" s="188">
        <v>52802</v>
      </c>
      <c r="B106" s="77" t="str">
        <f>IFERROR(INDEX(SCNtoISIC!$M:$M,MATCH($A106,SCNtoISIC!$J:$J,0)),0)</f>
        <v>ISIC 49T53</v>
      </c>
      <c r="C106" s="81" t="s">
        <v>485</v>
      </c>
      <c r="D106" s="82">
        <v>0</v>
      </c>
      <c r="E106" s="82">
        <v>0</v>
      </c>
      <c r="F106" s="82">
        <v>0</v>
      </c>
      <c r="G106" s="82">
        <v>0</v>
      </c>
      <c r="H106" s="82">
        <v>0</v>
      </c>
      <c r="I106" s="82">
        <v>0</v>
      </c>
      <c r="J106" s="82">
        <v>0</v>
      </c>
      <c r="K106" s="82">
        <v>0</v>
      </c>
      <c r="L106" s="82">
        <v>0</v>
      </c>
      <c r="M106" s="82">
        <v>0</v>
      </c>
      <c r="N106" s="82">
        <v>0</v>
      </c>
      <c r="O106" s="82">
        <v>0</v>
      </c>
      <c r="P106" s="82">
        <v>0</v>
      </c>
      <c r="Q106" s="82">
        <v>0</v>
      </c>
      <c r="R106" s="82">
        <v>0</v>
      </c>
      <c r="S106" s="82">
        <v>0</v>
      </c>
      <c r="T106" s="82">
        <v>0</v>
      </c>
      <c r="U106" s="82">
        <v>0</v>
      </c>
      <c r="V106" s="82">
        <v>0</v>
      </c>
      <c r="W106" s="82">
        <v>0</v>
      </c>
      <c r="X106" s="82">
        <v>0</v>
      </c>
      <c r="Y106" s="82">
        <v>0</v>
      </c>
      <c r="Z106" s="82">
        <v>0</v>
      </c>
      <c r="AA106" s="82">
        <v>0</v>
      </c>
      <c r="AB106" s="82">
        <v>0</v>
      </c>
      <c r="AC106" s="80">
        <v>0</v>
      </c>
      <c r="AD106" s="80">
        <v>0</v>
      </c>
      <c r="AE106" s="82">
        <v>0</v>
      </c>
      <c r="AF106" s="82">
        <v>0</v>
      </c>
      <c r="AG106" s="82">
        <v>0</v>
      </c>
      <c r="AH106" s="82">
        <v>0</v>
      </c>
      <c r="AI106" s="82">
        <v>0</v>
      </c>
      <c r="AJ106" s="82">
        <v>0</v>
      </c>
      <c r="AK106" s="82">
        <v>0</v>
      </c>
      <c r="AL106" s="82">
        <v>0</v>
      </c>
      <c r="AM106" s="82">
        <v>0</v>
      </c>
      <c r="AN106" s="82">
        <v>0</v>
      </c>
      <c r="AO106" s="82">
        <v>0</v>
      </c>
      <c r="AP106" s="80">
        <v>0</v>
      </c>
      <c r="AQ106" s="80">
        <v>0</v>
      </c>
      <c r="AR106" s="82">
        <v>0</v>
      </c>
      <c r="AS106" s="82">
        <v>0</v>
      </c>
      <c r="AT106" s="82">
        <v>0</v>
      </c>
      <c r="AU106" s="82">
        <v>0</v>
      </c>
      <c r="AV106" s="82">
        <v>0</v>
      </c>
      <c r="AW106" s="82">
        <v>0</v>
      </c>
      <c r="AX106" s="82">
        <v>21998</v>
      </c>
      <c r="AY106" s="82">
        <v>0</v>
      </c>
      <c r="AZ106" s="82">
        <v>0</v>
      </c>
      <c r="BA106" s="82">
        <v>0</v>
      </c>
      <c r="BB106" s="82">
        <v>0</v>
      </c>
      <c r="BC106" s="82">
        <v>0</v>
      </c>
      <c r="BD106" s="82">
        <v>0</v>
      </c>
      <c r="BE106" s="82">
        <v>0</v>
      </c>
      <c r="BF106" s="82">
        <v>0</v>
      </c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  <c r="BM106" s="82">
        <v>0</v>
      </c>
      <c r="BN106" s="82">
        <v>0</v>
      </c>
      <c r="BO106" s="82">
        <v>0</v>
      </c>
      <c r="BP106" s="82">
        <v>0</v>
      </c>
      <c r="BQ106" s="82">
        <v>0</v>
      </c>
      <c r="BR106" s="82">
        <v>0</v>
      </c>
      <c r="BS106" s="82">
        <v>0</v>
      </c>
      <c r="BT106" s="82">
        <v>0</v>
      </c>
      <c r="BU106" s="82">
        <v>21998</v>
      </c>
      <c r="BV106" s="82">
        <v>4</v>
      </c>
      <c r="BX106" s="189">
        <v>0</v>
      </c>
      <c r="BY106" s="190">
        <v>0</v>
      </c>
    </row>
    <row r="107" spans="1:77" ht="8.25" customHeight="1" x14ac:dyDescent="0.15">
      <c r="A107" s="194">
        <v>55001</v>
      </c>
      <c r="B107" s="77" t="str">
        <f>IFERROR(INDEX(SCNtoISIC!$M:$M,MATCH($A107,SCNtoISIC!$J:$J,0)),0)</f>
        <v>ISIC 55T56</v>
      </c>
      <c r="C107" s="195" t="s">
        <v>487</v>
      </c>
      <c r="D107" s="82">
        <v>26</v>
      </c>
      <c r="E107" s="82">
        <v>105</v>
      </c>
      <c r="F107" s="82">
        <v>12</v>
      </c>
      <c r="G107" s="82">
        <v>0</v>
      </c>
      <c r="H107" s="82">
        <v>0</v>
      </c>
      <c r="I107" s="82">
        <v>0</v>
      </c>
      <c r="J107" s="82">
        <v>0</v>
      </c>
      <c r="K107" s="82">
        <v>0</v>
      </c>
      <c r="L107" s="82">
        <v>0</v>
      </c>
      <c r="M107" s="82">
        <v>0</v>
      </c>
      <c r="N107" s="82">
        <v>0</v>
      </c>
      <c r="O107" s="82">
        <v>0</v>
      </c>
      <c r="P107" s="82">
        <v>0</v>
      </c>
      <c r="Q107" s="82">
        <v>0</v>
      </c>
      <c r="R107" s="82">
        <v>0</v>
      </c>
      <c r="S107" s="82">
        <v>0</v>
      </c>
      <c r="T107" s="82">
        <v>0</v>
      </c>
      <c r="U107" s="82">
        <v>0</v>
      </c>
      <c r="V107" s="82">
        <v>0</v>
      </c>
      <c r="W107" s="82">
        <v>0</v>
      </c>
      <c r="X107" s="82">
        <v>0</v>
      </c>
      <c r="Y107" s="82">
        <v>0</v>
      </c>
      <c r="Z107" s="82">
        <v>0</v>
      </c>
      <c r="AA107" s="82">
        <v>0</v>
      </c>
      <c r="AB107" s="82">
        <v>0</v>
      </c>
      <c r="AC107" s="80">
        <v>0</v>
      </c>
      <c r="AD107" s="80">
        <v>0</v>
      </c>
      <c r="AE107" s="82">
        <v>0</v>
      </c>
      <c r="AF107" s="82">
        <v>0</v>
      </c>
      <c r="AG107" s="82">
        <v>0</v>
      </c>
      <c r="AH107" s="82">
        <v>0</v>
      </c>
      <c r="AI107" s="82">
        <v>0</v>
      </c>
      <c r="AJ107" s="82">
        <v>0</v>
      </c>
      <c r="AK107" s="82">
        <v>0</v>
      </c>
      <c r="AL107" s="82">
        <v>0</v>
      </c>
      <c r="AM107" s="82">
        <v>0</v>
      </c>
      <c r="AN107" s="82">
        <v>0</v>
      </c>
      <c r="AO107" s="82">
        <v>0</v>
      </c>
      <c r="AP107" s="80">
        <v>0</v>
      </c>
      <c r="AQ107" s="80">
        <v>0</v>
      </c>
      <c r="AR107" s="82">
        <v>0</v>
      </c>
      <c r="AS107" s="82">
        <v>0</v>
      </c>
      <c r="AT107" s="82">
        <v>0</v>
      </c>
      <c r="AU107" s="82">
        <v>0</v>
      </c>
      <c r="AV107" s="82">
        <v>0</v>
      </c>
      <c r="AW107" s="82">
        <v>0</v>
      </c>
      <c r="AX107" s="82">
        <v>0</v>
      </c>
      <c r="AY107" s="82">
        <v>23647</v>
      </c>
      <c r="AZ107" s="82">
        <v>0</v>
      </c>
      <c r="BA107" s="82">
        <v>0</v>
      </c>
      <c r="BB107" s="82">
        <v>0</v>
      </c>
      <c r="BC107" s="82">
        <v>0</v>
      </c>
      <c r="BD107" s="82">
        <v>0</v>
      </c>
      <c r="BE107" s="82">
        <v>0</v>
      </c>
      <c r="BF107" s="82">
        <v>0</v>
      </c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  <c r="BM107" s="82">
        <v>537</v>
      </c>
      <c r="BN107" s="82">
        <v>26</v>
      </c>
      <c r="BO107" s="82">
        <v>0</v>
      </c>
      <c r="BP107" s="82">
        <v>0</v>
      </c>
      <c r="BQ107" s="82">
        <v>0</v>
      </c>
      <c r="BR107" s="82">
        <v>0</v>
      </c>
      <c r="BS107" s="82">
        <v>0</v>
      </c>
      <c r="BT107" s="82">
        <v>0</v>
      </c>
      <c r="BU107" s="82">
        <v>24353</v>
      </c>
      <c r="BV107" s="82">
        <v>19208</v>
      </c>
      <c r="BX107" s="189">
        <v>0</v>
      </c>
      <c r="BY107" s="190">
        <v>0</v>
      </c>
    </row>
    <row r="108" spans="1:77" ht="8.25" customHeight="1" x14ac:dyDescent="0.15">
      <c r="A108" s="185">
        <v>56001</v>
      </c>
      <c r="B108" s="77" t="str">
        <f>IFERROR(INDEX(SCNtoISIC!$M:$M,MATCH($A108,SCNtoISIC!$J:$J,0)),0)</f>
        <v>ISIC 58T60</v>
      </c>
      <c r="C108" s="78" t="s">
        <v>489</v>
      </c>
      <c r="D108" s="79">
        <v>0</v>
      </c>
      <c r="E108" s="79">
        <v>0</v>
      </c>
      <c r="F108" s="79">
        <v>0</v>
      </c>
      <c r="G108" s="79">
        <v>0</v>
      </c>
      <c r="H108" s="79">
        <v>0</v>
      </c>
      <c r="I108" s="79">
        <v>0</v>
      </c>
      <c r="J108" s="79">
        <v>0</v>
      </c>
      <c r="K108" s="79">
        <v>0</v>
      </c>
      <c r="L108" s="79">
        <v>0</v>
      </c>
      <c r="M108" s="79">
        <v>0</v>
      </c>
      <c r="N108" s="79">
        <v>0</v>
      </c>
      <c r="O108" s="79">
        <v>0</v>
      </c>
      <c r="P108" s="79">
        <v>0</v>
      </c>
      <c r="Q108" s="79">
        <v>0</v>
      </c>
      <c r="R108" s="79">
        <v>0</v>
      </c>
      <c r="S108" s="79">
        <v>0</v>
      </c>
      <c r="T108" s="79">
        <v>0</v>
      </c>
      <c r="U108" s="79">
        <v>0</v>
      </c>
      <c r="V108" s="79">
        <v>0</v>
      </c>
      <c r="W108" s="79">
        <v>0</v>
      </c>
      <c r="X108" s="79">
        <v>0</v>
      </c>
      <c r="Y108" s="79">
        <v>0</v>
      </c>
      <c r="Z108" s="79">
        <v>0</v>
      </c>
      <c r="AA108" s="79">
        <v>0</v>
      </c>
      <c r="AB108" s="79">
        <v>0</v>
      </c>
      <c r="AC108" s="80">
        <v>0</v>
      </c>
      <c r="AD108" s="80">
        <v>0</v>
      </c>
      <c r="AE108" s="79">
        <v>0</v>
      </c>
      <c r="AF108" s="79">
        <v>0</v>
      </c>
      <c r="AG108" s="79">
        <v>0</v>
      </c>
      <c r="AH108" s="79">
        <v>0</v>
      </c>
      <c r="AI108" s="79">
        <v>0</v>
      </c>
      <c r="AJ108" s="79">
        <v>0</v>
      </c>
      <c r="AK108" s="79">
        <v>0</v>
      </c>
      <c r="AL108" s="79">
        <v>0</v>
      </c>
      <c r="AM108" s="79">
        <v>0</v>
      </c>
      <c r="AN108" s="79">
        <v>0</v>
      </c>
      <c r="AO108" s="79">
        <v>0</v>
      </c>
      <c r="AP108" s="80">
        <v>0</v>
      </c>
      <c r="AQ108" s="80">
        <v>0</v>
      </c>
      <c r="AR108" s="79">
        <v>0</v>
      </c>
      <c r="AS108" s="79">
        <v>0</v>
      </c>
      <c r="AT108" s="79">
        <v>3107</v>
      </c>
      <c r="AU108" s="79">
        <v>0</v>
      </c>
      <c r="AV108" s="79">
        <v>0</v>
      </c>
      <c r="AW108" s="79">
        <v>0</v>
      </c>
      <c r="AX108" s="79">
        <v>0</v>
      </c>
      <c r="AY108" s="79">
        <v>0</v>
      </c>
      <c r="AZ108" s="79">
        <v>221798</v>
      </c>
      <c r="BA108" s="79">
        <v>0</v>
      </c>
      <c r="BB108" s="79">
        <v>0</v>
      </c>
      <c r="BC108" s="79">
        <v>0</v>
      </c>
      <c r="BD108" s="79">
        <v>0</v>
      </c>
      <c r="BE108" s="79">
        <v>0</v>
      </c>
      <c r="BF108" s="79">
        <v>0</v>
      </c>
      <c r="BG108" s="79">
        <v>0</v>
      </c>
      <c r="BH108" s="79">
        <v>0</v>
      </c>
      <c r="BI108" s="79">
        <v>0</v>
      </c>
      <c r="BJ108" s="79">
        <v>0</v>
      </c>
      <c r="BK108" s="79">
        <v>0</v>
      </c>
      <c r="BL108" s="79">
        <v>0</v>
      </c>
      <c r="BM108" s="79">
        <v>399</v>
      </c>
      <c r="BN108" s="79">
        <v>0</v>
      </c>
      <c r="BO108" s="79">
        <v>0</v>
      </c>
      <c r="BP108" s="79">
        <v>0</v>
      </c>
      <c r="BQ108" s="79">
        <v>0</v>
      </c>
      <c r="BR108" s="79">
        <v>0</v>
      </c>
      <c r="BS108" s="79">
        <v>0</v>
      </c>
      <c r="BT108" s="79">
        <v>0</v>
      </c>
      <c r="BU108" s="79">
        <v>225304</v>
      </c>
      <c r="BV108" s="79">
        <v>13273</v>
      </c>
      <c r="BX108" s="186">
        <v>0</v>
      </c>
      <c r="BY108" s="187">
        <v>0</v>
      </c>
    </row>
    <row r="109" spans="1:77" ht="8.25" customHeight="1" x14ac:dyDescent="0.15">
      <c r="A109" s="185">
        <v>58001</v>
      </c>
      <c r="B109" s="77" t="str">
        <f>IFERROR(INDEX(SCNtoISIC!$M:$M,MATCH($A109,SCNtoISIC!$J:$J,0)),0)</f>
        <v>ISIC 58T60</v>
      </c>
      <c r="C109" s="78" t="s">
        <v>491</v>
      </c>
      <c r="D109" s="79">
        <v>0</v>
      </c>
      <c r="E109" s="79">
        <v>0</v>
      </c>
      <c r="F109" s="79">
        <v>0</v>
      </c>
      <c r="G109" s="79">
        <v>0</v>
      </c>
      <c r="H109" s="79">
        <v>0</v>
      </c>
      <c r="I109" s="79">
        <v>0</v>
      </c>
      <c r="J109" s="79">
        <v>0</v>
      </c>
      <c r="K109" s="79">
        <v>0</v>
      </c>
      <c r="L109" s="79">
        <v>0</v>
      </c>
      <c r="M109" s="79">
        <v>0</v>
      </c>
      <c r="N109" s="79">
        <v>0</v>
      </c>
      <c r="O109" s="79">
        <v>0</v>
      </c>
      <c r="P109" s="79">
        <v>0</v>
      </c>
      <c r="Q109" s="79">
        <v>0</v>
      </c>
      <c r="R109" s="79">
        <v>0</v>
      </c>
      <c r="S109" s="79">
        <v>0</v>
      </c>
      <c r="T109" s="79">
        <v>0</v>
      </c>
      <c r="U109" s="79">
        <v>0</v>
      </c>
      <c r="V109" s="79">
        <v>0</v>
      </c>
      <c r="W109" s="79">
        <v>0</v>
      </c>
      <c r="X109" s="79">
        <v>0</v>
      </c>
      <c r="Y109" s="79">
        <v>0</v>
      </c>
      <c r="Z109" s="79">
        <v>0</v>
      </c>
      <c r="AA109" s="79">
        <v>0</v>
      </c>
      <c r="AB109" s="79">
        <v>0</v>
      </c>
      <c r="AC109" s="80">
        <v>0</v>
      </c>
      <c r="AD109" s="80">
        <v>0</v>
      </c>
      <c r="AE109" s="79">
        <v>0</v>
      </c>
      <c r="AF109" s="79">
        <v>0</v>
      </c>
      <c r="AG109" s="79">
        <v>0</v>
      </c>
      <c r="AH109" s="79">
        <v>0</v>
      </c>
      <c r="AI109" s="79">
        <v>0</v>
      </c>
      <c r="AJ109" s="79">
        <v>0</v>
      </c>
      <c r="AK109" s="79">
        <v>0</v>
      </c>
      <c r="AL109" s="79">
        <v>0</v>
      </c>
      <c r="AM109" s="79">
        <v>0</v>
      </c>
      <c r="AN109" s="79">
        <v>0</v>
      </c>
      <c r="AO109" s="79">
        <v>0</v>
      </c>
      <c r="AP109" s="80">
        <v>0</v>
      </c>
      <c r="AQ109" s="80">
        <v>0</v>
      </c>
      <c r="AR109" s="79">
        <v>0</v>
      </c>
      <c r="AS109" s="79">
        <v>0</v>
      </c>
      <c r="AT109" s="79">
        <v>0</v>
      </c>
      <c r="AU109" s="79">
        <v>0</v>
      </c>
      <c r="AV109" s="79">
        <v>0</v>
      </c>
      <c r="AW109" s="79">
        <v>0</v>
      </c>
      <c r="AX109" s="79">
        <v>0</v>
      </c>
      <c r="AY109" s="79">
        <v>0</v>
      </c>
      <c r="AZ109" s="79">
        <v>0</v>
      </c>
      <c r="BA109" s="79">
        <v>19749</v>
      </c>
      <c r="BB109" s="79">
        <v>0</v>
      </c>
      <c r="BC109" s="79">
        <v>0</v>
      </c>
      <c r="BD109" s="79">
        <v>0</v>
      </c>
      <c r="BE109" s="79">
        <v>0</v>
      </c>
      <c r="BF109" s="79">
        <v>0</v>
      </c>
      <c r="BG109" s="79">
        <v>0</v>
      </c>
      <c r="BH109" s="79">
        <v>0</v>
      </c>
      <c r="BI109" s="79">
        <v>0</v>
      </c>
      <c r="BJ109" s="79">
        <v>0</v>
      </c>
      <c r="BK109" s="79">
        <v>0</v>
      </c>
      <c r="BL109" s="79">
        <v>0</v>
      </c>
      <c r="BM109" s="79">
        <v>261</v>
      </c>
      <c r="BN109" s="79">
        <v>1</v>
      </c>
      <c r="BO109" s="79">
        <v>0</v>
      </c>
      <c r="BP109" s="79">
        <v>0</v>
      </c>
      <c r="BQ109" s="79">
        <v>0</v>
      </c>
      <c r="BR109" s="79">
        <v>0</v>
      </c>
      <c r="BS109" s="79">
        <v>0</v>
      </c>
      <c r="BT109" s="79">
        <v>0</v>
      </c>
      <c r="BU109" s="79">
        <v>20011</v>
      </c>
      <c r="BV109" s="79">
        <v>2138</v>
      </c>
      <c r="BX109" s="186">
        <v>0</v>
      </c>
      <c r="BY109" s="187">
        <v>0</v>
      </c>
    </row>
    <row r="110" spans="1:77" ht="8.25" customHeight="1" x14ac:dyDescent="0.15">
      <c r="A110" s="185">
        <v>59801</v>
      </c>
      <c r="B110" s="77" t="str">
        <f>IFERROR(INDEX(SCNtoISIC!$M:$M,MATCH($A110,SCNtoISIC!$J:$J,0)),0)</f>
        <v>ISIC 58T60</v>
      </c>
      <c r="C110" s="78" t="s">
        <v>493</v>
      </c>
      <c r="D110" s="79">
        <v>0</v>
      </c>
      <c r="E110" s="79">
        <v>0</v>
      </c>
      <c r="F110" s="79">
        <v>0</v>
      </c>
      <c r="G110" s="79">
        <v>0</v>
      </c>
      <c r="H110" s="79">
        <v>0</v>
      </c>
      <c r="I110" s="79">
        <v>0</v>
      </c>
      <c r="J110" s="79">
        <v>0</v>
      </c>
      <c r="K110" s="79">
        <v>0</v>
      </c>
      <c r="L110" s="79">
        <v>0</v>
      </c>
      <c r="M110" s="79">
        <v>0</v>
      </c>
      <c r="N110" s="79">
        <v>0</v>
      </c>
      <c r="O110" s="79">
        <v>0</v>
      </c>
      <c r="P110" s="79">
        <v>0</v>
      </c>
      <c r="Q110" s="79">
        <v>0</v>
      </c>
      <c r="R110" s="79">
        <v>0</v>
      </c>
      <c r="S110" s="79">
        <v>0</v>
      </c>
      <c r="T110" s="79">
        <v>0</v>
      </c>
      <c r="U110" s="79">
        <v>0</v>
      </c>
      <c r="V110" s="79">
        <v>0</v>
      </c>
      <c r="W110" s="79">
        <v>0</v>
      </c>
      <c r="X110" s="79">
        <v>0</v>
      </c>
      <c r="Y110" s="79">
        <v>0</v>
      </c>
      <c r="Z110" s="79">
        <v>0</v>
      </c>
      <c r="AA110" s="79">
        <v>0</v>
      </c>
      <c r="AB110" s="79">
        <v>0</v>
      </c>
      <c r="AC110" s="80">
        <v>0</v>
      </c>
      <c r="AD110" s="80">
        <v>0</v>
      </c>
      <c r="AE110" s="79">
        <v>0</v>
      </c>
      <c r="AF110" s="79">
        <v>0</v>
      </c>
      <c r="AG110" s="79">
        <v>0</v>
      </c>
      <c r="AH110" s="79">
        <v>0</v>
      </c>
      <c r="AI110" s="79">
        <v>0</v>
      </c>
      <c r="AJ110" s="79">
        <v>0</v>
      </c>
      <c r="AK110" s="79">
        <v>0</v>
      </c>
      <c r="AL110" s="79">
        <v>0</v>
      </c>
      <c r="AM110" s="79">
        <v>0</v>
      </c>
      <c r="AN110" s="79">
        <v>0</v>
      </c>
      <c r="AO110" s="79">
        <v>0</v>
      </c>
      <c r="AP110" s="80">
        <v>0</v>
      </c>
      <c r="AQ110" s="80">
        <v>0</v>
      </c>
      <c r="AR110" s="79">
        <v>0</v>
      </c>
      <c r="AS110" s="79">
        <v>0</v>
      </c>
      <c r="AT110" s="79">
        <v>0</v>
      </c>
      <c r="AU110" s="79">
        <v>0</v>
      </c>
      <c r="AV110" s="79">
        <v>0</v>
      </c>
      <c r="AW110" s="79">
        <v>0</v>
      </c>
      <c r="AX110" s="79">
        <v>0</v>
      </c>
      <c r="AY110" s="79">
        <v>0</v>
      </c>
      <c r="AZ110" s="79">
        <v>0</v>
      </c>
      <c r="BA110" s="79">
        <v>0</v>
      </c>
      <c r="BB110" s="79">
        <v>43260</v>
      </c>
      <c r="BC110" s="79">
        <v>0</v>
      </c>
      <c r="BD110" s="79">
        <v>0</v>
      </c>
      <c r="BE110" s="79">
        <v>0</v>
      </c>
      <c r="BF110" s="79">
        <v>0</v>
      </c>
      <c r="BG110" s="79">
        <v>0</v>
      </c>
      <c r="BH110" s="79">
        <v>0</v>
      </c>
      <c r="BI110" s="79">
        <v>0</v>
      </c>
      <c r="BJ110" s="79">
        <v>0</v>
      </c>
      <c r="BK110" s="79">
        <v>0</v>
      </c>
      <c r="BL110" s="79">
        <v>0</v>
      </c>
      <c r="BM110" s="79">
        <v>58</v>
      </c>
      <c r="BN110" s="79">
        <v>0</v>
      </c>
      <c r="BO110" s="79">
        <v>0</v>
      </c>
      <c r="BP110" s="79">
        <v>0</v>
      </c>
      <c r="BQ110" s="79">
        <v>0</v>
      </c>
      <c r="BR110" s="79">
        <v>0</v>
      </c>
      <c r="BS110" s="79">
        <v>0</v>
      </c>
      <c r="BT110" s="79">
        <v>0</v>
      </c>
      <c r="BU110" s="79">
        <v>43318</v>
      </c>
      <c r="BV110" s="79">
        <v>2375</v>
      </c>
      <c r="BX110" s="186">
        <v>0</v>
      </c>
      <c r="BY110" s="187">
        <v>0</v>
      </c>
    </row>
    <row r="111" spans="1:77" ht="8.25" customHeight="1" x14ac:dyDescent="0.15">
      <c r="A111" s="185">
        <v>61001</v>
      </c>
      <c r="B111" s="77" t="str">
        <f>IFERROR(INDEX(SCNtoISIC!$M:$M,MATCH($A111,SCNtoISIC!$J:$J,0)),0)</f>
        <v>ISIC 61</v>
      </c>
      <c r="C111" s="78" t="s">
        <v>627</v>
      </c>
      <c r="D111" s="79">
        <v>0</v>
      </c>
      <c r="E111" s="79">
        <v>0</v>
      </c>
      <c r="F111" s="79">
        <v>0</v>
      </c>
      <c r="G111" s="79">
        <v>0</v>
      </c>
      <c r="H111" s="79">
        <v>0</v>
      </c>
      <c r="I111" s="79">
        <v>0</v>
      </c>
      <c r="J111" s="79">
        <v>0</v>
      </c>
      <c r="K111" s="79">
        <v>0</v>
      </c>
      <c r="L111" s="79">
        <v>0</v>
      </c>
      <c r="M111" s="79">
        <v>0</v>
      </c>
      <c r="N111" s="79">
        <v>0</v>
      </c>
      <c r="O111" s="79">
        <v>0</v>
      </c>
      <c r="P111" s="79">
        <v>0</v>
      </c>
      <c r="Q111" s="79">
        <v>0</v>
      </c>
      <c r="R111" s="79">
        <v>0</v>
      </c>
      <c r="S111" s="79">
        <v>0</v>
      </c>
      <c r="T111" s="79">
        <v>0</v>
      </c>
      <c r="U111" s="79">
        <v>0</v>
      </c>
      <c r="V111" s="79">
        <v>0</v>
      </c>
      <c r="W111" s="79">
        <v>0</v>
      </c>
      <c r="X111" s="79">
        <v>0</v>
      </c>
      <c r="Y111" s="79">
        <v>0</v>
      </c>
      <c r="Z111" s="79">
        <v>0</v>
      </c>
      <c r="AA111" s="79">
        <v>0</v>
      </c>
      <c r="AB111" s="79">
        <v>0</v>
      </c>
      <c r="AC111" s="80">
        <v>0</v>
      </c>
      <c r="AD111" s="80">
        <v>0</v>
      </c>
      <c r="AE111" s="79">
        <v>0</v>
      </c>
      <c r="AF111" s="79">
        <v>0</v>
      </c>
      <c r="AG111" s="79">
        <v>0</v>
      </c>
      <c r="AH111" s="79">
        <v>0</v>
      </c>
      <c r="AI111" s="79">
        <v>0</v>
      </c>
      <c r="AJ111" s="79">
        <v>0</v>
      </c>
      <c r="AK111" s="79">
        <v>0</v>
      </c>
      <c r="AL111" s="79">
        <v>0</v>
      </c>
      <c r="AM111" s="79">
        <v>0</v>
      </c>
      <c r="AN111" s="79">
        <v>0</v>
      </c>
      <c r="AO111" s="79">
        <v>0</v>
      </c>
      <c r="AP111" s="80">
        <v>0</v>
      </c>
      <c r="AQ111" s="80">
        <v>0</v>
      </c>
      <c r="AR111" s="79">
        <v>0</v>
      </c>
      <c r="AS111" s="79">
        <v>0</v>
      </c>
      <c r="AT111" s="79">
        <v>0</v>
      </c>
      <c r="AU111" s="79">
        <v>0</v>
      </c>
      <c r="AV111" s="79">
        <v>0</v>
      </c>
      <c r="AW111" s="79">
        <v>0</v>
      </c>
      <c r="AX111" s="79">
        <v>34</v>
      </c>
      <c r="AY111" s="79">
        <v>0</v>
      </c>
      <c r="AZ111" s="79">
        <v>0</v>
      </c>
      <c r="BA111" s="79">
        <v>0</v>
      </c>
      <c r="BB111" s="79">
        <v>0</v>
      </c>
      <c r="BC111" s="79">
        <v>159262</v>
      </c>
      <c r="BD111" s="79">
        <v>0</v>
      </c>
      <c r="BE111" s="79">
        <v>0</v>
      </c>
      <c r="BF111" s="79">
        <v>0</v>
      </c>
      <c r="BG111" s="79">
        <v>0</v>
      </c>
      <c r="BH111" s="79">
        <v>0</v>
      </c>
      <c r="BI111" s="79">
        <v>0</v>
      </c>
      <c r="BJ111" s="79">
        <v>0</v>
      </c>
      <c r="BK111" s="79">
        <v>0</v>
      </c>
      <c r="BL111" s="79">
        <v>0</v>
      </c>
      <c r="BM111" s="79">
        <v>2</v>
      </c>
      <c r="BN111" s="79">
        <v>0</v>
      </c>
      <c r="BO111" s="79">
        <v>0</v>
      </c>
      <c r="BP111" s="79">
        <v>0</v>
      </c>
      <c r="BQ111" s="79">
        <v>0</v>
      </c>
      <c r="BR111" s="79">
        <v>0</v>
      </c>
      <c r="BS111" s="79">
        <v>0</v>
      </c>
      <c r="BT111" s="79">
        <v>0</v>
      </c>
      <c r="BU111" s="79">
        <v>159298</v>
      </c>
      <c r="BV111" s="79">
        <v>1135</v>
      </c>
      <c r="BX111" s="186">
        <v>0</v>
      </c>
      <c r="BY111" s="187">
        <v>0</v>
      </c>
    </row>
    <row r="112" spans="1:77" ht="8.25" customHeight="1" x14ac:dyDescent="0.15">
      <c r="A112" s="185">
        <v>62801</v>
      </c>
      <c r="B112" s="77" t="str">
        <f>IFERROR(INDEX(SCNtoISIC!$M:$M,MATCH($A112,SCNtoISIC!$J:$J,0)),0)</f>
        <v>ISIC 62T63</v>
      </c>
      <c r="C112" s="78" t="s">
        <v>269</v>
      </c>
      <c r="D112" s="79">
        <v>0</v>
      </c>
      <c r="E112" s="79">
        <v>0</v>
      </c>
      <c r="F112" s="79">
        <v>0</v>
      </c>
      <c r="G112" s="79">
        <v>0</v>
      </c>
      <c r="H112" s="79">
        <v>0</v>
      </c>
      <c r="I112" s="79">
        <v>0</v>
      </c>
      <c r="J112" s="79">
        <v>0</v>
      </c>
      <c r="K112" s="79">
        <v>0</v>
      </c>
      <c r="L112" s="79">
        <v>0</v>
      </c>
      <c r="M112" s="79">
        <v>0</v>
      </c>
      <c r="N112" s="79">
        <v>0</v>
      </c>
      <c r="O112" s="79">
        <v>0</v>
      </c>
      <c r="P112" s="79">
        <v>0</v>
      </c>
      <c r="Q112" s="79">
        <v>0</v>
      </c>
      <c r="R112" s="79">
        <v>0</v>
      </c>
      <c r="S112" s="79">
        <v>0</v>
      </c>
      <c r="T112" s="79">
        <v>0</v>
      </c>
      <c r="U112" s="79">
        <v>0</v>
      </c>
      <c r="V112" s="79">
        <v>0</v>
      </c>
      <c r="W112" s="79">
        <v>0</v>
      </c>
      <c r="X112" s="79">
        <v>0</v>
      </c>
      <c r="Y112" s="79">
        <v>0</v>
      </c>
      <c r="Z112" s="79">
        <v>0</v>
      </c>
      <c r="AA112" s="79">
        <v>0</v>
      </c>
      <c r="AB112" s="79">
        <v>0</v>
      </c>
      <c r="AC112" s="80">
        <v>0</v>
      </c>
      <c r="AD112" s="80">
        <v>0</v>
      </c>
      <c r="AE112" s="79">
        <v>0</v>
      </c>
      <c r="AF112" s="79">
        <v>0</v>
      </c>
      <c r="AG112" s="79">
        <v>0</v>
      </c>
      <c r="AH112" s="79">
        <v>0</v>
      </c>
      <c r="AI112" s="79">
        <v>0</v>
      </c>
      <c r="AJ112" s="79">
        <v>0</v>
      </c>
      <c r="AK112" s="79">
        <v>0</v>
      </c>
      <c r="AL112" s="79">
        <v>0</v>
      </c>
      <c r="AM112" s="79">
        <v>0</v>
      </c>
      <c r="AN112" s="79">
        <v>0</v>
      </c>
      <c r="AO112" s="79">
        <v>0</v>
      </c>
      <c r="AP112" s="80">
        <v>0</v>
      </c>
      <c r="AQ112" s="80">
        <v>0</v>
      </c>
      <c r="AR112" s="79">
        <v>0</v>
      </c>
      <c r="AS112" s="79">
        <v>0</v>
      </c>
      <c r="AT112" s="79">
        <v>708</v>
      </c>
      <c r="AU112" s="79">
        <v>0</v>
      </c>
      <c r="AV112" s="79">
        <v>0</v>
      </c>
      <c r="AW112" s="79">
        <v>0</v>
      </c>
      <c r="AX112" s="79">
        <v>0</v>
      </c>
      <c r="AY112" s="79">
        <v>0</v>
      </c>
      <c r="AZ112" s="79">
        <v>0</v>
      </c>
      <c r="BA112" s="79">
        <v>0</v>
      </c>
      <c r="BB112" s="79">
        <v>0</v>
      </c>
      <c r="BC112" s="79">
        <v>0</v>
      </c>
      <c r="BD112" s="79">
        <v>123188</v>
      </c>
      <c r="BE112" s="79">
        <v>976</v>
      </c>
      <c r="BF112" s="79">
        <v>0</v>
      </c>
      <c r="BG112" s="79">
        <v>0</v>
      </c>
      <c r="BH112" s="79">
        <v>0</v>
      </c>
      <c r="BI112" s="79">
        <v>0</v>
      </c>
      <c r="BJ112" s="79">
        <v>0</v>
      </c>
      <c r="BK112" s="79">
        <v>0</v>
      </c>
      <c r="BL112" s="79">
        <v>0</v>
      </c>
      <c r="BM112" s="79">
        <v>1450</v>
      </c>
      <c r="BN112" s="79">
        <v>1</v>
      </c>
      <c r="BO112" s="79">
        <v>0</v>
      </c>
      <c r="BP112" s="79">
        <v>0</v>
      </c>
      <c r="BQ112" s="79">
        <v>0</v>
      </c>
      <c r="BR112" s="79">
        <v>0</v>
      </c>
      <c r="BS112" s="79">
        <v>109</v>
      </c>
      <c r="BT112" s="79">
        <v>0</v>
      </c>
      <c r="BU112" s="79">
        <v>126432</v>
      </c>
      <c r="BV112" s="79">
        <v>11079</v>
      </c>
      <c r="BX112" s="186">
        <v>0</v>
      </c>
      <c r="BY112" s="187">
        <v>0</v>
      </c>
    </row>
    <row r="113" spans="1:77" ht="8.25" customHeight="1" x14ac:dyDescent="0.15">
      <c r="A113" s="188">
        <v>64801</v>
      </c>
      <c r="B113" s="77" t="str">
        <f>IFERROR(INDEX(SCNtoISIC!$M:$M,MATCH($A113,SCNtoISIC!$J:$J,0)),0)</f>
        <v>ISIC 64T66</v>
      </c>
      <c r="C113" s="81" t="s">
        <v>270</v>
      </c>
      <c r="D113" s="82">
        <v>0</v>
      </c>
      <c r="E113" s="82">
        <v>0</v>
      </c>
      <c r="F113" s="82">
        <v>0</v>
      </c>
      <c r="G113" s="82">
        <v>0</v>
      </c>
      <c r="H113" s="82">
        <v>0</v>
      </c>
      <c r="I113" s="82">
        <v>0</v>
      </c>
      <c r="J113" s="82">
        <v>0</v>
      </c>
      <c r="K113" s="82">
        <v>0</v>
      </c>
      <c r="L113" s="82">
        <v>0</v>
      </c>
      <c r="M113" s="82">
        <v>0</v>
      </c>
      <c r="N113" s="82">
        <v>0</v>
      </c>
      <c r="O113" s="82">
        <v>0</v>
      </c>
      <c r="P113" s="82">
        <v>0</v>
      </c>
      <c r="Q113" s="82">
        <v>0</v>
      </c>
      <c r="R113" s="82">
        <v>0</v>
      </c>
      <c r="S113" s="82">
        <v>0</v>
      </c>
      <c r="T113" s="82">
        <v>0</v>
      </c>
      <c r="U113" s="82">
        <v>0</v>
      </c>
      <c r="V113" s="82">
        <v>0</v>
      </c>
      <c r="W113" s="82">
        <v>0</v>
      </c>
      <c r="X113" s="82">
        <v>0</v>
      </c>
      <c r="Y113" s="82">
        <v>0</v>
      </c>
      <c r="Z113" s="82">
        <v>0</v>
      </c>
      <c r="AA113" s="82">
        <v>0</v>
      </c>
      <c r="AB113" s="82">
        <v>0</v>
      </c>
      <c r="AC113" s="80">
        <v>0</v>
      </c>
      <c r="AD113" s="80">
        <v>0</v>
      </c>
      <c r="AE113" s="82">
        <v>0</v>
      </c>
      <c r="AF113" s="82">
        <v>0</v>
      </c>
      <c r="AG113" s="82">
        <v>0</v>
      </c>
      <c r="AH113" s="82">
        <v>0</v>
      </c>
      <c r="AI113" s="82">
        <v>0</v>
      </c>
      <c r="AJ113" s="82">
        <v>0</v>
      </c>
      <c r="AK113" s="82">
        <v>0</v>
      </c>
      <c r="AL113" s="82">
        <v>0</v>
      </c>
      <c r="AM113" s="82">
        <v>0</v>
      </c>
      <c r="AN113" s="82">
        <v>0</v>
      </c>
      <c r="AO113" s="82">
        <v>0</v>
      </c>
      <c r="AP113" s="80">
        <v>0</v>
      </c>
      <c r="AQ113" s="80">
        <v>0</v>
      </c>
      <c r="AR113" s="82">
        <v>0</v>
      </c>
      <c r="AS113" s="82">
        <v>0</v>
      </c>
      <c r="AT113" s="82">
        <v>0</v>
      </c>
      <c r="AU113" s="82">
        <v>0</v>
      </c>
      <c r="AV113" s="82">
        <v>0</v>
      </c>
      <c r="AW113" s="82">
        <v>0</v>
      </c>
      <c r="AX113" s="82">
        <v>0</v>
      </c>
      <c r="AY113" s="82">
        <v>0</v>
      </c>
      <c r="AZ113" s="82">
        <v>0</v>
      </c>
      <c r="BA113" s="82">
        <v>0</v>
      </c>
      <c r="BB113" s="82">
        <v>0</v>
      </c>
      <c r="BC113" s="82">
        <v>0</v>
      </c>
      <c r="BD113" s="82">
        <v>0</v>
      </c>
      <c r="BE113" s="82">
        <v>563605</v>
      </c>
      <c r="BF113" s="82">
        <v>0</v>
      </c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  <c r="BM113" s="82">
        <v>410</v>
      </c>
      <c r="BN113" s="82">
        <v>0</v>
      </c>
      <c r="BO113" s="82">
        <v>0</v>
      </c>
      <c r="BP113" s="82">
        <v>0</v>
      </c>
      <c r="BQ113" s="82">
        <v>0</v>
      </c>
      <c r="BR113" s="82">
        <v>0</v>
      </c>
      <c r="BS113" s="82">
        <v>0</v>
      </c>
      <c r="BT113" s="82">
        <v>0</v>
      </c>
      <c r="BU113" s="82">
        <v>564015</v>
      </c>
      <c r="BV113" s="82">
        <v>26695</v>
      </c>
      <c r="BX113" s="189">
        <v>0</v>
      </c>
      <c r="BY113" s="190">
        <v>0</v>
      </c>
    </row>
    <row r="114" spans="1:77" ht="8.25" customHeight="1" x14ac:dyDescent="0.15">
      <c r="A114" s="188">
        <v>68001</v>
      </c>
      <c r="B114" s="77" t="str">
        <f>IFERROR(INDEX(SCNtoISIC!$M:$M,MATCH($A114,SCNtoISIC!$J:$J,0)),0)</f>
        <v>ISIC 68</v>
      </c>
      <c r="C114" s="81" t="s">
        <v>498</v>
      </c>
      <c r="D114" s="82">
        <v>34</v>
      </c>
      <c r="E114" s="82">
        <v>19</v>
      </c>
      <c r="F114" s="82">
        <v>8</v>
      </c>
      <c r="G114" s="82">
        <v>54</v>
      </c>
      <c r="H114" s="82">
        <v>463</v>
      </c>
      <c r="I114" s="82">
        <v>0</v>
      </c>
      <c r="J114" s="82">
        <v>0</v>
      </c>
      <c r="K114" s="82">
        <v>33</v>
      </c>
      <c r="L114" s="82">
        <v>82</v>
      </c>
      <c r="M114" s="82">
        <v>712</v>
      </c>
      <c r="N114" s="82">
        <v>202</v>
      </c>
      <c r="O114" s="82">
        <v>7</v>
      </c>
      <c r="P114" s="82">
        <v>359</v>
      </c>
      <c r="Q114" s="82">
        <v>70</v>
      </c>
      <c r="R114" s="82">
        <v>25</v>
      </c>
      <c r="S114" s="82">
        <v>703</v>
      </c>
      <c r="T114" s="82">
        <v>1592</v>
      </c>
      <c r="U114" s="82">
        <v>988</v>
      </c>
      <c r="V114" s="82">
        <v>246</v>
      </c>
      <c r="W114" s="82">
        <v>81</v>
      </c>
      <c r="X114" s="82">
        <v>2288</v>
      </c>
      <c r="Y114" s="82">
        <v>1095</v>
      </c>
      <c r="Z114" s="82">
        <v>30</v>
      </c>
      <c r="AA114" s="82">
        <v>448</v>
      </c>
      <c r="AB114" s="82">
        <v>1781</v>
      </c>
      <c r="AC114" s="80">
        <v>626.4</v>
      </c>
      <c r="AD114" s="80">
        <v>417.6</v>
      </c>
      <c r="AE114" s="82">
        <v>1984</v>
      </c>
      <c r="AF114" s="82">
        <v>2298</v>
      </c>
      <c r="AG114" s="82">
        <v>1341</v>
      </c>
      <c r="AH114" s="82">
        <v>72</v>
      </c>
      <c r="AI114" s="82">
        <v>936</v>
      </c>
      <c r="AJ114" s="82">
        <v>300</v>
      </c>
      <c r="AK114" s="82">
        <v>75</v>
      </c>
      <c r="AL114" s="82">
        <v>727</v>
      </c>
      <c r="AM114" s="82">
        <v>149</v>
      </c>
      <c r="AN114" s="82">
        <v>275</v>
      </c>
      <c r="AO114" s="82">
        <v>28</v>
      </c>
      <c r="AP114" s="80">
        <v>2391.333333333333</v>
      </c>
      <c r="AQ114" s="80">
        <v>1195.6666666666667</v>
      </c>
      <c r="AR114" s="82">
        <v>572</v>
      </c>
      <c r="AS114" s="82">
        <v>1329</v>
      </c>
      <c r="AT114" s="82">
        <v>2409</v>
      </c>
      <c r="AU114" s="82">
        <v>1817</v>
      </c>
      <c r="AV114" s="82">
        <v>497</v>
      </c>
      <c r="AW114" s="82">
        <v>432</v>
      </c>
      <c r="AX114" s="82">
        <v>913</v>
      </c>
      <c r="AY114" s="82">
        <v>194</v>
      </c>
      <c r="AZ114" s="82">
        <v>952</v>
      </c>
      <c r="BA114" s="82">
        <v>174</v>
      </c>
      <c r="BB114" s="82">
        <v>78</v>
      </c>
      <c r="BC114" s="82">
        <v>1150</v>
      </c>
      <c r="BD114" s="82">
        <v>305</v>
      </c>
      <c r="BE114" s="82">
        <v>8049</v>
      </c>
      <c r="BF114" s="82">
        <v>145530</v>
      </c>
      <c r="BG114" s="82">
        <v>179</v>
      </c>
      <c r="BH114" s="82">
        <v>958</v>
      </c>
      <c r="BI114" s="82">
        <v>251</v>
      </c>
      <c r="BJ114" s="82">
        <v>1943</v>
      </c>
      <c r="BK114" s="82">
        <v>1153</v>
      </c>
      <c r="BL114" s="82">
        <v>35</v>
      </c>
      <c r="BM114" s="82">
        <v>1711</v>
      </c>
      <c r="BN114" s="82">
        <v>114</v>
      </c>
      <c r="BO114" s="82">
        <v>212</v>
      </c>
      <c r="BP114" s="82">
        <v>1</v>
      </c>
      <c r="BQ114" s="82">
        <v>578</v>
      </c>
      <c r="BR114" s="82">
        <v>390</v>
      </c>
      <c r="BS114" s="82">
        <v>298</v>
      </c>
      <c r="BT114" s="82">
        <v>0</v>
      </c>
      <c r="BU114" s="82">
        <v>196360</v>
      </c>
      <c r="BV114" s="82">
        <v>5025</v>
      </c>
      <c r="BX114" s="189">
        <v>1044</v>
      </c>
      <c r="BY114" s="190">
        <v>3587</v>
      </c>
    </row>
    <row r="115" spans="1:77" ht="8.25" customHeight="1" x14ac:dyDescent="0.15">
      <c r="A115" s="188">
        <v>68002</v>
      </c>
      <c r="B115" s="77" t="str">
        <f>IFERROR(INDEX(SCNtoISIC!$M:$M,MATCH($A115,SCNtoISIC!$J:$J,0)),0)</f>
        <v>ISIC 68</v>
      </c>
      <c r="C115" s="81" t="s">
        <v>500</v>
      </c>
      <c r="D115" s="82">
        <v>0</v>
      </c>
      <c r="E115" s="82">
        <v>0</v>
      </c>
      <c r="F115" s="82">
        <v>0</v>
      </c>
      <c r="G115" s="82">
        <v>0</v>
      </c>
      <c r="H115" s="82">
        <v>0</v>
      </c>
      <c r="I115" s="82">
        <v>0</v>
      </c>
      <c r="J115" s="82">
        <v>0</v>
      </c>
      <c r="K115" s="82">
        <v>0</v>
      </c>
      <c r="L115" s="82">
        <v>0</v>
      </c>
      <c r="M115" s="82">
        <v>0</v>
      </c>
      <c r="N115" s="82">
        <v>0</v>
      </c>
      <c r="O115" s="82">
        <v>0</v>
      </c>
      <c r="P115" s="82">
        <v>0</v>
      </c>
      <c r="Q115" s="82">
        <v>0</v>
      </c>
      <c r="R115" s="82">
        <v>0</v>
      </c>
      <c r="S115" s="82">
        <v>0</v>
      </c>
      <c r="T115" s="82">
        <v>0</v>
      </c>
      <c r="U115" s="82">
        <v>0</v>
      </c>
      <c r="V115" s="82">
        <v>0</v>
      </c>
      <c r="W115" s="82">
        <v>0</v>
      </c>
      <c r="X115" s="82">
        <v>0</v>
      </c>
      <c r="Y115" s="82">
        <v>0</v>
      </c>
      <c r="Z115" s="82">
        <v>0</v>
      </c>
      <c r="AA115" s="82">
        <v>0</v>
      </c>
      <c r="AB115" s="82">
        <v>0</v>
      </c>
      <c r="AC115" s="80">
        <v>0</v>
      </c>
      <c r="AD115" s="80">
        <v>0</v>
      </c>
      <c r="AE115" s="82">
        <v>0</v>
      </c>
      <c r="AF115" s="82">
        <v>0</v>
      </c>
      <c r="AG115" s="82">
        <v>0</v>
      </c>
      <c r="AH115" s="82">
        <v>0</v>
      </c>
      <c r="AI115" s="82">
        <v>0</v>
      </c>
      <c r="AJ115" s="82">
        <v>0</v>
      </c>
      <c r="AK115" s="82">
        <v>0</v>
      </c>
      <c r="AL115" s="82">
        <v>0</v>
      </c>
      <c r="AM115" s="82">
        <v>0</v>
      </c>
      <c r="AN115" s="82">
        <v>0</v>
      </c>
      <c r="AO115" s="82">
        <v>0</v>
      </c>
      <c r="AP115" s="80">
        <v>0</v>
      </c>
      <c r="AQ115" s="80">
        <v>0</v>
      </c>
      <c r="AR115" s="82">
        <v>0</v>
      </c>
      <c r="AS115" s="82">
        <v>0</v>
      </c>
      <c r="AT115" s="82">
        <v>0</v>
      </c>
      <c r="AU115" s="82">
        <v>0</v>
      </c>
      <c r="AV115" s="82">
        <v>0</v>
      </c>
      <c r="AW115" s="82">
        <v>0</v>
      </c>
      <c r="AX115" s="82">
        <v>0</v>
      </c>
      <c r="AY115" s="82">
        <v>0</v>
      </c>
      <c r="AZ115" s="82">
        <v>0</v>
      </c>
      <c r="BA115" s="82">
        <v>0</v>
      </c>
      <c r="BB115" s="82">
        <v>0</v>
      </c>
      <c r="BC115" s="82">
        <v>0</v>
      </c>
      <c r="BD115" s="82">
        <v>0</v>
      </c>
      <c r="BE115" s="82">
        <v>0</v>
      </c>
      <c r="BF115" s="82">
        <v>400237</v>
      </c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  <c r="BM115" s="82">
        <v>0</v>
      </c>
      <c r="BN115" s="82">
        <v>0</v>
      </c>
      <c r="BO115" s="82">
        <v>0</v>
      </c>
      <c r="BP115" s="82">
        <v>0</v>
      </c>
      <c r="BQ115" s="82">
        <v>0</v>
      </c>
      <c r="BR115" s="82">
        <v>0</v>
      </c>
      <c r="BS115" s="82">
        <v>0</v>
      </c>
      <c r="BT115" s="82">
        <v>0</v>
      </c>
      <c r="BU115" s="82">
        <v>400237</v>
      </c>
      <c r="BV115" s="82">
        <v>0</v>
      </c>
      <c r="BX115" s="189">
        <v>0</v>
      </c>
      <c r="BY115" s="190">
        <v>0</v>
      </c>
    </row>
    <row r="116" spans="1:77" ht="8.25" customHeight="1" x14ac:dyDescent="0.15">
      <c r="A116" s="188">
        <v>69801</v>
      </c>
      <c r="B116" s="77" t="str">
        <f>IFERROR(INDEX(SCNtoISIC!$M:$M,MATCH($A116,SCNtoISIC!$J:$J,0)),0)</f>
        <v>ISIC 69T82</v>
      </c>
      <c r="C116" s="81" t="s">
        <v>502</v>
      </c>
      <c r="D116" s="82">
        <v>0</v>
      </c>
      <c r="E116" s="82">
        <v>0</v>
      </c>
      <c r="F116" s="82">
        <v>0</v>
      </c>
      <c r="G116" s="82">
        <v>0</v>
      </c>
      <c r="H116" s="82">
        <v>0</v>
      </c>
      <c r="I116" s="82">
        <v>0</v>
      </c>
      <c r="J116" s="82">
        <v>0</v>
      </c>
      <c r="K116" s="82">
        <v>0</v>
      </c>
      <c r="L116" s="82">
        <v>0</v>
      </c>
      <c r="M116" s="82">
        <v>0</v>
      </c>
      <c r="N116" s="82">
        <v>0</v>
      </c>
      <c r="O116" s="82">
        <v>0</v>
      </c>
      <c r="P116" s="82">
        <v>0</v>
      </c>
      <c r="Q116" s="82">
        <v>0</v>
      </c>
      <c r="R116" s="82">
        <v>0</v>
      </c>
      <c r="S116" s="82">
        <v>0</v>
      </c>
      <c r="T116" s="82">
        <v>0</v>
      </c>
      <c r="U116" s="82">
        <v>0</v>
      </c>
      <c r="V116" s="82">
        <v>0</v>
      </c>
      <c r="W116" s="82">
        <v>0</v>
      </c>
      <c r="X116" s="82">
        <v>0</v>
      </c>
      <c r="Y116" s="82">
        <v>0</v>
      </c>
      <c r="Z116" s="82">
        <v>0</v>
      </c>
      <c r="AA116" s="82">
        <v>0</v>
      </c>
      <c r="AB116" s="82">
        <v>0</v>
      </c>
      <c r="AC116" s="80">
        <v>0</v>
      </c>
      <c r="AD116" s="80">
        <v>0</v>
      </c>
      <c r="AE116" s="82">
        <v>0</v>
      </c>
      <c r="AF116" s="82">
        <v>0</v>
      </c>
      <c r="AG116" s="82">
        <v>0</v>
      </c>
      <c r="AH116" s="82">
        <v>0</v>
      </c>
      <c r="AI116" s="82">
        <v>0</v>
      </c>
      <c r="AJ116" s="82">
        <v>0</v>
      </c>
      <c r="AK116" s="82">
        <v>0</v>
      </c>
      <c r="AL116" s="82">
        <v>0</v>
      </c>
      <c r="AM116" s="82">
        <v>0</v>
      </c>
      <c r="AN116" s="82">
        <v>0</v>
      </c>
      <c r="AO116" s="82">
        <v>0</v>
      </c>
      <c r="AP116" s="80">
        <v>0</v>
      </c>
      <c r="AQ116" s="80">
        <v>0</v>
      </c>
      <c r="AR116" s="82">
        <v>0</v>
      </c>
      <c r="AS116" s="82">
        <v>0</v>
      </c>
      <c r="AT116" s="82">
        <v>1223</v>
      </c>
      <c r="AU116" s="82">
        <v>0</v>
      </c>
      <c r="AV116" s="82">
        <v>0</v>
      </c>
      <c r="AW116" s="82">
        <v>0</v>
      </c>
      <c r="AX116" s="82">
        <v>0</v>
      </c>
      <c r="AY116" s="82">
        <v>0</v>
      </c>
      <c r="AZ116" s="82">
        <v>0</v>
      </c>
      <c r="BA116" s="82">
        <v>0</v>
      </c>
      <c r="BB116" s="82">
        <v>0</v>
      </c>
      <c r="BC116" s="82">
        <v>0</v>
      </c>
      <c r="BD116" s="82">
        <v>0</v>
      </c>
      <c r="BE116" s="82">
        <v>0</v>
      </c>
      <c r="BF116" s="82">
        <v>0</v>
      </c>
      <c r="BG116" s="82">
        <v>187672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  <c r="BM116" s="82">
        <v>6016</v>
      </c>
      <c r="BN116" s="82">
        <v>92</v>
      </c>
      <c r="BO116" s="82">
        <v>0</v>
      </c>
      <c r="BP116" s="82">
        <v>0</v>
      </c>
      <c r="BQ116" s="82">
        <v>0</v>
      </c>
      <c r="BR116" s="82">
        <v>0</v>
      </c>
      <c r="BS116" s="82">
        <v>0</v>
      </c>
      <c r="BT116" s="82">
        <v>0</v>
      </c>
      <c r="BU116" s="82">
        <v>195003</v>
      </c>
      <c r="BV116" s="82">
        <v>4687</v>
      </c>
      <c r="BX116" s="189">
        <v>0</v>
      </c>
      <c r="BY116" s="190">
        <v>0</v>
      </c>
    </row>
    <row r="117" spans="1:77" ht="8.25" customHeight="1" x14ac:dyDescent="0.15">
      <c r="A117" s="194">
        <v>71801</v>
      </c>
      <c r="B117" s="77" t="str">
        <f>IFERROR(INDEX(SCNtoISIC!$M:$M,MATCH($A117,SCNtoISIC!$J:$J,0)),0)</f>
        <v>ISIC 69T82</v>
      </c>
      <c r="C117" s="195" t="s">
        <v>503</v>
      </c>
      <c r="D117" s="82">
        <v>0</v>
      </c>
      <c r="E117" s="82">
        <v>0</v>
      </c>
      <c r="F117" s="82">
        <v>0</v>
      </c>
      <c r="G117" s="82">
        <v>5</v>
      </c>
      <c r="H117" s="82">
        <v>55</v>
      </c>
      <c r="I117" s="82">
        <v>216</v>
      </c>
      <c r="J117" s="82">
        <v>16</v>
      </c>
      <c r="K117" s="82">
        <v>273</v>
      </c>
      <c r="L117" s="82">
        <v>33</v>
      </c>
      <c r="M117" s="82">
        <v>197</v>
      </c>
      <c r="N117" s="82">
        <v>36</v>
      </c>
      <c r="O117" s="82">
        <v>68</v>
      </c>
      <c r="P117" s="82">
        <v>27</v>
      </c>
      <c r="Q117" s="82">
        <v>66</v>
      </c>
      <c r="R117" s="82">
        <v>208</v>
      </c>
      <c r="S117" s="82">
        <v>39</v>
      </c>
      <c r="T117" s="82">
        <v>200</v>
      </c>
      <c r="U117" s="82">
        <v>31</v>
      </c>
      <c r="V117" s="82">
        <v>0</v>
      </c>
      <c r="W117" s="82">
        <v>0</v>
      </c>
      <c r="X117" s="82">
        <v>413</v>
      </c>
      <c r="Y117" s="82">
        <v>822</v>
      </c>
      <c r="Z117" s="82">
        <v>343</v>
      </c>
      <c r="AA117" s="82">
        <v>994</v>
      </c>
      <c r="AB117" s="82">
        <v>255</v>
      </c>
      <c r="AC117" s="80">
        <v>100.8</v>
      </c>
      <c r="AD117" s="80">
        <v>67.2</v>
      </c>
      <c r="AE117" s="82">
        <v>207</v>
      </c>
      <c r="AF117" s="82">
        <v>91</v>
      </c>
      <c r="AG117" s="82">
        <v>93</v>
      </c>
      <c r="AH117" s="82">
        <v>920</v>
      </c>
      <c r="AI117" s="82">
        <v>738</v>
      </c>
      <c r="AJ117" s="82">
        <v>2042</v>
      </c>
      <c r="AK117" s="82">
        <v>1049</v>
      </c>
      <c r="AL117" s="82">
        <v>344</v>
      </c>
      <c r="AM117" s="82">
        <v>420</v>
      </c>
      <c r="AN117" s="82">
        <v>96</v>
      </c>
      <c r="AO117" s="82">
        <v>33</v>
      </c>
      <c r="AP117" s="80">
        <v>174</v>
      </c>
      <c r="AQ117" s="80">
        <v>87</v>
      </c>
      <c r="AR117" s="82">
        <v>12</v>
      </c>
      <c r="AS117" s="82">
        <v>76</v>
      </c>
      <c r="AT117" s="82">
        <v>715</v>
      </c>
      <c r="AU117" s="82">
        <v>0</v>
      </c>
      <c r="AV117" s="82">
        <v>0</v>
      </c>
      <c r="AW117" s="82">
        <v>0</v>
      </c>
      <c r="AX117" s="82">
        <v>0</v>
      </c>
      <c r="AY117" s="82">
        <v>0</v>
      </c>
      <c r="AZ117" s="82">
        <v>0</v>
      </c>
      <c r="BA117" s="82">
        <v>30</v>
      </c>
      <c r="BB117" s="82">
        <v>0</v>
      </c>
      <c r="BC117" s="82">
        <v>261</v>
      </c>
      <c r="BD117" s="82">
        <v>1077</v>
      </c>
      <c r="BE117" s="82">
        <v>81</v>
      </c>
      <c r="BF117" s="82">
        <v>0</v>
      </c>
      <c r="BG117" s="82">
        <v>0</v>
      </c>
      <c r="BH117" s="82">
        <v>4810</v>
      </c>
      <c r="BI117" s="82">
        <v>0</v>
      </c>
      <c r="BJ117" s="82">
        <v>76</v>
      </c>
      <c r="BK117" s="82">
        <v>56</v>
      </c>
      <c r="BL117" s="82">
        <v>0</v>
      </c>
      <c r="BM117" s="82">
        <v>11032</v>
      </c>
      <c r="BN117" s="82">
        <v>18826</v>
      </c>
      <c r="BO117" s="82">
        <v>1029</v>
      </c>
      <c r="BP117" s="82">
        <v>1748</v>
      </c>
      <c r="BQ117" s="82">
        <v>87</v>
      </c>
      <c r="BR117" s="82">
        <v>0</v>
      </c>
      <c r="BS117" s="82">
        <v>0</v>
      </c>
      <c r="BT117" s="82">
        <v>0</v>
      </c>
      <c r="BU117" s="82">
        <v>50675</v>
      </c>
      <c r="BV117" s="82">
        <v>0</v>
      </c>
      <c r="BX117" s="189">
        <v>168</v>
      </c>
      <c r="BY117" s="190">
        <v>261</v>
      </c>
    </row>
    <row r="118" spans="1:77" ht="8.25" customHeight="1" x14ac:dyDescent="0.15">
      <c r="A118" s="185">
        <v>71802</v>
      </c>
      <c r="B118" s="77" t="str">
        <f>IFERROR(INDEX(SCNtoISIC!$M:$M,MATCH($A118,SCNtoISIC!$J:$J,0)),0)</f>
        <v>ISIC 69T82</v>
      </c>
      <c r="C118" s="78" t="s">
        <v>505</v>
      </c>
      <c r="D118" s="79">
        <v>0</v>
      </c>
      <c r="E118" s="79">
        <v>0</v>
      </c>
      <c r="F118" s="79">
        <v>0</v>
      </c>
      <c r="G118" s="79">
        <v>0</v>
      </c>
      <c r="H118" s="79">
        <v>0</v>
      </c>
      <c r="I118" s="79">
        <v>0</v>
      </c>
      <c r="J118" s="79">
        <v>0</v>
      </c>
      <c r="K118" s="79">
        <v>0</v>
      </c>
      <c r="L118" s="79">
        <v>0</v>
      </c>
      <c r="M118" s="79">
        <v>0</v>
      </c>
      <c r="N118" s="79">
        <v>0</v>
      </c>
      <c r="O118" s="79">
        <v>0</v>
      </c>
      <c r="P118" s="79">
        <v>0</v>
      </c>
      <c r="Q118" s="79">
        <v>0</v>
      </c>
      <c r="R118" s="79">
        <v>0</v>
      </c>
      <c r="S118" s="79">
        <v>0</v>
      </c>
      <c r="T118" s="79">
        <v>0</v>
      </c>
      <c r="U118" s="79">
        <v>0</v>
      </c>
      <c r="V118" s="79">
        <v>0</v>
      </c>
      <c r="W118" s="79">
        <v>0</v>
      </c>
      <c r="X118" s="79">
        <v>0</v>
      </c>
      <c r="Y118" s="79">
        <v>0</v>
      </c>
      <c r="Z118" s="79">
        <v>0</v>
      </c>
      <c r="AA118" s="79">
        <v>0</v>
      </c>
      <c r="AB118" s="79">
        <v>0</v>
      </c>
      <c r="AC118" s="80">
        <v>0</v>
      </c>
      <c r="AD118" s="80">
        <v>0</v>
      </c>
      <c r="AE118" s="79">
        <v>0</v>
      </c>
      <c r="AF118" s="79">
        <v>0</v>
      </c>
      <c r="AG118" s="79">
        <v>0</v>
      </c>
      <c r="AH118" s="79">
        <v>0</v>
      </c>
      <c r="AI118" s="79">
        <v>0</v>
      </c>
      <c r="AJ118" s="79">
        <v>0</v>
      </c>
      <c r="AK118" s="79">
        <v>0</v>
      </c>
      <c r="AL118" s="79">
        <v>0</v>
      </c>
      <c r="AM118" s="79">
        <v>0</v>
      </c>
      <c r="AN118" s="79">
        <v>0</v>
      </c>
      <c r="AO118" s="79">
        <v>0</v>
      </c>
      <c r="AP118" s="80">
        <v>0</v>
      </c>
      <c r="AQ118" s="80">
        <v>0</v>
      </c>
      <c r="AR118" s="79">
        <v>0</v>
      </c>
      <c r="AS118" s="79">
        <v>0</v>
      </c>
      <c r="AT118" s="79">
        <v>0</v>
      </c>
      <c r="AU118" s="79">
        <v>0</v>
      </c>
      <c r="AV118" s="79">
        <v>0</v>
      </c>
      <c r="AW118" s="79">
        <v>0</v>
      </c>
      <c r="AX118" s="79">
        <v>0</v>
      </c>
      <c r="AY118" s="79">
        <v>0</v>
      </c>
      <c r="AZ118" s="79">
        <v>0</v>
      </c>
      <c r="BA118" s="79">
        <v>0</v>
      </c>
      <c r="BB118" s="79">
        <v>0</v>
      </c>
      <c r="BC118" s="79">
        <v>0</v>
      </c>
      <c r="BD118" s="79">
        <v>0</v>
      </c>
      <c r="BE118" s="79">
        <v>0</v>
      </c>
      <c r="BF118" s="79">
        <v>0</v>
      </c>
      <c r="BG118" s="79">
        <v>0</v>
      </c>
      <c r="BH118" s="79">
        <v>65072</v>
      </c>
      <c r="BI118" s="79">
        <v>0</v>
      </c>
      <c r="BJ118" s="79">
        <v>0</v>
      </c>
      <c r="BK118" s="79">
        <v>0</v>
      </c>
      <c r="BL118" s="79">
        <v>0</v>
      </c>
      <c r="BM118" s="79">
        <v>1540</v>
      </c>
      <c r="BN118" s="79">
        <v>90</v>
      </c>
      <c r="BO118" s="79">
        <v>0</v>
      </c>
      <c r="BP118" s="79">
        <v>1</v>
      </c>
      <c r="BQ118" s="79">
        <v>0</v>
      </c>
      <c r="BR118" s="79">
        <v>0</v>
      </c>
      <c r="BS118" s="79">
        <v>0</v>
      </c>
      <c r="BT118" s="79">
        <v>0</v>
      </c>
      <c r="BU118" s="79">
        <v>66703</v>
      </c>
      <c r="BV118" s="79">
        <v>6209</v>
      </c>
      <c r="BX118" s="186">
        <v>0</v>
      </c>
      <c r="BY118" s="187">
        <v>0</v>
      </c>
    </row>
    <row r="119" spans="1:77" ht="8.25" customHeight="1" x14ac:dyDescent="0.15">
      <c r="A119" s="185">
        <v>73801</v>
      </c>
      <c r="B119" s="77" t="str">
        <f>IFERROR(INDEX(SCNtoISIC!$M:$M,MATCH($A119,SCNtoISIC!$J:$J,0)),0)</f>
        <v>ISIC 69T82</v>
      </c>
      <c r="C119" s="78" t="s">
        <v>507</v>
      </c>
      <c r="D119" s="79">
        <v>0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0</v>
      </c>
      <c r="K119" s="79">
        <v>0</v>
      </c>
      <c r="L119" s="79">
        <v>0</v>
      </c>
      <c r="M119" s="79">
        <v>0</v>
      </c>
      <c r="N119" s="79">
        <v>0</v>
      </c>
      <c r="O119" s="79">
        <v>0</v>
      </c>
      <c r="P119" s="79">
        <v>0</v>
      </c>
      <c r="Q119" s="79">
        <v>0</v>
      </c>
      <c r="R119" s="79">
        <v>0</v>
      </c>
      <c r="S119" s="79">
        <v>0</v>
      </c>
      <c r="T119" s="79">
        <v>0</v>
      </c>
      <c r="U119" s="79">
        <v>0</v>
      </c>
      <c r="V119" s="79">
        <v>0</v>
      </c>
      <c r="W119" s="79">
        <v>0</v>
      </c>
      <c r="X119" s="79">
        <v>0</v>
      </c>
      <c r="Y119" s="79">
        <v>0</v>
      </c>
      <c r="Z119" s="79">
        <v>0</v>
      </c>
      <c r="AA119" s="79">
        <v>0</v>
      </c>
      <c r="AB119" s="79">
        <v>0</v>
      </c>
      <c r="AC119" s="80">
        <v>0</v>
      </c>
      <c r="AD119" s="80">
        <v>0</v>
      </c>
      <c r="AE119" s="79">
        <v>0</v>
      </c>
      <c r="AF119" s="79">
        <v>0</v>
      </c>
      <c r="AG119" s="79">
        <v>0</v>
      </c>
      <c r="AH119" s="79">
        <v>0</v>
      </c>
      <c r="AI119" s="79">
        <v>0</v>
      </c>
      <c r="AJ119" s="79">
        <v>0</v>
      </c>
      <c r="AK119" s="79">
        <v>0</v>
      </c>
      <c r="AL119" s="79">
        <v>0</v>
      </c>
      <c r="AM119" s="79">
        <v>0</v>
      </c>
      <c r="AN119" s="79">
        <v>0</v>
      </c>
      <c r="AO119" s="79">
        <v>0</v>
      </c>
      <c r="AP119" s="80">
        <v>0</v>
      </c>
      <c r="AQ119" s="80">
        <v>0</v>
      </c>
      <c r="AR119" s="79">
        <v>0</v>
      </c>
      <c r="AS119" s="79">
        <v>0</v>
      </c>
      <c r="AT119" s="79">
        <v>185</v>
      </c>
      <c r="AU119" s="79">
        <v>11700</v>
      </c>
      <c r="AV119" s="79">
        <v>0</v>
      </c>
      <c r="AW119" s="79">
        <v>0</v>
      </c>
      <c r="AX119" s="79">
        <v>34</v>
      </c>
      <c r="AY119" s="79">
        <v>0</v>
      </c>
      <c r="AZ119" s="79">
        <v>0</v>
      </c>
      <c r="BA119" s="79">
        <v>6</v>
      </c>
      <c r="BB119" s="79">
        <v>0</v>
      </c>
      <c r="BC119" s="79">
        <v>0</v>
      </c>
      <c r="BD119" s="79">
        <v>0</v>
      </c>
      <c r="BE119" s="79">
        <v>0</v>
      </c>
      <c r="BF119" s="79">
        <v>0</v>
      </c>
      <c r="BG119" s="79">
        <v>0</v>
      </c>
      <c r="BH119" s="79">
        <v>0</v>
      </c>
      <c r="BI119" s="79">
        <v>94040</v>
      </c>
      <c r="BJ119" s="79">
        <v>0</v>
      </c>
      <c r="BK119" s="79">
        <v>0</v>
      </c>
      <c r="BL119" s="79">
        <v>0</v>
      </c>
      <c r="BM119" s="79">
        <v>8150</v>
      </c>
      <c r="BN119" s="79">
        <v>25</v>
      </c>
      <c r="BO119" s="79">
        <v>0</v>
      </c>
      <c r="BP119" s="79">
        <v>1</v>
      </c>
      <c r="BQ119" s="79">
        <v>0</v>
      </c>
      <c r="BR119" s="79">
        <v>2469</v>
      </c>
      <c r="BS119" s="79">
        <v>0</v>
      </c>
      <c r="BT119" s="79">
        <v>0</v>
      </c>
      <c r="BU119" s="79">
        <v>116610</v>
      </c>
      <c r="BV119" s="79">
        <v>2021</v>
      </c>
      <c r="BX119" s="186">
        <v>0</v>
      </c>
      <c r="BY119" s="187">
        <v>0</v>
      </c>
    </row>
    <row r="120" spans="1:77" ht="8.25" customHeight="1" x14ac:dyDescent="0.15">
      <c r="A120" s="185">
        <v>77001</v>
      </c>
      <c r="B120" s="77" t="str">
        <f>IFERROR(INDEX(SCNtoISIC!$M:$M,MATCH($A120,SCNtoISIC!$J:$J,0)),0)</f>
        <v>ISIC 69T82</v>
      </c>
      <c r="C120" s="78" t="s">
        <v>275</v>
      </c>
      <c r="D120" s="79">
        <v>0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79">
        <v>0</v>
      </c>
      <c r="L120" s="79">
        <v>0</v>
      </c>
      <c r="M120" s="79">
        <v>0</v>
      </c>
      <c r="N120" s="79">
        <v>0</v>
      </c>
      <c r="O120" s="79">
        <v>0</v>
      </c>
      <c r="P120" s="79">
        <v>0</v>
      </c>
      <c r="Q120" s="79">
        <v>0</v>
      </c>
      <c r="R120" s="79">
        <v>0</v>
      </c>
      <c r="S120" s="79">
        <v>0</v>
      </c>
      <c r="T120" s="79">
        <v>0</v>
      </c>
      <c r="U120" s="79">
        <v>0</v>
      </c>
      <c r="V120" s="79">
        <v>0</v>
      </c>
      <c r="W120" s="79">
        <v>0</v>
      </c>
      <c r="X120" s="79">
        <v>0</v>
      </c>
      <c r="Y120" s="79">
        <v>0</v>
      </c>
      <c r="Z120" s="79">
        <v>0</v>
      </c>
      <c r="AA120" s="79">
        <v>0</v>
      </c>
      <c r="AB120" s="79">
        <v>0</v>
      </c>
      <c r="AC120" s="80">
        <v>0</v>
      </c>
      <c r="AD120" s="80">
        <v>0</v>
      </c>
      <c r="AE120" s="79">
        <v>0</v>
      </c>
      <c r="AF120" s="79">
        <v>0</v>
      </c>
      <c r="AG120" s="79">
        <v>0</v>
      </c>
      <c r="AH120" s="79">
        <v>0</v>
      </c>
      <c r="AI120" s="79">
        <v>0</v>
      </c>
      <c r="AJ120" s="79">
        <v>0</v>
      </c>
      <c r="AK120" s="79">
        <v>0</v>
      </c>
      <c r="AL120" s="79">
        <v>0</v>
      </c>
      <c r="AM120" s="79">
        <v>0</v>
      </c>
      <c r="AN120" s="79">
        <v>0</v>
      </c>
      <c r="AO120" s="79">
        <v>0</v>
      </c>
      <c r="AP120" s="80">
        <v>0</v>
      </c>
      <c r="AQ120" s="80">
        <v>0</v>
      </c>
      <c r="AR120" s="79">
        <v>0</v>
      </c>
      <c r="AS120" s="79">
        <v>532</v>
      </c>
      <c r="AT120" s="79">
        <v>3266</v>
      </c>
      <c r="AU120" s="79">
        <v>0</v>
      </c>
      <c r="AV120" s="79">
        <v>0</v>
      </c>
      <c r="AW120" s="79">
        <v>0</v>
      </c>
      <c r="AX120" s="79">
        <v>0</v>
      </c>
      <c r="AY120" s="79">
        <v>0</v>
      </c>
      <c r="AZ120" s="79">
        <v>526</v>
      </c>
      <c r="BA120" s="79">
        <v>0</v>
      </c>
      <c r="BB120" s="79">
        <v>0</v>
      </c>
      <c r="BC120" s="79">
        <v>0</v>
      </c>
      <c r="BD120" s="79">
        <v>0</v>
      </c>
      <c r="BE120" s="79">
        <v>457</v>
      </c>
      <c r="BF120" s="79">
        <v>0</v>
      </c>
      <c r="BG120" s="79">
        <v>0</v>
      </c>
      <c r="BH120" s="79">
        <v>0</v>
      </c>
      <c r="BI120" s="79">
        <v>0</v>
      </c>
      <c r="BJ120" s="79">
        <v>40614</v>
      </c>
      <c r="BK120" s="79">
        <v>0</v>
      </c>
      <c r="BL120" s="79">
        <v>0</v>
      </c>
      <c r="BM120" s="79">
        <v>0</v>
      </c>
      <c r="BN120" s="79">
        <v>0</v>
      </c>
      <c r="BO120" s="79">
        <v>0</v>
      </c>
      <c r="BP120" s="79">
        <v>0</v>
      </c>
      <c r="BQ120" s="79">
        <v>0</v>
      </c>
      <c r="BR120" s="79">
        <v>0</v>
      </c>
      <c r="BS120" s="79">
        <v>0</v>
      </c>
      <c r="BT120" s="79">
        <v>0</v>
      </c>
      <c r="BU120" s="79">
        <v>45395</v>
      </c>
      <c r="BV120" s="79">
        <v>76064</v>
      </c>
      <c r="BX120" s="186">
        <v>0</v>
      </c>
      <c r="BY120" s="187">
        <v>0</v>
      </c>
    </row>
    <row r="121" spans="1:77" ht="8.25" customHeight="1" x14ac:dyDescent="0.15">
      <c r="A121" s="185">
        <v>78801</v>
      </c>
      <c r="B121" s="77" t="str">
        <f>IFERROR(INDEX(SCNtoISIC!$M:$M,MATCH($A121,SCNtoISIC!$J:$J,0)),0)</f>
        <v>ISIC 69T82</v>
      </c>
      <c r="C121" s="78" t="s">
        <v>510</v>
      </c>
      <c r="D121" s="79">
        <v>0</v>
      </c>
      <c r="E121" s="79">
        <v>0</v>
      </c>
      <c r="F121" s="79">
        <v>0</v>
      </c>
      <c r="G121" s="79">
        <v>0</v>
      </c>
      <c r="H121" s="79">
        <v>0</v>
      </c>
      <c r="I121" s="79">
        <v>0</v>
      </c>
      <c r="J121" s="79">
        <v>0</v>
      </c>
      <c r="K121" s="79">
        <v>0</v>
      </c>
      <c r="L121" s="79">
        <v>0</v>
      </c>
      <c r="M121" s="79">
        <v>0</v>
      </c>
      <c r="N121" s="79">
        <v>0</v>
      </c>
      <c r="O121" s="79">
        <v>0</v>
      </c>
      <c r="P121" s="79">
        <v>0</v>
      </c>
      <c r="Q121" s="79">
        <v>0</v>
      </c>
      <c r="R121" s="79">
        <v>0</v>
      </c>
      <c r="S121" s="79">
        <v>0</v>
      </c>
      <c r="T121" s="79">
        <v>0</v>
      </c>
      <c r="U121" s="79">
        <v>0</v>
      </c>
      <c r="V121" s="79">
        <v>0</v>
      </c>
      <c r="W121" s="79">
        <v>0</v>
      </c>
      <c r="X121" s="79">
        <v>0</v>
      </c>
      <c r="Y121" s="79">
        <v>0</v>
      </c>
      <c r="Z121" s="79">
        <v>0</v>
      </c>
      <c r="AA121" s="79">
        <v>0</v>
      </c>
      <c r="AB121" s="79">
        <v>0</v>
      </c>
      <c r="AC121" s="80">
        <v>0</v>
      </c>
      <c r="AD121" s="80">
        <v>0</v>
      </c>
      <c r="AE121" s="79">
        <v>0</v>
      </c>
      <c r="AF121" s="79">
        <v>0</v>
      </c>
      <c r="AG121" s="79">
        <v>0</v>
      </c>
      <c r="AH121" s="79">
        <v>0</v>
      </c>
      <c r="AI121" s="79">
        <v>0</v>
      </c>
      <c r="AJ121" s="79">
        <v>0</v>
      </c>
      <c r="AK121" s="79">
        <v>0</v>
      </c>
      <c r="AL121" s="79">
        <v>0</v>
      </c>
      <c r="AM121" s="79">
        <v>0</v>
      </c>
      <c r="AN121" s="79">
        <v>0</v>
      </c>
      <c r="AO121" s="79">
        <v>0</v>
      </c>
      <c r="AP121" s="80">
        <v>0</v>
      </c>
      <c r="AQ121" s="80">
        <v>0</v>
      </c>
      <c r="AR121" s="79">
        <v>0</v>
      </c>
      <c r="AS121" s="79">
        <v>0</v>
      </c>
      <c r="AT121" s="79">
        <v>0</v>
      </c>
      <c r="AU121" s="79">
        <v>0</v>
      </c>
      <c r="AV121" s="79">
        <v>0</v>
      </c>
      <c r="AW121" s="79">
        <v>0</v>
      </c>
      <c r="AX121" s="79">
        <v>0</v>
      </c>
      <c r="AY121" s="79">
        <v>0</v>
      </c>
      <c r="AZ121" s="79">
        <v>0</v>
      </c>
      <c r="BA121" s="79">
        <v>0</v>
      </c>
      <c r="BB121" s="79">
        <v>0</v>
      </c>
      <c r="BC121" s="79">
        <v>0</v>
      </c>
      <c r="BD121" s="79">
        <v>0</v>
      </c>
      <c r="BE121" s="79">
        <v>0</v>
      </c>
      <c r="BF121" s="79">
        <v>0</v>
      </c>
      <c r="BG121" s="79">
        <v>0</v>
      </c>
      <c r="BH121" s="79">
        <v>0</v>
      </c>
      <c r="BI121" s="79">
        <v>0</v>
      </c>
      <c r="BJ121" s="79">
        <v>0</v>
      </c>
      <c r="BK121" s="79">
        <v>89302</v>
      </c>
      <c r="BL121" s="79">
        <v>0</v>
      </c>
      <c r="BM121" s="79">
        <v>0</v>
      </c>
      <c r="BN121" s="79">
        <v>0</v>
      </c>
      <c r="BO121" s="79">
        <v>0</v>
      </c>
      <c r="BP121" s="79">
        <v>0</v>
      </c>
      <c r="BQ121" s="79">
        <v>0</v>
      </c>
      <c r="BR121" s="79">
        <v>0</v>
      </c>
      <c r="BS121" s="79">
        <v>0</v>
      </c>
      <c r="BT121" s="79">
        <v>0</v>
      </c>
      <c r="BU121" s="79">
        <v>89302</v>
      </c>
      <c r="BV121" s="79">
        <v>1941</v>
      </c>
      <c r="BX121" s="186">
        <v>0</v>
      </c>
      <c r="BY121" s="187">
        <v>0</v>
      </c>
    </row>
    <row r="122" spans="1:77" ht="8.25" customHeight="1" x14ac:dyDescent="0.15">
      <c r="A122" s="185">
        <v>78802</v>
      </c>
      <c r="B122" s="77" t="str">
        <f>IFERROR(INDEX(SCNtoISIC!$M:$M,MATCH($A122,SCNtoISIC!$J:$J,0)),0)</f>
        <v>ISIC 69T82</v>
      </c>
      <c r="C122" s="78" t="s">
        <v>512</v>
      </c>
      <c r="D122" s="79">
        <v>0</v>
      </c>
      <c r="E122" s="79">
        <v>0</v>
      </c>
      <c r="F122" s="79">
        <v>0</v>
      </c>
      <c r="G122" s="79">
        <v>0</v>
      </c>
      <c r="H122" s="79">
        <v>0</v>
      </c>
      <c r="I122" s="79">
        <v>0</v>
      </c>
      <c r="J122" s="79">
        <v>0</v>
      </c>
      <c r="K122" s="79">
        <v>0</v>
      </c>
      <c r="L122" s="79">
        <v>0</v>
      </c>
      <c r="M122" s="79">
        <v>0</v>
      </c>
      <c r="N122" s="79">
        <v>0</v>
      </c>
      <c r="O122" s="79">
        <v>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  <c r="U122" s="79">
        <v>0</v>
      </c>
      <c r="V122" s="79">
        <v>0</v>
      </c>
      <c r="W122" s="79">
        <v>0</v>
      </c>
      <c r="X122" s="79">
        <v>0</v>
      </c>
      <c r="Y122" s="79">
        <v>0</v>
      </c>
      <c r="Z122" s="79">
        <v>0</v>
      </c>
      <c r="AA122" s="79">
        <v>0</v>
      </c>
      <c r="AB122" s="79">
        <v>0</v>
      </c>
      <c r="AC122" s="80">
        <v>0</v>
      </c>
      <c r="AD122" s="80">
        <v>0</v>
      </c>
      <c r="AE122" s="79">
        <v>0</v>
      </c>
      <c r="AF122" s="79">
        <v>0</v>
      </c>
      <c r="AG122" s="79">
        <v>0</v>
      </c>
      <c r="AH122" s="79">
        <v>0</v>
      </c>
      <c r="AI122" s="79">
        <v>0</v>
      </c>
      <c r="AJ122" s="79">
        <v>0</v>
      </c>
      <c r="AK122" s="79">
        <v>0</v>
      </c>
      <c r="AL122" s="79">
        <v>0</v>
      </c>
      <c r="AM122" s="79">
        <v>0</v>
      </c>
      <c r="AN122" s="79">
        <v>0</v>
      </c>
      <c r="AO122" s="79">
        <v>0</v>
      </c>
      <c r="AP122" s="80">
        <v>0</v>
      </c>
      <c r="AQ122" s="80">
        <v>0</v>
      </c>
      <c r="AR122" s="79">
        <v>0</v>
      </c>
      <c r="AS122" s="79">
        <v>0</v>
      </c>
      <c r="AT122" s="79">
        <v>338</v>
      </c>
      <c r="AU122" s="79">
        <v>34</v>
      </c>
      <c r="AV122" s="79">
        <v>0</v>
      </c>
      <c r="AW122" s="79">
        <v>0</v>
      </c>
      <c r="AX122" s="79">
        <v>0</v>
      </c>
      <c r="AY122" s="79">
        <v>0</v>
      </c>
      <c r="AZ122" s="79">
        <v>0</v>
      </c>
      <c r="BA122" s="79">
        <v>0</v>
      </c>
      <c r="BB122" s="79">
        <v>0</v>
      </c>
      <c r="BC122" s="79">
        <v>0</v>
      </c>
      <c r="BD122" s="79">
        <v>0</v>
      </c>
      <c r="BE122" s="79">
        <v>0</v>
      </c>
      <c r="BF122" s="79">
        <v>0</v>
      </c>
      <c r="BG122" s="79">
        <v>0</v>
      </c>
      <c r="BH122" s="79">
        <v>0</v>
      </c>
      <c r="BI122" s="79">
        <v>0</v>
      </c>
      <c r="BJ122" s="79">
        <v>0</v>
      </c>
      <c r="BK122" s="79">
        <v>117847</v>
      </c>
      <c r="BL122" s="79">
        <v>0</v>
      </c>
      <c r="BM122" s="79">
        <v>475</v>
      </c>
      <c r="BN122" s="79">
        <v>271</v>
      </c>
      <c r="BO122" s="79">
        <v>0</v>
      </c>
      <c r="BP122" s="79">
        <v>3</v>
      </c>
      <c r="BQ122" s="79">
        <v>0</v>
      </c>
      <c r="BR122" s="79">
        <v>0</v>
      </c>
      <c r="BS122" s="79">
        <v>0</v>
      </c>
      <c r="BT122" s="79">
        <v>0</v>
      </c>
      <c r="BU122" s="79">
        <v>118968</v>
      </c>
      <c r="BV122" s="79">
        <v>5238</v>
      </c>
      <c r="BX122" s="186">
        <v>0</v>
      </c>
      <c r="BY122" s="187">
        <v>0</v>
      </c>
    </row>
    <row r="123" spans="1:77" ht="8.25" customHeight="1" x14ac:dyDescent="0.15">
      <c r="A123" s="188">
        <v>80001</v>
      </c>
      <c r="B123" s="77" t="str">
        <f>IFERROR(INDEX(SCNtoISIC!$M:$M,MATCH($A123,SCNtoISIC!$J:$J,0)),0)</f>
        <v>ISIC 69T82</v>
      </c>
      <c r="C123" s="81" t="s">
        <v>514</v>
      </c>
      <c r="D123" s="82">
        <v>0</v>
      </c>
      <c r="E123" s="82">
        <v>0</v>
      </c>
      <c r="F123" s="82">
        <v>0</v>
      </c>
      <c r="G123" s="82">
        <v>0</v>
      </c>
      <c r="H123" s="82">
        <v>0</v>
      </c>
      <c r="I123" s="82">
        <v>0</v>
      </c>
      <c r="J123" s="82">
        <v>0</v>
      </c>
      <c r="K123" s="82">
        <v>0</v>
      </c>
      <c r="L123" s="82">
        <v>0</v>
      </c>
      <c r="M123" s="82">
        <v>0</v>
      </c>
      <c r="N123" s="82">
        <v>0</v>
      </c>
      <c r="O123" s="82">
        <v>0</v>
      </c>
      <c r="P123" s="82">
        <v>0</v>
      </c>
      <c r="Q123" s="82">
        <v>0</v>
      </c>
      <c r="R123" s="82">
        <v>0</v>
      </c>
      <c r="S123" s="82">
        <v>0</v>
      </c>
      <c r="T123" s="82">
        <v>0</v>
      </c>
      <c r="U123" s="82">
        <v>0</v>
      </c>
      <c r="V123" s="82">
        <v>0</v>
      </c>
      <c r="W123" s="82">
        <v>0</v>
      </c>
      <c r="X123" s="82">
        <v>0</v>
      </c>
      <c r="Y123" s="82">
        <v>0</v>
      </c>
      <c r="Z123" s="82">
        <v>0</v>
      </c>
      <c r="AA123" s="82">
        <v>0</v>
      </c>
      <c r="AB123" s="82">
        <v>0</v>
      </c>
      <c r="AC123" s="80">
        <v>0</v>
      </c>
      <c r="AD123" s="80">
        <v>0</v>
      </c>
      <c r="AE123" s="82">
        <v>0</v>
      </c>
      <c r="AF123" s="82">
        <v>0</v>
      </c>
      <c r="AG123" s="82">
        <v>0</v>
      </c>
      <c r="AH123" s="82">
        <v>0</v>
      </c>
      <c r="AI123" s="82">
        <v>0</v>
      </c>
      <c r="AJ123" s="82">
        <v>0</v>
      </c>
      <c r="AK123" s="82">
        <v>0</v>
      </c>
      <c r="AL123" s="82">
        <v>0</v>
      </c>
      <c r="AM123" s="82">
        <v>0</v>
      </c>
      <c r="AN123" s="82">
        <v>0</v>
      </c>
      <c r="AO123" s="82">
        <v>0</v>
      </c>
      <c r="AP123" s="80">
        <v>0</v>
      </c>
      <c r="AQ123" s="80">
        <v>0</v>
      </c>
      <c r="AR123" s="82">
        <v>0</v>
      </c>
      <c r="AS123" s="82">
        <v>0</v>
      </c>
      <c r="AT123" s="82">
        <v>0</v>
      </c>
      <c r="AU123" s="82">
        <v>0</v>
      </c>
      <c r="AV123" s="82">
        <v>0</v>
      </c>
      <c r="AW123" s="82">
        <v>0</v>
      </c>
      <c r="AX123" s="82">
        <v>0</v>
      </c>
      <c r="AY123" s="82">
        <v>0</v>
      </c>
      <c r="AZ123" s="82">
        <v>0</v>
      </c>
      <c r="BA123" s="82">
        <v>0</v>
      </c>
      <c r="BB123" s="82">
        <v>0</v>
      </c>
      <c r="BC123" s="82">
        <v>0</v>
      </c>
      <c r="BD123" s="82">
        <v>0</v>
      </c>
      <c r="BE123" s="82">
        <v>0</v>
      </c>
      <c r="BF123" s="82">
        <v>0</v>
      </c>
      <c r="BG123" s="82">
        <v>0</v>
      </c>
      <c r="BH123" s="82">
        <v>0</v>
      </c>
      <c r="BI123" s="82">
        <v>0</v>
      </c>
      <c r="BJ123" s="82">
        <v>0</v>
      </c>
      <c r="BK123" s="82">
        <v>0</v>
      </c>
      <c r="BL123" s="82">
        <v>39816</v>
      </c>
      <c r="BM123" s="82">
        <v>0</v>
      </c>
      <c r="BN123" s="82">
        <v>0</v>
      </c>
      <c r="BO123" s="82">
        <v>0</v>
      </c>
      <c r="BP123" s="82">
        <v>0</v>
      </c>
      <c r="BQ123" s="82">
        <v>0</v>
      </c>
      <c r="BR123" s="82">
        <v>0</v>
      </c>
      <c r="BS123" s="82">
        <v>0</v>
      </c>
      <c r="BT123" s="82">
        <v>0</v>
      </c>
      <c r="BU123" s="82">
        <v>39816</v>
      </c>
      <c r="BV123" s="82">
        <v>0</v>
      </c>
      <c r="BX123" s="189">
        <v>0</v>
      </c>
      <c r="BY123" s="190">
        <v>0</v>
      </c>
    </row>
    <row r="124" spans="1:77" ht="8.25" customHeight="1" x14ac:dyDescent="0.15">
      <c r="A124" s="188">
        <v>84001</v>
      </c>
      <c r="B124" s="77" t="str">
        <f>IFERROR(INDEX(SCNtoISIC!$M:$M,MATCH($A124,SCNtoISIC!$J:$J,0)),0)</f>
        <v>ISIC 84</v>
      </c>
      <c r="C124" s="81" t="s">
        <v>515</v>
      </c>
      <c r="D124" s="82">
        <v>0</v>
      </c>
      <c r="E124" s="82">
        <v>0</v>
      </c>
      <c r="F124" s="82">
        <v>0</v>
      </c>
      <c r="G124" s="82">
        <v>0</v>
      </c>
      <c r="H124" s="82">
        <v>0</v>
      </c>
      <c r="I124" s="82">
        <v>0</v>
      </c>
      <c r="J124" s="82">
        <v>0</v>
      </c>
      <c r="K124" s="82">
        <v>0</v>
      </c>
      <c r="L124" s="82">
        <v>0</v>
      </c>
      <c r="M124" s="82">
        <v>0</v>
      </c>
      <c r="N124" s="82">
        <v>0</v>
      </c>
      <c r="O124" s="82">
        <v>0</v>
      </c>
      <c r="P124" s="82">
        <v>0</v>
      </c>
      <c r="Q124" s="82">
        <v>0</v>
      </c>
      <c r="R124" s="82">
        <v>0</v>
      </c>
      <c r="S124" s="82">
        <v>0</v>
      </c>
      <c r="T124" s="82">
        <v>0</v>
      </c>
      <c r="U124" s="82">
        <v>0</v>
      </c>
      <c r="V124" s="82">
        <v>0</v>
      </c>
      <c r="W124" s="82">
        <v>0</v>
      </c>
      <c r="X124" s="82">
        <v>0</v>
      </c>
      <c r="Y124" s="82">
        <v>0</v>
      </c>
      <c r="Z124" s="82">
        <v>0</v>
      </c>
      <c r="AA124" s="82">
        <v>0</v>
      </c>
      <c r="AB124" s="82">
        <v>0</v>
      </c>
      <c r="AC124" s="80">
        <v>0</v>
      </c>
      <c r="AD124" s="80">
        <v>0</v>
      </c>
      <c r="AE124" s="82">
        <v>0</v>
      </c>
      <c r="AF124" s="82">
        <v>0</v>
      </c>
      <c r="AG124" s="82">
        <v>0</v>
      </c>
      <c r="AH124" s="82">
        <v>0</v>
      </c>
      <c r="AI124" s="82">
        <v>0</v>
      </c>
      <c r="AJ124" s="82">
        <v>0</v>
      </c>
      <c r="AK124" s="82">
        <v>0</v>
      </c>
      <c r="AL124" s="82">
        <v>0</v>
      </c>
      <c r="AM124" s="82">
        <v>0</v>
      </c>
      <c r="AN124" s="82">
        <v>0</v>
      </c>
      <c r="AO124" s="82">
        <v>0</v>
      </c>
      <c r="AP124" s="80">
        <v>0</v>
      </c>
      <c r="AQ124" s="80">
        <v>0</v>
      </c>
      <c r="AR124" s="82">
        <v>0</v>
      </c>
      <c r="AS124" s="82">
        <v>0</v>
      </c>
      <c r="AT124" s="82">
        <v>0</v>
      </c>
      <c r="AU124" s="82">
        <v>0</v>
      </c>
      <c r="AV124" s="82">
        <v>0</v>
      </c>
      <c r="AW124" s="82">
        <v>0</v>
      </c>
      <c r="AX124" s="82">
        <v>0</v>
      </c>
      <c r="AY124" s="82">
        <v>0</v>
      </c>
      <c r="AZ124" s="82">
        <v>0</v>
      </c>
      <c r="BA124" s="82">
        <v>0</v>
      </c>
      <c r="BB124" s="82">
        <v>0</v>
      </c>
      <c r="BC124" s="82">
        <v>0</v>
      </c>
      <c r="BD124" s="82">
        <v>0</v>
      </c>
      <c r="BE124" s="82">
        <v>0</v>
      </c>
      <c r="BF124" s="82">
        <v>0</v>
      </c>
      <c r="BG124" s="82">
        <v>0</v>
      </c>
      <c r="BH124" s="82">
        <v>0</v>
      </c>
      <c r="BI124" s="82">
        <v>0</v>
      </c>
      <c r="BJ124" s="82">
        <v>0</v>
      </c>
      <c r="BK124" s="82">
        <v>0</v>
      </c>
      <c r="BL124" s="82">
        <v>0</v>
      </c>
      <c r="BM124" s="82">
        <v>659138</v>
      </c>
      <c r="BN124" s="82">
        <v>0</v>
      </c>
      <c r="BO124" s="82">
        <v>0</v>
      </c>
      <c r="BP124" s="82">
        <v>0</v>
      </c>
      <c r="BQ124" s="82">
        <v>0</v>
      </c>
      <c r="BR124" s="82">
        <v>0</v>
      </c>
      <c r="BS124" s="82">
        <v>0</v>
      </c>
      <c r="BT124" s="82">
        <v>0</v>
      </c>
      <c r="BU124" s="82">
        <v>659138</v>
      </c>
      <c r="BV124" s="82">
        <v>0</v>
      </c>
      <c r="BX124" s="189">
        <v>0</v>
      </c>
      <c r="BY124" s="190">
        <v>0</v>
      </c>
    </row>
    <row r="125" spans="1:77" ht="8.25" customHeight="1" x14ac:dyDescent="0.15">
      <c r="A125" s="188">
        <v>84002</v>
      </c>
      <c r="B125" s="77" t="str">
        <f>IFERROR(INDEX(SCNtoISIC!$M:$M,MATCH($A125,SCNtoISIC!$J:$J,0)),0)</f>
        <v>ISIC 84</v>
      </c>
      <c r="C125" s="81" t="s">
        <v>517</v>
      </c>
      <c r="D125" s="82">
        <v>0</v>
      </c>
      <c r="E125" s="82">
        <v>0</v>
      </c>
      <c r="F125" s="82">
        <v>0</v>
      </c>
      <c r="G125" s="82">
        <v>0</v>
      </c>
      <c r="H125" s="82">
        <v>0</v>
      </c>
      <c r="I125" s="82">
        <v>0</v>
      </c>
      <c r="J125" s="82">
        <v>0</v>
      </c>
      <c r="K125" s="82">
        <v>0</v>
      </c>
      <c r="L125" s="82">
        <v>0</v>
      </c>
      <c r="M125" s="82">
        <v>0</v>
      </c>
      <c r="N125" s="82">
        <v>0</v>
      </c>
      <c r="O125" s="82">
        <v>0</v>
      </c>
      <c r="P125" s="82">
        <v>0</v>
      </c>
      <c r="Q125" s="82">
        <v>0</v>
      </c>
      <c r="R125" s="82">
        <v>0</v>
      </c>
      <c r="S125" s="82">
        <v>0</v>
      </c>
      <c r="T125" s="82">
        <v>0</v>
      </c>
      <c r="U125" s="82">
        <v>0</v>
      </c>
      <c r="V125" s="82">
        <v>0</v>
      </c>
      <c r="W125" s="82">
        <v>0</v>
      </c>
      <c r="X125" s="82">
        <v>0</v>
      </c>
      <c r="Y125" s="82">
        <v>0</v>
      </c>
      <c r="Z125" s="82">
        <v>0</v>
      </c>
      <c r="AA125" s="82">
        <v>0</v>
      </c>
      <c r="AB125" s="82">
        <v>0</v>
      </c>
      <c r="AC125" s="80">
        <v>0</v>
      </c>
      <c r="AD125" s="80">
        <v>0</v>
      </c>
      <c r="AE125" s="82">
        <v>0</v>
      </c>
      <c r="AF125" s="82">
        <v>0</v>
      </c>
      <c r="AG125" s="82">
        <v>0</v>
      </c>
      <c r="AH125" s="82">
        <v>0</v>
      </c>
      <c r="AI125" s="82">
        <v>0</v>
      </c>
      <c r="AJ125" s="82">
        <v>0</v>
      </c>
      <c r="AK125" s="82">
        <v>0</v>
      </c>
      <c r="AL125" s="82">
        <v>0</v>
      </c>
      <c r="AM125" s="82">
        <v>0</v>
      </c>
      <c r="AN125" s="82">
        <v>0</v>
      </c>
      <c r="AO125" s="82">
        <v>0</v>
      </c>
      <c r="AP125" s="80">
        <v>0</v>
      </c>
      <c r="AQ125" s="80">
        <v>0</v>
      </c>
      <c r="AR125" s="82">
        <v>0</v>
      </c>
      <c r="AS125" s="82">
        <v>0</v>
      </c>
      <c r="AT125" s="82">
        <v>0</v>
      </c>
      <c r="AU125" s="82">
        <v>0</v>
      </c>
      <c r="AV125" s="82">
        <v>0</v>
      </c>
      <c r="AW125" s="82">
        <v>0</v>
      </c>
      <c r="AX125" s="82">
        <v>0</v>
      </c>
      <c r="AY125" s="82">
        <v>0</v>
      </c>
      <c r="AZ125" s="82">
        <v>0</v>
      </c>
      <c r="BA125" s="82">
        <v>0</v>
      </c>
      <c r="BB125" s="82">
        <v>0</v>
      </c>
      <c r="BC125" s="82">
        <v>0</v>
      </c>
      <c r="BD125" s="82">
        <v>0</v>
      </c>
      <c r="BE125" s="82">
        <v>0</v>
      </c>
      <c r="BF125" s="82">
        <v>0</v>
      </c>
      <c r="BG125" s="82">
        <v>0</v>
      </c>
      <c r="BH125" s="82">
        <v>0</v>
      </c>
      <c r="BI125" s="82">
        <v>0</v>
      </c>
      <c r="BJ125" s="82">
        <v>0</v>
      </c>
      <c r="BK125" s="82">
        <v>0</v>
      </c>
      <c r="BL125" s="82">
        <v>0</v>
      </c>
      <c r="BM125" s="82">
        <v>13234</v>
      </c>
      <c r="BN125" s="82">
        <v>0</v>
      </c>
      <c r="BO125" s="82">
        <v>0</v>
      </c>
      <c r="BP125" s="82">
        <v>0</v>
      </c>
      <c r="BQ125" s="82">
        <v>0</v>
      </c>
      <c r="BR125" s="82">
        <v>0</v>
      </c>
      <c r="BS125" s="82">
        <v>0</v>
      </c>
      <c r="BT125" s="82">
        <v>0</v>
      </c>
      <c r="BU125" s="82">
        <v>13234</v>
      </c>
      <c r="BV125" s="82">
        <v>0</v>
      </c>
      <c r="BX125" s="189">
        <v>0</v>
      </c>
      <c r="BY125" s="190">
        <v>0</v>
      </c>
    </row>
    <row r="126" spans="1:77" ht="8.25" customHeight="1" x14ac:dyDescent="0.15">
      <c r="A126" s="188">
        <v>85911</v>
      </c>
      <c r="B126" s="77" t="str">
        <f>IFERROR(INDEX(SCNtoISIC!$M:$M,MATCH($A126,SCNtoISIC!$J:$J,0)),0)</f>
        <v>ISIC 85</v>
      </c>
      <c r="C126" s="81" t="s">
        <v>279</v>
      </c>
      <c r="D126" s="82">
        <v>0</v>
      </c>
      <c r="E126" s="82">
        <v>0</v>
      </c>
      <c r="F126" s="82">
        <v>0</v>
      </c>
      <c r="G126" s="82">
        <v>0</v>
      </c>
      <c r="H126" s="82">
        <v>0</v>
      </c>
      <c r="I126" s="82">
        <v>0</v>
      </c>
      <c r="J126" s="82">
        <v>0</v>
      </c>
      <c r="K126" s="82">
        <v>0</v>
      </c>
      <c r="L126" s="82">
        <v>0</v>
      </c>
      <c r="M126" s="82">
        <v>0</v>
      </c>
      <c r="N126" s="82">
        <v>0</v>
      </c>
      <c r="O126" s="82">
        <v>0</v>
      </c>
      <c r="P126" s="82">
        <v>0</v>
      </c>
      <c r="Q126" s="82">
        <v>0</v>
      </c>
      <c r="R126" s="82">
        <v>0</v>
      </c>
      <c r="S126" s="82">
        <v>0</v>
      </c>
      <c r="T126" s="82">
        <v>0</v>
      </c>
      <c r="U126" s="82">
        <v>0</v>
      </c>
      <c r="V126" s="82">
        <v>0</v>
      </c>
      <c r="W126" s="82">
        <v>0</v>
      </c>
      <c r="X126" s="82">
        <v>0</v>
      </c>
      <c r="Y126" s="82">
        <v>0</v>
      </c>
      <c r="Z126" s="82">
        <v>0</v>
      </c>
      <c r="AA126" s="82">
        <v>0</v>
      </c>
      <c r="AB126" s="82">
        <v>0</v>
      </c>
      <c r="AC126" s="80">
        <v>0</v>
      </c>
      <c r="AD126" s="80">
        <v>0</v>
      </c>
      <c r="AE126" s="82">
        <v>0</v>
      </c>
      <c r="AF126" s="82">
        <v>0</v>
      </c>
      <c r="AG126" s="82">
        <v>0</v>
      </c>
      <c r="AH126" s="82">
        <v>0</v>
      </c>
      <c r="AI126" s="82">
        <v>0</v>
      </c>
      <c r="AJ126" s="82">
        <v>0</v>
      </c>
      <c r="AK126" s="82">
        <v>0</v>
      </c>
      <c r="AL126" s="82">
        <v>0</v>
      </c>
      <c r="AM126" s="82">
        <v>0</v>
      </c>
      <c r="AN126" s="82">
        <v>0</v>
      </c>
      <c r="AO126" s="82">
        <v>0</v>
      </c>
      <c r="AP126" s="80">
        <v>0</v>
      </c>
      <c r="AQ126" s="80">
        <v>0</v>
      </c>
      <c r="AR126" s="82">
        <v>0</v>
      </c>
      <c r="AS126" s="82">
        <v>0</v>
      </c>
      <c r="AT126" s="82">
        <v>0</v>
      </c>
      <c r="AU126" s="82">
        <v>0</v>
      </c>
      <c r="AV126" s="82">
        <v>0</v>
      </c>
      <c r="AW126" s="82">
        <v>0</v>
      </c>
      <c r="AX126" s="82">
        <v>0</v>
      </c>
      <c r="AY126" s="82">
        <v>0</v>
      </c>
      <c r="AZ126" s="82">
        <v>0</v>
      </c>
      <c r="BA126" s="82">
        <v>0</v>
      </c>
      <c r="BB126" s="82">
        <v>0</v>
      </c>
      <c r="BC126" s="82">
        <v>0</v>
      </c>
      <c r="BD126" s="82">
        <v>0</v>
      </c>
      <c r="BE126" s="82">
        <v>0</v>
      </c>
      <c r="BF126" s="82">
        <v>0</v>
      </c>
      <c r="BG126" s="82">
        <v>0</v>
      </c>
      <c r="BH126" s="82">
        <v>0</v>
      </c>
      <c r="BI126" s="82">
        <v>0</v>
      </c>
      <c r="BJ126" s="82">
        <v>0</v>
      </c>
      <c r="BK126" s="82">
        <v>0</v>
      </c>
      <c r="BL126" s="82">
        <v>0</v>
      </c>
      <c r="BM126" s="82">
        <v>0</v>
      </c>
      <c r="BN126" s="82">
        <v>288544</v>
      </c>
      <c r="BO126" s="82">
        <v>0</v>
      </c>
      <c r="BP126" s="82">
        <v>0</v>
      </c>
      <c r="BQ126" s="82">
        <v>0</v>
      </c>
      <c r="BR126" s="82">
        <v>0</v>
      </c>
      <c r="BS126" s="82">
        <v>0</v>
      </c>
      <c r="BT126" s="82">
        <v>0</v>
      </c>
      <c r="BU126" s="82">
        <v>288544</v>
      </c>
      <c r="BV126" s="82">
        <v>0</v>
      </c>
      <c r="BX126" s="189">
        <v>0</v>
      </c>
      <c r="BY126" s="190">
        <v>0</v>
      </c>
    </row>
    <row r="127" spans="1:77" ht="8.25" customHeight="1" x14ac:dyDescent="0.15">
      <c r="A127" s="194">
        <v>85921</v>
      </c>
      <c r="B127" s="77" t="str">
        <f>IFERROR(INDEX(SCNtoISIC!$M:$M,MATCH($A127,SCNtoISIC!$J:$J,0)),0)</f>
        <v>ISIC 85</v>
      </c>
      <c r="C127" s="195" t="s">
        <v>280</v>
      </c>
      <c r="D127" s="82">
        <v>0</v>
      </c>
      <c r="E127" s="82">
        <v>0</v>
      </c>
      <c r="F127" s="82">
        <v>0</v>
      </c>
      <c r="G127" s="82">
        <v>0</v>
      </c>
      <c r="H127" s="82">
        <v>0</v>
      </c>
      <c r="I127" s="82">
        <v>0</v>
      </c>
      <c r="J127" s="82">
        <v>0</v>
      </c>
      <c r="K127" s="82">
        <v>0</v>
      </c>
      <c r="L127" s="82">
        <v>0</v>
      </c>
      <c r="M127" s="82">
        <v>0</v>
      </c>
      <c r="N127" s="82">
        <v>0</v>
      </c>
      <c r="O127" s="82">
        <v>0</v>
      </c>
      <c r="P127" s="82">
        <v>0</v>
      </c>
      <c r="Q127" s="82">
        <v>0</v>
      </c>
      <c r="R127" s="82">
        <v>0</v>
      </c>
      <c r="S127" s="82">
        <v>0</v>
      </c>
      <c r="T127" s="82">
        <v>0</v>
      </c>
      <c r="U127" s="82">
        <v>0</v>
      </c>
      <c r="V127" s="82">
        <v>0</v>
      </c>
      <c r="W127" s="82">
        <v>0</v>
      </c>
      <c r="X127" s="82">
        <v>0</v>
      </c>
      <c r="Y127" s="82">
        <v>0</v>
      </c>
      <c r="Z127" s="82">
        <v>0</v>
      </c>
      <c r="AA127" s="82">
        <v>0</v>
      </c>
      <c r="AB127" s="82">
        <v>0</v>
      </c>
      <c r="AC127" s="80">
        <v>0</v>
      </c>
      <c r="AD127" s="80">
        <v>0</v>
      </c>
      <c r="AE127" s="82">
        <v>0</v>
      </c>
      <c r="AF127" s="82">
        <v>0</v>
      </c>
      <c r="AG127" s="82">
        <v>0</v>
      </c>
      <c r="AH127" s="82">
        <v>0</v>
      </c>
      <c r="AI127" s="82">
        <v>0</v>
      </c>
      <c r="AJ127" s="82">
        <v>0</v>
      </c>
      <c r="AK127" s="82">
        <v>0</v>
      </c>
      <c r="AL127" s="82">
        <v>0</v>
      </c>
      <c r="AM127" s="82">
        <v>0</v>
      </c>
      <c r="AN127" s="82">
        <v>0</v>
      </c>
      <c r="AO127" s="82">
        <v>0</v>
      </c>
      <c r="AP127" s="80">
        <v>0</v>
      </c>
      <c r="AQ127" s="80">
        <v>0</v>
      </c>
      <c r="AR127" s="82">
        <v>0</v>
      </c>
      <c r="AS127" s="82">
        <v>0</v>
      </c>
      <c r="AT127" s="82">
        <v>0</v>
      </c>
      <c r="AU127" s="82">
        <v>0</v>
      </c>
      <c r="AV127" s="82">
        <v>0</v>
      </c>
      <c r="AW127" s="82">
        <v>0</v>
      </c>
      <c r="AX127" s="82">
        <v>0</v>
      </c>
      <c r="AY127" s="82">
        <v>0</v>
      </c>
      <c r="AZ127" s="82">
        <v>0</v>
      </c>
      <c r="BA127" s="82">
        <v>0</v>
      </c>
      <c r="BB127" s="82">
        <v>0</v>
      </c>
      <c r="BC127" s="82">
        <v>0</v>
      </c>
      <c r="BD127" s="82">
        <v>0</v>
      </c>
      <c r="BE127" s="82">
        <v>0</v>
      </c>
      <c r="BF127" s="82">
        <v>0</v>
      </c>
      <c r="BG127" s="82">
        <v>0</v>
      </c>
      <c r="BH127" s="82">
        <v>0</v>
      </c>
      <c r="BI127" s="82">
        <v>0</v>
      </c>
      <c r="BJ127" s="82">
        <v>0</v>
      </c>
      <c r="BK127" s="82">
        <v>0</v>
      </c>
      <c r="BL127" s="82">
        <v>0</v>
      </c>
      <c r="BM127" s="82">
        <v>3032</v>
      </c>
      <c r="BN127" s="82">
        <v>787</v>
      </c>
      <c r="BO127" s="82">
        <v>109452</v>
      </c>
      <c r="BP127" s="82">
        <v>0</v>
      </c>
      <c r="BQ127" s="82">
        <v>0</v>
      </c>
      <c r="BR127" s="82">
        <v>0</v>
      </c>
      <c r="BS127" s="82">
        <v>0</v>
      </c>
      <c r="BT127" s="82">
        <v>0</v>
      </c>
      <c r="BU127" s="82">
        <v>113271</v>
      </c>
      <c r="BV127" s="82">
        <v>932</v>
      </c>
      <c r="BX127" s="189">
        <v>0</v>
      </c>
      <c r="BY127" s="190">
        <v>0</v>
      </c>
    </row>
    <row r="128" spans="1:77" ht="8.25" customHeight="1" x14ac:dyDescent="0.15">
      <c r="A128" s="185">
        <v>86911</v>
      </c>
      <c r="B128" s="77" t="str">
        <f>IFERROR(INDEX(SCNtoISIC!$M:$M,MATCH($A128,SCNtoISIC!$J:$J,0)),0)</f>
        <v>ISIC 86T88</v>
      </c>
      <c r="C128" s="78" t="s">
        <v>281</v>
      </c>
      <c r="D128" s="79">
        <v>0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79">
        <v>0</v>
      </c>
      <c r="L128" s="79">
        <v>0</v>
      </c>
      <c r="M128" s="79">
        <v>0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  <c r="U128" s="79">
        <v>0</v>
      </c>
      <c r="V128" s="79">
        <v>0</v>
      </c>
      <c r="W128" s="79">
        <v>0</v>
      </c>
      <c r="X128" s="79">
        <v>0</v>
      </c>
      <c r="Y128" s="79">
        <v>0</v>
      </c>
      <c r="Z128" s="79">
        <v>0</v>
      </c>
      <c r="AA128" s="79">
        <v>0</v>
      </c>
      <c r="AB128" s="79">
        <v>0</v>
      </c>
      <c r="AC128" s="80">
        <v>0</v>
      </c>
      <c r="AD128" s="80">
        <v>0</v>
      </c>
      <c r="AE128" s="79">
        <v>0</v>
      </c>
      <c r="AF128" s="79">
        <v>0</v>
      </c>
      <c r="AG128" s="79">
        <v>0</v>
      </c>
      <c r="AH128" s="79">
        <v>0</v>
      </c>
      <c r="AI128" s="79">
        <v>0</v>
      </c>
      <c r="AJ128" s="79">
        <v>0</v>
      </c>
      <c r="AK128" s="79">
        <v>0</v>
      </c>
      <c r="AL128" s="79">
        <v>0</v>
      </c>
      <c r="AM128" s="79">
        <v>0</v>
      </c>
      <c r="AN128" s="79">
        <v>0</v>
      </c>
      <c r="AO128" s="79">
        <v>0</v>
      </c>
      <c r="AP128" s="80">
        <v>0</v>
      </c>
      <c r="AQ128" s="80">
        <v>0</v>
      </c>
      <c r="AR128" s="79">
        <v>0</v>
      </c>
      <c r="AS128" s="79">
        <v>0</v>
      </c>
      <c r="AT128" s="79">
        <v>0</v>
      </c>
      <c r="AU128" s="79">
        <v>0</v>
      </c>
      <c r="AV128" s="79">
        <v>0</v>
      </c>
      <c r="AW128" s="79">
        <v>0</v>
      </c>
      <c r="AX128" s="79">
        <v>0</v>
      </c>
      <c r="AY128" s="79">
        <v>0</v>
      </c>
      <c r="AZ128" s="79">
        <v>0</v>
      </c>
      <c r="BA128" s="79">
        <v>0</v>
      </c>
      <c r="BB128" s="79">
        <v>0</v>
      </c>
      <c r="BC128" s="79">
        <v>0</v>
      </c>
      <c r="BD128" s="79">
        <v>0</v>
      </c>
      <c r="BE128" s="79">
        <v>0</v>
      </c>
      <c r="BF128" s="79">
        <v>0</v>
      </c>
      <c r="BG128" s="79">
        <v>0</v>
      </c>
      <c r="BH128" s="79">
        <v>0</v>
      </c>
      <c r="BI128" s="79">
        <v>0</v>
      </c>
      <c r="BJ128" s="79">
        <v>0</v>
      </c>
      <c r="BK128" s="79">
        <v>0</v>
      </c>
      <c r="BL128" s="79">
        <v>0</v>
      </c>
      <c r="BM128" s="79">
        <v>0</v>
      </c>
      <c r="BN128" s="79">
        <v>0</v>
      </c>
      <c r="BO128" s="79">
        <v>0</v>
      </c>
      <c r="BP128" s="79">
        <v>175278</v>
      </c>
      <c r="BQ128" s="79">
        <v>0</v>
      </c>
      <c r="BR128" s="79">
        <v>0</v>
      </c>
      <c r="BS128" s="79">
        <v>0</v>
      </c>
      <c r="BT128" s="79">
        <v>0</v>
      </c>
      <c r="BU128" s="79">
        <v>175278</v>
      </c>
      <c r="BV128" s="79">
        <v>0</v>
      </c>
      <c r="BX128" s="186">
        <v>0</v>
      </c>
      <c r="BY128" s="187">
        <v>0</v>
      </c>
    </row>
    <row r="129" spans="1:77" ht="8.25" customHeight="1" x14ac:dyDescent="0.15">
      <c r="A129" s="185">
        <v>86921</v>
      </c>
      <c r="B129" s="77" t="str">
        <f>IFERROR(INDEX(SCNtoISIC!$M:$M,MATCH($A129,SCNtoISIC!$J:$J,0)),0)</f>
        <v>ISIC 86T88</v>
      </c>
      <c r="C129" s="78" t="s">
        <v>282</v>
      </c>
      <c r="D129" s="79">
        <v>0</v>
      </c>
      <c r="E129" s="79">
        <v>0</v>
      </c>
      <c r="F129" s="79">
        <v>0</v>
      </c>
      <c r="G129" s="79">
        <v>0</v>
      </c>
      <c r="H129" s="79">
        <v>0</v>
      </c>
      <c r="I129" s="79">
        <v>0</v>
      </c>
      <c r="J129" s="79">
        <v>0</v>
      </c>
      <c r="K129" s="79">
        <v>0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0</v>
      </c>
      <c r="X129" s="79">
        <v>0</v>
      </c>
      <c r="Y129" s="79">
        <v>0</v>
      </c>
      <c r="Z129" s="79">
        <v>0</v>
      </c>
      <c r="AA129" s="79">
        <v>0</v>
      </c>
      <c r="AB129" s="79">
        <v>0</v>
      </c>
      <c r="AC129" s="80">
        <v>0</v>
      </c>
      <c r="AD129" s="80">
        <v>0</v>
      </c>
      <c r="AE129" s="79">
        <v>0</v>
      </c>
      <c r="AF129" s="79">
        <v>0</v>
      </c>
      <c r="AG129" s="79">
        <v>0</v>
      </c>
      <c r="AH129" s="79">
        <v>0</v>
      </c>
      <c r="AI129" s="79">
        <v>0</v>
      </c>
      <c r="AJ129" s="79">
        <v>0</v>
      </c>
      <c r="AK129" s="79">
        <v>0</v>
      </c>
      <c r="AL129" s="79">
        <v>0</v>
      </c>
      <c r="AM129" s="79">
        <v>0</v>
      </c>
      <c r="AN129" s="79">
        <v>0</v>
      </c>
      <c r="AO129" s="79">
        <v>0</v>
      </c>
      <c r="AP129" s="80">
        <v>0</v>
      </c>
      <c r="AQ129" s="80">
        <v>0</v>
      </c>
      <c r="AR129" s="79">
        <v>0</v>
      </c>
      <c r="AS129" s="79">
        <v>0</v>
      </c>
      <c r="AT129" s="79">
        <v>0</v>
      </c>
      <c r="AU129" s="79">
        <v>0</v>
      </c>
      <c r="AV129" s="79">
        <v>0</v>
      </c>
      <c r="AW129" s="79">
        <v>0</v>
      </c>
      <c r="AX129" s="79">
        <v>0</v>
      </c>
      <c r="AY129" s="79">
        <v>0</v>
      </c>
      <c r="AZ129" s="79">
        <v>0</v>
      </c>
      <c r="BA129" s="79">
        <v>0</v>
      </c>
      <c r="BB129" s="79">
        <v>0</v>
      </c>
      <c r="BC129" s="79">
        <v>0</v>
      </c>
      <c r="BD129" s="79">
        <v>0</v>
      </c>
      <c r="BE129" s="79">
        <v>0</v>
      </c>
      <c r="BF129" s="79">
        <v>0</v>
      </c>
      <c r="BG129" s="79">
        <v>0</v>
      </c>
      <c r="BH129" s="79">
        <v>0</v>
      </c>
      <c r="BI129" s="79">
        <v>0</v>
      </c>
      <c r="BJ129" s="79">
        <v>0</v>
      </c>
      <c r="BK129" s="79">
        <v>0</v>
      </c>
      <c r="BL129" s="79">
        <v>0</v>
      </c>
      <c r="BM129" s="79">
        <v>578</v>
      </c>
      <c r="BN129" s="79">
        <v>238</v>
      </c>
      <c r="BO129" s="79">
        <v>0</v>
      </c>
      <c r="BP129" s="79">
        <v>2123</v>
      </c>
      <c r="BQ129" s="79">
        <v>222016</v>
      </c>
      <c r="BR129" s="79">
        <v>0</v>
      </c>
      <c r="BS129" s="79">
        <v>0</v>
      </c>
      <c r="BT129" s="79">
        <v>0</v>
      </c>
      <c r="BU129" s="79">
        <v>224955</v>
      </c>
      <c r="BV129" s="79">
        <v>662</v>
      </c>
      <c r="BX129" s="186">
        <v>0</v>
      </c>
      <c r="BY129" s="187">
        <v>0</v>
      </c>
    </row>
    <row r="130" spans="1:77" ht="8.25" customHeight="1" x14ac:dyDescent="0.15">
      <c r="A130" s="185">
        <v>90801</v>
      </c>
      <c r="B130" s="77" t="str">
        <f>IFERROR(INDEX(SCNtoISIC!$M:$M,MATCH($A130,SCNtoISIC!$J:$J,0)),0)</f>
        <v>ISIC 90T96</v>
      </c>
      <c r="C130" s="78" t="s">
        <v>523</v>
      </c>
      <c r="D130" s="79">
        <v>0</v>
      </c>
      <c r="E130" s="79">
        <v>0</v>
      </c>
      <c r="F130" s="79">
        <v>0</v>
      </c>
      <c r="G130" s="79">
        <v>0</v>
      </c>
      <c r="H130" s="79">
        <v>0</v>
      </c>
      <c r="I130" s="79">
        <v>0</v>
      </c>
      <c r="J130" s="79">
        <v>0</v>
      </c>
      <c r="K130" s="79">
        <v>0</v>
      </c>
      <c r="L130" s="79">
        <v>0</v>
      </c>
      <c r="M130" s="79">
        <v>0</v>
      </c>
      <c r="N130" s="79">
        <v>0</v>
      </c>
      <c r="O130" s="79">
        <v>0</v>
      </c>
      <c r="P130" s="79">
        <v>0</v>
      </c>
      <c r="Q130" s="79">
        <v>0</v>
      </c>
      <c r="R130" s="79">
        <v>0</v>
      </c>
      <c r="S130" s="79">
        <v>0</v>
      </c>
      <c r="T130" s="79">
        <v>0</v>
      </c>
      <c r="U130" s="79">
        <v>0</v>
      </c>
      <c r="V130" s="79">
        <v>0</v>
      </c>
      <c r="W130" s="79">
        <v>0</v>
      </c>
      <c r="X130" s="79">
        <v>0</v>
      </c>
      <c r="Y130" s="79">
        <v>0</v>
      </c>
      <c r="Z130" s="79">
        <v>0</v>
      </c>
      <c r="AA130" s="79">
        <v>0</v>
      </c>
      <c r="AB130" s="79">
        <v>0</v>
      </c>
      <c r="AC130" s="80">
        <v>0</v>
      </c>
      <c r="AD130" s="80">
        <v>0</v>
      </c>
      <c r="AE130" s="79">
        <v>0</v>
      </c>
      <c r="AF130" s="79">
        <v>0</v>
      </c>
      <c r="AG130" s="79">
        <v>0</v>
      </c>
      <c r="AH130" s="79">
        <v>0</v>
      </c>
      <c r="AI130" s="79">
        <v>0</v>
      </c>
      <c r="AJ130" s="79">
        <v>0</v>
      </c>
      <c r="AK130" s="79">
        <v>0</v>
      </c>
      <c r="AL130" s="79">
        <v>0</v>
      </c>
      <c r="AM130" s="79">
        <v>0</v>
      </c>
      <c r="AN130" s="79">
        <v>0</v>
      </c>
      <c r="AO130" s="79">
        <v>0</v>
      </c>
      <c r="AP130" s="80">
        <v>0</v>
      </c>
      <c r="AQ130" s="80">
        <v>0</v>
      </c>
      <c r="AR130" s="79">
        <v>0</v>
      </c>
      <c r="AS130" s="79">
        <v>0</v>
      </c>
      <c r="AT130" s="79">
        <v>6</v>
      </c>
      <c r="AU130" s="79">
        <v>0</v>
      </c>
      <c r="AV130" s="79">
        <v>0</v>
      </c>
      <c r="AW130" s="79">
        <v>0</v>
      </c>
      <c r="AX130" s="79">
        <v>0</v>
      </c>
      <c r="AY130" s="79">
        <v>0</v>
      </c>
      <c r="AZ130" s="79">
        <v>0</v>
      </c>
      <c r="BA130" s="79">
        <v>0</v>
      </c>
      <c r="BB130" s="79">
        <v>0</v>
      </c>
      <c r="BC130" s="79">
        <v>0</v>
      </c>
      <c r="BD130" s="79">
        <v>0</v>
      </c>
      <c r="BE130" s="79">
        <v>1443</v>
      </c>
      <c r="BF130" s="79">
        <v>0</v>
      </c>
      <c r="BG130" s="79">
        <v>0</v>
      </c>
      <c r="BH130" s="79">
        <v>0</v>
      </c>
      <c r="BI130" s="79">
        <v>0</v>
      </c>
      <c r="BJ130" s="79">
        <v>0</v>
      </c>
      <c r="BK130" s="79">
        <v>0</v>
      </c>
      <c r="BL130" s="79">
        <v>0</v>
      </c>
      <c r="BM130" s="79">
        <v>654</v>
      </c>
      <c r="BN130" s="79">
        <v>2</v>
      </c>
      <c r="BO130" s="79">
        <v>0</v>
      </c>
      <c r="BP130" s="79">
        <v>0</v>
      </c>
      <c r="BQ130" s="79">
        <v>0</v>
      </c>
      <c r="BR130" s="79">
        <v>31691</v>
      </c>
      <c r="BS130" s="79">
        <v>0</v>
      </c>
      <c r="BT130" s="79">
        <v>0</v>
      </c>
      <c r="BU130" s="79">
        <v>33796</v>
      </c>
      <c r="BV130" s="79">
        <v>4821</v>
      </c>
      <c r="BX130" s="186">
        <v>0</v>
      </c>
      <c r="BY130" s="187">
        <v>0</v>
      </c>
    </row>
    <row r="131" spans="1:77" ht="8.25" customHeight="1" x14ac:dyDescent="0.15">
      <c r="A131" s="185">
        <v>94801</v>
      </c>
      <c r="B131" s="77" t="str">
        <f>IFERROR(INDEX(SCNtoISIC!$M:$M,MATCH($A131,SCNtoISIC!$J:$J,0)),0)</f>
        <v>ISIC 90T96</v>
      </c>
      <c r="C131" s="78" t="s">
        <v>524</v>
      </c>
      <c r="D131" s="79">
        <v>0</v>
      </c>
      <c r="E131" s="79">
        <v>0</v>
      </c>
      <c r="F131" s="79">
        <v>0</v>
      </c>
      <c r="G131" s="79">
        <v>0</v>
      </c>
      <c r="H131" s="79">
        <v>0</v>
      </c>
      <c r="I131" s="79">
        <v>0</v>
      </c>
      <c r="J131" s="79">
        <v>0</v>
      </c>
      <c r="K131" s="79">
        <v>0</v>
      </c>
      <c r="L131" s="79">
        <v>0</v>
      </c>
      <c r="M131" s="79">
        <v>0</v>
      </c>
      <c r="N131" s="79">
        <v>0</v>
      </c>
      <c r="O131" s="79">
        <v>0</v>
      </c>
      <c r="P131" s="79">
        <v>0</v>
      </c>
      <c r="Q131" s="79">
        <v>0</v>
      </c>
      <c r="R131" s="79">
        <v>0</v>
      </c>
      <c r="S131" s="79">
        <v>0</v>
      </c>
      <c r="T131" s="79">
        <v>0</v>
      </c>
      <c r="U131" s="79">
        <v>0</v>
      </c>
      <c r="V131" s="79">
        <v>0</v>
      </c>
      <c r="W131" s="79">
        <v>0</v>
      </c>
      <c r="X131" s="79">
        <v>0</v>
      </c>
      <c r="Y131" s="79">
        <v>0</v>
      </c>
      <c r="Z131" s="79">
        <v>0</v>
      </c>
      <c r="AA131" s="79">
        <v>0</v>
      </c>
      <c r="AB131" s="79">
        <v>0</v>
      </c>
      <c r="AC131" s="80">
        <v>0</v>
      </c>
      <c r="AD131" s="80">
        <v>0</v>
      </c>
      <c r="AE131" s="79">
        <v>0</v>
      </c>
      <c r="AF131" s="79">
        <v>0</v>
      </c>
      <c r="AG131" s="79">
        <v>0</v>
      </c>
      <c r="AH131" s="79">
        <v>0</v>
      </c>
      <c r="AI131" s="79">
        <v>0</v>
      </c>
      <c r="AJ131" s="79">
        <v>0</v>
      </c>
      <c r="AK131" s="79">
        <v>0</v>
      </c>
      <c r="AL131" s="79">
        <v>0</v>
      </c>
      <c r="AM131" s="79">
        <v>0</v>
      </c>
      <c r="AN131" s="79">
        <v>0</v>
      </c>
      <c r="AO131" s="79">
        <v>0</v>
      </c>
      <c r="AP131" s="80">
        <v>0</v>
      </c>
      <c r="AQ131" s="80">
        <v>0</v>
      </c>
      <c r="AR131" s="79">
        <v>0</v>
      </c>
      <c r="AS131" s="79">
        <v>0</v>
      </c>
      <c r="AT131" s="79">
        <v>0</v>
      </c>
      <c r="AU131" s="79">
        <v>0</v>
      </c>
      <c r="AV131" s="79">
        <v>0</v>
      </c>
      <c r="AW131" s="79">
        <v>0</v>
      </c>
      <c r="AX131" s="79">
        <v>0</v>
      </c>
      <c r="AY131" s="79">
        <v>0</v>
      </c>
      <c r="AZ131" s="79">
        <v>0</v>
      </c>
      <c r="BA131" s="79">
        <v>0</v>
      </c>
      <c r="BB131" s="79">
        <v>0</v>
      </c>
      <c r="BC131" s="79">
        <v>0</v>
      </c>
      <c r="BD131" s="79">
        <v>0</v>
      </c>
      <c r="BE131" s="79">
        <v>0</v>
      </c>
      <c r="BF131" s="79">
        <v>0</v>
      </c>
      <c r="BG131" s="79">
        <v>0</v>
      </c>
      <c r="BH131" s="79">
        <v>0</v>
      </c>
      <c r="BI131" s="79">
        <v>0</v>
      </c>
      <c r="BJ131" s="79">
        <v>0</v>
      </c>
      <c r="BK131" s="79">
        <v>0</v>
      </c>
      <c r="BL131" s="79">
        <v>0</v>
      </c>
      <c r="BM131" s="79">
        <v>0</v>
      </c>
      <c r="BN131" s="79">
        <v>0</v>
      </c>
      <c r="BO131" s="79">
        <v>0</v>
      </c>
      <c r="BP131" s="79">
        <v>0</v>
      </c>
      <c r="BQ131" s="79">
        <v>0</v>
      </c>
      <c r="BR131" s="79">
        <v>0</v>
      </c>
      <c r="BS131" s="79">
        <v>83334</v>
      </c>
      <c r="BT131" s="79">
        <v>0</v>
      </c>
      <c r="BU131" s="79">
        <v>83334</v>
      </c>
      <c r="BV131" s="79">
        <v>0</v>
      </c>
      <c r="BX131" s="186">
        <v>0</v>
      </c>
      <c r="BY131" s="187">
        <v>0</v>
      </c>
    </row>
    <row r="132" spans="1:77" ht="8.25" customHeight="1" x14ac:dyDescent="0.15">
      <c r="A132" s="185">
        <v>94802</v>
      </c>
      <c r="B132" s="77" t="str">
        <f>IFERROR(INDEX(SCNtoISIC!$M:$M,MATCH($A132,SCNtoISIC!$J:$J,0)),0)</f>
        <v>ISIC 90T96</v>
      </c>
      <c r="C132" s="78" t="s">
        <v>525</v>
      </c>
      <c r="D132" s="79">
        <v>0</v>
      </c>
      <c r="E132" s="79">
        <v>0</v>
      </c>
      <c r="F132" s="79">
        <v>0</v>
      </c>
      <c r="G132" s="79">
        <v>0</v>
      </c>
      <c r="H132" s="79">
        <v>0</v>
      </c>
      <c r="I132" s="79">
        <v>0</v>
      </c>
      <c r="J132" s="79">
        <v>0</v>
      </c>
      <c r="K132" s="79">
        <v>0</v>
      </c>
      <c r="L132" s="79">
        <v>0</v>
      </c>
      <c r="M132" s="79">
        <v>0</v>
      </c>
      <c r="N132" s="79">
        <v>0</v>
      </c>
      <c r="O132" s="79">
        <v>0</v>
      </c>
      <c r="P132" s="79">
        <v>0</v>
      </c>
      <c r="Q132" s="79">
        <v>0</v>
      </c>
      <c r="R132" s="79">
        <v>0</v>
      </c>
      <c r="S132" s="79">
        <v>0</v>
      </c>
      <c r="T132" s="79">
        <v>0</v>
      </c>
      <c r="U132" s="79">
        <v>0</v>
      </c>
      <c r="V132" s="79">
        <v>0</v>
      </c>
      <c r="W132" s="79">
        <v>0</v>
      </c>
      <c r="X132" s="79">
        <v>0</v>
      </c>
      <c r="Y132" s="79">
        <v>0</v>
      </c>
      <c r="Z132" s="79">
        <v>0</v>
      </c>
      <c r="AA132" s="79">
        <v>0</v>
      </c>
      <c r="AB132" s="79">
        <v>0</v>
      </c>
      <c r="AC132" s="80">
        <v>0</v>
      </c>
      <c r="AD132" s="80">
        <v>0</v>
      </c>
      <c r="AE132" s="79">
        <v>0</v>
      </c>
      <c r="AF132" s="79">
        <v>0</v>
      </c>
      <c r="AG132" s="79">
        <v>0</v>
      </c>
      <c r="AH132" s="79">
        <v>684</v>
      </c>
      <c r="AI132" s="79">
        <v>0</v>
      </c>
      <c r="AJ132" s="79">
        <v>0</v>
      </c>
      <c r="AK132" s="79">
        <v>0</v>
      </c>
      <c r="AL132" s="79">
        <v>0</v>
      </c>
      <c r="AM132" s="79">
        <v>0</v>
      </c>
      <c r="AN132" s="79">
        <v>0</v>
      </c>
      <c r="AO132" s="79">
        <v>0</v>
      </c>
      <c r="AP132" s="80">
        <v>0</v>
      </c>
      <c r="AQ132" s="80">
        <v>0</v>
      </c>
      <c r="AR132" s="79">
        <v>0</v>
      </c>
      <c r="AS132" s="79">
        <v>0</v>
      </c>
      <c r="AT132" s="79">
        <v>6970</v>
      </c>
      <c r="AU132" s="79">
        <v>0</v>
      </c>
      <c r="AV132" s="79">
        <v>0</v>
      </c>
      <c r="AW132" s="79">
        <v>0</v>
      </c>
      <c r="AX132" s="79">
        <v>0</v>
      </c>
      <c r="AY132" s="79">
        <v>0</v>
      </c>
      <c r="AZ132" s="79">
        <v>0</v>
      </c>
      <c r="BA132" s="79">
        <v>0</v>
      </c>
      <c r="BB132" s="79">
        <v>0</v>
      </c>
      <c r="BC132" s="79">
        <v>0</v>
      </c>
      <c r="BD132" s="79">
        <v>0</v>
      </c>
      <c r="BE132" s="79">
        <v>0</v>
      </c>
      <c r="BF132" s="79">
        <v>0</v>
      </c>
      <c r="BG132" s="79">
        <v>0</v>
      </c>
      <c r="BH132" s="79">
        <v>0</v>
      </c>
      <c r="BI132" s="79">
        <v>0</v>
      </c>
      <c r="BJ132" s="79">
        <v>12</v>
      </c>
      <c r="BK132" s="79">
        <v>0</v>
      </c>
      <c r="BL132" s="79">
        <v>0</v>
      </c>
      <c r="BM132" s="79">
        <v>0</v>
      </c>
      <c r="BN132" s="79">
        <v>0</v>
      </c>
      <c r="BO132" s="79">
        <v>0</v>
      </c>
      <c r="BP132" s="79">
        <v>0</v>
      </c>
      <c r="BQ132" s="79">
        <v>0</v>
      </c>
      <c r="BR132" s="79">
        <v>0</v>
      </c>
      <c r="BS132" s="79">
        <v>18763</v>
      </c>
      <c r="BT132" s="79">
        <v>0</v>
      </c>
      <c r="BU132" s="79">
        <v>26429</v>
      </c>
      <c r="BV132" s="79">
        <v>0</v>
      </c>
      <c r="BX132" s="186">
        <v>0</v>
      </c>
      <c r="BY132" s="187">
        <v>0</v>
      </c>
    </row>
    <row r="133" spans="1:77" ht="8.25" customHeight="1" x14ac:dyDescent="0.15">
      <c r="A133" s="188">
        <v>94803</v>
      </c>
      <c r="B133" s="77" t="str">
        <f>IFERROR(INDEX(SCNtoISIC!$M:$M,MATCH($A133,SCNtoISIC!$J:$J,0)),0)</f>
        <v>ISIC 90T96</v>
      </c>
      <c r="C133" s="81" t="s">
        <v>527</v>
      </c>
      <c r="D133" s="82">
        <v>0</v>
      </c>
      <c r="E133" s="82">
        <v>0</v>
      </c>
      <c r="F133" s="82">
        <v>0</v>
      </c>
      <c r="G133" s="82">
        <v>0</v>
      </c>
      <c r="H133" s="82">
        <v>0</v>
      </c>
      <c r="I133" s="82">
        <v>0</v>
      </c>
      <c r="J133" s="82">
        <v>0</v>
      </c>
      <c r="K133" s="82">
        <v>0</v>
      </c>
      <c r="L133" s="82">
        <v>0</v>
      </c>
      <c r="M133" s="82">
        <v>0</v>
      </c>
      <c r="N133" s="82">
        <v>0</v>
      </c>
      <c r="O133" s="82">
        <v>0</v>
      </c>
      <c r="P133" s="82">
        <v>0</v>
      </c>
      <c r="Q133" s="82">
        <v>0</v>
      </c>
      <c r="R133" s="82">
        <v>0</v>
      </c>
      <c r="S133" s="82">
        <v>0</v>
      </c>
      <c r="T133" s="82">
        <v>0</v>
      </c>
      <c r="U133" s="82">
        <v>0</v>
      </c>
      <c r="V133" s="82">
        <v>0</v>
      </c>
      <c r="W133" s="82">
        <v>0</v>
      </c>
      <c r="X133" s="82">
        <v>0</v>
      </c>
      <c r="Y133" s="82">
        <v>0</v>
      </c>
      <c r="Z133" s="82">
        <v>0</v>
      </c>
      <c r="AA133" s="82">
        <v>0</v>
      </c>
      <c r="AB133" s="82">
        <v>0</v>
      </c>
      <c r="AC133" s="80">
        <v>0</v>
      </c>
      <c r="AD133" s="80">
        <v>0</v>
      </c>
      <c r="AE133" s="82">
        <v>0</v>
      </c>
      <c r="AF133" s="82">
        <v>0</v>
      </c>
      <c r="AG133" s="82">
        <v>0</v>
      </c>
      <c r="AH133" s="82">
        <v>0</v>
      </c>
      <c r="AI133" s="82">
        <v>0</v>
      </c>
      <c r="AJ133" s="82">
        <v>0</v>
      </c>
      <c r="AK133" s="82">
        <v>0</v>
      </c>
      <c r="AL133" s="82">
        <v>0</v>
      </c>
      <c r="AM133" s="82">
        <v>0</v>
      </c>
      <c r="AN133" s="82">
        <v>0</v>
      </c>
      <c r="AO133" s="82">
        <v>0</v>
      </c>
      <c r="AP133" s="80">
        <v>0</v>
      </c>
      <c r="AQ133" s="80">
        <v>0</v>
      </c>
      <c r="AR133" s="82">
        <v>0</v>
      </c>
      <c r="AS133" s="82">
        <v>0</v>
      </c>
      <c r="AT133" s="82">
        <v>180</v>
      </c>
      <c r="AU133" s="82">
        <v>0</v>
      </c>
      <c r="AV133" s="82">
        <v>0</v>
      </c>
      <c r="AW133" s="82">
        <v>0</v>
      </c>
      <c r="AX133" s="82">
        <v>0</v>
      </c>
      <c r="AY133" s="82">
        <v>0</v>
      </c>
      <c r="AZ133" s="82">
        <v>0</v>
      </c>
      <c r="BA133" s="82">
        <v>0</v>
      </c>
      <c r="BB133" s="82">
        <v>0</v>
      </c>
      <c r="BC133" s="82">
        <v>0</v>
      </c>
      <c r="BD133" s="82">
        <v>0</v>
      </c>
      <c r="BE133" s="82">
        <v>0</v>
      </c>
      <c r="BF133" s="82">
        <v>0</v>
      </c>
      <c r="BG133" s="82">
        <v>0</v>
      </c>
      <c r="BH133" s="82">
        <v>0</v>
      </c>
      <c r="BI133" s="82">
        <v>0</v>
      </c>
      <c r="BJ133" s="82">
        <v>0</v>
      </c>
      <c r="BK133" s="82">
        <v>0</v>
      </c>
      <c r="BL133" s="82">
        <v>0</v>
      </c>
      <c r="BM133" s="82">
        <v>0</v>
      </c>
      <c r="BN133" s="82">
        <v>0</v>
      </c>
      <c r="BO133" s="82">
        <v>0</v>
      </c>
      <c r="BP133" s="82">
        <v>0</v>
      </c>
      <c r="BQ133" s="82">
        <v>0</v>
      </c>
      <c r="BR133" s="82">
        <v>0</v>
      </c>
      <c r="BS133" s="82">
        <v>42186</v>
      </c>
      <c r="BT133" s="82">
        <v>0</v>
      </c>
      <c r="BU133" s="82">
        <v>42366</v>
      </c>
      <c r="BV133" s="82">
        <v>0</v>
      </c>
      <c r="BX133" s="189">
        <v>0</v>
      </c>
      <c r="BY133" s="190">
        <v>0</v>
      </c>
    </row>
    <row r="134" spans="1:77" ht="8.25" customHeight="1" x14ac:dyDescent="0.15">
      <c r="A134" s="188">
        <v>97001</v>
      </c>
      <c r="B134" s="77" t="str">
        <f>IFERROR(INDEX(SCNtoISIC!$M:$M,MATCH($A134,SCNtoISIC!$J:$J,0)),0)</f>
        <v>ISIC 97T98</v>
      </c>
      <c r="C134" s="81" t="s">
        <v>285</v>
      </c>
      <c r="D134" s="82">
        <v>0</v>
      </c>
      <c r="E134" s="82">
        <v>0</v>
      </c>
      <c r="F134" s="82">
        <v>0</v>
      </c>
      <c r="G134" s="82">
        <v>0</v>
      </c>
      <c r="H134" s="82">
        <v>0</v>
      </c>
      <c r="I134" s="82">
        <v>0</v>
      </c>
      <c r="J134" s="82">
        <v>0</v>
      </c>
      <c r="K134" s="82">
        <v>0</v>
      </c>
      <c r="L134" s="82">
        <v>0</v>
      </c>
      <c r="M134" s="82">
        <v>0</v>
      </c>
      <c r="N134" s="82">
        <v>0</v>
      </c>
      <c r="O134" s="82">
        <v>0</v>
      </c>
      <c r="P134" s="82">
        <v>0</v>
      </c>
      <c r="Q134" s="82">
        <v>0</v>
      </c>
      <c r="R134" s="82">
        <v>0</v>
      </c>
      <c r="S134" s="82">
        <v>0</v>
      </c>
      <c r="T134" s="82">
        <v>0</v>
      </c>
      <c r="U134" s="82">
        <v>0</v>
      </c>
      <c r="V134" s="82">
        <v>0</v>
      </c>
      <c r="W134" s="82">
        <v>0</v>
      </c>
      <c r="X134" s="82">
        <v>0</v>
      </c>
      <c r="Y134" s="82">
        <v>0</v>
      </c>
      <c r="Z134" s="82">
        <v>0</v>
      </c>
      <c r="AA134" s="82">
        <v>0</v>
      </c>
      <c r="AB134" s="82">
        <v>0</v>
      </c>
      <c r="AC134" s="80">
        <v>0</v>
      </c>
      <c r="AD134" s="80">
        <v>0</v>
      </c>
      <c r="AE134" s="82">
        <v>0</v>
      </c>
      <c r="AF134" s="82">
        <v>0</v>
      </c>
      <c r="AG134" s="82">
        <v>0</v>
      </c>
      <c r="AH134" s="82">
        <v>0</v>
      </c>
      <c r="AI134" s="82">
        <v>0</v>
      </c>
      <c r="AJ134" s="82">
        <v>0</v>
      </c>
      <c r="AK134" s="82">
        <v>0</v>
      </c>
      <c r="AL134" s="82">
        <v>0</v>
      </c>
      <c r="AM134" s="82">
        <v>0</v>
      </c>
      <c r="AN134" s="82">
        <v>0</v>
      </c>
      <c r="AO134" s="82">
        <v>0</v>
      </c>
      <c r="AP134" s="80">
        <v>0</v>
      </c>
      <c r="AQ134" s="80">
        <v>0</v>
      </c>
      <c r="AR134" s="82">
        <v>0</v>
      </c>
      <c r="AS134" s="82">
        <v>0</v>
      </c>
      <c r="AT134" s="82">
        <v>0</v>
      </c>
      <c r="AU134" s="82">
        <v>0</v>
      </c>
      <c r="AV134" s="82">
        <v>0</v>
      </c>
      <c r="AW134" s="82">
        <v>0</v>
      </c>
      <c r="AX134" s="82">
        <v>0</v>
      </c>
      <c r="AY134" s="82">
        <v>0</v>
      </c>
      <c r="AZ134" s="82">
        <v>0</v>
      </c>
      <c r="BA134" s="82">
        <v>0</v>
      </c>
      <c r="BB134" s="82">
        <v>0</v>
      </c>
      <c r="BC134" s="82">
        <v>0</v>
      </c>
      <c r="BD134" s="82">
        <v>0</v>
      </c>
      <c r="BE134" s="82">
        <v>0</v>
      </c>
      <c r="BF134" s="82">
        <v>0</v>
      </c>
      <c r="BG134" s="82">
        <v>0</v>
      </c>
      <c r="BH134" s="82">
        <v>0</v>
      </c>
      <c r="BI134" s="82">
        <v>0</v>
      </c>
      <c r="BJ134" s="82">
        <v>0</v>
      </c>
      <c r="BK134" s="82">
        <v>0</v>
      </c>
      <c r="BL134" s="82">
        <v>0</v>
      </c>
      <c r="BM134" s="82">
        <v>0</v>
      </c>
      <c r="BN134" s="82">
        <v>0</v>
      </c>
      <c r="BO134" s="82">
        <v>0</v>
      </c>
      <c r="BP134" s="82">
        <v>0</v>
      </c>
      <c r="BQ134" s="82">
        <v>0</v>
      </c>
      <c r="BR134" s="82">
        <v>0</v>
      </c>
      <c r="BS134" s="82">
        <v>0</v>
      </c>
      <c r="BT134" s="82">
        <v>61996</v>
      </c>
      <c r="BU134" s="82">
        <v>61996</v>
      </c>
      <c r="BV134" s="82">
        <v>0</v>
      </c>
      <c r="BX134" s="189">
        <v>0</v>
      </c>
      <c r="BY134" s="190">
        <v>0</v>
      </c>
    </row>
    <row r="135" spans="1:77" ht="8.25" customHeight="1" x14ac:dyDescent="0.15">
      <c r="A135" s="86"/>
      <c r="B135" s="77">
        <f>IFERROR(INDEX(SCNtoISIC!$M:$M,MATCH($A135,SCNtoISIC!$J:$J,0)),0)</f>
        <v>0</v>
      </c>
      <c r="C135" s="81"/>
      <c r="D135" s="82">
        <f t="shared" ref="D135:AB135" si="0">SUM(D7:D134)</f>
        <v>309301</v>
      </c>
      <c r="E135" s="82">
        <f t="shared" si="0"/>
        <v>137018</v>
      </c>
      <c r="F135" s="82">
        <f t="shared" si="0"/>
        <v>32411</v>
      </c>
      <c r="G135" s="82">
        <f t="shared" si="0"/>
        <v>19733</v>
      </c>
      <c r="H135" s="82">
        <f t="shared" si="0"/>
        <v>171984</v>
      </c>
      <c r="I135" s="82">
        <f t="shared" si="0"/>
        <v>52753</v>
      </c>
      <c r="J135" s="82">
        <f t="shared" si="0"/>
        <v>16103</v>
      </c>
      <c r="K135" s="82">
        <f t="shared" si="0"/>
        <v>255198</v>
      </c>
      <c r="L135" s="82">
        <f t="shared" si="0"/>
        <v>48066</v>
      </c>
      <c r="M135" s="82">
        <f t="shared" si="0"/>
        <v>253228</v>
      </c>
      <c r="N135" s="82">
        <f t="shared" si="0"/>
        <v>76444</v>
      </c>
      <c r="O135" s="82">
        <f t="shared" si="0"/>
        <v>15084</v>
      </c>
      <c r="P135" s="82">
        <f t="shared" si="0"/>
        <v>46430</v>
      </c>
      <c r="Q135" s="82">
        <f t="shared" si="0"/>
        <v>61302</v>
      </c>
      <c r="R135" s="82">
        <f t="shared" si="0"/>
        <v>40232</v>
      </c>
      <c r="S135" s="82">
        <f t="shared" si="0"/>
        <v>26588</v>
      </c>
      <c r="T135" s="82">
        <f t="shared" si="0"/>
        <v>80337</v>
      </c>
      <c r="U135" s="82">
        <f t="shared" si="0"/>
        <v>19473</v>
      </c>
      <c r="V135" s="82">
        <f t="shared" si="0"/>
        <v>373349</v>
      </c>
      <c r="W135" s="82">
        <f t="shared" si="0"/>
        <v>42841</v>
      </c>
      <c r="X135" s="82">
        <f t="shared" si="0"/>
        <v>145533</v>
      </c>
      <c r="Y135" s="82">
        <f t="shared" si="0"/>
        <v>74484</v>
      </c>
      <c r="Z135" s="82">
        <f t="shared" si="0"/>
        <v>40475</v>
      </c>
      <c r="AA135" s="82">
        <f t="shared" si="0"/>
        <v>57972</v>
      </c>
      <c r="AB135" s="82">
        <f t="shared" si="0"/>
        <v>101171</v>
      </c>
      <c r="AC135" s="80">
        <f t="shared" ref="AC135:BV135" si="1">SUM(AC7:AC134)</f>
        <v>53741.400000000009</v>
      </c>
      <c r="AD135" s="80">
        <f t="shared" si="1"/>
        <v>35827.599999999991</v>
      </c>
      <c r="AE135" s="82">
        <f t="shared" si="1"/>
        <v>101592</v>
      </c>
      <c r="AF135" s="82">
        <f t="shared" si="1"/>
        <v>57162</v>
      </c>
      <c r="AG135" s="82">
        <f t="shared" si="1"/>
        <v>91269</v>
      </c>
      <c r="AH135" s="82">
        <f t="shared" si="1"/>
        <v>85209</v>
      </c>
      <c r="AI135" s="82">
        <f t="shared" si="1"/>
        <v>71998</v>
      </c>
      <c r="AJ135" s="82">
        <f t="shared" si="1"/>
        <v>120638</v>
      </c>
      <c r="AK135" s="82">
        <f t="shared" si="1"/>
        <v>146446</v>
      </c>
      <c r="AL135" s="82">
        <f t="shared" si="1"/>
        <v>70497</v>
      </c>
      <c r="AM135" s="82">
        <f t="shared" si="1"/>
        <v>51015</v>
      </c>
      <c r="AN135" s="82">
        <f t="shared" si="1"/>
        <v>70398</v>
      </c>
      <c r="AO135" s="82">
        <f t="shared" si="1"/>
        <v>62460</v>
      </c>
      <c r="AP135" s="80">
        <f t="shared" si="1"/>
        <v>173835.33333333331</v>
      </c>
      <c r="AQ135" s="80">
        <f t="shared" si="1"/>
        <v>86917.666666666672</v>
      </c>
      <c r="AR135" s="82">
        <f t="shared" si="1"/>
        <v>62845</v>
      </c>
      <c r="AS135" s="82">
        <f t="shared" si="1"/>
        <v>632308</v>
      </c>
      <c r="AT135" s="82">
        <f t="shared" si="1"/>
        <v>1100763</v>
      </c>
      <c r="AU135" s="82">
        <f t="shared" si="1"/>
        <v>332855</v>
      </c>
      <c r="AV135" s="82">
        <f t="shared" si="1"/>
        <v>20080</v>
      </c>
      <c r="AW135" s="82">
        <f t="shared" si="1"/>
        <v>37338</v>
      </c>
      <c r="AX135" s="82">
        <f t="shared" si="1"/>
        <v>115144</v>
      </c>
      <c r="AY135" s="82">
        <f t="shared" si="1"/>
        <v>23990</v>
      </c>
      <c r="AZ135" s="82">
        <f t="shared" si="1"/>
        <v>223426</v>
      </c>
      <c r="BA135" s="82">
        <f t="shared" si="1"/>
        <v>20486</v>
      </c>
      <c r="BB135" s="82">
        <f t="shared" si="1"/>
        <v>43404</v>
      </c>
      <c r="BC135" s="82">
        <f t="shared" si="1"/>
        <v>161039</v>
      </c>
      <c r="BD135" s="82">
        <f t="shared" si="1"/>
        <v>125537</v>
      </c>
      <c r="BE135" s="82">
        <f t="shared" si="1"/>
        <v>574611</v>
      </c>
      <c r="BF135" s="82">
        <f t="shared" si="1"/>
        <v>545929</v>
      </c>
      <c r="BG135" s="82">
        <f t="shared" si="1"/>
        <v>187868</v>
      </c>
      <c r="BH135" s="82">
        <f t="shared" si="1"/>
        <v>70844</v>
      </c>
      <c r="BI135" s="82">
        <f t="shared" si="1"/>
        <v>94350</v>
      </c>
      <c r="BJ135" s="82">
        <f t="shared" si="1"/>
        <v>45657</v>
      </c>
      <c r="BK135" s="82">
        <f t="shared" si="1"/>
        <v>208430</v>
      </c>
      <c r="BL135" s="82">
        <f t="shared" si="1"/>
        <v>39955</v>
      </c>
      <c r="BM135" s="82">
        <f t="shared" si="1"/>
        <v>719620</v>
      </c>
      <c r="BN135" s="82">
        <f t="shared" si="1"/>
        <v>309034</v>
      </c>
      <c r="BO135" s="82">
        <f t="shared" si="1"/>
        <v>110787</v>
      </c>
      <c r="BP135" s="82">
        <f t="shared" si="1"/>
        <v>179155</v>
      </c>
      <c r="BQ135" s="82">
        <f t="shared" si="1"/>
        <v>222681</v>
      </c>
      <c r="BR135" s="82">
        <f t="shared" si="1"/>
        <v>34631</v>
      </c>
      <c r="BS135" s="82">
        <f t="shared" si="1"/>
        <v>145590</v>
      </c>
      <c r="BT135" s="82">
        <f t="shared" si="1"/>
        <v>61996</v>
      </c>
      <c r="BU135" s="82">
        <f t="shared" si="1"/>
        <v>10226869</v>
      </c>
      <c r="BV135" s="82">
        <f t="shared" si="1"/>
        <v>842614</v>
      </c>
      <c r="BX135" s="189">
        <f>SUM(BX7:BX134)</f>
        <v>89569</v>
      </c>
      <c r="BY135" s="190">
        <f>SUM(BY7:BY134)</f>
        <v>260753</v>
      </c>
    </row>
    <row r="136" spans="1:77" s="196" customFormat="1" ht="9" customHeight="1" x14ac:dyDescent="0.15">
      <c r="A136" s="90" t="s">
        <v>287</v>
      </c>
      <c r="C136" s="87"/>
      <c r="D136" s="88">
        <v>309301</v>
      </c>
      <c r="E136" s="88">
        <v>137018</v>
      </c>
      <c r="F136" s="88">
        <v>32411</v>
      </c>
      <c r="G136" s="88">
        <v>19733</v>
      </c>
      <c r="H136" s="88">
        <v>171984</v>
      </c>
      <c r="I136" s="88">
        <v>52753</v>
      </c>
      <c r="J136" s="88">
        <v>16103</v>
      </c>
      <c r="K136" s="88">
        <v>255198</v>
      </c>
      <c r="L136" s="88">
        <v>48066</v>
      </c>
      <c r="M136" s="88">
        <v>253228</v>
      </c>
      <c r="N136" s="88">
        <v>76444</v>
      </c>
      <c r="O136" s="88">
        <v>15084</v>
      </c>
      <c r="P136" s="88">
        <v>46430</v>
      </c>
      <c r="Q136" s="88">
        <v>61302</v>
      </c>
      <c r="R136" s="88">
        <v>40232</v>
      </c>
      <c r="S136" s="88">
        <v>26588</v>
      </c>
      <c r="T136" s="88">
        <v>80337</v>
      </c>
      <c r="U136" s="88">
        <v>19473</v>
      </c>
      <c r="V136" s="88">
        <v>373349</v>
      </c>
      <c r="W136" s="88">
        <v>42841</v>
      </c>
      <c r="X136" s="88">
        <v>145533</v>
      </c>
      <c r="Y136" s="88">
        <v>74484</v>
      </c>
      <c r="Z136" s="88">
        <v>40475</v>
      </c>
      <c r="AA136" s="88">
        <v>57972</v>
      </c>
      <c r="AB136" s="88">
        <v>101171</v>
      </c>
      <c r="AC136" s="80">
        <f>0.6*BX136</f>
        <v>53741.4</v>
      </c>
      <c r="AD136" s="80">
        <f>0.4*BX136</f>
        <v>35827.599999999999</v>
      </c>
      <c r="AE136" s="88">
        <v>101592</v>
      </c>
      <c r="AF136" s="88">
        <v>57162</v>
      </c>
      <c r="AG136" s="88">
        <v>91269</v>
      </c>
      <c r="AH136" s="88">
        <v>85209</v>
      </c>
      <c r="AI136" s="88">
        <v>71998</v>
      </c>
      <c r="AJ136" s="88">
        <v>120638</v>
      </c>
      <c r="AK136" s="88">
        <v>146446</v>
      </c>
      <c r="AL136" s="88">
        <v>70497</v>
      </c>
      <c r="AM136" s="88">
        <v>51015</v>
      </c>
      <c r="AN136" s="88">
        <v>70398</v>
      </c>
      <c r="AO136" s="88">
        <v>62460</v>
      </c>
      <c r="AP136" s="80">
        <f>2/3*BY136</f>
        <v>173835.33333333331</v>
      </c>
      <c r="AQ136" s="80">
        <f>BY136/3</f>
        <v>86917.666666666672</v>
      </c>
      <c r="AR136" s="88">
        <v>62845</v>
      </c>
      <c r="AS136" s="88">
        <v>632308</v>
      </c>
      <c r="AT136" s="88">
        <v>1100763</v>
      </c>
      <c r="AU136" s="88">
        <v>332855</v>
      </c>
      <c r="AV136" s="88">
        <v>20080</v>
      </c>
      <c r="AW136" s="88">
        <v>37338</v>
      </c>
      <c r="AX136" s="88">
        <v>115144</v>
      </c>
      <c r="AY136" s="88">
        <v>23990</v>
      </c>
      <c r="AZ136" s="88">
        <v>223426</v>
      </c>
      <c r="BA136" s="88">
        <v>20486</v>
      </c>
      <c r="BB136" s="88">
        <v>43404</v>
      </c>
      <c r="BC136" s="88">
        <v>161039</v>
      </c>
      <c r="BD136" s="88">
        <v>125537</v>
      </c>
      <c r="BE136" s="88">
        <v>574611</v>
      </c>
      <c r="BF136" s="88">
        <v>545929</v>
      </c>
      <c r="BG136" s="88">
        <v>187868</v>
      </c>
      <c r="BH136" s="88">
        <v>70844</v>
      </c>
      <c r="BI136" s="88">
        <v>94350</v>
      </c>
      <c r="BJ136" s="88">
        <v>45657</v>
      </c>
      <c r="BK136" s="88">
        <v>208430</v>
      </c>
      <c r="BL136" s="88">
        <v>39955</v>
      </c>
      <c r="BM136" s="88">
        <v>719620</v>
      </c>
      <c r="BN136" s="88">
        <v>309034</v>
      </c>
      <c r="BO136" s="88">
        <v>110787</v>
      </c>
      <c r="BP136" s="88">
        <v>179155</v>
      </c>
      <c r="BQ136" s="88">
        <v>222681</v>
      </c>
      <c r="BR136" s="88">
        <v>34631</v>
      </c>
      <c r="BS136" s="88">
        <v>145590</v>
      </c>
      <c r="BT136" s="88">
        <v>61996</v>
      </c>
      <c r="BU136" s="88">
        <v>10226869</v>
      </c>
      <c r="BV136" s="88">
        <v>842614</v>
      </c>
      <c r="BX136" s="197">
        <v>89569</v>
      </c>
      <c r="BY136" s="198">
        <v>260753</v>
      </c>
    </row>
    <row r="137" spans="1:77" ht="9" customHeight="1" x14ac:dyDescent="0.2">
      <c r="A137" s="91"/>
      <c r="C137" s="92"/>
      <c r="D137" s="199">
        <f>D136-D135</f>
        <v>0</v>
      </c>
      <c r="E137" s="199">
        <f t="shared" ref="E137:BR137" si="2">E136-E135</f>
        <v>0</v>
      </c>
      <c r="F137" s="199">
        <f t="shared" si="2"/>
        <v>0</v>
      </c>
      <c r="G137" s="199">
        <f t="shared" si="2"/>
        <v>0</v>
      </c>
      <c r="H137" s="199">
        <f t="shared" si="2"/>
        <v>0</v>
      </c>
      <c r="I137" s="199">
        <f t="shared" si="2"/>
        <v>0</v>
      </c>
      <c r="J137" s="199">
        <f t="shared" si="2"/>
        <v>0</v>
      </c>
      <c r="K137" s="199">
        <f t="shared" si="2"/>
        <v>0</v>
      </c>
      <c r="L137" s="199">
        <f t="shared" si="2"/>
        <v>0</v>
      </c>
      <c r="M137" s="199">
        <f t="shared" si="2"/>
        <v>0</v>
      </c>
      <c r="N137" s="199">
        <f t="shared" si="2"/>
        <v>0</v>
      </c>
      <c r="O137" s="199">
        <f t="shared" si="2"/>
        <v>0</v>
      </c>
      <c r="P137" s="199">
        <f t="shared" si="2"/>
        <v>0</v>
      </c>
      <c r="Q137" s="199">
        <f t="shared" si="2"/>
        <v>0</v>
      </c>
      <c r="R137" s="199">
        <f t="shared" si="2"/>
        <v>0</v>
      </c>
      <c r="S137" s="199">
        <f t="shared" si="2"/>
        <v>0</v>
      </c>
      <c r="T137" s="199">
        <f t="shared" si="2"/>
        <v>0</v>
      </c>
      <c r="U137" s="199">
        <f t="shared" si="2"/>
        <v>0</v>
      </c>
      <c r="V137" s="199">
        <f t="shared" si="2"/>
        <v>0</v>
      </c>
      <c r="W137" s="199">
        <f t="shared" si="2"/>
        <v>0</v>
      </c>
      <c r="X137" s="199">
        <f t="shared" si="2"/>
        <v>0</v>
      </c>
      <c r="Y137" s="199">
        <f t="shared" si="2"/>
        <v>0</v>
      </c>
      <c r="Z137" s="199">
        <f t="shared" si="2"/>
        <v>0</v>
      </c>
      <c r="AA137" s="199">
        <f t="shared" si="2"/>
        <v>0</v>
      </c>
      <c r="AB137" s="199">
        <f t="shared" si="2"/>
        <v>0</v>
      </c>
      <c r="AC137" s="200"/>
      <c r="AD137" s="200"/>
      <c r="AE137" s="199">
        <f t="shared" si="2"/>
        <v>0</v>
      </c>
      <c r="AF137" s="199">
        <f t="shared" si="2"/>
        <v>0</v>
      </c>
      <c r="AG137" s="199">
        <f t="shared" si="2"/>
        <v>0</v>
      </c>
      <c r="AH137" s="199">
        <f t="shared" si="2"/>
        <v>0</v>
      </c>
      <c r="AI137" s="199">
        <f t="shared" si="2"/>
        <v>0</v>
      </c>
      <c r="AJ137" s="199">
        <f t="shared" si="2"/>
        <v>0</v>
      </c>
      <c r="AK137" s="199">
        <f t="shared" si="2"/>
        <v>0</v>
      </c>
      <c r="AL137" s="199">
        <f t="shared" si="2"/>
        <v>0</v>
      </c>
      <c r="AM137" s="199">
        <f t="shared" si="2"/>
        <v>0</v>
      </c>
      <c r="AN137" s="199">
        <f t="shared" si="2"/>
        <v>0</v>
      </c>
      <c r="AO137" s="199">
        <f t="shared" si="2"/>
        <v>0</v>
      </c>
      <c r="AP137" s="200">
        <f t="shared" si="2"/>
        <v>0</v>
      </c>
      <c r="AQ137" s="200">
        <f t="shared" si="2"/>
        <v>0</v>
      </c>
      <c r="AR137" s="199">
        <f t="shared" si="2"/>
        <v>0</v>
      </c>
      <c r="AS137" s="199">
        <f t="shared" si="2"/>
        <v>0</v>
      </c>
      <c r="AT137" s="199">
        <f t="shared" si="2"/>
        <v>0</v>
      </c>
      <c r="AU137" s="199">
        <f t="shared" si="2"/>
        <v>0</v>
      </c>
      <c r="AV137" s="199">
        <f t="shared" si="2"/>
        <v>0</v>
      </c>
      <c r="AW137" s="199">
        <f t="shared" si="2"/>
        <v>0</v>
      </c>
      <c r="AX137" s="199">
        <f t="shared" si="2"/>
        <v>0</v>
      </c>
      <c r="AY137" s="199">
        <f t="shared" si="2"/>
        <v>0</v>
      </c>
      <c r="AZ137" s="199">
        <f t="shared" si="2"/>
        <v>0</v>
      </c>
      <c r="BA137" s="199">
        <f t="shared" si="2"/>
        <v>0</v>
      </c>
      <c r="BB137" s="199">
        <f t="shared" si="2"/>
        <v>0</v>
      </c>
      <c r="BC137" s="199">
        <f t="shared" si="2"/>
        <v>0</v>
      </c>
      <c r="BD137" s="199">
        <f t="shared" si="2"/>
        <v>0</v>
      </c>
      <c r="BE137" s="199">
        <f t="shared" si="2"/>
        <v>0</v>
      </c>
      <c r="BF137" s="199">
        <f t="shared" si="2"/>
        <v>0</v>
      </c>
      <c r="BG137" s="199">
        <f t="shared" si="2"/>
        <v>0</v>
      </c>
      <c r="BH137" s="199">
        <f t="shared" si="2"/>
        <v>0</v>
      </c>
      <c r="BI137" s="199">
        <f t="shared" si="2"/>
        <v>0</v>
      </c>
      <c r="BJ137" s="199">
        <f t="shared" si="2"/>
        <v>0</v>
      </c>
      <c r="BK137" s="199">
        <f t="shared" si="2"/>
        <v>0</v>
      </c>
      <c r="BL137" s="199">
        <f t="shared" si="2"/>
        <v>0</v>
      </c>
      <c r="BM137" s="199">
        <f t="shared" si="2"/>
        <v>0</v>
      </c>
      <c r="BN137" s="199">
        <f t="shared" si="2"/>
        <v>0</v>
      </c>
      <c r="BO137" s="199">
        <f t="shared" si="2"/>
        <v>0</v>
      </c>
      <c r="BP137" s="199">
        <f t="shared" si="2"/>
        <v>0</v>
      </c>
      <c r="BQ137" s="199">
        <f t="shared" si="2"/>
        <v>0</v>
      </c>
      <c r="BR137" s="199">
        <f t="shared" si="2"/>
        <v>0</v>
      </c>
      <c r="BS137" s="199">
        <f t="shared" ref="BS137:BV137" si="3">BS136-BS135</f>
        <v>0</v>
      </c>
      <c r="BT137" s="199">
        <f t="shared" si="3"/>
        <v>0</v>
      </c>
      <c r="BU137" s="199">
        <f t="shared" si="3"/>
        <v>0</v>
      </c>
      <c r="BV137" s="199">
        <f t="shared" si="3"/>
        <v>0</v>
      </c>
      <c r="BX137" s="201">
        <f>BX136-BX135</f>
        <v>0</v>
      </c>
      <c r="BY137" s="202">
        <f>BY136-BY135</f>
        <v>0</v>
      </c>
    </row>
    <row r="138" spans="1:77" x14ac:dyDescent="0.2">
      <c r="A138" s="81" t="s">
        <v>289</v>
      </c>
    </row>
    <row r="139" spans="1:77" x14ac:dyDescent="0.2">
      <c r="A139" s="93" t="s">
        <v>631</v>
      </c>
    </row>
    <row r="141" spans="1:77" ht="8.25" customHeight="1" x14ac:dyDescent="0.2">
      <c r="A141" s="191">
        <v>23001</v>
      </c>
      <c r="C141" s="85" t="s">
        <v>427</v>
      </c>
      <c r="D141" s="80">
        <v>0</v>
      </c>
      <c r="E141" s="80">
        <v>0</v>
      </c>
      <c r="F141" s="80">
        <v>0</v>
      </c>
      <c r="G141" s="80">
        <v>111</v>
      </c>
      <c r="H141" s="80">
        <v>0</v>
      </c>
      <c r="I141" s="80">
        <v>0</v>
      </c>
      <c r="J141" s="80">
        <v>0</v>
      </c>
      <c r="K141" s="80">
        <v>0</v>
      </c>
      <c r="L141" s="80">
        <v>0</v>
      </c>
      <c r="M141" s="80">
        <v>9</v>
      </c>
      <c r="N141" s="80">
        <v>0</v>
      </c>
      <c r="O141" s="80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  <c r="V141" s="80">
        <v>0</v>
      </c>
      <c r="W141" s="80">
        <v>0</v>
      </c>
      <c r="X141" s="80">
        <v>0</v>
      </c>
      <c r="Y141" s="80">
        <v>0</v>
      </c>
      <c r="Z141" s="80">
        <v>0</v>
      </c>
      <c r="AA141" s="80">
        <v>0</v>
      </c>
      <c r="AB141" s="80">
        <v>0</v>
      </c>
      <c r="AC141" s="80"/>
      <c r="AD141" s="80"/>
      <c r="AE141" s="80">
        <v>0</v>
      </c>
      <c r="AF141" s="80">
        <v>0</v>
      </c>
      <c r="AG141" s="80">
        <v>0</v>
      </c>
      <c r="AH141" s="80">
        <v>0</v>
      </c>
      <c r="AI141" s="80">
        <v>0</v>
      </c>
      <c r="AJ141" s="80">
        <v>0</v>
      </c>
      <c r="AK141" s="80">
        <v>0</v>
      </c>
      <c r="AL141" s="80">
        <v>0</v>
      </c>
      <c r="AM141" s="80">
        <v>0</v>
      </c>
      <c r="AN141" s="80">
        <v>0</v>
      </c>
      <c r="AO141" s="80">
        <v>0</v>
      </c>
      <c r="AP141" s="80"/>
      <c r="AQ141" s="80"/>
      <c r="AR141" s="80">
        <v>0</v>
      </c>
      <c r="AS141" s="80">
        <v>0</v>
      </c>
      <c r="AT141" s="80">
        <v>0</v>
      </c>
      <c r="AU141" s="80">
        <v>0</v>
      </c>
      <c r="AV141" s="80">
        <v>0</v>
      </c>
      <c r="AW141" s="80">
        <v>0</v>
      </c>
      <c r="AX141" s="80">
        <v>0</v>
      </c>
      <c r="AY141" s="80">
        <v>0</v>
      </c>
      <c r="AZ141" s="80">
        <v>0</v>
      </c>
      <c r="BA141" s="80">
        <v>0</v>
      </c>
      <c r="BB141" s="80">
        <v>0</v>
      </c>
      <c r="BC141" s="80">
        <v>0</v>
      </c>
      <c r="BD141" s="80">
        <v>0</v>
      </c>
      <c r="BE141" s="80">
        <v>0</v>
      </c>
      <c r="BF141" s="80">
        <v>0</v>
      </c>
      <c r="BG141" s="80">
        <v>0</v>
      </c>
      <c r="BH141" s="80">
        <v>0</v>
      </c>
      <c r="BI141" s="80">
        <v>0</v>
      </c>
      <c r="BJ141" s="80">
        <v>0</v>
      </c>
      <c r="BK141" s="80">
        <v>0</v>
      </c>
      <c r="BL141" s="80">
        <v>0</v>
      </c>
      <c r="BM141" s="80">
        <v>0</v>
      </c>
      <c r="BN141" s="80">
        <v>0</v>
      </c>
      <c r="BO141" s="80">
        <v>0</v>
      </c>
      <c r="BP141" s="80">
        <v>0</v>
      </c>
      <c r="BQ141" s="80">
        <v>0</v>
      </c>
      <c r="BR141" s="80">
        <v>0</v>
      </c>
      <c r="BS141" s="80">
        <v>0</v>
      </c>
      <c r="BT141" s="80">
        <v>0</v>
      </c>
      <c r="BU141" s="80">
        <v>16383</v>
      </c>
      <c r="BV141" s="80">
        <v>410</v>
      </c>
      <c r="BX141" s="80">
        <v>16263</v>
      </c>
      <c r="BY141" s="80">
        <v>0</v>
      </c>
    </row>
    <row r="142" spans="1:77" ht="8.25" customHeight="1" x14ac:dyDescent="0.2">
      <c r="A142" s="191">
        <v>23002</v>
      </c>
      <c r="C142" s="85" t="s">
        <v>430</v>
      </c>
      <c r="D142" s="80">
        <v>0</v>
      </c>
      <c r="E142" s="80">
        <v>0</v>
      </c>
      <c r="F142" s="80">
        <v>0</v>
      </c>
      <c r="G142" s="80">
        <v>38</v>
      </c>
      <c r="H142" s="80">
        <v>0</v>
      </c>
      <c r="I142" s="80">
        <v>0</v>
      </c>
      <c r="J142" s="80">
        <v>0</v>
      </c>
      <c r="K142" s="80">
        <v>0</v>
      </c>
      <c r="L142" s="80">
        <v>0</v>
      </c>
      <c r="M142" s="80">
        <v>0</v>
      </c>
      <c r="N142" s="80">
        <v>0</v>
      </c>
      <c r="O142" s="80">
        <v>0</v>
      </c>
      <c r="P142" s="80">
        <v>0</v>
      </c>
      <c r="Q142" s="80">
        <v>0</v>
      </c>
      <c r="R142" s="80">
        <v>0</v>
      </c>
      <c r="S142" s="80">
        <v>12</v>
      </c>
      <c r="T142" s="80">
        <v>0</v>
      </c>
      <c r="U142" s="80">
        <v>0</v>
      </c>
      <c r="V142" s="80">
        <v>0</v>
      </c>
      <c r="W142" s="80">
        <v>0</v>
      </c>
      <c r="X142" s="80">
        <v>0</v>
      </c>
      <c r="Y142" s="80">
        <v>13</v>
      </c>
      <c r="Z142" s="80">
        <v>0</v>
      </c>
      <c r="AA142" s="80">
        <v>0</v>
      </c>
      <c r="AB142" s="80">
        <v>27</v>
      </c>
      <c r="AC142" s="80"/>
      <c r="AD142" s="80"/>
      <c r="AE142" s="80">
        <v>13</v>
      </c>
      <c r="AF142" s="80">
        <v>0</v>
      </c>
      <c r="AG142" s="80">
        <v>68</v>
      </c>
      <c r="AH142" s="80">
        <v>0</v>
      </c>
      <c r="AI142" s="80">
        <v>0</v>
      </c>
      <c r="AJ142" s="80">
        <v>0</v>
      </c>
      <c r="AK142" s="80">
        <v>0</v>
      </c>
      <c r="AL142" s="80">
        <v>0</v>
      </c>
      <c r="AM142" s="80">
        <v>15</v>
      </c>
      <c r="AN142" s="80">
        <v>80</v>
      </c>
      <c r="AO142" s="80">
        <v>0</v>
      </c>
      <c r="AP142" s="80"/>
      <c r="AQ142" s="80"/>
      <c r="AR142" s="80">
        <v>0</v>
      </c>
      <c r="AS142" s="80">
        <v>0</v>
      </c>
      <c r="AT142" s="80">
        <v>386</v>
      </c>
      <c r="AU142" s="80">
        <v>0</v>
      </c>
      <c r="AV142" s="80">
        <v>0</v>
      </c>
      <c r="AW142" s="80">
        <v>0</v>
      </c>
      <c r="AX142" s="80">
        <v>0</v>
      </c>
      <c r="AY142" s="80">
        <v>0</v>
      </c>
      <c r="AZ142" s="80">
        <v>0</v>
      </c>
      <c r="BA142" s="80">
        <v>0</v>
      </c>
      <c r="BB142" s="80">
        <v>0</v>
      </c>
      <c r="BC142" s="80">
        <v>0</v>
      </c>
      <c r="BD142" s="80">
        <v>0</v>
      </c>
      <c r="BE142" s="80">
        <v>0</v>
      </c>
      <c r="BF142" s="80">
        <v>0</v>
      </c>
      <c r="BG142" s="80">
        <v>0</v>
      </c>
      <c r="BH142" s="80">
        <v>0</v>
      </c>
      <c r="BI142" s="80">
        <v>0</v>
      </c>
      <c r="BJ142" s="80">
        <v>0</v>
      </c>
      <c r="BK142" s="80">
        <v>0</v>
      </c>
      <c r="BL142" s="80">
        <v>0</v>
      </c>
      <c r="BM142" s="80">
        <v>0</v>
      </c>
      <c r="BN142" s="80">
        <v>0</v>
      </c>
      <c r="BO142" s="80">
        <v>0</v>
      </c>
      <c r="BP142" s="80">
        <v>0</v>
      </c>
      <c r="BQ142" s="80">
        <v>0</v>
      </c>
      <c r="BR142" s="80">
        <v>0</v>
      </c>
      <c r="BS142" s="80">
        <v>0</v>
      </c>
      <c r="BT142" s="80">
        <v>0</v>
      </c>
      <c r="BU142" s="80">
        <v>24171</v>
      </c>
      <c r="BV142" s="80">
        <v>264</v>
      </c>
      <c r="BX142" s="80">
        <v>23519</v>
      </c>
      <c r="BY142" s="80">
        <v>0</v>
      </c>
    </row>
    <row r="143" spans="1:77" ht="8.25" customHeight="1" x14ac:dyDescent="0.2">
      <c r="A143" s="191">
        <v>35001</v>
      </c>
      <c r="C143" s="85" t="s">
        <v>465</v>
      </c>
      <c r="D143" s="80">
        <v>0</v>
      </c>
      <c r="E143" s="80">
        <v>0</v>
      </c>
      <c r="F143" s="80">
        <v>0</v>
      </c>
      <c r="G143" s="80">
        <v>0</v>
      </c>
      <c r="H143" s="80">
        <v>0</v>
      </c>
      <c r="I143" s="80">
        <v>0</v>
      </c>
      <c r="J143" s="80">
        <v>0</v>
      </c>
      <c r="K143" s="80">
        <v>0</v>
      </c>
      <c r="L143" s="80">
        <v>0</v>
      </c>
      <c r="M143" s="80">
        <v>0</v>
      </c>
      <c r="N143" s="80">
        <v>0</v>
      </c>
      <c r="O143" s="80">
        <v>0</v>
      </c>
      <c r="P143" s="80">
        <v>0</v>
      </c>
      <c r="Q143" s="80">
        <v>0</v>
      </c>
      <c r="R143" s="80">
        <v>0</v>
      </c>
      <c r="S143" s="80">
        <v>0</v>
      </c>
      <c r="T143" s="80">
        <v>0</v>
      </c>
      <c r="U143" s="80">
        <v>0</v>
      </c>
      <c r="V143" s="80">
        <v>0</v>
      </c>
      <c r="W143" s="80">
        <v>0</v>
      </c>
      <c r="X143" s="80">
        <v>0</v>
      </c>
      <c r="Y143" s="80">
        <v>0</v>
      </c>
      <c r="Z143" s="80">
        <v>0</v>
      </c>
      <c r="AA143" s="80">
        <v>0</v>
      </c>
      <c r="AB143" s="80">
        <v>0</v>
      </c>
      <c r="AC143" s="80"/>
      <c r="AD143" s="80"/>
      <c r="AE143" s="80">
        <v>0</v>
      </c>
      <c r="AF143" s="80">
        <v>0</v>
      </c>
      <c r="AG143" s="80">
        <v>0</v>
      </c>
      <c r="AH143" s="80">
        <v>0</v>
      </c>
      <c r="AI143" s="80">
        <v>0</v>
      </c>
      <c r="AJ143" s="80">
        <v>0</v>
      </c>
      <c r="AK143" s="80">
        <v>0</v>
      </c>
      <c r="AL143" s="80">
        <v>0</v>
      </c>
      <c r="AM143" s="80">
        <v>0</v>
      </c>
      <c r="AN143" s="80">
        <v>0</v>
      </c>
      <c r="AO143" s="80">
        <v>0</v>
      </c>
      <c r="AP143" s="80"/>
      <c r="AQ143" s="80"/>
      <c r="AR143" s="80">
        <v>0</v>
      </c>
      <c r="AS143" s="80">
        <v>0</v>
      </c>
      <c r="AT143" s="80">
        <v>0</v>
      </c>
      <c r="AU143" s="80">
        <v>0</v>
      </c>
      <c r="AV143" s="80">
        <v>0</v>
      </c>
      <c r="AW143" s="80">
        <v>0</v>
      </c>
      <c r="AX143" s="80">
        <v>0</v>
      </c>
      <c r="AY143" s="80">
        <v>0</v>
      </c>
      <c r="AZ143" s="80">
        <v>0</v>
      </c>
      <c r="BA143" s="80">
        <v>0</v>
      </c>
      <c r="BB143" s="80">
        <v>0</v>
      </c>
      <c r="BC143" s="80">
        <v>0</v>
      </c>
      <c r="BD143" s="80">
        <v>0</v>
      </c>
      <c r="BE143" s="80">
        <v>0</v>
      </c>
      <c r="BF143" s="80">
        <v>0</v>
      </c>
      <c r="BG143" s="80">
        <v>0</v>
      </c>
      <c r="BH143" s="80">
        <v>0</v>
      </c>
      <c r="BI143" s="80">
        <v>0</v>
      </c>
      <c r="BJ143" s="80">
        <v>0</v>
      </c>
      <c r="BK143" s="80">
        <v>0</v>
      </c>
      <c r="BL143" s="80">
        <v>0</v>
      </c>
      <c r="BM143" s="80">
        <v>481</v>
      </c>
      <c r="BN143" s="80">
        <v>0</v>
      </c>
      <c r="BO143" s="80">
        <v>0</v>
      </c>
      <c r="BP143" s="80">
        <v>0</v>
      </c>
      <c r="BQ143" s="80">
        <v>0</v>
      </c>
      <c r="BR143" s="80">
        <v>0</v>
      </c>
      <c r="BS143" s="80">
        <v>0</v>
      </c>
      <c r="BT143" s="80">
        <v>0</v>
      </c>
      <c r="BU143" s="80">
        <v>257384</v>
      </c>
      <c r="BV143" s="80">
        <v>4599</v>
      </c>
      <c r="BX143" s="80">
        <v>0</v>
      </c>
      <c r="BY143" s="80">
        <v>256903</v>
      </c>
    </row>
  </sheetData>
  <mergeCells count="2">
    <mergeCell ref="A3:A4"/>
    <mergeCell ref="B3:B4"/>
  </mergeCells>
  <printOptions horizontalCentered="1"/>
  <pageMargins left="0" right="0" top="0" bottom="0" header="0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/>
  </sheetViews>
  <sheetFormatPr baseColWidth="10" defaultColWidth="8.83203125" defaultRowHeight="15" x14ac:dyDescent="0.2"/>
  <cols>
    <col min="1" max="1" width="25.5" customWidth="1"/>
    <col min="2" max="2" width="13.83203125" customWidth="1"/>
    <col min="3" max="3" width="15" customWidth="1"/>
    <col min="4" max="4" width="16.33203125" customWidth="1"/>
    <col min="5" max="5" width="16.1640625" customWidth="1"/>
    <col min="6" max="6" width="19.6640625" customWidth="1"/>
    <col min="7" max="7" width="15.5" customWidth="1"/>
    <col min="8" max="8" width="18.1640625" customWidth="1"/>
    <col min="9" max="10" width="15.5" customWidth="1"/>
    <col min="11" max="11" width="15.6640625" customWidth="1"/>
    <col min="12" max="12" width="14.33203125" customWidth="1"/>
    <col min="13" max="13" width="15.5" customWidth="1"/>
  </cols>
  <sheetData>
    <row r="1" spans="1:13" s="21" customFormat="1" ht="48" x14ac:dyDescent="0.2">
      <c r="A1" s="30" t="s">
        <v>198</v>
      </c>
      <c r="B1" s="30" t="s">
        <v>7</v>
      </c>
      <c r="C1" s="31" t="s">
        <v>168</v>
      </c>
      <c r="D1" s="32" t="s">
        <v>167</v>
      </c>
      <c r="E1" s="31" t="s">
        <v>173</v>
      </c>
      <c r="F1" s="32" t="s">
        <v>174</v>
      </c>
      <c r="G1" s="31" t="s">
        <v>199</v>
      </c>
      <c r="H1" s="32" t="s">
        <v>200</v>
      </c>
      <c r="I1" s="31" t="s">
        <v>201</v>
      </c>
      <c r="J1" s="32" t="s">
        <v>202</v>
      </c>
      <c r="K1" s="31" t="s">
        <v>203</v>
      </c>
      <c r="L1" s="41" t="s">
        <v>204</v>
      </c>
      <c r="M1" s="32" t="s">
        <v>205</v>
      </c>
    </row>
    <row r="2" spans="1:13" s="4" customFormat="1" x14ac:dyDescent="0.2">
      <c r="C2" s="33" t="s">
        <v>185</v>
      </c>
      <c r="D2" s="34" t="s">
        <v>184</v>
      </c>
      <c r="E2" s="33" t="s">
        <v>170</v>
      </c>
      <c r="F2" s="34" t="s">
        <v>171</v>
      </c>
      <c r="G2" s="33" t="s">
        <v>191</v>
      </c>
      <c r="H2" s="34" t="s">
        <v>190</v>
      </c>
      <c r="I2" s="33" t="s">
        <v>192</v>
      </c>
      <c r="J2" s="34" t="s">
        <v>193</v>
      </c>
      <c r="K2" s="33" t="s">
        <v>187</v>
      </c>
      <c r="L2" s="42" t="s">
        <v>188</v>
      </c>
      <c r="M2" s="34" t="s">
        <v>189</v>
      </c>
    </row>
    <row r="3" spans="1:13" x14ac:dyDescent="0.2">
      <c r="A3" t="s">
        <v>135</v>
      </c>
      <c r="B3" t="s">
        <v>176</v>
      </c>
      <c r="C3" s="35">
        <f>'OECD TTL'!$D$49*SUMIFS(SCNUse128!$D$140:$BT$140,SCNUse128!$D$6:$BT$6,C$2)</f>
        <v>718665402.5</v>
      </c>
      <c r="D3" s="36">
        <f>'OECD TTL'!$D$49*SUMIFS(SCNUse128!$D$140:$BT$140,SCNUse128!$D$6:$BT$6,D$2)</f>
        <v>5797694472</v>
      </c>
      <c r="E3" s="35">
        <f>'OECD TTL'!$D$49*SUMIFS(SCNUse128!$D$140:$BT$140,SCNUse128!$D$6:$BT$6,E$2)</f>
        <v>11409854722.5</v>
      </c>
      <c r="F3" s="36">
        <f>'OECD TTL'!$D$49*SUMIFS(SCNUse128!$D$140:$BT$140,SCNUse128!$D$6:$BT$6,F$2)</f>
        <v>2216412663</v>
      </c>
      <c r="G3" s="35">
        <f>'OECD TTL'!$D$49*SUMIFS(SCNUse128!$D$140:$BT$140,SCNUse128!$D$6:$BT$6,G$2)</f>
        <v>1177268672.2</v>
      </c>
      <c r="H3" s="36">
        <f>'OECD TTL'!$D$49*SUMIFS(SCNUse128!$D$140:$BT$140,SCNUse128!$D$6:$BT$6,H$2)</f>
        <v>2758941959.3000002</v>
      </c>
      <c r="I3" s="35">
        <f>'OECD TTL'!$D$49*SUMIFS(SCNUse128!$D$140:$BT$140,SCNUse128!$D$6:$BT$6,I$2)</f>
        <v>4412638898</v>
      </c>
      <c r="J3" s="36">
        <f>'OECD TTL'!$D$49*SUMIFS(SCNUse128!$D$140:$BT$140,SCNUse128!$D$6:$BT$6,J$2)</f>
        <v>3246587024</v>
      </c>
      <c r="K3" s="35">
        <f>'OECD TTL'!$D$49*SUMIFS(SCNUse128!$D$140:$BT$140,SCNUse128!$D$6:$BT$6,K$2)</f>
        <v>6395431744.5</v>
      </c>
      <c r="L3" s="43">
        <f>'OECD TTL'!$D$49*SUMIFS(SCNUse128!$D$140:$BT$140,SCNUse128!$D$6:$BT$6,L$2)</f>
        <v>2781965913.5</v>
      </c>
      <c r="M3" s="36">
        <f>'OECD TTL'!$D$49*SUMIFS(SCNUse128!$D$140:$BT$140,SCNUse128!$D$6:$BT$6,M$2)</f>
        <v>7415608110.5</v>
      </c>
    </row>
    <row r="4" spans="1:13" x14ac:dyDescent="0.2">
      <c r="A4" t="s">
        <v>134</v>
      </c>
      <c r="B4" t="s">
        <v>176</v>
      </c>
      <c r="C4" s="37" cm="1">
        <f t="array" ref="C4">SUMPRODUCT(SCNSup128!$BV$7:$BV$134*(SCNUse128!$B$7:$B$134=C$2))</f>
        <v>9197</v>
      </c>
      <c r="D4" s="38" cm="1">
        <f t="array" ref="D4">SUMPRODUCT(SCNSup128!$BV$7:$BV$134*(SCNUse128!$B$7:$B$134=D$2))</f>
        <v>40773</v>
      </c>
      <c r="E4" s="37" cm="1">
        <f t="array" ref="E4">SUMPRODUCT(SCNSup128!$BV$7:$BV$134*(SCNUse128!$B$7:$B$134=E$2))</f>
        <v>112839</v>
      </c>
      <c r="F4" s="38" cm="1">
        <f t="array" ref="F4">SUMPRODUCT(SCNSup128!$BV$7:$BV$134*(SCNUse128!$B$7:$B$134=F$2))</f>
        <v>27872</v>
      </c>
      <c r="G4" s="37" cm="1">
        <f t="array" ref="G4">SUMPRODUCT(SCNSup128!$BV$7:$BV$134*(SCNUse128!$B$7:$B$134=G$2))</f>
        <v>5653</v>
      </c>
      <c r="H4" s="38" cm="1">
        <f t="array" ref="H4">SUMPRODUCT(SCNSup128!$BV$7:$BV$134*(SCNUse128!$B$7:$B$134=H$2))</f>
        <v>674</v>
      </c>
      <c r="I4" s="37" cm="1">
        <f t="array" ref="I4">SUMPRODUCT(SCNSup128!$BV$7:$BV$134*(SCNUse128!$B$7:$B$134=I$2))</f>
        <v>11989</v>
      </c>
      <c r="J4" s="38" cm="1">
        <f t="array" ref="J4">SUMPRODUCT(SCNSup128!$BV$7:$BV$134*(SCNUse128!$B$7:$B$134=J$2))</f>
        <v>13050</v>
      </c>
      <c r="K4" s="37" cm="1">
        <f t="array" ref="K4">SUMPRODUCT(SCNSup128!$BV$7:$BV$134*(SCNUse128!$B$7:$B$134=K$2))</f>
        <v>3066</v>
      </c>
      <c r="L4" cm="1">
        <f t="array" ref="L4">SUMPRODUCT(SCNSup128!$BV$7:$BV$134*(SCNUse128!$B$7:$B$134=L$2))</f>
        <v>1533</v>
      </c>
      <c r="M4" s="38" cm="1">
        <f t="array" ref="M4">SUMPRODUCT(SCNSup128!$BV$7:$BV$134*(SCNUse128!$B$7:$B$134=M$2))</f>
        <v>0</v>
      </c>
    </row>
    <row r="5" spans="1:13" x14ac:dyDescent="0.2">
      <c r="A5" t="s">
        <v>139</v>
      </c>
      <c r="B5" t="s">
        <v>176</v>
      </c>
      <c r="C5" s="37" cm="1">
        <f t="array" ref="C5">SUMPRODUCT(SCNUse128!$BV$7:$BV$134*(SCNUse128!$B$7:$B$134=C$2))</f>
        <v>1911</v>
      </c>
      <c r="D5" s="38" cm="1">
        <f t="array" ref="D5">SUMPRODUCT(SCNUse128!$BV$7:$BV$134*(SCNUse128!$B$7:$B$134=D$2))</f>
        <v>38789</v>
      </c>
      <c r="E5" s="37" cm="1">
        <f t="array" ref="E5">SUMPRODUCT(SCNUse128!$BV$7:$BV$134*(SCNUse128!$B$7:$B$134=E$2))</f>
        <v>30498</v>
      </c>
      <c r="F5" s="38" cm="1">
        <f t="array" ref="F5">SUMPRODUCT(SCNUse128!$BV$7:$BV$134*(SCNUse128!$B$7:$B$134=F$2))</f>
        <v>4462</v>
      </c>
      <c r="G5" s="37" cm="1">
        <f t="array" ref="G5">SUMPRODUCT(SCNUse128!$BV$7:$BV$134*(SCNUse128!$B$7:$B$134=G$2))</f>
        <v>7455</v>
      </c>
      <c r="H5" s="38" cm="1">
        <f t="array" ref="H5">SUMPRODUCT(SCNUse128!$BV$7:$BV$134*(SCNUse128!$B$7:$B$134=H$2))</f>
        <v>120</v>
      </c>
      <c r="I5" s="37" cm="1">
        <f t="array" ref="I5">SUMPRODUCT(SCNUse128!$BV$7:$BV$134*(SCNUse128!$B$7:$B$134=I$2))</f>
        <v>36925</v>
      </c>
      <c r="J5" s="38" cm="1">
        <f t="array" ref="J5">SUMPRODUCT(SCNUse128!$BV$7:$BV$134*(SCNUse128!$B$7:$B$134=J$2))</f>
        <v>25279</v>
      </c>
      <c r="K5" s="37" cm="1">
        <f t="array" ref="K5">SUMPRODUCT(SCNUse128!$BV$7:$BV$134*(SCNUse128!$B$7:$B$134=K$2))</f>
        <v>0</v>
      </c>
      <c r="L5" cm="1">
        <f t="array" ref="L5">SUMPRODUCT(SCNUse128!$BV$7:$BV$134*(SCNUse128!$B$7:$B$134=L$2))</f>
        <v>0</v>
      </c>
      <c r="M5" s="38" cm="1">
        <f t="array" ref="M5">SUMPRODUCT(SCNUse128!$BV$7:$BV$134*(SCNUse128!$B$7:$B$134=M$2))</f>
        <v>4</v>
      </c>
    </row>
    <row r="6" spans="1:13" x14ac:dyDescent="0.2">
      <c r="C6" s="37"/>
      <c r="D6" s="38"/>
      <c r="E6" s="37"/>
      <c r="F6" s="38"/>
      <c r="G6" s="37"/>
      <c r="H6" s="38"/>
      <c r="I6" s="37"/>
      <c r="J6" s="38"/>
      <c r="K6" s="37"/>
      <c r="M6" s="38"/>
    </row>
    <row r="7" spans="1:13" x14ac:dyDescent="0.2">
      <c r="A7" t="s">
        <v>135</v>
      </c>
      <c r="B7" t="s">
        <v>175</v>
      </c>
      <c r="C7" s="37">
        <f>C3/SUM($C3:$D3)</f>
        <v>0.11028632800227951</v>
      </c>
      <c r="D7" s="38">
        <f>D3/SUM($C3:$D3)</f>
        <v>0.88971367199772045</v>
      </c>
      <c r="E7" s="37">
        <f t="shared" ref="E7:F9" si="0">E3/SUM($E3:$F3)</f>
        <v>0.83734264121673319</v>
      </c>
      <c r="F7" s="38">
        <f t="shared" si="0"/>
        <v>0.16265735878326679</v>
      </c>
      <c r="G7" s="37">
        <f>G3/SUM($G3:$H3)</f>
        <v>0.29908680769742491</v>
      </c>
      <c r="H7" s="38">
        <f>H3/SUM($G3:$H3)</f>
        <v>0.70091319230257509</v>
      </c>
      <c r="I7" s="37">
        <f>I3/SUM($I3:$J3)</f>
        <v>0.57612073895422566</v>
      </c>
      <c r="J7" s="38">
        <f>J3/SUM($I3:$J3)</f>
        <v>0.42387926104577439</v>
      </c>
      <c r="K7" s="37">
        <f t="shared" ref="K7:M8" si="1">K3/SUM($K3:$M3)</f>
        <v>0.38542936908037634</v>
      </c>
      <c r="L7">
        <f t="shared" si="1"/>
        <v>0.1676589493376334</v>
      </c>
      <c r="M7" s="38">
        <f t="shared" si="1"/>
        <v>0.44691168158199029</v>
      </c>
    </row>
    <row r="8" spans="1:13" x14ac:dyDescent="0.2">
      <c r="A8" t="s">
        <v>134</v>
      </c>
      <c r="B8" t="s">
        <v>175</v>
      </c>
      <c r="C8" s="37">
        <f>C4/SUM($C4:$D4)</f>
        <v>0.1840504302581549</v>
      </c>
      <c r="D8" s="38">
        <f>D4/SUM($C4:$D4)</f>
        <v>0.81594956974184507</v>
      </c>
      <c r="E8" s="37">
        <f t="shared" si="0"/>
        <v>0.80192024788396077</v>
      </c>
      <c r="F8" s="38">
        <f t="shared" si="0"/>
        <v>0.19807975211603926</v>
      </c>
      <c r="G8" s="37">
        <f>G4/SUM($G4:$H4)</f>
        <v>0.89347241978820924</v>
      </c>
      <c r="H8" s="38">
        <f>H4/SUM($G4:$H4)</f>
        <v>0.10652758021179073</v>
      </c>
      <c r="I8" s="37">
        <f>I4/SUM($I4:$J4)</f>
        <v>0.47881305163944249</v>
      </c>
      <c r="J8" s="38">
        <f>J4/SUM($I4:$J4)</f>
        <v>0.52118694836055757</v>
      </c>
      <c r="K8" s="37">
        <f t="shared" si="1"/>
        <v>0.66666666666666663</v>
      </c>
      <c r="L8">
        <f t="shared" si="1"/>
        <v>0.33333333333333331</v>
      </c>
      <c r="M8" s="38">
        <f t="shared" si="1"/>
        <v>0</v>
      </c>
    </row>
    <row r="9" spans="1:13" ht="16" thickBot="1" x14ac:dyDescent="0.25">
      <c r="A9" t="s">
        <v>139</v>
      </c>
      <c r="B9" t="s">
        <v>175</v>
      </c>
      <c r="C9" s="39">
        <f t="shared" ref="C9:D9" si="2">C5/SUM($C5:$D5)</f>
        <v>4.6953316953316955E-2</v>
      </c>
      <c r="D9" s="40">
        <f t="shared" si="2"/>
        <v>0.95304668304668305</v>
      </c>
      <c r="E9" s="39">
        <f t="shared" si="0"/>
        <v>0.87236842105263157</v>
      </c>
      <c r="F9" s="40">
        <f t="shared" si="0"/>
        <v>0.12763157894736843</v>
      </c>
      <c r="G9" s="39">
        <f t="shared" ref="G9:H9" si="3">G5/SUM($G5:$H5)</f>
        <v>0.98415841584158414</v>
      </c>
      <c r="H9" s="40">
        <f t="shared" si="3"/>
        <v>1.5841584158415842E-2</v>
      </c>
      <c r="I9" s="39">
        <f t="shared" ref="I9:J9" si="4">I5/SUM($I5:$J5)</f>
        <v>0.59361134332197285</v>
      </c>
      <c r="J9" s="40">
        <f t="shared" si="4"/>
        <v>0.40638865667802715</v>
      </c>
      <c r="K9" s="39">
        <f t="shared" ref="K9:M9" si="5">K5/SUM($K5:$M5)</f>
        <v>0</v>
      </c>
      <c r="L9" s="44">
        <f t="shared" si="5"/>
        <v>0</v>
      </c>
      <c r="M9" s="40">
        <f t="shared" si="5"/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3"/>
  <sheetViews>
    <sheetView topLeftCell="AD1" workbookViewId="0">
      <selection activeCell="AM14" sqref="AM14"/>
    </sheetView>
  </sheetViews>
  <sheetFormatPr baseColWidth="10" defaultColWidth="8.83203125" defaultRowHeight="15" x14ac:dyDescent="0.2"/>
  <cols>
    <col min="1" max="1" width="50.5" customWidth="1"/>
    <col min="2" max="26" width="11" customWidth="1"/>
    <col min="27" max="27" width="14.1640625" customWidth="1"/>
    <col min="28" max="39" width="11" customWidth="1"/>
  </cols>
  <sheetData>
    <row r="1" spans="1:43" x14ac:dyDescent="0.2">
      <c r="B1" s="4" t="s">
        <v>9</v>
      </c>
      <c r="C1" s="45" t="s">
        <v>185</v>
      </c>
      <c r="D1" s="46" t="s">
        <v>184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5" t="s">
        <v>170</v>
      </c>
      <c r="M1" s="46" t="s">
        <v>171</v>
      </c>
      <c r="N1" s="4" t="s">
        <v>17</v>
      </c>
      <c r="O1" s="45" t="s">
        <v>191</v>
      </c>
      <c r="P1" s="46" t="s">
        <v>190</v>
      </c>
      <c r="Q1" s="45" t="s">
        <v>192</v>
      </c>
      <c r="R1" s="46" t="s">
        <v>193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5" t="s">
        <v>187</v>
      </c>
      <c r="AA1" s="54" t="s">
        <v>188</v>
      </c>
      <c r="AB1" s="46" t="s">
        <v>189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</row>
    <row r="2" spans="1:43" x14ac:dyDescent="0.2">
      <c r="A2" t="s">
        <v>135</v>
      </c>
      <c r="B2" s="19">
        <f>'OECD TTL'!C49</f>
        <v>145972.1</v>
      </c>
      <c r="C2" s="47">
        <f>'OECD TTL'!$D$49*'Split ISIC Code Shares'!C$7</f>
        <v>5250.6769330245261</v>
      </c>
      <c r="D2" s="48">
        <f>'OECD TTL'!$D$49*'Split ISIC Code Shares'!D$7</f>
        <v>42358.82306697547</v>
      </c>
      <c r="E2" s="19">
        <f>'OECD TTL'!E49</f>
        <v>26401.3</v>
      </c>
      <c r="F2" s="19">
        <f>'OECD TTL'!F49</f>
        <v>4831.8</v>
      </c>
      <c r="G2" s="19">
        <f>'OECD TTL'!G49</f>
        <v>196073.8</v>
      </c>
      <c r="H2" s="19">
        <f>'OECD TTL'!H49</f>
        <v>44770</v>
      </c>
      <c r="I2" s="19">
        <f>'OECD TTL'!I49</f>
        <v>8044.8</v>
      </c>
      <c r="J2" s="19">
        <f>'OECD TTL'!J49</f>
        <v>30199.9</v>
      </c>
      <c r="K2" s="19">
        <f>'OECD TTL'!K49</f>
        <v>112965.6</v>
      </c>
      <c r="L2" s="47">
        <f>'OECD TTL'!$L$49*'Split ISIC Code Shares'!E$7</f>
        <v>91539.469817510966</v>
      </c>
      <c r="M2" s="48">
        <f>'OECD TTL'!$L$49*'Split ISIC Code Shares'!F$7</f>
        <v>17781.930182489021</v>
      </c>
      <c r="N2" s="19">
        <f>'OECD TTL'!M49</f>
        <v>30611.7</v>
      </c>
      <c r="O2" s="47">
        <f>'OECD TTL'!$N$49*'Split ISIC Code Shares'!G$7</f>
        <v>8105.6113927694523</v>
      </c>
      <c r="P2" s="48">
        <f>'OECD TTL'!$N$49*'Split ISIC Code Shares'!H$7</f>
        <v>18995.588607230547</v>
      </c>
      <c r="Q2" s="47">
        <f>'OECD TTL'!$O$49*'Split ISIC Code Shares'!I$7</f>
        <v>27673.844471518441</v>
      </c>
      <c r="R2" s="48">
        <f>'OECD TTL'!$O$49*'Split ISIC Code Shares'!J$7</f>
        <v>20360.955528481565</v>
      </c>
      <c r="S2" s="19">
        <f>'OECD TTL'!P49</f>
        <v>27615.599999999999</v>
      </c>
      <c r="T2" s="19">
        <f>'OECD TTL'!Q49</f>
        <v>25782</v>
      </c>
      <c r="U2" s="19">
        <f>'OECD TTL'!R49</f>
        <v>21784.7</v>
      </c>
      <c r="V2" s="19">
        <f>'OECD TTL'!S49</f>
        <v>36501.9</v>
      </c>
      <c r="W2" s="19">
        <f>'OECD TTL'!T49</f>
        <v>65641.3</v>
      </c>
      <c r="X2" s="19">
        <f>'OECD TTL'!U49</f>
        <v>15435.8</v>
      </c>
      <c r="Y2" s="19">
        <f>'OECD TTL'!V49</f>
        <v>40199.300000000003</v>
      </c>
      <c r="Z2" s="47">
        <f>'OECD TTL'!$W$49*'Split ISIC Code Shares'!K$7</f>
        <v>37738.276014208532</v>
      </c>
      <c r="AA2" s="55">
        <f>'OECD TTL'!$W$49*'Split ISIC Code Shares'!L$7</f>
        <v>16415.873345231164</v>
      </c>
      <c r="AB2" s="48">
        <f>'OECD TTL'!$W$49*'Split ISIC Code Shares'!M$7</f>
        <v>43758.150640560307</v>
      </c>
      <c r="AC2" s="19">
        <f>'OECD TTL'!X49</f>
        <v>191319.8</v>
      </c>
      <c r="AD2" s="19">
        <f>'OECD TTL'!Y49</f>
        <v>333062</v>
      </c>
      <c r="AE2" s="19">
        <f>'OECD TTL'!Z49</f>
        <v>152925.9</v>
      </c>
      <c r="AF2" s="19">
        <f>'OECD TTL'!AA49</f>
        <v>74861.600000000006</v>
      </c>
      <c r="AG2" s="19">
        <f>'OECD TTL'!AB49</f>
        <v>19331.400000000001</v>
      </c>
      <c r="AH2" s="19">
        <f>'OECD TTL'!AC49</f>
        <v>48726.2</v>
      </c>
      <c r="AI2" s="19">
        <f>'OECD TTL'!AD49</f>
        <v>37984.199999999997</v>
      </c>
      <c r="AJ2" s="19">
        <f>'OECD TTL'!AE49</f>
        <v>175880.3</v>
      </c>
      <c r="AK2" s="19">
        <f>'OECD TTL'!AF49</f>
        <v>168922.7</v>
      </c>
      <c r="AL2" s="19">
        <f>'OECD TTL'!AG49</f>
        <v>195796.7</v>
      </c>
      <c r="AM2" s="19">
        <f>'OECD TTL'!AH49</f>
        <v>217738.1</v>
      </c>
      <c r="AN2" s="19">
        <f>'OECD TTL'!AI49</f>
        <v>127026.8</v>
      </c>
      <c r="AO2" s="19">
        <f>'OECD TTL'!AJ49</f>
        <v>122794.9</v>
      </c>
      <c r="AP2" s="19">
        <f>'OECD TTL'!AK49</f>
        <v>54530.1</v>
      </c>
      <c r="AQ2" s="19">
        <f>'OECD TTL'!AL49</f>
        <v>18634.7</v>
      </c>
    </row>
    <row r="3" spans="1:43" x14ac:dyDescent="0.2">
      <c r="A3" t="s">
        <v>134</v>
      </c>
      <c r="B3">
        <f>-'OECD TTL'!AU$9+'OECD TTL'!AR$9</f>
        <v>3493.6</v>
      </c>
      <c r="C3" s="47">
        <f>(-'OECD TTL'!$AU$10+'OECD TTL'!$AR$10)*'Split ISIC Code Shares'!C8</f>
        <v>2487.6808304982987</v>
      </c>
      <c r="D3" s="48">
        <f>(-'OECD TTL'!$AU$10+'OECD TTL'!$AR$10)*'Split ISIC Code Shares'!D8</f>
        <v>11028.619169501701</v>
      </c>
      <c r="E3">
        <f t="array" ref="E3:K3">-TRANSPOSE('OECD TTL'!$AU$11:$AU$17)+TRANSPOSE('OECD TTL'!$AR$11:$AR$17)</f>
        <v>2325.1999999999998</v>
      </c>
      <c r="F3">
        <v>73.7</v>
      </c>
      <c r="G3">
        <v>7911.7</v>
      </c>
      <c r="H3">
        <v>7486.5999999999995</v>
      </c>
      <c r="I3">
        <v>250.39999999999998</v>
      </c>
      <c r="J3">
        <v>1536.6000000000001</v>
      </c>
      <c r="K3">
        <v>9091.6</v>
      </c>
      <c r="L3" s="47">
        <f>(-'OECD TTL'!$AU$18+'OECD TTL'!$AR$18)*'Split ISIC Code Shares'!E$8</f>
        <v>24570.756203139772</v>
      </c>
      <c r="M3" s="48">
        <f>(-'OECD TTL'!$AU$18+'OECD TTL'!$AR$18)*'Split ISIC Code Shares'!F$8</f>
        <v>6069.1437968602313</v>
      </c>
      <c r="N3" s="19">
        <f>-'OECD TTL'!AU19+'OECD TTL'!AR19</f>
        <v>4620.6000000000004</v>
      </c>
      <c r="O3" s="47">
        <f>(-'OECD TTL'!$AU$20+'OECD TTL'!$AR$20)*'Split ISIC Code Shares'!G$8</f>
        <v>1748.8829144934407</v>
      </c>
      <c r="P3" s="48">
        <f>(-'OECD TTL'!$AU$20+'OECD TTL'!$AR$20)*'Split ISIC Code Shares'!H$8</f>
        <v>208.51708550655917</v>
      </c>
      <c r="Q3" s="47">
        <f>(-'OECD TTL'!$AU$21+'OECD TTL'!$AR$21)*'Split ISIC Code Shares'!I$8</f>
        <v>2746.5674268141697</v>
      </c>
      <c r="R3" s="48">
        <f>(-'OECD TTL'!$AU$21+'OECD TTL'!$AR$21)*'Split ISIC Code Shares'!J$8</f>
        <v>2989.6325731858301</v>
      </c>
      <c r="S3" s="19">
        <f t="array" ref="S3:Y3">-TRANSPOSE('OECD TTL'!AU22:AU28)+TRANSPOSE('OECD TTL'!AR22:AR28)</f>
        <v>4204.4000000000005</v>
      </c>
      <c r="T3" s="19">
        <v>16156.800000000001</v>
      </c>
      <c r="U3" s="19">
        <v>7738.5</v>
      </c>
      <c r="V3" s="19">
        <v>13496.4</v>
      </c>
      <c r="W3" s="19">
        <v>12583.1</v>
      </c>
      <c r="X3" s="19">
        <v>10023.4</v>
      </c>
      <c r="Y3" s="19">
        <v>4651</v>
      </c>
      <c r="Z3" s="47">
        <f>(-'OECD TTL'!$AU$29+'OECD TTL'!$AR$29)*'Split ISIC Code Shares'!K$8</f>
        <v>912.93333333333339</v>
      </c>
      <c r="AA3" s="55">
        <f>(-'OECD TTL'!$AU$29+'OECD TTL'!$AR$29)*'Split ISIC Code Shares'!L$8</f>
        <v>456.4666666666667</v>
      </c>
      <c r="AB3" s="48">
        <f>(-'OECD TTL'!$AU$29+'OECD TTL'!$AR$29)*'Split ISIC Code Shares'!M$8</f>
        <v>0</v>
      </c>
      <c r="AC3" s="19">
        <f t="array" ref="AC3:AQ3">-TRANSPOSE('OECD TTL'!AU30:AU44)+TRANSPOSE('OECD TTL'!AR30:AR44)</f>
        <v>235.2</v>
      </c>
      <c r="AD3" s="19">
        <v>27066.600000000002</v>
      </c>
      <c r="AE3" s="19">
        <v>14465.6</v>
      </c>
      <c r="AF3" s="19">
        <v>11338.7</v>
      </c>
      <c r="AG3" s="19">
        <v>1937.2</v>
      </c>
      <c r="AH3" s="19">
        <v>1359.6</v>
      </c>
      <c r="AI3" s="19">
        <v>7612.4000000000005</v>
      </c>
      <c r="AJ3" s="19">
        <v>6758.2</v>
      </c>
      <c r="AK3" s="19">
        <v>2768.2</v>
      </c>
      <c r="AL3" s="19">
        <v>27483.4</v>
      </c>
      <c r="AM3" s="19">
        <v>234.5</v>
      </c>
      <c r="AN3" s="19">
        <v>3881.3999999999996</v>
      </c>
      <c r="AO3" s="19">
        <v>570</v>
      </c>
      <c r="AP3" s="19">
        <v>2592.1999999999998</v>
      </c>
      <c r="AQ3" s="19">
        <v>0</v>
      </c>
    </row>
    <row r="4" spans="1:43" x14ac:dyDescent="0.2">
      <c r="A4" t="s">
        <v>139</v>
      </c>
      <c r="B4">
        <f>'OECD TTL'!$AT$9+'OECD TTL'!$AS$9</f>
        <v>34309.200000000004</v>
      </c>
      <c r="C4" s="47">
        <f>('OECD TTL'!$AT$10+'OECD TTL'!$AS$10)*'Split ISIC Code Shares'!C$9</f>
        <v>540.58762407862412</v>
      </c>
      <c r="D4" s="48">
        <f>('OECD TTL'!$AT$10+'OECD TTL'!$AS$10)*'Split ISIC Code Shares'!D$9</f>
        <v>10972.712375921377</v>
      </c>
      <c r="E4">
        <f t="array" ref="E4:K4">TRANSPOSE('OECD TTL'!$AT$11:$AT$17)+TRANSPOSE('OECD TTL'!$AS$11:$AS$17)</f>
        <v>15903.2</v>
      </c>
      <c r="F4">
        <v>62.1</v>
      </c>
      <c r="G4">
        <v>30629.1</v>
      </c>
      <c r="H4">
        <v>3626.2999999999997</v>
      </c>
      <c r="I4">
        <v>1949</v>
      </c>
      <c r="J4">
        <v>6845.9</v>
      </c>
      <c r="K4">
        <v>4760.7000000000007</v>
      </c>
      <c r="L4" s="47">
        <f>SUM('OECD TTL'!$AS$18:$AT$18)*'Split ISIC Code Shares'!E$9</f>
        <v>7139.8993421052628</v>
      </c>
      <c r="M4" s="48">
        <f>SUM('OECD TTL'!$AS$18:$AT$18)*'Split ISIC Code Shares'!F$9</f>
        <v>1044.600657894737</v>
      </c>
      <c r="N4" s="19">
        <f>'OECD TTL'!AT19+'OECD TTL'!AS19</f>
        <v>2441.1</v>
      </c>
      <c r="O4" s="47">
        <f>SUM('OECD TTL'!$AS$20:$AT$20)*'Split ISIC Code Shares'!G$9</f>
        <v>2005.7148514851485</v>
      </c>
      <c r="P4" s="48">
        <f>SUM('OECD TTL'!$AS$20:$AT$20)*'Split ISIC Code Shares'!H$9</f>
        <v>32.285148514851485</v>
      </c>
      <c r="Q4" s="47">
        <f>SUM('OECD TTL'!$AS$21:$AT$21)*'Split ISIC Code Shares'!I$9</f>
        <v>10431.235330525367</v>
      </c>
      <c r="R4" s="48">
        <f>SUM('OECD TTL'!$AS$21:$AT$21)*'Split ISIC Code Shares'!J$9</f>
        <v>7141.2646694746318</v>
      </c>
      <c r="S4" s="19">
        <f t="array" ref="S4:Y4">TRANSPOSE('OECD TTL'!AT22:AT28)+TRANSPOSE('OECD TTL'!AS22:AS28)</f>
        <v>2091.4</v>
      </c>
      <c r="T4" s="19">
        <v>1215.0999999999999</v>
      </c>
      <c r="U4" s="19">
        <v>2118.3000000000002</v>
      </c>
      <c r="V4" s="19">
        <v>5928</v>
      </c>
      <c r="W4" s="19">
        <v>10889.3</v>
      </c>
      <c r="X4" s="19">
        <v>5643.6</v>
      </c>
      <c r="Y4" s="19">
        <v>1695.3</v>
      </c>
      <c r="Z4" s="47">
        <f>SUM('OECD TTL'!$AS$29:$AT$29)*'Split ISIC Code Shares'!K$9</f>
        <v>0</v>
      </c>
      <c r="AA4" s="55">
        <f>SUM('OECD TTL'!$AS$29:$AT$29)*'Split ISIC Code Shares'!L$9</f>
        <v>0</v>
      </c>
      <c r="AB4" s="48">
        <f>SUM('OECD TTL'!$AS$29:$AT$29)*'Split ISIC Code Shares'!M$9</f>
        <v>33.700000000000003</v>
      </c>
      <c r="AC4" s="19">
        <f t="array" ref="AC4:AQ4">TRANSPOSE('OECD TTL'!AT30:AT44)+TRANSPOSE('OECD TTL'!AS30:AS44)</f>
        <v>22.7</v>
      </c>
      <c r="AD4" s="19">
        <v>21966.3</v>
      </c>
      <c r="AE4" s="19">
        <v>16678.3</v>
      </c>
      <c r="AF4" s="19">
        <v>459.2</v>
      </c>
      <c r="AG4" s="19">
        <v>194.1</v>
      </c>
      <c r="AH4" s="19">
        <v>371.8</v>
      </c>
      <c r="AI4" s="19">
        <v>991.69999999999993</v>
      </c>
      <c r="AJ4" s="19">
        <v>1556.5</v>
      </c>
      <c r="AK4" s="19">
        <v>1236</v>
      </c>
      <c r="AL4" s="19">
        <v>13013.4</v>
      </c>
      <c r="AM4" s="19">
        <v>861.3</v>
      </c>
      <c r="AN4" s="19">
        <v>241.20000000000002</v>
      </c>
      <c r="AO4" s="19">
        <v>32.4</v>
      </c>
      <c r="AP4" s="19">
        <v>186.1</v>
      </c>
      <c r="AQ4" s="19">
        <v>0</v>
      </c>
    </row>
    <row r="5" spans="1:43" x14ac:dyDescent="0.2">
      <c r="A5" t="s">
        <v>138</v>
      </c>
      <c r="B5" s="19">
        <f t="shared" ref="B5:K5" si="0">B2+B3-B4</f>
        <v>115156.5</v>
      </c>
      <c r="C5" s="47">
        <f t="shared" si="0"/>
        <v>7197.770139444201</v>
      </c>
      <c r="D5" s="48">
        <f t="shared" si="0"/>
        <v>42414.729860555795</v>
      </c>
      <c r="E5" s="19">
        <f t="shared" si="0"/>
        <v>12823.3</v>
      </c>
      <c r="F5" s="19">
        <f t="shared" si="0"/>
        <v>4843.3999999999996</v>
      </c>
      <c r="G5" s="19">
        <f t="shared" si="0"/>
        <v>173356.4</v>
      </c>
      <c r="H5" s="19">
        <f t="shared" si="0"/>
        <v>48630.299999999996</v>
      </c>
      <c r="I5" s="19">
        <f t="shared" si="0"/>
        <v>6346.2000000000007</v>
      </c>
      <c r="J5" s="19">
        <f t="shared" si="0"/>
        <v>24890.6</v>
      </c>
      <c r="K5" s="19">
        <f t="shared" si="0"/>
        <v>117296.50000000001</v>
      </c>
      <c r="L5" s="47">
        <f t="shared" ref="L5:AQ5" si="1">L2+L3-L4</f>
        <v>108970.32667854548</v>
      </c>
      <c r="M5" s="48">
        <f t="shared" si="1"/>
        <v>22806.473321454516</v>
      </c>
      <c r="N5" s="19">
        <f t="shared" si="1"/>
        <v>32791.200000000004</v>
      </c>
      <c r="O5" s="47">
        <f t="shared" si="1"/>
        <v>7848.7794557777434</v>
      </c>
      <c r="P5" s="48">
        <f t="shared" si="1"/>
        <v>19171.820544222253</v>
      </c>
      <c r="Q5" s="47">
        <f t="shared" si="1"/>
        <v>19989.176567807244</v>
      </c>
      <c r="R5" s="48">
        <f t="shared" si="1"/>
        <v>16209.323432192763</v>
      </c>
      <c r="S5" s="19">
        <f t="shared" si="1"/>
        <v>29728.6</v>
      </c>
      <c r="T5" s="19">
        <f t="shared" si="1"/>
        <v>40723.700000000004</v>
      </c>
      <c r="U5" s="19">
        <f t="shared" si="1"/>
        <v>27404.9</v>
      </c>
      <c r="V5" s="19">
        <f t="shared" si="1"/>
        <v>44070.3</v>
      </c>
      <c r="W5" s="19">
        <f t="shared" si="1"/>
        <v>67335.100000000006</v>
      </c>
      <c r="X5" s="19">
        <f t="shared" si="1"/>
        <v>19815.599999999999</v>
      </c>
      <c r="Y5" s="19">
        <f t="shared" si="1"/>
        <v>43155</v>
      </c>
      <c r="Z5" s="47">
        <f t="shared" si="1"/>
        <v>38651.209347541866</v>
      </c>
      <c r="AA5" s="55">
        <f t="shared" si="1"/>
        <v>16872.340011897832</v>
      </c>
      <c r="AB5" s="48">
        <f t="shared" si="1"/>
        <v>43724.45064056031</v>
      </c>
      <c r="AC5" s="19">
        <f t="shared" si="1"/>
        <v>191532.3</v>
      </c>
      <c r="AD5" s="19">
        <f t="shared" si="1"/>
        <v>338162.3</v>
      </c>
      <c r="AE5" s="19">
        <f t="shared" si="1"/>
        <v>150713.20000000001</v>
      </c>
      <c r="AF5" s="19">
        <f t="shared" si="1"/>
        <v>85741.1</v>
      </c>
      <c r="AG5" s="19">
        <f t="shared" si="1"/>
        <v>21074.500000000004</v>
      </c>
      <c r="AH5" s="19">
        <f t="shared" si="1"/>
        <v>49713.999999999993</v>
      </c>
      <c r="AI5" s="19">
        <f t="shared" si="1"/>
        <v>44604.9</v>
      </c>
      <c r="AJ5" s="19">
        <f t="shared" si="1"/>
        <v>181082</v>
      </c>
      <c r="AK5" s="19">
        <f t="shared" si="1"/>
        <v>170454.90000000002</v>
      </c>
      <c r="AL5" s="19">
        <f t="shared" si="1"/>
        <v>210266.7</v>
      </c>
      <c r="AM5" s="19">
        <f t="shared" si="1"/>
        <v>217111.30000000002</v>
      </c>
      <c r="AN5" s="19">
        <f t="shared" si="1"/>
        <v>130667</v>
      </c>
      <c r="AO5" s="19">
        <f t="shared" si="1"/>
        <v>123332.5</v>
      </c>
      <c r="AP5" s="19">
        <f t="shared" si="1"/>
        <v>56936.2</v>
      </c>
      <c r="AQ5" s="19">
        <f t="shared" si="1"/>
        <v>18634.7</v>
      </c>
    </row>
    <row r="6" spans="1:43" x14ac:dyDescent="0.2">
      <c r="A6" t="s">
        <v>144</v>
      </c>
      <c r="B6">
        <f>'OECD ICESHR'!$C$9/100</f>
        <v>9.6699999999999994E-2</v>
      </c>
      <c r="C6" s="53">
        <v>0</v>
      </c>
      <c r="D6" s="50">
        <f>'OECD ICESHR'!C10/100</f>
        <v>0.16579999999999998</v>
      </c>
      <c r="E6">
        <f t="array" ref="E6:K6">TRANSPOSE('OECD ICESHR'!$C$11:$C$17)/100</f>
        <v>0.1246</v>
      </c>
      <c r="F6">
        <v>0.12359999999999999</v>
      </c>
      <c r="G6">
        <v>0.1114</v>
      </c>
      <c r="H6">
        <v>0.1215</v>
      </c>
      <c r="I6">
        <v>9.9600000000000008E-2</v>
      </c>
      <c r="J6">
        <v>0.1338</v>
      </c>
      <c r="K6">
        <v>0.24539999999999998</v>
      </c>
      <c r="L6" s="49">
        <f>'OECD ICESHR'!$C$18/100</f>
        <v>0.18379999999999999</v>
      </c>
      <c r="M6" s="50">
        <f>'OECD ICESHR'!$C$18/100</f>
        <v>0.18379999999999999</v>
      </c>
      <c r="N6">
        <f>'OECD ICESHR'!C19/100</f>
        <v>0.1759</v>
      </c>
      <c r="O6" s="49">
        <f>'OECD ICESHR'!$C$20/100</f>
        <v>0.1246</v>
      </c>
      <c r="P6" s="50">
        <f>'OECD ICESHR'!$C$20/100</f>
        <v>0.1246</v>
      </c>
      <c r="Q6" s="49">
        <f>'OECD ICESHR'!$C$21/100</f>
        <v>0.18329999999999999</v>
      </c>
      <c r="R6" s="50">
        <f>'OECD ICESHR'!$C$21/100</f>
        <v>0.18329999999999999</v>
      </c>
      <c r="S6">
        <f t="array" ref="S6:Y6">TRANSPOSE('OECD ICESHR'!C22:C28)/100</f>
        <v>0.1469</v>
      </c>
      <c r="T6">
        <v>0.25219999999999998</v>
      </c>
      <c r="U6">
        <v>0.19879999999999998</v>
      </c>
      <c r="V6">
        <v>0.18010000000000001</v>
      </c>
      <c r="W6">
        <v>0.1978</v>
      </c>
      <c r="X6">
        <v>0.26590000000000003</v>
      </c>
      <c r="Y6">
        <v>0.13539999999999999</v>
      </c>
      <c r="Z6" s="49">
        <f>'OECD ICESHR'!$C$29/100</f>
        <v>9.1799999999999993E-2</v>
      </c>
      <c r="AA6" s="25">
        <f>'OECD ICESHR'!$C$29/100</f>
        <v>9.1799999999999993E-2</v>
      </c>
      <c r="AB6" s="50">
        <f>'OECD ICESHR'!$C$29/100</f>
        <v>9.1799999999999993E-2</v>
      </c>
      <c r="AC6">
        <f t="array" ref="AC6:AQ6">TRANSPOSE('OECD ICESHR'!C30:C44)/100</f>
        <v>9.7100000000000006E-2</v>
      </c>
      <c r="AD6">
        <v>4.8300000000000003E-2</v>
      </c>
      <c r="AE6">
        <v>0.11119999999999999</v>
      </c>
      <c r="AF6">
        <v>6.3200000000000006E-2</v>
      </c>
      <c r="AG6">
        <v>9.1600000000000001E-2</v>
      </c>
      <c r="AH6">
        <v>9.2899999999999996E-2</v>
      </c>
      <c r="AI6">
        <v>6.3200000000000006E-2</v>
      </c>
      <c r="AJ6">
        <v>3.7000000000000005E-2</v>
      </c>
      <c r="AK6">
        <v>1.06E-2</v>
      </c>
      <c r="AL6">
        <v>4.7500000000000001E-2</v>
      </c>
      <c r="AM6">
        <v>4.4500000000000005E-2</v>
      </c>
      <c r="AN6">
        <v>3.4300000000000004E-2</v>
      </c>
      <c r="AO6">
        <v>4.9699999999999994E-2</v>
      </c>
      <c r="AP6">
        <v>7.22E-2</v>
      </c>
      <c r="AQ6">
        <v>0.12560000000000002</v>
      </c>
    </row>
    <row r="7" spans="1:43" x14ac:dyDescent="0.2">
      <c r="A7" t="s">
        <v>145</v>
      </c>
      <c r="B7" s="19">
        <f t="shared" ref="B7:N7" si="2">B3*(1-B6)</f>
        <v>3155.7688800000001</v>
      </c>
      <c r="C7" s="47">
        <f t="shared" si="2"/>
        <v>2487.6808304982987</v>
      </c>
      <c r="D7" s="48">
        <f t="shared" si="2"/>
        <v>9200.0741111983189</v>
      </c>
      <c r="E7" s="19">
        <f t="shared" si="2"/>
        <v>2035.4800799999998</v>
      </c>
      <c r="F7" s="19">
        <f t="shared" si="2"/>
        <v>64.590680000000006</v>
      </c>
      <c r="G7" s="19">
        <f t="shared" si="2"/>
        <v>7030.33662</v>
      </c>
      <c r="H7" s="19">
        <f t="shared" si="2"/>
        <v>6576.9781000000003</v>
      </c>
      <c r="I7" s="19">
        <f t="shared" si="2"/>
        <v>225.46015999999997</v>
      </c>
      <c r="J7" s="19">
        <f t="shared" si="2"/>
        <v>1331.0029200000001</v>
      </c>
      <c r="K7" s="19">
        <f t="shared" si="2"/>
        <v>6860.5213600000006</v>
      </c>
      <c r="L7" s="47">
        <f t="shared" si="2"/>
        <v>20054.651213002682</v>
      </c>
      <c r="M7" s="48">
        <f t="shared" si="2"/>
        <v>4953.635166997321</v>
      </c>
      <c r="N7" s="19">
        <f t="shared" si="2"/>
        <v>3807.8364600000004</v>
      </c>
      <c r="O7" s="47">
        <f t="shared" ref="O7:AQ7" si="3">O3*(1-O6)</f>
        <v>1530.972103347558</v>
      </c>
      <c r="P7" s="48">
        <f t="shared" ref="P7:R7" si="4">P3*(1-P6)</f>
        <v>182.53585665244188</v>
      </c>
      <c r="Q7" s="47">
        <f t="shared" si="4"/>
        <v>2243.1216174791325</v>
      </c>
      <c r="R7" s="48">
        <f t="shared" si="4"/>
        <v>2441.6329225208674</v>
      </c>
      <c r="S7" s="19">
        <f t="shared" si="3"/>
        <v>3586.7736400000003</v>
      </c>
      <c r="T7" s="19">
        <f t="shared" si="3"/>
        <v>12082.055040000001</v>
      </c>
      <c r="U7" s="19">
        <f t="shared" si="3"/>
        <v>6200.0861999999997</v>
      </c>
      <c r="V7" s="19">
        <f t="shared" si="3"/>
        <v>11065.698359999999</v>
      </c>
      <c r="W7" s="19">
        <f t="shared" si="3"/>
        <v>10094.162820000001</v>
      </c>
      <c r="X7" s="19">
        <f t="shared" si="3"/>
        <v>7358.1779399999996</v>
      </c>
      <c r="Y7" s="19">
        <f t="shared" si="3"/>
        <v>4021.2546000000002</v>
      </c>
      <c r="Z7" s="47">
        <f t="shared" si="3"/>
        <v>829.1260533333334</v>
      </c>
      <c r="AA7" s="55">
        <f t="shared" ref="AA7:AB7" si="5">AA3*(1-AA6)</f>
        <v>414.5630266666667</v>
      </c>
      <c r="AB7" s="48">
        <f t="shared" si="5"/>
        <v>0</v>
      </c>
      <c r="AC7" s="19">
        <f t="shared" si="3"/>
        <v>212.36207999999999</v>
      </c>
      <c r="AD7" s="19">
        <f t="shared" si="3"/>
        <v>25759.283220000001</v>
      </c>
      <c r="AE7" s="19">
        <f t="shared" si="3"/>
        <v>12857.025280000002</v>
      </c>
      <c r="AF7" s="19">
        <f t="shared" si="3"/>
        <v>10622.094160000001</v>
      </c>
      <c r="AG7" s="19">
        <f t="shared" si="3"/>
        <v>1759.7524800000001</v>
      </c>
      <c r="AH7" s="19">
        <f t="shared" si="3"/>
        <v>1233.2931599999999</v>
      </c>
      <c r="AI7" s="19">
        <f t="shared" si="3"/>
        <v>7131.2963200000004</v>
      </c>
      <c r="AJ7" s="19">
        <f t="shared" si="3"/>
        <v>6508.1466</v>
      </c>
      <c r="AK7" s="19">
        <f t="shared" si="3"/>
        <v>2738.8570799999998</v>
      </c>
      <c r="AL7" s="19">
        <f t="shared" si="3"/>
        <v>26177.9385</v>
      </c>
      <c r="AM7" s="19">
        <f t="shared" si="3"/>
        <v>224.06475</v>
      </c>
      <c r="AN7" s="19">
        <f t="shared" si="3"/>
        <v>3748.2679799999996</v>
      </c>
      <c r="AO7" s="19">
        <f t="shared" si="3"/>
        <v>541.67100000000005</v>
      </c>
      <c r="AP7" s="19">
        <f t="shared" si="3"/>
        <v>2405.0431599999997</v>
      </c>
      <c r="AQ7" s="19">
        <f t="shared" si="3"/>
        <v>0</v>
      </c>
    </row>
    <row r="8" spans="1:43" x14ac:dyDescent="0.2">
      <c r="A8" t="s">
        <v>147</v>
      </c>
      <c r="B8" s="19">
        <f>B5-B7</f>
        <v>112000.73112</v>
      </c>
      <c r="C8" s="47">
        <f t="shared" ref="C8:AQ8" si="6">C5-C7</f>
        <v>4710.0893089459023</v>
      </c>
      <c r="D8" s="48">
        <f t="shared" si="6"/>
        <v>33214.65574935748</v>
      </c>
      <c r="E8" s="19">
        <f t="shared" si="6"/>
        <v>10787.81992</v>
      </c>
      <c r="F8" s="19">
        <f t="shared" si="6"/>
        <v>4778.8093199999994</v>
      </c>
      <c r="G8" s="19">
        <f t="shared" si="6"/>
        <v>166326.06338000001</v>
      </c>
      <c r="H8" s="19">
        <f t="shared" si="6"/>
        <v>42053.321899999995</v>
      </c>
      <c r="I8" s="19">
        <f t="shared" si="6"/>
        <v>6120.7398400000011</v>
      </c>
      <c r="J8" s="19">
        <f t="shared" si="6"/>
        <v>23559.59708</v>
      </c>
      <c r="K8" s="19">
        <f t="shared" si="6"/>
        <v>110435.97864000002</v>
      </c>
      <c r="L8" s="47">
        <f t="shared" si="6"/>
        <v>88915.675465542794</v>
      </c>
      <c r="M8" s="48">
        <f t="shared" ref="M8" si="7">M5-M7</f>
        <v>17852.838154457197</v>
      </c>
      <c r="N8" s="19">
        <f t="shared" si="6"/>
        <v>28983.363540000006</v>
      </c>
      <c r="O8" s="47">
        <f t="shared" si="6"/>
        <v>6317.8073524301853</v>
      </c>
      <c r="P8" s="48">
        <f t="shared" ref="P8:R8" si="8">P5-P7</f>
        <v>18989.284687569812</v>
      </c>
      <c r="Q8" s="47">
        <f t="shared" si="8"/>
        <v>17746.054950328111</v>
      </c>
      <c r="R8" s="48">
        <f t="shared" si="8"/>
        <v>13767.690509671895</v>
      </c>
      <c r="S8" s="19">
        <f t="shared" si="6"/>
        <v>26141.826359999999</v>
      </c>
      <c r="T8" s="19">
        <f t="shared" si="6"/>
        <v>28641.644960000005</v>
      </c>
      <c r="U8" s="19">
        <f t="shared" si="6"/>
        <v>21204.813800000004</v>
      </c>
      <c r="V8" s="19">
        <f t="shared" si="6"/>
        <v>33004.601640000008</v>
      </c>
      <c r="W8" s="19">
        <f t="shared" si="6"/>
        <v>57240.937180000008</v>
      </c>
      <c r="X8" s="19">
        <f t="shared" si="6"/>
        <v>12457.422059999999</v>
      </c>
      <c r="Y8" s="19">
        <f t="shared" si="6"/>
        <v>39133.7454</v>
      </c>
      <c r="Z8" s="47">
        <f t="shared" si="6"/>
        <v>37822.083294208533</v>
      </c>
      <c r="AA8" s="55">
        <f t="shared" ref="AA8:AB8" si="9">AA5-AA7</f>
        <v>16457.776985231165</v>
      </c>
      <c r="AB8" s="48">
        <f t="shared" si="9"/>
        <v>43724.45064056031</v>
      </c>
      <c r="AC8" s="19">
        <f t="shared" si="6"/>
        <v>191319.93792</v>
      </c>
      <c r="AD8" s="19">
        <f t="shared" si="6"/>
        <v>312403.01678000001</v>
      </c>
      <c r="AE8" s="19">
        <f t="shared" si="6"/>
        <v>137856.17472000001</v>
      </c>
      <c r="AF8" s="19">
        <f t="shared" si="6"/>
        <v>75119.005839999998</v>
      </c>
      <c r="AG8" s="19">
        <f t="shared" si="6"/>
        <v>19314.747520000004</v>
      </c>
      <c r="AH8" s="19">
        <f t="shared" si="6"/>
        <v>48480.706839999992</v>
      </c>
      <c r="AI8" s="19">
        <f t="shared" si="6"/>
        <v>37473.60368</v>
      </c>
      <c r="AJ8" s="19">
        <f t="shared" si="6"/>
        <v>174573.85339999999</v>
      </c>
      <c r="AK8" s="19">
        <f t="shared" si="6"/>
        <v>167716.04292000004</v>
      </c>
      <c r="AL8" s="19">
        <f t="shared" si="6"/>
        <v>184088.76150000002</v>
      </c>
      <c r="AM8" s="19">
        <f t="shared" si="6"/>
        <v>216887.23525000003</v>
      </c>
      <c r="AN8" s="19">
        <f t="shared" si="6"/>
        <v>126918.73202</v>
      </c>
      <c r="AO8" s="19">
        <f t="shared" si="6"/>
        <v>122790.829</v>
      </c>
      <c r="AP8" s="19">
        <f t="shared" si="6"/>
        <v>54531.156839999996</v>
      </c>
      <c r="AQ8" s="19">
        <f t="shared" si="6"/>
        <v>18634.7</v>
      </c>
    </row>
    <row r="9" spans="1:43" ht="16" thickBot="1" x14ac:dyDescent="0.25">
      <c r="A9" s="18" t="s">
        <v>146</v>
      </c>
      <c r="B9" s="20">
        <f>B8/B5</f>
        <v>0.97259582498599728</v>
      </c>
      <c r="C9" s="51">
        <f t="shared" ref="C9:AQ9" si="10">C8/C5</f>
        <v>0.65438173457837134</v>
      </c>
      <c r="D9" s="52">
        <f t="shared" si="10"/>
        <v>0.78309247420778549</v>
      </c>
      <c r="E9" s="20">
        <f t="shared" si="10"/>
        <v>0.84126706230065584</v>
      </c>
      <c r="F9" s="20">
        <f t="shared" si="10"/>
        <v>0.98666418631539821</v>
      </c>
      <c r="G9" s="20">
        <f t="shared" si="10"/>
        <v>0.9594457624869922</v>
      </c>
      <c r="H9" s="20">
        <f t="shared" si="10"/>
        <v>0.86475555157998196</v>
      </c>
      <c r="I9" s="20">
        <f t="shared" si="10"/>
        <v>0.96447320286155502</v>
      </c>
      <c r="J9" s="20">
        <f t="shared" si="10"/>
        <v>0.94652588045286179</v>
      </c>
      <c r="K9" s="20">
        <f t="shared" si="10"/>
        <v>0.94151128669653406</v>
      </c>
      <c r="L9" s="51">
        <f t="shared" si="10"/>
        <v>0.81596227317770242</v>
      </c>
      <c r="M9" s="52">
        <f t="shared" ref="M9" si="11">M8/M5</f>
        <v>0.78279696745847449</v>
      </c>
      <c r="N9" s="20">
        <f t="shared" si="10"/>
        <v>0.88387626985288736</v>
      </c>
      <c r="O9" s="51">
        <f t="shared" si="10"/>
        <v>0.80494137821383693</v>
      </c>
      <c r="P9" s="52">
        <f t="shared" ref="P9:R9" si="12">P8/P5</f>
        <v>0.99047895027854038</v>
      </c>
      <c r="Q9" s="51">
        <f t="shared" si="12"/>
        <v>0.88778319057465815</v>
      </c>
      <c r="R9" s="52">
        <f t="shared" si="12"/>
        <v>0.84936860981676587</v>
      </c>
      <c r="S9" s="20">
        <f t="shared" si="10"/>
        <v>0.87934939284056435</v>
      </c>
      <c r="T9" s="20">
        <f t="shared" si="10"/>
        <v>0.70331637253000101</v>
      </c>
      <c r="U9" s="20">
        <f t="shared" si="10"/>
        <v>0.77375994074052457</v>
      </c>
      <c r="V9" s="20">
        <f t="shared" si="10"/>
        <v>0.74890803193987798</v>
      </c>
      <c r="W9" s="20">
        <f t="shared" si="10"/>
        <v>0.85009062405788371</v>
      </c>
      <c r="X9" s="20">
        <f t="shared" si="10"/>
        <v>0.62866741658087566</v>
      </c>
      <c r="Y9" s="20">
        <f t="shared" si="10"/>
        <v>0.9068183385470977</v>
      </c>
      <c r="Z9" s="51">
        <f t="shared" si="10"/>
        <v>0.97854850941718174</v>
      </c>
      <c r="AA9" s="56">
        <f t="shared" ref="AA9:AB9" si="13">AA8/AA5</f>
        <v>0.97542942909078822</v>
      </c>
      <c r="AB9" s="52">
        <f t="shared" si="13"/>
        <v>1</v>
      </c>
      <c r="AC9" s="20">
        <f t="shared" si="10"/>
        <v>0.99889124664612705</v>
      </c>
      <c r="AD9" s="20">
        <f t="shared" si="10"/>
        <v>0.9238256800950313</v>
      </c>
      <c r="AE9" s="20">
        <f t="shared" si="10"/>
        <v>0.91469210872040407</v>
      </c>
      <c r="AF9" s="20">
        <f t="shared" si="10"/>
        <v>0.87611432370240172</v>
      </c>
      <c r="AG9" s="20">
        <f t="shared" si="10"/>
        <v>0.91649849438895348</v>
      </c>
      <c r="AH9" s="20">
        <f t="shared" si="10"/>
        <v>0.97519223639216313</v>
      </c>
      <c r="AI9" s="20">
        <f t="shared" si="10"/>
        <v>0.8401230286358673</v>
      </c>
      <c r="AJ9" s="20">
        <f t="shared" si="10"/>
        <v>0.96405967130913062</v>
      </c>
      <c r="AK9" s="20">
        <f t="shared" si="10"/>
        <v>0.98393207188529053</v>
      </c>
      <c r="AL9" s="20">
        <f t="shared" si="10"/>
        <v>0.87550126339548784</v>
      </c>
      <c r="AM9" s="20">
        <f t="shared" si="10"/>
        <v>0.99896797287842687</v>
      </c>
      <c r="AN9" s="20">
        <f t="shared" si="10"/>
        <v>0.97131434884094681</v>
      </c>
      <c r="AO9" s="20">
        <f t="shared" si="10"/>
        <v>0.99560804329758978</v>
      </c>
      <c r="AP9" s="20">
        <f t="shared" si="10"/>
        <v>0.95775898005135573</v>
      </c>
      <c r="AQ9" s="20">
        <f t="shared" si="10"/>
        <v>1</v>
      </c>
    </row>
    <row r="11" spans="1:43" x14ac:dyDescent="0.2">
      <c r="A11" s="18" t="s">
        <v>207</v>
      </c>
      <c r="B11">
        <f t="shared" ref="B11:AQ11" si="14">B4/B2</f>
        <v>0.23503943561817636</v>
      </c>
      <c r="C11">
        <f t="shared" si="14"/>
        <v>0.1029557961714532</v>
      </c>
      <c r="D11">
        <f t="shared" si="14"/>
        <v>0.25904195587710077</v>
      </c>
      <c r="E11">
        <f t="shared" si="14"/>
        <v>0.60236427751663746</v>
      </c>
      <c r="F11">
        <f t="shared" si="14"/>
        <v>1.2852353160312927E-2</v>
      </c>
      <c r="G11">
        <f t="shared" si="14"/>
        <v>0.15621209972979561</v>
      </c>
      <c r="H11">
        <f t="shared" si="14"/>
        <v>8.0998436452981895E-2</v>
      </c>
      <c r="I11">
        <f t="shared" si="14"/>
        <v>0.24226829753381066</v>
      </c>
      <c r="J11">
        <f t="shared" si="14"/>
        <v>0.22668618108006977</v>
      </c>
      <c r="K11">
        <f t="shared" si="14"/>
        <v>4.2142917844016234E-2</v>
      </c>
      <c r="L11">
        <f t="shared" si="14"/>
        <v>7.7998041242089894E-2</v>
      </c>
      <c r="M11">
        <f t="shared" si="14"/>
        <v>5.8745065759139049E-2</v>
      </c>
      <c r="N11">
        <f t="shared" si="14"/>
        <v>7.9744019443546088E-2</v>
      </c>
      <c r="O11">
        <f t="shared" si="14"/>
        <v>0.24744769447920126</v>
      </c>
      <c r="P11">
        <f t="shared" si="14"/>
        <v>1.6996129565873181E-3</v>
      </c>
      <c r="Q11">
        <f t="shared" si="14"/>
        <v>0.37693481081969143</v>
      </c>
      <c r="R11">
        <f t="shared" si="14"/>
        <v>0.35073327769343632</v>
      </c>
      <c r="S11">
        <f t="shared" si="14"/>
        <v>7.5732556960558528E-2</v>
      </c>
      <c r="T11">
        <f t="shared" si="14"/>
        <v>4.7129780466992469E-2</v>
      </c>
      <c r="U11">
        <f t="shared" si="14"/>
        <v>9.7237969767772797E-2</v>
      </c>
      <c r="V11">
        <f t="shared" si="14"/>
        <v>0.16240250507507828</v>
      </c>
      <c r="W11">
        <f t="shared" si="14"/>
        <v>0.16589098631501811</v>
      </c>
      <c r="X11">
        <f t="shared" si="14"/>
        <v>0.36561759027714796</v>
      </c>
      <c r="Y11">
        <f t="shared" si="14"/>
        <v>4.2172376135902863E-2</v>
      </c>
      <c r="Z11">
        <f t="shared" si="14"/>
        <v>0</v>
      </c>
      <c r="AA11">
        <f t="shared" si="14"/>
        <v>0</v>
      </c>
      <c r="AB11">
        <f t="shared" si="14"/>
        <v>7.7014223651313994E-4</v>
      </c>
      <c r="AC11">
        <f t="shared" si="14"/>
        <v>1.1864950726479956E-4</v>
      </c>
      <c r="AD11">
        <f t="shared" si="14"/>
        <v>6.5952585404519273E-2</v>
      </c>
      <c r="AE11">
        <f t="shared" si="14"/>
        <v>0.10906131662458746</v>
      </c>
      <c r="AF11">
        <f t="shared" si="14"/>
        <v>6.1339859153424449E-3</v>
      </c>
      <c r="AG11">
        <f t="shared" si="14"/>
        <v>1.0040659238337626E-2</v>
      </c>
      <c r="AH11">
        <f t="shared" si="14"/>
        <v>7.6303918631044493E-3</v>
      </c>
      <c r="AI11">
        <f t="shared" si="14"/>
        <v>2.6108223945745863E-2</v>
      </c>
      <c r="AJ11">
        <f t="shared" si="14"/>
        <v>8.8497688484725136E-3</v>
      </c>
      <c r="AK11">
        <f t="shared" si="14"/>
        <v>7.3169562172520327E-3</v>
      </c>
      <c r="AL11">
        <f t="shared" si="14"/>
        <v>6.646383723525473E-2</v>
      </c>
      <c r="AM11">
        <f t="shared" si="14"/>
        <v>3.9556696783888531E-3</v>
      </c>
      <c r="AN11">
        <f t="shared" si="14"/>
        <v>1.8988119042595737E-3</v>
      </c>
      <c r="AO11">
        <f t="shared" si="14"/>
        <v>2.6385460633951408E-4</v>
      </c>
      <c r="AP11">
        <f t="shared" si="14"/>
        <v>3.4127940348541446E-3</v>
      </c>
      <c r="AQ11">
        <f t="shared" si="14"/>
        <v>0</v>
      </c>
    </row>
    <row r="13" spans="1:43" x14ac:dyDescent="0.2">
      <c r="A13" t="s">
        <v>206</v>
      </c>
      <c r="B13">
        <v>9</v>
      </c>
      <c r="C13" s="25">
        <v>10</v>
      </c>
      <c r="D13" s="25">
        <v>10</v>
      </c>
      <c r="E13">
        <v>11</v>
      </c>
      <c r="F13">
        <v>12</v>
      </c>
      <c r="G13">
        <v>13</v>
      </c>
      <c r="H13">
        <v>14</v>
      </c>
      <c r="I13">
        <v>15</v>
      </c>
      <c r="J13">
        <v>16</v>
      </c>
      <c r="K13">
        <v>17</v>
      </c>
      <c r="L13" s="25">
        <v>18</v>
      </c>
      <c r="M13" s="25">
        <v>18</v>
      </c>
      <c r="N13">
        <v>19</v>
      </c>
      <c r="O13" s="25">
        <v>20</v>
      </c>
      <c r="P13" s="25">
        <v>20</v>
      </c>
      <c r="Q13" s="25">
        <v>21</v>
      </c>
      <c r="R13" s="25">
        <v>21</v>
      </c>
      <c r="S13">
        <v>22</v>
      </c>
      <c r="T13">
        <v>23</v>
      </c>
      <c r="U13">
        <v>24</v>
      </c>
      <c r="V13">
        <v>25</v>
      </c>
      <c r="W13">
        <v>26</v>
      </c>
      <c r="X13">
        <v>27</v>
      </c>
      <c r="Y13">
        <v>28</v>
      </c>
      <c r="Z13" s="25">
        <v>29</v>
      </c>
      <c r="AA13" s="25">
        <v>29</v>
      </c>
      <c r="AB13" s="25">
        <v>29</v>
      </c>
      <c r="AC13">
        <v>30</v>
      </c>
      <c r="AD13">
        <v>31</v>
      </c>
      <c r="AE13">
        <v>32</v>
      </c>
      <c r="AF13">
        <v>33</v>
      </c>
      <c r="AG13">
        <v>34</v>
      </c>
      <c r="AH13">
        <v>35</v>
      </c>
      <c r="AI13">
        <v>36</v>
      </c>
      <c r="AJ13">
        <v>37</v>
      </c>
      <c r="AK13">
        <v>38</v>
      </c>
      <c r="AL13">
        <v>39</v>
      </c>
      <c r="AM13">
        <v>40</v>
      </c>
      <c r="AN13">
        <v>41</v>
      </c>
      <c r="AO13">
        <v>42</v>
      </c>
      <c r="AP13">
        <v>43</v>
      </c>
      <c r="AQ1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F652-4FFC-4AF3-8641-ED56A8A1C570}">
  <dimension ref="B1:X181"/>
  <sheetViews>
    <sheetView topLeftCell="A76" workbookViewId="0">
      <selection activeCell="K91" sqref="K91"/>
    </sheetView>
  </sheetViews>
  <sheetFormatPr baseColWidth="10" defaultColWidth="8.83203125" defaultRowHeight="12" x14ac:dyDescent="0.15"/>
  <cols>
    <col min="1" max="1" width="8.83203125" style="95"/>
    <col min="2" max="2" width="0" style="94" hidden="1" customWidth="1"/>
    <col min="3" max="3" width="0" style="95" hidden="1" customWidth="1"/>
    <col min="4" max="4" width="36.33203125" style="95" customWidth="1"/>
    <col min="5" max="5" width="4.5" style="95" hidden="1" customWidth="1"/>
    <col min="6" max="6" width="10.1640625" style="111" customWidth="1"/>
    <col min="7" max="7" width="36.1640625" style="107" customWidth="1"/>
    <col min="8" max="8" width="8.83203125" style="95"/>
    <col min="9" max="9" width="4.5" style="95" customWidth="1"/>
    <col min="10" max="10" width="7.33203125" style="97" customWidth="1"/>
    <col min="11" max="11" width="47.33203125" style="96" bestFit="1" customWidth="1"/>
    <col min="12" max="12" width="4.5" style="95" customWidth="1"/>
    <col min="13" max="13" width="10.1640625" style="111" customWidth="1"/>
    <col min="14" max="14" width="36.1640625" style="107" customWidth="1"/>
    <col min="15" max="15" width="8.83203125" style="98"/>
    <col min="16" max="16" width="4.5" style="95" customWidth="1"/>
    <col min="17" max="17" width="7.33203125" style="97" customWidth="1"/>
    <col min="18" max="18" width="47.33203125" style="96" bestFit="1" customWidth="1"/>
    <col min="19" max="19" width="8.83203125" style="94"/>
    <col min="20" max="20" width="8.83203125" style="95"/>
    <col min="21" max="21" width="36.33203125" style="95" customWidth="1"/>
    <col min="22" max="23" width="8.83203125" style="95"/>
    <col min="24" max="24" width="36.33203125" style="95" customWidth="1"/>
    <col min="25" max="16384" width="8.83203125" style="95"/>
  </cols>
  <sheetData>
    <row r="1" spans="2:24" x14ac:dyDescent="0.15">
      <c r="F1" s="95"/>
      <c r="G1" s="96"/>
      <c r="M1" s="95"/>
      <c r="N1" s="96"/>
    </row>
    <row r="2" spans="2:24" x14ac:dyDescent="0.15">
      <c r="F2" s="95"/>
      <c r="G2" s="96"/>
      <c r="M2" s="95"/>
      <c r="N2" s="96"/>
    </row>
    <row r="3" spans="2:24" ht="13" x14ac:dyDescent="0.15">
      <c r="B3" s="94" t="s">
        <v>291</v>
      </c>
      <c r="C3" s="99" t="s">
        <v>292</v>
      </c>
      <c r="D3" s="96" t="s">
        <v>293</v>
      </c>
      <c r="E3" s="95" t="s">
        <v>294</v>
      </c>
      <c r="F3" s="100" t="s">
        <v>295</v>
      </c>
      <c r="G3" s="101" t="s">
        <v>296</v>
      </c>
      <c r="H3" s="102"/>
      <c r="I3" s="95" t="s">
        <v>291</v>
      </c>
      <c r="J3" s="99" t="s">
        <v>297</v>
      </c>
      <c r="K3" s="96" t="s">
        <v>293</v>
      </c>
      <c r="L3" s="95" t="s">
        <v>294</v>
      </c>
      <c r="M3" s="100" t="s">
        <v>295</v>
      </c>
      <c r="N3" s="101" t="s">
        <v>296</v>
      </c>
      <c r="P3" s="95" t="s">
        <v>291</v>
      </c>
      <c r="Q3" s="99" t="s">
        <v>297</v>
      </c>
      <c r="R3" s="96" t="s">
        <v>293</v>
      </c>
      <c r="S3" s="94" t="s">
        <v>291</v>
      </c>
      <c r="T3" s="99" t="s">
        <v>292</v>
      </c>
      <c r="U3" s="96" t="s">
        <v>293</v>
      </c>
      <c r="W3" s="99" t="s">
        <v>292</v>
      </c>
      <c r="X3" s="96" t="s">
        <v>293</v>
      </c>
    </row>
    <row r="4" spans="2:24" x14ac:dyDescent="0.15">
      <c r="B4" s="94">
        <v>1</v>
      </c>
      <c r="C4" s="103">
        <v>191</v>
      </c>
      <c r="D4" s="96" t="s">
        <v>217</v>
      </c>
      <c r="E4" s="95">
        <v>1</v>
      </c>
      <c r="F4" s="104" t="s">
        <v>9</v>
      </c>
      <c r="G4" s="105" t="s">
        <v>298</v>
      </c>
      <c r="H4" s="104"/>
      <c r="I4" s="95">
        <v>1</v>
      </c>
      <c r="J4" s="106">
        <v>1911</v>
      </c>
      <c r="K4" s="96" t="s">
        <v>299</v>
      </c>
      <c r="L4" s="95">
        <v>1</v>
      </c>
      <c r="M4" s="104" t="s">
        <v>9</v>
      </c>
      <c r="N4" s="105" t="s">
        <v>298</v>
      </c>
      <c r="P4" s="95">
        <v>1</v>
      </c>
      <c r="Q4" s="106">
        <v>1911</v>
      </c>
      <c r="R4" s="96" t="s">
        <v>299</v>
      </c>
      <c r="S4" s="94">
        <v>1</v>
      </c>
      <c r="T4" s="103">
        <v>191</v>
      </c>
      <c r="U4" s="96" t="s">
        <v>300</v>
      </c>
      <c r="W4" s="103">
        <v>191</v>
      </c>
      <c r="X4" s="96" t="s">
        <v>300</v>
      </c>
    </row>
    <row r="5" spans="2:24" x14ac:dyDescent="0.15">
      <c r="B5" s="94">
        <v>2</v>
      </c>
      <c r="C5" s="103">
        <v>192</v>
      </c>
      <c r="D5" s="96" t="s">
        <v>218</v>
      </c>
      <c r="E5" s="95">
        <v>1</v>
      </c>
      <c r="F5" s="104" t="s">
        <v>9</v>
      </c>
      <c r="G5" s="95"/>
      <c r="I5" s="95">
        <v>2</v>
      </c>
      <c r="J5" s="106">
        <v>1912</v>
      </c>
      <c r="K5" s="96" t="s">
        <v>301</v>
      </c>
      <c r="L5" s="95">
        <v>1</v>
      </c>
      <c r="M5" s="104" t="s">
        <v>9</v>
      </c>
      <c r="N5" s="105"/>
      <c r="P5" s="95">
        <v>2</v>
      </c>
      <c r="Q5" s="106">
        <v>1912</v>
      </c>
      <c r="R5" s="96" t="s">
        <v>301</v>
      </c>
      <c r="S5" s="94">
        <v>1</v>
      </c>
      <c r="T5" s="103">
        <v>191</v>
      </c>
      <c r="W5" s="103">
        <v>191</v>
      </c>
    </row>
    <row r="6" spans="2:24" x14ac:dyDescent="0.15">
      <c r="B6" s="94">
        <v>3</v>
      </c>
      <c r="C6" s="103">
        <v>280</v>
      </c>
      <c r="D6" s="96" t="s">
        <v>219</v>
      </c>
      <c r="E6" s="95">
        <v>1</v>
      </c>
      <c r="F6" s="104" t="s">
        <v>9</v>
      </c>
      <c r="G6" s="95"/>
      <c r="I6" s="95">
        <v>3</v>
      </c>
      <c r="J6" s="106">
        <v>1913</v>
      </c>
      <c r="K6" s="96" t="s">
        <v>302</v>
      </c>
      <c r="L6" s="95">
        <v>1</v>
      </c>
      <c r="M6" s="104" t="s">
        <v>9</v>
      </c>
      <c r="N6" s="105"/>
      <c r="P6" s="95">
        <v>3</v>
      </c>
      <c r="Q6" s="106">
        <v>1913</v>
      </c>
      <c r="R6" s="96" t="s">
        <v>302</v>
      </c>
      <c r="S6" s="94">
        <v>1</v>
      </c>
      <c r="T6" s="103">
        <v>191</v>
      </c>
      <c r="W6" s="103">
        <v>191</v>
      </c>
    </row>
    <row r="7" spans="2:24" x14ac:dyDescent="0.15">
      <c r="B7" s="94">
        <v>4</v>
      </c>
      <c r="C7" s="103">
        <v>580</v>
      </c>
      <c r="D7" s="96" t="s">
        <v>220</v>
      </c>
      <c r="E7" s="95">
        <v>2</v>
      </c>
      <c r="F7" s="104" t="s">
        <v>185</v>
      </c>
      <c r="G7" s="105" t="s">
        <v>303</v>
      </c>
      <c r="I7" s="95">
        <v>4</v>
      </c>
      <c r="J7" s="106">
        <v>1914</v>
      </c>
      <c r="K7" s="96" t="s">
        <v>304</v>
      </c>
      <c r="L7" s="95">
        <v>1</v>
      </c>
      <c r="M7" s="104" t="s">
        <v>9</v>
      </c>
      <c r="N7" s="105"/>
      <c r="P7" s="95">
        <v>4</v>
      </c>
      <c r="Q7" s="106">
        <v>1914</v>
      </c>
      <c r="R7" s="96" t="s">
        <v>304</v>
      </c>
      <c r="S7" s="94">
        <v>1</v>
      </c>
      <c r="T7" s="103">
        <v>191</v>
      </c>
      <c r="W7" s="103">
        <v>191</v>
      </c>
    </row>
    <row r="8" spans="2:24" x14ac:dyDescent="0.15">
      <c r="B8" s="94">
        <v>5</v>
      </c>
      <c r="C8" s="103">
        <v>680</v>
      </c>
      <c r="D8" s="96" t="s">
        <v>221</v>
      </c>
      <c r="E8" s="95">
        <v>3</v>
      </c>
      <c r="F8" s="104" t="s">
        <v>184</v>
      </c>
      <c r="G8" s="105" t="s">
        <v>305</v>
      </c>
      <c r="I8" s="95">
        <v>5</v>
      </c>
      <c r="J8" s="106">
        <v>1915</v>
      </c>
      <c r="K8" s="96" t="s">
        <v>306</v>
      </c>
      <c r="L8" s="95">
        <v>1</v>
      </c>
      <c r="M8" s="104" t="s">
        <v>9</v>
      </c>
      <c r="N8" s="105"/>
      <c r="P8" s="95">
        <v>5</v>
      </c>
      <c r="Q8" s="106">
        <v>1915</v>
      </c>
      <c r="R8" s="96" t="s">
        <v>306</v>
      </c>
      <c r="S8" s="94">
        <v>1</v>
      </c>
      <c r="T8" s="103">
        <v>191</v>
      </c>
      <c r="W8" s="103">
        <v>191</v>
      </c>
    </row>
    <row r="9" spans="2:24" x14ac:dyDescent="0.15">
      <c r="B9" s="94">
        <v>6</v>
      </c>
      <c r="C9" s="103">
        <v>791</v>
      </c>
      <c r="D9" s="96" t="s">
        <v>222</v>
      </c>
      <c r="E9" s="95">
        <v>4</v>
      </c>
      <c r="F9" s="104" t="s">
        <v>10</v>
      </c>
      <c r="G9" s="105" t="s">
        <v>307</v>
      </c>
      <c r="I9" s="95">
        <v>6</v>
      </c>
      <c r="J9" s="106">
        <v>1916</v>
      </c>
      <c r="K9" s="96" t="s">
        <v>308</v>
      </c>
      <c r="L9" s="95">
        <v>1</v>
      </c>
      <c r="M9" s="104" t="s">
        <v>9</v>
      </c>
      <c r="N9" s="105"/>
      <c r="P9" s="95">
        <v>6</v>
      </c>
      <c r="Q9" s="106">
        <v>1916</v>
      </c>
      <c r="R9" s="96" t="s">
        <v>308</v>
      </c>
      <c r="S9" s="94">
        <v>1</v>
      </c>
      <c r="T9" s="103">
        <v>191</v>
      </c>
      <c r="W9" s="103">
        <v>191</v>
      </c>
    </row>
    <row r="10" spans="2:24" x14ac:dyDescent="0.15">
      <c r="B10" s="94">
        <v>7</v>
      </c>
      <c r="C10" s="103">
        <v>792</v>
      </c>
      <c r="D10" s="96" t="s">
        <v>223</v>
      </c>
      <c r="E10" s="95">
        <v>5</v>
      </c>
      <c r="F10" s="104" t="s">
        <v>11</v>
      </c>
      <c r="G10" s="105" t="s">
        <v>309</v>
      </c>
      <c r="I10" s="95">
        <v>7</v>
      </c>
      <c r="J10" s="106">
        <v>1917</v>
      </c>
      <c r="K10" s="96" t="s">
        <v>310</v>
      </c>
      <c r="L10" s="95">
        <v>1</v>
      </c>
      <c r="M10" s="104" t="s">
        <v>9</v>
      </c>
      <c r="N10" s="105"/>
      <c r="P10" s="95">
        <v>7</v>
      </c>
      <c r="Q10" s="106">
        <v>1917</v>
      </c>
      <c r="R10" s="96" t="s">
        <v>310</v>
      </c>
      <c r="S10" s="94">
        <v>1</v>
      </c>
      <c r="T10" s="103">
        <v>191</v>
      </c>
      <c r="W10" s="103">
        <v>191</v>
      </c>
    </row>
    <row r="11" spans="2:24" x14ac:dyDescent="0.15">
      <c r="B11" s="94">
        <v>8</v>
      </c>
      <c r="C11" s="103">
        <v>1091</v>
      </c>
      <c r="D11" s="96" t="s">
        <v>224</v>
      </c>
      <c r="E11" s="95">
        <v>6</v>
      </c>
      <c r="F11" s="104" t="s">
        <v>12</v>
      </c>
      <c r="G11" s="105" t="s">
        <v>311</v>
      </c>
      <c r="I11" s="95">
        <v>8</v>
      </c>
      <c r="J11" s="106">
        <v>1918</v>
      </c>
      <c r="K11" s="96" t="s">
        <v>312</v>
      </c>
      <c r="L11" s="95">
        <v>1</v>
      </c>
      <c r="M11" s="104" t="s">
        <v>9</v>
      </c>
      <c r="N11" s="105"/>
      <c r="P11" s="95">
        <v>8</v>
      </c>
      <c r="Q11" s="106">
        <v>1918</v>
      </c>
      <c r="R11" s="96" t="s">
        <v>312</v>
      </c>
      <c r="S11" s="94">
        <v>1</v>
      </c>
      <c r="T11" s="103">
        <v>191</v>
      </c>
      <c r="W11" s="103">
        <v>191</v>
      </c>
    </row>
    <row r="12" spans="2:24" x14ac:dyDescent="0.15">
      <c r="B12" s="94">
        <v>9</v>
      </c>
      <c r="C12" s="103">
        <v>1092</v>
      </c>
      <c r="D12" s="96" t="s">
        <v>225</v>
      </c>
      <c r="E12" s="95">
        <v>6</v>
      </c>
      <c r="F12" s="104" t="s">
        <v>12</v>
      </c>
      <c r="G12" s="95"/>
      <c r="I12" s="95">
        <v>9</v>
      </c>
      <c r="J12" s="106">
        <v>1919</v>
      </c>
      <c r="K12" s="96" t="s">
        <v>313</v>
      </c>
      <c r="L12" s="95">
        <v>1</v>
      </c>
      <c r="M12" s="104" t="s">
        <v>9</v>
      </c>
      <c r="N12" s="105"/>
      <c r="P12" s="95">
        <v>9</v>
      </c>
      <c r="Q12" s="106">
        <v>1919</v>
      </c>
      <c r="R12" s="96" t="s">
        <v>313</v>
      </c>
      <c r="S12" s="94">
        <v>1</v>
      </c>
      <c r="T12" s="103">
        <v>191</v>
      </c>
      <c r="W12" s="103">
        <v>191</v>
      </c>
    </row>
    <row r="13" spans="2:24" x14ac:dyDescent="0.15">
      <c r="B13" s="94">
        <v>10</v>
      </c>
      <c r="C13" s="103">
        <v>1093</v>
      </c>
      <c r="D13" s="96" t="s">
        <v>226</v>
      </c>
      <c r="E13" s="95">
        <v>6</v>
      </c>
      <c r="F13" s="104" t="s">
        <v>12</v>
      </c>
      <c r="G13" s="95"/>
      <c r="I13" s="95">
        <v>10</v>
      </c>
      <c r="J13" s="106">
        <v>1921</v>
      </c>
      <c r="K13" s="96" t="s">
        <v>314</v>
      </c>
      <c r="L13" s="95">
        <v>1</v>
      </c>
      <c r="M13" s="104" t="s">
        <v>9</v>
      </c>
      <c r="N13" s="105"/>
      <c r="P13" s="95">
        <v>10</v>
      </c>
      <c r="Q13" s="106">
        <v>1921</v>
      </c>
      <c r="R13" s="96" t="s">
        <v>314</v>
      </c>
      <c r="S13" s="94">
        <v>2</v>
      </c>
      <c r="T13" s="103">
        <v>192</v>
      </c>
      <c r="U13" s="96" t="s">
        <v>315</v>
      </c>
      <c r="W13" s="103">
        <v>192</v>
      </c>
      <c r="X13" s="96" t="s">
        <v>315</v>
      </c>
    </row>
    <row r="14" spans="2:24" x14ac:dyDescent="0.15">
      <c r="B14" s="94">
        <v>11</v>
      </c>
      <c r="C14" s="103">
        <v>1100</v>
      </c>
      <c r="D14" s="96" t="s">
        <v>227</v>
      </c>
      <c r="E14" s="95">
        <v>6</v>
      </c>
      <c r="F14" s="104" t="s">
        <v>12</v>
      </c>
      <c r="G14" s="95"/>
      <c r="I14" s="95">
        <v>11</v>
      </c>
      <c r="J14" s="106">
        <v>1922</v>
      </c>
      <c r="K14" s="96" t="s">
        <v>316</v>
      </c>
      <c r="L14" s="95">
        <v>1</v>
      </c>
      <c r="M14" s="104" t="s">
        <v>9</v>
      </c>
      <c r="N14" s="105"/>
      <c r="P14" s="95">
        <v>11</v>
      </c>
      <c r="Q14" s="106">
        <v>1922</v>
      </c>
      <c r="R14" s="96" t="s">
        <v>316</v>
      </c>
      <c r="S14" s="94">
        <v>2</v>
      </c>
      <c r="T14" s="103">
        <v>192</v>
      </c>
      <c r="W14" s="103">
        <v>192</v>
      </c>
    </row>
    <row r="15" spans="2:24" x14ac:dyDescent="0.15">
      <c r="B15" s="94">
        <v>12</v>
      </c>
      <c r="C15" s="103">
        <v>1200</v>
      </c>
      <c r="D15" s="96" t="s">
        <v>228</v>
      </c>
      <c r="E15" s="95">
        <v>6</v>
      </c>
      <c r="F15" s="104" t="s">
        <v>12</v>
      </c>
      <c r="G15" s="95"/>
      <c r="I15" s="95">
        <v>12</v>
      </c>
      <c r="J15" s="106">
        <v>1923</v>
      </c>
      <c r="K15" s="96" t="s">
        <v>317</v>
      </c>
      <c r="L15" s="95">
        <v>1</v>
      </c>
      <c r="M15" s="104" t="s">
        <v>9</v>
      </c>
      <c r="N15" s="105"/>
      <c r="P15" s="95">
        <v>12</v>
      </c>
      <c r="Q15" s="106">
        <v>1923</v>
      </c>
      <c r="R15" s="96" t="s">
        <v>317</v>
      </c>
      <c r="S15" s="94">
        <v>2</v>
      </c>
      <c r="T15" s="103">
        <v>192</v>
      </c>
      <c r="W15" s="103">
        <v>192</v>
      </c>
    </row>
    <row r="16" spans="2:24" x14ac:dyDescent="0.15">
      <c r="B16" s="94">
        <v>13</v>
      </c>
      <c r="C16" s="103">
        <v>1300</v>
      </c>
      <c r="D16" s="96" t="s">
        <v>229</v>
      </c>
      <c r="E16" s="95">
        <v>7</v>
      </c>
      <c r="F16" s="104" t="s">
        <v>13</v>
      </c>
      <c r="G16" s="105" t="s">
        <v>318</v>
      </c>
      <c r="I16" s="95">
        <v>13</v>
      </c>
      <c r="J16" s="106">
        <v>1924</v>
      </c>
      <c r="K16" s="96" t="s">
        <v>319</v>
      </c>
      <c r="L16" s="95">
        <v>1</v>
      </c>
      <c r="M16" s="104" t="s">
        <v>9</v>
      </c>
      <c r="N16" s="105"/>
      <c r="P16" s="95">
        <v>13</v>
      </c>
      <c r="Q16" s="106">
        <v>1924</v>
      </c>
      <c r="R16" s="96" t="s">
        <v>319</v>
      </c>
      <c r="S16" s="94">
        <v>2</v>
      </c>
      <c r="T16" s="103">
        <v>192</v>
      </c>
      <c r="W16" s="103">
        <v>192</v>
      </c>
    </row>
    <row r="17" spans="2:24" x14ac:dyDescent="0.15">
      <c r="B17" s="94">
        <v>14</v>
      </c>
      <c r="C17" s="103">
        <v>1400</v>
      </c>
      <c r="D17" s="96" t="s">
        <v>230</v>
      </c>
      <c r="E17" s="95">
        <v>7</v>
      </c>
      <c r="F17" s="104" t="s">
        <v>13</v>
      </c>
      <c r="G17" s="95"/>
      <c r="I17" s="95">
        <v>14</v>
      </c>
      <c r="J17" s="106">
        <v>2801</v>
      </c>
      <c r="K17" s="96" t="s">
        <v>320</v>
      </c>
      <c r="L17" s="95">
        <v>1</v>
      </c>
      <c r="M17" s="104" t="s">
        <v>9</v>
      </c>
      <c r="N17" s="105"/>
      <c r="P17" s="95">
        <v>14</v>
      </c>
      <c r="Q17" s="106">
        <v>2801</v>
      </c>
      <c r="R17" s="96" t="s">
        <v>320</v>
      </c>
      <c r="S17" s="94">
        <v>3</v>
      </c>
      <c r="T17" s="103">
        <v>280</v>
      </c>
      <c r="U17" s="96" t="s">
        <v>321</v>
      </c>
      <c r="W17" s="103">
        <v>280</v>
      </c>
      <c r="X17" s="96" t="s">
        <v>321</v>
      </c>
    </row>
    <row r="18" spans="2:24" x14ac:dyDescent="0.15">
      <c r="B18" s="94">
        <v>15</v>
      </c>
      <c r="C18" s="103">
        <v>1500</v>
      </c>
      <c r="D18" s="96" t="s">
        <v>231</v>
      </c>
      <c r="E18" s="95">
        <v>7</v>
      </c>
      <c r="F18" s="104" t="s">
        <v>13</v>
      </c>
      <c r="G18" s="95"/>
      <c r="I18" s="95">
        <v>15</v>
      </c>
      <c r="J18" s="106">
        <v>2802</v>
      </c>
      <c r="K18" s="96" t="s">
        <v>322</v>
      </c>
      <c r="L18" s="95">
        <v>1</v>
      </c>
      <c r="M18" s="104" t="s">
        <v>9</v>
      </c>
      <c r="N18" s="105"/>
      <c r="P18" s="95">
        <v>15</v>
      </c>
      <c r="Q18" s="106">
        <v>2802</v>
      </c>
      <c r="R18" s="96" t="s">
        <v>322</v>
      </c>
      <c r="S18" s="94">
        <v>3</v>
      </c>
      <c r="T18" s="103">
        <v>280</v>
      </c>
      <c r="W18" s="103">
        <v>280</v>
      </c>
    </row>
    <row r="19" spans="2:24" x14ac:dyDescent="0.15">
      <c r="B19" s="94">
        <v>16</v>
      </c>
      <c r="C19" s="103">
        <v>1600</v>
      </c>
      <c r="D19" s="96" t="s">
        <v>232</v>
      </c>
      <c r="E19" s="95">
        <v>8</v>
      </c>
      <c r="F19" s="104" t="s">
        <v>14</v>
      </c>
      <c r="G19" s="105" t="s">
        <v>323</v>
      </c>
      <c r="I19" s="95">
        <v>16</v>
      </c>
      <c r="J19" s="106">
        <v>5801</v>
      </c>
      <c r="K19" s="96" t="s">
        <v>324</v>
      </c>
      <c r="L19" s="95">
        <v>2</v>
      </c>
      <c r="M19" s="104" t="s">
        <v>185</v>
      </c>
      <c r="N19" s="105" t="s">
        <v>303</v>
      </c>
      <c r="P19" s="95">
        <v>16</v>
      </c>
      <c r="Q19" s="106">
        <v>5801</v>
      </c>
      <c r="R19" s="96" t="s">
        <v>324</v>
      </c>
      <c r="S19" s="94">
        <v>4</v>
      </c>
      <c r="T19" s="103">
        <v>580</v>
      </c>
      <c r="U19" s="96" t="s">
        <v>325</v>
      </c>
      <c r="W19" s="103">
        <v>580</v>
      </c>
      <c r="X19" s="96" t="s">
        <v>325</v>
      </c>
    </row>
    <row r="20" spans="2:24" x14ac:dyDescent="0.15">
      <c r="B20" s="94">
        <v>17</v>
      </c>
      <c r="C20" s="103">
        <v>1700</v>
      </c>
      <c r="D20" s="96" t="s">
        <v>233</v>
      </c>
      <c r="E20" s="95">
        <v>9</v>
      </c>
      <c r="F20" s="104" t="s">
        <v>15</v>
      </c>
      <c r="G20" s="105" t="s">
        <v>326</v>
      </c>
      <c r="I20" s="95">
        <v>17</v>
      </c>
      <c r="J20" s="106">
        <v>5802</v>
      </c>
      <c r="K20" s="96" t="s">
        <v>327</v>
      </c>
      <c r="L20" s="95">
        <v>2</v>
      </c>
      <c r="M20" s="104" t="s">
        <v>185</v>
      </c>
      <c r="N20" s="105"/>
      <c r="P20" s="95">
        <v>17</v>
      </c>
      <c r="Q20" s="106">
        <v>5802</v>
      </c>
      <c r="R20" s="96" t="s">
        <v>327</v>
      </c>
      <c r="S20" s="94">
        <v>4</v>
      </c>
      <c r="T20" s="103">
        <v>580</v>
      </c>
      <c r="W20" s="103">
        <v>580</v>
      </c>
    </row>
    <row r="21" spans="2:24" x14ac:dyDescent="0.15">
      <c r="B21" s="94">
        <v>18</v>
      </c>
      <c r="C21" s="103">
        <v>1800</v>
      </c>
      <c r="D21" s="96" t="s">
        <v>234</v>
      </c>
      <c r="E21" s="95">
        <v>9</v>
      </c>
      <c r="F21" s="104" t="s">
        <v>15</v>
      </c>
      <c r="G21" s="95"/>
      <c r="I21" s="95">
        <v>18</v>
      </c>
      <c r="J21" s="106">
        <v>6801</v>
      </c>
      <c r="K21" s="96" t="s">
        <v>328</v>
      </c>
      <c r="L21" s="95">
        <v>3</v>
      </c>
      <c r="M21" s="104" t="s">
        <v>184</v>
      </c>
      <c r="N21" s="105" t="s">
        <v>305</v>
      </c>
      <c r="P21" s="95">
        <v>18</v>
      </c>
      <c r="Q21" s="106">
        <v>6801</v>
      </c>
      <c r="R21" s="96" t="s">
        <v>328</v>
      </c>
      <c r="S21" s="94">
        <v>5</v>
      </c>
      <c r="T21" s="103">
        <v>680</v>
      </c>
      <c r="U21" s="96" t="s">
        <v>329</v>
      </c>
      <c r="W21" s="103">
        <v>680</v>
      </c>
      <c r="X21" s="96" t="s">
        <v>329</v>
      </c>
    </row>
    <row r="22" spans="2:24" x14ac:dyDescent="0.15">
      <c r="B22" s="94">
        <v>19</v>
      </c>
      <c r="C22" s="103">
        <v>1991</v>
      </c>
      <c r="D22" s="96" t="s">
        <v>235</v>
      </c>
      <c r="E22" s="95">
        <v>10</v>
      </c>
      <c r="F22" s="104" t="s">
        <v>16</v>
      </c>
      <c r="G22" s="105" t="s">
        <v>330</v>
      </c>
      <c r="I22" s="95">
        <v>19</v>
      </c>
      <c r="J22" s="106">
        <v>7911</v>
      </c>
      <c r="K22" s="96" t="s">
        <v>331</v>
      </c>
      <c r="L22" s="95">
        <v>4</v>
      </c>
      <c r="M22" s="104" t="s">
        <v>10</v>
      </c>
      <c r="N22" s="105" t="s">
        <v>307</v>
      </c>
      <c r="P22" s="95">
        <v>19</v>
      </c>
      <c r="Q22" s="106">
        <v>7911</v>
      </c>
      <c r="R22" s="96" t="s">
        <v>331</v>
      </c>
      <c r="S22" s="94">
        <v>6</v>
      </c>
      <c r="T22" s="103">
        <v>791</v>
      </c>
      <c r="U22" s="96" t="s">
        <v>332</v>
      </c>
      <c r="W22" s="103">
        <v>791</v>
      </c>
      <c r="X22" s="96" t="s">
        <v>332</v>
      </c>
    </row>
    <row r="23" spans="2:24" x14ac:dyDescent="0.15">
      <c r="B23" s="94">
        <v>20</v>
      </c>
      <c r="C23" s="103">
        <v>1992</v>
      </c>
      <c r="D23" s="96" t="s">
        <v>236</v>
      </c>
      <c r="E23" s="95">
        <v>10</v>
      </c>
      <c r="F23" s="104" t="s">
        <v>16</v>
      </c>
      <c r="G23" s="95"/>
      <c r="I23" s="95">
        <v>20</v>
      </c>
      <c r="J23" s="106">
        <v>7921</v>
      </c>
      <c r="K23" s="96" t="s">
        <v>333</v>
      </c>
      <c r="L23" s="95">
        <v>5</v>
      </c>
      <c r="M23" s="104" t="s">
        <v>11</v>
      </c>
      <c r="N23" s="105" t="s">
        <v>309</v>
      </c>
      <c r="P23" s="95">
        <v>20</v>
      </c>
      <c r="Q23" s="106">
        <v>7921</v>
      </c>
      <c r="R23" s="96" t="s">
        <v>333</v>
      </c>
      <c r="S23" s="94">
        <v>7</v>
      </c>
      <c r="T23" s="103">
        <v>792</v>
      </c>
      <c r="U23" s="96" t="s">
        <v>334</v>
      </c>
      <c r="W23" s="103">
        <v>792</v>
      </c>
      <c r="X23" s="96" t="s">
        <v>334</v>
      </c>
    </row>
    <row r="24" spans="2:24" x14ac:dyDescent="0.15">
      <c r="B24" s="94">
        <v>21</v>
      </c>
      <c r="C24" s="103">
        <v>2091</v>
      </c>
      <c r="D24" s="96" t="s">
        <v>237</v>
      </c>
      <c r="E24" s="95">
        <v>11</v>
      </c>
      <c r="F24" s="104" t="s">
        <v>170</v>
      </c>
      <c r="G24" s="105" t="s">
        <v>335</v>
      </c>
      <c r="I24" s="95">
        <v>21</v>
      </c>
      <c r="J24" s="106">
        <v>10911</v>
      </c>
      <c r="K24" s="96" t="s">
        <v>336</v>
      </c>
      <c r="L24" s="95">
        <v>6</v>
      </c>
      <c r="M24" s="104" t="s">
        <v>12</v>
      </c>
      <c r="N24" s="105" t="s">
        <v>311</v>
      </c>
      <c r="P24" s="95">
        <v>21</v>
      </c>
      <c r="Q24" s="106">
        <v>10911</v>
      </c>
      <c r="R24" s="96" t="s">
        <v>336</v>
      </c>
      <c r="S24" s="94">
        <v>8</v>
      </c>
      <c r="T24" s="103">
        <v>1091</v>
      </c>
      <c r="U24" s="96" t="s">
        <v>337</v>
      </c>
      <c r="W24" s="103">
        <v>1091</v>
      </c>
      <c r="X24" s="96" t="s">
        <v>337</v>
      </c>
    </row>
    <row r="25" spans="2:24" x14ac:dyDescent="0.15">
      <c r="B25" s="94">
        <v>22</v>
      </c>
      <c r="C25" s="103">
        <v>2092</v>
      </c>
      <c r="D25" s="96" t="s">
        <v>238</v>
      </c>
      <c r="E25" s="95">
        <v>11</v>
      </c>
      <c r="F25" s="104" t="s">
        <v>170</v>
      </c>
      <c r="G25" s="95"/>
      <c r="I25" s="95">
        <v>22</v>
      </c>
      <c r="J25" s="106">
        <v>10912</v>
      </c>
      <c r="K25" s="96" t="s">
        <v>338</v>
      </c>
      <c r="L25" s="95">
        <v>6</v>
      </c>
      <c r="M25" s="104" t="s">
        <v>12</v>
      </c>
      <c r="P25" s="95">
        <v>22</v>
      </c>
      <c r="Q25" s="106">
        <v>10912</v>
      </c>
      <c r="R25" s="96" t="s">
        <v>338</v>
      </c>
      <c r="S25" s="94">
        <v>8</v>
      </c>
      <c r="T25" s="103">
        <v>1091</v>
      </c>
      <c r="W25" s="103">
        <v>1091</v>
      </c>
    </row>
    <row r="26" spans="2:24" x14ac:dyDescent="0.15">
      <c r="B26" s="94">
        <v>23</v>
      </c>
      <c r="C26" s="103">
        <v>2093</v>
      </c>
      <c r="D26" s="96" t="s">
        <v>239</v>
      </c>
      <c r="E26" s="95">
        <v>11</v>
      </c>
      <c r="F26" s="104" t="s">
        <v>170</v>
      </c>
      <c r="G26" s="95"/>
      <c r="I26" s="95">
        <v>23</v>
      </c>
      <c r="J26" s="106">
        <v>10913</v>
      </c>
      <c r="K26" s="96" t="s">
        <v>339</v>
      </c>
      <c r="L26" s="95">
        <v>6</v>
      </c>
      <c r="M26" s="104" t="s">
        <v>12</v>
      </c>
      <c r="P26" s="95">
        <v>23</v>
      </c>
      <c r="Q26" s="106">
        <v>10913</v>
      </c>
      <c r="R26" s="96" t="s">
        <v>339</v>
      </c>
      <c r="S26" s="94">
        <v>8</v>
      </c>
      <c r="T26" s="103">
        <v>1091</v>
      </c>
      <c r="W26" s="103">
        <v>1091</v>
      </c>
    </row>
    <row r="27" spans="2:24" x14ac:dyDescent="0.15">
      <c r="B27" s="94">
        <v>24</v>
      </c>
      <c r="C27" s="103">
        <v>2100</v>
      </c>
      <c r="D27" s="96" t="s">
        <v>240</v>
      </c>
      <c r="E27" s="95">
        <v>12</v>
      </c>
      <c r="F27" s="104" t="s">
        <v>171</v>
      </c>
      <c r="G27" s="105" t="s">
        <v>340</v>
      </c>
      <c r="I27" s="95">
        <v>24</v>
      </c>
      <c r="J27" s="106">
        <v>10914</v>
      </c>
      <c r="K27" s="96" t="s">
        <v>341</v>
      </c>
      <c r="L27" s="95">
        <v>6</v>
      </c>
      <c r="M27" s="104" t="s">
        <v>12</v>
      </c>
      <c r="P27" s="95">
        <v>24</v>
      </c>
      <c r="Q27" s="106">
        <v>10914</v>
      </c>
      <c r="R27" s="96" t="s">
        <v>341</v>
      </c>
      <c r="S27" s="94">
        <v>8</v>
      </c>
      <c r="T27" s="103">
        <v>1091</v>
      </c>
      <c r="W27" s="103">
        <v>1091</v>
      </c>
    </row>
    <row r="28" spans="2:24" x14ac:dyDescent="0.15">
      <c r="B28" s="94">
        <v>25</v>
      </c>
      <c r="C28" s="103">
        <v>2200</v>
      </c>
      <c r="D28" s="96" t="s">
        <v>241</v>
      </c>
      <c r="E28" s="95">
        <v>13</v>
      </c>
      <c r="F28" s="104" t="s">
        <v>17</v>
      </c>
      <c r="G28" s="105" t="s">
        <v>342</v>
      </c>
      <c r="I28" s="95">
        <v>25</v>
      </c>
      <c r="J28" s="106">
        <v>10915</v>
      </c>
      <c r="K28" s="96" t="s">
        <v>343</v>
      </c>
      <c r="L28" s="95">
        <v>6</v>
      </c>
      <c r="M28" s="104" t="s">
        <v>12</v>
      </c>
      <c r="P28" s="95">
        <v>25</v>
      </c>
      <c r="Q28" s="106">
        <v>10915</v>
      </c>
      <c r="R28" s="96" t="s">
        <v>343</v>
      </c>
      <c r="S28" s="94">
        <v>8</v>
      </c>
      <c r="T28" s="103">
        <v>1091</v>
      </c>
      <c r="W28" s="103">
        <v>1091</v>
      </c>
    </row>
    <row r="29" spans="2:24" x14ac:dyDescent="0.15">
      <c r="B29" s="108">
        <v>26</v>
      </c>
      <c r="C29" s="109">
        <v>2300</v>
      </c>
      <c r="D29" s="110" t="s">
        <v>344</v>
      </c>
      <c r="E29" s="95" t="s">
        <v>345</v>
      </c>
      <c r="F29" s="111" t="s">
        <v>345</v>
      </c>
      <c r="I29" s="95">
        <v>26</v>
      </c>
      <c r="J29" s="106">
        <v>10916</v>
      </c>
      <c r="K29" s="96" t="s">
        <v>346</v>
      </c>
      <c r="L29" s="95">
        <v>6</v>
      </c>
      <c r="M29" s="104" t="s">
        <v>12</v>
      </c>
      <c r="P29" s="95">
        <v>26</v>
      </c>
      <c r="Q29" s="106">
        <v>10916</v>
      </c>
      <c r="R29" s="96" t="s">
        <v>346</v>
      </c>
      <c r="S29" s="94">
        <v>8</v>
      </c>
      <c r="T29" s="103">
        <v>1091</v>
      </c>
      <c r="W29" s="103">
        <v>1091</v>
      </c>
    </row>
    <row r="30" spans="2:24" x14ac:dyDescent="0.15">
      <c r="B30" s="112">
        <v>26.332999999999998</v>
      </c>
      <c r="C30" s="113">
        <v>2310</v>
      </c>
      <c r="D30" s="110" t="s">
        <v>242</v>
      </c>
      <c r="E30" s="95">
        <v>14</v>
      </c>
      <c r="F30" s="104" t="s">
        <v>190</v>
      </c>
      <c r="G30" s="105" t="s">
        <v>347</v>
      </c>
      <c r="I30" s="95">
        <v>27</v>
      </c>
      <c r="J30" s="106">
        <v>10921</v>
      </c>
      <c r="K30" s="96" t="s">
        <v>348</v>
      </c>
      <c r="L30" s="95">
        <v>6</v>
      </c>
      <c r="M30" s="104" t="s">
        <v>12</v>
      </c>
      <c r="P30" s="95">
        <v>27</v>
      </c>
      <c r="Q30" s="106">
        <v>10921</v>
      </c>
      <c r="R30" s="96" t="s">
        <v>348</v>
      </c>
      <c r="S30" s="94">
        <v>9</v>
      </c>
      <c r="T30" s="103">
        <v>1092</v>
      </c>
      <c r="U30" s="96" t="s">
        <v>349</v>
      </c>
      <c r="W30" s="103">
        <v>1092</v>
      </c>
      <c r="X30" s="96" t="s">
        <v>349</v>
      </c>
    </row>
    <row r="31" spans="2:24" x14ac:dyDescent="0.15">
      <c r="B31" s="112">
        <v>26.666</v>
      </c>
      <c r="C31" s="113">
        <v>2320</v>
      </c>
      <c r="D31" s="110" t="s">
        <v>243</v>
      </c>
      <c r="E31" s="95">
        <v>15</v>
      </c>
      <c r="F31" s="104" t="s">
        <v>191</v>
      </c>
      <c r="G31" s="105" t="s">
        <v>350</v>
      </c>
      <c r="I31" s="95">
        <v>28</v>
      </c>
      <c r="J31" s="106">
        <v>10931</v>
      </c>
      <c r="K31" s="96" t="s">
        <v>351</v>
      </c>
      <c r="L31" s="95">
        <v>6</v>
      </c>
      <c r="M31" s="104" t="s">
        <v>12</v>
      </c>
      <c r="P31" s="95">
        <v>28</v>
      </c>
      <c r="Q31" s="106">
        <v>10931</v>
      </c>
      <c r="R31" s="96" t="s">
        <v>351</v>
      </c>
      <c r="S31" s="94">
        <v>10</v>
      </c>
      <c r="T31" s="103">
        <v>1093</v>
      </c>
      <c r="U31" s="96" t="s">
        <v>352</v>
      </c>
      <c r="W31" s="103">
        <v>1093</v>
      </c>
      <c r="X31" s="96" t="s">
        <v>352</v>
      </c>
    </row>
    <row r="32" spans="2:24" x14ac:dyDescent="0.15">
      <c r="B32" s="94">
        <v>27</v>
      </c>
      <c r="C32" s="103">
        <v>2491</v>
      </c>
      <c r="D32" s="96" t="s">
        <v>244</v>
      </c>
      <c r="E32" s="95">
        <v>16</v>
      </c>
      <c r="F32" s="104" t="s">
        <v>192</v>
      </c>
      <c r="G32" s="105" t="s">
        <v>353</v>
      </c>
      <c r="I32" s="95">
        <v>29</v>
      </c>
      <c r="J32" s="106">
        <v>10932</v>
      </c>
      <c r="K32" s="96" t="s">
        <v>354</v>
      </c>
      <c r="L32" s="95">
        <v>6</v>
      </c>
      <c r="M32" s="104" t="s">
        <v>12</v>
      </c>
      <c r="P32" s="95">
        <v>29</v>
      </c>
      <c r="Q32" s="106">
        <v>10932</v>
      </c>
      <c r="R32" s="96" t="s">
        <v>354</v>
      </c>
      <c r="S32" s="94">
        <v>10</v>
      </c>
      <c r="T32" s="103">
        <v>1093</v>
      </c>
      <c r="W32" s="103">
        <v>1093</v>
      </c>
    </row>
    <row r="33" spans="2:24" x14ac:dyDescent="0.15">
      <c r="B33" s="94">
        <v>28</v>
      </c>
      <c r="C33" s="103">
        <v>2492</v>
      </c>
      <c r="D33" s="96" t="s">
        <v>245</v>
      </c>
      <c r="E33" s="95">
        <v>17</v>
      </c>
      <c r="F33" s="104" t="s">
        <v>193</v>
      </c>
      <c r="G33" s="105" t="s">
        <v>355</v>
      </c>
      <c r="I33" s="95">
        <v>30</v>
      </c>
      <c r="J33" s="106">
        <v>10933</v>
      </c>
      <c r="K33" s="96" t="s">
        <v>356</v>
      </c>
      <c r="L33" s="95">
        <v>6</v>
      </c>
      <c r="M33" s="104" t="s">
        <v>12</v>
      </c>
      <c r="P33" s="95">
        <v>30</v>
      </c>
      <c r="Q33" s="106">
        <v>10933</v>
      </c>
      <c r="R33" s="96" t="s">
        <v>356</v>
      </c>
      <c r="S33" s="94">
        <v>10</v>
      </c>
      <c r="T33" s="103">
        <v>1093</v>
      </c>
      <c r="W33" s="103">
        <v>1093</v>
      </c>
    </row>
    <row r="34" spans="2:24" x14ac:dyDescent="0.15">
      <c r="B34" s="94">
        <v>29</v>
      </c>
      <c r="C34" s="103">
        <v>2500</v>
      </c>
      <c r="D34" s="96" t="s">
        <v>246</v>
      </c>
      <c r="E34" s="95">
        <v>17</v>
      </c>
      <c r="F34" s="104" t="s">
        <v>18</v>
      </c>
      <c r="G34" s="105" t="s">
        <v>357</v>
      </c>
      <c r="I34" s="95">
        <v>31</v>
      </c>
      <c r="J34" s="106">
        <v>10934</v>
      </c>
      <c r="K34" s="96" t="s">
        <v>358</v>
      </c>
      <c r="L34" s="95">
        <v>6</v>
      </c>
      <c r="M34" s="104" t="s">
        <v>12</v>
      </c>
      <c r="P34" s="95">
        <v>31</v>
      </c>
      <c r="Q34" s="106">
        <v>10934</v>
      </c>
      <c r="R34" s="96" t="s">
        <v>358</v>
      </c>
      <c r="S34" s="94">
        <v>10</v>
      </c>
      <c r="T34" s="103">
        <v>1093</v>
      </c>
      <c r="W34" s="103">
        <v>1093</v>
      </c>
    </row>
    <row r="35" spans="2:24" x14ac:dyDescent="0.15">
      <c r="B35" s="94">
        <v>30</v>
      </c>
      <c r="C35" s="103">
        <v>2600</v>
      </c>
      <c r="D35" s="96" t="s">
        <v>247</v>
      </c>
      <c r="E35" s="95">
        <v>18</v>
      </c>
      <c r="F35" s="104" t="s">
        <v>19</v>
      </c>
      <c r="G35" s="105" t="s">
        <v>359</v>
      </c>
      <c r="I35" s="95">
        <v>32</v>
      </c>
      <c r="J35" s="106">
        <v>10935</v>
      </c>
      <c r="K35" s="96" t="s">
        <v>360</v>
      </c>
      <c r="L35" s="95">
        <v>6</v>
      </c>
      <c r="M35" s="104" t="s">
        <v>12</v>
      </c>
      <c r="P35" s="95">
        <v>32</v>
      </c>
      <c r="Q35" s="106">
        <v>10935</v>
      </c>
      <c r="R35" s="96" t="s">
        <v>360</v>
      </c>
      <c r="S35" s="94">
        <v>10</v>
      </c>
      <c r="T35" s="103">
        <v>1093</v>
      </c>
      <c r="W35" s="103">
        <v>1093</v>
      </c>
    </row>
    <row r="36" spans="2:24" x14ac:dyDescent="0.15">
      <c r="B36" s="94">
        <v>31</v>
      </c>
      <c r="C36" s="103">
        <v>2700</v>
      </c>
      <c r="D36" s="96" t="s">
        <v>248</v>
      </c>
      <c r="E36" s="95">
        <v>19</v>
      </c>
      <c r="F36" s="104" t="s">
        <v>20</v>
      </c>
      <c r="G36" s="105" t="s">
        <v>361</v>
      </c>
      <c r="I36" s="95">
        <v>33</v>
      </c>
      <c r="J36" s="106">
        <v>10936</v>
      </c>
      <c r="K36" s="96" t="s">
        <v>362</v>
      </c>
      <c r="L36" s="95">
        <v>6</v>
      </c>
      <c r="M36" s="104" t="s">
        <v>12</v>
      </c>
      <c r="P36" s="95">
        <v>33</v>
      </c>
      <c r="Q36" s="106">
        <v>10936</v>
      </c>
      <c r="R36" s="96" t="s">
        <v>362</v>
      </c>
      <c r="S36" s="94">
        <v>10</v>
      </c>
      <c r="T36" s="103">
        <v>1093</v>
      </c>
      <c r="W36" s="103">
        <v>1093</v>
      </c>
    </row>
    <row r="37" spans="2:24" x14ac:dyDescent="0.15">
      <c r="B37" s="94">
        <v>32</v>
      </c>
      <c r="C37" s="103">
        <v>2800</v>
      </c>
      <c r="D37" s="96" t="s">
        <v>249</v>
      </c>
      <c r="E37" s="95">
        <v>20</v>
      </c>
      <c r="F37" s="104" t="s">
        <v>21</v>
      </c>
      <c r="G37" s="105" t="s">
        <v>363</v>
      </c>
      <c r="I37" s="95">
        <v>34</v>
      </c>
      <c r="J37" s="106">
        <v>10937</v>
      </c>
      <c r="K37" s="96" t="s">
        <v>226</v>
      </c>
      <c r="L37" s="95">
        <v>6</v>
      </c>
      <c r="M37" s="104" t="s">
        <v>12</v>
      </c>
      <c r="P37" s="95">
        <v>34</v>
      </c>
      <c r="Q37" s="106">
        <v>10937</v>
      </c>
      <c r="R37" s="96" t="s">
        <v>226</v>
      </c>
      <c r="S37" s="94">
        <v>10</v>
      </c>
      <c r="T37" s="103">
        <v>1093</v>
      </c>
      <c r="W37" s="103">
        <v>1093</v>
      </c>
    </row>
    <row r="38" spans="2:24" x14ac:dyDescent="0.15">
      <c r="B38" s="94">
        <v>33</v>
      </c>
      <c r="C38" s="103">
        <v>2991</v>
      </c>
      <c r="D38" s="96" t="s">
        <v>250</v>
      </c>
      <c r="E38" s="95">
        <v>21</v>
      </c>
      <c r="F38" s="104" t="s">
        <v>22</v>
      </c>
      <c r="G38" s="105" t="s">
        <v>364</v>
      </c>
      <c r="I38" s="95">
        <v>35</v>
      </c>
      <c r="J38" s="106">
        <v>11001</v>
      </c>
      <c r="K38" s="96" t="s">
        <v>365</v>
      </c>
      <c r="L38" s="95">
        <v>6</v>
      </c>
      <c r="M38" s="104" t="s">
        <v>12</v>
      </c>
      <c r="P38" s="95">
        <v>35</v>
      </c>
      <c r="Q38" s="106">
        <v>11001</v>
      </c>
      <c r="R38" s="96" t="s">
        <v>365</v>
      </c>
      <c r="S38" s="94">
        <v>11</v>
      </c>
      <c r="T38" s="103">
        <v>1100</v>
      </c>
      <c r="U38" s="96" t="s">
        <v>366</v>
      </c>
      <c r="W38" s="103">
        <v>1100</v>
      </c>
      <c r="X38" s="96" t="s">
        <v>366</v>
      </c>
    </row>
    <row r="39" spans="2:24" x14ac:dyDescent="0.15">
      <c r="B39" s="94">
        <v>34</v>
      </c>
      <c r="C39" s="103">
        <v>2992</v>
      </c>
      <c r="D39" s="96" t="s">
        <v>251</v>
      </c>
      <c r="E39" s="95">
        <v>21</v>
      </c>
      <c r="F39" s="104" t="s">
        <v>22</v>
      </c>
      <c r="G39" s="95"/>
      <c r="I39" s="95">
        <v>36</v>
      </c>
      <c r="J39" s="106">
        <v>12001</v>
      </c>
      <c r="K39" s="96" t="s">
        <v>367</v>
      </c>
      <c r="L39" s="95">
        <v>6</v>
      </c>
      <c r="M39" s="104" t="s">
        <v>12</v>
      </c>
      <c r="P39" s="95">
        <v>36</v>
      </c>
      <c r="Q39" s="106">
        <v>12001</v>
      </c>
      <c r="R39" s="96" t="s">
        <v>367</v>
      </c>
      <c r="S39" s="94">
        <v>12</v>
      </c>
      <c r="T39" s="103">
        <v>1200</v>
      </c>
      <c r="U39" s="96" t="s">
        <v>368</v>
      </c>
      <c r="W39" s="103">
        <v>1200</v>
      </c>
      <c r="X39" s="96" t="s">
        <v>368</v>
      </c>
    </row>
    <row r="40" spans="2:24" x14ac:dyDescent="0.15">
      <c r="B40" s="94">
        <v>35</v>
      </c>
      <c r="C40" s="103">
        <v>3000</v>
      </c>
      <c r="D40" s="96" t="s">
        <v>252</v>
      </c>
      <c r="E40" s="95">
        <v>22</v>
      </c>
      <c r="F40" s="104" t="s">
        <v>23</v>
      </c>
      <c r="G40" s="105" t="s">
        <v>369</v>
      </c>
      <c r="I40" s="95">
        <v>37</v>
      </c>
      <c r="J40" s="106">
        <v>13001</v>
      </c>
      <c r="K40" s="96" t="s">
        <v>370</v>
      </c>
      <c r="L40" s="95">
        <v>7</v>
      </c>
      <c r="M40" s="104" t="s">
        <v>13</v>
      </c>
      <c r="N40" s="105" t="s">
        <v>318</v>
      </c>
      <c r="P40" s="95">
        <v>37</v>
      </c>
      <c r="Q40" s="106">
        <v>13001</v>
      </c>
      <c r="R40" s="96" t="s">
        <v>370</v>
      </c>
      <c r="S40" s="94">
        <v>13</v>
      </c>
      <c r="T40" s="103">
        <v>1300</v>
      </c>
      <c r="U40" s="96" t="s">
        <v>371</v>
      </c>
      <c r="W40" s="103">
        <v>1300</v>
      </c>
      <c r="X40" s="96" t="s">
        <v>371</v>
      </c>
    </row>
    <row r="41" spans="2:24" x14ac:dyDescent="0.15">
      <c r="B41" s="94">
        <v>36</v>
      </c>
      <c r="C41" s="103">
        <v>3180</v>
      </c>
      <c r="D41" s="96" t="s">
        <v>253</v>
      </c>
      <c r="E41" s="95">
        <v>22</v>
      </c>
      <c r="F41" s="104" t="s">
        <v>23</v>
      </c>
      <c r="G41" s="95"/>
      <c r="I41" s="95">
        <v>38</v>
      </c>
      <c r="J41" s="106">
        <v>13002</v>
      </c>
      <c r="K41" s="96" t="s">
        <v>372</v>
      </c>
      <c r="L41" s="95">
        <v>7</v>
      </c>
      <c r="M41" s="104" t="s">
        <v>13</v>
      </c>
      <c r="P41" s="95">
        <v>38</v>
      </c>
      <c r="Q41" s="106">
        <v>13002</v>
      </c>
      <c r="R41" s="96" t="s">
        <v>372</v>
      </c>
      <c r="S41" s="94">
        <v>13</v>
      </c>
      <c r="T41" s="103">
        <v>1300</v>
      </c>
      <c r="W41" s="103">
        <v>1300</v>
      </c>
    </row>
    <row r="42" spans="2:24" x14ac:dyDescent="0.15">
      <c r="B42" s="94">
        <v>37</v>
      </c>
      <c r="C42" s="103">
        <v>3300</v>
      </c>
      <c r="D42" s="96" t="s">
        <v>254</v>
      </c>
      <c r="E42" s="95">
        <v>24</v>
      </c>
      <c r="F42" s="104" t="s">
        <v>24</v>
      </c>
      <c r="G42" s="105" t="s">
        <v>373</v>
      </c>
      <c r="I42" s="95">
        <v>39</v>
      </c>
      <c r="J42" s="106">
        <v>13003</v>
      </c>
      <c r="K42" s="96" t="s">
        <v>374</v>
      </c>
      <c r="L42" s="95">
        <v>7</v>
      </c>
      <c r="M42" s="104" t="s">
        <v>13</v>
      </c>
      <c r="P42" s="95">
        <v>39</v>
      </c>
      <c r="Q42" s="106">
        <v>13003</v>
      </c>
      <c r="R42" s="96" t="s">
        <v>374</v>
      </c>
      <c r="S42" s="94">
        <v>13</v>
      </c>
      <c r="T42" s="103">
        <v>1300</v>
      </c>
      <c r="W42" s="103">
        <v>1300</v>
      </c>
    </row>
    <row r="43" spans="2:24" x14ac:dyDescent="0.15">
      <c r="B43" s="108">
        <v>38</v>
      </c>
      <c r="C43" s="109">
        <v>3500</v>
      </c>
      <c r="D43" s="110" t="s">
        <v>375</v>
      </c>
      <c r="E43" s="95" t="s">
        <v>345</v>
      </c>
      <c r="F43" s="95" t="s">
        <v>345</v>
      </c>
      <c r="G43" s="95"/>
      <c r="I43" s="95">
        <v>40</v>
      </c>
      <c r="J43" s="106">
        <v>14001</v>
      </c>
      <c r="K43" s="96" t="s">
        <v>376</v>
      </c>
      <c r="L43" s="95">
        <v>7</v>
      </c>
      <c r="M43" s="104" t="s">
        <v>13</v>
      </c>
      <c r="P43" s="95">
        <v>40</v>
      </c>
      <c r="Q43" s="106">
        <v>14001</v>
      </c>
      <c r="R43" s="96" t="s">
        <v>376</v>
      </c>
      <c r="S43" s="94">
        <v>14</v>
      </c>
      <c r="T43" s="103">
        <v>1400</v>
      </c>
      <c r="U43" s="96" t="s">
        <v>377</v>
      </c>
      <c r="W43" s="103">
        <v>1400</v>
      </c>
      <c r="X43" s="96" t="s">
        <v>377</v>
      </c>
    </row>
    <row r="44" spans="2:24" x14ac:dyDescent="0.15">
      <c r="B44" s="112">
        <v>38.33</v>
      </c>
      <c r="C44" s="109">
        <v>3510</v>
      </c>
      <c r="D44" s="110" t="s">
        <v>255</v>
      </c>
      <c r="E44" s="95">
        <v>25</v>
      </c>
      <c r="F44" s="104" t="s">
        <v>187</v>
      </c>
      <c r="G44" s="105" t="s">
        <v>378</v>
      </c>
      <c r="I44" s="95">
        <v>41</v>
      </c>
      <c r="J44" s="106">
        <v>15001</v>
      </c>
      <c r="K44" s="96" t="s">
        <v>379</v>
      </c>
      <c r="L44" s="95">
        <v>7</v>
      </c>
      <c r="M44" s="104" t="s">
        <v>13</v>
      </c>
      <c r="P44" s="95">
        <v>41</v>
      </c>
      <c r="Q44" s="106">
        <v>15001</v>
      </c>
      <c r="R44" s="96" t="s">
        <v>379</v>
      </c>
      <c r="S44" s="94">
        <v>15</v>
      </c>
      <c r="T44" s="103">
        <v>1500</v>
      </c>
      <c r="U44" s="96" t="s">
        <v>380</v>
      </c>
      <c r="W44" s="103">
        <v>1500</v>
      </c>
      <c r="X44" s="96" t="s">
        <v>380</v>
      </c>
    </row>
    <row r="45" spans="2:24" x14ac:dyDescent="0.15">
      <c r="B45" s="112">
        <v>38.659999999999997</v>
      </c>
      <c r="C45" s="109">
        <v>3520</v>
      </c>
      <c r="D45" s="110" t="s">
        <v>256</v>
      </c>
      <c r="E45" s="95">
        <v>26</v>
      </c>
      <c r="F45" s="104" t="s">
        <v>188</v>
      </c>
      <c r="G45" s="105" t="s">
        <v>381</v>
      </c>
      <c r="I45" s="95">
        <v>42</v>
      </c>
      <c r="J45" s="106">
        <v>16001</v>
      </c>
      <c r="K45" s="96" t="s">
        <v>382</v>
      </c>
      <c r="L45" s="95">
        <v>8</v>
      </c>
      <c r="M45" s="104" t="s">
        <v>14</v>
      </c>
      <c r="N45" s="105" t="s">
        <v>323</v>
      </c>
      <c r="P45" s="95">
        <v>42</v>
      </c>
      <c r="Q45" s="106">
        <v>16001</v>
      </c>
      <c r="R45" s="96" t="s">
        <v>382</v>
      </c>
      <c r="S45" s="94">
        <v>16</v>
      </c>
      <c r="T45" s="103">
        <v>1600</v>
      </c>
      <c r="U45" s="96" t="s">
        <v>383</v>
      </c>
      <c r="W45" s="103">
        <v>1600</v>
      </c>
      <c r="X45" s="96" t="s">
        <v>383</v>
      </c>
    </row>
    <row r="46" spans="2:24" x14ac:dyDescent="0.15">
      <c r="B46" s="94">
        <v>39</v>
      </c>
      <c r="C46" s="103">
        <v>3680</v>
      </c>
      <c r="D46" s="96" t="s">
        <v>257</v>
      </c>
      <c r="E46" s="95">
        <v>27</v>
      </c>
      <c r="F46" s="104" t="s">
        <v>189</v>
      </c>
      <c r="G46" s="105" t="s">
        <v>384</v>
      </c>
      <c r="I46" s="95">
        <v>43</v>
      </c>
      <c r="J46" s="106">
        <v>17001</v>
      </c>
      <c r="K46" s="96" t="s">
        <v>385</v>
      </c>
      <c r="L46" s="95">
        <v>8</v>
      </c>
      <c r="M46" s="104" t="s">
        <v>14</v>
      </c>
      <c r="P46" s="95">
        <v>43</v>
      </c>
      <c r="Q46" s="106">
        <v>17001</v>
      </c>
      <c r="R46" s="96" t="s">
        <v>385</v>
      </c>
      <c r="S46" s="94">
        <v>17</v>
      </c>
      <c r="T46" s="103">
        <v>1700</v>
      </c>
      <c r="U46" s="96" t="s">
        <v>386</v>
      </c>
      <c r="W46" s="103">
        <v>1700</v>
      </c>
      <c r="X46" s="96" t="s">
        <v>386</v>
      </c>
    </row>
    <row r="47" spans="2:24" x14ac:dyDescent="0.15">
      <c r="B47" s="94">
        <v>40</v>
      </c>
      <c r="C47" s="103">
        <v>4180</v>
      </c>
      <c r="D47" s="96" t="s">
        <v>258</v>
      </c>
      <c r="E47" s="95">
        <v>28</v>
      </c>
      <c r="F47" s="104" t="s">
        <v>25</v>
      </c>
      <c r="G47" s="105" t="s">
        <v>387</v>
      </c>
      <c r="I47" s="95">
        <v>44</v>
      </c>
      <c r="J47" s="106">
        <v>17002</v>
      </c>
      <c r="K47" s="96" t="s">
        <v>388</v>
      </c>
      <c r="L47" s="95">
        <v>9</v>
      </c>
      <c r="M47" s="104" t="s">
        <v>15</v>
      </c>
      <c r="N47" s="105" t="s">
        <v>326</v>
      </c>
      <c r="P47" s="95">
        <v>44</v>
      </c>
      <c r="Q47" s="106">
        <v>17002</v>
      </c>
      <c r="R47" s="96" t="s">
        <v>388</v>
      </c>
      <c r="S47" s="94">
        <v>17</v>
      </c>
      <c r="T47" s="103">
        <v>1700</v>
      </c>
      <c r="W47" s="103">
        <v>1700</v>
      </c>
    </row>
    <row r="48" spans="2:24" x14ac:dyDescent="0.15">
      <c r="B48" s="94">
        <v>41</v>
      </c>
      <c r="C48" s="103">
        <v>4580</v>
      </c>
      <c r="D48" s="96" t="s">
        <v>259</v>
      </c>
      <c r="E48" s="95">
        <v>29</v>
      </c>
      <c r="F48" s="104" t="s">
        <v>26</v>
      </c>
      <c r="G48" s="105" t="s">
        <v>389</v>
      </c>
      <c r="I48" s="95">
        <v>45</v>
      </c>
      <c r="J48" s="106">
        <v>18001</v>
      </c>
      <c r="K48" s="96" t="s">
        <v>390</v>
      </c>
      <c r="L48" s="95">
        <v>9</v>
      </c>
      <c r="M48" s="104" t="s">
        <v>15</v>
      </c>
      <c r="P48" s="95">
        <v>45</v>
      </c>
      <c r="Q48" s="106">
        <v>18001</v>
      </c>
      <c r="R48" s="96" t="s">
        <v>390</v>
      </c>
      <c r="S48" s="94">
        <v>18</v>
      </c>
      <c r="T48" s="103">
        <v>1800</v>
      </c>
      <c r="U48" s="96" t="s">
        <v>391</v>
      </c>
      <c r="W48" s="103">
        <v>1800</v>
      </c>
      <c r="X48" s="96" t="s">
        <v>391</v>
      </c>
    </row>
    <row r="49" spans="2:24" x14ac:dyDescent="0.15">
      <c r="B49" s="94">
        <v>42</v>
      </c>
      <c r="C49" s="103">
        <v>4900</v>
      </c>
      <c r="D49" s="96" t="s">
        <v>260</v>
      </c>
      <c r="E49" s="95">
        <v>30</v>
      </c>
      <c r="F49" s="104" t="s">
        <v>27</v>
      </c>
      <c r="G49" s="105" t="s">
        <v>392</v>
      </c>
      <c r="I49" s="95">
        <v>46</v>
      </c>
      <c r="J49" s="106">
        <v>19911</v>
      </c>
      <c r="K49" s="96" t="s">
        <v>393</v>
      </c>
      <c r="L49" s="95">
        <v>10</v>
      </c>
      <c r="M49" s="104" t="s">
        <v>16</v>
      </c>
      <c r="N49" s="105" t="s">
        <v>330</v>
      </c>
      <c r="P49" s="95">
        <v>46</v>
      </c>
      <c r="Q49" s="106">
        <v>19911</v>
      </c>
      <c r="R49" s="96" t="s">
        <v>393</v>
      </c>
      <c r="S49" s="94">
        <v>19</v>
      </c>
      <c r="T49" s="103">
        <v>1991</v>
      </c>
      <c r="U49" s="96" t="s">
        <v>394</v>
      </c>
      <c r="W49" s="103">
        <v>1991</v>
      </c>
      <c r="X49" s="96" t="s">
        <v>394</v>
      </c>
    </row>
    <row r="50" spans="2:24" x14ac:dyDescent="0.15">
      <c r="B50" s="94">
        <v>43</v>
      </c>
      <c r="C50" s="103">
        <v>5000</v>
      </c>
      <c r="D50" s="96" t="s">
        <v>261</v>
      </c>
      <c r="E50" s="95">
        <v>30</v>
      </c>
      <c r="F50" s="104" t="s">
        <v>27</v>
      </c>
      <c r="G50" s="95"/>
      <c r="I50" s="95">
        <v>47</v>
      </c>
      <c r="J50" s="106">
        <v>19912</v>
      </c>
      <c r="K50" s="96" t="s">
        <v>395</v>
      </c>
      <c r="L50" s="95">
        <v>10</v>
      </c>
      <c r="M50" s="104" t="s">
        <v>16</v>
      </c>
      <c r="P50" s="95">
        <v>47</v>
      </c>
      <c r="Q50" s="106">
        <v>19912</v>
      </c>
      <c r="R50" s="96" t="s">
        <v>395</v>
      </c>
      <c r="S50" s="94">
        <v>19</v>
      </c>
      <c r="T50" s="103">
        <v>1991</v>
      </c>
      <c r="W50" s="103">
        <v>1991</v>
      </c>
    </row>
    <row r="51" spans="2:24" x14ac:dyDescent="0.15">
      <c r="B51" s="94">
        <v>44</v>
      </c>
      <c r="C51" s="103">
        <v>5100</v>
      </c>
      <c r="D51" s="96" t="s">
        <v>262</v>
      </c>
      <c r="E51" s="95">
        <v>30</v>
      </c>
      <c r="F51" s="104" t="s">
        <v>27</v>
      </c>
      <c r="G51" s="95"/>
      <c r="I51" s="95">
        <v>48</v>
      </c>
      <c r="J51" s="106">
        <v>19913</v>
      </c>
      <c r="K51" s="96" t="s">
        <v>396</v>
      </c>
      <c r="L51" s="95">
        <v>10</v>
      </c>
      <c r="M51" s="104" t="s">
        <v>16</v>
      </c>
      <c r="P51" s="95">
        <v>48</v>
      </c>
      <c r="Q51" s="106">
        <v>19913</v>
      </c>
      <c r="R51" s="96" t="s">
        <v>396</v>
      </c>
      <c r="S51" s="94">
        <v>19</v>
      </c>
      <c r="T51" s="103">
        <v>1991</v>
      </c>
      <c r="W51" s="103">
        <v>1991</v>
      </c>
    </row>
    <row r="52" spans="2:24" x14ac:dyDescent="0.15">
      <c r="B52" s="94">
        <v>45</v>
      </c>
      <c r="C52" s="103">
        <v>5280</v>
      </c>
      <c r="D52" s="96" t="s">
        <v>263</v>
      </c>
      <c r="E52" s="95">
        <v>30</v>
      </c>
      <c r="F52" s="104" t="s">
        <v>27</v>
      </c>
      <c r="G52" s="95"/>
      <c r="I52" s="95">
        <v>49</v>
      </c>
      <c r="J52" s="106">
        <v>19914</v>
      </c>
      <c r="K52" s="96" t="s">
        <v>397</v>
      </c>
      <c r="L52" s="95">
        <v>10</v>
      </c>
      <c r="M52" s="104" t="s">
        <v>16</v>
      </c>
      <c r="P52" s="95">
        <v>49</v>
      </c>
      <c r="Q52" s="106">
        <v>19914</v>
      </c>
      <c r="R52" s="96" t="s">
        <v>397</v>
      </c>
      <c r="S52" s="94">
        <v>19</v>
      </c>
      <c r="T52" s="103">
        <v>1991</v>
      </c>
      <c r="W52" s="103">
        <v>1991</v>
      </c>
    </row>
    <row r="53" spans="2:24" x14ac:dyDescent="0.15">
      <c r="B53" s="94">
        <v>46</v>
      </c>
      <c r="C53" s="103">
        <v>5500</v>
      </c>
      <c r="D53" s="96" t="s">
        <v>264</v>
      </c>
      <c r="E53" s="95">
        <v>31</v>
      </c>
      <c r="F53" s="104" t="s">
        <v>28</v>
      </c>
      <c r="G53" s="105" t="s">
        <v>398</v>
      </c>
      <c r="I53" s="95">
        <v>50</v>
      </c>
      <c r="J53" s="106">
        <v>19915</v>
      </c>
      <c r="K53" s="96" t="s">
        <v>399</v>
      </c>
      <c r="L53" s="95">
        <v>10</v>
      </c>
      <c r="M53" s="104" t="s">
        <v>16</v>
      </c>
      <c r="P53" s="95">
        <v>50</v>
      </c>
      <c r="Q53" s="106">
        <v>19915</v>
      </c>
      <c r="R53" s="96" t="s">
        <v>399</v>
      </c>
      <c r="S53" s="94">
        <v>19</v>
      </c>
      <c r="T53" s="103">
        <v>1991</v>
      </c>
      <c r="W53" s="103">
        <v>1991</v>
      </c>
    </row>
    <row r="54" spans="2:24" x14ac:dyDescent="0.15">
      <c r="B54" s="94">
        <v>47</v>
      </c>
      <c r="C54" s="103">
        <v>5600</v>
      </c>
      <c r="D54" s="96" t="s">
        <v>265</v>
      </c>
      <c r="E54" s="95">
        <v>31</v>
      </c>
      <c r="F54" s="104" t="s">
        <v>28</v>
      </c>
      <c r="G54" s="95"/>
      <c r="I54" s="95">
        <v>51</v>
      </c>
      <c r="J54" s="106">
        <v>19916</v>
      </c>
      <c r="K54" s="96" t="s">
        <v>400</v>
      </c>
      <c r="L54" s="95">
        <v>10</v>
      </c>
      <c r="M54" s="104" t="s">
        <v>16</v>
      </c>
      <c r="P54" s="95">
        <v>51</v>
      </c>
      <c r="Q54" s="106">
        <v>19916</v>
      </c>
      <c r="R54" s="96" t="s">
        <v>400</v>
      </c>
      <c r="S54" s="94">
        <v>19</v>
      </c>
      <c r="T54" s="103">
        <v>1991</v>
      </c>
      <c r="W54" s="103">
        <v>1991</v>
      </c>
    </row>
    <row r="55" spans="2:24" x14ac:dyDescent="0.15">
      <c r="B55" s="94">
        <v>48</v>
      </c>
      <c r="C55" s="103">
        <v>5800</v>
      </c>
      <c r="D55" s="96" t="s">
        <v>266</v>
      </c>
      <c r="E55" s="95">
        <v>32</v>
      </c>
      <c r="F55" s="104" t="s">
        <v>29</v>
      </c>
      <c r="G55" s="105" t="s">
        <v>401</v>
      </c>
      <c r="I55" s="95">
        <v>52</v>
      </c>
      <c r="J55" s="106">
        <v>19921</v>
      </c>
      <c r="K55" s="96" t="s">
        <v>402</v>
      </c>
      <c r="L55" s="113">
        <v>10</v>
      </c>
      <c r="M55" s="113" t="s">
        <v>16</v>
      </c>
      <c r="N55" s="110" t="s">
        <v>403</v>
      </c>
      <c r="P55" s="95">
        <v>52</v>
      </c>
      <c r="Q55" s="106">
        <v>19921</v>
      </c>
      <c r="R55" s="96" t="s">
        <v>402</v>
      </c>
      <c r="S55" s="94">
        <v>20</v>
      </c>
      <c r="T55" s="103">
        <v>1992</v>
      </c>
      <c r="U55" s="96" t="s">
        <v>404</v>
      </c>
      <c r="W55" s="103">
        <v>1992</v>
      </c>
      <c r="X55" s="96" t="s">
        <v>404</v>
      </c>
    </row>
    <row r="56" spans="2:24" x14ac:dyDescent="0.15">
      <c r="B56" s="94">
        <v>49</v>
      </c>
      <c r="C56" s="103">
        <v>5980</v>
      </c>
      <c r="D56" s="96" t="s">
        <v>267</v>
      </c>
      <c r="E56" s="95">
        <v>32</v>
      </c>
      <c r="F56" s="104" t="s">
        <v>29</v>
      </c>
      <c r="G56" s="95"/>
      <c r="I56" s="95">
        <v>53</v>
      </c>
      <c r="J56" s="106">
        <v>20911</v>
      </c>
      <c r="K56" s="96" t="s">
        <v>405</v>
      </c>
      <c r="L56" s="95">
        <v>11</v>
      </c>
      <c r="M56" s="104" t="s">
        <v>170</v>
      </c>
      <c r="N56" s="105" t="s">
        <v>335</v>
      </c>
      <c r="P56" s="95">
        <v>53</v>
      </c>
      <c r="Q56" s="106">
        <v>20911</v>
      </c>
      <c r="R56" s="96" t="s">
        <v>405</v>
      </c>
      <c r="S56" s="94">
        <v>21</v>
      </c>
      <c r="T56" s="103">
        <v>2091</v>
      </c>
      <c r="U56" s="96" t="s">
        <v>406</v>
      </c>
      <c r="W56" s="103">
        <v>2091</v>
      </c>
      <c r="X56" s="96" t="s">
        <v>406</v>
      </c>
    </row>
    <row r="57" spans="2:24" x14ac:dyDescent="0.15">
      <c r="B57" s="94">
        <v>50</v>
      </c>
      <c r="C57" s="103">
        <v>6100</v>
      </c>
      <c r="D57" s="96" t="s">
        <v>268</v>
      </c>
      <c r="E57" s="95">
        <v>33</v>
      </c>
      <c r="F57" s="104" t="s">
        <v>30</v>
      </c>
      <c r="G57" s="105" t="s">
        <v>407</v>
      </c>
      <c r="I57" s="95">
        <v>54</v>
      </c>
      <c r="J57" s="106">
        <v>20912</v>
      </c>
      <c r="K57" s="96" t="s">
        <v>408</v>
      </c>
      <c r="L57" s="95">
        <v>11</v>
      </c>
      <c r="M57" s="104" t="s">
        <v>170</v>
      </c>
      <c r="P57" s="95">
        <v>54</v>
      </c>
      <c r="Q57" s="106">
        <v>20912</v>
      </c>
      <c r="R57" s="96" t="s">
        <v>408</v>
      </c>
      <c r="S57" s="94">
        <v>21</v>
      </c>
      <c r="T57" s="103">
        <v>2091</v>
      </c>
      <c r="W57" s="103">
        <v>2091</v>
      </c>
    </row>
    <row r="58" spans="2:24" x14ac:dyDescent="0.15">
      <c r="B58" s="94">
        <v>51</v>
      </c>
      <c r="C58" s="103">
        <v>6280</v>
      </c>
      <c r="D58" s="96" t="s">
        <v>269</v>
      </c>
      <c r="E58" s="95">
        <v>34</v>
      </c>
      <c r="F58" s="104" t="s">
        <v>31</v>
      </c>
      <c r="G58" s="105" t="s">
        <v>409</v>
      </c>
      <c r="I58" s="95">
        <v>55</v>
      </c>
      <c r="J58" s="106">
        <v>20913</v>
      </c>
      <c r="K58" s="96" t="s">
        <v>410</v>
      </c>
      <c r="L58" s="95">
        <v>11</v>
      </c>
      <c r="M58" s="104" t="s">
        <v>170</v>
      </c>
      <c r="P58" s="95">
        <v>55</v>
      </c>
      <c r="Q58" s="106">
        <v>20913</v>
      </c>
      <c r="R58" s="96" t="s">
        <v>410</v>
      </c>
      <c r="S58" s="94">
        <v>21</v>
      </c>
      <c r="T58" s="103">
        <v>2091</v>
      </c>
      <c r="W58" s="103">
        <v>2091</v>
      </c>
    </row>
    <row r="59" spans="2:24" x14ac:dyDescent="0.15">
      <c r="B59" s="94">
        <v>52</v>
      </c>
      <c r="C59" s="103">
        <v>6480</v>
      </c>
      <c r="D59" s="96" t="s">
        <v>270</v>
      </c>
      <c r="E59" s="95">
        <v>35</v>
      </c>
      <c r="F59" s="104" t="s">
        <v>32</v>
      </c>
      <c r="G59" s="105" t="s">
        <v>411</v>
      </c>
      <c r="I59" s="95">
        <v>56</v>
      </c>
      <c r="J59" s="106">
        <v>20914</v>
      </c>
      <c r="K59" s="96" t="s">
        <v>412</v>
      </c>
      <c r="L59" s="95">
        <v>11</v>
      </c>
      <c r="M59" s="104" t="s">
        <v>170</v>
      </c>
      <c r="P59" s="95">
        <v>56</v>
      </c>
      <c r="Q59" s="106">
        <v>20914</v>
      </c>
      <c r="R59" s="96" t="s">
        <v>412</v>
      </c>
      <c r="S59" s="94">
        <v>21</v>
      </c>
      <c r="T59" s="103">
        <v>2091</v>
      </c>
      <c r="W59" s="103">
        <v>2091</v>
      </c>
    </row>
    <row r="60" spans="2:24" x14ac:dyDescent="0.15">
      <c r="B60" s="94">
        <v>53</v>
      </c>
      <c r="C60" s="103">
        <v>6800</v>
      </c>
      <c r="D60" s="96" t="s">
        <v>271</v>
      </c>
      <c r="E60" s="95">
        <v>36</v>
      </c>
      <c r="F60" s="104" t="s">
        <v>33</v>
      </c>
      <c r="G60" s="105" t="s">
        <v>413</v>
      </c>
      <c r="I60" s="95">
        <v>57</v>
      </c>
      <c r="J60" s="106">
        <v>20921</v>
      </c>
      <c r="K60" s="96" t="s">
        <v>414</v>
      </c>
      <c r="L60" s="95">
        <v>11</v>
      </c>
      <c r="M60" s="104" t="s">
        <v>170</v>
      </c>
      <c r="P60" s="95">
        <v>57</v>
      </c>
      <c r="Q60" s="106">
        <v>20921</v>
      </c>
      <c r="R60" s="96" t="s">
        <v>414</v>
      </c>
      <c r="S60" s="94">
        <v>22</v>
      </c>
      <c r="T60" s="103">
        <v>2092</v>
      </c>
      <c r="U60" s="96" t="s">
        <v>415</v>
      </c>
      <c r="W60" s="103">
        <v>2092</v>
      </c>
      <c r="X60" s="96" t="s">
        <v>415</v>
      </c>
    </row>
    <row r="61" spans="2:24" x14ac:dyDescent="0.15">
      <c r="B61" s="94">
        <v>54</v>
      </c>
      <c r="C61" s="103">
        <v>6980</v>
      </c>
      <c r="D61" s="96" t="s">
        <v>272</v>
      </c>
      <c r="E61" s="95">
        <v>37</v>
      </c>
      <c r="F61" s="104" t="s">
        <v>34</v>
      </c>
      <c r="G61" s="105" t="s">
        <v>416</v>
      </c>
      <c r="I61" s="95">
        <v>58</v>
      </c>
      <c r="J61" s="106">
        <v>20922</v>
      </c>
      <c r="K61" s="96" t="s">
        <v>417</v>
      </c>
      <c r="L61" s="95">
        <v>11</v>
      </c>
      <c r="M61" s="104" t="s">
        <v>170</v>
      </c>
      <c r="P61" s="95">
        <v>58</v>
      </c>
      <c r="Q61" s="106">
        <v>20922</v>
      </c>
      <c r="R61" s="96" t="s">
        <v>417</v>
      </c>
      <c r="S61" s="94">
        <v>22</v>
      </c>
      <c r="T61" s="103">
        <v>2092</v>
      </c>
      <c r="W61" s="103">
        <v>2092</v>
      </c>
    </row>
    <row r="62" spans="2:24" x14ac:dyDescent="0.15">
      <c r="B62" s="94">
        <v>55</v>
      </c>
      <c r="C62" s="103">
        <v>7180</v>
      </c>
      <c r="D62" s="96" t="s">
        <v>273</v>
      </c>
      <c r="E62" s="95">
        <v>37</v>
      </c>
      <c r="F62" s="104" t="s">
        <v>34</v>
      </c>
      <c r="G62" s="95"/>
      <c r="I62" s="95">
        <v>59</v>
      </c>
      <c r="J62" s="106">
        <v>20923</v>
      </c>
      <c r="K62" s="96" t="s">
        <v>418</v>
      </c>
      <c r="L62" s="95">
        <v>11</v>
      </c>
      <c r="M62" s="104" t="s">
        <v>170</v>
      </c>
      <c r="P62" s="95">
        <v>59</v>
      </c>
      <c r="Q62" s="106">
        <v>20923</v>
      </c>
      <c r="R62" s="96" t="s">
        <v>418</v>
      </c>
      <c r="S62" s="94">
        <v>22</v>
      </c>
      <c r="T62" s="103">
        <v>2092</v>
      </c>
      <c r="W62" s="103">
        <v>2092</v>
      </c>
    </row>
    <row r="63" spans="2:24" x14ac:dyDescent="0.15">
      <c r="B63" s="94">
        <v>56</v>
      </c>
      <c r="C63" s="103">
        <v>7380</v>
      </c>
      <c r="D63" s="96" t="s">
        <v>274</v>
      </c>
      <c r="E63" s="95">
        <v>37</v>
      </c>
      <c r="F63" s="104" t="s">
        <v>34</v>
      </c>
      <c r="G63" s="95"/>
      <c r="I63" s="95">
        <v>60</v>
      </c>
      <c r="J63" s="106">
        <v>20931</v>
      </c>
      <c r="K63" s="96" t="s">
        <v>419</v>
      </c>
      <c r="L63" s="95">
        <v>11</v>
      </c>
      <c r="M63" s="104" t="s">
        <v>170</v>
      </c>
      <c r="P63" s="95">
        <v>60</v>
      </c>
      <c r="Q63" s="106">
        <v>20931</v>
      </c>
      <c r="R63" s="96" t="s">
        <v>419</v>
      </c>
      <c r="S63" s="94">
        <v>23</v>
      </c>
      <c r="T63" s="103">
        <v>2093</v>
      </c>
      <c r="U63" s="96" t="s">
        <v>420</v>
      </c>
      <c r="W63" s="103">
        <v>2093</v>
      </c>
      <c r="X63" s="96" t="s">
        <v>420</v>
      </c>
    </row>
    <row r="64" spans="2:24" x14ac:dyDescent="0.15">
      <c r="B64" s="94">
        <v>57</v>
      </c>
      <c r="C64" s="103">
        <v>7700</v>
      </c>
      <c r="D64" s="96" t="s">
        <v>275</v>
      </c>
      <c r="E64" s="95">
        <v>37</v>
      </c>
      <c r="F64" s="104" t="s">
        <v>34</v>
      </c>
      <c r="G64" s="95"/>
      <c r="I64" s="95">
        <v>61</v>
      </c>
      <c r="J64" s="106">
        <v>21001</v>
      </c>
      <c r="K64" s="96" t="s">
        <v>421</v>
      </c>
      <c r="L64" s="95">
        <v>12</v>
      </c>
      <c r="M64" s="104" t="s">
        <v>171</v>
      </c>
      <c r="N64" s="105" t="s">
        <v>340</v>
      </c>
      <c r="P64" s="95">
        <v>61</v>
      </c>
      <c r="Q64" s="106">
        <v>21001</v>
      </c>
      <c r="R64" s="96" t="s">
        <v>421</v>
      </c>
      <c r="S64" s="94">
        <v>24</v>
      </c>
      <c r="T64" s="103">
        <v>2100</v>
      </c>
      <c r="U64" s="96" t="s">
        <v>422</v>
      </c>
      <c r="W64" s="103">
        <v>2100</v>
      </c>
      <c r="X64" s="96" t="s">
        <v>422</v>
      </c>
    </row>
    <row r="65" spans="2:24" x14ac:dyDescent="0.15">
      <c r="B65" s="94">
        <v>58</v>
      </c>
      <c r="C65" s="103">
        <v>7880</v>
      </c>
      <c r="D65" s="96" t="s">
        <v>276</v>
      </c>
      <c r="E65" s="95">
        <v>37</v>
      </c>
      <c r="F65" s="104" t="s">
        <v>34</v>
      </c>
      <c r="G65" s="95"/>
      <c r="I65" s="95">
        <v>62</v>
      </c>
      <c r="J65" s="106">
        <v>22001</v>
      </c>
      <c r="K65" s="96" t="s">
        <v>423</v>
      </c>
      <c r="L65" s="95">
        <v>13</v>
      </c>
      <c r="M65" s="104" t="s">
        <v>17</v>
      </c>
      <c r="N65" s="105" t="s">
        <v>342</v>
      </c>
      <c r="P65" s="95">
        <v>62</v>
      </c>
      <c r="Q65" s="106">
        <v>22001</v>
      </c>
      <c r="R65" s="96" t="s">
        <v>423</v>
      </c>
      <c r="S65" s="94">
        <v>25</v>
      </c>
      <c r="T65" s="103">
        <v>2200</v>
      </c>
      <c r="U65" s="96" t="s">
        <v>424</v>
      </c>
      <c r="W65" s="103">
        <v>2200</v>
      </c>
      <c r="X65" s="96" t="s">
        <v>424</v>
      </c>
    </row>
    <row r="66" spans="2:24" x14ac:dyDescent="0.15">
      <c r="B66" s="94">
        <v>59</v>
      </c>
      <c r="C66" s="103">
        <v>8000</v>
      </c>
      <c r="D66" s="96" t="s">
        <v>277</v>
      </c>
      <c r="E66" s="95">
        <v>37</v>
      </c>
      <c r="F66" s="104" t="s">
        <v>34</v>
      </c>
      <c r="G66" s="95"/>
      <c r="I66" s="95">
        <v>63</v>
      </c>
      <c r="J66" s="106">
        <v>22002</v>
      </c>
      <c r="K66" s="96" t="s">
        <v>425</v>
      </c>
      <c r="L66" s="95">
        <v>13</v>
      </c>
      <c r="M66" s="104" t="s">
        <v>17</v>
      </c>
      <c r="P66" s="95">
        <v>63</v>
      </c>
      <c r="Q66" s="106">
        <v>22002</v>
      </c>
      <c r="R66" s="96" t="s">
        <v>425</v>
      </c>
      <c r="S66" s="94">
        <v>25</v>
      </c>
      <c r="T66" s="103">
        <v>2200</v>
      </c>
      <c r="W66" s="103">
        <v>2200</v>
      </c>
    </row>
    <row r="67" spans="2:24" x14ac:dyDescent="0.15">
      <c r="B67" s="94">
        <v>60</v>
      </c>
      <c r="C67" s="103">
        <v>8400</v>
      </c>
      <c r="D67" s="96" t="s">
        <v>278</v>
      </c>
      <c r="E67" s="95">
        <v>38</v>
      </c>
      <c r="F67" s="104" t="s">
        <v>35</v>
      </c>
      <c r="G67" s="105" t="s">
        <v>426</v>
      </c>
      <c r="I67" s="95">
        <v>64</v>
      </c>
      <c r="J67" s="106">
        <v>23001</v>
      </c>
      <c r="K67" s="96" t="s">
        <v>427</v>
      </c>
      <c r="L67" s="113">
        <v>15</v>
      </c>
      <c r="M67" s="104" t="s">
        <v>190</v>
      </c>
      <c r="N67" s="105" t="s">
        <v>347</v>
      </c>
      <c r="P67" s="95">
        <v>64</v>
      </c>
      <c r="Q67" s="106">
        <v>23001</v>
      </c>
      <c r="R67" s="96" t="s">
        <v>427</v>
      </c>
      <c r="S67" s="108">
        <v>26</v>
      </c>
      <c r="T67" s="109">
        <v>2300</v>
      </c>
      <c r="U67" s="110" t="s">
        <v>428</v>
      </c>
      <c r="W67" s="113">
        <v>2310</v>
      </c>
      <c r="X67" s="110" t="s">
        <v>242</v>
      </c>
    </row>
    <row r="68" spans="2:24" x14ac:dyDescent="0.15">
      <c r="B68" s="94">
        <v>61</v>
      </c>
      <c r="C68" s="103">
        <v>8591</v>
      </c>
      <c r="D68" s="96" t="s">
        <v>279</v>
      </c>
      <c r="E68" s="95">
        <v>39</v>
      </c>
      <c r="F68" s="104" t="s">
        <v>36</v>
      </c>
      <c r="G68" s="105" t="s">
        <v>429</v>
      </c>
      <c r="I68" s="95">
        <v>65</v>
      </c>
      <c r="J68" s="106">
        <v>23002</v>
      </c>
      <c r="K68" s="96" t="s">
        <v>430</v>
      </c>
      <c r="L68" s="113">
        <v>15</v>
      </c>
      <c r="M68" s="104" t="s">
        <v>190</v>
      </c>
      <c r="P68" s="95">
        <v>65</v>
      </c>
      <c r="Q68" s="106">
        <v>23002</v>
      </c>
      <c r="R68" s="96" t="s">
        <v>430</v>
      </c>
      <c r="S68" s="112">
        <v>26.332999999999998</v>
      </c>
      <c r="T68" s="113">
        <v>2310</v>
      </c>
      <c r="U68" s="110" t="s">
        <v>242</v>
      </c>
      <c r="W68" s="113">
        <v>2320</v>
      </c>
      <c r="X68" s="110" t="s">
        <v>243</v>
      </c>
    </row>
    <row r="69" spans="2:24" x14ac:dyDescent="0.15">
      <c r="B69" s="94">
        <v>62</v>
      </c>
      <c r="C69" s="103">
        <v>8592</v>
      </c>
      <c r="D69" s="96" t="s">
        <v>280</v>
      </c>
      <c r="E69" s="95">
        <v>39</v>
      </c>
      <c r="F69" s="104" t="s">
        <v>36</v>
      </c>
      <c r="G69" s="95"/>
      <c r="I69" s="95">
        <v>66</v>
      </c>
      <c r="J69" s="106">
        <v>23003</v>
      </c>
      <c r="K69" s="96" t="s">
        <v>243</v>
      </c>
      <c r="L69" s="113">
        <v>14</v>
      </c>
      <c r="M69" s="104" t="s">
        <v>191</v>
      </c>
      <c r="N69" s="105" t="s">
        <v>350</v>
      </c>
      <c r="P69" s="95">
        <v>66</v>
      </c>
      <c r="Q69" s="106">
        <v>23003</v>
      </c>
      <c r="R69" s="96" t="s">
        <v>243</v>
      </c>
      <c r="S69" s="112">
        <v>26.666</v>
      </c>
      <c r="T69" s="113">
        <v>2320</v>
      </c>
      <c r="U69" s="110" t="s">
        <v>243</v>
      </c>
      <c r="W69" s="103">
        <v>2491</v>
      </c>
      <c r="X69" s="96" t="s">
        <v>431</v>
      </c>
    </row>
    <row r="70" spans="2:24" x14ac:dyDescent="0.15">
      <c r="B70" s="94">
        <v>63</v>
      </c>
      <c r="C70" s="103">
        <v>8691</v>
      </c>
      <c r="D70" s="96" t="s">
        <v>281</v>
      </c>
      <c r="E70" s="95">
        <v>40</v>
      </c>
      <c r="F70" s="104" t="s">
        <v>37</v>
      </c>
      <c r="G70" s="105" t="s">
        <v>432</v>
      </c>
      <c r="I70" s="95">
        <v>67</v>
      </c>
      <c r="J70" s="106">
        <v>24911</v>
      </c>
      <c r="K70" s="96" t="s">
        <v>433</v>
      </c>
      <c r="L70" s="95">
        <v>16</v>
      </c>
      <c r="M70" s="104" t="s">
        <v>192</v>
      </c>
      <c r="N70" s="105" t="s">
        <v>353</v>
      </c>
      <c r="P70" s="95">
        <v>67</v>
      </c>
      <c r="Q70" s="106">
        <v>24911</v>
      </c>
      <c r="R70" s="96" t="s">
        <v>433</v>
      </c>
      <c r="S70" s="94">
        <v>27</v>
      </c>
      <c r="T70" s="103">
        <v>2491</v>
      </c>
      <c r="U70" s="96" t="s">
        <v>431</v>
      </c>
      <c r="W70" s="103">
        <v>2491</v>
      </c>
    </row>
    <row r="71" spans="2:24" x14ac:dyDescent="0.15">
      <c r="B71" s="94">
        <v>64</v>
      </c>
      <c r="C71" s="103">
        <v>8692</v>
      </c>
      <c r="D71" s="96" t="s">
        <v>282</v>
      </c>
      <c r="E71" s="95">
        <v>40</v>
      </c>
      <c r="F71" s="104" t="s">
        <v>37</v>
      </c>
      <c r="G71" s="95"/>
      <c r="I71" s="95">
        <v>68</v>
      </c>
      <c r="J71" s="106">
        <v>24912</v>
      </c>
      <c r="K71" s="96" t="s">
        <v>434</v>
      </c>
      <c r="L71" s="95">
        <v>16</v>
      </c>
      <c r="M71" s="104" t="s">
        <v>192</v>
      </c>
      <c r="P71" s="95">
        <v>68</v>
      </c>
      <c r="Q71" s="106">
        <v>24912</v>
      </c>
      <c r="R71" s="96" t="s">
        <v>434</v>
      </c>
      <c r="S71" s="94">
        <v>27</v>
      </c>
      <c r="T71" s="103">
        <v>2491</v>
      </c>
      <c r="W71" s="103">
        <v>2491</v>
      </c>
    </row>
    <row r="72" spans="2:24" x14ac:dyDescent="0.15">
      <c r="B72" s="94">
        <v>65</v>
      </c>
      <c r="C72" s="103">
        <v>9080</v>
      </c>
      <c r="D72" s="96" t="s">
        <v>283</v>
      </c>
      <c r="E72" s="95">
        <v>41</v>
      </c>
      <c r="F72" s="104" t="s">
        <v>38</v>
      </c>
      <c r="G72" s="105" t="s">
        <v>435</v>
      </c>
      <c r="I72" s="95">
        <v>69</v>
      </c>
      <c r="J72" s="106">
        <v>24921</v>
      </c>
      <c r="K72" s="96" t="s">
        <v>436</v>
      </c>
      <c r="L72" s="95">
        <v>17</v>
      </c>
      <c r="M72" s="104" t="s">
        <v>193</v>
      </c>
      <c r="N72" s="105" t="s">
        <v>355</v>
      </c>
      <c r="P72" s="95">
        <v>69</v>
      </c>
      <c r="Q72" s="106">
        <v>24921</v>
      </c>
      <c r="R72" s="96" t="s">
        <v>436</v>
      </c>
      <c r="S72" s="94">
        <v>27</v>
      </c>
      <c r="T72" s="103">
        <v>2491</v>
      </c>
      <c r="W72" s="103">
        <v>2492</v>
      </c>
      <c r="X72" s="96" t="s">
        <v>437</v>
      </c>
    </row>
    <row r="73" spans="2:24" x14ac:dyDescent="0.15">
      <c r="B73" s="94">
        <v>66</v>
      </c>
      <c r="C73" s="103">
        <v>9480</v>
      </c>
      <c r="D73" s="96" t="s">
        <v>284</v>
      </c>
      <c r="E73" s="95">
        <v>41</v>
      </c>
      <c r="F73" s="104" t="s">
        <v>38</v>
      </c>
      <c r="G73" s="95"/>
      <c r="I73" s="95">
        <v>70</v>
      </c>
      <c r="J73" s="106">
        <v>24922</v>
      </c>
      <c r="K73" s="96" t="s">
        <v>438</v>
      </c>
      <c r="L73" s="95">
        <v>17</v>
      </c>
      <c r="M73" s="104" t="s">
        <v>193</v>
      </c>
      <c r="N73" s="105" t="s">
        <v>355</v>
      </c>
      <c r="P73" s="95">
        <v>70</v>
      </c>
      <c r="Q73" s="106">
        <v>24922</v>
      </c>
      <c r="R73" s="96" t="s">
        <v>438</v>
      </c>
      <c r="S73" s="94">
        <v>28</v>
      </c>
      <c r="T73" s="103">
        <v>2492</v>
      </c>
      <c r="U73" s="96" t="s">
        <v>437</v>
      </c>
      <c r="W73" s="103">
        <v>2492</v>
      </c>
      <c r="X73" s="96" t="s">
        <v>439</v>
      </c>
    </row>
    <row r="74" spans="2:24" x14ac:dyDescent="0.15">
      <c r="B74" s="94">
        <v>67</v>
      </c>
      <c r="C74" s="103">
        <v>9700</v>
      </c>
      <c r="D74" s="96" t="s">
        <v>285</v>
      </c>
      <c r="E74" s="95">
        <v>42</v>
      </c>
      <c r="F74" s="104" t="s">
        <v>39</v>
      </c>
      <c r="G74" s="105" t="s">
        <v>440</v>
      </c>
      <c r="I74" s="95">
        <v>71</v>
      </c>
      <c r="J74" s="106">
        <v>25001</v>
      </c>
      <c r="K74" s="96" t="s">
        <v>441</v>
      </c>
      <c r="L74" s="95">
        <v>18</v>
      </c>
      <c r="M74" s="104" t="s">
        <v>18</v>
      </c>
      <c r="N74" s="105" t="s">
        <v>357</v>
      </c>
      <c r="P74" s="95">
        <v>71</v>
      </c>
      <c r="Q74" s="106">
        <v>25001</v>
      </c>
      <c r="R74" s="96" t="s">
        <v>441</v>
      </c>
      <c r="S74" s="94">
        <v>29</v>
      </c>
      <c r="T74" s="103">
        <v>2500</v>
      </c>
      <c r="U74" s="96" t="s">
        <v>439</v>
      </c>
      <c r="W74" s="103">
        <v>2600</v>
      </c>
      <c r="X74" s="96" t="s">
        <v>442</v>
      </c>
    </row>
    <row r="75" spans="2:24" x14ac:dyDescent="0.15">
      <c r="F75" s="104"/>
      <c r="I75" s="95">
        <v>72</v>
      </c>
      <c r="J75" s="106">
        <v>26001</v>
      </c>
      <c r="K75" s="96" t="s">
        <v>443</v>
      </c>
      <c r="L75" s="95">
        <v>19</v>
      </c>
      <c r="M75" s="104" t="s">
        <v>19</v>
      </c>
      <c r="N75" s="105" t="s">
        <v>359</v>
      </c>
      <c r="P75" s="95">
        <v>72</v>
      </c>
      <c r="Q75" s="106">
        <v>26001</v>
      </c>
      <c r="R75" s="96" t="s">
        <v>443</v>
      </c>
      <c r="S75" s="94">
        <v>30</v>
      </c>
      <c r="T75" s="103">
        <v>2600</v>
      </c>
      <c r="U75" s="96" t="s">
        <v>442</v>
      </c>
      <c r="W75" s="103">
        <v>2600</v>
      </c>
    </row>
    <row r="76" spans="2:24" x14ac:dyDescent="0.15">
      <c r="F76" s="104"/>
      <c r="I76" s="95">
        <v>73</v>
      </c>
      <c r="J76" s="106">
        <v>26002</v>
      </c>
      <c r="K76" s="96" t="s">
        <v>444</v>
      </c>
      <c r="L76" s="95">
        <v>19</v>
      </c>
      <c r="M76" s="104" t="s">
        <v>19</v>
      </c>
      <c r="P76" s="95">
        <v>73</v>
      </c>
      <c r="Q76" s="106">
        <v>26002</v>
      </c>
      <c r="R76" s="96" t="s">
        <v>444</v>
      </c>
      <c r="S76" s="94">
        <v>30</v>
      </c>
      <c r="T76" s="103">
        <v>2600</v>
      </c>
      <c r="W76" s="103">
        <v>2600</v>
      </c>
    </row>
    <row r="77" spans="2:24" x14ac:dyDescent="0.15">
      <c r="F77" s="104"/>
      <c r="I77" s="95">
        <v>74</v>
      </c>
      <c r="J77" s="106">
        <v>26003</v>
      </c>
      <c r="K77" s="96" t="s">
        <v>445</v>
      </c>
      <c r="L77" s="95">
        <v>19</v>
      </c>
      <c r="M77" s="104" t="s">
        <v>19</v>
      </c>
      <c r="P77" s="95">
        <v>74</v>
      </c>
      <c r="Q77" s="106">
        <v>26003</v>
      </c>
      <c r="R77" s="96" t="s">
        <v>445</v>
      </c>
      <c r="S77" s="94">
        <v>30</v>
      </c>
      <c r="T77" s="103">
        <v>2600</v>
      </c>
      <c r="W77" s="103">
        <v>2600</v>
      </c>
    </row>
    <row r="78" spans="2:24" x14ac:dyDescent="0.15">
      <c r="F78" s="104"/>
      <c r="I78" s="95">
        <v>75</v>
      </c>
      <c r="J78" s="106">
        <v>26004</v>
      </c>
      <c r="K78" s="96" t="s">
        <v>446</v>
      </c>
      <c r="L78" s="95">
        <v>19</v>
      </c>
      <c r="M78" s="104" t="s">
        <v>19</v>
      </c>
      <c r="P78" s="95">
        <v>75</v>
      </c>
      <c r="Q78" s="106">
        <v>26004</v>
      </c>
      <c r="R78" s="96" t="s">
        <v>446</v>
      </c>
      <c r="S78" s="94">
        <v>30</v>
      </c>
      <c r="T78" s="103">
        <v>2600</v>
      </c>
      <c r="W78" s="103">
        <v>2700</v>
      </c>
      <c r="X78" s="96" t="s">
        <v>447</v>
      </c>
    </row>
    <row r="79" spans="2:24" x14ac:dyDescent="0.15">
      <c r="F79" s="104"/>
      <c r="I79" s="95">
        <v>76</v>
      </c>
      <c r="J79" s="106">
        <v>27001</v>
      </c>
      <c r="K79" s="96" t="s">
        <v>448</v>
      </c>
      <c r="L79" s="95">
        <v>20</v>
      </c>
      <c r="M79" s="104" t="s">
        <v>20</v>
      </c>
      <c r="N79" s="105" t="s">
        <v>361</v>
      </c>
      <c r="P79" s="95">
        <v>76</v>
      </c>
      <c r="Q79" s="106">
        <v>27001</v>
      </c>
      <c r="R79" s="96" t="s">
        <v>448</v>
      </c>
      <c r="S79" s="94">
        <v>31</v>
      </c>
      <c r="T79" s="103">
        <v>2700</v>
      </c>
      <c r="U79" s="96" t="s">
        <v>447</v>
      </c>
      <c r="W79" s="103">
        <v>2700</v>
      </c>
    </row>
    <row r="80" spans="2:24" x14ac:dyDescent="0.15">
      <c r="F80" s="104"/>
      <c r="I80" s="95">
        <v>77</v>
      </c>
      <c r="J80" s="106">
        <v>27002</v>
      </c>
      <c r="K80" s="96" t="s">
        <v>449</v>
      </c>
      <c r="L80" s="95">
        <v>20</v>
      </c>
      <c r="M80" s="104" t="s">
        <v>20</v>
      </c>
      <c r="P80" s="95">
        <v>77</v>
      </c>
      <c r="Q80" s="106">
        <v>27002</v>
      </c>
      <c r="R80" s="96" t="s">
        <v>449</v>
      </c>
      <c r="S80" s="94">
        <v>31</v>
      </c>
      <c r="T80" s="103">
        <v>2700</v>
      </c>
      <c r="W80" s="103">
        <v>2800</v>
      </c>
      <c r="X80" s="96" t="s">
        <v>450</v>
      </c>
    </row>
    <row r="81" spans="6:24" x14ac:dyDescent="0.15">
      <c r="F81" s="104"/>
      <c r="I81" s="95">
        <v>78</v>
      </c>
      <c r="J81" s="106">
        <v>28001</v>
      </c>
      <c r="K81" s="96" t="s">
        <v>451</v>
      </c>
      <c r="L81" s="95">
        <v>21</v>
      </c>
      <c r="M81" s="104" t="s">
        <v>21</v>
      </c>
      <c r="N81" s="105" t="s">
        <v>363</v>
      </c>
      <c r="P81" s="95">
        <v>78</v>
      </c>
      <c r="Q81" s="106">
        <v>28001</v>
      </c>
      <c r="R81" s="96" t="s">
        <v>451</v>
      </c>
      <c r="S81" s="94">
        <v>32</v>
      </c>
      <c r="T81" s="103">
        <v>2800</v>
      </c>
      <c r="U81" s="96" t="s">
        <v>450</v>
      </c>
      <c r="W81" s="103">
        <v>2800</v>
      </c>
    </row>
    <row r="82" spans="6:24" x14ac:dyDescent="0.15">
      <c r="F82" s="104"/>
      <c r="I82" s="95">
        <v>79</v>
      </c>
      <c r="J82" s="106">
        <v>28002</v>
      </c>
      <c r="K82" s="96" t="s">
        <v>452</v>
      </c>
      <c r="L82" s="95">
        <v>21</v>
      </c>
      <c r="M82" s="104" t="s">
        <v>21</v>
      </c>
      <c r="P82" s="95">
        <v>79</v>
      </c>
      <c r="Q82" s="106">
        <v>28002</v>
      </c>
      <c r="R82" s="96" t="s">
        <v>452</v>
      </c>
      <c r="S82" s="94">
        <v>32</v>
      </c>
      <c r="T82" s="103">
        <v>2800</v>
      </c>
      <c r="W82" s="103">
        <v>2800</v>
      </c>
    </row>
    <row r="83" spans="6:24" x14ac:dyDescent="0.15">
      <c r="F83" s="104"/>
      <c r="I83" s="95">
        <v>80</v>
      </c>
      <c r="J83" s="106">
        <v>28003</v>
      </c>
      <c r="K83" s="96" t="s">
        <v>453</v>
      </c>
      <c r="L83" s="95">
        <v>21</v>
      </c>
      <c r="M83" s="104" t="s">
        <v>21</v>
      </c>
      <c r="P83" s="95">
        <v>80</v>
      </c>
      <c r="Q83" s="106">
        <v>28003</v>
      </c>
      <c r="R83" s="96" t="s">
        <v>453</v>
      </c>
      <c r="S83" s="94">
        <v>32</v>
      </c>
      <c r="T83" s="103">
        <v>2800</v>
      </c>
      <c r="W83" s="103">
        <v>2991</v>
      </c>
      <c r="X83" s="96" t="s">
        <v>454</v>
      </c>
    </row>
    <row r="84" spans="6:24" x14ac:dyDescent="0.15">
      <c r="F84" s="104"/>
      <c r="I84" s="95">
        <v>81</v>
      </c>
      <c r="J84" s="106">
        <v>29911</v>
      </c>
      <c r="K84" s="96" t="s">
        <v>455</v>
      </c>
      <c r="L84" s="95">
        <v>22</v>
      </c>
      <c r="M84" s="104" t="s">
        <v>22</v>
      </c>
      <c r="N84" s="105" t="s">
        <v>364</v>
      </c>
      <c r="P84" s="95">
        <v>81</v>
      </c>
      <c r="Q84" s="106">
        <v>29911</v>
      </c>
      <c r="R84" s="96" t="s">
        <v>455</v>
      </c>
      <c r="S84" s="94">
        <v>33</v>
      </c>
      <c r="T84" s="103">
        <v>2991</v>
      </c>
      <c r="U84" s="96" t="s">
        <v>454</v>
      </c>
      <c r="W84" s="103">
        <v>2991</v>
      </c>
    </row>
    <row r="85" spans="6:24" x14ac:dyDescent="0.15">
      <c r="F85" s="104"/>
      <c r="I85" s="95">
        <v>82</v>
      </c>
      <c r="J85" s="106">
        <v>29912</v>
      </c>
      <c r="K85" s="96" t="s">
        <v>456</v>
      </c>
      <c r="L85" s="95">
        <v>22</v>
      </c>
      <c r="M85" s="104" t="s">
        <v>22</v>
      </c>
      <c r="P85" s="95">
        <v>82</v>
      </c>
      <c r="Q85" s="106">
        <v>29912</v>
      </c>
      <c r="R85" s="96" t="s">
        <v>456</v>
      </c>
      <c r="S85" s="94">
        <v>33</v>
      </c>
      <c r="T85" s="103">
        <v>2991</v>
      </c>
      <c r="W85" s="103">
        <v>2992</v>
      </c>
      <c r="X85" s="96" t="s">
        <v>457</v>
      </c>
    </row>
    <row r="86" spans="6:24" x14ac:dyDescent="0.15">
      <c r="F86" s="104"/>
      <c r="I86" s="95">
        <v>83</v>
      </c>
      <c r="J86" s="106">
        <v>29921</v>
      </c>
      <c r="K86" s="96" t="s">
        <v>458</v>
      </c>
      <c r="L86" s="95">
        <v>22</v>
      </c>
      <c r="M86" s="104" t="s">
        <v>22</v>
      </c>
      <c r="P86" s="95">
        <v>83</v>
      </c>
      <c r="Q86" s="106">
        <v>29921</v>
      </c>
      <c r="R86" s="96" t="s">
        <v>458</v>
      </c>
      <c r="S86" s="94">
        <v>34</v>
      </c>
      <c r="T86" s="103">
        <v>2992</v>
      </c>
      <c r="U86" s="96" t="s">
        <v>457</v>
      </c>
      <c r="W86" s="103">
        <v>3000</v>
      </c>
      <c r="X86" s="96" t="s">
        <v>459</v>
      </c>
    </row>
    <row r="87" spans="6:24" x14ac:dyDescent="0.15">
      <c r="F87" s="104"/>
      <c r="I87" s="95">
        <v>84</v>
      </c>
      <c r="J87" s="106">
        <v>30001</v>
      </c>
      <c r="K87" s="96" t="s">
        <v>460</v>
      </c>
      <c r="L87" s="95">
        <v>23</v>
      </c>
      <c r="M87" s="104" t="s">
        <v>23</v>
      </c>
      <c r="N87" s="105" t="s">
        <v>369</v>
      </c>
      <c r="P87" s="95">
        <v>84</v>
      </c>
      <c r="Q87" s="106">
        <v>30001</v>
      </c>
      <c r="R87" s="96" t="s">
        <v>460</v>
      </c>
      <c r="S87" s="94">
        <v>35</v>
      </c>
      <c r="T87" s="103">
        <v>3000</v>
      </c>
      <c r="U87" s="96" t="s">
        <v>459</v>
      </c>
      <c r="W87" s="103">
        <v>3180</v>
      </c>
      <c r="X87" s="96" t="s">
        <v>461</v>
      </c>
    </row>
    <row r="88" spans="6:24" x14ac:dyDescent="0.15">
      <c r="F88" s="104"/>
      <c r="I88" s="95">
        <v>85</v>
      </c>
      <c r="J88" s="106">
        <v>31801</v>
      </c>
      <c r="K88" s="96" t="s">
        <v>462</v>
      </c>
      <c r="L88" s="95">
        <v>23</v>
      </c>
      <c r="M88" s="104" t="s">
        <v>23</v>
      </c>
      <c r="P88" s="95">
        <v>85</v>
      </c>
      <c r="Q88" s="106">
        <v>31801</v>
      </c>
      <c r="R88" s="96" t="s">
        <v>462</v>
      </c>
      <c r="S88" s="94">
        <v>36</v>
      </c>
      <c r="T88" s="103">
        <v>3180</v>
      </c>
      <c r="U88" s="96" t="s">
        <v>461</v>
      </c>
      <c r="W88" s="103">
        <v>3180</v>
      </c>
    </row>
    <row r="89" spans="6:24" x14ac:dyDescent="0.15">
      <c r="F89" s="104"/>
      <c r="I89" s="95">
        <v>86</v>
      </c>
      <c r="J89" s="106">
        <v>31802</v>
      </c>
      <c r="K89" s="96" t="s">
        <v>463</v>
      </c>
      <c r="L89" s="95">
        <v>23</v>
      </c>
      <c r="M89" s="104" t="s">
        <v>23</v>
      </c>
      <c r="P89" s="95">
        <v>86</v>
      </c>
      <c r="Q89" s="106">
        <v>31802</v>
      </c>
      <c r="R89" s="96" t="s">
        <v>463</v>
      </c>
      <c r="S89" s="94">
        <v>36</v>
      </c>
      <c r="T89" s="103">
        <v>3180</v>
      </c>
      <c r="W89" s="103">
        <v>3300</v>
      </c>
      <c r="X89" s="96" t="s">
        <v>464</v>
      </c>
    </row>
    <row r="90" spans="6:24" x14ac:dyDescent="0.15">
      <c r="F90" s="104"/>
      <c r="I90" s="95">
        <v>87</v>
      </c>
      <c r="J90" s="106">
        <v>33001</v>
      </c>
      <c r="K90" s="96" t="s">
        <v>254</v>
      </c>
      <c r="L90" s="95">
        <v>24</v>
      </c>
      <c r="M90" s="104" t="s">
        <v>24</v>
      </c>
      <c r="N90" s="105" t="s">
        <v>373</v>
      </c>
      <c r="P90" s="95">
        <v>87</v>
      </c>
      <c r="Q90" s="106">
        <v>33001</v>
      </c>
      <c r="R90" s="96" t="s">
        <v>254</v>
      </c>
      <c r="S90" s="94">
        <v>37</v>
      </c>
      <c r="T90" s="103">
        <v>3300</v>
      </c>
      <c r="U90" s="96" t="s">
        <v>464</v>
      </c>
      <c r="W90" s="109">
        <v>3510</v>
      </c>
      <c r="X90" s="110" t="s">
        <v>255</v>
      </c>
    </row>
    <row r="91" spans="6:24" ht="12" customHeight="1" x14ac:dyDescent="0.15">
      <c r="F91" s="104"/>
      <c r="I91" s="95">
        <v>88</v>
      </c>
      <c r="J91" s="106">
        <v>35001</v>
      </c>
      <c r="K91" s="96" t="s">
        <v>465</v>
      </c>
      <c r="L91" s="114" t="s">
        <v>466</v>
      </c>
      <c r="M91" s="114" t="s">
        <v>466</v>
      </c>
      <c r="P91" s="113">
        <v>88</v>
      </c>
      <c r="Q91" s="115">
        <v>35001</v>
      </c>
      <c r="R91" s="110" t="s">
        <v>465</v>
      </c>
      <c r="S91" s="108">
        <v>38</v>
      </c>
      <c r="T91" s="109">
        <v>3500</v>
      </c>
      <c r="U91" s="110" t="s">
        <v>467</v>
      </c>
      <c r="W91" s="109">
        <v>3520</v>
      </c>
      <c r="X91" s="110" t="s">
        <v>256</v>
      </c>
    </row>
    <row r="92" spans="6:24" x14ac:dyDescent="0.15">
      <c r="F92" s="104"/>
      <c r="I92" s="112">
        <v>88.333332999999996</v>
      </c>
      <c r="J92" s="115">
        <v>35101</v>
      </c>
      <c r="K92" s="110" t="s">
        <v>255</v>
      </c>
      <c r="L92" s="95">
        <v>25</v>
      </c>
      <c r="M92" s="104" t="s">
        <v>187</v>
      </c>
      <c r="N92" s="105" t="s">
        <v>378</v>
      </c>
      <c r="P92" s="112">
        <v>88.333332999999996</v>
      </c>
      <c r="Q92" s="115">
        <v>35101</v>
      </c>
      <c r="R92" s="110" t="s">
        <v>255</v>
      </c>
      <c r="S92" s="112">
        <v>38.33</v>
      </c>
      <c r="T92" s="109">
        <v>3510</v>
      </c>
      <c r="U92" s="110" t="s">
        <v>255</v>
      </c>
      <c r="W92" s="103">
        <v>3680</v>
      </c>
      <c r="X92" s="96" t="s">
        <v>468</v>
      </c>
    </row>
    <row r="93" spans="6:24" x14ac:dyDescent="0.15">
      <c r="F93" s="104"/>
      <c r="I93" s="112">
        <v>88.666659999999993</v>
      </c>
      <c r="J93" s="115">
        <v>35201</v>
      </c>
      <c r="K93" s="110" t="s">
        <v>256</v>
      </c>
      <c r="L93" s="95">
        <v>26</v>
      </c>
      <c r="M93" s="104" t="s">
        <v>188</v>
      </c>
      <c r="N93" s="105" t="s">
        <v>381</v>
      </c>
      <c r="P93" s="112">
        <v>88.666659999999993</v>
      </c>
      <c r="Q93" s="115">
        <v>35201</v>
      </c>
      <c r="R93" s="110" t="s">
        <v>256</v>
      </c>
      <c r="S93" s="112">
        <v>38.659999999999997</v>
      </c>
      <c r="T93" s="109">
        <v>3520</v>
      </c>
      <c r="U93" s="110" t="s">
        <v>256</v>
      </c>
      <c r="W93" s="103">
        <v>4180</v>
      </c>
      <c r="X93" s="96" t="s">
        <v>469</v>
      </c>
    </row>
    <row r="94" spans="6:24" x14ac:dyDescent="0.15">
      <c r="F94" s="104"/>
      <c r="I94" s="95">
        <v>89</v>
      </c>
      <c r="J94" s="106">
        <v>36801</v>
      </c>
      <c r="K94" s="96" t="s">
        <v>470</v>
      </c>
      <c r="L94" s="95">
        <v>27</v>
      </c>
      <c r="M94" s="104" t="s">
        <v>189</v>
      </c>
      <c r="N94" s="105" t="s">
        <v>384</v>
      </c>
      <c r="P94" s="95">
        <v>89</v>
      </c>
      <c r="Q94" s="106">
        <v>36801</v>
      </c>
      <c r="R94" s="96" t="s">
        <v>470</v>
      </c>
      <c r="S94" s="94">
        <v>39</v>
      </c>
      <c r="T94" s="103">
        <v>3680</v>
      </c>
      <c r="U94" s="96" t="s">
        <v>468</v>
      </c>
      <c r="W94" s="103">
        <v>4180</v>
      </c>
    </row>
    <row r="95" spans="6:24" x14ac:dyDescent="0.15">
      <c r="F95" s="104"/>
      <c r="I95" s="95">
        <v>90</v>
      </c>
      <c r="J95" s="106">
        <v>41801</v>
      </c>
      <c r="K95" s="96" t="s">
        <v>471</v>
      </c>
      <c r="L95" s="95">
        <v>28</v>
      </c>
      <c r="M95" s="104" t="s">
        <v>25</v>
      </c>
      <c r="N95" s="105" t="s">
        <v>387</v>
      </c>
      <c r="P95" s="95">
        <v>90</v>
      </c>
      <c r="Q95" s="106">
        <v>41801</v>
      </c>
      <c r="R95" s="96" t="s">
        <v>471</v>
      </c>
      <c r="S95" s="94">
        <v>40</v>
      </c>
      <c r="T95" s="103">
        <v>4180</v>
      </c>
      <c r="U95" s="96" t="s">
        <v>469</v>
      </c>
      <c r="W95" s="103">
        <v>4180</v>
      </c>
    </row>
    <row r="96" spans="6:24" x14ac:dyDescent="0.15">
      <c r="F96" s="104"/>
      <c r="I96" s="95">
        <v>91</v>
      </c>
      <c r="J96" s="106">
        <v>41802</v>
      </c>
      <c r="K96" s="96" t="s">
        <v>472</v>
      </c>
      <c r="L96" s="95">
        <v>28</v>
      </c>
      <c r="M96" s="104" t="s">
        <v>25</v>
      </c>
      <c r="P96" s="95">
        <v>91</v>
      </c>
      <c r="Q96" s="106">
        <v>41802</v>
      </c>
      <c r="R96" s="96" t="s">
        <v>472</v>
      </c>
      <c r="S96" s="94">
        <v>40</v>
      </c>
      <c r="T96" s="103">
        <v>4180</v>
      </c>
      <c r="W96" s="103">
        <v>4580</v>
      </c>
      <c r="X96" s="96" t="s">
        <v>473</v>
      </c>
    </row>
    <row r="97" spans="5:24" x14ac:dyDescent="0.15">
      <c r="E97" s="113"/>
      <c r="F97" s="104"/>
      <c r="I97" s="95">
        <v>92</v>
      </c>
      <c r="J97" s="106">
        <v>41803</v>
      </c>
      <c r="K97" s="96" t="s">
        <v>474</v>
      </c>
      <c r="L97" s="95">
        <v>28</v>
      </c>
      <c r="M97" s="104" t="s">
        <v>25</v>
      </c>
      <c r="P97" s="95">
        <v>92</v>
      </c>
      <c r="Q97" s="106">
        <v>41803</v>
      </c>
      <c r="R97" s="96" t="s">
        <v>474</v>
      </c>
      <c r="S97" s="94">
        <v>40</v>
      </c>
      <c r="T97" s="103">
        <v>4180</v>
      </c>
      <c r="W97" s="103">
        <v>4580</v>
      </c>
    </row>
    <row r="98" spans="5:24" x14ac:dyDescent="0.15">
      <c r="F98" s="104"/>
      <c r="I98" s="95">
        <v>93</v>
      </c>
      <c r="J98" s="106">
        <v>45001</v>
      </c>
      <c r="K98" s="96" t="s">
        <v>475</v>
      </c>
      <c r="L98" s="95">
        <v>29</v>
      </c>
      <c r="M98" s="104" t="s">
        <v>26</v>
      </c>
      <c r="N98" s="105" t="s">
        <v>389</v>
      </c>
      <c r="P98" s="95">
        <v>93</v>
      </c>
      <c r="Q98" s="106">
        <v>45001</v>
      </c>
      <c r="R98" s="96" t="s">
        <v>475</v>
      </c>
      <c r="S98" s="94">
        <v>41</v>
      </c>
      <c r="T98" s="103">
        <v>4580</v>
      </c>
      <c r="U98" s="96" t="s">
        <v>473</v>
      </c>
      <c r="W98" s="103">
        <v>4900</v>
      </c>
      <c r="X98" s="96" t="s">
        <v>476</v>
      </c>
    </row>
    <row r="99" spans="5:24" x14ac:dyDescent="0.15">
      <c r="F99" s="104"/>
      <c r="I99" s="95">
        <v>94</v>
      </c>
      <c r="J99" s="106">
        <v>46801</v>
      </c>
      <c r="K99" s="96" t="s">
        <v>477</v>
      </c>
      <c r="L99" s="95">
        <v>29</v>
      </c>
      <c r="M99" s="104" t="s">
        <v>26</v>
      </c>
      <c r="P99" s="95">
        <v>94</v>
      </c>
      <c r="Q99" s="106">
        <v>46801</v>
      </c>
      <c r="R99" s="96" t="s">
        <v>477</v>
      </c>
      <c r="S99" s="94">
        <v>41</v>
      </c>
      <c r="T99" s="103">
        <v>4580</v>
      </c>
      <c r="W99" s="103">
        <v>4900</v>
      </c>
    </row>
    <row r="100" spans="5:24" x14ac:dyDescent="0.15">
      <c r="F100" s="104"/>
      <c r="I100" s="95">
        <v>95</v>
      </c>
      <c r="J100" s="106">
        <v>49001</v>
      </c>
      <c r="K100" s="96" t="s">
        <v>478</v>
      </c>
      <c r="L100" s="95">
        <v>29</v>
      </c>
      <c r="M100" s="104" t="s">
        <v>26</v>
      </c>
      <c r="P100" s="95">
        <v>95</v>
      </c>
      <c r="Q100" s="106">
        <v>49001</v>
      </c>
      <c r="R100" s="96" t="s">
        <v>478</v>
      </c>
      <c r="S100" s="94">
        <v>42</v>
      </c>
      <c r="T100" s="103">
        <v>4900</v>
      </c>
      <c r="U100" s="96" t="s">
        <v>476</v>
      </c>
      <c r="W100" s="103">
        <v>5000</v>
      </c>
      <c r="X100" s="96" t="s">
        <v>479</v>
      </c>
    </row>
    <row r="101" spans="5:24" x14ac:dyDescent="0.15">
      <c r="F101" s="104"/>
      <c r="I101" s="95">
        <v>96</v>
      </c>
      <c r="J101" s="106">
        <v>49002</v>
      </c>
      <c r="K101" s="96" t="s">
        <v>480</v>
      </c>
      <c r="L101" s="95">
        <v>30</v>
      </c>
      <c r="M101" s="104" t="s">
        <v>27</v>
      </c>
      <c r="N101" s="105" t="s">
        <v>392</v>
      </c>
      <c r="P101" s="95">
        <v>96</v>
      </c>
      <c r="Q101" s="106">
        <v>49002</v>
      </c>
      <c r="R101" s="96" t="s">
        <v>480</v>
      </c>
      <c r="S101" s="94">
        <v>42</v>
      </c>
      <c r="T101" s="103">
        <v>4900</v>
      </c>
      <c r="W101" s="103">
        <v>5100</v>
      </c>
      <c r="X101" s="96" t="s">
        <v>481</v>
      </c>
    </row>
    <row r="102" spans="5:24" x14ac:dyDescent="0.15">
      <c r="F102" s="104"/>
      <c r="I102" s="95">
        <v>97</v>
      </c>
      <c r="J102" s="106">
        <v>50001</v>
      </c>
      <c r="K102" s="96" t="s">
        <v>261</v>
      </c>
      <c r="L102" s="95">
        <v>30</v>
      </c>
      <c r="M102" s="104" t="s">
        <v>27</v>
      </c>
      <c r="P102" s="95">
        <v>97</v>
      </c>
      <c r="Q102" s="106">
        <v>50001</v>
      </c>
      <c r="R102" s="96" t="s">
        <v>261</v>
      </c>
      <c r="S102" s="94">
        <v>43</v>
      </c>
      <c r="T102" s="103">
        <v>5000</v>
      </c>
      <c r="U102" s="96" t="s">
        <v>479</v>
      </c>
      <c r="W102" s="103">
        <v>5280</v>
      </c>
      <c r="X102" s="96" t="s">
        <v>482</v>
      </c>
    </row>
    <row r="103" spans="5:24" x14ac:dyDescent="0.15">
      <c r="F103" s="104"/>
      <c r="I103" s="95">
        <v>98</v>
      </c>
      <c r="J103" s="106">
        <v>51001</v>
      </c>
      <c r="K103" s="96" t="s">
        <v>262</v>
      </c>
      <c r="L103" s="95">
        <v>30</v>
      </c>
      <c r="M103" s="104" t="s">
        <v>27</v>
      </c>
      <c r="P103" s="95">
        <v>98</v>
      </c>
      <c r="Q103" s="106">
        <v>51001</v>
      </c>
      <c r="R103" s="96" t="s">
        <v>262</v>
      </c>
      <c r="S103" s="94">
        <v>44</v>
      </c>
      <c r="T103" s="103">
        <v>5100</v>
      </c>
      <c r="U103" s="96" t="s">
        <v>481</v>
      </c>
      <c r="W103" s="103">
        <v>5280</v>
      </c>
    </row>
    <row r="104" spans="5:24" x14ac:dyDescent="0.15">
      <c r="F104" s="104"/>
      <c r="I104" s="95">
        <v>99</v>
      </c>
      <c r="J104" s="106">
        <v>52801</v>
      </c>
      <c r="K104" s="96" t="s">
        <v>483</v>
      </c>
      <c r="L104" s="95">
        <v>30</v>
      </c>
      <c r="M104" s="104" t="s">
        <v>27</v>
      </c>
      <c r="P104" s="95">
        <v>99</v>
      </c>
      <c r="Q104" s="106">
        <v>52801</v>
      </c>
      <c r="R104" s="96" t="s">
        <v>483</v>
      </c>
      <c r="S104" s="94">
        <v>45</v>
      </c>
      <c r="T104" s="103">
        <v>5280</v>
      </c>
      <c r="U104" s="96" t="s">
        <v>482</v>
      </c>
      <c r="W104" s="103">
        <v>5500</v>
      </c>
      <c r="X104" s="96" t="s">
        <v>484</v>
      </c>
    </row>
    <row r="105" spans="5:24" x14ac:dyDescent="0.15">
      <c r="F105" s="104"/>
      <c r="I105" s="95">
        <v>100</v>
      </c>
      <c r="J105" s="106">
        <v>52802</v>
      </c>
      <c r="K105" s="96" t="s">
        <v>485</v>
      </c>
      <c r="L105" s="95">
        <v>30</v>
      </c>
      <c r="M105" s="104" t="s">
        <v>27</v>
      </c>
      <c r="P105" s="95">
        <v>100</v>
      </c>
      <c r="Q105" s="106">
        <v>52802</v>
      </c>
      <c r="R105" s="96" t="s">
        <v>485</v>
      </c>
      <c r="S105" s="94">
        <v>45</v>
      </c>
      <c r="T105" s="103">
        <v>5280</v>
      </c>
      <c r="W105" s="103">
        <v>5600</v>
      </c>
      <c r="X105" s="96" t="s">
        <v>486</v>
      </c>
    </row>
    <row r="106" spans="5:24" x14ac:dyDescent="0.15">
      <c r="F106" s="104"/>
      <c r="I106" s="95">
        <v>101</v>
      </c>
      <c r="J106" s="106">
        <v>55001</v>
      </c>
      <c r="K106" s="96" t="s">
        <v>487</v>
      </c>
      <c r="L106" s="95">
        <v>31</v>
      </c>
      <c r="M106" s="104" t="s">
        <v>28</v>
      </c>
      <c r="N106" s="105" t="s">
        <v>398</v>
      </c>
      <c r="P106" s="95">
        <v>101</v>
      </c>
      <c r="Q106" s="106">
        <v>55001</v>
      </c>
      <c r="R106" s="96" t="s">
        <v>487</v>
      </c>
      <c r="S106" s="94">
        <v>46</v>
      </c>
      <c r="T106" s="103">
        <v>5500</v>
      </c>
      <c r="U106" s="96" t="s">
        <v>484</v>
      </c>
      <c r="W106" s="103">
        <v>5800</v>
      </c>
      <c r="X106" s="96" t="s">
        <v>488</v>
      </c>
    </row>
    <row r="107" spans="5:24" x14ac:dyDescent="0.15">
      <c r="F107" s="104"/>
      <c r="I107" s="95">
        <v>102</v>
      </c>
      <c r="J107" s="106">
        <v>56001</v>
      </c>
      <c r="K107" s="96" t="s">
        <v>489</v>
      </c>
      <c r="L107" s="95">
        <v>32</v>
      </c>
      <c r="M107" s="104" t="s">
        <v>29</v>
      </c>
      <c r="N107" s="105" t="s">
        <v>401</v>
      </c>
      <c r="P107" s="95">
        <v>102</v>
      </c>
      <c r="Q107" s="106">
        <v>56001</v>
      </c>
      <c r="R107" s="96" t="s">
        <v>489</v>
      </c>
      <c r="S107" s="94">
        <v>47</v>
      </c>
      <c r="T107" s="103">
        <v>5600</v>
      </c>
      <c r="U107" s="96" t="s">
        <v>486</v>
      </c>
      <c r="W107" s="103">
        <v>5980</v>
      </c>
      <c r="X107" s="96" t="s">
        <v>490</v>
      </c>
    </row>
    <row r="108" spans="5:24" x14ac:dyDescent="0.15">
      <c r="F108" s="104"/>
      <c r="I108" s="95">
        <v>103</v>
      </c>
      <c r="J108" s="106">
        <v>58001</v>
      </c>
      <c r="K108" s="96" t="s">
        <v>491</v>
      </c>
      <c r="L108" s="95">
        <v>32</v>
      </c>
      <c r="M108" s="104" t="s">
        <v>29</v>
      </c>
      <c r="P108" s="95">
        <v>103</v>
      </c>
      <c r="Q108" s="106">
        <v>58001</v>
      </c>
      <c r="R108" s="96" t="s">
        <v>491</v>
      </c>
      <c r="S108" s="94">
        <v>48</v>
      </c>
      <c r="T108" s="103">
        <v>5800</v>
      </c>
      <c r="U108" s="96" t="s">
        <v>488</v>
      </c>
      <c r="W108" s="103">
        <v>6100</v>
      </c>
      <c r="X108" s="96" t="s">
        <v>492</v>
      </c>
    </row>
    <row r="109" spans="5:24" x14ac:dyDescent="0.15">
      <c r="E109" s="114"/>
      <c r="F109" s="114"/>
      <c r="I109" s="95">
        <v>104</v>
      </c>
      <c r="J109" s="106">
        <v>59801</v>
      </c>
      <c r="K109" s="96" t="s">
        <v>493</v>
      </c>
      <c r="L109" s="95">
        <v>32</v>
      </c>
      <c r="M109" s="104" t="s">
        <v>29</v>
      </c>
      <c r="P109" s="95">
        <v>104</v>
      </c>
      <c r="Q109" s="106">
        <v>59801</v>
      </c>
      <c r="R109" s="96" t="s">
        <v>493</v>
      </c>
      <c r="S109" s="94">
        <v>49</v>
      </c>
      <c r="T109" s="103">
        <v>5980</v>
      </c>
      <c r="U109" s="96" t="s">
        <v>490</v>
      </c>
      <c r="W109" s="103">
        <v>6280</v>
      </c>
      <c r="X109" s="96" t="s">
        <v>494</v>
      </c>
    </row>
    <row r="110" spans="5:24" x14ac:dyDescent="0.15">
      <c r="F110" s="104"/>
      <c r="I110" s="95">
        <v>105</v>
      </c>
      <c r="J110" s="106">
        <v>61001</v>
      </c>
      <c r="K110" s="96" t="s">
        <v>495</v>
      </c>
      <c r="L110" s="95">
        <v>33</v>
      </c>
      <c r="M110" s="104" t="s">
        <v>30</v>
      </c>
      <c r="N110" s="105" t="s">
        <v>407</v>
      </c>
      <c r="P110" s="95">
        <v>105</v>
      </c>
      <c r="Q110" s="106">
        <v>61001</v>
      </c>
      <c r="R110" s="96" t="s">
        <v>495</v>
      </c>
      <c r="S110" s="94">
        <v>50</v>
      </c>
      <c r="T110" s="103">
        <v>6100</v>
      </c>
      <c r="U110" s="96" t="s">
        <v>492</v>
      </c>
      <c r="W110" s="103">
        <v>6480</v>
      </c>
      <c r="X110" s="96" t="s">
        <v>496</v>
      </c>
    </row>
    <row r="111" spans="5:24" x14ac:dyDescent="0.15">
      <c r="F111" s="104"/>
      <c r="I111" s="95">
        <v>106</v>
      </c>
      <c r="J111" s="106">
        <v>62801</v>
      </c>
      <c r="K111" s="96" t="s">
        <v>269</v>
      </c>
      <c r="L111" s="95">
        <v>34</v>
      </c>
      <c r="M111" s="104" t="s">
        <v>31</v>
      </c>
      <c r="N111" s="105" t="s">
        <v>409</v>
      </c>
      <c r="P111" s="95">
        <v>106</v>
      </c>
      <c r="Q111" s="106">
        <v>62801</v>
      </c>
      <c r="R111" s="96" t="s">
        <v>269</v>
      </c>
      <c r="S111" s="94">
        <v>51</v>
      </c>
      <c r="T111" s="103">
        <v>6280</v>
      </c>
      <c r="U111" s="96" t="s">
        <v>494</v>
      </c>
      <c r="W111" s="103">
        <v>6800</v>
      </c>
      <c r="X111" s="96" t="s">
        <v>497</v>
      </c>
    </row>
    <row r="112" spans="5:24" x14ac:dyDescent="0.15">
      <c r="F112" s="104"/>
      <c r="I112" s="95">
        <v>107</v>
      </c>
      <c r="J112" s="106">
        <v>64801</v>
      </c>
      <c r="K112" s="96" t="s">
        <v>270</v>
      </c>
      <c r="L112" s="95">
        <v>35</v>
      </c>
      <c r="M112" s="104" t="s">
        <v>32</v>
      </c>
      <c r="N112" s="105" t="s">
        <v>411</v>
      </c>
      <c r="P112" s="95">
        <v>107</v>
      </c>
      <c r="Q112" s="106">
        <v>64801</v>
      </c>
      <c r="R112" s="96" t="s">
        <v>270</v>
      </c>
      <c r="S112" s="94">
        <v>52</v>
      </c>
      <c r="T112" s="103">
        <v>6480</v>
      </c>
      <c r="U112" s="96" t="s">
        <v>496</v>
      </c>
      <c r="W112" s="103">
        <v>6800</v>
      </c>
    </row>
    <row r="113" spans="6:24" x14ac:dyDescent="0.15">
      <c r="F113" s="104"/>
      <c r="I113" s="95">
        <v>108</v>
      </c>
      <c r="J113" s="106">
        <v>68001</v>
      </c>
      <c r="K113" s="96" t="s">
        <v>498</v>
      </c>
      <c r="L113" s="95">
        <v>36</v>
      </c>
      <c r="M113" s="104" t="s">
        <v>33</v>
      </c>
      <c r="N113" s="105" t="s">
        <v>413</v>
      </c>
      <c r="P113" s="95">
        <v>108</v>
      </c>
      <c r="Q113" s="106">
        <v>68001</v>
      </c>
      <c r="R113" s="96" t="s">
        <v>498</v>
      </c>
      <c r="S113" s="94">
        <v>53</v>
      </c>
      <c r="T113" s="103">
        <v>6800</v>
      </c>
      <c r="U113" s="96" t="s">
        <v>497</v>
      </c>
      <c r="W113" s="103">
        <v>6980</v>
      </c>
      <c r="X113" s="96" t="s">
        <v>499</v>
      </c>
    </row>
    <row r="114" spans="6:24" x14ac:dyDescent="0.15">
      <c r="F114" s="104"/>
      <c r="I114" s="95">
        <v>109</v>
      </c>
      <c r="J114" s="106">
        <v>68002</v>
      </c>
      <c r="K114" s="96" t="s">
        <v>500</v>
      </c>
      <c r="L114" s="95">
        <v>36</v>
      </c>
      <c r="M114" s="104" t="s">
        <v>33</v>
      </c>
      <c r="P114" s="95">
        <v>109</v>
      </c>
      <c r="Q114" s="106">
        <v>68002</v>
      </c>
      <c r="R114" s="96" t="s">
        <v>500</v>
      </c>
      <c r="S114" s="94">
        <v>53</v>
      </c>
      <c r="T114" s="103">
        <v>6800</v>
      </c>
      <c r="W114" s="103">
        <v>7180</v>
      </c>
      <c r="X114" s="96" t="s">
        <v>501</v>
      </c>
    </row>
    <row r="115" spans="6:24" x14ac:dyDescent="0.15">
      <c r="F115" s="104"/>
      <c r="I115" s="95">
        <v>110</v>
      </c>
      <c r="J115" s="106">
        <v>69801</v>
      </c>
      <c r="K115" s="96" t="s">
        <v>502</v>
      </c>
      <c r="L115" s="95">
        <v>37</v>
      </c>
      <c r="M115" s="104" t="s">
        <v>34</v>
      </c>
      <c r="N115" s="105" t="s">
        <v>416</v>
      </c>
      <c r="P115" s="95">
        <v>110</v>
      </c>
      <c r="Q115" s="106">
        <v>69801</v>
      </c>
      <c r="R115" s="96" t="s">
        <v>502</v>
      </c>
      <c r="S115" s="94">
        <v>54</v>
      </c>
      <c r="T115" s="103">
        <v>6980</v>
      </c>
      <c r="U115" s="96" t="s">
        <v>499</v>
      </c>
      <c r="W115" s="103">
        <v>7180</v>
      </c>
    </row>
    <row r="116" spans="6:24" x14ac:dyDescent="0.15">
      <c r="F116" s="104"/>
      <c r="I116" s="95">
        <v>111</v>
      </c>
      <c r="J116" s="106">
        <v>71801</v>
      </c>
      <c r="K116" s="96" t="s">
        <v>503</v>
      </c>
      <c r="L116" s="95">
        <v>37</v>
      </c>
      <c r="M116" s="104" t="s">
        <v>34</v>
      </c>
      <c r="P116" s="95">
        <v>111</v>
      </c>
      <c r="Q116" s="106">
        <v>71801</v>
      </c>
      <c r="R116" s="96" t="s">
        <v>503</v>
      </c>
      <c r="S116" s="94">
        <v>55</v>
      </c>
      <c r="T116" s="103">
        <v>7180</v>
      </c>
      <c r="U116" s="96" t="s">
        <v>501</v>
      </c>
      <c r="W116" s="103">
        <v>7380</v>
      </c>
      <c r="X116" s="96" t="s">
        <v>504</v>
      </c>
    </row>
    <row r="117" spans="6:24" x14ac:dyDescent="0.15">
      <c r="F117" s="104"/>
      <c r="I117" s="95">
        <v>112</v>
      </c>
      <c r="J117" s="106">
        <v>71802</v>
      </c>
      <c r="K117" s="96" t="s">
        <v>505</v>
      </c>
      <c r="L117" s="95">
        <v>37</v>
      </c>
      <c r="M117" s="104" t="s">
        <v>34</v>
      </c>
      <c r="P117" s="95">
        <v>112</v>
      </c>
      <c r="Q117" s="106">
        <v>71802</v>
      </c>
      <c r="R117" s="96" t="s">
        <v>505</v>
      </c>
      <c r="S117" s="94">
        <v>55</v>
      </c>
      <c r="T117" s="103">
        <v>7180</v>
      </c>
      <c r="W117" s="103">
        <v>7700</v>
      </c>
      <c r="X117" s="96" t="s">
        <v>506</v>
      </c>
    </row>
    <row r="118" spans="6:24" x14ac:dyDescent="0.15">
      <c r="F118" s="104"/>
      <c r="I118" s="95">
        <v>113</v>
      </c>
      <c r="J118" s="106">
        <v>73801</v>
      </c>
      <c r="K118" s="96" t="s">
        <v>507</v>
      </c>
      <c r="L118" s="95">
        <v>37</v>
      </c>
      <c r="M118" s="104" t="s">
        <v>34</v>
      </c>
      <c r="P118" s="95">
        <v>113</v>
      </c>
      <c r="Q118" s="106">
        <v>73801</v>
      </c>
      <c r="R118" s="96" t="s">
        <v>507</v>
      </c>
      <c r="S118" s="94">
        <v>56</v>
      </c>
      <c r="T118" s="103">
        <v>7380</v>
      </c>
      <c r="U118" s="96" t="s">
        <v>504</v>
      </c>
      <c r="W118" s="103">
        <v>7880</v>
      </c>
      <c r="X118" s="96" t="s">
        <v>508</v>
      </c>
    </row>
    <row r="119" spans="6:24" x14ac:dyDescent="0.15">
      <c r="F119" s="104"/>
      <c r="I119" s="95">
        <v>114</v>
      </c>
      <c r="J119" s="106">
        <v>77001</v>
      </c>
      <c r="K119" s="96" t="s">
        <v>509</v>
      </c>
      <c r="L119" s="95">
        <v>37</v>
      </c>
      <c r="M119" s="104" t="s">
        <v>34</v>
      </c>
      <c r="P119" s="95">
        <v>114</v>
      </c>
      <c r="Q119" s="106">
        <v>77001</v>
      </c>
      <c r="R119" s="96" t="s">
        <v>509</v>
      </c>
      <c r="S119" s="94">
        <v>57</v>
      </c>
      <c r="T119" s="103">
        <v>7700</v>
      </c>
      <c r="U119" s="96" t="s">
        <v>506</v>
      </c>
      <c r="W119" s="103">
        <v>7880</v>
      </c>
    </row>
    <row r="120" spans="6:24" x14ac:dyDescent="0.15">
      <c r="F120" s="104"/>
      <c r="I120" s="95">
        <v>115</v>
      </c>
      <c r="J120" s="106">
        <v>78801</v>
      </c>
      <c r="K120" s="96" t="s">
        <v>510</v>
      </c>
      <c r="L120" s="95">
        <v>37</v>
      </c>
      <c r="M120" s="104" t="s">
        <v>34</v>
      </c>
      <c r="P120" s="95">
        <v>115</v>
      </c>
      <c r="Q120" s="106">
        <v>78801</v>
      </c>
      <c r="R120" s="96" t="s">
        <v>510</v>
      </c>
      <c r="S120" s="94">
        <v>58</v>
      </c>
      <c r="T120" s="103">
        <v>7880</v>
      </c>
      <c r="U120" s="96" t="s">
        <v>508</v>
      </c>
      <c r="W120" s="103">
        <v>8000</v>
      </c>
      <c r="X120" s="96" t="s">
        <v>511</v>
      </c>
    </row>
    <row r="121" spans="6:24" x14ac:dyDescent="0.15">
      <c r="F121" s="104"/>
      <c r="I121" s="95">
        <v>116</v>
      </c>
      <c r="J121" s="106">
        <v>78802</v>
      </c>
      <c r="K121" s="96" t="s">
        <v>512</v>
      </c>
      <c r="L121" s="95">
        <v>37</v>
      </c>
      <c r="M121" s="104" t="s">
        <v>34</v>
      </c>
      <c r="P121" s="95">
        <v>116</v>
      </c>
      <c r="Q121" s="106">
        <v>78802</v>
      </c>
      <c r="R121" s="96" t="s">
        <v>512</v>
      </c>
      <c r="S121" s="94">
        <v>58</v>
      </c>
      <c r="T121" s="103">
        <v>7880</v>
      </c>
      <c r="W121" s="103">
        <v>8400</v>
      </c>
      <c r="X121" s="96" t="s">
        <v>513</v>
      </c>
    </row>
    <row r="122" spans="6:24" x14ac:dyDescent="0.15">
      <c r="F122" s="104"/>
      <c r="I122" s="95">
        <v>117</v>
      </c>
      <c r="J122" s="106">
        <v>80001</v>
      </c>
      <c r="K122" s="96" t="s">
        <v>514</v>
      </c>
      <c r="L122" s="95">
        <v>37</v>
      </c>
      <c r="M122" s="104" t="s">
        <v>34</v>
      </c>
      <c r="P122" s="95">
        <v>117</v>
      </c>
      <c r="Q122" s="106">
        <v>80001</v>
      </c>
      <c r="R122" s="96" t="s">
        <v>514</v>
      </c>
      <c r="S122" s="94">
        <v>59</v>
      </c>
      <c r="T122" s="103">
        <v>8000</v>
      </c>
      <c r="U122" s="96" t="s">
        <v>511</v>
      </c>
      <c r="W122" s="103">
        <v>8400</v>
      </c>
    </row>
    <row r="123" spans="6:24" x14ac:dyDescent="0.15">
      <c r="F123" s="104"/>
      <c r="I123" s="95">
        <v>118</v>
      </c>
      <c r="J123" s="106">
        <v>84001</v>
      </c>
      <c r="K123" s="96" t="s">
        <v>515</v>
      </c>
      <c r="L123" s="95">
        <v>38</v>
      </c>
      <c r="M123" s="104" t="s">
        <v>35</v>
      </c>
      <c r="N123" s="105" t="s">
        <v>426</v>
      </c>
      <c r="P123" s="95">
        <v>118</v>
      </c>
      <c r="Q123" s="106">
        <v>84001</v>
      </c>
      <c r="R123" s="96" t="s">
        <v>515</v>
      </c>
      <c r="S123" s="94">
        <v>60</v>
      </c>
      <c r="T123" s="103">
        <v>8400</v>
      </c>
      <c r="U123" s="96" t="s">
        <v>513</v>
      </c>
      <c r="W123" s="103">
        <v>8591</v>
      </c>
      <c r="X123" s="96" t="s">
        <v>516</v>
      </c>
    </row>
    <row r="124" spans="6:24" x14ac:dyDescent="0.15">
      <c r="F124" s="104"/>
      <c r="I124" s="95">
        <v>119</v>
      </c>
      <c r="J124" s="106">
        <v>84002</v>
      </c>
      <c r="K124" s="96" t="s">
        <v>517</v>
      </c>
      <c r="L124" s="95">
        <v>38</v>
      </c>
      <c r="M124" s="104" t="s">
        <v>35</v>
      </c>
      <c r="P124" s="95">
        <v>119</v>
      </c>
      <c r="Q124" s="106">
        <v>84002</v>
      </c>
      <c r="R124" s="96" t="s">
        <v>517</v>
      </c>
      <c r="S124" s="94">
        <v>60</v>
      </c>
      <c r="T124" s="103">
        <v>8400</v>
      </c>
      <c r="W124" s="103">
        <v>8592</v>
      </c>
      <c r="X124" s="96" t="s">
        <v>518</v>
      </c>
    </row>
    <row r="125" spans="6:24" x14ac:dyDescent="0.15">
      <c r="F125" s="104"/>
      <c r="I125" s="95">
        <v>120</v>
      </c>
      <c r="J125" s="106">
        <v>85911</v>
      </c>
      <c r="K125" s="96" t="s">
        <v>279</v>
      </c>
      <c r="L125" s="95">
        <v>39</v>
      </c>
      <c r="M125" s="104" t="s">
        <v>36</v>
      </c>
      <c r="N125" s="105" t="s">
        <v>429</v>
      </c>
      <c r="P125" s="95">
        <v>120</v>
      </c>
      <c r="Q125" s="106">
        <v>85911</v>
      </c>
      <c r="R125" s="96" t="s">
        <v>279</v>
      </c>
      <c r="S125" s="94">
        <v>61</v>
      </c>
      <c r="T125" s="103">
        <v>8591</v>
      </c>
      <c r="U125" s="96" t="s">
        <v>516</v>
      </c>
      <c r="W125" s="103">
        <v>8691</v>
      </c>
      <c r="X125" s="96" t="s">
        <v>519</v>
      </c>
    </row>
    <row r="126" spans="6:24" x14ac:dyDescent="0.15">
      <c r="F126" s="104"/>
      <c r="I126" s="95">
        <v>121</v>
      </c>
      <c r="J126" s="106">
        <v>85921</v>
      </c>
      <c r="K126" s="96" t="s">
        <v>280</v>
      </c>
      <c r="L126" s="95">
        <v>39</v>
      </c>
      <c r="M126" s="104" t="s">
        <v>36</v>
      </c>
      <c r="P126" s="95">
        <v>121</v>
      </c>
      <c r="Q126" s="106">
        <v>85921</v>
      </c>
      <c r="R126" s="96" t="s">
        <v>280</v>
      </c>
      <c r="S126" s="94">
        <v>62</v>
      </c>
      <c r="T126" s="103">
        <v>8592</v>
      </c>
      <c r="U126" s="96" t="s">
        <v>518</v>
      </c>
      <c r="W126" s="103">
        <v>8692</v>
      </c>
      <c r="X126" s="96" t="s">
        <v>520</v>
      </c>
    </row>
    <row r="127" spans="6:24" x14ac:dyDescent="0.15">
      <c r="F127" s="104"/>
      <c r="I127" s="95">
        <v>122</v>
      </c>
      <c r="J127" s="106">
        <v>86911</v>
      </c>
      <c r="K127" s="96" t="s">
        <v>281</v>
      </c>
      <c r="L127" s="95">
        <v>40</v>
      </c>
      <c r="M127" s="104" t="s">
        <v>37</v>
      </c>
      <c r="N127" s="105" t="s">
        <v>432</v>
      </c>
      <c r="P127" s="95">
        <v>122</v>
      </c>
      <c r="Q127" s="106">
        <v>86911</v>
      </c>
      <c r="R127" s="96" t="s">
        <v>281</v>
      </c>
      <c r="S127" s="94">
        <v>63</v>
      </c>
      <c r="T127" s="103">
        <v>8691</v>
      </c>
      <c r="U127" s="96" t="s">
        <v>519</v>
      </c>
      <c r="W127" s="103">
        <v>9080</v>
      </c>
      <c r="X127" s="96" t="s">
        <v>521</v>
      </c>
    </row>
    <row r="128" spans="6:24" x14ac:dyDescent="0.15">
      <c r="F128" s="104"/>
      <c r="I128" s="95">
        <v>123</v>
      </c>
      <c r="J128" s="106">
        <v>86921</v>
      </c>
      <c r="K128" s="96" t="s">
        <v>282</v>
      </c>
      <c r="L128" s="95">
        <v>40</v>
      </c>
      <c r="M128" s="104" t="s">
        <v>37</v>
      </c>
      <c r="P128" s="95">
        <v>123</v>
      </c>
      <c r="Q128" s="106">
        <v>86921</v>
      </c>
      <c r="R128" s="96" t="s">
        <v>282</v>
      </c>
      <c r="S128" s="94">
        <v>64</v>
      </c>
      <c r="T128" s="103">
        <v>8692</v>
      </c>
      <c r="U128" s="96" t="s">
        <v>520</v>
      </c>
      <c r="W128" s="103">
        <v>9480</v>
      </c>
      <c r="X128" s="96" t="s">
        <v>522</v>
      </c>
    </row>
    <row r="129" spans="4:24" x14ac:dyDescent="0.15">
      <c r="D129" s="96"/>
      <c r="F129" s="104"/>
      <c r="I129" s="95">
        <v>124</v>
      </c>
      <c r="J129" s="106">
        <v>90801</v>
      </c>
      <c r="K129" s="96" t="s">
        <v>523</v>
      </c>
      <c r="L129" s="95">
        <v>41</v>
      </c>
      <c r="M129" s="104" t="s">
        <v>38</v>
      </c>
      <c r="N129" s="105" t="s">
        <v>435</v>
      </c>
      <c r="P129" s="95">
        <v>124</v>
      </c>
      <c r="Q129" s="106">
        <v>90801</v>
      </c>
      <c r="R129" s="96" t="s">
        <v>523</v>
      </c>
      <c r="S129" s="94">
        <v>65</v>
      </c>
      <c r="T129" s="103">
        <v>9080</v>
      </c>
      <c r="U129" s="96" t="s">
        <v>521</v>
      </c>
      <c r="W129" s="103">
        <v>9480</v>
      </c>
    </row>
    <row r="130" spans="4:24" x14ac:dyDescent="0.15">
      <c r="F130" s="104"/>
      <c r="I130" s="95">
        <v>125</v>
      </c>
      <c r="J130" s="106">
        <v>94801</v>
      </c>
      <c r="K130" s="96" t="s">
        <v>524</v>
      </c>
      <c r="L130" s="95">
        <v>41</v>
      </c>
      <c r="M130" s="104" t="s">
        <v>38</v>
      </c>
      <c r="P130" s="95">
        <v>125</v>
      </c>
      <c r="Q130" s="106">
        <v>94801</v>
      </c>
      <c r="R130" s="96" t="s">
        <v>524</v>
      </c>
      <c r="S130" s="94">
        <v>66</v>
      </c>
      <c r="T130" s="103">
        <v>9480</v>
      </c>
      <c r="U130" s="96" t="s">
        <v>522</v>
      </c>
      <c r="W130" s="103">
        <v>9480</v>
      </c>
    </row>
    <row r="131" spans="4:24" x14ac:dyDescent="0.15">
      <c r="F131" s="104"/>
      <c r="I131" s="95">
        <v>126</v>
      </c>
      <c r="J131" s="106">
        <v>94802</v>
      </c>
      <c r="K131" s="96" t="s">
        <v>525</v>
      </c>
      <c r="L131" s="95">
        <v>41</v>
      </c>
      <c r="M131" s="104" t="s">
        <v>38</v>
      </c>
      <c r="P131" s="95">
        <v>126</v>
      </c>
      <c r="Q131" s="106">
        <v>94802</v>
      </c>
      <c r="R131" s="96" t="s">
        <v>525</v>
      </c>
      <c r="S131" s="94">
        <v>66</v>
      </c>
      <c r="T131" s="103">
        <v>9480</v>
      </c>
      <c r="W131" s="103">
        <v>9700</v>
      </c>
      <c r="X131" s="96" t="s">
        <v>526</v>
      </c>
    </row>
    <row r="132" spans="4:24" x14ac:dyDescent="0.15">
      <c r="I132" s="95">
        <v>127</v>
      </c>
      <c r="J132" s="106">
        <v>94803</v>
      </c>
      <c r="K132" s="96" t="s">
        <v>527</v>
      </c>
      <c r="L132" s="95">
        <v>41</v>
      </c>
      <c r="M132" s="104" t="s">
        <v>38</v>
      </c>
      <c r="P132" s="95">
        <v>127</v>
      </c>
      <c r="Q132" s="106">
        <v>94803</v>
      </c>
      <c r="R132" s="96" t="s">
        <v>527</v>
      </c>
      <c r="S132" s="94">
        <v>66</v>
      </c>
      <c r="T132" s="103">
        <v>9480</v>
      </c>
    </row>
    <row r="133" spans="4:24" x14ac:dyDescent="0.15">
      <c r="I133" s="95">
        <v>128</v>
      </c>
      <c r="J133" s="106">
        <v>97001</v>
      </c>
      <c r="K133" s="96" t="s">
        <v>285</v>
      </c>
      <c r="L133" s="95">
        <v>42</v>
      </c>
      <c r="M133" s="104" t="s">
        <v>39</v>
      </c>
      <c r="N133" s="105" t="s">
        <v>440</v>
      </c>
      <c r="P133" s="95">
        <v>128</v>
      </c>
      <c r="Q133" s="106">
        <v>97001</v>
      </c>
      <c r="R133" s="96" t="s">
        <v>285</v>
      </c>
      <c r="S133" s="94">
        <v>67</v>
      </c>
      <c r="T133" s="103">
        <v>9700</v>
      </c>
      <c r="U133" s="96" t="s">
        <v>526</v>
      </c>
    </row>
    <row r="153" spans="4:6" x14ac:dyDescent="0.15">
      <c r="D153" s="96"/>
      <c r="F153" s="104"/>
    </row>
    <row r="154" spans="4:6" x14ac:dyDescent="0.15">
      <c r="D154" s="96"/>
      <c r="F154" s="104"/>
    </row>
    <row r="155" spans="4:6" x14ac:dyDescent="0.15">
      <c r="D155" s="96"/>
      <c r="F155" s="104"/>
    </row>
    <row r="156" spans="4:6" x14ac:dyDescent="0.15">
      <c r="D156" s="96"/>
      <c r="F156" s="104"/>
    </row>
    <row r="157" spans="4:6" x14ac:dyDescent="0.15">
      <c r="D157" s="96"/>
      <c r="F157" s="104"/>
    </row>
    <row r="158" spans="4:6" x14ac:dyDescent="0.15">
      <c r="D158" s="96"/>
      <c r="F158" s="104"/>
    </row>
    <row r="159" spans="4:6" x14ac:dyDescent="0.15">
      <c r="D159" s="96"/>
      <c r="F159" s="104"/>
    </row>
    <row r="160" spans="4:6" x14ac:dyDescent="0.15">
      <c r="D160" s="96"/>
      <c r="F160" s="104"/>
    </row>
    <row r="161" spans="4:6" x14ac:dyDescent="0.15">
      <c r="D161" s="96"/>
      <c r="F161" s="104"/>
    </row>
    <row r="162" spans="4:6" x14ac:dyDescent="0.15">
      <c r="D162" s="96"/>
      <c r="F162" s="104"/>
    </row>
    <row r="163" spans="4:6" x14ac:dyDescent="0.15">
      <c r="D163" s="96"/>
      <c r="F163" s="104"/>
    </row>
    <row r="164" spans="4:6" x14ac:dyDescent="0.15">
      <c r="D164" s="96"/>
      <c r="F164" s="104"/>
    </row>
    <row r="165" spans="4:6" x14ac:dyDescent="0.15">
      <c r="D165" s="96"/>
      <c r="F165" s="104"/>
    </row>
    <row r="166" spans="4:6" x14ac:dyDescent="0.15">
      <c r="D166" s="96"/>
      <c r="F166" s="104"/>
    </row>
    <row r="167" spans="4:6" x14ac:dyDescent="0.15">
      <c r="D167" s="96"/>
      <c r="F167" s="104"/>
    </row>
    <row r="168" spans="4:6" x14ac:dyDescent="0.15">
      <c r="D168" s="96" t="s">
        <v>401</v>
      </c>
      <c r="F168" s="104"/>
    </row>
    <row r="169" spans="4:6" x14ac:dyDescent="0.15">
      <c r="D169" s="96"/>
      <c r="F169" s="104"/>
    </row>
    <row r="170" spans="4:6" x14ac:dyDescent="0.15">
      <c r="D170" s="96"/>
      <c r="F170" s="104"/>
    </row>
    <row r="171" spans="4:6" x14ac:dyDescent="0.15">
      <c r="D171" s="96"/>
      <c r="F171" s="104"/>
    </row>
    <row r="172" spans="4:6" x14ac:dyDescent="0.15">
      <c r="D172" s="96"/>
      <c r="F172" s="104"/>
    </row>
    <row r="173" spans="4:6" x14ac:dyDescent="0.15">
      <c r="D173" s="96"/>
      <c r="F173" s="104"/>
    </row>
    <row r="174" spans="4:6" x14ac:dyDescent="0.15">
      <c r="D174" s="96"/>
      <c r="F174" s="104"/>
    </row>
    <row r="175" spans="4:6" x14ac:dyDescent="0.15">
      <c r="D175" s="96"/>
      <c r="F175" s="104"/>
    </row>
    <row r="176" spans="4:6" x14ac:dyDescent="0.15">
      <c r="D176" s="96"/>
      <c r="F176" s="104"/>
    </row>
    <row r="177" spans="4:6" x14ac:dyDescent="0.15">
      <c r="D177" s="96"/>
      <c r="F177" s="104"/>
    </row>
    <row r="178" spans="4:6" x14ac:dyDescent="0.15">
      <c r="D178" s="96"/>
      <c r="F178" s="104"/>
    </row>
    <row r="179" spans="4:6" x14ac:dyDescent="0.15">
      <c r="D179" s="96"/>
      <c r="F179" s="104"/>
    </row>
    <row r="180" spans="4:6" x14ac:dyDescent="0.15">
      <c r="D180" s="96"/>
      <c r="F180" s="104"/>
    </row>
    <row r="181" spans="4:6" x14ac:dyDescent="0.15">
      <c r="D181" s="96"/>
      <c r="F181" s="104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Q2"/>
  <sheetViews>
    <sheetView topLeftCell="AD1" workbookViewId="0">
      <selection activeCell="AM2" sqref="AM2"/>
    </sheetView>
  </sheetViews>
  <sheetFormatPr baseColWidth="10" defaultColWidth="8.83203125" defaultRowHeight="15" x14ac:dyDescent="0.2"/>
  <cols>
    <col min="1" max="1" width="24.83203125" customWidth="1"/>
    <col min="2" max="26" width="10.1640625" customWidth="1"/>
    <col min="27" max="27" width="13.6640625" customWidth="1"/>
    <col min="28" max="28" width="10.5" customWidth="1"/>
    <col min="29" max="43" width="10.1640625" customWidth="1"/>
  </cols>
  <sheetData>
    <row r="1" spans="1:43" s="4" customFormat="1" x14ac:dyDescent="0.2">
      <c r="A1" s="14" t="s">
        <v>149</v>
      </c>
      <c r="B1" s="4" t="s">
        <v>9</v>
      </c>
      <c r="C1" s="45" t="s">
        <v>185</v>
      </c>
      <c r="D1" s="46" t="s">
        <v>184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5" t="s">
        <v>170</v>
      </c>
      <c r="M1" s="46" t="s">
        <v>171</v>
      </c>
      <c r="N1" s="4" t="s">
        <v>17</v>
      </c>
      <c r="O1" s="45" t="s">
        <v>191</v>
      </c>
      <c r="P1" s="46" t="s">
        <v>190</v>
      </c>
      <c r="Q1" s="45" t="s">
        <v>192</v>
      </c>
      <c r="R1" s="46" t="s">
        <v>193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5" t="s">
        <v>187</v>
      </c>
      <c r="AA1" s="54" t="s">
        <v>188</v>
      </c>
      <c r="AB1" s="46" t="s">
        <v>189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</row>
    <row r="2" spans="1:43" ht="33" thickBot="1" x14ac:dyDescent="0.25">
      <c r="A2" s="21" t="s">
        <v>148</v>
      </c>
      <c r="B2" s="15">
        <f>Calculations!B9</f>
        <v>0.97259582498599728</v>
      </c>
      <c r="C2" s="57">
        <f>Calculations!C9</f>
        <v>0.65438173457837134</v>
      </c>
      <c r="D2" s="59">
        <f>Calculations!D9</f>
        <v>0.78309247420778549</v>
      </c>
      <c r="E2" s="15">
        <f>Calculations!E9</f>
        <v>0.84126706230065584</v>
      </c>
      <c r="F2" s="15">
        <f>Calculations!F9</f>
        <v>0.98666418631539821</v>
      </c>
      <c r="G2" s="15">
        <f>Calculations!G9</f>
        <v>0.9594457624869922</v>
      </c>
      <c r="H2" s="15">
        <f>Calculations!H9</f>
        <v>0.86475555157998196</v>
      </c>
      <c r="I2" s="15">
        <f>Calculations!I9</f>
        <v>0.96447320286155502</v>
      </c>
      <c r="J2" s="15">
        <f>Calculations!J9</f>
        <v>0.94652588045286179</v>
      </c>
      <c r="K2" s="15">
        <f>Calculations!K9</f>
        <v>0.94151128669653406</v>
      </c>
      <c r="L2" s="57">
        <f>Calculations!L9</f>
        <v>0.81596227317770242</v>
      </c>
      <c r="M2" s="59">
        <f>Calculations!M9</f>
        <v>0.78279696745847449</v>
      </c>
      <c r="N2" s="15">
        <f>Calculations!N9</f>
        <v>0.88387626985288736</v>
      </c>
      <c r="O2" s="57">
        <f>Calculations!O9</f>
        <v>0.80494137821383693</v>
      </c>
      <c r="P2" s="59">
        <f>Calculations!P9</f>
        <v>0.99047895027854038</v>
      </c>
      <c r="Q2" s="57">
        <f>Calculations!Q9</f>
        <v>0.88778319057465815</v>
      </c>
      <c r="R2" s="59">
        <f>Calculations!R9</f>
        <v>0.84936860981676587</v>
      </c>
      <c r="S2" s="15">
        <f>Calculations!S9</f>
        <v>0.87934939284056435</v>
      </c>
      <c r="T2" s="15">
        <f>Calculations!T9</f>
        <v>0.70331637253000101</v>
      </c>
      <c r="U2" s="15">
        <f>Calculations!U9</f>
        <v>0.77375994074052457</v>
      </c>
      <c r="V2" s="15">
        <f>Calculations!V9</f>
        <v>0.74890803193987798</v>
      </c>
      <c r="W2" s="15">
        <f>Calculations!W9</f>
        <v>0.85009062405788371</v>
      </c>
      <c r="X2" s="15">
        <f>Calculations!X9</f>
        <v>0.62866741658087566</v>
      </c>
      <c r="Y2" s="15">
        <f>Calculations!Y9</f>
        <v>0.9068183385470977</v>
      </c>
      <c r="Z2" s="57">
        <f>Calculations!Z9</f>
        <v>0.97854850941718174</v>
      </c>
      <c r="AA2" s="58">
        <f>Calculations!AA9</f>
        <v>0.97542942909078822</v>
      </c>
      <c r="AB2" s="59">
        <f>Calculations!AB9</f>
        <v>1</v>
      </c>
      <c r="AC2" s="15">
        <f>Calculations!AC9</f>
        <v>0.99889124664612705</v>
      </c>
      <c r="AD2" s="15">
        <f>Calculations!AD9</f>
        <v>0.9238256800950313</v>
      </c>
      <c r="AE2" s="15">
        <f>Calculations!AE9</f>
        <v>0.91469210872040407</v>
      </c>
      <c r="AF2" s="15">
        <f>Calculations!AF9</f>
        <v>0.87611432370240172</v>
      </c>
      <c r="AG2" s="15">
        <f>Calculations!AG9</f>
        <v>0.91649849438895348</v>
      </c>
      <c r="AH2" s="15">
        <f>Calculations!AH9</f>
        <v>0.97519223639216313</v>
      </c>
      <c r="AI2" s="15">
        <f>Calculations!AI9</f>
        <v>0.8401230286358673</v>
      </c>
      <c r="AJ2" s="15">
        <f>Calculations!AJ9</f>
        <v>0.96405967130913062</v>
      </c>
      <c r="AK2" s="15">
        <f>Calculations!AK9</f>
        <v>0.98393207188529053</v>
      </c>
      <c r="AL2" s="15">
        <f>Calculations!AL9</f>
        <v>0.87550126339548784</v>
      </c>
      <c r="AM2" s="15">
        <f>Calculations!AM9</f>
        <v>0.99896797287842687</v>
      </c>
      <c r="AN2" s="15">
        <f>Calculations!AN9</f>
        <v>0.97131434884094681</v>
      </c>
      <c r="AO2" s="15">
        <f>Calculations!AO9</f>
        <v>0.99560804329758978</v>
      </c>
      <c r="AP2" s="15">
        <f>Calculations!AP9</f>
        <v>0.95775898005135573</v>
      </c>
      <c r="AQ2" s="15">
        <f>Calculations!AQ9</f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16E0-17C2-4A99-A3BD-AFA8B76FCCE1}">
  <sheetPr>
    <tabColor theme="8" tint="-0.249977111117893"/>
  </sheetPr>
  <dimension ref="A1:AQ2"/>
  <sheetViews>
    <sheetView workbookViewId="0">
      <selection activeCell="AM2" sqref="AM2"/>
    </sheetView>
  </sheetViews>
  <sheetFormatPr baseColWidth="10" defaultColWidth="8.83203125" defaultRowHeight="15" x14ac:dyDescent="0.2"/>
  <cols>
    <col min="1" max="1" width="24.83203125" customWidth="1"/>
    <col min="2" max="26" width="10.1640625" customWidth="1"/>
    <col min="27" max="27" width="13.6640625" customWidth="1"/>
    <col min="28" max="28" width="10.5" customWidth="1"/>
    <col min="29" max="43" width="10.1640625" customWidth="1"/>
  </cols>
  <sheetData>
    <row r="1" spans="1:43" s="4" customFormat="1" x14ac:dyDescent="0.2">
      <c r="A1" s="14" t="s">
        <v>149</v>
      </c>
      <c r="B1" s="4" t="s">
        <v>9</v>
      </c>
      <c r="C1" s="45" t="s">
        <v>185</v>
      </c>
      <c r="D1" s="46" t="s">
        <v>184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5" t="s">
        <v>170</v>
      </c>
      <c r="M1" s="46" t="s">
        <v>171</v>
      </c>
      <c r="N1" s="4" t="s">
        <v>17</v>
      </c>
      <c r="O1" s="45" t="s">
        <v>191</v>
      </c>
      <c r="P1" s="46" t="s">
        <v>190</v>
      </c>
      <c r="Q1" s="45" t="s">
        <v>192</v>
      </c>
      <c r="R1" s="46" t="s">
        <v>193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5" t="s">
        <v>187</v>
      </c>
      <c r="AA1" s="54" t="s">
        <v>188</v>
      </c>
      <c r="AB1" s="46" t="s">
        <v>189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</row>
    <row r="2" spans="1:43" ht="17" thickBot="1" x14ac:dyDescent="0.25">
      <c r="A2" s="21" t="s">
        <v>207</v>
      </c>
      <c r="B2" s="15">
        <f>Calculations!B11</f>
        <v>0.23503943561817636</v>
      </c>
      <c r="C2" s="57">
        <f>Calculations!C11</f>
        <v>0.1029557961714532</v>
      </c>
      <c r="D2" s="59">
        <f>Calculations!D11</f>
        <v>0.25904195587710077</v>
      </c>
      <c r="E2" s="15">
        <f>Calculations!E11</f>
        <v>0.60236427751663746</v>
      </c>
      <c r="F2" s="15">
        <f>Calculations!F11</f>
        <v>1.2852353160312927E-2</v>
      </c>
      <c r="G2" s="15">
        <f>Calculations!G11</f>
        <v>0.15621209972979561</v>
      </c>
      <c r="H2" s="15">
        <f>Calculations!H11</f>
        <v>8.0998436452981895E-2</v>
      </c>
      <c r="I2" s="15">
        <f>Calculations!I11</f>
        <v>0.24226829753381066</v>
      </c>
      <c r="J2" s="15">
        <f>Calculations!J11</f>
        <v>0.22668618108006977</v>
      </c>
      <c r="K2" s="15">
        <f>Calculations!K11</f>
        <v>4.2142917844016234E-2</v>
      </c>
      <c r="L2" s="57">
        <f>Calculations!L11</f>
        <v>7.7998041242089894E-2</v>
      </c>
      <c r="M2" s="59">
        <f>Calculations!M11</f>
        <v>5.8745065759139049E-2</v>
      </c>
      <c r="N2" s="15">
        <f>Calculations!N11</f>
        <v>7.9744019443546088E-2</v>
      </c>
      <c r="O2" s="57">
        <f>Calculations!O11</f>
        <v>0.24744769447920126</v>
      </c>
      <c r="P2" s="59">
        <f>Calculations!P11</f>
        <v>1.6996129565873181E-3</v>
      </c>
      <c r="Q2" s="57">
        <f>Calculations!Q11</f>
        <v>0.37693481081969143</v>
      </c>
      <c r="R2" s="59">
        <f>Calculations!R11</f>
        <v>0.35073327769343632</v>
      </c>
      <c r="S2" s="15">
        <f>Calculations!S11</f>
        <v>7.5732556960558528E-2</v>
      </c>
      <c r="T2" s="15">
        <f>Calculations!T11</f>
        <v>4.7129780466992469E-2</v>
      </c>
      <c r="U2" s="15">
        <f>Calculations!U11</f>
        <v>9.7237969767772797E-2</v>
      </c>
      <c r="V2" s="15">
        <f>Calculations!V11</f>
        <v>0.16240250507507828</v>
      </c>
      <c r="W2" s="15">
        <f>Calculations!W11</f>
        <v>0.16589098631501811</v>
      </c>
      <c r="X2" s="15">
        <f>Calculations!X11</f>
        <v>0.36561759027714796</v>
      </c>
      <c r="Y2" s="15">
        <f>Calculations!Y11</f>
        <v>4.2172376135902863E-2</v>
      </c>
      <c r="Z2" s="57">
        <f>Calculations!Z11</f>
        <v>0</v>
      </c>
      <c r="AA2" s="58">
        <f>Calculations!AA11</f>
        <v>0</v>
      </c>
      <c r="AB2" s="59">
        <f>Calculations!AB11</f>
        <v>7.7014223651313994E-4</v>
      </c>
      <c r="AC2" s="15">
        <f>Calculations!AC11</f>
        <v>1.1864950726479956E-4</v>
      </c>
      <c r="AD2" s="15">
        <f>Calculations!AD11</f>
        <v>6.5952585404519273E-2</v>
      </c>
      <c r="AE2" s="15">
        <f>Calculations!AE11</f>
        <v>0.10906131662458746</v>
      </c>
      <c r="AF2" s="15">
        <f>Calculations!AF11</f>
        <v>6.1339859153424449E-3</v>
      </c>
      <c r="AG2" s="15">
        <f>Calculations!AG11</f>
        <v>1.0040659238337626E-2</v>
      </c>
      <c r="AH2" s="15">
        <f>Calculations!AH11</f>
        <v>7.6303918631044493E-3</v>
      </c>
      <c r="AI2" s="15">
        <f>Calculations!AI11</f>
        <v>2.6108223945745863E-2</v>
      </c>
      <c r="AJ2" s="15">
        <f>Calculations!AJ11</f>
        <v>8.8497688484725136E-3</v>
      </c>
      <c r="AK2" s="15">
        <f>Calculations!AK11</f>
        <v>7.3169562172520327E-3</v>
      </c>
      <c r="AL2" s="15">
        <f>Calculations!AL11</f>
        <v>6.646383723525473E-2</v>
      </c>
      <c r="AM2" s="15">
        <f>Calculations!AM11</f>
        <v>3.9556696783888531E-3</v>
      </c>
      <c r="AN2" s="15">
        <f>Calculations!AN11</f>
        <v>1.8988119042595737E-3</v>
      </c>
      <c r="AO2" s="15">
        <f>Calculations!AO11</f>
        <v>2.6385460633951408E-4</v>
      </c>
      <c r="AP2" s="15">
        <f>Calculations!AP11</f>
        <v>3.4127940348541446E-3</v>
      </c>
      <c r="AQ2" s="15">
        <f>Calculations!AQ11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About</vt:lpstr>
      <vt:lpstr>OECD TTL</vt:lpstr>
      <vt:lpstr>OECD ICESHR</vt:lpstr>
      <vt:lpstr>SCNUse128</vt:lpstr>
      <vt:lpstr>SCNSup128</vt:lpstr>
      <vt:lpstr>Split ISIC Code Shares</vt:lpstr>
      <vt:lpstr>Calculations</vt:lpstr>
      <vt:lpstr>SCNtoISIC</vt:lpstr>
      <vt:lpstr>BDCSoCbIC</vt:lpstr>
      <vt:lpstr>BESoP</vt:lpstr>
      <vt:lpstr>SCNSup128!Print_Area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2025-07-01T19:36:18Z</dcterms:modified>
</cp:coreProperties>
</file>