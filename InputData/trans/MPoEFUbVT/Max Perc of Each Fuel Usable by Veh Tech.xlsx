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ma\OneDrive\Desktop\Models\eps-brazil-cpl2\InputData\trans\MPoEFUbVT\"/>
    </mc:Choice>
  </mc:AlternateContent>
  <xr:revisionPtr revIDLastSave="0" documentId="13_ncr:1_{542BA50E-F03C-4B0F-800D-1639B290A581}" xr6:coauthVersionLast="47" xr6:coauthVersionMax="47" xr10:uidLastSave="{00000000-0000-0000-0000-000000000000}"/>
  <bookViews>
    <workbookView xWindow="-98" yWindow="-98" windowWidth="21795" windowHeight="12975" firstSheet="83" activeTab="85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6" i="69" l="1"/>
  <c r="AL6" i="69"/>
  <c r="AM6" i="69"/>
  <c r="AN6" i="69"/>
  <c r="AO6" i="69"/>
  <c r="AP6" i="69"/>
  <c r="AQ6" i="69"/>
  <c r="AR6" i="69"/>
  <c r="AS6" i="69"/>
  <c r="AT6" i="69"/>
  <c r="AU6" i="69"/>
  <c r="AV6" i="69"/>
  <c r="AW6" i="69"/>
  <c r="AX6" i="69"/>
  <c r="AY6" i="69"/>
  <c r="AZ6" i="69"/>
  <c r="BA6" i="69"/>
  <c r="BB6" i="69"/>
  <c r="BC6" i="69"/>
  <c r="BD6" i="69"/>
  <c r="AK7" i="68"/>
  <c r="AL7" i="68"/>
  <c r="AM7" i="68"/>
  <c r="AN7" i="68"/>
  <c r="AO7" i="68"/>
  <c r="AP7" i="68"/>
  <c r="AQ7" i="68"/>
  <c r="AR7" i="68"/>
  <c r="AS7" i="68"/>
  <c r="AT7" i="68"/>
  <c r="AU7" i="68"/>
  <c r="AV7" i="68"/>
  <c r="AW7" i="68"/>
  <c r="AX7" i="68"/>
  <c r="AY7" i="68"/>
  <c r="AZ7" i="68"/>
  <c r="BA7" i="68"/>
  <c r="BB7" i="68"/>
  <c r="BC7" i="68"/>
  <c r="BD7" i="68"/>
  <c r="AK6" i="67"/>
  <c r="AL6" i="67"/>
  <c r="AM6" i="67"/>
  <c r="AN6" i="67"/>
  <c r="AO6" i="67"/>
  <c r="AP6" i="67"/>
  <c r="AQ6" i="67"/>
  <c r="AR6" i="67"/>
  <c r="AS6" i="67"/>
  <c r="AT6" i="67"/>
  <c r="AU6" i="67"/>
  <c r="AV6" i="67"/>
  <c r="AW6" i="67"/>
  <c r="AX6" i="67"/>
  <c r="AY6" i="67"/>
  <c r="AZ6" i="67"/>
  <c r="BA6" i="67"/>
  <c r="BB6" i="67"/>
  <c r="BC6" i="67"/>
  <c r="BD6" i="67"/>
  <c r="AJ7" i="116"/>
  <c r="AK7" i="116"/>
  <c r="AL7" i="116"/>
  <c r="AM7" i="116"/>
  <c r="AN7" i="116"/>
  <c r="AO7" i="116"/>
  <c r="AP7" i="116"/>
  <c r="AQ7" i="116"/>
  <c r="AR7" i="116"/>
  <c r="AS7" i="116"/>
  <c r="AT7" i="116"/>
  <c r="AU7" i="116"/>
  <c r="AV7" i="116"/>
  <c r="AW7" i="116"/>
  <c r="AX7" i="116"/>
  <c r="AY7" i="116"/>
  <c r="AZ7" i="116"/>
  <c r="BA7" i="116"/>
  <c r="BB7" i="116"/>
  <c r="BC7" i="116"/>
  <c r="AJ6" i="115"/>
  <c r="AK6" i="115"/>
  <c r="AL6" i="115"/>
  <c r="AM6" i="115"/>
  <c r="AN6" i="115"/>
  <c r="AO6" i="115"/>
  <c r="AP6" i="115"/>
  <c r="AQ6" i="115"/>
  <c r="AR6" i="115"/>
  <c r="AS6" i="115"/>
  <c r="AT6" i="115"/>
  <c r="AU6" i="115"/>
  <c r="AV6" i="115"/>
  <c r="AW6" i="115"/>
  <c r="AX6" i="115"/>
  <c r="AY6" i="115"/>
  <c r="AZ6" i="115"/>
  <c r="BA6" i="115"/>
  <c r="BB6" i="115"/>
  <c r="BC6" i="115"/>
  <c r="AJ7" i="110"/>
  <c r="AK7" i="110"/>
  <c r="AL7" i="110"/>
  <c r="AM7" i="110"/>
  <c r="AN7" i="110"/>
  <c r="AO7" i="110"/>
  <c r="AP7" i="110"/>
  <c r="AQ7" i="110"/>
  <c r="AR7" i="110"/>
  <c r="AS7" i="110"/>
  <c r="AT7" i="110"/>
  <c r="AU7" i="110"/>
  <c r="AV7" i="110"/>
  <c r="AW7" i="110"/>
  <c r="AX7" i="110"/>
  <c r="AY7" i="110"/>
  <c r="AZ7" i="110"/>
  <c r="BA7" i="110"/>
  <c r="BB7" i="110"/>
  <c r="BC7" i="110"/>
  <c r="AJ6" i="109"/>
  <c r="AK6" i="109"/>
  <c r="AL6" i="109"/>
  <c r="AM6" i="109"/>
  <c r="AN6" i="109"/>
  <c r="AO6" i="109"/>
  <c r="AP6" i="109"/>
  <c r="AQ6" i="109"/>
  <c r="AR6" i="109"/>
  <c r="AS6" i="109"/>
  <c r="AT6" i="109"/>
  <c r="AU6" i="109"/>
  <c r="AV6" i="109"/>
  <c r="AW6" i="109"/>
  <c r="AX6" i="109"/>
  <c r="AY6" i="109"/>
  <c r="AZ6" i="109"/>
  <c r="BA6" i="109"/>
  <c r="BB6" i="109"/>
  <c r="BC6" i="109"/>
  <c r="AJ7" i="104"/>
  <c r="AK7" i="104"/>
  <c r="AL7" i="104"/>
  <c r="AM7" i="104"/>
  <c r="AN7" i="104"/>
  <c r="AO7" i="104"/>
  <c r="AP7" i="104"/>
  <c r="AQ7" i="104"/>
  <c r="AR7" i="104"/>
  <c r="AS7" i="104"/>
  <c r="AT7" i="104"/>
  <c r="AU7" i="104"/>
  <c r="AV7" i="104"/>
  <c r="AW7" i="104"/>
  <c r="AX7" i="104"/>
  <c r="AY7" i="104"/>
  <c r="AZ7" i="104"/>
  <c r="BA7" i="104"/>
  <c r="BB7" i="104"/>
  <c r="BC7" i="104"/>
  <c r="AJ6" i="103"/>
  <c r="AK6" i="103"/>
  <c r="AL6" i="103"/>
  <c r="AM6" i="103"/>
  <c r="AN6" i="103"/>
  <c r="AO6" i="103"/>
  <c r="AP6" i="103"/>
  <c r="AQ6" i="103"/>
  <c r="AR6" i="103"/>
  <c r="AS6" i="103"/>
  <c r="AT6" i="103"/>
  <c r="AU6" i="103"/>
  <c r="AV6" i="103"/>
  <c r="AW6" i="103"/>
  <c r="AX6" i="103"/>
  <c r="AY6" i="103"/>
  <c r="AZ6" i="103"/>
  <c r="BA6" i="103"/>
  <c r="BB6" i="103"/>
  <c r="BC6" i="103"/>
  <c r="AJ7" i="98"/>
  <c r="AK7" i="98"/>
  <c r="AL7" i="98"/>
  <c r="AM7" i="98"/>
  <c r="AN7" i="98"/>
  <c r="AO7" i="98"/>
  <c r="AP7" i="98"/>
  <c r="AQ7" i="98"/>
  <c r="AR7" i="98"/>
  <c r="AS7" i="98"/>
  <c r="AT7" i="98"/>
  <c r="AU7" i="98"/>
  <c r="AV7" i="98"/>
  <c r="AW7" i="98"/>
  <c r="AX7" i="98"/>
  <c r="AY7" i="98"/>
  <c r="AZ7" i="98"/>
  <c r="BA7" i="98"/>
  <c r="BB7" i="98"/>
  <c r="BC7" i="98"/>
  <c r="AJ6" i="97"/>
  <c r="AK6" i="97"/>
  <c r="AL6" i="97"/>
  <c r="AM6" i="97"/>
  <c r="AN6" i="97"/>
  <c r="AO6" i="97"/>
  <c r="AP6" i="97"/>
  <c r="AQ6" i="97"/>
  <c r="AR6" i="97"/>
  <c r="AS6" i="97"/>
  <c r="AT6" i="97"/>
  <c r="AU6" i="97"/>
  <c r="AV6" i="97"/>
  <c r="AW6" i="97"/>
  <c r="AX6" i="97"/>
  <c r="AY6" i="97"/>
  <c r="AZ6" i="97"/>
  <c r="BA6" i="97"/>
  <c r="BB6" i="97"/>
  <c r="BC6" i="97"/>
  <c r="AJ7" i="92"/>
  <c r="AK7" i="92"/>
  <c r="AL7" i="92"/>
  <c r="AM7" i="92"/>
  <c r="AN7" i="92"/>
  <c r="AO7" i="92"/>
  <c r="AP7" i="92"/>
  <c r="AQ7" i="92"/>
  <c r="AR7" i="92"/>
  <c r="AS7" i="92"/>
  <c r="AT7" i="92"/>
  <c r="AU7" i="92"/>
  <c r="AV7" i="92"/>
  <c r="AW7" i="92"/>
  <c r="AX7" i="92"/>
  <c r="AY7" i="92"/>
  <c r="AZ7" i="92"/>
  <c r="BA7" i="92"/>
  <c r="BB7" i="92"/>
  <c r="BC7" i="92"/>
  <c r="AJ6" i="91"/>
  <c r="AK6" i="91"/>
  <c r="AL6" i="91"/>
  <c r="AM6" i="91"/>
  <c r="AN6" i="91"/>
  <c r="AO6" i="91"/>
  <c r="AP6" i="91"/>
  <c r="AQ6" i="91"/>
  <c r="AR6" i="91"/>
  <c r="AS6" i="91"/>
  <c r="AT6" i="91"/>
  <c r="AU6" i="91"/>
  <c r="AV6" i="91"/>
  <c r="AW6" i="91"/>
  <c r="AX6" i="91"/>
  <c r="AY6" i="91"/>
  <c r="AZ6" i="91"/>
  <c r="BA6" i="91"/>
  <c r="BB6" i="91"/>
  <c r="BC6" i="91"/>
  <c r="AJ7" i="86"/>
  <c r="AK7" i="86"/>
  <c r="AL7" i="86"/>
  <c r="AM7" i="86"/>
  <c r="AN7" i="86"/>
  <c r="AO7" i="86"/>
  <c r="AP7" i="86"/>
  <c r="AQ7" i="86"/>
  <c r="AR7" i="86"/>
  <c r="AS7" i="86"/>
  <c r="AT7" i="86"/>
  <c r="AU7" i="86"/>
  <c r="AV7" i="86"/>
  <c r="AW7" i="86"/>
  <c r="AX7" i="86"/>
  <c r="AY7" i="86"/>
  <c r="AZ7" i="86"/>
  <c r="BA7" i="86"/>
  <c r="BB7" i="86"/>
  <c r="BC7" i="86"/>
  <c r="AJ6" i="85"/>
  <c r="AK6" i="85"/>
  <c r="AL6" i="85"/>
  <c r="AM6" i="85"/>
  <c r="AN6" i="85"/>
  <c r="AO6" i="85"/>
  <c r="AP6" i="85"/>
  <c r="AQ6" i="85"/>
  <c r="AR6" i="85"/>
  <c r="AS6" i="85"/>
  <c r="AT6" i="85"/>
  <c r="AU6" i="85"/>
  <c r="AV6" i="85"/>
  <c r="AW6" i="85"/>
  <c r="AX6" i="85"/>
  <c r="AY6" i="85"/>
  <c r="AZ6" i="85"/>
  <c r="BA6" i="85"/>
  <c r="BB6" i="85"/>
  <c r="BC6" i="85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AZ7" i="62"/>
  <c r="BA7" i="62"/>
  <c r="BB7" i="62"/>
  <c r="BC7" i="62"/>
  <c r="BD7" i="62"/>
  <c r="AK7" i="61"/>
  <c r="AL7" i="61"/>
  <c r="AM7" i="61"/>
  <c r="AN7" i="61"/>
  <c r="AO7" i="61"/>
  <c r="AP7" i="61"/>
  <c r="AQ7" i="61"/>
  <c r="AR7" i="61"/>
  <c r="AS7" i="61"/>
  <c r="AT7" i="61"/>
  <c r="AU7" i="61"/>
  <c r="AV7" i="61"/>
  <c r="AW7" i="61"/>
  <c r="AX7" i="61"/>
  <c r="AY7" i="61"/>
  <c r="AZ7" i="61"/>
  <c r="BA7" i="61"/>
  <c r="BB7" i="61"/>
  <c r="BC7" i="61"/>
  <c r="BD7" i="61"/>
  <c r="AK6" i="60"/>
  <c r="AL6" i="60"/>
  <c r="AM6" i="60"/>
  <c r="AN6" i="60"/>
  <c r="AO6" i="60"/>
  <c r="AP6" i="60"/>
  <c r="AQ6" i="60"/>
  <c r="AR6" i="60"/>
  <c r="AS6" i="60"/>
  <c r="AT6" i="60"/>
  <c r="AU6" i="60"/>
  <c r="AV6" i="60"/>
  <c r="AW6" i="60"/>
  <c r="AX6" i="60"/>
  <c r="AY6" i="60"/>
  <c r="AZ6" i="60"/>
  <c r="BA6" i="60"/>
  <c r="BB6" i="60"/>
  <c r="BC6" i="60"/>
  <c r="BD6" i="60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D6" i="21"/>
  <c r="AK6" i="56"/>
  <c r="AL6" i="56"/>
  <c r="AM6" i="56"/>
  <c r="AN6" i="56"/>
  <c r="AO6" i="56"/>
  <c r="AP6" i="56"/>
  <c r="AQ6" i="56"/>
  <c r="AR6" i="56"/>
  <c r="AS6" i="56"/>
  <c r="AT6" i="56"/>
  <c r="AU6" i="56"/>
  <c r="AV6" i="56"/>
  <c r="AW6" i="56"/>
  <c r="AX6" i="56"/>
  <c r="AY6" i="56"/>
  <c r="AZ6" i="56"/>
  <c r="BA6" i="56"/>
  <c r="BB6" i="56"/>
  <c r="BC6" i="56"/>
  <c r="BD6" i="56"/>
  <c r="AK7" i="55"/>
  <c r="AL7" i="55"/>
  <c r="AM7" i="55"/>
  <c r="AN7" i="55"/>
  <c r="AO7" i="55"/>
  <c r="AP7" i="55"/>
  <c r="AQ7" i="55"/>
  <c r="AR7" i="55"/>
  <c r="AS7" i="55"/>
  <c r="AT7" i="55"/>
  <c r="AU7" i="55"/>
  <c r="AV7" i="55"/>
  <c r="AW7" i="55"/>
  <c r="AX7" i="55"/>
  <c r="AY7" i="55"/>
  <c r="AZ7" i="55"/>
  <c r="BA7" i="55"/>
  <c r="BB7" i="55"/>
  <c r="BC7" i="55"/>
  <c r="BD7" i="55"/>
  <c r="AK6" i="54"/>
  <c r="AL6" i="54"/>
  <c r="AM6" i="54"/>
  <c r="AN6" i="54"/>
  <c r="AO6" i="54"/>
  <c r="AP6" i="54"/>
  <c r="AQ6" i="54"/>
  <c r="AR6" i="54"/>
  <c r="AS6" i="54"/>
  <c r="AT6" i="54"/>
  <c r="AU6" i="54"/>
  <c r="AV6" i="54"/>
  <c r="AW6" i="54"/>
  <c r="AX6" i="54"/>
  <c r="AY6" i="54"/>
  <c r="AZ6" i="54"/>
  <c r="BA6" i="54"/>
  <c r="BB6" i="54"/>
  <c r="BC6" i="54"/>
  <c r="BD6" i="54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AJ17" i="50" a="1"/>
  <c r="AJ17" i="50"/>
  <c r="AK17" i="50" a="1"/>
  <c r="AK17" i="50"/>
  <c r="AL17" i="50" a="1"/>
  <c r="AL17" i="50" s="1"/>
  <c r="AM17" i="50" a="1"/>
  <c r="AM17" i="50"/>
  <c r="AN17" i="50" a="1"/>
  <c r="AN17" i="50" s="1"/>
  <c r="AO17" i="50" a="1"/>
  <c r="AO17" i="50" s="1"/>
  <c r="AP17" i="50" a="1"/>
  <c r="AP17" i="50" s="1"/>
  <c r="AQ17" i="50" a="1"/>
  <c r="AQ17" i="50"/>
  <c r="AR17" i="50" a="1"/>
  <c r="AR17" i="50"/>
  <c r="AS17" i="50" a="1"/>
  <c r="AS17" i="50"/>
  <c r="AT17" i="50" a="1"/>
  <c r="AT17" i="50"/>
  <c r="AU17" i="50" a="1"/>
  <c r="AU17" i="50"/>
  <c r="AV17" i="50" a="1"/>
  <c r="AV17" i="50" s="1"/>
  <c r="AW17" i="50" a="1"/>
  <c r="AW17" i="50" s="1"/>
  <c r="AX17" i="50" a="1"/>
  <c r="AX17" i="50"/>
  <c r="AY17" i="50" a="1"/>
  <c r="AY17" i="50"/>
  <c r="AZ17" i="50" a="1"/>
  <c r="AZ17" i="50"/>
  <c r="BA17" i="50" a="1"/>
  <c r="BA17" i="50"/>
  <c r="BB17" i="50" a="1"/>
  <c r="BB17" i="50"/>
  <c r="BC17" i="50" a="1"/>
  <c r="BC17" i="50" s="1"/>
  <c r="C7" i="116"/>
  <c r="D7" i="116"/>
  <c r="E7" i="116"/>
  <c r="F7" i="116"/>
  <c r="G7" i="116"/>
  <c r="H7" i="116"/>
  <c r="I7" i="116"/>
  <c r="J7" i="116"/>
  <c r="K7" i="116"/>
  <c r="L7" i="116"/>
  <c r="M7" i="116"/>
  <c r="N7" i="116"/>
  <c r="O7" i="116"/>
  <c r="P7" i="116"/>
  <c r="Q7" i="116"/>
  <c r="R7" i="116"/>
  <c r="S7" i="116"/>
  <c r="T7" i="116"/>
  <c r="U7" i="116"/>
  <c r="V7" i="116"/>
  <c r="W7" i="116"/>
  <c r="X7" i="116"/>
  <c r="Y7" i="116"/>
  <c r="Z7" i="116"/>
  <c r="AA7" i="116"/>
  <c r="AB7" i="116"/>
  <c r="AC7" i="116"/>
  <c r="AD7" i="116"/>
  <c r="AE7" i="116"/>
  <c r="AF7" i="116"/>
  <c r="AG7" i="116"/>
  <c r="AH7" i="116"/>
  <c r="AI7" i="116"/>
  <c r="B7" i="116"/>
  <c r="L17" i="50" a="1"/>
  <c r="L17" i="50" s="1"/>
  <c r="K17" i="50" a="1"/>
  <c r="K17" i="50" s="1"/>
  <c r="J17" i="50" a="1"/>
  <c r="J17" i="50"/>
  <c r="M17" i="50" a="1"/>
  <c r="M17" i="50" s="1"/>
  <c r="N17" i="50" a="1"/>
  <c r="N17" i="50" s="1"/>
  <c r="O17" i="50" a="1"/>
  <c r="O17" i="50" s="1"/>
  <c r="P17" i="50" a="1"/>
  <c r="P17" i="50"/>
  <c r="Q17" i="50" a="1"/>
  <c r="Q17" i="50" s="1"/>
  <c r="R17" i="50" a="1"/>
  <c r="R17" i="50" s="1"/>
  <c r="S17" i="50" a="1"/>
  <c r="S17" i="50" s="1"/>
  <c r="T17" i="50" a="1"/>
  <c r="T17" i="50"/>
  <c r="U17" i="50" a="1"/>
  <c r="U17" i="50" s="1"/>
  <c r="V17" i="50" a="1"/>
  <c r="V17" i="50" s="1"/>
  <c r="W17" i="50" a="1"/>
  <c r="W17" i="50" s="1"/>
  <c r="X17" i="50" a="1"/>
  <c r="X17" i="50"/>
  <c r="Y17" i="50" a="1"/>
  <c r="Y17" i="50" s="1"/>
  <c r="Z17" i="50" a="1"/>
  <c r="Z17" i="50" s="1"/>
  <c r="AA17" i="50" a="1"/>
  <c r="AA17" i="50" s="1"/>
  <c r="AB17" i="50" a="1"/>
  <c r="AB17" i="50"/>
  <c r="AC17" i="50" a="1"/>
  <c r="AC17" i="50" s="1"/>
  <c r="AD17" i="50" a="1"/>
  <c r="AD17" i="50" s="1"/>
  <c r="AE17" i="50" a="1"/>
  <c r="AE17" i="50" s="1"/>
  <c r="AF17" i="50" a="1"/>
  <c r="AF17" i="50"/>
  <c r="AG17" i="50" a="1"/>
  <c r="AG17" i="50" s="1"/>
  <c r="AH17" i="50" a="1"/>
  <c r="AH17" i="50" s="1"/>
  <c r="AI17" i="50" a="1"/>
  <c r="AI17" i="50" s="1"/>
  <c r="I17" i="50" a="1"/>
  <c r="I17" i="50"/>
  <c r="H17" i="50" a="1"/>
  <c r="H17" i="50" s="1"/>
  <c r="G17" i="50" a="1"/>
  <c r="G17" i="50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AK9" i="116"/>
  <c r="AY9" i="116"/>
  <c r="BC9" i="116"/>
  <c r="AP9" i="116"/>
  <c r="AQ9" i="116"/>
  <c r="AR9" i="116"/>
  <c r="AT9" i="116"/>
  <c r="AU9" i="116"/>
  <c r="AL9" i="116"/>
  <c r="AZ9" i="116"/>
  <c r="AM9" i="116"/>
  <c r="BA9" i="116"/>
  <c r="AN9" i="116"/>
  <c r="BB9" i="116"/>
  <c r="AO9" i="116"/>
  <c r="AS9" i="116"/>
  <c r="AV9" i="116"/>
  <c r="AW9" i="116"/>
  <c r="AX9" i="116"/>
  <c r="AJ9" i="116"/>
  <c r="AL5" i="116"/>
  <c r="AZ5" i="116"/>
  <c r="AM5" i="116"/>
  <c r="BA5" i="116"/>
  <c r="AN5" i="116"/>
  <c r="BB5" i="116"/>
  <c r="AO5" i="116"/>
  <c r="BC5" i="116"/>
  <c r="AP5" i="116"/>
  <c r="AQ5" i="116"/>
  <c r="AR5" i="116"/>
  <c r="AS5" i="116"/>
  <c r="AT5" i="116"/>
  <c r="AU5" i="116"/>
  <c r="AV5" i="116"/>
  <c r="AW5" i="116"/>
  <c r="AX5" i="116"/>
  <c r="AY5" i="116"/>
  <c r="AK5" i="116"/>
  <c r="AJ5" i="116"/>
  <c r="V7" i="86" l="1"/>
  <c r="V7" i="110"/>
  <c r="V7" i="98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04"/>
  <c r="U7" i="92"/>
  <c r="U6" i="91"/>
  <c r="U6" i="85"/>
  <c r="U6" i="97"/>
  <c r="M6" i="115"/>
  <c r="M6" i="103"/>
  <c r="M7" i="110"/>
  <c r="M6" i="109"/>
  <c r="M6" i="97"/>
  <c r="M7" i="104"/>
  <c r="M7" i="92"/>
  <c r="M6" i="91"/>
  <c r="M6" i="85"/>
  <c r="M7" i="98"/>
  <c r="M7" i="86"/>
  <c r="P6" i="109"/>
  <c r="P6" i="97"/>
  <c r="P7" i="92"/>
  <c r="P6" i="91"/>
  <c r="P6" i="115"/>
  <c r="P7" i="104"/>
  <c r="P6" i="85"/>
  <c r="P6" i="103"/>
  <c r="P7" i="110"/>
  <c r="P7" i="98"/>
  <c r="P7" i="86"/>
  <c r="W7" i="110"/>
  <c r="W7" i="98"/>
  <c r="W7" i="8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04"/>
  <c r="T7" i="92"/>
  <c r="T6" i="85"/>
  <c r="L6" i="91"/>
  <c r="L6" i="115"/>
  <c r="L6" i="103"/>
  <c r="L7" i="86"/>
  <c r="L6" i="97"/>
  <c r="L6" i="109"/>
  <c r="L7" i="110"/>
  <c r="L7" i="98"/>
  <c r="L7" i="104"/>
  <c r="L7" i="92"/>
  <c r="L6" i="85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04"/>
  <c r="R7" i="92"/>
  <c r="R6" i="103"/>
  <c r="R6" i="115"/>
  <c r="R6" i="91"/>
  <c r="R6" i="109"/>
  <c r="R6" i="97"/>
  <c r="R7" i="86"/>
  <c r="R6" i="85"/>
  <c r="J7" i="104"/>
  <c r="J7" i="92"/>
  <c r="J7" i="98"/>
  <c r="J7" i="86"/>
  <c r="J6" i="115"/>
  <c r="J6" i="91"/>
  <c r="J6" i="103"/>
  <c r="J6" i="109"/>
  <c r="J6" i="97"/>
  <c r="J7" i="110"/>
  <c r="J6" i="85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04"/>
  <c r="Y7" i="110"/>
  <c r="Y7" i="98"/>
  <c r="Y7" i="86"/>
  <c r="Y7" i="92"/>
  <c r="Y6" i="85"/>
  <c r="Y6" i="115"/>
  <c r="Q6" i="109"/>
  <c r="Q6" i="97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04"/>
  <c r="I6" i="103"/>
  <c r="H7" i="104"/>
  <c r="H6" i="109"/>
  <c r="H6" i="97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86"/>
  <c r="G7" i="110"/>
  <c r="G7" i="98"/>
  <c r="G6" i="97"/>
  <c r="G6" i="109"/>
  <c r="G6" i="85"/>
  <c r="G7" i="92"/>
  <c r="G6" i="115"/>
  <c r="G6" i="103"/>
  <c r="G6" i="91"/>
  <c r="G7" i="104"/>
  <c r="G7" i="8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92"/>
  <c r="Z6" i="91" l="1"/>
  <c r="Z7" i="104"/>
  <c r="Z7" i="92"/>
  <c r="Z7" i="110"/>
  <c r="Z7" i="98"/>
  <c r="Z6" i="115"/>
  <c r="Z6" i="109"/>
  <c r="Z6" i="97"/>
  <c r="Z6" i="103"/>
  <c r="Z7" i="86"/>
  <c r="Z6" i="85"/>
  <c r="AA7" i="104" l="1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04"/>
  <c r="AB7" i="92"/>
  <c r="AB6" i="85"/>
  <c r="AB6" i="91"/>
  <c r="AB6" i="97"/>
  <c r="AC6" i="115" l="1"/>
  <c r="AC6" i="103"/>
  <c r="AC6" i="91"/>
  <c r="AC6" i="85"/>
  <c r="AC7" i="86"/>
  <c r="AC6" i="97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6" i="115"/>
  <c r="AD6" i="103"/>
  <c r="AD6" i="91"/>
  <c r="AD7" i="104"/>
  <c r="AE7" i="110" l="1"/>
  <c r="AE7" i="98"/>
  <c r="AE7" i="92"/>
  <c r="AE6" i="109"/>
  <c r="AE6" i="97"/>
  <c r="AE6" i="85"/>
  <c r="AE6" i="115"/>
  <c r="AE6" i="103"/>
  <c r="AE6" i="91"/>
  <c r="AE7" i="86"/>
  <c r="AE7" i="104"/>
  <c r="AF6" i="103" l="1"/>
  <c r="AF6" i="109"/>
  <c r="AF6" i="97"/>
  <c r="AF7" i="104"/>
  <c r="AF7" i="92"/>
  <c r="AF6" i="85"/>
  <c r="AF6" i="115"/>
  <c r="AF7" i="110"/>
  <c r="AF7" i="98"/>
  <c r="AF7" i="86"/>
  <c r="AF6" i="91"/>
  <c r="AG6" i="109" l="1"/>
  <c r="AG6" i="97"/>
  <c r="AG6" i="115"/>
  <c r="AG6" i="103"/>
  <c r="AG6" i="85"/>
  <c r="AG7" i="110"/>
  <c r="AG7" i="98"/>
  <c r="AG7" i="86"/>
  <c r="AG7" i="104"/>
  <c r="AG7" i="92"/>
  <c r="AG6" i="91"/>
  <c r="AH7" i="104" l="1"/>
  <c r="AH7" i="92"/>
  <c r="AH7" i="86"/>
  <c r="AH6" i="115"/>
  <c r="AH6" i="103"/>
  <c r="AH6" i="91"/>
  <c r="AH6" i="109"/>
  <c r="AH6" i="97"/>
  <c r="AH7" i="110"/>
  <c r="AH7" i="98"/>
  <c r="AH6" i="85"/>
  <c r="AI7" i="104" l="1"/>
  <c r="AI7" i="92"/>
  <c r="AI6" i="115"/>
  <c r="AI7" i="98"/>
  <c r="AI6" i="103"/>
  <c r="AI7" i="110"/>
  <c r="AI7" i="86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<sst xmlns="http://schemas.openxmlformats.org/spreadsheetml/2006/main" count="861" uniqueCount="79">
  <si>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</si>
  <si>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</si>
  <si>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</si>
  <si>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</si>
  <si>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</si>
  <si>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</si>
  <si>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</si>
  <si>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</si>
  <si>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</si>
  <si>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</si>
  <si>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</si>
  <si>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</si>
  <si>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</si>
  <si>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</si>
  <si>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For maximum ethanol use in gasoline vehicles, we use 25%, based on what is achieved</t>
  </si>
  <si>
    <t>in Brazil today with minor engine modifications.  Though there exist flex fuel vehicles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</si>
  <si>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</si>
  <si>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</si>
  <si>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</si>
  <si>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</si>
  <si>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</si>
  <si>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</si>
  <si>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</si>
  <si>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a value of 15% if wishing to limit the simulation to values achievable without any</t>
  </si>
  <si>
    <t>engine modifications.</t>
  </si>
  <si>
    <t>Note that the U.S. blend wall (allowable ethanol mix) today is 15% for new vehicles,</t>
  </si>
  <si>
    <t>Biofuel Gasoline</t>
  </si>
  <si>
    <t>Biofuel Diesel</t>
  </si>
  <si>
    <t>We use a 20% maximum value.  BD20 (20% biofuel diesel) is the most common biofuel blend</t>
  </si>
  <si>
    <t>in the U.S. today and is widely supported by recent engines.  Though blends up to</t>
  </si>
  <si>
    <t>BD100 are possible, BD100 requires special handling and may require engine</t>
  </si>
  <si>
    <t>modifications, particularly in cold weather, so we do not use 100% as our maximum</t>
  </si>
  <si>
    <t>potential here.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</si>
  <si>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</si>
  <si>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</si>
  <si>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</si>
  <si>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</si>
  <si>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</si>
  <si>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</si>
  <si>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</si>
  <si>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</si>
  <si>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</si>
  <si>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</si>
  <si>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</si>
  <si>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</si>
  <si>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</si>
  <si>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</si>
  <si>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</si>
  <si>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</si>
  <si>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</si>
  <si>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</si>
  <si>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</si>
  <si>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</si>
  <si>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</si>
  <si>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</si>
  <si>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</si>
  <si>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</si>
  <si>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</si>
  <si>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</si>
  <si>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assumed to be the same as aircraft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</si>
  <si>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</si>
  <si>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</si>
  <si>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</si>
  <si>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</si>
  <si>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</si>
  <si>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</si>
  <si>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</si>
  <si>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</si>
  <si>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</si>
  <si>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</si>
  <si>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</si>
  <si>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</si>
  <si>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</si>
  <si>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</si>
  <si>
    <t>except for biofuels. We assume the share of biofuels can increase to 1 by 2050, which would</t>
  </si>
  <si>
    <t>https://www.energy.gov/eere/bioenergy/articles/anchors-aweigh-examining-biofuels-maritime-shipping</t>
  </si>
  <si>
    <t>entail retrofits for engines to use drop-in biofuels (which have been demonstrated).</t>
  </si>
  <si>
    <t>rail</t>
  </si>
  <si>
    <t>freight 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</si>
</sst>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1" fontId="0" fillId="0" borderId="0" xfId="0" applyNumberForma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workbookViewId="0">
      <selection activeCell="A2" sqref="A2"/>
    </sheetView>
  </sheetViews>
  <sheetFormatPr defaultRowHeight="14.25" x14ac:dyDescent="0.45"/>
  <cols>
    <col min="2" max="2" width="69.265625" customWidth="1"/>
  </cols>
  <sheetData>
    <row r="1" spans="1:2" x14ac:dyDescent="0.45">
      <c r="A1" s="1" t="s">
        <v>12</v>
      </c>
    </row>
    <row r="3" spans="1:2" x14ac:dyDescent="0.45">
      <c r="A3" s="1" t="s">
        <v>0</v>
      </c>
      <c r="B3" s="2" t="s">
        <v>13</v>
      </c>
    </row>
    <row r="4" spans="1:2" x14ac:dyDescent="0.45">
      <c r="B4" t="s">
        <v>18</v>
      </c>
    </row>
    <row r="5" spans="1:2" x14ac:dyDescent="0.45">
      <c r="B5" s="3">
        <v>2017</v>
      </c>
    </row>
    <row r="6" spans="1:2" x14ac:dyDescent="0.45">
      <c r="B6" t="s">
        <v>19</v>
      </c>
    </row>
    <row r="7" spans="1:2" x14ac:dyDescent="0.45">
      <c r="B7" t="s">
        <v>20</v>
      </c>
    </row>
    <row r="8" spans="1:2" x14ac:dyDescent="0.45">
      <c r="B8" t="s">
        <v>21</v>
      </c>
    </row>
    <row r="10" spans="1:2" x14ac:dyDescent="0.45">
      <c r="B10" s="2" t="s">
        <v>54</v>
      </c>
    </row>
    <row r="11" spans="1:2" x14ac:dyDescent="0.45">
      <c r="B11" t="s">
        <v>9</v>
      </c>
    </row>
    <row r="12" spans="1:2" x14ac:dyDescent="0.45">
      <c r="B12" s="3" t="s">
        <v>33</v>
      </c>
    </row>
    <row r="13" spans="1:2" x14ac:dyDescent="0.45">
      <c r="B13" t="s">
        <v>34</v>
      </c>
    </row>
    <row r="14" spans="1:2" x14ac:dyDescent="0.45">
      <c r="B14" t="s">
        <v>35</v>
      </c>
    </row>
    <row r="16" spans="1:2" x14ac:dyDescent="0.45">
      <c r="B16" s="2" t="s">
        <v>55</v>
      </c>
    </row>
    <row r="17" spans="1:2" x14ac:dyDescent="0.45">
      <c r="B17" t="s">
        <v>50</v>
      </c>
    </row>
    <row r="18" spans="1:2" x14ac:dyDescent="0.45">
      <c r="B18" s="7">
        <v>44317</v>
      </c>
    </row>
    <row r="19" spans="1:2" x14ac:dyDescent="0.45">
      <c r="B19" t="s">
        <v>72</v>
      </c>
    </row>
    <row r="20" spans="1:2" x14ac:dyDescent="0.45">
      <c r="B20" s="4" t="s">
        <v>71</v>
      </c>
    </row>
    <row r="21" spans="1:2" x14ac:dyDescent="0.45">
      <c r="B21" t="s">
        <v>73</v>
      </c>
    </row>
    <row r="23" spans="1:2" x14ac:dyDescent="0.45">
      <c r="B23" s="2" t="s">
        <v>56</v>
      </c>
    </row>
    <row r="24" spans="1:2" x14ac:dyDescent="0.45">
      <c r="B24" t="s">
        <v>52</v>
      </c>
    </row>
    <row r="25" spans="1:2" x14ac:dyDescent="0.45">
      <c r="B25" s="3">
        <v>2016</v>
      </c>
    </row>
    <row r="26" spans="1:2" x14ac:dyDescent="0.45">
      <c r="B26" s="4" t="s">
        <v>51</v>
      </c>
    </row>
    <row r="27" spans="1:2" x14ac:dyDescent="0.45">
      <c r="B27" t="s">
        <v>53</v>
      </c>
    </row>
    <row r="29" spans="1:2" x14ac:dyDescent="0.45">
      <c r="B29" s="2" t="s">
        <v>57</v>
      </c>
    </row>
    <row r="30" spans="1:2" x14ac:dyDescent="0.45">
      <c r="B30" t="s">
        <v>39</v>
      </c>
    </row>
    <row r="32" spans="1:2" x14ac:dyDescent="0.45">
      <c r="A32" s="1" t="s">
        <v>1</v>
      </c>
    </row>
    <row r="33" spans="1:1" x14ac:dyDescent="0.45">
      <c r="A33" t="s">
        <v>68</v>
      </c>
    </row>
    <row r="34" spans="1:1" x14ac:dyDescent="0.45">
      <c r="A34" s="1"/>
    </row>
    <row r="35" spans="1:1" x14ac:dyDescent="0.45">
      <c r="A35" t="s">
        <v>36</v>
      </c>
    </row>
    <row r="36" spans="1:1" x14ac:dyDescent="0.45">
      <c r="A36" t="s">
        <v>10</v>
      </c>
    </row>
    <row r="37" spans="1:1" x14ac:dyDescent="0.45">
      <c r="A37" t="s">
        <v>37</v>
      </c>
    </row>
    <row r="38" spans="1:1" x14ac:dyDescent="0.45">
      <c r="A38" t="s">
        <v>11</v>
      </c>
    </row>
    <row r="39" spans="1:1" x14ac:dyDescent="0.45">
      <c r="A39" t="s">
        <v>40</v>
      </c>
    </row>
    <row r="41" spans="1:1" x14ac:dyDescent="0.45">
      <c r="A41" s="1" t="s">
        <v>26</v>
      </c>
    </row>
    <row r="42" spans="1:1" x14ac:dyDescent="0.45">
      <c r="A42" t="s">
        <v>14</v>
      </c>
    </row>
    <row r="43" spans="1:1" x14ac:dyDescent="0.45">
      <c r="A43" t="s">
        <v>15</v>
      </c>
    </row>
    <row r="44" spans="1:1" x14ac:dyDescent="0.45">
      <c r="A44" t="s">
        <v>16</v>
      </c>
    </row>
    <row r="45" spans="1:1" x14ac:dyDescent="0.45">
      <c r="A45" t="s">
        <v>17</v>
      </c>
    </row>
    <row r="47" spans="1:1" x14ac:dyDescent="0.45">
      <c r="A47" t="s">
        <v>25</v>
      </c>
    </row>
    <row r="48" spans="1:1" x14ac:dyDescent="0.45">
      <c r="A48" t="s">
        <v>22</v>
      </c>
    </row>
    <row r="49" spans="1:1" x14ac:dyDescent="0.45">
      <c r="A49" t="s">
        <v>23</v>
      </c>
    </row>
    <row r="50" spans="1:1" x14ac:dyDescent="0.45">
      <c r="A50" t="s">
        <v>24</v>
      </c>
    </row>
    <row r="52" spans="1:1" x14ac:dyDescent="0.45">
      <c r="A52" s="1" t="s">
        <v>27</v>
      </c>
    </row>
    <row r="53" spans="1:1" x14ac:dyDescent="0.45">
      <c r="A53" t="s">
        <v>28</v>
      </c>
    </row>
    <row r="54" spans="1:1" x14ac:dyDescent="0.45">
      <c r="A54" t="s">
        <v>29</v>
      </c>
    </row>
    <row r="55" spans="1:1" x14ac:dyDescent="0.45">
      <c r="A55" t="s">
        <v>30</v>
      </c>
    </row>
    <row r="56" spans="1:1" x14ac:dyDescent="0.45">
      <c r="A56" t="s">
        <v>31</v>
      </c>
    </row>
    <row r="57" spans="1:1" x14ac:dyDescent="0.45">
      <c r="A57" t="s">
        <v>32</v>
      </c>
    </row>
    <row r="59" spans="1:1" x14ac:dyDescent="0.45">
      <c r="A59" s="1" t="s">
        <v>42</v>
      </c>
    </row>
    <row r="60" spans="1:1" x14ac:dyDescent="0.45">
      <c r="A60" t="s">
        <v>43</v>
      </c>
    </row>
    <row r="61" spans="1:1" x14ac:dyDescent="0.45">
      <c r="A61" t="s">
        <v>45</v>
      </c>
    </row>
    <row r="62" spans="1:1" x14ac:dyDescent="0.45">
      <c r="A62" t="s">
        <v>44</v>
      </c>
    </row>
    <row r="63" spans="1:1" x14ac:dyDescent="0.45">
      <c r="A63" t="s">
        <v>46</v>
      </c>
    </row>
    <row r="64" spans="1:1" x14ac:dyDescent="0.45">
      <c r="A64" t="s">
        <v>47</v>
      </c>
    </row>
    <row r="66" spans="1:1" x14ac:dyDescent="0.45">
      <c r="A66" s="1" t="s">
        <v>38</v>
      </c>
    </row>
    <row r="67" spans="1:1" x14ac:dyDescent="0.45">
      <c r="A67" t="s">
        <v>41</v>
      </c>
    </row>
    <row r="68" spans="1:1" x14ac:dyDescent="0.45">
      <c r="A68" t="s">
        <v>74</v>
      </c>
    </row>
    <row r="69" spans="1:1" x14ac:dyDescent="0.45">
      <c r="A69" t="s">
        <v>76</v>
      </c>
    </row>
    <row r="70" spans="1:1" x14ac:dyDescent="0.45">
      <c r="A70" t="s">
        <v>60</v>
      </c>
    </row>
    <row r="71" spans="1:1" x14ac:dyDescent="0.45">
      <c r="A71" t="s">
        <v>61</v>
      </c>
    </row>
    <row r="73" spans="1:1" x14ac:dyDescent="0.45">
      <c r="A73" s="1" t="s">
        <v>65</v>
      </c>
    </row>
    <row r="74" spans="1:1" x14ac:dyDescent="0.45">
      <c r="A74" t="s">
        <v>66</v>
      </c>
    </row>
    <row r="75" spans="1:1" x14ac:dyDescent="0.45">
      <c r="A75" t="s">
        <v>67</v>
      </c>
    </row>
    <row r="77" spans="1:1" x14ac:dyDescent="0.45">
      <c r="A77" t="s">
        <v>75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5"/>
  <sheetViews>
    <sheetView topLeftCell="A3" workbookViewId="0">
      <selection activeCell="BB19" sqref="BB19"/>
    </sheetView>
  </sheetViews>
  <sheetFormatPr defaultRowHeight="14.25" x14ac:dyDescent="0.45"/>
  <cols>
    <col min="1" max="2" width="9.33203125" bestFit="1" customWidth="1"/>
  </cols>
  <sheetData>
    <row r="1" spans="1:55" x14ac:dyDescent="0.45">
      <c r="A1" s="1" t="s">
        <v>49</v>
      </c>
    </row>
    <row r="2" spans="1:55" x14ac:dyDescent="0.45">
      <c r="A2">
        <v>0.15</v>
      </c>
      <c r="B2" t="s">
        <v>6</v>
      </c>
    </row>
    <row r="3" spans="1:55" x14ac:dyDescent="0.45">
      <c r="A3">
        <v>1</v>
      </c>
      <c r="B3" t="s">
        <v>8</v>
      </c>
    </row>
    <row r="5" spans="1:55" x14ac:dyDescent="0.45">
      <c r="A5" s="1" t="s">
        <v>48</v>
      </c>
    </row>
    <row r="6" spans="1:55" x14ac:dyDescent="0.45">
      <c r="A6">
        <v>2021</v>
      </c>
      <c r="B6">
        <v>2050</v>
      </c>
    </row>
    <row r="7" spans="1:55" x14ac:dyDescent="0.45">
      <c r="A7">
        <v>0</v>
      </c>
      <c r="B7">
        <v>1</v>
      </c>
    </row>
    <row r="8" spans="1:55" x14ac:dyDescent="0.45">
      <c r="A8" s="1" t="s">
        <v>78</v>
      </c>
    </row>
    <row r="9" spans="1:55" x14ac:dyDescent="0.45">
      <c r="A9">
        <v>2021</v>
      </c>
      <c r="B9">
        <v>2050</v>
      </c>
    </row>
    <row r="10" spans="1:55" x14ac:dyDescent="0.45">
      <c r="A10">
        <v>0</v>
      </c>
      <c r="B10">
        <v>0.5</v>
      </c>
    </row>
    <row r="12" spans="1:55" x14ac:dyDescent="0.45">
      <c r="A12" s="1" t="s">
        <v>58</v>
      </c>
    </row>
    <row r="13" spans="1:55" x14ac:dyDescent="0.45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  <c r="AJ13">
        <v>2051</v>
      </c>
      <c r="AK13">
        <v>2052</v>
      </c>
      <c r="AL13">
        <v>2053</v>
      </c>
      <c r="AM13">
        <v>2054</v>
      </c>
      <c r="AN13">
        <v>2055</v>
      </c>
      <c r="AO13">
        <v>2056</v>
      </c>
      <c r="AP13">
        <v>2057</v>
      </c>
      <c r="AQ13">
        <v>2058</v>
      </c>
      <c r="AR13">
        <v>2059</v>
      </c>
      <c r="AS13">
        <v>2060</v>
      </c>
      <c r="AT13">
        <v>2061</v>
      </c>
      <c r="AU13">
        <v>2062</v>
      </c>
      <c r="AV13">
        <v>2063</v>
      </c>
      <c r="AW13">
        <v>2064</v>
      </c>
      <c r="AX13">
        <v>2065</v>
      </c>
      <c r="AY13">
        <v>2066</v>
      </c>
      <c r="AZ13">
        <v>2067</v>
      </c>
      <c r="BA13">
        <v>2068</v>
      </c>
      <c r="BB13">
        <v>2069</v>
      </c>
      <c r="BC13">
        <v>2070</v>
      </c>
    </row>
    <row r="14" spans="1:55" x14ac:dyDescent="0.45">
      <c r="A14">
        <v>0</v>
      </c>
      <c r="B14">
        <v>0</v>
      </c>
      <c r="C14">
        <v>0</v>
      </c>
      <c r="D14">
        <v>0</v>
      </c>
      <c r="E14" s="5">
        <v>0</v>
      </c>
      <c r="F14" s="5">
        <v>0</v>
      </c>
      <c r="G14">
        <f>_xlfn.FORECAST.LINEAR(G13,$A$7:$B$7,$A$6:$B$6)</f>
        <v>3.4482758620683285E-2</v>
      </c>
      <c r="H14">
        <f t="shared" ref="H14:AI14" si="0">_xlfn.FORECAST.LINEAR(H13,$A$7:$B$7,$A$6:$B$6)</f>
        <v>6.896551724138078E-2</v>
      </c>
      <c r="I14">
        <f t="shared" si="0"/>
        <v>0.10344827586206407</v>
      </c>
      <c r="J14">
        <f t="shared" si="0"/>
        <v>0.13793103448276156</v>
      </c>
      <c r="K14">
        <f t="shared" si="0"/>
        <v>0.17241379310344485</v>
      </c>
      <c r="L14">
        <f t="shared" si="0"/>
        <v>0.20689655172414234</v>
      </c>
      <c r="M14">
        <f t="shared" si="0"/>
        <v>0.24137931034482563</v>
      </c>
      <c r="N14">
        <f t="shared" si="0"/>
        <v>0.27586206896550891</v>
      </c>
      <c r="O14">
        <f t="shared" si="0"/>
        <v>0.31034482758620641</v>
      </c>
      <c r="P14">
        <f t="shared" si="0"/>
        <v>0.34482758620688969</v>
      </c>
      <c r="Q14">
        <f t="shared" si="0"/>
        <v>0.37931034482758719</v>
      </c>
      <c r="R14">
        <f t="shared" si="0"/>
        <v>0.41379310344827047</v>
      </c>
      <c r="S14">
        <f t="shared" si="0"/>
        <v>0.44827586206896797</v>
      </c>
      <c r="T14">
        <f t="shared" si="0"/>
        <v>0.48275862068965125</v>
      </c>
      <c r="U14">
        <f t="shared" si="0"/>
        <v>0.51724137931034875</v>
      </c>
      <c r="V14">
        <f t="shared" si="0"/>
        <v>0.55172413793103203</v>
      </c>
      <c r="W14">
        <f t="shared" si="0"/>
        <v>0.58620689655172953</v>
      </c>
      <c r="X14">
        <f t="shared" si="0"/>
        <v>0.62068965517241281</v>
      </c>
      <c r="Y14">
        <f t="shared" si="0"/>
        <v>0.6551724137930961</v>
      </c>
      <c r="Z14">
        <f t="shared" si="0"/>
        <v>0.68965517241379359</v>
      </c>
      <c r="AA14">
        <f t="shared" si="0"/>
        <v>0.72413793103447688</v>
      </c>
      <c r="AB14">
        <f t="shared" si="0"/>
        <v>0.75862068965517437</v>
      </c>
      <c r="AC14">
        <f t="shared" si="0"/>
        <v>0.79310344827585766</v>
      </c>
      <c r="AD14">
        <f t="shared" si="0"/>
        <v>0.82758620689655515</v>
      </c>
      <c r="AE14">
        <f t="shared" si="0"/>
        <v>0.86206896551723844</v>
      </c>
      <c r="AF14">
        <f t="shared" si="0"/>
        <v>0.89655172413793593</v>
      </c>
      <c r="AG14">
        <f t="shared" si="0"/>
        <v>0.93103448275861922</v>
      </c>
      <c r="AH14">
        <f t="shared" si="0"/>
        <v>0.9655172413793025</v>
      </c>
      <c r="AI14">
        <f t="shared" si="0"/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</row>
    <row r="15" spans="1:55" x14ac:dyDescent="0.45">
      <c r="E15" s="5"/>
      <c r="F15" s="5"/>
    </row>
    <row r="16" spans="1:55" x14ac:dyDescent="0.45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  <c r="AJ16">
        <v>2051</v>
      </c>
      <c r="AK16">
        <v>2052</v>
      </c>
      <c r="AL16">
        <v>2053</v>
      </c>
      <c r="AM16">
        <v>2054</v>
      </c>
      <c r="AN16">
        <v>2055</v>
      </c>
      <c r="AO16">
        <v>2056</v>
      </c>
      <c r="AP16">
        <v>2057</v>
      </c>
      <c r="AQ16">
        <v>2058</v>
      </c>
      <c r="AR16">
        <v>2059</v>
      </c>
      <c r="AS16">
        <v>2060</v>
      </c>
      <c r="AT16">
        <v>2061</v>
      </c>
      <c r="AU16">
        <v>2062</v>
      </c>
      <c r="AV16">
        <v>2063</v>
      </c>
      <c r="AW16">
        <v>2064</v>
      </c>
      <c r="AX16">
        <v>2065</v>
      </c>
      <c r="AY16">
        <v>2066</v>
      </c>
      <c r="AZ16">
        <v>2067</v>
      </c>
      <c r="BA16">
        <v>2068</v>
      </c>
      <c r="BB16">
        <v>2069</v>
      </c>
      <c r="BC16">
        <v>2070</v>
      </c>
    </row>
    <row r="17" spans="1:55" x14ac:dyDescent="0.45">
      <c r="A17">
        <v>0</v>
      </c>
      <c r="B17">
        <v>0</v>
      </c>
      <c r="C17">
        <v>0</v>
      </c>
      <c r="D17">
        <v>0</v>
      </c>
      <c r="E17" s="5">
        <v>0</v>
      </c>
      <c r="F17" s="5">
        <v>0</v>
      </c>
      <c r="G17" cm="1">
        <f t="array" ref="G17">TREND($A$10:$B$10,$A$9:$B$9,G16)</f>
        <v>1.7241379310341642E-2</v>
      </c>
      <c r="H17" cm="1">
        <f t="array" ref="H17">TREND($A$10:$B$10,$A$9:$B$9,H16)</f>
        <v>3.448275862069039E-2</v>
      </c>
      <c r="I17" cm="1">
        <f t="array" ref="I17">TREND($A$10:$B$10,$A$9:$B$9,I16)</f>
        <v>5.1724137931032033E-2</v>
      </c>
      <c r="J17" cm="1">
        <f t="array" ref="J17">TREND($A$10:$B$10,$A$9:$B$9,J16)</f>
        <v>6.896551724138078E-2</v>
      </c>
      <c r="K17" cm="1">
        <f t="array" ref="K17">TREND($A$10:$B$10,$A$9:$B$9,K16)</f>
        <v>8.6206896551722423E-2</v>
      </c>
      <c r="L17" cm="1">
        <f t="array" ref="L17">TREND($A$10:$B$10,$A$9:$B$9,L16)</f>
        <v>0.10344827586207117</v>
      </c>
      <c r="M17" cm="1">
        <f t="array" ref="M17">TREND($A$10:$B$10,$A$9:$B$9,M16)</f>
        <v>0.12068965517241281</v>
      </c>
      <c r="N17" cm="1">
        <f t="array" ref="N17">TREND($A$10:$B$10,$A$9:$B$9,N16)</f>
        <v>0.13793103448275446</v>
      </c>
      <c r="O17" cm="1">
        <f t="array" ref="O17">TREND($A$10:$B$10,$A$9:$B$9,O16)</f>
        <v>0.1551724137931032</v>
      </c>
      <c r="P17" cm="1">
        <f t="array" ref="P17">TREND($A$10:$B$10,$A$9:$B$9,P16)</f>
        <v>0.17241379310344485</v>
      </c>
      <c r="Q17" cm="1">
        <f t="array" ref="Q17">TREND($A$10:$B$10,$A$9:$B$9,Q16)</f>
        <v>0.18965517241379359</v>
      </c>
      <c r="R17" cm="1">
        <f t="array" ref="R17">TREND($A$10:$B$10,$A$9:$B$9,R16)</f>
        <v>0.20689655172413524</v>
      </c>
      <c r="S17" cm="1">
        <f t="array" ref="S17">TREND($A$10:$B$10,$A$9:$B$9,S16)</f>
        <v>0.22413793103448398</v>
      </c>
      <c r="T17" cm="1">
        <f t="array" ref="T17">TREND($A$10:$B$10,$A$9:$B$9,T16)</f>
        <v>0.24137931034482563</v>
      </c>
      <c r="U17" cm="1">
        <f t="array" ref="U17">TREND($A$10:$B$10,$A$9:$B$9,U16)</f>
        <v>0.25862068965517437</v>
      </c>
      <c r="V17" cm="1">
        <f t="array" ref="V17">TREND($A$10:$B$10,$A$9:$B$9,V16)</f>
        <v>0.27586206896551602</v>
      </c>
      <c r="W17" cm="1">
        <f t="array" ref="W17">TREND($A$10:$B$10,$A$9:$B$9,W16)</f>
        <v>0.29310344827586476</v>
      </c>
      <c r="X17" cm="1">
        <f t="array" ref="X17">TREND($A$10:$B$10,$A$9:$B$9,X16)</f>
        <v>0.31034482758620641</v>
      </c>
      <c r="Y17" cm="1">
        <f t="array" ref="Y17">TREND($A$10:$B$10,$A$9:$B$9,Y16)</f>
        <v>0.32758620689654805</v>
      </c>
      <c r="Z17" cm="1">
        <f t="array" ref="Z17">TREND($A$10:$B$10,$A$9:$B$9,Z16)</f>
        <v>0.3448275862068968</v>
      </c>
      <c r="AA17" cm="1">
        <f t="array" ref="AA17">TREND($A$10:$B$10,$A$9:$B$9,AA16)</f>
        <v>0.36206896551723844</v>
      </c>
      <c r="AB17" cm="1">
        <f t="array" ref="AB17">TREND($A$10:$B$10,$A$9:$B$9,AB16)</f>
        <v>0.37931034482758719</v>
      </c>
      <c r="AC17" cm="1">
        <f t="array" ref="AC17">TREND($A$10:$B$10,$A$9:$B$9,AC16)</f>
        <v>0.39655172413792883</v>
      </c>
      <c r="AD17" cm="1">
        <f t="array" ref="AD17">TREND($A$10:$B$10,$A$9:$B$9,AD16)</f>
        <v>0.41379310344827758</v>
      </c>
      <c r="AE17" cm="1">
        <f t="array" ref="AE17">TREND($A$10:$B$10,$A$9:$B$9,AE16)</f>
        <v>0.43103448275861922</v>
      </c>
      <c r="AF17" cm="1">
        <f t="array" ref="AF17">TREND($A$10:$B$10,$A$9:$B$9,AF16)</f>
        <v>0.44827586206896797</v>
      </c>
      <c r="AG17" cm="1">
        <f t="array" ref="AG17">TREND($A$10:$B$10,$A$9:$B$9,AG16)</f>
        <v>0.46551724137930961</v>
      </c>
      <c r="AH17" cm="1">
        <f t="array" ref="AH17">TREND($A$10:$B$10,$A$9:$B$9,AH16)</f>
        <v>0.48275862068965125</v>
      </c>
      <c r="AI17" cm="1">
        <f t="array" ref="AI17">TREND($A$10:$B$10,$A$9:$B$9,AI16)</f>
        <v>0.5</v>
      </c>
      <c r="AJ17" cm="1">
        <f t="array" ref="AJ17">TREND($A$10:$B$10,$A$9:$B$9,AJ16)</f>
        <v>0.51724137931034164</v>
      </c>
      <c r="AK17" cm="1">
        <f t="array" ref="AK17">TREND($A$10:$B$10,$A$9:$B$9,AK16)</f>
        <v>0.53448275862069039</v>
      </c>
      <c r="AL17" cm="1">
        <f t="array" ref="AL17">TREND($A$10:$B$10,$A$9:$B$9,AL16)</f>
        <v>0.55172413793103203</v>
      </c>
      <c r="AM17" cm="1">
        <f t="array" ref="AM17">TREND($A$10:$B$10,$A$9:$B$9,AM16)</f>
        <v>0.56896551724138078</v>
      </c>
      <c r="AN17" cm="1">
        <f t="array" ref="AN17">TREND($A$10:$B$10,$A$9:$B$9,AN16)</f>
        <v>0.58620689655172242</v>
      </c>
      <c r="AO17" cm="1">
        <f t="array" ref="AO17">TREND($A$10:$B$10,$A$9:$B$9,AO16)</f>
        <v>0.60344827586207117</v>
      </c>
      <c r="AP17" cm="1">
        <f t="array" ref="AP17">TREND($A$10:$B$10,$A$9:$B$9,AP16)</f>
        <v>0.62068965517241281</v>
      </c>
      <c r="AQ17" cm="1">
        <f t="array" ref="AQ17">TREND($A$10:$B$10,$A$9:$B$9,AQ16)</f>
        <v>0.63793103448275446</v>
      </c>
      <c r="AR17" cm="1">
        <f t="array" ref="AR17">TREND($A$10:$B$10,$A$9:$B$9,AR16)</f>
        <v>0.6551724137931032</v>
      </c>
      <c r="AS17" cm="1">
        <f t="array" ref="AS17">TREND($A$10:$B$10,$A$9:$B$9,AS16)</f>
        <v>0.67241379310344485</v>
      </c>
      <c r="AT17" cm="1">
        <f t="array" ref="AT17">TREND($A$10:$B$10,$A$9:$B$9,AT16)</f>
        <v>0.68965517241379359</v>
      </c>
      <c r="AU17" cm="1">
        <f t="array" ref="AU17">TREND($A$10:$B$10,$A$9:$B$9,AU16)</f>
        <v>0.70689655172413524</v>
      </c>
      <c r="AV17" cm="1">
        <f t="array" ref="AV17">TREND($A$10:$B$10,$A$9:$B$9,AV16)</f>
        <v>0.72413793103448398</v>
      </c>
      <c r="AW17" cm="1">
        <f t="array" ref="AW17">TREND($A$10:$B$10,$A$9:$B$9,AW16)</f>
        <v>0.74137931034482563</v>
      </c>
      <c r="AX17" cm="1">
        <f t="array" ref="AX17">TREND($A$10:$B$10,$A$9:$B$9,AX16)</f>
        <v>0.75862068965517437</v>
      </c>
      <c r="AY17" cm="1">
        <f t="array" ref="AY17">TREND($A$10:$B$10,$A$9:$B$9,AY16)</f>
        <v>0.77586206896551602</v>
      </c>
      <c r="AZ17" cm="1">
        <f t="array" ref="AZ17">TREND($A$10:$B$10,$A$9:$B$9,AZ16)</f>
        <v>0.79310344827586476</v>
      </c>
      <c r="BA17" cm="1">
        <f t="array" ref="BA17">TREND($A$10:$B$10,$A$9:$B$9,BA16)</f>
        <v>0.81034482758620641</v>
      </c>
      <c r="BB17" cm="1">
        <f t="array" ref="BB17">TREND($A$10:$B$10,$A$9:$B$9,BB16)</f>
        <v>0.82758620689654805</v>
      </c>
      <c r="BC17" cm="1">
        <f t="array" ref="BC17">TREND($A$10:$B$10,$A$9:$B$9,BC16)</f>
        <v>0.8448275862068968</v>
      </c>
    </row>
    <row r="19" spans="1:55" x14ac:dyDescent="0.45">
      <c r="A19" s="1" t="s">
        <v>77</v>
      </c>
    </row>
    <row r="20" spans="1:55" x14ac:dyDescent="0.45">
      <c r="A20" t="s">
        <v>59</v>
      </c>
    </row>
    <row r="25" spans="1:55" x14ac:dyDescent="0.45">
      <c r="A25" s="8"/>
      <c r="B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D11"/>
  <sheetViews>
    <sheetView topLeftCell="AS1" workbookViewId="0">
      <selection activeCell="AI1" sqref="AI1:BD11"/>
    </sheetView>
  </sheetViews>
  <sheetFormatPr defaultRowHeight="14.25" x14ac:dyDescent="0.45"/>
  <cols>
    <col min="1" max="1" width="23.2656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D11"/>
  <sheetViews>
    <sheetView topLeftCell="AP1" workbookViewId="0">
      <selection activeCell="BB13" sqref="BB13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D11"/>
  <sheetViews>
    <sheetView topLeftCell="AL1" workbookViewId="0">
      <selection activeCell="BD13" sqref="BD13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BD11"/>
  <sheetViews>
    <sheetView topLeftCell="AN1" workbookViewId="0">
      <selection activeCell="AI1" sqref="AI1:BD1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BD11"/>
  <sheetViews>
    <sheetView topLeftCell="AK1" workbookViewId="0">
      <selection activeCell="BD11" sqref="BD1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BD11"/>
  <sheetViews>
    <sheetView topLeftCell="U1" workbookViewId="0">
      <selection activeCell="BB14" sqref="BB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D11"/>
  <sheetViews>
    <sheetView topLeftCell="AK1" workbookViewId="0">
      <selection activeCell="AY15" sqref="AY1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BD11"/>
  <sheetViews>
    <sheetView topLeftCell="AK1" workbookViewId="0">
      <selection activeCell="AZ13" sqref="AZ13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BD11"/>
  <sheetViews>
    <sheetView topLeftCell="AL1" workbookViewId="0">
      <selection activeCell="BA15" sqref="BA1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BD11"/>
  <sheetViews>
    <sheetView topLeftCell="AN1" workbookViewId="0">
      <selection activeCell="AX25" sqref="AX2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BD11"/>
  <sheetViews>
    <sheetView topLeftCell="AM1" workbookViewId="0">
      <selection activeCell="BD1" sqref="BD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BD11"/>
  <sheetViews>
    <sheetView topLeftCell="AQ1" workbookViewId="0">
      <selection activeCell="BC14" sqref="BC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BD11"/>
  <sheetViews>
    <sheetView topLeftCell="AP1" workbookViewId="0">
      <selection activeCell="BB16" sqref="BB16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BD11"/>
  <sheetViews>
    <sheetView topLeftCell="AO1" workbookViewId="0">
      <selection activeCell="BB15" sqref="BB1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BD11"/>
  <sheetViews>
    <sheetView topLeftCell="AN1" workbookViewId="0">
      <selection activeCell="BD1" sqref="BD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BD11"/>
  <sheetViews>
    <sheetView topLeftCell="AL1" workbookViewId="0">
      <selection activeCell="AY17" sqref="AY17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BD11"/>
  <sheetViews>
    <sheetView topLeftCell="F1" workbookViewId="0">
      <selection activeCell="Q14" sqref="Q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BD11"/>
  <sheetViews>
    <sheetView topLeftCell="AO1" workbookViewId="0">
      <selection activeCell="BA14" sqref="BA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BD11"/>
  <sheetViews>
    <sheetView topLeftCell="AN1" workbookViewId="0">
      <selection activeCell="BD2" sqref="BD2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BD11"/>
  <sheetViews>
    <sheetView topLeftCell="AK1" workbookViewId="0">
      <selection activeCell="AI1" sqref="AI1:BD1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BD11"/>
  <sheetViews>
    <sheetView topLeftCell="AQ1" workbookViewId="0">
      <selection activeCell="BA20" sqref="BA20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BD11"/>
  <sheetViews>
    <sheetView topLeftCell="AX1" workbookViewId="0">
      <selection activeCell="BE2" sqref="BE2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BD11"/>
  <sheetViews>
    <sheetView topLeftCell="AO1" workbookViewId="0">
      <selection activeCell="BA16" sqref="BA16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BD11"/>
  <sheetViews>
    <sheetView topLeftCell="AL1" workbookViewId="0">
      <selection activeCell="AZ14" sqref="AZ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BD11"/>
  <sheetViews>
    <sheetView topLeftCell="AO1" workbookViewId="0">
      <selection activeCell="AZ15" sqref="AZ1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BD11"/>
  <sheetViews>
    <sheetView topLeftCell="AM1" workbookViewId="0">
      <selection activeCell="AX16" sqref="AX16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BD11"/>
  <sheetViews>
    <sheetView topLeftCell="AL1" workbookViewId="0">
      <selection activeCell="AX19" sqref="AX19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BD11"/>
  <sheetViews>
    <sheetView topLeftCell="AO1" workbookViewId="0">
      <selection activeCell="BB11" sqref="BB1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BC11"/>
  <sheetViews>
    <sheetView topLeftCell="AK1" workbookViewId="0">
      <selection activeCell="AY13" sqref="AY13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BC11"/>
  <sheetViews>
    <sheetView topLeftCell="AJ1" workbookViewId="0">
      <selection activeCell="BC1" sqref="BC1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BC11"/>
  <sheetViews>
    <sheetView topLeftCell="AJ1" workbookViewId="0">
      <selection activeCell="AO6" sqref="AO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>'Max Biofuel Blends'!AJ$14</f>
        <v>1</v>
      </c>
      <c r="AK6">
        <f>'Max Biofuel Blends'!AK$14</f>
        <v>1</v>
      </c>
      <c r="AL6">
        <f>'Max Biofuel Blends'!AL$14</f>
        <v>1</v>
      </c>
      <c r="AM6">
        <f>'Max Biofuel Blends'!AM$14</f>
        <v>1</v>
      </c>
      <c r="AN6">
        <f>'Max Biofuel Blends'!AN$14</f>
        <v>1</v>
      </c>
      <c r="AO6">
        <f>'Max Biofuel Blends'!AO$14</f>
        <v>1</v>
      </c>
      <c r="AP6">
        <f>'Max Biofuel Blends'!AP$14</f>
        <v>1</v>
      </c>
      <c r="AQ6">
        <f>'Max Biofuel Blends'!AQ$14</f>
        <v>1</v>
      </c>
      <c r="AR6">
        <f>'Max Biofuel Blends'!AR$14</f>
        <v>1</v>
      </c>
      <c r="AS6">
        <f>'Max Biofuel Blends'!AS$14</f>
        <v>1</v>
      </c>
      <c r="AT6">
        <f>'Max Biofuel Blends'!AT$14</f>
        <v>1</v>
      </c>
      <c r="AU6">
        <f>'Max Biofuel Blends'!AU$14</f>
        <v>1</v>
      </c>
      <c r="AV6">
        <f>'Max Biofuel Blends'!AV$14</f>
        <v>1</v>
      </c>
      <c r="AW6">
        <f>'Max Biofuel Blends'!AW$14</f>
        <v>1</v>
      </c>
      <c r="AX6">
        <f>'Max Biofuel Blends'!AX$14</f>
        <v>1</v>
      </c>
      <c r="AY6">
        <f>'Max Biofuel Blends'!AY$14</f>
        <v>1</v>
      </c>
      <c r="AZ6">
        <f>'Max Biofuel Blends'!AZ$14</f>
        <v>1</v>
      </c>
      <c r="BA6">
        <f>'Max Biofuel Blends'!BA$14</f>
        <v>1</v>
      </c>
      <c r="BB6">
        <f>'Max Biofuel Blends'!BB$14</f>
        <v>1</v>
      </c>
      <c r="BC6">
        <f>'Max Biofuel Blends'!BC$14</f>
        <v>1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BC11"/>
  <sheetViews>
    <sheetView topLeftCell="AK1" workbookViewId="0">
      <selection activeCell="BC1" sqref="BC1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>'Max Biofuel Blends'!AJ$14</f>
        <v>1</v>
      </c>
      <c r="AK7">
        <f>'Max Biofuel Blends'!AK$14</f>
        <v>1</v>
      </c>
      <c r="AL7">
        <f>'Max Biofuel Blends'!AL$14</f>
        <v>1</v>
      </c>
      <c r="AM7">
        <f>'Max Biofuel Blends'!AM$14</f>
        <v>1</v>
      </c>
      <c r="AN7">
        <f>'Max Biofuel Blends'!AN$14</f>
        <v>1</v>
      </c>
      <c r="AO7">
        <f>'Max Biofuel Blends'!AO$14</f>
        <v>1</v>
      </c>
      <c r="AP7">
        <f>'Max Biofuel Blends'!AP$14</f>
        <v>1</v>
      </c>
      <c r="AQ7">
        <f>'Max Biofuel Blends'!AQ$14</f>
        <v>1</v>
      </c>
      <c r="AR7">
        <f>'Max Biofuel Blends'!AR$14</f>
        <v>1</v>
      </c>
      <c r="AS7">
        <f>'Max Biofuel Blends'!AS$14</f>
        <v>1</v>
      </c>
      <c r="AT7">
        <f>'Max Biofuel Blends'!AT$14</f>
        <v>1</v>
      </c>
      <c r="AU7">
        <f>'Max Biofuel Blends'!AU$14</f>
        <v>1</v>
      </c>
      <c r="AV7">
        <f>'Max Biofuel Blends'!AV$14</f>
        <v>1</v>
      </c>
      <c r="AW7">
        <f>'Max Biofuel Blends'!AW$14</f>
        <v>1</v>
      </c>
      <c r="AX7">
        <f>'Max Biofuel Blends'!AX$14</f>
        <v>1</v>
      </c>
      <c r="AY7">
        <f>'Max Biofuel Blends'!AY$14</f>
        <v>1</v>
      </c>
      <c r="AZ7">
        <f>'Max Biofuel Blends'!AZ$14</f>
        <v>1</v>
      </c>
      <c r="BA7">
        <f>'Max Biofuel Blends'!BA$14</f>
        <v>1</v>
      </c>
      <c r="BB7">
        <f>'Max Biofuel Blends'!BB$14</f>
        <v>1</v>
      </c>
      <c r="BC7">
        <f>'Max Biofuel Blends'!BC$14</f>
        <v>1</v>
      </c>
    </row>
    <row r="8" spans="1:55" x14ac:dyDescent="0.4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BC11"/>
  <sheetViews>
    <sheetView topLeftCell="AJ1" workbookViewId="0">
      <selection activeCell="AY15" sqref="AY1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BC11"/>
  <sheetViews>
    <sheetView topLeftCell="AJ1" workbookViewId="0">
      <selection activeCell="AT24" sqref="AT24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BC11"/>
  <sheetViews>
    <sheetView topLeftCell="AN1" workbookViewId="0">
      <selection activeCell="AX19" sqref="AX19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BC11"/>
  <sheetViews>
    <sheetView topLeftCell="AM6" workbookViewId="0">
      <selection activeCell="AV26" sqref="AV26:AV31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>'Max Biofuel Blends'!AJ$14</f>
        <v>1</v>
      </c>
      <c r="AK6">
        <f>'Max Biofuel Blends'!AK$14</f>
        <v>1</v>
      </c>
      <c r="AL6">
        <f>'Max Biofuel Blends'!AL$14</f>
        <v>1</v>
      </c>
      <c r="AM6">
        <f>'Max Biofuel Blends'!AM$14</f>
        <v>1</v>
      </c>
      <c r="AN6">
        <f>'Max Biofuel Blends'!AN$14</f>
        <v>1</v>
      </c>
      <c r="AO6">
        <f>'Max Biofuel Blends'!AO$14</f>
        <v>1</v>
      </c>
      <c r="AP6">
        <f>'Max Biofuel Blends'!AP$14</f>
        <v>1</v>
      </c>
      <c r="AQ6">
        <f>'Max Biofuel Blends'!AQ$14</f>
        <v>1</v>
      </c>
      <c r="AR6">
        <f>'Max Biofuel Blends'!AR$14</f>
        <v>1</v>
      </c>
      <c r="AS6">
        <f>'Max Biofuel Blends'!AS$14</f>
        <v>1</v>
      </c>
      <c r="AT6">
        <f>'Max Biofuel Blends'!AT$14</f>
        <v>1</v>
      </c>
      <c r="AU6">
        <f>'Max Biofuel Blends'!AU$14</f>
        <v>1</v>
      </c>
      <c r="AV6">
        <f>'Max Biofuel Blends'!AV$14</f>
        <v>1</v>
      </c>
      <c r="AW6">
        <f>'Max Biofuel Blends'!AW$14</f>
        <v>1</v>
      </c>
      <c r="AX6">
        <f>'Max Biofuel Blends'!AX$14</f>
        <v>1</v>
      </c>
      <c r="AY6">
        <f>'Max Biofuel Blends'!AY$14</f>
        <v>1</v>
      </c>
      <c r="AZ6">
        <f>'Max Biofuel Blends'!AZ$14</f>
        <v>1</v>
      </c>
      <c r="BA6">
        <f>'Max Biofuel Blends'!BA$14</f>
        <v>1</v>
      </c>
      <c r="BB6">
        <f>'Max Biofuel Blends'!BB$14</f>
        <v>1</v>
      </c>
      <c r="BC6">
        <f>'Max Biofuel Blends'!BC$14</f>
        <v>1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BC11"/>
  <sheetViews>
    <sheetView topLeftCell="AK1" workbookViewId="0">
      <selection activeCell="BC1" sqref="BC1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>'Max Biofuel Blends'!AJ$14</f>
        <v>1</v>
      </c>
      <c r="AK7">
        <f>'Max Biofuel Blends'!AK$14</f>
        <v>1</v>
      </c>
      <c r="AL7">
        <f>'Max Biofuel Blends'!AL$14</f>
        <v>1</v>
      </c>
      <c r="AM7">
        <f>'Max Biofuel Blends'!AM$14</f>
        <v>1</v>
      </c>
      <c r="AN7">
        <f>'Max Biofuel Blends'!AN$14</f>
        <v>1</v>
      </c>
      <c r="AO7">
        <f>'Max Biofuel Blends'!AO$14</f>
        <v>1</v>
      </c>
      <c r="AP7">
        <f>'Max Biofuel Blends'!AP$14</f>
        <v>1</v>
      </c>
      <c r="AQ7">
        <f>'Max Biofuel Blends'!AQ$14</f>
        <v>1</v>
      </c>
      <c r="AR7">
        <f>'Max Biofuel Blends'!AR$14</f>
        <v>1</v>
      </c>
      <c r="AS7">
        <f>'Max Biofuel Blends'!AS$14</f>
        <v>1</v>
      </c>
      <c r="AT7">
        <f>'Max Biofuel Blends'!AT$14</f>
        <v>1</v>
      </c>
      <c r="AU7">
        <f>'Max Biofuel Blends'!AU$14</f>
        <v>1</v>
      </c>
      <c r="AV7">
        <f>'Max Biofuel Blends'!AV$14</f>
        <v>1</v>
      </c>
      <c r="AW7">
        <f>'Max Biofuel Blends'!AW$14</f>
        <v>1</v>
      </c>
      <c r="AX7">
        <f>'Max Biofuel Blends'!AX$14</f>
        <v>1</v>
      </c>
      <c r="AY7">
        <f>'Max Biofuel Blends'!AY$14</f>
        <v>1</v>
      </c>
      <c r="AZ7">
        <f>'Max Biofuel Blends'!AZ$14</f>
        <v>1</v>
      </c>
      <c r="BA7">
        <f>'Max Biofuel Blends'!BA$14</f>
        <v>1</v>
      </c>
      <c r="BB7">
        <f>'Max Biofuel Blends'!BB$14</f>
        <v>1</v>
      </c>
      <c r="BC7">
        <f>'Max Biofuel Blends'!BC$14</f>
        <v>1</v>
      </c>
    </row>
    <row r="8" spans="1:55" x14ac:dyDescent="0.4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BC11"/>
  <sheetViews>
    <sheetView topLeftCell="AK1" workbookViewId="0">
      <selection activeCell="AZ13" sqref="AZ13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BC11"/>
  <sheetViews>
    <sheetView topLeftCell="AJ1" workbookViewId="0">
      <selection activeCell="AY15" sqref="AY1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BC11"/>
  <sheetViews>
    <sheetView topLeftCell="AM1" workbookViewId="0">
      <selection activeCell="BC1" sqref="BC1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BC11"/>
  <sheetViews>
    <sheetView topLeftCell="AN1" workbookViewId="0">
      <selection activeCell="AZ15" sqref="AZ1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>'Max Biofuel Blends'!AJ$14</f>
        <v>1</v>
      </c>
      <c r="AK6">
        <f>'Max Biofuel Blends'!AK$14</f>
        <v>1</v>
      </c>
      <c r="AL6">
        <f>'Max Biofuel Blends'!AL$14</f>
        <v>1</v>
      </c>
      <c r="AM6">
        <f>'Max Biofuel Blends'!AM$14</f>
        <v>1</v>
      </c>
      <c r="AN6">
        <f>'Max Biofuel Blends'!AN$14</f>
        <v>1</v>
      </c>
      <c r="AO6">
        <f>'Max Biofuel Blends'!AO$14</f>
        <v>1</v>
      </c>
      <c r="AP6">
        <f>'Max Biofuel Blends'!AP$14</f>
        <v>1</v>
      </c>
      <c r="AQ6">
        <f>'Max Biofuel Blends'!AQ$14</f>
        <v>1</v>
      </c>
      <c r="AR6">
        <f>'Max Biofuel Blends'!AR$14</f>
        <v>1</v>
      </c>
      <c r="AS6">
        <f>'Max Biofuel Blends'!AS$14</f>
        <v>1</v>
      </c>
      <c r="AT6">
        <f>'Max Biofuel Blends'!AT$14</f>
        <v>1</v>
      </c>
      <c r="AU6">
        <f>'Max Biofuel Blends'!AU$14</f>
        <v>1</v>
      </c>
      <c r="AV6">
        <f>'Max Biofuel Blends'!AV$14</f>
        <v>1</v>
      </c>
      <c r="AW6">
        <f>'Max Biofuel Blends'!AW$14</f>
        <v>1</v>
      </c>
      <c r="AX6">
        <f>'Max Biofuel Blends'!AX$14</f>
        <v>1</v>
      </c>
      <c r="AY6">
        <f>'Max Biofuel Blends'!AY$14</f>
        <v>1</v>
      </c>
      <c r="AZ6">
        <f>'Max Biofuel Blends'!AZ$14</f>
        <v>1</v>
      </c>
      <c r="BA6">
        <f>'Max Biofuel Blends'!BA$14</f>
        <v>1</v>
      </c>
      <c r="BB6">
        <f>'Max Biofuel Blends'!BB$14</f>
        <v>1</v>
      </c>
      <c r="BC6">
        <f>'Max Biofuel Blends'!BC$14</f>
        <v>1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BC11"/>
  <sheetViews>
    <sheetView topLeftCell="AN1" workbookViewId="0">
      <selection activeCell="AZ16" sqref="AZ1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>'Max Biofuel Blends'!AJ$14</f>
        <v>1</v>
      </c>
      <c r="AK7">
        <f>'Max Biofuel Blends'!AK$14</f>
        <v>1</v>
      </c>
      <c r="AL7">
        <f>'Max Biofuel Blends'!AL$14</f>
        <v>1</v>
      </c>
      <c r="AM7">
        <f>'Max Biofuel Blends'!AM$14</f>
        <v>1</v>
      </c>
      <c r="AN7">
        <f>'Max Biofuel Blends'!AN$14</f>
        <v>1</v>
      </c>
      <c r="AO7">
        <f>'Max Biofuel Blends'!AO$14</f>
        <v>1</v>
      </c>
      <c r="AP7">
        <f>'Max Biofuel Blends'!AP$14</f>
        <v>1</v>
      </c>
      <c r="AQ7">
        <f>'Max Biofuel Blends'!AQ$14</f>
        <v>1</v>
      </c>
      <c r="AR7">
        <f>'Max Biofuel Blends'!AR$14</f>
        <v>1</v>
      </c>
      <c r="AS7">
        <f>'Max Biofuel Blends'!AS$14</f>
        <v>1</v>
      </c>
      <c r="AT7">
        <f>'Max Biofuel Blends'!AT$14</f>
        <v>1</v>
      </c>
      <c r="AU7">
        <f>'Max Biofuel Blends'!AU$14</f>
        <v>1</v>
      </c>
      <c r="AV7">
        <f>'Max Biofuel Blends'!AV$14</f>
        <v>1</v>
      </c>
      <c r="AW7">
        <f>'Max Biofuel Blends'!AW$14</f>
        <v>1</v>
      </c>
      <c r="AX7">
        <f>'Max Biofuel Blends'!AX$14</f>
        <v>1</v>
      </c>
      <c r="AY7">
        <f>'Max Biofuel Blends'!AY$14</f>
        <v>1</v>
      </c>
      <c r="AZ7">
        <f>'Max Biofuel Blends'!AZ$14</f>
        <v>1</v>
      </c>
      <c r="BA7">
        <f>'Max Biofuel Blends'!BA$14</f>
        <v>1</v>
      </c>
      <c r="BB7">
        <f>'Max Biofuel Blends'!BB$14</f>
        <v>1</v>
      </c>
      <c r="BC7">
        <f>'Max Biofuel Blends'!BC$14</f>
        <v>1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BC11"/>
  <sheetViews>
    <sheetView topLeftCell="AK1" workbookViewId="0">
      <selection activeCell="AY16" sqref="AY1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BC11"/>
  <sheetViews>
    <sheetView topLeftCell="AN1" workbookViewId="0">
      <selection activeCell="BC2" sqref="BC2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BC11"/>
  <sheetViews>
    <sheetView topLeftCell="AJ1" workbookViewId="0">
      <selection activeCell="BC1" sqref="BC1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BC11"/>
  <sheetViews>
    <sheetView topLeftCell="AN1" workbookViewId="0">
      <selection activeCell="BA12" sqref="BA12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>'Max Biofuel Blends'!AJ$14</f>
        <v>1</v>
      </c>
      <c r="AK6">
        <f>'Max Biofuel Blends'!AK$14</f>
        <v>1</v>
      </c>
      <c r="AL6">
        <f>'Max Biofuel Blends'!AL$14</f>
        <v>1</v>
      </c>
      <c r="AM6">
        <f>'Max Biofuel Blends'!AM$14</f>
        <v>1</v>
      </c>
      <c r="AN6">
        <f>'Max Biofuel Blends'!AN$14</f>
        <v>1</v>
      </c>
      <c r="AO6">
        <f>'Max Biofuel Blends'!AO$14</f>
        <v>1</v>
      </c>
      <c r="AP6">
        <f>'Max Biofuel Blends'!AP$14</f>
        <v>1</v>
      </c>
      <c r="AQ6">
        <f>'Max Biofuel Blends'!AQ$14</f>
        <v>1</v>
      </c>
      <c r="AR6">
        <f>'Max Biofuel Blends'!AR$14</f>
        <v>1</v>
      </c>
      <c r="AS6">
        <f>'Max Biofuel Blends'!AS$14</f>
        <v>1</v>
      </c>
      <c r="AT6">
        <f>'Max Biofuel Blends'!AT$14</f>
        <v>1</v>
      </c>
      <c r="AU6">
        <f>'Max Biofuel Blends'!AU$14</f>
        <v>1</v>
      </c>
      <c r="AV6">
        <f>'Max Biofuel Blends'!AV$14</f>
        <v>1</v>
      </c>
      <c r="AW6">
        <f>'Max Biofuel Blends'!AW$14</f>
        <v>1</v>
      </c>
      <c r="AX6">
        <f>'Max Biofuel Blends'!AX$14</f>
        <v>1</v>
      </c>
      <c r="AY6">
        <f>'Max Biofuel Blends'!AY$14</f>
        <v>1</v>
      </c>
      <c r="AZ6">
        <f>'Max Biofuel Blends'!AZ$14</f>
        <v>1</v>
      </c>
      <c r="BA6">
        <f>'Max Biofuel Blends'!BA$14</f>
        <v>1</v>
      </c>
      <c r="BB6">
        <f>'Max Biofuel Blends'!BB$14</f>
        <v>1</v>
      </c>
      <c r="BC6">
        <f>'Max Biofuel Blends'!BC$14</f>
        <v>1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BC11"/>
  <sheetViews>
    <sheetView topLeftCell="AJ1" workbookViewId="0">
      <selection activeCell="AV22" sqref="AV22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>'Max Biofuel Blends'!AJ$14</f>
        <v>1</v>
      </c>
      <c r="AK7">
        <f>'Max Biofuel Blends'!AK$14</f>
        <v>1</v>
      </c>
      <c r="AL7">
        <f>'Max Biofuel Blends'!AL$14</f>
        <v>1</v>
      </c>
      <c r="AM7">
        <f>'Max Biofuel Blends'!AM$14</f>
        <v>1</v>
      </c>
      <c r="AN7">
        <f>'Max Biofuel Blends'!AN$14</f>
        <v>1</v>
      </c>
      <c r="AO7">
        <f>'Max Biofuel Blends'!AO$14</f>
        <v>1</v>
      </c>
      <c r="AP7">
        <f>'Max Biofuel Blends'!AP$14</f>
        <v>1</v>
      </c>
      <c r="AQ7">
        <f>'Max Biofuel Blends'!AQ$14</f>
        <v>1</v>
      </c>
      <c r="AR7">
        <f>'Max Biofuel Blends'!AR$14</f>
        <v>1</v>
      </c>
      <c r="AS7">
        <f>'Max Biofuel Blends'!AS$14</f>
        <v>1</v>
      </c>
      <c r="AT7">
        <f>'Max Biofuel Blends'!AT$14</f>
        <v>1</v>
      </c>
      <c r="AU7">
        <f>'Max Biofuel Blends'!AU$14</f>
        <v>1</v>
      </c>
      <c r="AV7">
        <f>'Max Biofuel Blends'!AV$14</f>
        <v>1</v>
      </c>
      <c r="AW7">
        <f>'Max Biofuel Blends'!AW$14</f>
        <v>1</v>
      </c>
      <c r="AX7">
        <f>'Max Biofuel Blends'!AX$14</f>
        <v>1</v>
      </c>
      <c r="AY7">
        <f>'Max Biofuel Blends'!AY$14</f>
        <v>1</v>
      </c>
      <c r="AZ7">
        <f>'Max Biofuel Blends'!AZ$14</f>
        <v>1</v>
      </c>
      <c r="BA7">
        <f>'Max Biofuel Blends'!BA$14</f>
        <v>1</v>
      </c>
      <c r="BB7">
        <f>'Max Biofuel Blends'!BB$14</f>
        <v>1</v>
      </c>
      <c r="BC7">
        <f>'Max Biofuel Blends'!BC$14</f>
        <v>1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BC11"/>
  <sheetViews>
    <sheetView topLeftCell="AO1" workbookViewId="0">
      <selection activeCell="BA14" sqref="BA14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BC11"/>
  <sheetViews>
    <sheetView topLeftCell="AO1" workbookViewId="0">
      <selection activeCell="BA15" sqref="BA1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BC11"/>
  <sheetViews>
    <sheetView topLeftCell="AL1" workbookViewId="0">
      <selection activeCell="AZ15" sqref="AZ1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BC11"/>
  <sheetViews>
    <sheetView topLeftCell="AJ1" workbookViewId="0">
      <selection activeCell="AY15" sqref="AY1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>'Max Biofuel Blends'!AJ$14</f>
        <v>1</v>
      </c>
      <c r="AK6">
        <f>'Max Biofuel Blends'!AK$14</f>
        <v>1</v>
      </c>
      <c r="AL6">
        <f>'Max Biofuel Blends'!AL$14</f>
        <v>1</v>
      </c>
      <c r="AM6">
        <f>'Max Biofuel Blends'!AM$14</f>
        <v>1</v>
      </c>
      <c r="AN6">
        <f>'Max Biofuel Blends'!AN$14</f>
        <v>1</v>
      </c>
      <c r="AO6">
        <f>'Max Biofuel Blends'!AO$14</f>
        <v>1</v>
      </c>
      <c r="AP6">
        <f>'Max Biofuel Blends'!AP$14</f>
        <v>1</v>
      </c>
      <c r="AQ6">
        <f>'Max Biofuel Blends'!AQ$14</f>
        <v>1</v>
      </c>
      <c r="AR6">
        <f>'Max Biofuel Blends'!AR$14</f>
        <v>1</v>
      </c>
      <c r="AS6">
        <f>'Max Biofuel Blends'!AS$14</f>
        <v>1</v>
      </c>
      <c r="AT6">
        <f>'Max Biofuel Blends'!AT$14</f>
        <v>1</v>
      </c>
      <c r="AU6">
        <f>'Max Biofuel Blends'!AU$14</f>
        <v>1</v>
      </c>
      <c r="AV6">
        <f>'Max Biofuel Blends'!AV$14</f>
        <v>1</v>
      </c>
      <c r="AW6">
        <f>'Max Biofuel Blends'!AW$14</f>
        <v>1</v>
      </c>
      <c r="AX6">
        <f>'Max Biofuel Blends'!AX$14</f>
        <v>1</v>
      </c>
      <c r="AY6">
        <f>'Max Biofuel Blends'!AY$14</f>
        <v>1</v>
      </c>
      <c r="AZ6">
        <f>'Max Biofuel Blends'!AZ$14</f>
        <v>1</v>
      </c>
      <c r="BA6">
        <f>'Max Biofuel Blends'!BA$14</f>
        <v>1</v>
      </c>
      <c r="BB6">
        <f>'Max Biofuel Blends'!BB$14</f>
        <v>1</v>
      </c>
      <c r="BC6">
        <f>'Max Biofuel Blends'!BC$14</f>
        <v>1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BC11"/>
  <sheetViews>
    <sheetView topLeftCell="AK1" workbookViewId="0">
      <selection activeCell="AZ16" sqref="AZ1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>'Max Biofuel Blends'!AJ$14</f>
        <v>1</v>
      </c>
      <c r="AK7">
        <f>'Max Biofuel Blends'!AK$14</f>
        <v>1</v>
      </c>
      <c r="AL7">
        <f>'Max Biofuel Blends'!AL$14</f>
        <v>1</v>
      </c>
      <c r="AM7">
        <f>'Max Biofuel Blends'!AM$14</f>
        <v>1</v>
      </c>
      <c r="AN7">
        <f>'Max Biofuel Blends'!AN$14</f>
        <v>1</v>
      </c>
      <c r="AO7">
        <f>'Max Biofuel Blends'!AO$14</f>
        <v>1</v>
      </c>
      <c r="AP7">
        <f>'Max Biofuel Blends'!AP$14</f>
        <v>1</v>
      </c>
      <c r="AQ7">
        <f>'Max Biofuel Blends'!AQ$14</f>
        <v>1</v>
      </c>
      <c r="AR7">
        <f>'Max Biofuel Blends'!AR$14</f>
        <v>1</v>
      </c>
      <c r="AS7">
        <f>'Max Biofuel Blends'!AS$14</f>
        <v>1</v>
      </c>
      <c r="AT7">
        <f>'Max Biofuel Blends'!AT$14</f>
        <v>1</v>
      </c>
      <c r="AU7">
        <f>'Max Biofuel Blends'!AU$14</f>
        <v>1</v>
      </c>
      <c r="AV7">
        <f>'Max Biofuel Blends'!AV$14</f>
        <v>1</v>
      </c>
      <c r="AW7">
        <f>'Max Biofuel Blends'!AW$14</f>
        <v>1</v>
      </c>
      <c r="AX7">
        <f>'Max Biofuel Blends'!AX$14</f>
        <v>1</v>
      </c>
      <c r="AY7">
        <f>'Max Biofuel Blends'!AY$14</f>
        <v>1</v>
      </c>
      <c r="AZ7">
        <f>'Max Biofuel Blends'!AZ$14</f>
        <v>1</v>
      </c>
      <c r="BA7">
        <f>'Max Biofuel Blends'!BA$14</f>
        <v>1</v>
      </c>
      <c r="BB7">
        <f>'Max Biofuel Blends'!BB$14</f>
        <v>1</v>
      </c>
      <c r="BC7">
        <f>'Max Biofuel Blends'!BC$14</f>
        <v>1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BC11"/>
  <sheetViews>
    <sheetView topLeftCell="AJ1" workbookViewId="0">
      <selection activeCell="AX16" sqref="AX1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BC11"/>
  <sheetViews>
    <sheetView topLeftCell="AJ1" workbookViewId="0">
      <selection activeCell="AT25" sqref="AT25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BC11"/>
  <sheetViews>
    <sheetView topLeftCell="AJ1" workbookViewId="0">
      <selection activeCell="AX16" sqref="AX1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BC11"/>
  <sheetViews>
    <sheetView topLeftCell="AJ1" workbookViewId="0">
      <selection activeCell="AX16" sqref="AX16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>'Max Biofuel Blends'!AJ$14</f>
        <v>1</v>
      </c>
      <c r="AK6">
        <f>'Max Biofuel Blends'!AK$14</f>
        <v>1</v>
      </c>
      <c r="AL6">
        <f>'Max Biofuel Blends'!AL$14</f>
        <v>1</v>
      </c>
      <c r="AM6">
        <f>'Max Biofuel Blends'!AM$14</f>
        <v>1</v>
      </c>
      <c r="AN6">
        <f>'Max Biofuel Blends'!AN$14</f>
        <v>1</v>
      </c>
      <c r="AO6">
        <f>'Max Biofuel Blends'!AO$14</f>
        <v>1</v>
      </c>
      <c r="AP6">
        <f>'Max Biofuel Blends'!AP$14</f>
        <v>1</v>
      </c>
      <c r="AQ6">
        <f>'Max Biofuel Blends'!AQ$14</f>
        <v>1</v>
      </c>
      <c r="AR6">
        <f>'Max Biofuel Blends'!AR$14</f>
        <v>1</v>
      </c>
      <c r="AS6">
        <f>'Max Biofuel Blends'!AS$14</f>
        <v>1</v>
      </c>
      <c r="AT6">
        <f>'Max Biofuel Blends'!AT$14</f>
        <v>1</v>
      </c>
      <c r="AU6">
        <f>'Max Biofuel Blends'!AU$14</f>
        <v>1</v>
      </c>
      <c r="AV6">
        <f>'Max Biofuel Blends'!AV$14</f>
        <v>1</v>
      </c>
      <c r="AW6">
        <f>'Max Biofuel Blends'!AW$14</f>
        <v>1</v>
      </c>
      <c r="AX6">
        <f>'Max Biofuel Blends'!AX$14</f>
        <v>1</v>
      </c>
      <c r="AY6">
        <f>'Max Biofuel Blends'!AY$14</f>
        <v>1</v>
      </c>
      <c r="AZ6">
        <f>'Max Biofuel Blends'!AZ$14</f>
        <v>1</v>
      </c>
      <c r="BA6">
        <f>'Max Biofuel Blends'!BA$14</f>
        <v>1</v>
      </c>
      <c r="BB6">
        <f>'Max Biofuel Blends'!BB$14</f>
        <v>1</v>
      </c>
      <c r="BC6">
        <f>'Max Biofuel Blends'!BC$14</f>
        <v>1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BC11"/>
  <sheetViews>
    <sheetView topLeftCell="AK1" workbookViewId="0">
      <selection activeCell="BC9" sqref="BC9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  <c r="AJ5">
        <f>_xlfn.FORECAST.ETS(AJ$1,$B5:$AI5,$B$1:$AI$1)</f>
        <v>0.42995823429499158</v>
      </c>
      <c r="AK5">
        <f>_xlfn.FORECAST.ETS(AK$1,$B5:$AI5,$B$1:$AI$1)</f>
        <v>0.430178636459701</v>
      </c>
      <c r="AL5">
        <f t="shared" ref="AL5:BC5" si="0">_xlfn.FORECAST.ETS(AL$1,$B5:$AI5,$B$1:$AI$1)</f>
        <v>0.43039903862441048</v>
      </c>
      <c r="AM5">
        <f t="shared" si="0"/>
        <v>0.4306194407891199</v>
      </c>
      <c r="AN5">
        <f t="shared" si="0"/>
        <v>0.43083984295382932</v>
      </c>
      <c r="AO5">
        <f t="shared" si="0"/>
        <v>0.43106024511853874</v>
      </c>
      <c r="AP5">
        <f t="shared" si="0"/>
        <v>0.43128064728324822</v>
      </c>
      <c r="AQ5">
        <f t="shared" si="0"/>
        <v>0.43150104944795764</v>
      </c>
      <c r="AR5">
        <f t="shared" si="0"/>
        <v>0.43172145161266706</v>
      </c>
      <c r="AS5">
        <f t="shared" si="0"/>
        <v>0.43194185377737648</v>
      </c>
      <c r="AT5">
        <f t="shared" si="0"/>
        <v>0.4321622559420859</v>
      </c>
      <c r="AU5">
        <f t="shared" si="0"/>
        <v>0.43238265810679538</v>
      </c>
      <c r="AV5">
        <f t="shared" si="0"/>
        <v>0.4326030602715048</v>
      </c>
      <c r="AW5">
        <f t="shared" si="0"/>
        <v>0.43282346243621422</v>
      </c>
      <c r="AX5">
        <f t="shared" si="0"/>
        <v>0.43304386460092364</v>
      </c>
      <c r="AY5">
        <f t="shared" si="0"/>
        <v>0.43326426676563307</v>
      </c>
      <c r="AZ5">
        <f t="shared" si="0"/>
        <v>0.43348466893034254</v>
      </c>
      <c r="BA5">
        <f t="shared" si="0"/>
        <v>0.43370507109505196</v>
      </c>
      <c r="BB5">
        <f t="shared" si="0"/>
        <v>0.43392547325976139</v>
      </c>
      <c r="BC5">
        <f t="shared" si="0"/>
        <v>0.43414587542447081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f>'Max Biofuel Blends'!B$17</f>
        <v>0</v>
      </c>
      <c r="C7">
        <f>'Max Biofuel Blends'!C$17</f>
        <v>0</v>
      </c>
      <c r="D7">
        <f>'Max Biofuel Blends'!D$17</f>
        <v>0</v>
      </c>
      <c r="E7">
        <f>'Max Biofuel Blends'!E$17</f>
        <v>0</v>
      </c>
      <c r="F7">
        <f>'Max Biofuel Blends'!F$17</f>
        <v>0</v>
      </c>
      <c r="G7">
        <f>'Max Biofuel Blends'!G$17</f>
        <v>1.7241379310341642E-2</v>
      </c>
      <c r="H7">
        <f>'Max Biofuel Blends'!H$17</f>
        <v>3.448275862069039E-2</v>
      </c>
      <c r="I7">
        <f>'Max Biofuel Blends'!I$17</f>
        <v>5.1724137931032033E-2</v>
      </c>
      <c r="J7">
        <f>'Max Biofuel Blends'!J$17</f>
        <v>6.896551724138078E-2</v>
      </c>
      <c r="K7">
        <f>'Max Biofuel Blends'!K$17</f>
        <v>8.6206896551722423E-2</v>
      </c>
      <c r="L7">
        <f>'Max Biofuel Blends'!L$17</f>
        <v>0.10344827586207117</v>
      </c>
      <c r="M7">
        <f>'Max Biofuel Blends'!M$17</f>
        <v>0.12068965517241281</v>
      </c>
      <c r="N7">
        <f>'Max Biofuel Blends'!N$17</f>
        <v>0.13793103448275446</v>
      </c>
      <c r="O7">
        <f>'Max Biofuel Blends'!O$17</f>
        <v>0.1551724137931032</v>
      </c>
      <c r="P7">
        <f>'Max Biofuel Blends'!P$17</f>
        <v>0.17241379310344485</v>
      </c>
      <c r="Q7">
        <f>'Max Biofuel Blends'!Q$17</f>
        <v>0.18965517241379359</v>
      </c>
      <c r="R7">
        <f>'Max Biofuel Blends'!R$17</f>
        <v>0.20689655172413524</v>
      </c>
      <c r="S7">
        <f>'Max Biofuel Blends'!S$17</f>
        <v>0.22413793103448398</v>
      </c>
      <c r="T7">
        <f>'Max Biofuel Blends'!T$17</f>
        <v>0.24137931034482563</v>
      </c>
      <c r="U7">
        <f>'Max Biofuel Blends'!U$17</f>
        <v>0.25862068965517437</v>
      </c>
      <c r="V7">
        <f>'Max Biofuel Blends'!V$17</f>
        <v>0.27586206896551602</v>
      </c>
      <c r="W7">
        <f>'Max Biofuel Blends'!W$17</f>
        <v>0.29310344827586476</v>
      </c>
      <c r="X7">
        <f>'Max Biofuel Blends'!X$17</f>
        <v>0.31034482758620641</v>
      </c>
      <c r="Y7">
        <f>'Max Biofuel Blends'!Y$17</f>
        <v>0.32758620689654805</v>
      </c>
      <c r="Z7">
        <f>'Max Biofuel Blends'!Z$17</f>
        <v>0.3448275862068968</v>
      </c>
      <c r="AA7">
        <f>'Max Biofuel Blends'!AA$17</f>
        <v>0.36206896551723844</v>
      </c>
      <c r="AB7">
        <f>'Max Biofuel Blends'!AB$17</f>
        <v>0.37931034482758719</v>
      </c>
      <c r="AC7">
        <f>'Max Biofuel Blends'!AC$17</f>
        <v>0.39655172413792883</v>
      </c>
      <c r="AD7">
        <f>'Max Biofuel Blends'!AD$17</f>
        <v>0.41379310344827758</v>
      </c>
      <c r="AE7">
        <f>'Max Biofuel Blends'!AE$17</f>
        <v>0.43103448275861922</v>
      </c>
      <c r="AF7">
        <f>'Max Biofuel Blends'!AF$17</f>
        <v>0.44827586206896797</v>
      </c>
      <c r="AG7">
        <f>'Max Biofuel Blends'!AG$17</f>
        <v>0.46551724137930961</v>
      </c>
      <c r="AH7">
        <f>'Max Biofuel Blends'!AH$17</f>
        <v>0.48275862068965125</v>
      </c>
      <c r="AI7">
        <f>'Max Biofuel Blends'!AI$17</f>
        <v>0.5</v>
      </c>
      <c r="AJ7">
        <f>'Max Biofuel Blends'!AJ$17</f>
        <v>0.51724137931034164</v>
      </c>
      <c r="AK7">
        <f>'Max Biofuel Blends'!AK$17</f>
        <v>0.53448275862069039</v>
      </c>
      <c r="AL7">
        <f>'Max Biofuel Blends'!AL$17</f>
        <v>0.55172413793103203</v>
      </c>
      <c r="AM7">
        <f>'Max Biofuel Blends'!AM$17</f>
        <v>0.56896551724138078</v>
      </c>
      <c r="AN7">
        <f>'Max Biofuel Blends'!AN$17</f>
        <v>0.58620689655172242</v>
      </c>
      <c r="AO7">
        <f>'Max Biofuel Blends'!AO$17</f>
        <v>0.60344827586207117</v>
      </c>
      <c r="AP7">
        <f>'Max Biofuel Blends'!AP$17</f>
        <v>0.62068965517241281</v>
      </c>
      <c r="AQ7">
        <f>'Max Biofuel Blends'!AQ$17</f>
        <v>0.63793103448275446</v>
      </c>
      <c r="AR7">
        <f>'Max Biofuel Blends'!AR$17</f>
        <v>0.6551724137931032</v>
      </c>
      <c r="AS7">
        <f>'Max Biofuel Blends'!AS$17</f>
        <v>0.67241379310344485</v>
      </c>
      <c r="AT7">
        <f>'Max Biofuel Blends'!AT$17</f>
        <v>0.68965517241379359</v>
      </c>
      <c r="AU7">
        <f>'Max Biofuel Blends'!AU$17</f>
        <v>0.70689655172413524</v>
      </c>
      <c r="AV7">
        <f>'Max Biofuel Blends'!AV$17</f>
        <v>0.72413793103448398</v>
      </c>
      <c r="AW7">
        <f>'Max Biofuel Blends'!AW$17</f>
        <v>0.74137931034482563</v>
      </c>
      <c r="AX7">
        <f>'Max Biofuel Blends'!AX$17</f>
        <v>0.75862068965517437</v>
      </c>
      <c r="AY7">
        <f>'Max Biofuel Blends'!AY$17</f>
        <v>0.77586206896551602</v>
      </c>
      <c r="AZ7">
        <f>'Max Biofuel Blends'!AZ$17</f>
        <v>0.79310344827586476</v>
      </c>
      <c r="BA7">
        <f>'Max Biofuel Blends'!BA$17</f>
        <v>0.81034482758620641</v>
      </c>
      <c r="BB7">
        <f>'Max Biofuel Blends'!BB$17</f>
        <v>0.82758620689654805</v>
      </c>
      <c r="BC7">
        <f>'Max Biofuel Blends'!BC$17</f>
        <v>0.8448275862068968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  <c r="AJ9">
        <f>_xlfn.FORECAST.ETS(AJ$1,$B9:$AI9,$B$1:$AI$1)</f>
        <v>0.5700417657050082</v>
      </c>
      <c r="AK9">
        <f t="shared" ref="AK9:BC9" si="1">_xlfn.FORECAST.ETS(AK$1,$B9:$AI9,$B$1:$AI$1)</f>
        <v>0.56982136354029866</v>
      </c>
      <c r="AL9">
        <f t="shared" si="1"/>
        <v>0.56960096137558924</v>
      </c>
      <c r="AM9">
        <f t="shared" si="1"/>
        <v>0.56938055921087971</v>
      </c>
      <c r="AN9">
        <f t="shared" si="1"/>
        <v>0.56916015704617029</v>
      </c>
      <c r="AO9">
        <f t="shared" si="1"/>
        <v>0.56893975488146087</v>
      </c>
      <c r="AP9">
        <f t="shared" si="1"/>
        <v>0.56871935271675134</v>
      </c>
      <c r="AQ9">
        <f t="shared" si="1"/>
        <v>0.56849895055204192</v>
      </c>
      <c r="AR9">
        <f t="shared" si="1"/>
        <v>0.56827854838733238</v>
      </c>
      <c r="AS9">
        <f t="shared" si="1"/>
        <v>0.56805814622262296</v>
      </c>
      <c r="AT9">
        <f t="shared" si="1"/>
        <v>0.56783774405791354</v>
      </c>
      <c r="AU9">
        <f t="shared" si="1"/>
        <v>0.56761734189320401</v>
      </c>
      <c r="AV9">
        <f t="shared" si="1"/>
        <v>0.56739693972849459</v>
      </c>
      <c r="AW9">
        <f t="shared" si="1"/>
        <v>0.56717653756378505</v>
      </c>
      <c r="AX9">
        <f t="shared" si="1"/>
        <v>0.56695613539907563</v>
      </c>
      <c r="AY9">
        <f t="shared" si="1"/>
        <v>0.56673573323436621</v>
      </c>
      <c r="AZ9">
        <f t="shared" si="1"/>
        <v>0.56651533106965668</v>
      </c>
      <c r="BA9">
        <f t="shared" si="1"/>
        <v>0.56629492890494726</v>
      </c>
      <c r="BB9">
        <f t="shared" si="1"/>
        <v>0.56607452674023784</v>
      </c>
      <c r="BC9">
        <f t="shared" si="1"/>
        <v>0.56585412457552831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BC11"/>
  <sheetViews>
    <sheetView topLeftCell="AQ1" workbookViewId="0">
      <selection activeCell="BA22" sqref="BA22"/>
    </sheetView>
  </sheetViews>
  <sheetFormatPr defaultRowHeight="14.25" x14ac:dyDescent="0.45"/>
  <cols>
    <col min="1" max="1" width="22.53125" customWidth="1"/>
  </cols>
  <sheetData>
    <row r="1" spans="1:55" ht="28.5" x14ac:dyDescent="0.45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BD11"/>
  <sheetViews>
    <sheetView topLeftCell="AK1" workbookViewId="0">
      <selection activeCell="AX19" sqref="AX19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BD11"/>
  <sheetViews>
    <sheetView topLeftCell="AK1" workbookViewId="0">
      <selection activeCell="BA13" sqref="BA13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BD11"/>
  <sheetViews>
    <sheetView topLeftCell="AK1" workbookViewId="0">
      <selection activeCell="AZ14" sqref="AZ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  <c r="AK6">
        <v>0.15</v>
      </c>
      <c r="AL6">
        <v>0.15</v>
      </c>
      <c r="AM6">
        <v>0.15</v>
      </c>
      <c r="AN6">
        <v>0.15</v>
      </c>
      <c r="AO6">
        <v>0.15</v>
      </c>
      <c r="AP6">
        <v>0.15</v>
      </c>
      <c r="AQ6">
        <v>0.15</v>
      </c>
      <c r="AR6">
        <v>0.15</v>
      </c>
      <c r="AS6">
        <v>0.15</v>
      </c>
      <c r="AT6">
        <v>0.15</v>
      </c>
      <c r="AU6">
        <v>0.15</v>
      </c>
      <c r="AV6">
        <v>0.15</v>
      </c>
      <c r="AW6">
        <v>0.15</v>
      </c>
      <c r="AX6">
        <v>0.15</v>
      </c>
      <c r="AY6">
        <v>0.15</v>
      </c>
      <c r="AZ6">
        <v>0.15</v>
      </c>
      <c r="BA6">
        <v>0.15</v>
      </c>
      <c r="BB6">
        <v>0.15</v>
      </c>
      <c r="BC6">
        <v>0.15</v>
      </c>
      <c r="BD6"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BD11"/>
  <sheetViews>
    <sheetView topLeftCell="AK1" workbookViewId="0">
      <selection activeCell="AY18" sqref="AY18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BD11"/>
  <sheetViews>
    <sheetView topLeftCell="AL1" workbookViewId="0">
      <selection activeCell="BA15" sqref="BA1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  <c r="AK6">
        <v>0.15</v>
      </c>
      <c r="AL6">
        <v>0.15</v>
      </c>
      <c r="AM6">
        <v>0.15</v>
      </c>
      <c r="AN6">
        <v>0.15</v>
      </c>
      <c r="AO6">
        <v>0.15</v>
      </c>
      <c r="AP6">
        <v>0.15</v>
      </c>
      <c r="AQ6">
        <v>0.15</v>
      </c>
      <c r="AR6">
        <v>0.15</v>
      </c>
      <c r="AS6">
        <v>0.15</v>
      </c>
      <c r="AT6">
        <v>0.15</v>
      </c>
      <c r="AU6">
        <v>0.15</v>
      </c>
      <c r="AV6">
        <v>0.15</v>
      </c>
      <c r="AW6">
        <v>0.15</v>
      </c>
      <c r="AX6">
        <v>0.15</v>
      </c>
      <c r="AY6">
        <v>0.15</v>
      </c>
      <c r="AZ6">
        <v>0.15</v>
      </c>
      <c r="BA6">
        <v>0.15</v>
      </c>
      <c r="BB6">
        <v>0.15</v>
      </c>
      <c r="BC6">
        <v>0.15</v>
      </c>
      <c r="BD6"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BD11"/>
  <sheetViews>
    <sheetView topLeftCell="AK1" workbookViewId="0">
      <selection activeCell="AY17" sqref="AY17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BD11"/>
  <sheetViews>
    <sheetView topLeftCell="AK1" workbookViewId="0">
      <selection activeCell="AX17" sqref="AX17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BD11"/>
  <sheetViews>
    <sheetView topLeftCell="AM1" workbookViewId="0">
      <selection activeCell="AZ16" sqref="AZ16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BD11"/>
  <sheetViews>
    <sheetView topLeftCell="AK1" workbookViewId="0">
      <selection activeCell="AT20" sqref="AT20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BD11"/>
  <sheetViews>
    <sheetView topLeftCell="AM1" workbookViewId="0">
      <selection activeCell="BA21" sqref="BA2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BD11"/>
  <sheetViews>
    <sheetView topLeftCell="AO1" workbookViewId="0">
      <selection activeCell="BB19" sqref="BB19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f t="shared" ref="B7:BD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BD11"/>
  <sheetViews>
    <sheetView topLeftCell="AQ1" workbookViewId="0">
      <selection activeCell="AT21" sqref="AT21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v>0.55000000000000004</v>
      </c>
      <c r="AL2">
        <v>0.55000000000000004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0.55000000000000004</v>
      </c>
      <c r="AT2">
        <v>0.55000000000000004</v>
      </c>
      <c r="AU2">
        <v>0.55000000000000004</v>
      </c>
      <c r="AV2">
        <v>0.55000000000000004</v>
      </c>
      <c r="AW2">
        <v>0.55000000000000004</v>
      </c>
      <c r="AX2">
        <v>0.55000000000000004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0.55000000000000004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f t="shared" ref="B6:BD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  <c r="AK6">
        <f t="shared" si="0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BD11"/>
  <sheetViews>
    <sheetView topLeftCell="AP1" workbookViewId="0">
      <selection activeCell="BC15" sqref="BC15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 x14ac:dyDescent="0.45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BD11"/>
  <sheetViews>
    <sheetView tabSelected="1" topLeftCell="AK1" workbookViewId="0">
      <selection activeCell="BB14" sqref="BB14"/>
    </sheetView>
  </sheetViews>
  <sheetFormatPr defaultRowHeight="14.25" x14ac:dyDescent="0.45"/>
  <cols>
    <col min="1" max="1" width="22.53125" customWidth="1"/>
  </cols>
  <sheetData>
    <row r="1" spans="1:56" ht="28.5" x14ac:dyDescent="0.45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4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4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4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4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4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4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45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45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45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Joshua Cohen</cp:lastModifiedBy>
  <dcterms:created xsi:type="dcterms:W3CDTF">2017-06-23T20:50:52Z</dcterms:created>
  <dcterms:modified xsi:type="dcterms:W3CDTF">2025-02-22T20:48:09Z</dcterms:modified>
</cp:coreProperties>
</file>