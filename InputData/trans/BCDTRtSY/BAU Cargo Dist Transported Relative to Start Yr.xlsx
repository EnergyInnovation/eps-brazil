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brazil-cpl/InputData/trans/BCDTRtSY/"/>
    </mc:Choice>
  </mc:AlternateContent>
  <xr:revisionPtr revIDLastSave="0" documentId="13_ncr:1_{614EB6A7-007C-334E-833F-1689014669A2}" xr6:coauthVersionLast="47" xr6:coauthVersionMax="47" xr10:uidLastSave="{00000000-0000-0000-0000-000000000000}"/>
  <bookViews>
    <workbookView xWindow="0" yWindow="780" windowWidth="34200" windowHeight="21360" tabRatio="742" firstSheet="7" activeTab="12" xr2:uid="{00000000-000D-0000-FFFF-FFFF00000000}"/>
  </bookViews>
  <sheets>
    <sheet name="About" sheetId="1" r:id="rId1"/>
    <sheet name="table 95" sheetId="35" r:id="rId2"/>
    <sheet name="table 94" sheetId="36" r:id="rId3"/>
    <sheet name="psgr-Road" sheetId="25" r:id="rId4"/>
    <sheet name="psgr-Air" sheetId="30" r:id="rId5"/>
    <sheet name="psgr-Rail" sheetId="28" r:id="rId6"/>
    <sheet name="psgr-Ship" sheetId="29" r:id="rId7"/>
    <sheet name="frgt-Road" sheetId="32" r:id="rId8"/>
    <sheet name="frgt-Ship" sheetId="33" r:id="rId9"/>
    <sheet name="frgt-Rail" sheetId="34" r:id="rId10"/>
    <sheet name="frgt-Air" sheetId="31" r:id="rId11"/>
    <sheet name="BCDTRtSY-psgr" sheetId="23" r:id="rId12"/>
    <sheet name="BCDTRtSY-frgt" sheetId="24" r:id="rId13"/>
  </sheets>
  <externalReferences>
    <externalReference r:id="rId14"/>
  </externalReferences>
  <definedNames>
    <definedName name="Eno_TM" localSheetId="12">'[1]1997  Table 1a Modified'!#REF!</definedName>
    <definedName name="Eno_TM">'[1]1997  Table 1a Modified'!#REF!</definedName>
    <definedName name="Eno_Tons" localSheetId="12">'[1]1997  Table 1a Modified'!#REF!</definedName>
    <definedName name="Eno_Tons">'[1]1997  Table 1a Modified'!#REF!</definedName>
    <definedName name="Sum_T2" localSheetId="12">'[1]1997  Table 1a Modified'!#REF!</definedName>
    <definedName name="Sum_T2">'[1]1997  Table 1a Modified'!#REF!</definedName>
    <definedName name="Sum_TTM" localSheetId="12">'[1]1997  Table 1a Modified'!#REF!</definedName>
    <definedName name="Sum_TTM">'[1]1997  Table 1a Modified'!#REF!</definedName>
    <definedName name="ti_tbl_50" localSheetId="12">#REF!</definedName>
    <definedName name="ti_tbl_50">#REF!</definedName>
    <definedName name="ti_tbl_69" localSheetId="12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24" l="1"/>
  <c r="C2" i="24"/>
  <c r="B3" i="24"/>
  <c r="B2" i="24"/>
  <c r="J48" i="32"/>
  <c r="J47" i="32"/>
  <c r="J46" i="32"/>
  <c r="J45" i="32"/>
  <c r="J44" i="32"/>
  <c r="J43" i="32"/>
  <c r="J42" i="32"/>
  <c r="J41" i="32"/>
  <c r="J40" i="32"/>
  <c r="J39" i="32"/>
  <c r="J38" i="32"/>
  <c r="J37" i="32"/>
  <c r="J36" i="32"/>
  <c r="J35" i="32"/>
  <c r="J34" i="32"/>
  <c r="J33" i="32"/>
  <c r="J32" i="32"/>
  <c r="J31" i="32"/>
  <c r="J30" i="32"/>
  <c r="J29" i="32"/>
  <c r="J28" i="32"/>
  <c r="J27" i="32"/>
  <c r="J26" i="32"/>
  <c r="J25" i="32"/>
  <c r="J24" i="32"/>
  <c r="J23" i="32"/>
  <c r="J22" i="32"/>
  <c r="J21" i="32"/>
  <c r="J20" i="32"/>
  <c r="J19" i="32"/>
  <c r="J18" i="32"/>
  <c r="I48" i="32"/>
  <c r="I47" i="32"/>
  <c r="I46" i="32"/>
  <c r="I45" i="32"/>
  <c r="I44" i="32"/>
  <c r="I43" i="32"/>
  <c r="I42" i="32"/>
  <c r="I41" i="32"/>
  <c r="I40" i="32"/>
  <c r="I39" i="32"/>
  <c r="I38" i="32"/>
  <c r="I37" i="32"/>
  <c r="I36" i="32"/>
  <c r="I35" i="32"/>
  <c r="I34" i="32"/>
  <c r="I33" i="32"/>
  <c r="I32" i="32"/>
  <c r="I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AM10" i="33"/>
  <c r="AL10" i="33"/>
  <c r="AK10" i="33"/>
  <c r="AJ10" i="33"/>
  <c r="AI10" i="33"/>
  <c r="AH10" i="33"/>
  <c r="AG10" i="33"/>
  <c r="AF10" i="33"/>
  <c r="AE10" i="33"/>
  <c r="AD10" i="33"/>
  <c r="AC10" i="33"/>
  <c r="AB10" i="33"/>
  <c r="AA10" i="33"/>
  <c r="Z10" i="33"/>
  <c r="Y10" i="33"/>
  <c r="X10" i="33"/>
  <c r="W10" i="33"/>
  <c r="V10" i="33"/>
  <c r="U10" i="33"/>
  <c r="T10" i="33"/>
  <c r="S10" i="33"/>
  <c r="R10" i="33"/>
  <c r="Q10" i="33"/>
  <c r="P10" i="33"/>
  <c r="O10" i="33"/>
  <c r="N10" i="33"/>
  <c r="M10" i="33"/>
  <c r="L10" i="33"/>
  <c r="K10" i="33"/>
  <c r="J10" i="33"/>
  <c r="I10" i="33"/>
  <c r="AM10" i="34"/>
  <c r="AL10" i="34"/>
  <c r="AK10" i="34"/>
  <c r="AJ10" i="34"/>
  <c r="AI10" i="34"/>
  <c r="AH10" i="34"/>
  <c r="AG10" i="34"/>
  <c r="AF10" i="34"/>
  <c r="AE10" i="34"/>
  <c r="AD10" i="34"/>
  <c r="AC10" i="34"/>
  <c r="AB10" i="34"/>
  <c r="AA10" i="34"/>
  <c r="Z10" i="34"/>
  <c r="Y10" i="34"/>
  <c r="X10" i="34"/>
  <c r="W10" i="34"/>
  <c r="V10" i="34"/>
  <c r="U10" i="34"/>
  <c r="T10" i="34"/>
  <c r="S10" i="34"/>
  <c r="R10" i="34"/>
  <c r="Q10" i="34"/>
  <c r="P10" i="34"/>
  <c r="O10" i="34"/>
  <c r="N10" i="34"/>
  <c r="M10" i="34"/>
  <c r="L10" i="34"/>
  <c r="K10" i="34"/>
  <c r="J10" i="34"/>
  <c r="I10" i="34"/>
  <c r="AM10" i="31"/>
  <c r="AL10" i="31"/>
  <c r="AK10" i="31"/>
  <c r="AJ10" i="31"/>
  <c r="AI10" i="31"/>
  <c r="AH10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AK31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AK27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AM11" i="30"/>
  <c r="AL11" i="30"/>
  <c r="AK11" i="30"/>
  <c r="AJ11" i="30"/>
  <c r="AI11" i="30"/>
  <c r="AH11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AM10" i="28"/>
  <c r="AL10" i="28"/>
  <c r="AK10" i="28"/>
  <c r="AJ10" i="28"/>
  <c r="AI10" i="28"/>
  <c r="AH10" i="28"/>
  <c r="AG10" i="28"/>
  <c r="AF10" i="28"/>
  <c r="AE10" i="28"/>
  <c r="AD10" i="28"/>
  <c r="AC10" i="28"/>
  <c r="AB10" i="28"/>
  <c r="AA10" i="28"/>
  <c r="Z10" i="28"/>
  <c r="Y10" i="28"/>
  <c r="X10" i="28"/>
  <c r="W10" i="28"/>
  <c r="V10" i="28"/>
  <c r="U10" i="28"/>
  <c r="T10" i="28"/>
  <c r="S10" i="28"/>
  <c r="R10" i="28"/>
  <c r="Q10" i="28"/>
  <c r="P10" i="28"/>
  <c r="O10" i="28"/>
  <c r="N10" i="28"/>
  <c r="M10" i="28"/>
  <c r="L10" i="28"/>
  <c r="K10" i="28"/>
  <c r="J10" i="28"/>
  <c r="I10" i="28"/>
  <c r="AM10" i="29"/>
  <c r="AL10" i="29"/>
  <c r="AK10" i="29"/>
  <c r="AJ10" i="29"/>
  <c r="AI10" i="29"/>
  <c r="AH10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2" i="24" l="1"/>
  <c r="K2" i="24"/>
  <c r="P2" i="24"/>
  <c r="S2" i="24"/>
  <c r="X2" i="24"/>
  <c r="AA2" i="24"/>
  <c r="AF2" i="24"/>
  <c r="D3" i="24"/>
  <c r="I3" i="24"/>
  <c r="L3" i="24"/>
  <c r="Q3" i="24"/>
  <c r="T3" i="24"/>
  <c r="Y3" i="24"/>
  <c r="AB3" i="24"/>
  <c r="AG3" i="24"/>
  <c r="D2" i="24"/>
  <c r="E2" i="24"/>
  <c r="E3" i="24"/>
  <c r="F2" i="24"/>
  <c r="F3" i="24"/>
  <c r="G2" i="24"/>
  <c r="G3" i="24"/>
  <c r="H3" i="24"/>
  <c r="I2" i="24"/>
  <c r="J2" i="24"/>
  <c r="J3" i="24"/>
  <c r="K3" i="24"/>
  <c r="L2" i="24"/>
  <c r="M2" i="24"/>
  <c r="M3" i="24"/>
  <c r="N2" i="24"/>
  <c r="N3" i="24"/>
  <c r="O2" i="24"/>
  <c r="O3" i="24"/>
  <c r="P3" i="24"/>
  <c r="Q2" i="24"/>
  <c r="R2" i="24"/>
  <c r="R3" i="24"/>
  <c r="S3" i="24"/>
  <c r="T2" i="24"/>
  <c r="U2" i="24"/>
  <c r="U3" i="24"/>
  <c r="V2" i="24"/>
  <c r="V3" i="24"/>
  <c r="W2" i="24"/>
  <c r="W3" i="24"/>
  <c r="X3" i="24"/>
  <c r="Y2" i="24"/>
  <c r="Z2" i="24"/>
  <c r="Z3" i="24"/>
  <c r="AA3" i="24"/>
  <c r="AB2" i="24"/>
  <c r="AC2" i="24"/>
  <c r="AC3" i="24"/>
  <c r="AD2" i="24"/>
  <c r="AD3" i="24"/>
  <c r="AE2" i="24"/>
  <c r="AE3" i="24"/>
  <c r="AF3" i="24"/>
  <c r="AG2" i="24"/>
  <c r="C5" i="24" l="1"/>
  <c r="I5" i="24"/>
  <c r="O5" i="24"/>
  <c r="U5" i="24"/>
  <c r="AA5" i="24"/>
  <c r="AG5" i="24"/>
  <c r="E6" i="24"/>
  <c r="K6" i="24"/>
  <c r="Q6" i="24"/>
  <c r="W6" i="24"/>
  <c r="AC6" i="24"/>
  <c r="B4" i="24"/>
  <c r="G4" i="24"/>
  <c r="H4" i="24"/>
  <c r="M4" i="24"/>
  <c r="N4" i="24"/>
  <c r="S4" i="24"/>
  <c r="T4" i="24"/>
  <c r="Y4" i="24"/>
  <c r="Z4" i="24"/>
  <c r="AE4" i="24"/>
  <c r="AF4" i="24"/>
  <c r="C4" i="24"/>
  <c r="D4" i="24"/>
  <c r="E4" i="24"/>
  <c r="F4" i="24"/>
  <c r="I4" i="24"/>
  <c r="J4" i="24"/>
  <c r="K4" i="24"/>
  <c r="L4" i="24"/>
  <c r="O4" i="24"/>
  <c r="P4" i="24"/>
  <c r="Q4" i="24"/>
  <c r="R4" i="24"/>
  <c r="U4" i="24"/>
  <c r="V4" i="24"/>
  <c r="W4" i="24"/>
  <c r="X4" i="24"/>
  <c r="AA4" i="24"/>
  <c r="AB4" i="24"/>
  <c r="AC4" i="24"/>
  <c r="AD4" i="24"/>
  <c r="AG4" i="24"/>
  <c r="B5" i="24"/>
  <c r="D5" i="24"/>
  <c r="E5" i="24"/>
  <c r="F5" i="24"/>
  <c r="G5" i="24"/>
  <c r="H5" i="24"/>
  <c r="J5" i="24"/>
  <c r="K5" i="24"/>
  <c r="L5" i="24"/>
  <c r="M5" i="24"/>
  <c r="N5" i="24"/>
  <c r="P5" i="24"/>
  <c r="Q5" i="24"/>
  <c r="R5" i="24"/>
  <c r="S5" i="24"/>
  <c r="T5" i="24"/>
  <c r="V5" i="24"/>
  <c r="W5" i="24"/>
  <c r="X5" i="24"/>
  <c r="Y5" i="24"/>
  <c r="Z5" i="24"/>
  <c r="AB5" i="24"/>
  <c r="AC5" i="24"/>
  <c r="AD5" i="24"/>
  <c r="AE5" i="24"/>
  <c r="AF5" i="24"/>
  <c r="B6" i="24"/>
  <c r="C6" i="24"/>
  <c r="D6" i="24"/>
  <c r="F6" i="24"/>
  <c r="G6" i="24"/>
  <c r="H6" i="24"/>
  <c r="I6" i="24"/>
  <c r="J6" i="24"/>
  <c r="L6" i="24"/>
  <c r="M6" i="24"/>
  <c r="N6" i="24"/>
  <c r="O6" i="24"/>
  <c r="P6" i="24"/>
  <c r="R6" i="24"/>
  <c r="S6" i="24"/>
  <c r="T6" i="24"/>
  <c r="U6" i="24"/>
  <c r="V6" i="24"/>
  <c r="X6" i="24"/>
  <c r="Y6" i="24"/>
  <c r="Z6" i="24"/>
  <c r="AA6" i="24"/>
  <c r="AB6" i="24"/>
  <c r="AD6" i="24"/>
  <c r="AE6" i="24"/>
  <c r="AF6" i="24"/>
  <c r="AG6" i="24"/>
  <c r="C6" i="23" l="1"/>
  <c r="D6" i="23"/>
  <c r="I6" i="23"/>
  <c r="J6" i="23"/>
  <c r="O6" i="23"/>
  <c r="P6" i="23"/>
  <c r="U6" i="23"/>
  <c r="V6" i="23"/>
  <c r="AA6" i="23"/>
  <c r="AB6" i="23"/>
  <c r="AG6" i="23"/>
  <c r="B6" i="23"/>
  <c r="E6" i="23"/>
  <c r="F6" i="23"/>
  <c r="G6" i="23"/>
  <c r="H6" i="23"/>
  <c r="K6" i="23"/>
  <c r="L6" i="23"/>
  <c r="M6" i="23"/>
  <c r="N6" i="23"/>
  <c r="Q6" i="23"/>
  <c r="R6" i="23"/>
  <c r="S6" i="23"/>
  <c r="T6" i="23"/>
  <c r="W6" i="23"/>
  <c r="X6" i="23"/>
  <c r="Y6" i="23"/>
  <c r="Z6" i="23"/>
  <c r="AC6" i="23"/>
  <c r="AD6" i="23"/>
  <c r="AF6" i="23"/>
  <c r="AF5" i="23"/>
  <c r="AG5" i="23"/>
  <c r="I5" i="23"/>
  <c r="J5" i="23"/>
  <c r="K5" i="23"/>
  <c r="U5" i="23"/>
  <c r="V5" i="23"/>
  <c r="W5" i="23"/>
  <c r="B5" i="23"/>
  <c r="C5" i="23"/>
  <c r="D5" i="23"/>
  <c r="E5" i="23"/>
  <c r="F5" i="23"/>
  <c r="G5" i="23"/>
  <c r="H5" i="23"/>
  <c r="L5" i="23"/>
  <c r="M5" i="23"/>
  <c r="N5" i="23"/>
  <c r="O5" i="23"/>
  <c r="P5" i="23"/>
  <c r="Q5" i="23"/>
  <c r="R5" i="23"/>
  <c r="S5" i="23"/>
  <c r="T5" i="23"/>
  <c r="X5" i="23"/>
  <c r="Y5" i="23"/>
  <c r="Z5" i="23"/>
  <c r="AA5" i="23"/>
  <c r="AB5" i="23"/>
  <c r="AC5" i="23"/>
  <c r="AD5" i="23"/>
  <c r="AE5" i="23"/>
  <c r="B4" i="23"/>
  <c r="C4" i="23"/>
  <c r="D4" i="23"/>
  <c r="E4" i="23"/>
  <c r="F4" i="23"/>
  <c r="G4" i="23"/>
  <c r="H4" i="23"/>
  <c r="I4" i="23"/>
  <c r="J4" i="23"/>
  <c r="K4" i="23"/>
  <c r="L4" i="23"/>
  <c r="M4" i="23"/>
  <c r="N4" i="23"/>
  <c r="O4" i="23"/>
  <c r="P4" i="23"/>
  <c r="Q4" i="23"/>
  <c r="R4" i="23"/>
  <c r="S4" i="23"/>
  <c r="T4" i="23"/>
  <c r="U4" i="23"/>
  <c r="V4" i="23"/>
  <c r="W4" i="23"/>
  <c r="X4" i="23"/>
  <c r="Y4" i="23"/>
  <c r="Z4" i="23"/>
  <c r="AA4" i="23"/>
  <c r="AB4" i="23"/>
  <c r="AC4" i="23"/>
  <c r="AD4" i="23"/>
  <c r="AE4" i="23"/>
  <c r="AF4" i="23"/>
  <c r="AG4" i="23"/>
  <c r="D30" i="25" l="1"/>
  <c r="E30" i="25"/>
  <c r="F30" i="25"/>
  <c r="G30" i="25"/>
  <c r="H30" i="25"/>
  <c r="I30" i="25"/>
  <c r="J30" i="25"/>
  <c r="K30" i="25"/>
  <c r="L30" i="25"/>
  <c r="M30" i="25"/>
  <c r="N30" i="25"/>
  <c r="O30" i="25"/>
  <c r="P30" i="25"/>
  <c r="Q30" i="25"/>
  <c r="R30" i="25"/>
  <c r="S30" i="25"/>
  <c r="T30" i="25"/>
  <c r="U30" i="25"/>
  <c r="V30" i="25"/>
  <c r="W30" i="25"/>
  <c r="X30" i="25"/>
  <c r="Y30" i="25"/>
  <c r="Z30" i="25"/>
  <c r="AA30" i="25"/>
  <c r="AB30" i="25"/>
  <c r="AC30" i="25"/>
  <c r="AD30" i="25"/>
  <c r="AE30" i="25"/>
  <c r="AF30" i="25"/>
  <c r="AG30" i="25"/>
  <c r="AH30" i="25"/>
  <c r="AI30" i="25"/>
  <c r="AJ30" i="25"/>
  <c r="AK30" i="25"/>
  <c r="D28" i="25"/>
  <c r="E28" i="25"/>
  <c r="F28" i="25"/>
  <c r="G28" i="25"/>
  <c r="H28" i="25"/>
  <c r="I28" i="25"/>
  <c r="J28" i="25"/>
  <c r="K28" i="25"/>
  <c r="L28" i="25"/>
  <c r="M28" i="25"/>
  <c r="N28" i="25"/>
  <c r="O28" i="25"/>
  <c r="P28" i="25"/>
  <c r="Q28" i="25"/>
  <c r="R28" i="25"/>
  <c r="S28" i="25"/>
  <c r="T28" i="25"/>
  <c r="U28" i="25"/>
  <c r="V28" i="25"/>
  <c r="W28" i="25"/>
  <c r="X28" i="25"/>
  <c r="Y28" i="25"/>
  <c r="Z28" i="25"/>
  <c r="AA28" i="25"/>
  <c r="AB28" i="25"/>
  <c r="AC28" i="25"/>
  <c r="AD28" i="25"/>
  <c r="AE28" i="25"/>
  <c r="AF28" i="25"/>
  <c r="AG28" i="25"/>
  <c r="AH28" i="25"/>
  <c r="AI28" i="25"/>
  <c r="AJ28" i="25"/>
  <c r="AK28" i="25"/>
  <c r="AG3" i="23" s="1"/>
  <c r="AF3" i="23"/>
  <c r="AA3" i="23" l="1"/>
  <c r="C3" i="23"/>
  <c r="F7" i="23"/>
  <c r="AA7" i="23"/>
  <c r="O3" i="23"/>
  <c r="G3" i="23"/>
  <c r="B7" i="23"/>
  <c r="Y7" i="23"/>
  <c r="I3" i="23"/>
  <c r="U3" i="23"/>
  <c r="L7" i="23"/>
  <c r="N7" i="23"/>
  <c r="T7" i="23"/>
  <c r="M7" i="23"/>
  <c r="AG7" i="23"/>
  <c r="Z3" i="23"/>
  <c r="T3" i="23"/>
  <c r="N3" i="23"/>
  <c r="H3" i="23"/>
  <c r="B3" i="23"/>
  <c r="C7" i="23"/>
  <c r="Z7" i="23"/>
  <c r="H7" i="23"/>
  <c r="AE3" i="23"/>
  <c r="S3" i="23"/>
  <c r="AB7" i="23"/>
  <c r="V7" i="23"/>
  <c r="P7" i="23"/>
  <c r="J7" i="23"/>
  <c r="D7" i="23"/>
  <c r="AF7" i="23"/>
  <c r="Y3" i="23"/>
  <c r="M3" i="23"/>
  <c r="O7" i="23"/>
  <c r="U7" i="23"/>
  <c r="I7" i="23"/>
  <c r="X7" i="23"/>
  <c r="AE7" i="23"/>
  <c r="S7" i="23"/>
  <c r="G7" i="23"/>
  <c r="AB3" i="23"/>
  <c r="V3" i="23"/>
  <c r="P3" i="23"/>
  <c r="J3" i="23"/>
  <c r="D3" i="23"/>
  <c r="R7" i="23"/>
  <c r="AD7" i="23"/>
  <c r="AD3" i="23"/>
  <c r="X3" i="23"/>
  <c r="R3" i="23"/>
  <c r="L3" i="23"/>
  <c r="F3" i="23"/>
  <c r="AC3" i="23"/>
  <c r="W3" i="23"/>
  <c r="Q3" i="23"/>
  <c r="K3" i="23"/>
  <c r="E3" i="23"/>
  <c r="AC7" i="23"/>
  <c r="W7" i="23"/>
  <c r="Q7" i="23"/>
  <c r="K7" i="23"/>
  <c r="E7" i="23"/>
  <c r="AE6" i="23"/>
  <c r="D26" i="25" l="1"/>
  <c r="E26" i="25"/>
  <c r="F26" i="25"/>
  <c r="G26" i="25"/>
  <c r="H26" i="25"/>
  <c r="I26" i="25"/>
  <c r="J26" i="25"/>
  <c r="K26" i="25"/>
  <c r="L26" i="25"/>
  <c r="M26" i="25"/>
  <c r="N26" i="25"/>
  <c r="O26" i="25"/>
  <c r="P26" i="25"/>
  <c r="Q26" i="25"/>
  <c r="R26" i="25"/>
  <c r="S26" i="25"/>
  <c r="T26" i="25"/>
  <c r="U26" i="25"/>
  <c r="V26" i="25"/>
  <c r="W26" i="25"/>
  <c r="X26" i="25"/>
  <c r="Y26" i="25"/>
  <c r="Z26" i="25"/>
  <c r="AA26" i="25"/>
  <c r="AB26" i="25"/>
  <c r="AC26" i="25"/>
  <c r="AD26" i="25"/>
  <c r="AE26" i="25"/>
  <c r="AF26" i="25"/>
  <c r="AG26" i="25"/>
  <c r="AH26" i="25"/>
  <c r="AI26" i="25"/>
  <c r="AJ26" i="25"/>
  <c r="AK26" i="25"/>
  <c r="V2" i="23" l="1"/>
  <c r="D2" i="23"/>
  <c r="AG2" i="23"/>
  <c r="AA2" i="23"/>
  <c r="U2" i="23"/>
  <c r="O2" i="23"/>
  <c r="I2" i="23"/>
  <c r="C2" i="23"/>
  <c r="AF2" i="23"/>
  <c r="Z2" i="23"/>
  <c r="T2" i="23"/>
  <c r="N2" i="23"/>
  <c r="H2" i="23"/>
  <c r="B2" i="23"/>
  <c r="AB2" i="23"/>
  <c r="P2" i="23"/>
  <c r="J2" i="23"/>
  <c r="AE2" i="23"/>
  <c r="Y2" i="23"/>
  <c r="S2" i="23"/>
  <c r="M2" i="23"/>
  <c r="G2" i="23"/>
  <c r="AD2" i="23"/>
  <c r="X2" i="23"/>
  <c r="R2" i="23"/>
  <c r="L2" i="23"/>
  <c r="F2" i="23"/>
  <c r="AC2" i="23"/>
  <c r="W2" i="23"/>
  <c r="Q2" i="23"/>
  <c r="K2" i="23"/>
  <c r="E2" i="23"/>
</calcChain>
</file>

<file path=xl/sharedStrings.xml><?xml version="1.0" encoding="utf-8"?>
<sst xmlns="http://schemas.openxmlformats.org/spreadsheetml/2006/main" count="138" uniqueCount="74">
  <si>
    <t>aircraft</t>
  </si>
  <si>
    <t>HDVs</t>
  </si>
  <si>
    <t>LDVs</t>
  </si>
  <si>
    <t>rail</t>
  </si>
  <si>
    <t>ships</t>
  </si>
  <si>
    <t>motorbikes</t>
  </si>
  <si>
    <t>BCDTRtSY BAU Cargo Dist Transported Relative to Start Year</t>
  </si>
  <si>
    <t>Source:</t>
  </si>
  <si>
    <t>Rail</t>
  </si>
  <si>
    <t>Ship</t>
  </si>
  <si>
    <t>Motorbike</t>
  </si>
  <si>
    <t>Auto Plug-in Flex</t>
  </si>
  <si>
    <t>Moto Flex</t>
  </si>
  <si>
    <t>PKM (Millions)</t>
  </si>
  <si>
    <t>Interpolated</t>
  </si>
  <si>
    <t>PKM relative to start Yr</t>
  </si>
  <si>
    <t>Air</t>
  </si>
  <si>
    <t>Cargo Dist Transported Relative to Start Year</t>
  </si>
  <si>
    <t>Auto Gasoline C</t>
  </si>
  <si>
    <t>Auto Ethanol</t>
  </si>
  <si>
    <t>Auto flex</t>
  </si>
  <si>
    <t>Auto Hybrid</t>
  </si>
  <si>
    <t>Auto Battery</t>
  </si>
  <si>
    <t>Com. Light Gasoline C</t>
  </si>
  <si>
    <t>Com. Light Ethanol</t>
  </si>
  <si>
    <t>Com. Light Flex</t>
  </si>
  <si>
    <t>Com. Light Diesel</t>
  </si>
  <si>
    <t>Gasoline motorcycle C</t>
  </si>
  <si>
    <t>City Bus Diesel</t>
  </si>
  <si>
    <t>Micro diesel</t>
  </si>
  <si>
    <t>Bus Rodo Diesel</t>
  </si>
  <si>
    <t>Vehicle type</t>
  </si>
  <si>
    <t>LDV</t>
  </si>
  <si>
    <t>HDV</t>
  </si>
  <si>
    <t>PKM (10³ pkm)</t>
  </si>
  <si>
    <t>Page 247</t>
  </si>
  <si>
    <t>Aircraft</t>
  </si>
  <si>
    <t>Year</t>
  </si>
  <si>
    <t>Semilight Trucks</t>
  </si>
  <si>
    <t>Light Commercials</t>
  </si>
  <si>
    <t>Light Trucks</t>
  </si>
  <si>
    <t>Medium Trucks</t>
  </si>
  <si>
    <t>Semi-heavy trucks</t>
  </si>
  <si>
    <t>Heavy Trucks</t>
  </si>
  <si>
    <t>TKU</t>
  </si>
  <si>
    <t>TKM (Millions)</t>
  </si>
  <si>
    <t>Notes</t>
  </si>
  <si>
    <t>This variable contains ratios of cargo distance transported in each year of the</t>
  </si>
  <si>
    <t>Brazilian Ministry of Science, Technology, Innovation and Communication (MCTIC)</t>
  </si>
  <si>
    <t>Report: "Greenhouse gas mitigation options in key sectors in Brazil"</t>
  </si>
  <si>
    <t>Version: "Sector modeling of low carbon options for the transport sector"</t>
  </si>
  <si>
    <t>https://www.mctic.gov.br/mctic/export/sites/institucional/ciencia/SEPED/clima/arquivos/projeto_opcoes_mitigacao/publicacoes/Setor-Transportes.pdf</t>
  </si>
  <si>
    <t>Table 95 - Tons-Kilometers Transported by Modal (Million)</t>
  </si>
  <si>
    <t>road</t>
  </si>
  <si>
    <t>railroad</t>
  </si>
  <si>
    <t>translation</t>
  </si>
  <si>
    <t>Table 94 - Passenger-Kilometers Transported by Modal (Millions of PKM)</t>
  </si>
  <si>
    <t>page 248</t>
  </si>
  <si>
    <t>passenger PKM</t>
  </si>
  <si>
    <t>freight TKM</t>
  </si>
  <si>
    <t>table 94 from MOP report summarizes the data</t>
  </si>
  <si>
    <t>The table below is from the excel file that generated the results for transportation sector, this file has more detalied informations about the modelling than the report.</t>
  </si>
  <si>
    <t>We group the vehicle type according to LDV, HDV and motorbike category and then computed the cargo distance transported relative to start year (2015)</t>
  </si>
  <si>
    <t>We scale by passenger-miles and freight ton-miles.</t>
  </si>
  <si>
    <t>Computed pkm relative to start year based on MOP's pkm estimation for reference scenario.</t>
  </si>
  <si>
    <t>Computed pkm relative to start year based on table 94</t>
  </si>
  <si>
    <t>The time series was Linear interpolated</t>
  </si>
  <si>
    <t>table 95 from MOP report summarizes the data</t>
  </si>
  <si>
    <t>HDV correspond to the average of all fleet, exclueded light commercials, relative to start year average</t>
  </si>
  <si>
    <t>LDV corresponds to light commercials vehicles</t>
  </si>
  <si>
    <t>Computed pkm relative to start year based on table 95</t>
  </si>
  <si>
    <t>Cargo Dist Transported Relative to Start Year (dimensionless)</t>
  </si>
  <si>
    <t>model run relative to the start year.  The start year is the year is 2019</t>
  </si>
  <si>
    <t>The start year column does not have to be included in the outputs but is retained here for visual clarity.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</si>
</sst>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  <numFmt numFmtId="166" formatCode="#,##0.000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6"/>
      <name val="Calibri"/>
      <family val="2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5">
    <xf numFmtId="0" fontId="0" fillId="0" borderId="0"/>
    <xf numFmtId="0" fontId="3" fillId="0" borderId="0"/>
    <xf numFmtId="0" fontId="3" fillId="0" borderId="2" applyNumberFormat="0" applyProtection="0">
      <alignment wrapText="1"/>
    </xf>
    <xf numFmtId="0" fontId="4" fillId="0" borderId="3" applyNumberFormat="0" applyProtection="0">
      <alignment wrapText="1"/>
    </xf>
    <xf numFmtId="0" fontId="3" fillId="0" borderId="4" applyNumberFormat="0" applyFont="0" applyProtection="0">
      <alignment wrapText="1"/>
    </xf>
    <xf numFmtId="0" fontId="4" fillId="0" borderId="5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3" fillId="0" borderId="4" applyNumberFormat="0" applyFont="0" applyProtection="0">
      <alignment wrapText="1"/>
    </xf>
    <xf numFmtId="0" fontId="9" fillId="22" borderId="6" applyNumberFormat="0" applyAlignment="0" applyProtection="0"/>
    <xf numFmtId="0" fontId="10" fillId="23" borderId="7" applyNumberFormat="0" applyAlignment="0" applyProtection="0"/>
    <xf numFmtId="0" fontId="11" fillId="0" borderId="0">
      <alignment horizontal="center" vertical="center" wrapText="1"/>
    </xf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>
      <alignment horizontal="left" vertical="center" wrapText="1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164" fontId="14" fillId="0" borderId="8" applyNumberFormat="0" applyFill="0">
      <alignment horizontal="right"/>
    </xf>
    <xf numFmtId="164" fontId="15" fillId="0" borderId="8" applyNumberFormat="0" applyFill="0">
      <alignment horizontal="right"/>
    </xf>
    <xf numFmtId="165" fontId="16" fillId="0" borderId="8">
      <alignment horizontal="right" vertical="center"/>
    </xf>
    <xf numFmtId="49" fontId="17" fillId="0" borderId="8">
      <alignment horizontal="left" vertical="center"/>
    </xf>
    <xf numFmtId="164" fontId="14" fillId="0" borderId="8" applyNumberFormat="0" applyFill="0">
      <alignment horizontal="right"/>
    </xf>
    <xf numFmtId="0" fontId="1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2" applyNumberFormat="0" applyProtection="0">
      <alignment wrapText="1"/>
    </xf>
    <xf numFmtId="0" fontId="19" fillId="6" borderId="0" applyNumberFormat="0" applyBorder="0" applyAlignment="0" applyProtection="0"/>
    <xf numFmtId="0" fontId="4" fillId="0" borderId="5" applyNumberFormat="0" applyProtection="0">
      <alignment wrapText="1"/>
    </xf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2" fillId="0" borderId="11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8">
      <alignment horizontal="left"/>
    </xf>
    <xf numFmtId="0" fontId="24" fillId="0" borderId="8">
      <alignment horizontal="left"/>
    </xf>
    <xf numFmtId="0" fontId="25" fillId="0" borderId="12">
      <alignment horizontal="right" vertical="center"/>
    </xf>
    <xf numFmtId="0" fontId="26" fillId="0" borderId="8">
      <alignment horizontal="left" vertical="center"/>
    </xf>
    <xf numFmtId="0" fontId="14" fillId="0" borderId="8">
      <alignment horizontal="left" vertical="center"/>
    </xf>
    <xf numFmtId="0" fontId="23" fillId="0" borderId="8">
      <alignment horizontal="left"/>
    </xf>
    <xf numFmtId="0" fontId="23" fillId="24" borderId="0">
      <alignment horizontal="centerContinuous" wrapText="1"/>
    </xf>
    <xf numFmtId="49" fontId="23" fillId="24" borderId="13">
      <alignment horizontal="left" vertical="center"/>
    </xf>
    <xf numFmtId="0" fontId="23" fillId="24" borderId="0">
      <alignment horizontal="centerContinuous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0" fontId="28" fillId="9" borderId="6" applyNumberFormat="0" applyAlignment="0" applyProtection="0"/>
    <xf numFmtId="0" fontId="29" fillId="0" borderId="14" applyNumberFormat="0" applyFill="0" applyAlignment="0" applyProtection="0"/>
    <xf numFmtId="0" fontId="30" fillId="25" borderId="0" applyNumberFormat="0" applyBorder="0" applyAlignment="0" applyProtection="0"/>
    <xf numFmtId="0" fontId="1" fillId="0" borderId="0"/>
    <xf numFmtId="0" fontId="1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2" borderId="1" applyNumberFormat="0" applyFont="0" applyAlignment="0" applyProtection="0"/>
    <xf numFmtId="0" fontId="12" fillId="26" borderId="15" applyNumberFormat="0" applyFont="0" applyAlignment="0" applyProtection="0"/>
    <xf numFmtId="0" fontId="32" fillId="22" borderId="16" applyNumberFormat="0" applyAlignment="0" applyProtection="0"/>
    <xf numFmtId="0" fontId="4" fillId="0" borderId="3" applyNumberFormat="0" applyProtection="0">
      <alignment wrapText="1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3" fontId="16" fillId="0" borderId="0">
      <alignment horizontal="left" vertical="center"/>
    </xf>
    <xf numFmtId="0" fontId="11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7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4" fontId="16" fillId="0" borderId="0" applyNumberFormat="0">
      <alignment horizontal="right"/>
    </xf>
    <xf numFmtId="0" fontId="25" fillId="27" borderId="0">
      <alignment horizontal="centerContinuous" vertical="center" wrapText="1"/>
    </xf>
    <xf numFmtId="0" fontId="25" fillId="0" borderId="17">
      <alignment horizontal="left" vertical="center"/>
    </xf>
    <xf numFmtId="0" fontId="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3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7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6" fillId="0" borderId="8">
      <alignment horizontal="left"/>
    </xf>
    <xf numFmtId="0" fontId="25" fillId="0" borderId="12">
      <alignment horizontal="left"/>
    </xf>
    <xf numFmtId="0" fontId="23" fillId="0" borderId="0">
      <alignment horizontal="left" vertical="center"/>
    </xf>
    <xf numFmtId="49" fontId="33" fillId="0" borderId="8">
      <alignment horizontal="left"/>
    </xf>
    <xf numFmtId="9" fontId="1" fillId="0" borderId="0" applyFont="0" applyFill="0" applyBorder="0" applyAlignment="0" applyProtection="0"/>
    <xf numFmtId="0" fontId="4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0" fillId="28" borderId="0" xfId="0" applyFill="1"/>
    <xf numFmtId="0" fontId="40" fillId="29" borderId="0" xfId="0" applyFont="1" applyFill="1"/>
    <xf numFmtId="0" fontId="0" fillId="30" borderId="0" xfId="0" applyFill="1"/>
    <xf numFmtId="1" fontId="0" fillId="0" borderId="0" xfId="0" applyNumberFormat="1"/>
    <xf numFmtId="9" fontId="0" fillId="0" borderId="0" xfId="153" applyFont="1"/>
    <xf numFmtId="0" fontId="41" fillId="3" borderId="0" xfId="0" applyFont="1" applyFill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40" fillId="29" borderId="0" xfId="0" applyFont="1" applyFill="1" applyAlignment="1">
      <alignment horizontal="center"/>
    </xf>
    <xf numFmtId="0" fontId="0" fillId="0" borderId="0" xfId="153" applyNumberFormat="1" applyFont="1"/>
    <xf numFmtId="0" fontId="42" fillId="31" borderId="0" xfId="0" applyFont="1" applyFill="1" applyAlignment="1">
      <alignment horizontal="left" indent="1"/>
    </xf>
    <xf numFmtId="0" fontId="43" fillId="31" borderId="0" xfId="0" applyFont="1" applyFill="1"/>
    <xf numFmtId="2" fontId="0" fillId="0" borderId="0" xfId="153" applyNumberFormat="1" applyFont="1"/>
    <xf numFmtId="0" fontId="2" fillId="3" borderId="0" xfId="0" applyFont="1" applyFill="1"/>
    <xf numFmtId="0" fontId="44" fillId="0" borderId="0" xfId="154"/>
    <xf numFmtId="0" fontId="45" fillId="0" borderId="0" xfId="0" applyFont="1"/>
    <xf numFmtId="166" fontId="0" fillId="0" borderId="0" xfId="0" applyNumberFormat="1" applyAlignment="1">
      <alignment horizontal="center"/>
    </xf>
    <xf numFmtId="0" fontId="2" fillId="0" borderId="0" xfId="0" applyFont="1" applyAlignment="1">
      <alignment wrapText="1"/>
    </xf>
  </cellXfs>
  <cellStyles count="155">
    <cellStyle name="20% - Accent1 2" xfId="8" xr:uid="{00000000-0005-0000-0000-000000000000}"/>
    <cellStyle name="20% - Accent2 2" xfId="9" xr:uid="{00000000-0005-0000-0000-000001000000}"/>
    <cellStyle name="20% - Accent3 2" xfId="10" xr:uid="{00000000-0005-0000-0000-000002000000}"/>
    <cellStyle name="20% - Accent4 2" xfId="11" xr:uid="{00000000-0005-0000-0000-000003000000}"/>
    <cellStyle name="20% - Accent5 2" xfId="12" xr:uid="{00000000-0005-0000-0000-000004000000}"/>
    <cellStyle name="20% - Accent6 2" xfId="13" xr:uid="{00000000-0005-0000-0000-000005000000}"/>
    <cellStyle name="40% - Accent1 2" xfId="14" xr:uid="{00000000-0005-0000-0000-000006000000}"/>
    <cellStyle name="40% - Accent2 2" xfId="15" xr:uid="{00000000-0005-0000-0000-000007000000}"/>
    <cellStyle name="40% - Accent3 2" xfId="16" xr:uid="{00000000-0005-0000-0000-000008000000}"/>
    <cellStyle name="40% - Accent4 2" xfId="17" xr:uid="{00000000-0005-0000-0000-000009000000}"/>
    <cellStyle name="40% - Accent5 2" xfId="18" xr:uid="{00000000-0005-0000-0000-00000A000000}"/>
    <cellStyle name="40% - Accent6 2" xfId="19" xr:uid="{00000000-0005-0000-0000-00000B000000}"/>
    <cellStyle name="60% - Accent1 2" xfId="20" xr:uid="{00000000-0005-0000-0000-00000C000000}"/>
    <cellStyle name="60% - Accent2 2" xfId="21" xr:uid="{00000000-0005-0000-0000-00000D000000}"/>
    <cellStyle name="60% - Accent3 2" xfId="22" xr:uid="{00000000-0005-0000-0000-00000E000000}"/>
    <cellStyle name="60% - Accent4 2" xfId="23" xr:uid="{00000000-0005-0000-0000-00000F000000}"/>
    <cellStyle name="60% - Accent5 2" xfId="24" xr:uid="{00000000-0005-0000-0000-000010000000}"/>
    <cellStyle name="60% - Accent6 2" xfId="25" xr:uid="{00000000-0005-0000-0000-000011000000}"/>
    <cellStyle name="Accent1 2" xfId="26" xr:uid="{00000000-0005-0000-0000-000012000000}"/>
    <cellStyle name="Accent2 2" xfId="27" xr:uid="{00000000-0005-0000-0000-000013000000}"/>
    <cellStyle name="Accent3 2" xfId="28" xr:uid="{00000000-0005-0000-0000-000014000000}"/>
    <cellStyle name="Accent4 2" xfId="29" xr:uid="{00000000-0005-0000-0000-000015000000}"/>
    <cellStyle name="Accent5 2" xfId="30" xr:uid="{00000000-0005-0000-0000-000016000000}"/>
    <cellStyle name="Accent6 2" xfId="31" xr:uid="{00000000-0005-0000-0000-000017000000}"/>
    <cellStyle name="Bad 2" xfId="32" xr:uid="{00000000-0005-0000-0000-000018000000}"/>
    <cellStyle name="Body: normal cell" xfId="4" xr:uid="{00000000-0005-0000-0000-000019000000}"/>
    <cellStyle name="Body: normal cell 2" xfId="33" xr:uid="{00000000-0005-0000-0000-00001A000000}"/>
    <cellStyle name="Calculation 2" xfId="34" xr:uid="{00000000-0005-0000-0000-00001B000000}"/>
    <cellStyle name="Check Cell 2" xfId="35" xr:uid="{00000000-0005-0000-0000-00001C000000}"/>
    <cellStyle name="Column heading" xfId="36" xr:uid="{00000000-0005-0000-0000-00001D000000}"/>
    <cellStyle name="Comma 2" xfId="37" xr:uid="{00000000-0005-0000-0000-00001E000000}"/>
    <cellStyle name="Comma 2 2" xfId="38" xr:uid="{00000000-0005-0000-0000-00001F000000}"/>
    <cellStyle name="Comma 3" xfId="39" xr:uid="{00000000-0005-0000-0000-000020000000}"/>
    <cellStyle name="Comma 4" xfId="40" xr:uid="{00000000-0005-0000-0000-000021000000}"/>
    <cellStyle name="Comma 5" xfId="41" xr:uid="{00000000-0005-0000-0000-000022000000}"/>
    <cellStyle name="Comma 6" xfId="42" xr:uid="{00000000-0005-0000-0000-000023000000}"/>
    <cellStyle name="Comma 7" xfId="43" xr:uid="{00000000-0005-0000-0000-000024000000}"/>
    <cellStyle name="Comma 8" xfId="44" xr:uid="{00000000-0005-0000-0000-000025000000}"/>
    <cellStyle name="Corner heading" xfId="45" xr:uid="{00000000-0005-0000-0000-000026000000}"/>
    <cellStyle name="Currency 2" xfId="46" xr:uid="{00000000-0005-0000-0000-000027000000}"/>
    <cellStyle name="Currency 3" xfId="47" xr:uid="{00000000-0005-0000-0000-000028000000}"/>
    <cellStyle name="Currency 3 2" xfId="48" xr:uid="{00000000-0005-0000-0000-000029000000}"/>
    <cellStyle name="Data" xfId="49" xr:uid="{00000000-0005-0000-0000-00002A000000}"/>
    <cellStyle name="Data 2" xfId="50" xr:uid="{00000000-0005-0000-0000-00002B000000}"/>
    <cellStyle name="Data no deci" xfId="51" xr:uid="{00000000-0005-0000-0000-00002C000000}"/>
    <cellStyle name="Data Superscript" xfId="52" xr:uid="{00000000-0005-0000-0000-00002D000000}"/>
    <cellStyle name="Data_1-1A-Regular" xfId="53" xr:uid="{00000000-0005-0000-0000-00002E000000}"/>
    <cellStyle name="Explanatory Text 2" xfId="54" xr:uid="{00000000-0005-0000-0000-00002F000000}"/>
    <cellStyle name="Font: Calibri, 9pt regular" xfId="6" xr:uid="{00000000-0005-0000-0000-000030000000}"/>
    <cellStyle name="Font: Calibri, 9pt regular 2" xfId="55" xr:uid="{00000000-0005-0000-0000-000031000000}"/>
    <cellStyle name="Footnotes: top row" xfId="2" xr:uid="{00000000-0005-0000-0000-000032000000}"/>
    <cellStyle name="Footnotes: top row 2" xfId="56" xr:uid="{00000000-0005-0000-0000-000033000000}"/>
    <cellStyle name="Good 2" xfId="57" xr:uid="{00000000-0005-0000-0000-000034000000}"/>
    <cellStyle name="Header: bottom row" xfId="5" xr:uid="{00000000-0005-0000-0000-000035000000}"/>
    <cellStyle name="Header: bottom row 2" xfId="58" xr:uid="{00000000-0005-0000-0000-000036000000}"/>
    <cellStyle name="Heading 1 2" xfId="59" xr:uid="{00000000-0005-0000-0000-000037000000}"/>
    <cellStyle name="Heading 2 2" xfId="60" xr:uid="{00000000-0005-0000-0000-000038000000}"/>
    <cellStyle name="Heading 3 2" xfId="61" xr:uid="{00000000-0005-0000-0000-000039000000}"/>
    <cellStyle name="Heading 4 2" xfId="62" xr:uid="{00000000-0005-0000-0000-00003A000000}"/>
    <cellStyle name="Hed Side" xfId="63" xr:uid="{00000000-0005-0000-0000-00003B000000}"/>
    <cellStyle name="Hed Side 2" xfId="64" xr:uid="{00000000-0005-0000-0000-00003C000000}"/>
    <cellStyle name="Hed Side bold" xfId="65" xr:uid="{00000000-0005-0000-0000-00003D000000}"/>
    <cellStyle name="Hed Side Indent" xfId="66" xr:uid="{00000000-0005-0000-0000-00003E000000}"/>
    <cellStyle name="Hed Side Regular" xfId="67" xr:uid="{00000000-0005-0000-0000-00003F000000}"/>
    <cellStyle name="Hed Side_1-1A-Regular" xfId="68" xr:uid="{00000000-0005-0000-0000-000040000000}"/>
    <cellStyle name="Hed Top" xfId="69" xr:uid="{00000000-0005-0000-0000-000041000000}"/>
    <cellStyle name="Hed Top - SECTION" xfId="70" xr:uid="{00000000-0005-0000-0000-000042000000}"/>
    <cellStyle name="Hed Top_3-new4" xfId="71" xr:uid="{00000000-0005-0000-0000-000043000000}"/>
    <cellStyle name="Hyperlink" xfId="154" builtinId="8"/>
    <cellStyle name="Hyperlink 2" xfId="72" xr:uid="{00000000-0005-0000-0000-000045000000}"/>
    <cellStyle name="Input 2" xfId="73" xr:uid="{00000000-0005-0000-0000-000046000000}"/>
    <cellStyle name="Linked Cell 2" xfId="74" xr:uid="{00000000-0005-0000-0000-000047000000}"/>
    <cellStyle name="Neutral 2" xfId="75" xr:uid="{00000000-0005-0000-0000-000048000000}"/>
    <cellStyle name="Normal" xfId="0" builtinId="0"/>
    <cellStyle name="Normal 10" xfId="76" xr:uid="{00000000-0005-0000-0000-00004A000000}"/>
    <cellStyle name="Normal 11" xfId="77" xr:uid="{00000000-0005-0000-0000-00004B000000}"/>
    <cellStyle name="Normal 2" xfId="1" xr:uid="{00000000-0005-0000-0000-00004C000000}"/>
    <cellStyle name="Normal 2 2" xfId="78" xr:uid="{00000000-0005-0000-0000-00004D000000}"/>
    <cellStyle name="Normal 2 3" xfId="79" xr:uid="{00000000-0005-0000-0000-00004E000000}"/>
    <cellStyle name="Normal 3" xfId="80" xr:uid="{00000000-0005-0000-0000-00004F000000}"/>
    <cellStyle name="Normal 3 2" xfId="81" xr:uid="{00000000-0005-0000-0000-000050000000}"/>
    <cellStyle name="Normal 3 2 2" xfId="82" xr:uid="{00000000-0005-0000-0000-000051000000}"/>
    <cellStyle name="Normal 3 2 2 2" xfId="83" xr:uid="{00000000-0005-0000-0000-000052000000}"/>
    <cellStyle name="Normal 3 2 3" xfId="84" xr:uid="{00000000-0005-0000-0000-000053000000}"/>
    <cellStyle name="Normal 3 3" xfId="85" xr:uid="{00000000-0005-0000-0000-000054000000}"/>
    <cellStyle name="Normal 3 3 2" xfId="86" xr:uid="{00000000-0005-0000-0000-000055000000}"/>
    <cellStyle name="Normal 3 3 2 2" xfId="87" xr:uid="{00000000-0005-0000-0000-000056000000}"/>
    <cellStyle name="Normal 3 3 3" xfId="88" xr:uid="{00000000-0005-0000-0000-000057000000}"/>
    <cellStyle name="Normal 3 4" xfId="89" xr:uid="{00000000-0005-0000-0000-000058000000}"/>
    <cellStyle name="Normal 3 4 2" xfId="90" xr:uid="{00000000-0005-0000-0000-000059000000}"/>
    <cellStyle name="Normal 3 5" xfId="91" xr:uid="{00000000-0005-0000-0000-00005A000000}"/>
    <cellStyle name="Normal 3 6" xfId="92" xr:uid="{00000000-0005-0000-0000-00005B000000}"/>
    <cellStyle name="Normal 3 7" xfId="93" xr:uid="{00000000-0005-0000-0000-00005C000000}"/>
    <cellStyle name="Normal 4" xfId="94" xr:uid="{00000000-0005-0000-0000-00005D000000}"/>
    <cellStyle name="Normal 4 2" xfId="95" xr:uid="{00000000-0005-0000-0000-00005E000000}"/>
    <cellStyle name="Normal 4 2 2" xfId="96" xr:uid="{00000000-0005-0000-0000-00005F000000}"/>
    <cellStyle name="Normal 4 2 2 2" xfId="97" xr:uid="{00000000-0005-0000-0000-000060000000}"/>
    <cellStyle name="Normal 4 2 3" xfId="98" xr:uid="{00000000-0005-0000-0000-000061000000}"/>
    <cellStyle name="Normal 4 3" xfId="99" xr:uid="{00000000-0005-0000-0000-000062000000}"/>
    <cellStyle name="Normal 4 3 2" xfId="100" xr:uid="{00000000-0005-0000-0000-000063000000}"/>
    <cellStyle name="Normal 4 3 2 2" xfId="101" xr:uid="{00000000-0005-0000-0000-000064000000}"/>
    <cellStyle name="Normal 4 3 3" xfId="102" xr:uid="{00000000-0005-0000-0000-000065000000}"/>
    <cellStyle name="Normal 4 4" xfId="103" xr:uid="{00000000-0005-0000-0000-000066000000}"/>
    <cellStyle name="Normal 4 4 2" xfId="104" xr:uid="{00000000-0005-0000-0000-000067000000}"/>
    <cellStyle name="Normal 4 5" xfId="105" xr:uid="{00000000-0005-0000-0000-000068000000}"/>
    <cellStyle name="Normal 4 6" xfId="106" xr:uid="{00000000-0005-0000-0000-000069000000}"/>
    <cellStyle name="Normal 4 7" xfId="107" xr:uid="{00000000-0005-0000-0000-00006A000000}"/>
    <cellStyle name="Normal 5" xfId="108" xr:uid="{00000000-0005-0000-0000-00006B000000}"/>
    <cellStyle name="Normal 5 2" xfId="109" xr:uid="{00000000-0005-0000-0000-00006C000000}"/>
    <cellStyle name="Normal 5 3" xfId="110" xr:uid="{00000000-0005-0000-0000-00006D000000}"/>
    <cellStyle name="Normal 6" xfId="111" xr:uid="{00000000-0005-0000-0000-00006E000000}"/>
    <cellStyle name="Normal 6 2" xfId="112" xr:uid="{00000000-0005-0000-0000-00006F000000}"/>
    <cellStyle name="Normal 7" xfId="113" xr:uid="{00000000-0005-0000-0000-000070000000}"/>
    <cellStyle name="Normal 7 2" xfId="114" xr:uid="{00000000-0005-0000-0000-000071000000}"/>
    <cellStyle name="Normal 8" xfId="115" xr:uid="{00000000-0005-0000-0000-000072000000}"/>
    <cellStyle name="Normal 9" xfId="116" xr:uid="{00000000-0005-0000-0000-000073000000}"/>
    <cellStyle name="Note 2" xfId="117" xr:uid="{00000000-0005-0000-0000-000074000000}"/>
    <cellStyle name="Note 2 2" xfId="118" xr:uid="{00000000-0005-0000-0000-000075000000}"/>
    <cellStyle name="Output 2" xfId="119" xr:uid="{00000000-0005-0000-0000-000076000000}"/>
    <cellStyle name="Parent row" xfId="3" xr:uid="{00000000-0005-0000-0000-000077000000}"/>
    <cellStyle name="Parent row 2" xfId="120" xr:uid="{00000000-0005-0000-0000-000078000000}"/>
    <cellStyle name="Percent" xfId="153" builtinId="5"/>
    <cellStyle name="Percent 2" xfId="121" xr:uid="{00000000-0005-0000-0000-00007A000000}"/>
    <cellStyle name="Percent 2 2" xfId="122" xr:uid="{00000000-0005-0000-0000-00007B000000}"/>
    <cellStyle name="Percent 3" xfId="123" xr:uid="{00000000-0005-0000-0000-00007C000000}"/>
    <cellStyle name="Percent 3 2" xfId="124" xr:uid="{00000000-0005-0000-0000-00007D000000}"/>
    <cellStyle name="Percent 4" xfId="125" xr:uid="{00000000-0005-0000-0000-00007E000000}"/>
    <cellStyle name="Reference" xfId="126" xr:uid="{00000000-0005-0000-0000-00007F000000}"/>
    <cellStyle name="Row heading" xfId="127" xr:uid="{00000000-0005-0000-0000-000080000000}"/>
    <cellStyle name="Source Hed" xfId="128" xr:uid="{00000000-0005-0000-0000-000081000000}"/>
    <cellStyle name="Source Letter" xfId="129" xr:uid="{00000000-0005-0000-0000-000082000000}"/>
    <cellStyle name="Source Superscript" xfId="130" xr:uid="{00000000-0005-0000-0000-000083000000}"/>
    <cellStyle name="Source Superscript 2" xfId="131" xr:uid="{00000000-0005-0000-0000-000084000000}"/>
    <cellStyle name="Source Text" xfId="132" xr:uid="{00000000-0005-0000-0000-000085000000}"/>
    <cellStyle name="Source Text 2" xfId="133" xr:uid="{00000000-0005-0000-0000-000086000000}"/>
    <cellStyle name="State" xfId="134" xr:uid="{00000000-0005-0000-0000-000087000000}"/>
    <cellStyle name="Superscript" xfId="135" xr:uid="{00000000-0005-0000-0000-000088000000}"/>
    <cellStyle name="Table Data" xfId="136" xr:uid="{00000000-0005-0000-0000-000089000000}"/>
    <cellStyle name="Table Head Top" xfId="137" xr:uid="{00000000-0005-0000-0000-00008A000000}"/>
    <cellStyle name="Table Hed Side" xfId="138" xr:uid="{00000000-0005-0000-0000-00008B000000}"/>
    <cellStyle name="Table title" xfId="7" xr:uid="{00000000-0005-0000-0000-00008C000000}"/>
    <cellStyle name="Table title 2" xfId="139" xr:uid="{00000000-0005-0000-0000-00008D000000}"/>
    <cellStyle name="Title 2" xfId="140" xr:uid="{00000000-0005-0000-0000-00008E000000}"/>
    <cellStyle name="Title Text" xfId="141" xr:uid="{00000000-0005-0000-0000-00008F000000}"/>
    <cellStyle name="Title Text 1" xfId="142" xr:uid="{00000000-0005-0000-0000-000090000000}"/>
    <cellStyle name="Title Text 2" xfId="143" xr:uid="{00000000-0005-0000-0000-000091000000}"/>
    <cellStyle name="Title-1" xfId="144" xr:uid="{00000000-0005-0000-0000-000092000000}"/>
    <cellStyle name="Title-2" xfId="145" xr:uid="{00000000-0005-0000-0000-000093000000}"/>
    <cellStyle name="Title-3" xfId="146" xr:uid="{00000000-0005-0000-0000-000094000000}"/>
    <cellStyle name="Total 2" xfId="147" xr:uid="{00000000-0005-0000-0000-000095000000}"/>
    <cellStyle name="Warning Text 2" xfId="148" xr:uid="{00000000-0005-0000-0000-000096000000}"/>
    <cellStyle name="Wrap" xfId="149" xr:uid="{00000000-0005-0000-0000-000097000000}"/>
    <cellStyle name="Wrap Bold" xfId="150" xr:uid="{00000000-0005-0000-0000-000098000000}"/>
    <cellStyle name="Wrap Title" xfId="151" xr:uid="{00000000-0005-0000-0000-000099000000}"/>
    <cellStyle name="Wrap_NTS99-~11" xfId="152" xr:uid="{00000000-0005-0000-0000-00009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47626</xdr:rowOff>
    </xdr:from>
    <xdr:to>
      <xdr:col>11</xdr:col>
      <xdr:colOff>514350</xdr:colOff>
      <xdr:row>10</xdr:row>
      <xdr:rowOff>147566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23FE4F-88BA-4DE3-95CC-E9DDBF228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8626"/>
          <a:ext cx="7219950" cy="16239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</xdr:rowOff>
    </xdr:from>
    <xdr:to>
      <xdr:col>9</xdr:col>
      <xdr:colOff>495821</xdr:colOff>
      <xdr:row>10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98145D-D262-4D41-9D7B-DC5D95BBE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0049"/>
          <a:ext cx="5982221" cy="1590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WINDOWS/TEMP/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ctic.gov.br/mctic/export/sites/institucional/ciencia/SEPED/clima/arquivos/projeto_opcoes_mitigacao/publicacoes/Setor-Transportes.pdf" TargetMode="External"/><Relationship Id="rId1" Type="http://schemas.openxmlformats.org/officeDocument/2006/relationships/hyperlink" Target="https://www.mctic.gov.br/mctic/export/sites/institucional/ciencia/SEPED/clima/arquivos/projeto_opcoes_mitigacao/publicacoes/Setor-Transportes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5"/>
  <sheetViews>
    <sheetView topLeftCell="A13" zoomScale="90" zoomScaleNormal="90" workbookViewId="0">
      <selection activeCell="A28" sqref="A28"/>
    </sheetView>
  </sheetViews>
  <sheetFormatPr baseColWidth="10" defaultColWidth="8.83203125" defaultRowHeight="15"/>
  <cols>
    <col min="1" max="1" width="13.5" customWidth="1"/>
    <col min="2" max="2" width="107.5" customWidth="1"/>
  </cols>
  <sheetData>
    <row r="1" spans="1:19">
      <c r="A1" s="1" t="s">
        <v>6</v>
      </c>
    </row>
    <row r="3" spans="1:19">
      <c r="A3" s="1" t="s">
        <v>7</v>
      </c>
      <c r="B3" s="19" t="s">
        <v>58</v>
      </c>
    </row>
    <row r="4" spans="1:19">
      <c r="B4" t="s">
        <v>48</v>
      </c>
    </row>
    <row r="5" spans="1:19" s="9" customFormat="1">
      <c r="A5"/>
      <c r="B5" s="2">
        <v>2017</v>
      </c>
      <c r="G5"/>
      <c r="H5"/>
      <c r="I5"/>
      <c r="J5"/>
      <c r="K5"/>
      <c r="L5"/>
      <c r="M5"/>
      <c r="N5"/>
      <c r="O5"/>
      <c r="P5"/>
      <c r="Q5"/>
      <c r="R5"/>
      <c r="S5"/>
    </row>
    <row r="6" spans="1:19">
      <c r="B6" t="s">
        <v>49</v>
      </c>
    </row>
    <row r="7" spans="1:19">
      <c r="B7" t="s">
        <v>50</v>
      </c>
    </row>
    <row r="8" spans="1:19">
      <c r="B8" s="20" t="s">
        <v>51</v>
      </c>
    </row>
    <row r="9" spans="1:19">
      <c r="B9" t="s">
        <v>35</v>
      </c>
    </row>
    <row r="10" spans="1:19">
      <c r="B10" t="s">
        <v>56</v>
      </c>
    </row>
    <row r="12" spans="1:19">
      <c r="B12" s="19" t="s">
        <v>59</v>
      </c>
    </row>
    <row r="13" spans="1:19" s="11" customFormat="1">
      <c r="A13"/>
      <c r="B13" t="s">
        <v>48</v>
      </c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>
      <c r="B14" s="2">
        <v>2017</v>
      </c>
    </row>
    <row r="15" spans="1:19">
      <c r="B15" t="s">
        <v>49</v>
      </c>
    </row>
    <row r="16" spans="1:19">
      <c r="B16" t="s">
        <v>50</v>
      </c>
    </row>
    <row r="17" spans="1:19">
      <c r="B17" s="20" t="s">
        <v>51</v>
      </c>
    </row>
    <row r="18" spans="1:19">
      <c r="B18" t="s">
        <v>57</v>
      </c>
    </row>
    <row r="19" spans="1:19">
      <c r="B19" t="s">
        <v>52</v>
      </c>
    </row>
    <row r="20" spans="1:19" s="10" customFormat="1">
      <c r="A20"/>
      <c r="B20"/>
      <c r="G20"/>
      <c r="H20"/>
      <c r="I20"/>
      <c r="J20"/>
      <c r="K20"/>
      <c r="L20"/>
      <c r="M20"/>
      <c r="N20"/>
      <c r="O20"/>
      <c r="P20"/>
      <c r="Q20"/>
      <c r="R20"/>
      <c r="S20"/>
    </row>
    <row r="23" spans="1:19">
      <c r="A23" s="1" t="s">
        <v>46</v>
      </c>
    </row>
    <row r="24" spans="1:19">
      <c r="A24" t="s">
        <v>47</v>
      </c>
    </row>
    <row r="25" spans="1:19">
      <c r="A25" t="s">
        <v>72</v>
      </c>
    </row>
    <row r="26" spans="1:19">
      <c r="A26" t="s">
        <v>73</v>
      </c>
    </row>
    <row r="28" spans="1:19">
      <c r="A28" t="s">
        <v>63</v>
      </c>
    </row>
    <row r="65" spans="2:2">
      <c r="B65" s="2"/>
    </row>
  </sheetData>
  <hyperlinks>
    <hyperlink ref="B8" r:id="rId1" xr:uid="{00000000-0004-0000-0000-000000000000}"/>
    <hyperlink ref="B17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workbookViewId="0">
      <selection sqref="A1:A2"/>
    </sheetView>
  </sheetViews>
  <sheetFormatPr baseColWidth="10" defaultColWidth="8.83203125" defaultRowHeight="15"/>
  <sheetData>
    <row r="1" spans="1:13">
      <c r="A1" t="s">
        <v>57</v>
      </c>
    </row>
    <row r="2" spans="1:13">
      <c r="A2" t="s">
        <v>52</v>
      </c>
    </row>
    <row r="5" spans="1:13">
      <c r="M5" s="21" t="s">
        <v>55</v>
      </c>
    </row>
    <row r="7" spans="1:13">
      <c r="M7" t="s">
        <v>53</v>
      </c>
    </row>
    <row r="8" spans="1:13">
      <c r="M8" t="s">
        <v>54</v>
      </c>
    </row>
    <row r="9" spans="1:13">
      <c r="M9" t="s">
        <v>4</v>
      </c>
    </row>
    <row r="10" spans="1:13">
      <c r="M10" t="s">
        <v>0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workbookViewId="0">
      <selection activeCell="O7" sqref="O7"/>
    </sheetView>
  </sheetViews>
  <sheetFormatPr baseColWidth="10" defaultColWidth="8.83203125" defaultRowHeight="15"/>
  <sheetData>
    <row r="1" spans="1:11">
      <c r="A1" t="s">
        <v>35</v>
      </c>
    </row>
    <row r="2" spans="1:11">
      <c r="A2" t="s">
        <v>56</v>
      </c>
    </row>
    <row r="5" spans="1:11">
      <c r="K5" s="21" t="s">
        <v>55</v>
      </c>
    </row>
    <row r="7" spans="1:11">
      <c r="K7" t="s">
        <v>53</v>
      </c>
    </row>
    <row r="8" spans="1:11">
      <c r="K8" t="s">
        <v>54</v>
      </c>
    </row>
    <row r="9" spans="1:11">
      <c r="K9" t="s">
        <v>4</v>
      </c>
    </row>
    <row r="10" spans="1:11">
      <c r="K10" t="s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1"/>
  <sheetViews>
    <sheetView workbookViewId="0">
      <selection activeCell="F10" sqref="F10"/>
    </sheetView>
  </sheetViews>
  <sheetFormatPr baseColWidth="10" defaultColWidth="8.83203125" defaultRowHeight="15"/>
  <cols>
    <col min="1" max="1" width="51.83203125" customWidth="1"/>
    <col min="2" max="4" width="12.1640625" bestFit="1" customWidth="1"/>
    <col min="5" max="37" width="12.83203125" bestFit="1" customWidth="1"/>
  </cols>
  <sheetData>
    <row r="1" spans="1:37">
      <c r="A1" t="s">
        <v>46</v>
      </c>
    </row>
    <row r="2" spans="1:37">
      <c r="A2" t="s">
        <v>62</v>
      </c>
    </row>
    <row r="4" spans="1:37">
      <c r="A4" s="1" t="s">
        <v>60</v>
      </c>
    </row>
    <row r="5" spans="1:37">
      <c r="A5" s="11" t="s">
        <v>61</v>
      </c>
    </row>
    <row r="6" spans="1:37">
      <c r="A6" s="11"/>
    </row>
    <row r="7" spans="1:37">
      <c r="A7" s="4" t="s">
        <v>34</v>
      </c>
    </row>
    <row r="9" spans="1:37">
      <c r="A9" s="4" t="s">
        <v>31</v>
      </c>
      <c r="B9" s="5">
        <v>2015</v>
      </c>
      <c r="C9" s="5">
        <v>2016</v>
      </c>
      <c r="D9" s="5">
        <v>2017</v>
      </c>
      <c r="E9" s="5">
        <v>2018</v>
      </c>
      <c r="F9" s="5">
        <v>2019</v>
      </c>
      <c r="G9" s="5">
        <v>2020</v>
      </c>
      <c r="H9" s="5">
        <v>2021</v>
      </c>
      <c r="I9" s="5">
        <v>2022</v>
      </c>
      <c r="J9" s="5">
        <v>2023</v>
      </c>
      <c r="K9" s="5">
        <v>2024</v>
      </c>
      <c r="L9" s="5">
        <v>2025</v>
      </c>
      <c r="M9" s="5">
        <v>2026</v>
      </c>
      <c r="N9" s="5">
        <v>2027</v>
      </c>
      <c r="O9" s="5">
        <v>2028</v>
      </c>
      <c r="P9" s="5">
        <v>2029</v>
      </c>
      <c r="Q9" s="5">
        <v>2030</v>
      </c>
      <c r="R9" s="5">
        <v>2031</v>
      </c>
      <c r="S9" s="5">
        <v>2032</v>
      </c>
      <c r="T9" s="5">
        <v>2033</v>
      </c>
      <c r="U9" s="5">
        <v>2034</v>
      </c>
      <c r="V9" s="5">
        <v>2035</v>
      </c>
      <c r="W9" s="5">
        <v>2036</v>
      </c>
      <c r="X9" s="5">
        <v>2037</v>
      </c>
      <c r="Y9" s="5">
        <v>2038</v>
      </c>
      <c r="Z9" s="5">
        <v>2039</v>
      </c>
      <c r="AA9" s="5">
        <v>2040</v>
      </c>
      <c r="AB9" s="5">
        <v>2041</v>
      </c>
      <c r="AC9" s="5">
        <v>2042</v>
      </c>
      <c r="AD9" s="5">
        <v>2043</v>
      </c>
      <c r="AE9" s="5">
        <v>2044</v>
      </c>
      <c r="AF9" s="5">
        <v>2045</v>
      </c>
      <c r="AG9" s="5">
        <v>2046</v>
      </c>
      <c r="AH9" s="5">
        <v>2047</v>
      </c>
      <c r="AI9" s="5">
        <v>2048</v>
      </c>
      <c r="AJ9" s="5">
        <v>2049</v>
      </c>
      <c r="AK9" s="5">
        <v>2050</v>
      </c>
    </row>
    <row r="10" spans="1:37">
      <c r="A10" t="s">
        <v>18</v>
      </c>
      <c r="B10" s="12">
        <v>155949668.10000002</v>
      </c>
      <c r="C10" s="12">
        <v>141915393.60000002</v>
      </c>
      <c r="D10" s="12">
        <v>129341020.5</v>
      </c>
      <c r="E10" s="12">
        <v>118223125.5</v>
      </c>
      <c r="F10" s="12">
        <v>108532873.80000001</v>
      </c>
      <c r="G10" s="12">
        <v>99937994.017039984</v>
      </c>
      <c r="H10" s="12">
        <v>92429653.978080004</v>
      </c>
      <c r="I10" s="12">
        <v>85918692.699600011</v>
      </c>
      <c r="J10" s="12">
        <v>80294255.815519974</v>
      </c>
      <c r="K10" s="12">
        <v>75465954.841199994</v>
      </c>
      <c r="L10" s="12">
        <v>71293199.551199988</v>
      </c>
      <c r="M10" s="12">
        <v>67649223.161359996</v>
      </c>
      <c r="N10" s="12">
        <v>64441495.341279991</v>
      </c>
      <c r="O10" s="12">
        <v>61596560.932080001</v>
      </c>
      <c r="P10" s="12">
        <v>59008926.107999995</v>
      </c>
      <c r="Q10" s="12">
        <v>56718972.856640004</v>
      </c>
      <c r="R10" s="12">
        <v>54801460.706880003</v>
      </c>
      <c r="S10" s="12">
        <v>53215845.74656</v>
      </c>
      <c r="T10" s="12">
        <v>51909775.038879991</v>
      </c>
      <c r="U10" s="12">
        <v>50834817.314400002</v>
      </c>
      <c r="V10" s="12">
        <v>49938013.539999992</v>
      </c>
      <c r="W10" s="12">
        <v>49154289.734239988</v>
      </c>
      <c r="X10" s="12">
        <v>48444077.727839991</v>
      </c>
      <c r="Y10" s="12">
        <v>47793660.983520001</v>
      </c>
      <c r="Z10" s="12">
        <v>47196501.296799995</v>
      </c>
      <c r="AA10" s="12">
        <v>46645585.212959997</v>
      </c>
      <c r="AB10" s="12">
        <v>46138142.026720002</v>
      </c>
      <c r="AC10" s="12">
        <v>45674344.652079999</v>
      </c>
      <c r="AD10" s="12">
        <v>45244423.514879994</v>
      </c>
      <c r="AE10" s="12">
        <v>44842302.237999991</v>
      </c>
      <c r="AF10" s="12">
        <v>44463341.413759992</v>
      </c>
      <c r="AG10" s="12">
        <v>44103800.357760005</v>
      </c>
      <c r="AH10" s="12">
        <v>43762906.714400001</v>
      </c>
      <c r="AI10" s="12">
        <v>43438374.698479995</v>
      </c>
      <c r="AJ10" s="12">
        <v>43125195.523200013</v>
      </c>
      <c r="AK10" s="12">
        <v>43142734.209600016</v>
      </c>
    </row>
    <row r="11" spans="1:37">
      <c r="A11" t="s">
        <v>19</v>
      </c>
      <c r="B11" s="12">
        <v>6130059.5999999996</v>
      </c>
      <c r="C11" s="12">
        <v>5087778</v>
      </c>
      <c r="D11" s="12">
        <v>4230501.3000000007</v>
      </c>
      <c r="E11" s="12">
        <v>3515907.9000000004</v>
      </c>
      <c r="F11" s="12">
        <v>2933752.8</v>
      </c>
      <c r="G11" s="12">
        <v>2454735.2999999998</v>
      </c>
      <c r="H11" s="12">
        <v>2044452.2999999998</v>
      </c>
      <c r="I11" s="12">
        <v>1699957.7999999998</v>
      </c>
      <c r="J11" s="12">
        <v>1415754.2999999998</v>
      </c>
      <c r="K11" s="12">
        <v>1188215.7000000002</v>
      </c>
      <c r="L11" s="12">
        <v>1000861.2000000001</v>
      </c>
      <c r="M11" s="12">
        <v>841634.10000000009</v>
      </c>
      <c r="N11" s="12">
        <v>705092.39999999991</v>
      </c>
      <c r="O11" s="12">
        <v>588173.10000000009</v>
      </c>
      <c r="P11" s="12">
        <v>488486.10000000003</v>
      </c>
      <c r="Q11" s="12">
        <v>404499.89999999997</v>
      </c>
      <c r="R11" s="12">
        <v>334050.90000000002</v>
      </c>
      <c r="S11" s="12">
        <v>275634.59999999998</v>
      </c>
      <c r="T11" s="12">
        <v>229869.90000000002</v>
      </c>
      <c r="U11" s="12">
        <v>193548.3</v>
      </c>
      <c r="V11" s="12">
        <v>166298.40000000002</v>
      </c>
      <c r="W11" s="12">
        <v>143178.29999999999</v>
      </c>
      <c r="X11" s="12">
        <v>123942.29999999999</v>
      </c>
      <c r="Y11" s="12">
        <v>106416.59999999999</v>
      </c>
      <c r="Z11" s="12">
        <v>88369.5</v>
      </c>
      <c r="AA11" s="12">
        <v>72892.5</v>
      </c>
      <c r="AB11" s="12">
        <v>58755</v>
      </c>
      <c r="AC11" s="12">
        <v>46065</v>
      </c>
      <c r="AD11" s="12">
        <v>36939</v>
      </c>
      <c r="AE11" s="12">
        <v>28098</v>
      </c>
      <c r="AF11" s="12">
        <v>21606</v>
      </c>
      <c r="AG11" s="12">
        <v>18267</v>
      </c>
      <c r="AH11" s="12">
        <v>14853</v>
      </c>
      <c r="AI11" s="12">
        <v>11574</v>
      </c>
      <c r="AJ11" s="12">
        <v>8172</v>
      </c>
      <c r="AK11" s="12">
        <v>6132</v>
      </c>
    </row>
    <row r="12" spans="1:37">
      <c r="A12" t="s">
        <v>20</v>
      </c>
      <c r="B12" s="12">
        <v>574565097</v>
      </c>
      <c r="C12" s="12">
        <v>631565408.0999999</v>
      </c>
      <c r="D12" s="12">
        <v>687490254.29999995</v>
      </c>
      <c r="E12" s="12">
        <v>742265134.79999995</v>
      </c>
      <c r="F12" s="12">
        <v>795867915.9000001</v>
      </c>
      <c r="G12" s="12">
        <v>844442354.95703995</v>
      </c>
      <c r="H12" s="12">
        <v>890898584.25040007</v>
      </c>
      <c r="I12" s="12">
        <v>935595650.33711994</v>
      </c>
      <c r="J12" s="12">
        <v>978657030.43952</v>
      </c>
      <c r="K12" s="12">
        <v>1020219742.2632</v>
      </c>
      <c r="L12" s="12">
        <v>1059065396.7864001</v>
      </c>
      <c r="M12" s="12">
        <v>1094128068.1348002</v>
      </c>
      <c r="N12" s="12">
        <v>1125688465.0491199</v>
      </c>
      <c r="O12" s="12">
        <v>1153968446.4453602</v>
      </c>
      <c r="P12" s="12">
        <v>1179185798.7607999</v>
      </c>
      <c r="Q12" s="12">
        <v>1201763890.6183999</v>
      </c>
      <c r="R12" s="12">
        <v>1219543909.5984001</v>
      </c>
      <c r="S12" s="12">
        <v>1230323659.1017599</v>
      </c>
      <c r="T12" s="12">
        <v>1234440201.5364799</v>
      </c>
      <c r="U12" s="12">
        <v>1232242829.8379998</v>
      </c>
      <c r="V12" s="12">
        <v>1223669947.37328</v>
      </c>
      <c r="W12" s="12">
        <v>1208775254.4252</v>
      </c>
      <c r="X12" s="12">
        <v>1188109990.8393602</v>
      </c>
      <c r="Y12" s="12">
        <v>1162209469.5470402</v>
      </c>
      <c r="Z12" s="12">
        <v>1131583893.9768</v>
      </c>
      <c r="AA12" s="12">
        <v>1096412531.9327998</v>
      </c>
      <c r="AB12" s="12">
        <v>1056880113.43792</v>
      </c>
      <c r="AC12" s="12">
        <v>1013468173.9760802</v>
      </c>
      <c r="AD12" s="12">
        <v>966666587.63183999</v>
      </c>
      <c r="AE12" s="12">
        <v>916892466.87399995</v>
      </c>
      <c r="AF12" s="12">
        <v>864572889.91264021</v>
      </c>
      <c r="AG12" s="12">
        <v>810106422.62999988</v>
      </c>
      <c r="AH12" s="12">
        <v>753864350.76847994</v>
      </c>
      <c r="AI12" s="12">
        <v>696186204.06775999</v>
      </c>
      <c r="AJ12" s="12">
        <v>637379807.08799994</v>
      </c>
      <c r="AK12" s="12">
        <v>584844513.65279996</v>
      </c>
    </row>
    <row r="13" spans="1:37">
      <c r="A13" t="s">
        <v>21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276856.46799999999</v>
      </c>
      <c r="H13" s="12">
        <v>1104915.9417600001</v>
      </c>
      <c r="I13" s="12">
        <v>2498225.4972000001</v>
      </c>
      <c r="J13" s="12">
        <v>4467913.6830400005</v>
      </c>
      <c r="K13" s="12">
        <v>7022038.9112</v>
      </c>
      <c r="L13" s="12">
        <v>10121336.615040001</v>
      </c>
      <c r="M13" s="12">
        <v>13713207.515920002</v>
      </c>
      <c r="N13" s="12">
        <v>17771849.951200001</v>
      </c>
      <c r="O13" s="12">
        <v>22267610.162160005</v>
      </c>
      <c r="P13" s="12">
        <v>27169041.996799998</v>
      </c>
      <c r="Q13" s="12">
        <v>32117032.418639995</v>
      </c>
      <c r="R13" s="12">
        <v>39371282.781120002</v>
      </c>
      <c r="S13" s="12">
        <v>51342258.84984</v>
      </c>
      <c r="T13" s="12">
        <v>67862132.147839993</v>
      </c>
      <c r="U13" s="12">
        <v>88749078.7896</v>
      </c>
      <c r="V13" s="12">
        <v>113656160.2832</v>
      </c>
      <c r="W13" s="12">
        <v>142188429.77495998</v>
      </c>
      <c r="X13" s="12">
        <v>174045569.68896002</v>
      </c>
      <c r="Y13" s="12">
        <v>208918170.13888001</v>
      </c>
      <c r="Z13" s="12">
        <v>246492249.02959996</v>
      </c>
      <c r="AA13" s="12">
        <v>286453434.43728006</v>
      </c>
      <c r="AB13" s="12">
        <v>328491926.58175999</v>
      </c>
      <c r="AC13" s="12">
        <v>372307025.19183999</v>
      </c>
      <c r="AD13" s="12">
        <v>417610403.51472008</v>
      </c>
      <c r="AE13" s="12">
        <v>464130159.11399996</v>
      </c>
      <c r="AF13" s="12">
        <v>511613696.73215997</v>
      </c>
      <c r="AG13" s="12">
        <v>559829213.09112</v>
      </c>
      <c r="AH13" s="12">
        <v>608566647.64864004</v>
      </c>
      <c r="AI13" s="12">
        <v>657637474.11663997</v>
      </c>
      <c r="AJ13" s="12">
        <v>706874312.72160006</v>
      </c>
      <c r="AK13" s="12">
        <v>759410125.41600001</v>
      </c>
    </row>
    <row r="14" spans="1:37">
      <c r="A14" t="s">
        <v>11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</row>
    <row r="15" spans="1:37">
      <c r="A15" t="s">
        <v>22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324596.05199999997</v>
      </c>
      <c r="AB15" s="12">
        <v>1269504.3648000001</v>
      </c>
      <c r="AC15" s="12">
        <v>2801792.7766399998</v>
      </c>
      <c r="AD15" s="12">
        <v>4887374.2007999998</v>
      </c>
      <c r="AE15" s="12">
        <v>7490490.7340000002</v>
      </c>
      <c r="AF15" s="12">
        <v>10573869.15584</v>
      </c>
      <c r="AG15" s="12">
        <v>14098549.323599998</v>
      </c>
      <c r="AH15" s="12">
        <v>18024199.501440004</v>
      </c>
      <c r="AI15" s="12">
        <v>22309766.445919998</v>
      </c>
      <c r="AJ15" s="12">
        <v>26913871.123199999</v>
      </c>
      <c r="AK15" s="12">
        <v>31726403.625600003</v>
      </c>
    </row>
    <row r="16" spans="1:37">
      <c r="A16" t="s">
        <v>23</v>
      </c>
      <c r="B16" s="12">
        <v>32151214.799999997</v>
      </c>
      <c r="C16" s="12">
        <v>32823251.400000002</v>
      </c>
      <c r="D16" s="12">
        <v>33556900.200000003</v>
      </c>
      <c r="E16" s="12">
        <v>34344129</v>
      </c>
      <c r="F16" s="12">
        <v>35178063.599999994</v>
      </c>
      <c r="G16" s="12">
        <v>36053602.799999997</v>
      </c>
      <c r="H16" s="12">
        <v>36974020.799999997</v>
      </c>
      <c r="I16" s="12">
        <v>37940622.599999994</v>
      </c>
      <c r="J16" s="12">
        <v>38947877.700000003</v>
      </c>
      <c r="K16" s="12">
        <v>39992504.700000003</v>
      </c>
      <c r="L16" s="12">
        <v>41071686</v>
      </c>
      <c r="M16" s="12">
        <v>42188505.299999997</v>
      </c>
      <c r="N16" s="12">
        <v>43344378.599999994</v>
      </c>
      <c r="O16" s="12">
        <v>44534798.400000006</v>
      </c>
      <c r="P16" s="12">
        <v>45753200.700000003</v>
      </c>
      <c r="Q16" s="12">
        <v>46993901.700000003</v>
      </c>
      <c r="R16" s="12">
        <v>48258322.5</v>
      </c>
      <c r="S16" s="12">
        <v>49546288.799999997</v>
      </c>
      <c r="T16" s="12">
        <v>50854176</v>
      </c>
      <c r="U16" s="12">
        <v>52180121.699999996</v>
      </c>
      <c r="V16" s="12">
        <v>53522406</v>
      </c>
      <c r="W16" s="12">
        <v>54879973.800000004</v>
      </c>
      <c r="X16" s="12">
        <v>56251542.300000004</v>
      </c>
      <c r="Y16" s="12">
        <v>57635941.199999996</v>
      </c>
      <c r="Z16" s="12">
        <v>59033533.5</v>
      </c>
      <c r="AA16" s="12">
        <v>60443508.900000006</v>
      </c>
      <c r="AB16" s="12">
        <v>61867048.5</v>
      </c>
      <c r="AC16" s="12">
        <v>63304038.300000004</v>
      </c>
      <c r="AD16" s="12">
        <v>64750875.599999994</v>
      </c>
      <c r="AE16" s="12">
        <v>66206248.800000004</v>
      </c>
      <c r="AF16" s="12">
        <v>67668918.900000006</v>
      </c>
      <c r="AG16" s="12">
        <v>69138061.5</v>
      </c>
      <c r="AH16" s="12">
        <v>70612980.900000006</v>
      </c>
      <c r="AI16" s="12">
        <v>72093146.400000006</v>
      </c>
      <c r="AJ16" s="12">
        <v>73577604.900000006</v>
      </c>
      <c r="AK16" s="12">
        <v>75065821.800000012</v>
      </c>
    </row>
    <row r="17" spans="1:37">
      <c r="A17" t="s">
        <v>24</v>
      </c>
      <c r="B17" s="12">
        <v>519455.10000000003</v>
      </c>
      <c r="C17" s="12">
        <v>420980.39999999997</v>
      </c>
      <c r="D17" s="12">
        <v>341046.6</v>
      </c>
      <c r="E17" s="12">
        <v>276529.19999999995</v>
      </c>
      <c r="F17" s="12">
        <v>225327.90000000002</v>
      </c>
      <c r="G17" s="12">
        <v>184343.7</v>
      </c>
      <c r="H17" s="12">
        <v>150088.5</v>
      </c>
      <c r="I17" s="12">
        <v>122226.90000000001</v>
      </c>
      <c r="J17" s="12">
        <v>100064.40000000001</v>
      </c>
      <c r="K17" s="12">
        <v>83006.100000000006</v>
      </c>
      <c r="L17" s="12">
        <v>69516.600000000006</v>
      </c>
      <c r="M17" s="12">
        <v>58359.299999999996</v>
      </c>
      <c r="N17" s="12">
        <v>48921.600000000006</v>
      </c>
      <c r="O17" s="12">
        <v>40874.699999999997</v>
      </c>
      <c r="P17" s="12">
        <v>34074.600000000006</v>
      </c>
      <c r="Q17" s="12">
        <v>28363.5</v>
      </c>
      <c r="R17" s="12">
        <v>23547.599999999999</v>
      </c>
      <c r="S17" s="12">
        <v>19667.699999999997</v>
      </c>
      <c r="T17" s="12">
        <v>16769.099999999999</v>
      </c>
      <c r="U17" s="12">
        <v>14407.199999999999</v>
      </c>
      <c r="V17" s="12">
        <v>12438.599999999999</v>
      </c>
      <c r="W17" s="12">
        <v>10741.5</v>
      </c>
      <c r="X17" s="12">
        <v>9300</v>
      </c>
      <c r="Y17" s="12">
        <v>7983.5999999999995</v>
      </c>
      <c r="Z17" s="12">
        <v>6754.7999999999993</v>
      </c>
      <c r="AA17" s="12">
        <v>5595</v>
      </c>
      <c r="AB17" s="12">
        <v>4548</v>
      </c>
      <c r="AC17" s="12">
        <v>3600</v>
      </c>
      <c r="AD17" s="12">
        <v>2811</v>
      </c>
      <c r="AE17" s="12">
        <v>2100</v>
      </c>
      <c r="AF17" s="12">
        <v>1581</v>
      </c>
      <c r="AG17" s="12">
        <v>1329</v>
      </c>
      <c r="AH17" s="12">
        <v>1059</v>
      </c>
      <c r="AI17" s="12">
        <v>777</v>
      </c>
      <c r="AJ17" s="12">
        <v>516</v>
      </c>
      <c r="AK17" s="12">
        <v>339</v>
      </c>
    </row>
    <row r="18" spans="1:37">
      <c r="A18" t="s">
        <v>25</v>
      </c>
      <c r="B18" s="12">
        <v>66482746.5</v>
      </c>
      <c r="C18" s="12">
        <v>73760488.199999988</v>
      </c>
      <c r="D18" s="12">
        <v>80745823.800000012</v>
      </c>
      <c r="E18" s="12">
        <v>87429621.900000006</v>
      </c>
      <c r="F18" s="12">
        <v>93810674.099999994</v>
      </c>
      <c r="G18" s="12">
        <v>99895026.599999994</v>
      </c>
      <c r="H18" s="12">
        <v>105717979.80000001</v>
      </c>
      <c r="I18" s="12">
        <v>111318126.89999999</v>
      </c>
      <c r="J18" s="12">
        <v>116712963.89999999</v>
      </c>
      <c r="K18" s="12">
        <v>121921992.60000001</v>
      </c>
      <c r="L18" s="12">
        <v>126965361</v>
      </c>
      <c r="M18" s="12">
        <v>131876754.60000001</v>
      </c>
      <c r="N18" s="12">
        <v>136688205.89999998</v>
      </c>
      <c r="O18" s="12">
        <v>141416299.19999999</v>
      </c>
      <c r="P18" s="12">
        <v>146076010.19999999</v>
      </c>
      <c r="Q18" s="12">
        <v>150680496.89999998</v>
      </c>
      <c r="R18" s="12">
        <v>155250427.19999999</v>
      </c>
      <c r="S18" s="12">
        <v>159803960.39999998</v>
      </c>
      <c r="T18" s="12">
        <v>164348484.30000001</v>
      </c>
      <c r="U18" s="12">
        <v>168890222.69999999</v>
      </c>
      <c r="V18" s="12">
        <v>173435302.19999999</v>
      </c>
      <c r="W18" s="12">
        <v>177993186</v>
      </c>
      <c r="X18" s="12">
        <v>182572739.39999998</v>
      </c>
      <c r="Y18" s="12">
        <v>187177364.10000002</v>
      </c>
      <c r="Z18" s="12">
        <v>191807709.60000002</v>
      </c>
      <c r="AA18" s="12">
        <v>196462865.39999998</v>
      </c>
      <c r="AB18" s="12">
        <v>201146108.69999999</v>
      </c>
      <c r="AC18" s="12">
        <v>205858192.79999998</v>
      </c>
      <c r="AD18" s="12">
        <v>210597833.10000002</v>
      </c>
      <c r="AE18" s="12">
        <v>215361417</v>
      </c>
      <c r="AF18" s="12">
        <v>220146029.70000002</v>
      </c>
      <c r="AG18" s="12">
        <v>224949234.60000002</v>
      </c>
      <c r="AH18" s="12">
        <v>229768720.20000002</v>
      </c>
      <c r="AI18" s="12">
        <v>234602497.20000002</v>
      </c>
      <c r="AJ18" s="12">
        <v>239448797.10000002</v>
      </c>
      <c r="AK18" s="12">
        <v>244305924.89999998</v>
      </c>
    </row>
    <row r="19" spans="1:37">
      <c r="A19" t="s">
        <v>26</v>
      </c>
      <c r="B19" s="12">
        <v>47489179.200000003</v>
      </c>
      <c r="C19" s="12">
        <v>50793211.800000004</v>
      </c>
      <c r="D19" s="12">
        <v>54069864.599999994</v>
      </c>
      <c r="E19" s="12">
        <v>57312356.400000006</v>
      </c>
      <c r="F19" s="12">
        <v>60516527.400000006</v>
      </c>
      <c r="G19" s="12">
        <v>63677721</v>
      </c>
      <c r="H19" s="12">
        <v>66803359.800000004</v>
      </c>
      <c r="I19" s="12">
        <v>69900581.400000006</v>
      </c>
      <c r="J19" s="12">
        <v>72968258.400000006</v>
      </c>
      <c r="K19" s="12">
        <v>76003784.400000006</v>
      </c>
      <c r="L19" s="12">
        <v>79004188.199999988</v>
      </c>
      <c r="M19" s="12">
        <v>81978817.800000012</v>
      </c>
      <c r="N19" s="12">
        <v>84934541.400000006</v>
      </c>
      <c r="O19" s="12">
        <v>87871313.400000006</v>
      </c>
      <c r="P19" s="12">
        <v>90790097.400000006</v>
      </c>
      <c r="Q19" s="12">
        <v>93694522.199999988</v>
      </c>
      <c r="R19" s="12">
        <v>96593386.199999988</v>
      </c>
      <c r="S19" s="12">
        <v>99494076.599999994</v>
      </c>
      <c r="T19" s="12">
        <v>102399204.60000001</v>
      </c>
      <c r="U19" s="12">
        <v>105313020</v>
      </c>
      <c r="V19" s="12">
        <v>108236693.39999999</v>
      </c>
      <c r="W19" s="12">
        <v>111176282.39999999</v>
      </c>
      <c r="X19" s="12">
        <v>114136176</v>
      </c>
      <c r="Y19" s="12">
        <v>117114437.39999999</v>
      </c>
      <c r="Z19" s="12">
        <v>120110160</v>
      </c>
      <c r="AA19" s="12">
        <v>123121878.60000001</v>
      </c>
      <c r="AB19" s="12">
        <v>126149958</v>
      </c>
      <c r="AC19" s="12">
        <v>129194574.60000001</v>
      </c>
      <c r="AD19" s="12">
        <v>132254755.19999999</v>
      </c>
      <c r="AE19" s="12">
        <v>135328996.80000001</v>
      </c>
      <c r="AF19" s="12">
        <v>138416632.19999999</v>
      </c>
      <c r="AG19" s="12">
        <v>141516518.39999998</v>
      </c>
      <c r="AH19" s="12">
        <v>144627809.39999998</v>
      </c>
      <c r="AI19" s="12">
        <v>147749621.39999998</v>
      </c>
      <c r="AJ19" s="12">
        <v>150880505.39999998</v>
      </c>
      <c r="AK19" s="12">
        <v>154019823.60000002</v>
      </c>
    </row>
    <row r="20" spans="1:37">
      <c r="A20" t="s">
        <v>27</v>
      </c>
      <c r="B20" s="12">
        <v>110659785.59999999</v>
      </c>
      <c r="C20" s="12">
        <v>110436900</v>
      </c>
      <c r="D20" s="12">
        <v>110842536.40000001</v>
      </c>
      <c r="E20" s="12">
        <v>111900978.40000001</v>
      </c>
      <c r="F20" s="12">
        <v>113556949.2</v>
      </c>
      <c r="G20" s="12">
        <v>115877217.2</v>
      </c>
      <c r="H20" s="12">
        <v>118903698.8</v>
      </c>
      <c r="I20" s="12">
        <v>122687373.2</v>
      </c>
      <c r="J20" s="12">
        <v>127210776.8</v>
      </c>
      <c r="K20" s="12">
        <v>132427308.40000001</v>
      </c>
      <c r="L20" s="12">
        <v>137815208.40000001</v>
      </c>
      <c r="M20" s="12">
        <v>142940140</v>
      </c>
      <c r="N20" s="12">
        <v>147817738</v>
      </c>
      <c r="O20" s="12">
        <v>152454483.59999999</v>
      </c>
      <c r="P20" s="12">
        <v>156857168</v>
      </c>
      <c r="Q20" s="12">
        <v>161033238</v>
      </c>
      <c r="R20" s="12">
        <v>165004526.80000001</v>
      </c>
      <c r="S20" s="12">
        <v>168791361.59999999</v>
      </c>
      <c r="T20" s="12">
        <v>172411425.59999999</v>
      </c>
      <c r="U20" s="12">
        <v>175888025.59999999</v>
      </c>
      <c r="V20" s="12">
        <v>179088830.80000001</v>
      </c>
      <c r="W20" s="12">
        <v>181947626.80000001</v>
      </c>
      <c r="X20" s="12">
        <v>184487600.80000001</v>
      </c>
      <c r="Y20" s="12">
        <v>186731939.19999999</v>
      </c>
      <c r="Z20" s="12">
        <v>188714582.80000001</v>
      </c>
      <c r="AA20" s="12">
        <v>190465668</v>
      </c>
      <c r="AB20" s="12">
        <v>192013325.19999999</v>
      </c>
      <c r="AC20" s="12">
        <v>193383366.40000001</v>
      </c>
      <c r="AD20" s="12">
        <v>194598500.40000001</v>
      </c>
      <c r="AE20" s="12">
        <v>195680242</v>
      </c>
      <c r="AF20" s="12">
        <v>196647111.19999999</v>
      </c>
      <c r="AG20" s="12">
        <v>197517108</v>
      </c>
      <c r="AH20" s="12">
        <v>198306288.80000001</v>
      </c>
      <c r="AI20" s="12">
        <v>199028229.59999999</v>
      </c>
      <c r="AJ20" s="12">
        <v>199694706.80000001</v>
      </c>
      <c r="AK20" s="12">
        <v>200315491.59999999</v>
      </c>
    </row>
    <row r="21" spans="1:37">
      <c r="A21" t="s">
        <v>12</v>
      </c>
      <c r="B21" s="12">
        <v>40915103.600000001</v>
      </c>
      <c r="C21" s="12">
        <v>47493794</v>
      </c>
      <c r="D21" s="12">
        <v>54036314.799999997</v>
      </c>
      <c r="E21" s="12">
        <v>60575635.200000003</v>
      </c>
      <c r="F21" s="12">
        <v>67125606.799999997</v>
      </c>
      <c r="G21" s="12">
        <v>73665136</v>
      </c>
      <c r="H21" s="12">
        <v>80278128.400000006</v>
      </c>
      <c r="I21" s="12">
        <v>86992800.400000006</v>
      </c>
      <c r="J21" s="12">
        <v>93855229.599999994</v>
      </c>
      <c r="K21" s="12">
        <v>100886732</v>
      </c>
      <c r="L21" s="12">
        <v>107694674</v>
      </c>
      <c r="M21" s="12">
        <v>113949386.40000001</v>
      </c>
      <c r="N21" s="12">
        <v>119704274.40000001</v>
      </c>
      <c r="O21" s="12">
        <v>125000417.2</v>
      </c>
      <c r="P21" s="12">
        <v>129875386.8</v>
      </c>
      <c r="Q21" s="12">
        <v>134363173.59999999</v>
      </c>
      <c r="R21" s="12">
        <v>138505223.19999999</v>
      </c>
      <c r="S21" s="12">
        <v>142337559.59999999</v>
      </c>
      <c r="T21" s="12">
        <v>145888293.59999999</v>
      </c>
      <c r="U21" s="12">
        <v>149186209.59999999</v>
      </c>
      <c r="V21" s="12">
        <v>152169480.80000001</v>
      </c>
      <c r="W21" s="12">
        <v>154796563.19999999</v>
      </c>
      <c r="X21" s="12">
        <v>157130788</v>
      </c>
      <c r="Y21" s="12">
        <v>159196182</v>
      </c>
      <c r="Z21" s="12">
        <v>161023062</v>
      </c>
      <c r="AA21" s="12">
        <v>162638387.59999999</v>
      </c>
      <c r="AB21" s="12">
        <v>164067749.19999999</v>
      </c>
      <c r="AC21" s="12">
        <v>165334549.19999999</v>
      </c>
      <c r="AD21" s="12">
        <v>166459440</v>
      </c>
      <c r="AE21" s="12">
        <v>167461502.80000001</v>
      </c>
      <c r="AF21" s="12">
        <v>168357621.19999999</v>
      </c>
      <c r="AG21" s="12">
        <v>169163832</v>
      </c>
      <c r="AH21" s="12">
        <v>169894510.40000001</v>
      </c>
      <c r="AI21" s="12">
        <v>170561978.80000001</v>
      </c>
      <c r="AJ21" s="12">
        <v>171177023.59999999</v>
      </c>
      <c r="AK21" s="12">
        <v>171748966.80000001</v>
      </c>
    </row>
    <row r="22" spans="1:37">
      <c r="A22" t="s">
        <v>28</v>
      </c>
      <c r="B22" s="12">
        <v>615022316.31999993</v>
      </c>
      <c r="C22" s="12">
        <v>642580624.01999998</v>
      </c>
      <c r="D22" s="12">
        <v>670421424.13999999</v>
      </c>
      <c r="E22" s="12">
        <v>698586790.84000003</v>
      </c>
      <c r="F22" s="12">
        <v>726862172.27999997</v>
      </c>
      <c r="G22" s="12">
        <v>751998906.00715733</v>
      </c>
      <c r="H22" s="12">
        <v>776471451.25629854</v>
      </c>
      <c r="I22" s="12">
        <v>800500255.91457593</v>
      </c>
      <c r="J22" s="12">
        <v>823945529.59201074</v>
      </c>
      <c r="K22" s="12">
        <v>846717499.22783995</v>
      </c>
      <c r="L22" s="12">
        <v>868812439.62656009</v>
      </c>
      <c r="M22" s="12">
        <v>890171896.9430666</v>
      </c>
      <c r="N22" s="12">
        <v>910975789.61483729</v>
      </c>
      <c r="O22" s="12">
        <v>931288461.12473607</v>
      </c>
      <c r="P22" s="12">
        <v>951098491.57205331</v>
      </c>
      <c r="Q22" s="12">
        <v>970458007.96614933</v>
      </c>
      <c r="R22" s="12">
        <v>989504067.63795197</v>
      </c>
      <c r="S22" s="12">
        <v>1008347394.215296</v>
      </c>
      <c r="T22" s="12">
        <v>1027128340.6390612</v>
      </c>
      <c r="U22" s="12">
        <v>1045925814.4946401</v>
      </c>
      <c r="V22" s="12">
        <v>1064759424.3588371</v>
      </c>
      <c r="W22" s="12">
        <v>1083561808.7198398</v>
      </c>
      <c r="X22" s="12">
        <v>1102456766.1918721</v>
      </c>
      <c r="Y22" s="12">
        <v>1121533718.5490615</v>
      </c>
      <c r="Z22" s="12">
        <v>1140579645.6017599</v>
      </c>
      <c r="AA22" s="12">
        <v>1159478753.702544</v>
      </c>
      <c r="AB22" s="12">
        <v>1178197829.2619519</v>
      </c>
      <c r="AC22" s="12">
        <v>1196720807.2142932</v>
      </c>
      <c r="AD22" s="12">
        <v>1215025689.2280002</v>
      </c>
      <c r="AE22" s="12">
        <v>1233091080.7945333</v>
      </c>
      <c r="AF22" s="12">
        <v>1250882876.7731202</v>
      </c>
      <c r="AG22" s="12">
        <v>1268393273.761488</v>
      </c>
      <c r="AH22" s="12">
        <v>1285595388.3430719</v>
      </c>
      <c r="AI22" s="12">
        <v>1302492201.005312</v>
      </c>
      <c r="AJ22" s="12">
        <v>1319054086.3507202</v>
      </c>
      <c r="AK22" s="12">
        <v>1345392355.9862399</v>
      </c>
    </row>
    <row r="23" spans="1:37">
      <c r="A23" t="s">
        <v>29</v>
      </c>
      <c r="B23" s="12">
        <v>69459838.620000005</v>
      </c>
      <c r="C23" s="12">
        <v>70615909.650000006</v>
      </c>
      <c r="D23" s="12">
        <v>71742618.972000003</v>
      </c>
      <c r="E23" s="12">
        <v>72845983.697999999</v>
      </c>
      <c r="F23" s="12">
        <v>73937489.30399999</v>
      </c>
      <c r="G23" s="12">
        <v>75028677.456</v>
      </c>
      <c r="H23" s="12">
        <v>76143831.539999992</v>
      </c>
      <c r="I23" s="12">
        <v>77307267.252000004</v>
      </c>
      <c r="J23" s="12">
        <v>78531307.349999994</v>
      </c>
      <c r="K23" s="12">
        <v>79829846.010000005</v>
      </c>
      <c r="L23" s="12">
        <v>81216315.263999999</v>
      </c>
      <c r="M23" s="12">
        <v>82706784.761999995</v>
      </c>
      <c r="N23" s="12">
        <v>84335570.189999998</v>
      </c>
      <c r="O23" s="12">
        <v>86090934.168000013</v>
      </c>
      <c r="P23" s="12">
        <v>87975423.005999997</v>
      </c>
      <c r="Q23" s="12">
        <v>89986550.634000003</v>
      </c>
      <c r="R23" s="12">
        <v>92101936.656000003</v>
      </c>
      <c r="S23" s="12">
        <v>94297027.230000004</v>
      </c>
      <c r="T23" s="12">
        <v>96570440.741999999</v>
      </c>
      <c r="U23" s="12">
        <v>98919973.932000011</v>
      </c>
      <c r="V23" s="12">
        <v>101348436.46800001</v>
      </c>
      <c r="W23" s="12">
        <v>103833195.066</v>
      </c>
      <c r="X23" s="12">
        <v>106387542.67199999</v>
      </c>
      <c r="Y23" s="12">
        <v>108986992.014</v>
      </c>
      <c r="Z23" s="12">
        <v>111612971.50800002</v>
      </c>
      <c r="AA23" s="12">
        <v>114261489.05399999</v>
      </c>
      <c r="AB23" s="12">
        <v>116930080.266</v>
      </c>
      <c r="AC23" s="12">
        <v>119615378.514</v>
      </c>
      <c r="AD23" s="12">
        <v>122318526.65400001</v>
      </c>
      <c r="AE23" s="12">
        <v>125037438.462</v>
      </c>
      <c r="AF23" s="12">
        <v>127766094.93000001</v>
      </c>
      <c r="AG23" s="12">
        <v>130505819.26199999</v>
      </c>
      <c r="AH23" s="12">
        <v>133256405.274</v>
      </c>
      <c r="AI23" s="12">
        <v>136016122.41600001</v>
      </c>
      <c r="AJ23" s="12">
        <v>138780133.764</v>
      </c>
      <c r="AK23" s="12">
        <v>141550517.17199999</v>
      </c>
    </row>
    <row r="24" spans="1:37">
      <c r="A24" t="s">
        <v>30</v>
      </c>
      <c r="B24" s="12">
        <v>153213269.43600002</v>
      </c>
      <c r="C24" s="12">
        <v>159384796.28800002</v>
      </c>
      <c r="D24" s="12">
        <v>165643342.28800002</v>
      </c>
      <c r="E24" s="12">
        <v>172005973.42000002</v>
      </c>
      <c r="F24" s="12">
        <v>178419386.51999998</v>
      </c>
      <c r="G24" s="12">
        <v>184912494.75599998</v>
      </c>
      <c r="H24" s="12">
        <v>191478520.528</v>
      </c>
      <c r="I24" s="12">
        <v>198154048.17200005</v>
      </c>
      <c r="J24" s="12">
        <v>204913130.34399998</v>
      </c>
      <c r="K24" s="12">
        <v>211735691.59999999</v>
      </c>
      <c r="L24" s="12">
        <v>218651718.40000001</v>
      </c>
      <c r="M24" s="12">
        <v>225629217.27599996</v>
      </c>
      <c r="N24" s="12">
        <v>232703057.17199996</v>
      </c>
      <c r="O24" s="12">
        <v>239840064.69600004</v>
      </c>
      <c r="P24" s="12">
        <v>247059011.58399999</v>
      </c>
      <c r="Q24" s="12">
        <v>254340185.34000006</v>
      </c>
      <c r="R24" s="12">
        <v>261697863.42399999</v>
      </c>
      <c r="S24" s="12">
        <v>269125154.48000002</v>
      </c>
      <c r="T24" s="12">
        <v>276635103.912</v>
      </c>
      <c r="U24" s="12">
        <v>284201134.18000001</v>
      </c>
      <c r="V24" s="12">
        <v>291866321.43600005</v>
      </c>
      <c r="W24" s="12">
        <v>299579757.25199997</v>
      </c>
      <c r="X24" s="12">
        <v>307384082.94000006</v>
      </c>
      <c r="Y24" s="12">
        <v>315238628.65599996</v>
      </c>
      <c r="Z24" s="12">
        <v>323181524.43200004</v>
      </c>
      <c r="AA24" s="12">
        <v>331174188.472</v>
      </c>
      <c r="AB24" s="12">
        <v>339248142.74399996</v>
      </c>
      <c r="AC24" s="12">
        <v>347369698.85599995</v>
      </c>
      <c r="AD24" s="12">
        <v>355556856.42799985</v>
      </c>
      <c r="AE24" s="12">
        <v>363804312.796</v>
      </c>
      <c r="AF24" s="12">
        <v>372089524.43599999</v>
      </c>
      <c r="AG24" s="12">
        <v>380410386.69599998</v>
      </c>
      <c r="AH24" s="12">
        <v>388790936.25199997</v>
      </c>
      <c r="AI24" s="12">
        <v>397205866.72800004</v>
      </c>
      <c r="AJ24" s="12">
        <v>405662655.78799999</v>
      </c>
      <c r="AK24" s="12">
        <v>414151161.44</v>
      </c>
    </row>
    <row r="25" spans="1:37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</row>
    <row r="26" spans="1:37">
      <c r="A26" s="4" t="s">
        <v>32</v>
      </c>
      <c r="B26" s="12"/>
      <c r="C26" s="12"/>
      <c r="D26" s="12">
        <f t="shared" ref="D26:AK26" si="0">SUM(D10:D19)</f>
        <v>989775411.30000007</v>
      </c>
      <c r="E26" s="12">
        <f t="shared" si="0"/>
        <v>1043366804.6999999</v>
      </c>
      <c r="F26" s="12">
        <f t="shared" si="0"/>
        <v>1097065135.5000002</v>
      </c>
      <c r="G26" s="12">
        <f t="shared" si="0"/>
        <v>1146922634.8420799</v>
      </c>
      <c r="H26" s="12">
        <f t="shared" si="0"/>
        <v>1196123055.37024</v>
      </c>
      <c r="I26" s="12">
        <f t="shared" si="0"/>
        <v>1244994084.1339202</v>
      </c>
      <c r="J26" s="12">
        <f t="shared" si="0"/>
        <v>1293564118.6380804</v>
      </c>
      <c r="K26" s="12">
        <f t="shared" si="0"/>
        <v>1341897239.5156</v>
      </c>
      <c r="L26" s="12">
        <f t="shared" si="0"/>
        <v>1388591545.9526401</v>
      </c>
      <c r="M26" s="12">
        <f t="shared" si="0"/>
        <v>1432434569.9120798</v>
      </c>
      <c r="N26" s="12">
        <f t="shared" si="0"/>
        <v>1473622950.2416</v>
      </c>
      <c r="O26" s="12">
        <f t="shared" si="0"/>
        <v>1512284076.3396003</v>
      </c>
      <c r="P26" s="12">
        <f t="shared" si="0"/>
        <v>1548505635.8655999</v>
      </c>
      <c r="Q26" s="12">
        <f t="shared" si="0"/>
        <v>1582401680.0936797</v>
      </c>
      <c r="R26" s="12">
        <f t="shared" si="0"/>
        <v>1614176387.4864001</v>
      </c>
      <c r="S26" s="12">
        <f t="shared" si="0"/>
        <v>1644021391.7981596</v>
      </c>
      <c r="T26" s="12">
        <f t="shared" si="0"/>
        <v>1672060612.6231997</v>
      </c>
      <c r="U26" s="12">
        <f t="shared" si="0"/>
        <v>1698418045.8419998</v>
      </c>
      <c r="V26" s="12">
        <f t="shared" si="0"/>
        <v>1722637259.7964802</v>
      </c>
      <c r="W26" s="12">
        <f t="shared" si="0"/>
        <v>1744321335.9344001</v>
      </c>
      <c r="X26" s="12">
        <f t="shared" si="0"/>
        <v>1763693338.2561603</v>
      </c>
      <c r="Y26" s="12">
        <f t="shared" si="0"/>
        <v>1780963443.5694404</v>
      </c>
      <c r="Z26" s="12">
        <f t="shared" si="0"/>
        <v>1796319171.7031999</v>
      </c>
      <c r="AA26" s="12">
        <f t="shared" si="0"/>
        <v>1809942888.0350399</v>
      </c>
      <c r="AB26" s="12">
        <f t="shared" si="0"/>
        <v>1822006104.6111999</v>
      </c>
      <c r="AC26" s="12">
        <f t="shared" si="0"/>
        <v>1832657807.2966399</v>
      </c>
      <c r="AD26" s="12">
        <f t="shared" si="0"/>
        <v>1842052002.7622397</v>
      </c>
      <c r="AE26" s="12">
        <f t="shared" si="0"/>
        <v>1850282279.5599997</v>
      </c>
      <c r="AF26" s="12">
        <f t="shared" si="0"/>
        <v>1857478565.0144002</v>
      </c>
      <c r="AG26" s="12">
        <f t="shared" si="0"/>
        <v>1863761395.9024801</v>
      </c>
      <c r="AH26" s="12">
        <f t="shared" si="0"/>
        <v>1869243527.1329603</v>
      </c>
      <c r="AI26" s="12">
        <f t="shared" si="0"/>
        <v>1874029435.3288002</v>
      </c>
      <c r="AJ26" s="12">
        <f t="shared" si="0"/>
        <v>1878208781.8559999</v>
      </c>
      <c r="AK26" s="12">
        <f t="shared" si="0"/>
        <v>1892521818.204</v>
      </c>
    </row>
    <row r="27" spans="1:37">
      <c r="A27" s="8" t="s">
        <v>17</v>
      </c>
      <c r="B27" s="22"/>
      <c r="C27" s="22"/>
      <c r="D27" s="22"/>
      <c r="E27" s="22"/>
      <c r="F27" s="22">
        <v>1</v>
      </c>
      <c r="G27" s="22">
        <f>G26/$F$26</f>
        <v>1.045446252668814</v>
      </c>
      <c r="H27" s="22">
        <f t="shared" ref="H27:AK27" si="1">H26/$F$26</f>
        <v>1.0902935629479218</v>
      </c>
      <c r="I27" s="22">
        <f t="shared" si="1"/>
        <v>1.1348406250887735</v>
      </c>
      <c r="J27" s="22">
        <f t="shared" si="1"/>
        <v>1.1791133240676028</v>
      </c>
      <c r="K27" s="22">
        <f t="shared" si="1"/>
        <v>1.2231700708490882</v>
      </c>
      <c r="L27" s="22">
        <f t="shared" si="1"/>
        <v>1.2657330007299641</v>
      </c>
      <c r="M27" s="22">
        <f t="shared" si="1"/>
        <v>1.3056969213220244</v>
      </c>
      <c r="N27" s="22">
        <f t="shared" si="1"/>
        <v>1.343241073439071</v>
      </c>
      <c r="O27" s="22">
        <f t="shared" si="1"/>
        <v>1.3784815754356821</v>
      </c>
      <c r="P27" s="22">
        <f t="shared" si="1"/>
        <v>1.4114983566220527</v>
      </c>
      <c r="Q27" s="22">
        <f t="shared" si="1"/>
        <v>1.4423953773469262</v>
      </c>
      <c r="R27" s="22">
        <f t="shared" si="1"/>
        <v>1.4713587509557675</v>
      </c>
      <c r="S27" s="22">
        <f t="shared" si="1"/>
        <v>1.4985631560052062</v>
      </c>
      <c r="T27" s="22">
        <f t="shared" si="1"/>
        <v>1.524121548043853</v>
      </c>
      <c r="U27" s="22">
        <f t="shared" si="1"/>
        <v>1.5481469521569711</v>
      </c>
      <c r="V27" s="22">
        <f t="shared" si="1"/>
        <v>1.5702233204333562</v>
      </c>
      <c r="W27" s="22">
        <f t="shared" si="1"/>
        <v>1.5899888525209629</v>
      </c>
      <c r="X27" s="22">
        <f t="shared" si="1"/>
        <v>1.6076468763655829</v>
      </c>
      <c r="Y27" s="22">
        <f t="shared" si="1"/>
        <v>1.6233889729416526</v>
      </c>
      <c r="Z27" s="22">
        <f t="shared" si="1"/>
        <v>1.6373860708685328</v>
      </c>
      <c r="AA27" s="22">
        <f t="shared" si="1"/>
        <v>1.6498044003651045</v>
      </c>
      <c r="AB27" s="22">
        <f t="shared" si="1"/>
        <v>1.66080029859011</v>
      </c>
      <c r="AC27" s="22">
        <f t="shared" si="1"/>
        <v>1.6705095695720791</v>
      </c>
      <c r="AD27" s="22">
        <f t="shared" si="1"/>
        <v>1.6790725939191413</v>
      </c>
      <c r="AE27" s="22">
        <f t="shared" si="1"/>
        <v>1.6865746797401524</v>
      </c>
      <c r="AF27" s="22">
        <f t="shared" si="1"/>
        <v>1.6931342587674456</v>
      </c>
      <c r="AG27" s="22">
        <f t="shared" si="1"/>
        <v>1.6988612030342658</v>
      </c>
      <c r="AH27" s="22">
        <f t="shared" si="1"/>
        <v>1.7038582912226363</v>
      </c>
      <c r="AI27" s="22">
        <f t="shared" si="1"/>
        <v>1.70822075616749</v>
      </c>
      <c r="AJ27" s="22">
        <f t="shared" si="1"/>
        <v>1.7120303262576879</v>
      </c>
      <c r="AK27" s="22">
        <f t="shared" si="1"/>
        <v>1.7250769867383136</v>
      </c>
    </row>
    <row r="28" spans="1:37">
      <c r="A28" s="4" t="s">
        <v>33</v>
      </c>
      <c r="B28" s="12"/>
      <c r="C28" s="12"/>
      <c r="D28" s="12">
        <f t="shared" ref="D28:AK28" si="2">SUM(D22:D24)</f>
        <v>907807385.39999998</v>
      </c>
      <c r="E28" s="12">
        <f t="shared" si="2"/>
        <v>943438747.95799994</v>
      </c>
      <c r="F28" s="12">
        <f t="shared" si="2"/>
        <v>979219048.10399997</v>
      </c>
      <c r="G28" s="12">
        <f t="shared" si="2"/>
        <v>1011940078.2191572</v>
      </c>
      <c r="H28" s="12">
        <f t="shared" si="2"/>
        <v>1044093803.3242985</v>
      </c>
      <c r="I28" s="12">
        <f t="shared" si="2"/>
        <v>1075961571.3385758</v>
      </c>
      <c r="J28" s="12">
        <f t="shared" si="2"/>
        <v>1107389967.2860107</v>
      </c>
      <c r="K28" s="12">
        <f t="shared" si="2"/>
        <v>1138283036.8378398</v>
      </c>
      <c r="L28" s="12">
        <f t="shared" si="2"/>
        <v>1168680473.2905602</v>
      </c>
      <c r="M28" s="12">
        <f t="shared" si="2"/>
        <v>1198507898.9810665</v>
      </c>
      <c r="N28" s="12">
        <f t="shared" si="2"/>
        <v>1228014416.9768372</v>
      </c>
      <c r="O28" s="12">
        <f t="shared" si="2"/>
        <v>1257219459.9887362</v>
      </c>
      <c r="P28" s="12">
        <f t="shared" si="2"/>
        <v>1286132926.1620533</v>
      </c>
      <c r="Q28" s="12">
        <f t="shared" si="2"/>
        <v>1314784743.9401495</v>
      </c>
      <c r="R28" s="12">
        <f t="shared" si="2"/>
        <v>1343303867.717952</v>
      </c>
      <c r="S28" s="12">
        <f t="shared" si="2"/>
        <v>1371769575.9252961</v>
      </c>
      <c r="T28" s="12">
        <f t="shared" si="2"/>
        <v>1400333885.2930613</v>
      </c>
      <c r="U28" s="12">
        <f t="shared" si="2"/>
        <v>1429046922.6066401</v>
      </c>
      <c r="V28" s="12">
        <f t="shared" si="2"/>
        <v>1457974182.2628372</v>
      </c>
      <c r="W28" s="12">
        <f t="shared" si="2"/>
        <v>1486974761.0378399</v>
      </c>
      <c r="X28" s="12">
        <f t="shared" si="2"/>
        <v>1516228391.8038721</v>
      </c>
      <c r="Y28" s="12">
        <f t="shared" si="2"/>
        <v>1545759339.2190614</v>
      </c>
      <c r="Z28" s="12">
        <f t="shared" si="2"/>
        <v>1575374141.54176</v>
      </c>
      <c r="AA28" s="12">
        <f t="shared" si="2"/>
        <v>1604914431.2285438</v>
      </c>
      <c r="AB28" s="12">
        <f t="shared" si="2"/>
        <v>1634376052.2719519</v>
      </c>
      <c r="AC28" s="12">
        <f t="shared" si="2"/>
        <v>1663705884.5842931</v>
      </c>
      <c r="AD28" s="12">
        <f t="shared" si="2"/>
        <v>1692901072.3099999</v>
      </c>
      <c r="AE28" s="12">
        <f t="shared" si="2"/>
        <v>1721932832.0525331</v>
      </c>
      <c r="AF28" s="12">
        <f t="shared" si="2"/>
        <v>1750738496.1391201</v>
      </c>
      <c r="AG28" s="12">
        <f t="shared" si="2"/>
        <v>1779309479.7194881</v>
      </c>
      <c r="AH28" s="12">
        <f t="shared" si="2"/>
        <v>1807642729.869072</v>
      </c>
      <c r="AI28" s="12">
        <f t="shared" si="2"/>
        <v>1835714190.149312</v>
      </c>
      <c r="AJ28" s="12">
        <f t="shared" si="2"/>
        <v>1863496875.90272</v>
      </c>
      <c r="AK28" s="12">
        <f t="shared" si="2"/>
        <v>1901094034.5982399</v>
      </c>
    </row>
    <row r="29" spans="1:37">
      <c r="A29" s="8" t="s">
        <v>17</v>
      </c>
      <c r="B29" s="22"/>
      <c r="C29" s="22"/>
      <c r="D29" s="22"/>
      <c r="E29" s="22"/>
      <c r="F29" s="22">
        <v>1</v>
      </c>
      <c r="G29" s="22">
        <f>G28/$F$28</f>
        <v>1.0334154346553133</v>
      </c>
      <c r="H29" s="22">
        <f t="shared" ref="H29:AK29" si="3">H28/$F$28</f>
        <v>1.066251524973816</v>
      </c>
      <c r="I29" s="22">
        <f t="shared" si="3"/>
        <v>1.0987955896302184</v>
      </c>
      <c r="J29" s="22">
        <f t="shared" si="3"/>
        <v>1.1308909578813648</v>
      </c>
      <c r="K29" s="22">
        <f t="shared" si="3"/>
        <v>1.1624396390591314</v>
      </c>
      <c r="L29" s="22">
        <f t="shared" si="3"/>
        <v>1.193482168829745</v>
      </c>
      <c r="M29" s="22">
        <f t="shared" si="3"/>
        <v>1.2239425910899728</v>
      </c>
      <c r="N29" s="22">
        <f t="shared" si="3"/>
        <v>1.2540752953637533</v>
      </c>
      <c r="O29" s="22">
        <f t="shared" si="3"/>
        <v>1.2839001267622507</v>
      </c>
      <c r="P29" s="22">
        <f t="shared" si="3"/>
        <v>1.3134271934888433</v>
      </c>
      <c r="Q29" s="22">
        <f t="shared" si="3"/>
        <v>1.3426870591272548</v>
      </c>
      <c r="R29" s="22">
        <f t="shared" si="3"/>
        <v>1.3718114147380063</v>
      </c>
      <c r="S29" s="22">
        <f t="shared" si="3"/>
        <v>1.4008812211949582</v>
      </c>
      <c r="T29" s="22">
        <f t="shared" si="3"/>
        <v>1.4300517213226596</v>
      </c>
      <c r="U29" s="22">
        <f t="shared" si="3"/>
        <v>1.4593741056953635</v>
      </c>
      <c r="V29" s="22">
        <f t="shared" si="3"/>
        <v>1.4889152586296401</v>
      </c>
      <c r="W29" s="22">
        <f t="shared" si="3"/>
        <v>1.5185312866584604</v>
      </c>
      <c r="X29" s="22">
        <f t="shared" si="3"/>
        <v>1.5484057369386854</v>
      </c>
      <c r="Y29" s="22">
        <f t="shared" si="3"/>
        <v>1.5785633890721567</v>
      </c>
      <c r="Z29" s="22">
        <f t="shared" si="3"/>
        <v>1.6088066756790091</v>
      </c>
      <c r="AA29" s="22">
        <f t="shared" si="3"/>
        <v>1.6389738683454314</v>
      </c>
      <c r="AB29" s="22">
        <f t="shared" si="3"/>
        <v>1.6690607228653191</v>
      </c>
      <c r="AC29" s="22">
        <f t="shared" si="3"/>
        <v>1.6990129918383652</v>
      </c>
      <c r="AD29" s="22">
        <f t="shared" si="3"/>
        <v>1.7288277588021368</v>
      </c>
      <c r="AE29" s="22">
        <f t="shared" si="3"/>
        <v>1.758475629519874</v>
      </c>
      <c r="AF29" s="22">
        <f t="shared" si="3"/>
        <v>1.7878926063876766</v>
      </c>
      <c r="AG29" s="22">
        <f t="shared" si="3"/>
        <v>1.8170699223678837</v>
      </c>
      <c r="AH29" s="22">
        <f t="shared" si="3"/>
        <v>1.8460044597468732</v>
      </c>
      <c r="AI29" s="22">
        <f t="shared" si="3"/>
        <v>1.8746716515612003</v>
      </c>
      <c r="AJ29" s="22">
        <f t="shared" si="3"/>
        <v>1.9030439404859325</v>
      </c>
      <c r="AK29" s="22">
        <f t="shared" si="3"/>
        <v>1.941438984749335</v>
      </c>
    </row>
    <row r="30" spans="1:37">
      <c r="A30" s="4" t="s">
        <v>10</v>
      </c>
      <c r="B30" s="12"/>
      <c r="C30" s="12"/>
      <c r="D30" s="12">
        <f t="shared" ref="D30:AK30" si="4">SUM(D20:D21)</f>
        <v>164878851.19999999</v>
      </c>
      <c r="E30" s="12">
        <f t="shared" si="4"/>
        <v>172476613.60000002</v>
      </c>
      <c r="F30" s="12">
        <f t="shared" si="4"/>
        <v>180682556</v>
      </c>
      <c r="G30" s="12">
        <f t="shared" si="4"/>
        <v>189542353.19999999</v>
      </c>
      <c r="H30" s="12">
        <f t="shared" si="4"/>
        <v>199181827.19999999</v>
      </c>
      <c r="I30" s="12">
        <f t="shared" si="4"/>
        <v>209680173.60000002</v>
      </c>
      <c r="J30" s="12">
        <f t="shared" si="4"/>
        <v>221066006.39999998</v>
      </c>
      <c r="K30" s="12">
        <f t="shared" si="4"/>
        <v>233314040.40000001</v>
      </c>
      <c r="L30" s="12">
        <f t="shared" si="4"/>
        <v>245509882.40000001</v>
      </c>
      <c r="M30" s="12">
        <f t="shared" si="4"/>
        <v>256889526.40000001</v>
      </c>
      <c r="N30" s="12">
        <f t="shared" si="4"/>
        <v>267522012.40000001</v>
      </c>
      <c r="O30" s="12">
        <f t="shared" si="4"/>
        <v>277454900.80000001</v>
      </c>
      <c r="P30" s="12">
        <f t="shared" si="4"/>
        <v>286732554.80000001</v>
      </c>
      <c r="Q30" s="12">
        <f t="shared" si="4"/>
        <v>295396411.60000002</v>
      </c>
      <c r="R30" s="12">
        <f t="shared" si="4"/>
        <v>303509750</v>
      </c>
      <c r="S30" s="12">
        <f t="shared" si="4"/>
        <v>311128921.19999999</v>
      </c>
      <c r="T30" s="12">
        <f t="shared" si="4"/>
        <v>318299719.19999999</v>
      </c>
      <c r="U30" s="12">
        <f t="shared" si="4"/>
        <v>325074235.19999999</v>
      </c>
      <c r="V30" s="12">
        <f t="shared" si="4"/>
        <v>331258311.60000002</v>
      </c>
      <c r="W30" s="12">
        <f t="shared" si="4"/>
        <v>336744190</v>
      </c>
      <c r="X30" s="12">
        <f t="shared" si="4"/>
        <v>341618388.80000001</v>
      </c>
      <c r="Y30" s="12">
        <f t="shared" si="4"/>
        <v>345928121.19999999</v>
      </c>
      <c r="Z30" s="12">
        <f t="shared" si="4"/>
        <v>349737644.80000001</v>
      </c>
      <c r="AA30" s="12">
        <f t="shared" si="4"/>
        <v>353104055.60000002</v>
      </c>
      <c r="AB30" s="12">
        <f t="shared" si="4"/>
        <v>356081074.39999998</v>
      </c>
      <c r="AC30" s="12">
        <f t="shared" si="4"/>
        <v>358717915.60000002</v>
      </c>
      <c r="AD30" s="12">
        <f t="shared" si="4"/>
        <v>361057940.39999998</v>
      </c>
      <c r="AE30" s="12">
        <f t="shared" si="4"/>
        <v>363141744.80000001</v>
      </c>
      <c r="AF30" s="12">
        <f t="shared" si="4"/>
        <v>365004732.39999998</v>
      </c>
      <c r="AG30" s="12">
        <f t="shared" si="4"/>
        <v>366680940</v>
      </c>
      <c r="AH30" s="12">
        <f t="shared" si="4"/>
        <v>368200799.20000005</v>
      </c>
      <c r="AI30" s="12">
        <f t="shared" si="4"/>
        <v>369590208.39999998</v>
      </c>
      <c r="AJ30" s="12">
        <f t="shared" si="4"/>
        <v>370871730.39999998</v>
      </c>
      <c r="AK30" s="12">
        <f t="shared" si="4"/>
        <v>372064458.39999998</v>
      </c>
    </row>
    <row r="31" spans="1:37">
      <c r="A31" s="8" t="s">
        <v>17</v>
      </c>
      <c r="B31" s="22"/>
      <c r="C31" s="22"/>
      <c r="D31" s="22"/>
      <c r="E31" s="22"/>
      <c r="F31" s="22">
        <v>1</v>
      </c>
      <c r="G31" s="22">
        <f>G30/$F$30</f>
        <v>1.0490351553361907</v>
      </c>
      <c r="H31" s="22">
        <f t="shared" ref="H31:AK31" si="5">H30/$F$30</f>
        <v>1.1023854854034718</v>
      </c>
      <c r="I31" s="22">
        <f t="shared" si="5"/>
        <v>1.1604893036824209</v>
      </c>
      <c r="J31" s="22">
        <f t="shared" si="5"/>
        <v>1.2235049763187984</v>
      </c>
      <c r="K31" s="22">
        <f t="shared" si="5"/>
        <v>1.2912925606387813</v>
      </c>
      <c r="L31" s="22">
        <f t="shared" si="5"/>
        <v>1.3587912847546832</v>
      </c>
      <c r="M31" s="22">
        <f t="shared" si="5"/>
        <v>1.4217727050529438</v>
      </c>
      <c r="N31" s="22">
        <f t="shared" si="5"/>
        <v>1.4806189281493229</v>
      </c>
      <c r="O31" s="22">
        <f t="shared" si="5"/>
        <v>1.5355931803399991</v>
      </c>
      <c r="P31" s="22">
        <f t="shared" si="5"/>
        <v>1.5869409927984415</v>
      </c>
      <c r="Q31" s="22">
        <f t="shared" si="5"/>
        <v>1.6348917025504113</v>
      </c>
      <c r="R31" s="22">
        <f t="shared" si="5"/>
        <v>1.6797955304550816</v>
      </c>
      <c r="S31" s="22">
        <f t="shared" si="5"/>
        <v>1.7219643560942319</v>
      </c>
      <c r="T31" s="22">
        <f t="shared" si="5"/>
        <v>1.7616516295020754</v>
      </c>
      <c r="U31" s="22">
        <f t="shared" si="5"/>
        <v>1.7991456529981786</v>
      </c>
      <c r="V31" s="22">
        <f t="shared" si="5"/>
        <v>1.833371848027211</v>
      </c>
      <c r="W31" s="22">
        <f t="shared" si="5"/>
        <v>1.8637338183327448</v>
      </c>
      <c r="X31" s="22">
        <f t="shared" si="5"/>
        <v>1.8907104059342619</v>
      </c>
      <c r="Y31" s="22">
        <f t="shared" si="5"/>
        <v>1.9145629155257244</v>
      </c>
      <c r="Z31" s="22">
        <f t="shared" si="5"/>
        <v>1.9356469852020468</v>
      </c>
      <c r="AA31" s="22">
        <f t="shared" si="5"/>
        <v>1.9542786166916968</v>
      </c>
      <c r="AB31" s="22">
        <f t="shared" si="5"/>
        <v>1.9707551314472216</v>
      </c>
      <c r="AC31" s="22">
        <f t="shared" si="5"/>
        <v>1.9853489099412565</v>
      </c>
      <c r="AD31" s="22">
        <f t="shared" si="5"/>
        <v>1.9982999377095372</v>
      </c>
      <c r="AE31" s="22">
        <f t="shared" si="5"/>
        <v>2.0098328960987248</v>
      </c>
      <c r="AF31" s="22">
        <f t="shared" si="5"/>
        <v>2.0201437287615081</v>
      </c>
      <c r="AG31" s="22">
        <f t="shared" si="5"/>
        <v>2.029420814702223</v>
      </c>
      <c r="AH31" s="22">
        <f t="shared" si="5"/>
        <v>2.0378325796985077</v>
      </c>
      <c r="AI31" s="22">
        <f t="shared" si="5"/>
        <v>2.0455223602216472</v>
      </c>
      <c r="AJ31" s="22">
        <f t="shared" si="5"/>
        <v>2.0526150316359262</v>
      </c>
      <c r="AK31" s="22">
        <f t="shared" si="5"/>
        <v>2.0592162665664304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18"/>
  <sheetViews>
    <sheetView topLeftCell="B1" workbookViewId="0">
      <selection activeCell="F11" sqref="F11:G11"/>
    </sheetView>
  </sheetViews>
  <sheetFormatPr baseColWidth="10" defaultColWidth="8.83203125" defaultRowHeight="15"/>
  <cols>
    <col min="1" max="1" width="38" customWidth="1"/>
  </cols>
  <sheetData>
    <row r="1" spans="1:39">
      <c r="A1" t="s">
        <v>46</v>
      </c>
    </row>
    <row r="2" spans="1:39">
      <c r="A2" t="s">
        <v>64</v>
      </c>
    </row>
    <row r="4" spans="1:39">
      <c r="A4" s="1" t="s">
        <v>60</v>
      </c>
    </row>
    <row r="5" spans="1:39">
      <c r="A5" s="11" t="s">
        <v>61</v>
      </c>
    </row>
    <row r="9" spans="1:39">
      <c r="A9" s="4" t="s">
        <v>36</v>
      </c>
      <c r="B9" s="3">
        <v>2013</v>
      </c>
      <c r="C9" s="3">
        <v>2014</v>
      </c>
      <c r="D9" s="3">
        <v>2015</v>
      </c>
      <c r="E9" s="3">
        <v>2016</v>
      </c>
      <c r="F9" s="3">
        <v>2017</v>
      </c>
      <c r="G9" s="3">
        <v>2018</v>
      </c>
      <c r="H9" s="3">
        <v>2019</v>
      </c>
      <c r="I9" s="3">
        <v>2020</v>
      </c>
      <c r="J9" s="3">
        <v>2021</v>
      </c>
      <c r="K9" s="3">
        <v>2022</v>
      </c>
      <c r="L9" s="3">
        <v>2023</v>
      </c>
      <c r="M9" s="3">
        <v>2024</v>
      </c>
      <c r="N9" s="3">
        <v>2025</v>
      </c>
      <c r="O9" s="3">
        <v>2026</v>
      </c>
      <c r="P9" s="3">
        <v>2027</v>
      </c>
      <c r="Q9" s="3">
        <v>2028</v>
      </c>
      <c r="R9" s="3">
        <v>2029</v>
      </c>
      <c r="S9" s="3">
        <v>2030</v>
      </c>
      <c r="T9" s="3">
        <v>2031</v>
      </c>
      <c r="U9" s="3">
        <v>2032</v>
      </c>
      <c r="V9" s="3">
        <v>2033</v>
      </c>
      <c r="W9" s="3">
        <v>2034</v>
      </c>
      <c r="X9" s="3">
        <v>2035</v>
      </c>
      <c r="Y9" s="3">
        <v>2036</v>
      </c>
      <c r="Z9" s="3">
        <v>2037</v>
      </c>
      <c r="AA9" s="3">
        <v>2038</v>
      </c>
      <c r="AB9" s="3">
        <v>2039</v>
      </c>
      <c r="AC9" s="3">
        <v>2040</v>
      </c>
      <c r="AD9" s="3">
        <v>2041</v>
      </c>
      <c r="AE9" s="3">
        <v>2042</v>
      </c>
      <c r="AF9" s="3">
        <v>2043</v>
      </c>
      <c r="AG9" s="3">
        <v>2044</v>
      </c>
      <c r="AH9" s="3">
        <v>2045</v>
      </c>
      <c r="AI9" s="3">
        <v>2046</v>
      </c>
      <c r="AJ9" s="3">
        <v>2047</v>
      </c>
      <c r="AK9" s="3">
        <v>2048</v>
      </c>
      <c r="AL9" s="3">
        <v>2049</v>
      </c>
      <c r="AM9" s="3">
        <v>2050</v>
      </c>
    </row>
    <row r="10" spans="1:39">
      <c r="A10" t="s">
        <v>13</v>
      </c>
      <c r="B10" s="12">
        <v>210.86106691846899</v>
      </c>
      <c r="C10" s="12">
        <v>221.6149813313109</v>
      </c>
      <c r="D10" s="12">
        <v>239.3441798378158</v>
      </c>
      <c r="E10" s="12">
        <v>259.46721426329538</v>
      </c>
      <c r="F10" s="12">
        <v>279.17105136282845</v>
      </c>
      <c r="G10" s="12">
        <v>301.50473547185476</v>
      </c>
      <c r="H10" s="12">
        <v>325.62511430960308</v>
      </c>
      <c r="I10" s="12">
        <v>343.59646196221286</v>
      </c>
      <c r="J10" s="12">
        <v>362.4875013210625</v>
      </c>
      <c r="K10" s="12">
        <v>382.41717584518597</v>
      </c>
      <c r="L10" s="12">
        <v>403.44259001602802</v>
      </c>
      <c r="M10" s="12">
        <v>425.62398793702056</v>
      </c>
      <c r="N10" s="12">
        <v>449.02492595096635</v>
      </c>
      <c r="O10" s="12">
        <v>472.21131087829741</v>
      </c>
      <c r="P10" s="12">
        <v>496.59497554429737</v>
      </c>
      <c r="Q10" s="12">
        <v>522.23774410901183</v>
      </c>
      <c r="R10" s="12">
        <v>549.20463315831785</v>
      </c>
      <c r="S10" s="12">
        <v>577.56401655182026</v>
      </c>
      <c r="T10" s="12">
        <v>598.22148488591483</v>
      </c>
      <c r="U10" s="12">
        <v>619.61779945305864</v>
      </c>
      <c r="V10" s="12">
        <v>641.77938622894533</v>
      </c>
      <c r="W10" s="12">
        <v>664.73361635506944</v>
      </c>
      <c r="X10" s="12">
        <v>688.50883994403921</v>
      </c>
      <c r="Y10" s="12">
        <v>711.02481306173343</v>
      </c>
      <c r="Z10" s="12">
        <v>734.277115208228</v>
      </c>
      <c r="AA10" s="12">
        <v>758.28982619725502</v>
      </c>
      <c r="AB10" s="12">
        <v>783.08781331310092</v>
      </c>
      <c r="AC10" s="12">
        <v>808.69675706287887</v>
      </c>
      <c r="AD10" s="12">
        <v>832.80175273448015</v>
      </c>
      <c r="AE10" s="12">
        <v>857.62525112202945</v>
      </c>
      <c r="AF10" s="12">
        <v>883.18866878829465</v>
      </c>
      <c r="AG10" s="12">
        <v>909.51406066407026</v>
      </c>
      <c r="AH10" s="12">
        <v>936.62413907614882</v>
      </c>
      <c r="AI10" s="12">
        <v>962.03279438668005</v>
      </c>
      <c r="AJ10" s="12">
        <v>988.13073341066172</v>
      </c>
      <c r="AK10" s="12">
        <v>1014.9366549746079</v>
      </c>
      <c r="AL10" s="12">
        <v>1042.4697651651163</v>
      </c>
      <c r="AM10" s="12">
        <v>1070.7497910897712</v>
      </c>
    </row>
    <row r="11" spans="1:39">
      <c r="A11" s="1" t="s">
        <v>15</v>
      </c>
      <c r="B11" s="13"/>
      <c r="C11" s="13"/>
      <c r="D11" s="13"/>
      <c r="E11" s="13"/>
      <c r="F11" s="13"/>
      <c r="G11" s="13"/>
      <c r="H11" s="13">
        <v>1</v>
      </c>
      <c r="I11" s="13">
        <f>I10/$H$10</f>
        <v>1.0551902997123332</v>
      </c>
      <c r="J11" s="13">
        <f t="shared" ref="J11:AM11" si="0">J10/$H$10</f>
        <v>1.1132049875502257</v>
      </c>
      <c r="K11" s="13">
        <f t="shared" si="0"/>
        <v>1.1744093408028264</v>
      </c>
      <c r="L11" s="13">
        <f t="shared" si="0"/>
        <v>1.2389787282575397</v>
      </c>
      <c r="M11" s="13">
        <f t="shared" si="0"/>
        <v>1.3070981605317424</v>
      </c>
      <c r="N11" s="13">
        <f t="shared" si="0"/>
        <v>1.3789628201835662</v>
      </c>
      <c r="O11" s="13">
        <f t="shared" si="0"/>
        <v>1.450168583831408</v>
      </c>
      <c r="P11" s="13">
        <f t="shared" si="0"/>
        <v>1.5250512129483256</v>
      </c>
      <c r="Q11" s="13">
        <f t="shared" si="0"/>
        <v>1.6038005705311484</v>
      </c>
      <c r="R11" s="13">
        <f t="shared" si="0"/>
        <v>1.6866163235681393</v>
      </c>
      <c r="S11" s="13">
        <f t="shared" si="0"/>
        <v>1.7737084492895554</v>
      </c>
      <c r="T11" s="13">
        <f t="shared" si="0"/>
        <v>1.8371478691202183</v>
      </c>
      <c r="U11" s="13">
        <f t="shared" si="0"/>
        <v>1.9028562976992263</v>
      </c>
      <c r="V11" s="13">
        <f t="shared" si="0"/>
        <v>1.9709148896259396</v>
      </c>
      <c r="W11" s="13">
        <f t="shared" si="0"/>
        <v>2.0414077021192023</v>
      </c>
      <c r="X11" s="13">
        <f t="shared" si="0"/>
        <v>2.1144217988340044</v>
      </c>
      <c r="Y11" s="13">
        <f t="shared" si="0"/>
        <v>2.1835687169561924</v>
      </c>
      <c r="Z11" s="13">
        <f t="shared" si="0"/>
        <v>2.2549769134517068</v>
      </c>
      <c r="AA11" s="13">
        <f t="shared" si="0"/>
        <v>2.3287203378185262</v>
      </c>
      <c r="AB11" s="13">
        <f t="shared" si="0"/>
        <v>2.4048753578894537</v>
      </c>
      <c r="AC11" s="13">
        <f t="shared" si="0"/>
        <v>2.4835208389177659</v>
      </c>
      <c r="AD11" s="13">
        <f t="shared" si="0"/>
        <v>2.5575476710394502</v>
      </c>
      <c r="AE11" s="13">
        <f t="shared" si="0"/>
        <v>2.63378103663897</v>
      </c>
      <c r="AF11" s="13">
        <f t="shared" si="0"/>
        <v>2.7122867063274558</v>
      </c>
      <c r="AG11" s="13">
        <f t="shared" si="0"/>
        <v>2.793132411154589</v>
      </c>
      <c r="AH11" s="13">
        <f t="shared" si="0"/>
        <v>2.8763879010438065</v>
      </c>
      <c r="AI11" s="13">
        <f t="shared" si="0"/>
        <v>2.9544182930312406</v>
      </c>
      <c r="AJ11" s="13">
        <f t="shared" si="0"/>
        <v>3.0345654864665965</v>
      </c>
      <c r="AK11" s="13">
        <f t="shared" si="0"/>
        <v>3.1168869057489532</v>
      </c>
      <c r="AL11" s="13">
        <f t="shared" si="0"/>
        <v>3.2014415330813217</v>
      </c>
      <c r="AM11" s="13">
        <f t="shared" si="0"/>
        <v>3.2882899507306016</v>
      </c>
    </row>
    <row r="18" ht="105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21"/>
  <sheetViews>
    <sheetView topLeftCell="B1" workbookViewId="0">
      <selection activeCell="G10" sqref="F10:G10"/>
    </sheetView>
  </sheetViews>
  <sheetFormatPr baseColWidth="10" defaultColWidth="8.83203125" defaultRowHeight="15"/>
  <cols>
    <col min="1" max="1" width="38.1640625" customWidth="1"/>
  </cols>
  <sheetData>
    <row r="1" spans="1:39">
      <c r="A1" t="s">
        <v>46</v>
      </c>
    </row>
    <row r="2" spans="1:39">
      <c r="A2" t="s">
        <v>65</v>
      </c>
    </row>
    <row r="3" spans="1:39">
      <c r="A3" t="s">
        <v>66</v>
      </c>
    </row>
    <row r="5" spans="1:39">
      <c r="A5" s="1" t="s">
        <v>60</v>
      </c>
    </row>
    <row r="7" spans="1:39">
      <c r="A7" s="4" t="s">
        <v>8</v>
      </c>
      <c r="B7" s="3">
        <v>2013</v>
      </c>
      <c r="C7" s="3">
        <v>2014</v>
      </c>
      <c r="D7" s="3">
        <v>2015</v>
      </c>
      <c r="E7" s="3">
        <v>2016</v>
      </c>
      <c r="F7" s="3">
        <v>2017</v>
      </c>
      <c r="G7" s="3">
        <v>2018</v>
      </c>
      <c r="H7" s="3">
        <v>2019</v>
      </c>
      <c r="I7" s="3">
        <v>2020</v>
      </c>
      <c r="J7" s="3">
        <v>2021</v>
      </c>
      <c r="K7" s="3">
        <v>2022</v>
      </c>
      <c r="L7" s="3">
        <v>2023</v>
      </c>
      <c r="M7" s="3">
        <v>2024</v>
      </c>
      <c r="N7" s="3">
        <v>2025</v>
      </c>
      <c r="O7" s="3">
        <v>2026</v>
      </c>
      <c r="P7" s="3">
        <v>2027</v>
      </c>
      <c r="Q7" s="3">
        <v>2028</v>
      </c>
      <c r="R7" s="3">
        <v>2029</v>
      </c>
      <c r="S7" s="3">
        <v>2030</v>
      </c>
      <c r="T7" s="3">
        <v>2031</v>
      </c>
      <c r="U7" s="3">
        <v>2032</v>
      </c>
      <c r="V7" s="3">
        <v>2033</v>
      </c>
      <c r="W7" s="3">
        <v>2034</v>
      </c>
      <c r="X7" s="3">
        <v>2035</v>
      </c>
      <c r="Y7" s="3">
        <v>2036</v>
      </c>
      <c r="Z7" s="3">
        <v>2037</v>
      </c>
      <c r="AA7" s="3">
        <v>2038</v>
      </c>
      <c r="AB7" s="3">
        <v>2039</v>
      </c>
      <c r="AC7" s="3">
        <v>2040</v>
      </c>
      <c r="AD7" s="3">
        <v>2041</v>
      </c>
      <c r="AE7" s="3">
        <v>2042</v>
      </c>
      <c r="AF7" s="3">
        <v>2043</v>
      </c>
      <c r="AG7" s="3">
        <v>2044</v>
      </c>
      <c r="AH7" s="3">
        <v>2045</v>
      </c>
      <c r="AI7" s="3">
        <v>2046</v>
      </c>
      <c r="AJ7" s="3">
        <v>2047</v>
      </c>
      <c r="AK7" s="3">
        <v>2048</v>
      </c>
      <c r="AL7" s="3">
        <v>2049</v>
      </c>
      <c r="AM7" s="3">
        <v>2050</v>
      </c>
    </row>
    <row r="8" spans="1:39">
      <c r="A8" t="s">
        <v>13</v>
      </c>
      <c r="B8">
        <v>28000</v>
      </c>
      <c r="C8">
        <v>28285.714285714286</v>
      </c>
      <c r="D8">
        <v>28571.428571428572</v>
      </c>
      <c r="E8">
        <v>28857.142857142859</v>
      </c>
      <c r="F8">
        <v>29142.857142857145</v>
      </c>
      <c r="G8">
        <v>29428.571428571431</v>
      </c>
      <c r="H8">
        <v>29714.285714285717</v>
      </c>
      <c r="I8">
        <v>30000.000000000004</v>
      </c>
      <c r="J8">
        <v>32000.000000000004</v>
      </c>
      <c r="K8">
        <v>34000</v>
      </c>
      <c r="L8">
        <v>36000</v>
      </c>
      <c r="M8">
        <v>38000</v>
      </c>
      <c r="N8">
        <v>40000</v>
      </c>
      <c r="O8">
        <v>42000</v>
      </c>
      <c r="P8">
        <v>44000</v>
      </c>
      <c r="Q8">
        <v>46000</v>
      </c>
      <c r="R8">
        <v>48000</v>
      </c>
      <c r="S8">
        <v>50000</v>
      </c>
      <c r="T8">
        <v>52500</v>
      </c>
      <c r="U8">
        <v>55000</v>
      </c>
      <c r="V8">
        <v>57500</v>
      </c>
      <c r="W8">
        <v>60000</v>
      </c>
      <c r="X8">
        <v>62500</v>
      </c>
      <c r="Y8">
        <v>65000</v>
      </c>
      <c r="Z8">
        <v>67500</v>
      </c>
      <c r="AA8">
        <v>70000</v>
      </c>
      <c r="AB8">
        <v>72500</v>
      </c>
      <c r="AC8">
        <v>75000</v>
      </c>
      <c r="AD8">
        <v>76500</v>
      </c>
      <c r="AE8">
        <v>78000</v>
      </c>
      <c r="AF8">
        <v>79500</v>
      </c>
      <c r="AG8">
        <v>81000</v>
      </c>
      <c r="AH8">
        <v>82500</v>
      </c>
      <c r="AI8">
        <v>84000</v>
      </c>
      <c r="AJ8">
        <v>85500</v>
      </c>
      <c r="AK8">
        <v>87000</v>
      </c>
      <c r="AL8">
        <v>88500</v>
      </c>
      <c r="AM8">
        <v>90000</v>
      </c>
    </row>
    <row r="9" spans="1:39">
      <c r="A9" t="s">
        <v>14</v>
      </c>
      <c r="B9" s="6">
        <v>28000</v>
      </c>
      <c r="C9" s="6">
        <v>28285.714285714286</v>
      </c>
      <c r="D9" s="6">
        <v>28571.428571428572</v>
      </c>
      <c r="E9" s="6">
        <v>28857.142857142859</v>
      </c>
      <c r="F9" s="6">
        <v>29142.857142857145</v>
      </c>
      <c r="G9" s="6">
        <v>29428.571428571431</v>
      </c>
      <c r="H9" s="6">
        <v>29714.285714285717</v>
      </c>
      <c r="I9">
        <v>30000.000000000004</v>
      </c>
      <c r="J9">
        <v>32000.000000000004</v>
      </c>
      <c r="K9">
        <v>34000</v>
      </c>
      <c r="L9">
        <v>36000</v>
      </c>
      <c r="M9">
        <v>38000</v>
      </c>
      <c r="N9">
        <v>40000</v>
      </c>
      <c r="O9">
        <v>42000</v>
      </c>
      <c r="P9">
        <v>44000</v>
      </c>
      <c r="Q9">
        <v>46000</v>
      </c>
      <c r="R9">
        <v>48000</v>
      </c>
      <c r="S9">
        <v>50000</v>
      </c>
      <c r="T9">
        <v>52500</v>
      </c>
      <c r="U9">
        <v>55000</v>
      </c>
      <c r="V9">
        <v>57500</v>
      </c>
      <c r="W9">
        <v>60000</v>
      </c>
      <c r="X9">
        <v>62500</v>
      </c>
      <c r="Y9">
        <v>65000</v>
      </c>
      <c r="Z9">
        <v>67500</v>
      </c>
      <c r="AA9">
        <v>70000</v>
      </c>
      <c r="AB9">
        <v>72500</v>
      </c>
      <c r="AC9">
        <v>75000</v>
      </c>
      <c r="AD9">
        <v>76500</v>
      </c>
      <c r="AE9">
        <v>78000</v>
      </c>
      <c r="AF9">
        <v>79500</v>
      </c>
      <c r="AG9">
        <v>81000</v>
      </c>
      <c r="AH9">
        <v>82500</v>
      </c>
      <c r="AI9">
        <v>84000</v>
      </c>
      <c r="AJ9">
        <v>85500</v>
      </c>
      <c r="AK9">
        <v>87000</v>
      </c>
      <c r="AL9">
        <v>88500</v>
      </c>
      <c r="AM9">
        <v>90000</v>
      </c>
    </row>
    <row r="10" spans="1:39">
      <c r="A10" s="1" t="s">
        <v>15</v>
      </c>
      <c r="B10" s="7"/>
      <c r="C10" s="7"/>
      <c r="D10" s="7"/>
      <c r="E10" s="7"/>
      <c r="F10" s="7"/>
      <c r="G10" s="7"/>
      <c r="H10" s="7">
        <v>1</v>
      </c>
      <c r="I10" s="7">
        <f>I9/$H$9</f>
        <v>1.0096153846153846</v>
      </c>
      <c r="J10" s="7">
        <f t="shared" ref="J10:AM10" si="0">J9/$H$9</f>
        <v>1.0769230769230769</v>
      </c>
      <c r="K10" s="7">
        <f t="shared" si="0"/>
        <v>1.1442307692307692</v>
      </c>
      <c r="L10" s="7">
        <f t="shared" si="0"/>
        <v>1.2115384615384615</v>
      </c>
      <c r="M10" s="7">
        <f t="shared" si="0"/>
        <v>1.2788461538461537</v>
      </c>
      <c r="N10" s="7">
        <f t="shared" si="0"/>
        <v>1.346153846153846</v>
      </c>
      <c r="O10" s="7">
        <f t="shared" si="0"/>
        <v>1.4134615384615383</v>
      </c>
      <c r="P10" s="7">
        <f t="shared" si="0"/>
        <v>1.4807692307692306</v>
      </c>
      <c r="Q10" s="7">
        <f t="shared" si="0"/>
        <v>1.5480769230769229</v>
      </c>
      <c r="R10" s="7">
        <f t="shared" si="0"/>
        <v>1.6153846153846152</v>
      </c>
      <c r="S10" s="7">
        <f t="shared" si="0"/>
        <v>1.6826923076923075</v>
      </c>
      <c r="T10" s="7">
        <f t="shared" si="0"/>
        <v>1.7668269230769229</v>
      </c>
      <c r="U10" s="7">
        <f t="shared" si="0"/>
        <v>1.8509615384615383</v>
      </c>
      <c r="V10" s="7">
        <f t="shared" si="0"/>
        <v>1.9350961538461537</v>
      </c>
      <c r="W10" s="7">
        <f t="shared" si="0"/>
        <v>2.0192307692307692</v>
      </c>
      <c r="X10" s="7">
        <f t="shared" si="0"/>
        <v>2.1033653846153846</v>
      </c>
      <c r="Y10" s="7">
        <f t="shared" si="0"/>
        <v>2.1874999999999996</v>
      </c>
      <c r="Z10" s="7">
        <f t="shared" si="0"/>
        <v>2.271634615384615</v>
      </c>
      <c r="AA10" s="7">
        <f t="shared" si="0"/>
        <v>2.3557692307692304</v>
      </c>
      <c r="AB10" s="7">
        <f t="shared" si="0"/>
        <v>2.4399038461538458</v>
      </c>
      <c r="AC10" s="7">
        <f t="shared" si="0"/>
        <v>2.5240384615384612</v>
      </c>
      <c r="AD10" s="7">
        <f t="shared" si="0"/>
        <v>2.5745192307692304</v>
      </c>
      <c r="AE10" s="7">
        <f t="shared" si="0"/>
        <v>2.6249999999999996</v>
      </c>
      <c r="AF10" s="7">
        <f t="shared" si="0"/>
        <v>2.6754807692307692</v>
      </c>
      <c r="AG10" s="7">
        <f t="shared" si="0"/>
        <v>2.7259615384615383</v>
      </c>
      <c r="AH10" s="7">
        <f t="shared" si="0"/>
        <v>2.7764423076923075</v>
      </c>
      <c r="AI10" s="7">
        <f t="shared" si="0"/>
        <v>2.8269230769230766</v>
      </c>
      <c r="AJ10" s="7">
        <f t="shared" si="0"/>
        <v>2.8774038461538458</v>
      </c>
      <c r="AK10" s="7">
        <f t="shared" si="0"/>
        <v>2.927884615384615</v>
      </c>
      <c r="AL10" s="7">
        <f t="shared" si="0"/>
        <v>2.9783653846153841</v>
      </c>
      <c r="AM10" s="7">
        <f t="shared" si="0"/>
        <v>3.0288461538461537</v>
      </c>
    </row>
    <row r="21" ht="101.2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10"/>
  <sheetViews>
    <sheetView topLeftCell="B1" workbookViewId="0">
      <selection activeCell="F10" sqref="F10:G10"/>
    </sheetView>
  </sheetViews>
  <sheetFormatPr baseColWidth="10" defaultColWidth="8.83203125" defaultRowHeight="15"/>
  <cols>
    <col min="1" max="1" width="48" customWidth="1"/>
  </cols>
  <sheetData>
    <row r="1" spans="1:39">
      <c r="A1" t="s">
        <v>46</v>
      </c>
    </row>
    <row r="2" spans="1:39">
      <c r="A2" t="s">
        <v>65</v>
      </c>
    </row>
    <row r="3" spans="1:39">
      <c r="A3" t="s">
        <v>66</v>
      </c>
    </row>
    <row r="5" spans="1:39">
      <c r="A5" s="1" t="s">
        <v>60</v>
      </c>
    </row>
    <row r="7" spans="1:39">
      <c r="A7" s="4" t="s">
        <v>9</v>
      </c>
      <c r="B7" s="3">
        <v>2013</v>
      </c>
      <c r="C7" s="3">
        <v>2014</v>
      </c>
      <c r="D7" s="3">
        <v>2015</v>
      </c>
      <c r="E7" s="3">
        <v>2016</v>
      </c>
      <c r="F7" s="3">
        <v>2017</v>
      </c>
      <c r="G7" s="3">
        <v>2018</v>
      </c>
      <c r="H7" s="3">
        <v>2019</v>
      </c>
      <c r="I7" s="3">
        <v>2020</v>
      </c>
      <c r="J7" s="3">
        <v>2021</v>
      </c>
      <c r="K7" s="3">
        <v>2022</v>
      </c>
      <c r="L7" s="3">
        <v>2023</v>
      </c>
      <c r="M7" s="3">
        <v>2024</v>
      </c>
      <c r="N7" s="3">
        <v>2025</v>
      </c>
      <c r="O7" s="3">
        <v>2026</v>
      </c>
      <c r="P7" s="3">
        <v>2027</v>
      </c>
      <c r="Q7" s="3">
        <v>2028</v>
      </c>
      <c r="R7" s="3">
        <v>2029</v>
      </c>
      <c r="S7" s="3">
        <v>2030</v>
      </c>
      <c r="T7" s="3">
        <v>2031</v>
      </c>
      <c r="U7" s="3">
        <v>2032</v>
      </c>
      <c r="V7" s="3">
        <v>2033</v>
      </c>
      <c r="W7" s="3">
        <v>2034</v>
      </c>
      <c r="X7" s="3">
        <v>2035</v>
      </c>
      <c r="Y7" s="3">
        <v>2036</v>
      </c>
      <c r="Z7" s="3">
        <v>2037</v>
      </c>
      <c r="AA7" s="3">
        <v>2038</v>
      </c>
      <c r="AB7" s="3">
        <v>2039</v>
      </c>
      <c r="AC7" s="3">
        <v>2040</v>
      </c>
      <c r="AD7" s="3">
        <v>2041</v>
      </c>
      <c r="AE7" s="3">
        <v>2042</v>
      </c>
      <c r="AF7" s="3">
        <v>2043</v>
      </c>
      <c r="AG7" s="3">
        <v>2044</v>
      </c>
      <c r="AH7" s="3">
        <v>2045</v>
      </c>
      <c r="AI7" s="3">
        <v>2046</v>
      </c>
      <c r="AJ7" s="3">
        <v>2047</v>
      </c>
      <c r="AK7" s="3">
        <v>2048</v>
      </c>
      <c r="AL7" s="3">
        <v>2049</v>
      </c>
      <c r="AM7" s="3">
        <v>2050</v>
      </c>
    </row>
    <row r="8" spans="1:39">
      <c r="A8" t="s">
        <v>13</v>
      </c>
      <c r="B8">
        <v>1919</v>
      </c>
      <c r="C8">
        <v>1943.4285714285713</v>
      </c>
      <c r="D8">
        <v>1967.8571428571429</v>
      </c>
      <c r="E8">
        <v>1992.2857142857142</v>
      </c>
      <c r="F8">
        <v>2016.7142857142856</v>
      </c>
      <c r="G8">
        <v>2041.1428571428569</v>
      </c>
      <c r="H8">
        <v>2065.5714285714284</v>
      </c>
      <c r="I8">
        <v>2090</v>
      </c>
      <c r="J8">
        <v>2108.6999999999998</v>
      </c>
      <c r="K8">
        <v>2127.4</v>
      </c>
      <c r="L8">
        <v>2146.1</v>
      </c>
      <c r="M8">
        <v>2164.8000000000002</v>
      </c>
      <c r="N8">
        <v>2183.5</v>
      </c>
      <c r="O8">
        <v>2202.1999999999998</v>
      </c>
      <c r="P8">
        <v>2220.9</v>
      </c>
      <c r="Q8">
        <v>2239.6</v>
      </c>
      <c r="R8">
        <v>2258.3000000000002</v>
      </c>
      <c r="S8">
        <v>2277</v>
      </c>
      <c r="T8">
        <v>2282.1</v>
      </c>
      <c r="U8">
        <v>2287.1999999999998</v>
      </c>
      <c r="V8">
        <v>2292.3000000000002</v>
      </c>
      <c r="W8">
        <v>2297.4</v>
      </c>
      <c r="X8">
        <v>2302.5</v>
      </c>
      <c r="Y8">
        <v>2307.6</v>
      </c>
      <c r="Z8">
        <v>2312.6999999999998</v>
      </c>
      <c r="AA8">
        <v>2317.8000000000002</v>
      </c>
      <c r="AB8">
        <v>2322.9</v>
      </c>
      <c r="AC8">
        <v>2328</v>
      </c>
      <c r="AD8">
        <v>2326.1999999999998</v>
      </c>
      <c r="AE8">
        <v>2324.4</v>
      </c>
      <c r="AF8">
        <v>2322.6</v>
      </c>
      <c r="AG8">
        <v>2320.8000000000002</v>
      </c>
      <c r="AH8">
        <v>2319</v>
      </c>
      <c r="AI8">
        <v>2317.1999999999998</v>
      </c>
      <c r="AJ8">
        <v>2315.4</v>
      </c>
      <c r="AK8">
        <v>2313.6</v>
      </c>
      <c r="AL8">
        <v>2311.8000000000002</v>
      </c>
      <c r="AM8">
        <v>2310</v>
      </c>
    </row>
    <row r="9" spans="1:39">
      <c r="A9" t="s">
        <v>14</v>
      </c>
      <c r="B9" s="6">
        <v>1919</v>
      </c>
      <c r="C9" s="6">
        <v>1943.4285714285713</v>
      </c>
      <c r="D9" s="6">
        <v>1967.8571428571429</v>
      </c>
      <c r="E9" s="6">
        <v>1992.2857142857142</v>
      </c>
      <c r="F9" s="6">
        <v>2016.7142857142856</v>
      </c>
      <c r="G9" s="6">
        <v>2041.1428571428569</v>
      </c>
      <c r="H9" s="6">
        <v>2065.5714285714284</v>
      </c>
      <c r="I9" s="6">
        <v>2090</v>
      </c>
      <c r="J9" s="6">
        <v>2108.6999999999998</v>
      </c>
      <c r="K9" s="6">
        <v>2127.4</v>
      </c>
      <c r="L9" s="6">
        <v>2146.1</v>
      </c>
      <c r="M9" s="6">
        <v>2164.8000000000002</v>
      </c>
      <c r="N9" s="6">
        <v>2183.5</v>
      </c>
      <c r="O9" s="6">
        <v>2202.1999999999998</v>
      </c>
      <c r="P9" s="6">
        <v>2220.9</v>
      </c>
      <c r="Q9" s="6">
        <v>2239.6</v>
      </c>
      <c r="R9" s="6">
        <v>2258.3000000000002</v>
      </c>
      <c r="S9" s="6">
        <v>2277</v>
      </c>
      <c r="T9" s="6">
        <v>2282.1</v>
      </c>
      <c r="U9" s="6">
        <v>2287.1999999999998</v>
      </c>
      <c r="V9" s="6">
        <v>2292.3000000000002</v>
      </c>
      <c r="W9" s="6">
        <v>2297.4</v>
      </c>
      <c r="X9" s="6">
        <v>2302.5</v>
      </c>
      <c r="Y9" s="6">
        <v>2307.6</v>
      </c>
      <c r="Z9" s="6">
        <v>2312.6999999999998</v>
      </c>
      <c r="AA9" s="6">
        <v>2317.8000000000002</v>
      </c>
      <c r="AB9" s="6">
        <v>2322.9</v>
      </c>
      <c r="AC9" s="6">
        <v>2328</v>
      </c>
      <c r="AD9" s="6">
        <v>2326.1999999999998</v>
      </c>
      <c r="AE9" s="6">
        <v>2324.4</v>
      </c>
      <c r="AF9" s="6">
        <v>2322.6</v>
      </c>
      <c r="AG9" s="6">
        <v>2320.8000000000002</v>
      </c>
      <c r="AH9" s="6">
        <v>2319</v>
      </c>
      <c r="AI9" s="6">
        <v>2317.1999999999998</v>
      </c>
      <c r="AJ9" s="6">
        <v>2315.4</v>
      </c>
      <c r="AK9" s="6">
        <v>2313.6</v>
      </c>
      <c r="AL9">
        <v>2311.8000000000002</v>
      </c>
      <c r="AM9">
        <v>2310</v>
      </c>
    </row>
    <row r="10" spans="1:39">
      <c r="A10" s="1" t="s">
        <v>15</v>
      </c>
      <c r="B10" s="7"/>
      <c r="C10" s="7"/>
      <c r="D10" s="7"/>
      <c r="E10" s="7"/>
      <c r="F10" s="7"/>
      <c r="G10" s="7"/>
      <c r="H10" s="7">
        <v>1</v>
      </c>
      <c r="I10" s="7">
        <f>I9/$H$9</f>
        <v>1.011826544021025</v>
      </c>
      <c r="J10" s="7">
        <f t="shared" ref="J10:AM10" si="0">J9/$H$9</f>
        <v>1.0208797288885816</v>
      </c>
      <c r="K10" s="7">
        <f t="shared" si="0"/>
        <v>1.0299329137561382</v>
      </c>
      <c r="L10" s="7">
        <f t="shared" si="0"/>
        <v>1.0389860986236945</v>
      </c>
      <c r="M10" s="7">
        <f t="shared" si="0"/>
        <v>1.0480392834912513</v>
      </c>
      <c r="N10" s="7">
        <f t="shared" si="0"/>
        <v>1.0570924683588077</v>
      </c>
      <c r="O10" s="7">
        <f t="shared" si="0"/>
        <v>1.0661456532263642</v>
      </c>
      <c r="P10" s="7">
        <f t="shared" si="0"/>
        <v>1.0751988380939208</v>
      </c>
      <c r="Q10" s="7">
        <f t="shared" si="0"/>
        <v>1.0842520229614774</v>
      </c>
      <c r="R10" s="7">
        <f t="shared" si="0"/>
        <v>1.093305207829034</v>
      </c>
      <c r="S10" s="7">
        <f t="shared" si="0"/>
        <v>1.1023583926965905</v>
      </c>
      <c r="T10" s="7">
        <f t="shared" si="0"/>
        <v>1.1048274431150149</v>
      </c>
      <c r="U10" s="7">
        <f t="shared" si="0"/>
        <v>1.1072964935334393</v>
      </c>
      <c r="V10" s="7">
        <f t="shared" si="0"/>
        <v>1.1097655439518641</v>
      </c>
      <c r="W10" s="7">
        <f t="shared" si="0"/>
        <v>1.1122345943702885</v>
      </c>
      <c r="X10" s="7">
        <f t="shared" si="0"/>
        <v>1.1147036447887131</v>
      </c>
      <c r="Y10" s="7">
        <f t="shared" si="0"/>
        <v>1.1171726952071375</v>
      </c>
      <c r="Z10" s="7">
        <f t="shared" si="0"/>
        <v>1.1196417456255618</v>
      </c>
      <c r="AA10" s="7">
        <f t="shared" si="0"/>
        <v>1.1221107960439867</v>
      </c>
      <c r="AB10" s="7">
        <f t="shared" si="0"/>
        <v>1.124579846462411</v>
      </c>
      <c r="AC10" s="7">
        <f t="shared" si="0"/>
        <v>1.1270488968808354</v>
      </c>
      <c r="AD10" s="7">
        <f t="shared" si="0"/>
        <v>1.1261774673213916</v>
      </c>
      <c r="AE10" s="7">
        <f t="shared" si="0"/>
        <v>1.1253060377619477</v>
      </c>
      <c r="AF10" s="7">
        <f t="shared" si="0"/>
        <v>1.1244346082025036</v>
      </c>
      <c r="AG10" s="7">
        <f t="shared" si="0"/>
        <v>1.1235631786430598</v>
      </c>
      <c r="AH10" s="7">
        <f t="shared" si="0"/>
        <v>1.1226917490836159</v>
      </c>
      <c r="AI10" s="7">
        <f t="shared" si="0"/>
        <v>1.1218203195241718</v>
      </c>
      <c r="AJ10" s="7">
        <f t="shared" si="0"/>
        <v>1.120948889964728</v>
      </c>
      <c r="AK10" s="7">
        <f t="shared" si="0"/>
        <v>1.1200774604052839</v>
      </c>
      <c r="AL10" s="7">
        <f t="shared" si="0"/>
        <v>1.11920603084584</v>
      </c>
      <c r="AM10" s="7">
        <f t="shared" si="0"/>
        <v>1.1183346012863962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8"/>
  <sheetViews>
    <sheetView topLeftCell="A4" zoomScale="80" zoomScaleNormal="80" workbookViewId="0">
      <selection activeCell="J16" sqref="J15:J16"/>
    </sheetView>
  </sheetViews>
  <sheetFormatPr baseColWidth="10" defaultColWidth="8.83203125" defaultRowHeight="15"/>
  <cols>
    <col min="1" max="1" width="44.1640625" style="2" customWidth="1"/>
    <col min="2" max="2" width="17.5" bestFit="1" customWidth="1"/>
    <col min="3" max="3" width="15.5" bestFit="1" customWidth="1"/>
    <col min="4" max="4" width="12" bestFit="1" customWidth="1"/>
    <col min="5" max="5" width="14.5" bestFit="1" customWidth="1"/>
    <col min="6" max="6" width="17.5" bestFit="1" customWidth="1"/>
    <col min="7" max="8" width="12.5" bestFit="1" customWidth="1"/>
  </cols>
  <sheetData>
    <row r="1" spans="1:10">
      <c r="A1" t="s">
        <v>46</v>
      </c>
    </row>
    <row r="2" spans="1:10">
      <c r="A2" t="s">
        <v>69</v>
      </c>
    </row>
    <row r="3" spans="1:10">
      <c r="A3" t="s">
        <v>68</v>
      </c>
    </row>
    <row r="4" spans="1:10">
      <c r="A4"/>
    </row>
    <row r="5" spans="1:10">
      <c r="A5" s="1" t="s">
        <v>67</v>
      </c>
    </row>
    <row r="6" spans="1:10">
      <c r="A6" s="11" t="s">
        <v>61</v>
      </c>
    </row>
    <row r="8" spans="1:10" s="17" customFormat="1" ht="21">
      <c r="A8" s="16" t="s">
        <v>44</v>
      </c>
    </row>
    <row r="9" spans="1:10">
      <c r="A9" s="2" t="s">
        <v>37</v>
      </c>
      <c r="B9" s="14" t="s">
        <v>39</v>
      </c>
      <c r="C9" s="14" t="s">
        <v>38</v>
      </c>
      <c r="D9" s="14" t="s">
        <v>40</v>
      </c>
      <c r="E9" s="14" t="s">
        <v>41</v>
      </c>
      <c r="F9" s="14" t="s">
        <v>42</v>
      </c>
      <c r="G9" s="14" t="s">
        <v>43</v>
      </c>
      <c r="I9" s="14" t="s">
        <v>32</v>
      </c>
      <c r="J9" s="14" t="s">
        <v>33</v>
      </c>
    </row>
    <row r="10" spans="1:10">
      <c r="A10" s="2">
        <v>2012</v>
      </c>
      <c r="B10">
        <v>4707539135.4697905</v>
      </c>
      <c r="C10">
        <v>5864406646.3096085</v>
      </c>
      <c r="D10">
        <v>57319678536.694817</v>
      </c>
      <c r="E10">
        <v>81071124337.664307</v>
      </c>
      <c r="F10">
        <v>220857055225.71307</v>
      </c>
      <c r="G10">
        <v>392779892853.22339</v>
      </c>
    </row>
    <row r="11" spans="1:10">
      <c r="A11" s="2">
        <v>2013</v>
      </c>
      <c r="B11">
        <v>5147974507.99755</v>
      </c>
      <c r="C11">
        <v>6019779618.9543591</v>
      </c>
      <c r="D11">
        <v>59531429890.057701</v>
      </c>
      <c r="E11">
        <v>81278333080.954605</v>
      </c>
      <c r="F11">
        <v>235419740658.72891</v>
      </c>
      <c r="G11">
        <v>428434472369.01001</v>
      </c>
    </row>
    <row r="12" spans="1:10">
      <c r="A12" s="2">
        <v>2014</v>
      </c>
      <c r="B12">
        <v>5563588720.5948496</v>
      </c>
      <c r="C12">
        <v>6010729048.7483606</v>
      </c>
      <c r="D12">
        <v>61476826454.385704</v>
      </c>
      <c r="E12">
        <v>81183137848.26947</v>
      </c>
      <c r="F12">
        <v>247894263667.04605</v>
      </c>
      <c r="G12">
        <v>462316819099.13348</v>
      </c>
    </row>
    <row r="13" spans="1:10">
      <c r="A13" s="2">
        <v>2015</v>
      </c>
      <c r="B13">
        <v>5911125842.5477409</v>
      </c>
      <c r="C13">
        <v>5920048507.6480522</v>
      </c>
      <c r="D13">
        <v>62681756331.798393</v>
      </c>
      <c r="E13">
        <v>80293549331.47963</v>
      </c>
      <c r="F13">
        <v>256888042266.36185</v>
      </c>
      <c r="G13">
        <v>484636452369.75842</v>
      </c>
    </row>
    <row r="14" spans="1:10">
      <c r="A14" s="2">
        <v>2016</v>
      </c>
      <c r="B14">
        <v>6210849851.9396162</v>
      </c>
      <c r="C14">
        <v>5813768447.7109432</v>
      </c>
      <c r="D14">
        <v>63620828144.330589</v>
      </c>
      <c r="E14">
        <v>79327501392.469757</v>
      </c>
      <c r="F14">
        <v>264764232442.99799</v>
      </c>
      <c r="G14">
        <v>502424903639.16614</v>
      </c>
    </row>
    <row r="15" spans="1:10">
      <c r="A15" s="2">
        <v>2017</v>
      </c>
      <c r="B15">
        <v>6512024147.169282</v>
      </c>
      <c r="C15">
        <v>5721509814.2919474</v>
      </c>
      <c r="D15">
        <v>64143042061.796616</v>
      </c>
      <c r="E15">
        <v>78549522091.960114</v>
      </c>
      <c r="F15">
        <v>273135442971.47787</v>
      </c>
      <c r="G15">
        <v>521364980148.94122</v>
      </c>
    </row>
    <row r="16" spans="1:10">
      <c r="A16" s="2">
        <v>2018</v>
      </c>
      <c r="B16">
        <v>6804841481.9706068</v>
      </c>
      <c r="C16">
        <v>5643682018.766921</v>
      </c>
      <c r="D16">
        <v>64683724048.683296</v>
      </c>
      <c r="E16">
        <v>77913590741.195374</v>
      </c>
      <c r="F16">
        <v>281600867960.22015</v>
      </c>
      <c r="G16">
        <v>540632477488.33142</v>
      </c>
    </row>
    <row r="17" spans="1:10">
      <c r="A17" s="2">
        <v>2019</v>
      </c>
      <c r="B17">
        <v>7089636011.5060606</v>
      </c>
      <c r="C17">
        <v>5584712159.6552248</v>
      </c>
      <c r="D17">
        <v>65422928488.227798</v>
      </c>
      <c r="E17">
        <v>77385933794.407928</v>
      </c>
      <c r="F17">
        <v>290198152659.31213</v>
      </c>
      <c r="G17">
        <v>558745143522.88293</v>
      </c>
      <c r="I17">
        <v>1</v>
      </c>
      <c r="J17">
        <v>1</v>
      </c>
    </row>
    <row r="18" spans="1:10">
      <c r="A18" s="2">
        <v>2020</v>
      </c>
      <c r="B18">
        <v>7366591295.8100357</v>
      </c>
      <c r="C18">
        <v>5539642892.7055998</v>
      </c>
      <c r="D18">
        <v>66228647664.034966</v>
      </c>
      <c r="E18">
        <v>77003673028.356537</v>
      </c>
      <c r="F18">
        <v>295282330370.6853</v>
      </c>
      <c r="G18">
        <v>570186397812.85962</v>
      </c>
      <c r="I18">
        <f>B18/$B$17</f>
        <v>1.0390648100769198</v>
      </c>
      <c r="J18">
        <f>AVERAGE(C18:G18)/AVERAGE($C$17:$G$17)</f>
        <v>1.0169489584131906</v>
      </c>
    </row>
    <row r="19" spans="1:10">
      <c r="A19" s="2">
        <v>2021</v>
      </c>
      <c r="B19">
        <v>7546927437.0019264</v>
      </c>
      <c r="C19">
        <v>5464020179.2290173</v>
      </c>
      <c r="D19">
        <v>67205104893.733864</v>
      </c>
      <c r="E19">
        <v>76284528605.050095</v>
      </c>
      <c r="F19">
        <v>297629253975.15088</v>
      </c>
      <c r="G19">
        <v>574704967146.17444</v>
      </c>
      <c r="I19">
        <f t="shared" ref="I19:I48" si="0">B19/$B$17</f>
        <v>1.0645013967929677</v>
      </c>
      <c r="J19">
        <f t="shared" ref="J19:J48" si="1">AVERAGE(C19:G19)/AVERAGE($C$17:$G$17)</f>
        <v>1.0240149591179308</v>
      </c>
    </row>
    <row r="20" spans="1:10">
      <c r="A20" s="2">
        <v>2022</v>
      </c>
      <c r="B20">
        <v>7635916668.556303</v>
      </c>
      <c r="C20">
        <v>5355043608.34373</v>
      </c>
      <c r="D20">
        <v>68156448750.665886</v>
      </c>
      <c r="E20">
        <v>75201661186.781113</v>
      </c>
      <c r="F20">
        <v>298751082962.19592</v>
      </c>
      <c r="G20">
        <v>575911657602.54993</v>
      </c>
      <c r="I20">
        <f t="shared" si="0"/>
        <v>1.077053413766752</v>
      </c>
      <c r="J20">
        <f t="shared" si="1"/>
        <v>1.0261085539430084</v>
      </c>
    </row>
    <row r="21" spans="1:10">
      <c r="A21" s="2">
        <v>2023</v>
      </c>
      <c r="B21">
        <v>7720856641.6767416</v>
      </c>
      <c r="C21">
        <v>5245934363.3996973</v>
      </c>
      <c r="D21">
        <v>68798745571.778015</v>
      </c>
      <c r="E21">
        <v>74200664140.830261</v>
      </c>
      <c r="F21">
        <v>299900485436.013</v>
      </c>
      <c r="G21">
        <v>578183159343.66443</v>
      </c>
      <c r="I21">
        <f t="shared" si="0"/>
        <v>1.0890342789314216</v>
      </c>
      <c r="J21">
        <f t="shared" si="1"/>
        <v>1.0290695341615574</v>
      </c>
    </row>
    <row r="22" spans="1:10">
      <c r="A22" s="2">
        <v>2024</v>
      </c>
      <c r="B22">
        <v>7802167959.1628799</v>
      </c>
      <c r="C22">
        <v>5145626484.026475</v>
      </c>
      <c r="D22">
        <v>69051337682.933853</v>
      </c>
      <c r="E22">
        <v>73305533022.089371</v>
      </c>
      <c r="F22">
        <v>301267264093.53882</v>
      </c>
      <c r="G22">
        <v>580424529235.98853</v>
      </c>
      <c r="I22">
        <f t="shared" si="0"/>
        <v>1.1005033187176918</v>
      </c>
      <c r="J22">
        <f t="shared" si="1"/>
        <v>1.0319424868691993</v>
      </c>
    </row>
    <row r="23" spans="1:10">
      <c r="A23" s="2">
        <v>2025</v>
      </c>
      <c r="B23">
        <v>7880152551.6485043</v>
      </c>
      <c r="C23">
        <v>5055214875.5639515</v>
      </c>
      <c r="D23">
        <v>68996034871.971207</v>
      </c>
      <c r="E23">
        <v>72477885262.224991</v>
      </c>
      <c r="F23">
        <v>303646644779.03455</v>
      </c>
      <c r="G23">
        <v>585730870851.07129</v>
      </c>
      <c r="I23">
        <f t="shared" si="0"/>
        <v>1.1115031207327826</v>
      </c>
      <c r="J23">
        <f t="shared" si="1"/>
        <v>1.0386727706068155</v>
      </c>
    </row>
    <row r="24" spans="1:10">
      <c r="A24" s="2">
        <v>2026</v>
      </c>
      <c r="B24">
        <v>7965852541.4877605</v>
      </c>
      <c r="C24">
        <v>4971435067.1493807</v>
      </c>
      <c r="D24">
        <v>68859511006.246689</v>
      </c>
      <c r="E24">
        <v>71831839033.771851</v>
      </c>
      <c r="F24">
        <v>305796709411.01172</v>
      </c>
      <c r="G24">
        <v>591825498368.29651</v>
      </c>
      <c r="I24">
        <f t="shared" si="0"/>
        <v>1.1235911869889585</v>
      </c>
      <c r="J24">
        <f t="shared" si="1"/>
        <v>1.0460708148022437</v>
      </c>
    </row>
    <row r="25" spans="1:10">
      <c r="A25" s="2">
        <v>2027</v>
      </c>
      <c r="B25">
        <v>8070121880.3092175</v>
      </c>
      <c r="C25">
        <v>4908015996.2121325</v>
      </c>
      <c r="D25">
        <v>68880423169.546875</v>
      </c>
      <c r="E25">
        <v>71439453976.767654</v>
      </c>
      <c r="F25">
        <v>308659993246.88562</v>
      </c>
      <c r="G25">
        <v>599394524453.48132</v>
      </c>
      <c r="I25">
        <f t="shared" si="0"/>
        <v>1.1382984778360816</v>
      </c>
      <c r="J25">
        <f t="shared" si="1"/>
        <v>1.0560949282696999</v>
      </c>
    </row>
    <row r="26" spans="1:10">
      <c r="A26" s="2">
        <v>2028</v>
      </c>
      <c r="B26">
        <v>8194400915.3716669</v>
      </c>
      <c r="C26">
        <v>4864103844.365119</v>
      </c>
      <c r="D26">
        <v>68951054947.76532</v>
      </c>
      <c r="E26">
        <v>71262968355.036819</v>
      </c>
      <c r="F26">
        <v>312223746475.86023</v>
      </c>
      <c r="G26">
        <v>608749504402.87158</v>
      </c>
      <c r="I26">
        <f t="shared" si="0"/>
        <v>1.1558281556447521</v>
      </c>
      <c r="J26">
        <f t="shared" si="1"/>
        <v>1.068897991666935</v>
      </c>
    </row>
    <row r="27" spans="1:10">
      <c r="A27" s="2">
        <v>2029</v>
      </c>
      <c r="B27">
        <v>8340315998.8438911</v>
      </c>
      <c r="C27">
        <v>4837966533.1341</v>
      </c>
      <c r="D27">
        <v>69228732644.913559</v>
      </c>
      <c r="E27">
        <v>71331516071.350449</v>
      </c>
      <c r="F27">
        <v>316645217672.99207</v>
      </c>
      <c r="G27">
        <v>619179020974.4231</v>
      </c>
      <c r="I27">
        <f t="shared" si="0"/>
        <v>1.1764096189575954</v>
      </c>
      <c r="J27">
        <f t="shared" si="1"/>
        <v>1.0841095779601548</v>
      </c>
    </row>
    <row r="28" spans="1:10">
      <c r="A28" s="2">
        <v>2030</v>
      </c>
      <c r="B28">
        <v>8509714169.7380991</v>
      </c>
      <c r="C28">
        <v>4833302921.4325953</v>
      </c>
      <c r="D28">
        <v>69702416516.489899</v>
      </c>
      <c r="E28">
        <v>71577876120.720276</v>
      </c>
      <c r="F28">
        <v>320477365096.00525</v>
      </c>
      <c r="G28">
        <v>628565348302.61414</v>
      </c>
      <c r="I28">
        <f t="shared" si="0"/>
        <v>1.2003033944094359</v>
      </c>
      <c r="J28">
        <f t="shared" si="1"/>
        <v>1.0980806397657055</v>
      </c>
    </row>
    <row r="29" spans="1:10">
      <c r="A29" s="2">
        <v>2031</v>
      </c>
      <c r="B29">
        <v>8704443429.8368721</v>
      </c>
      <c r="C29">
        <v>4844649824.7079401</v>
      </c>
      <c r="D29">
        <v>70338112911.175842</v>
      </c>
      <c r="E29">
        <v>72049474721.50322</v>
      </c>
      <c r="F29">
        <v>326311360542.04871</v>
      </c>
      <c r="G29">
        <v>642475660079.26282</v>
      </c>
      <c r="I29">
        <f t="shared" si="0"/>
        <v>1.2277701444347882</v>
      </c>
      <c r="J29">
        <f t="shared" si="1"/>
        <v>1.1189992979803294</v>
      </c>
    </row>
    <row r="30" spans="1:10">
      <c r="A30" s="2">
        <v>2032</v>
      </c>
      <c r="B30">
        <v>8915960133.0758667</v>
      </c>
      <c r="C30">
        <v>4863999544.2169771</v>
      </c>
      <c r="D30">
        <v>70862674559.233566</v>
      </c>
      <c r="E30">
        <v>72699630087.184799</v>
      </c>
      <c r="F30">
        <v>332535366476.03827</v>
      </c>
      <c r="G30">
        <v>657509474283.27661</v>
      </c>
      <c r="I30">
        <f t="shared" si="0"/>
        <v>1.2576047795127689</v>
      </c>
      <c r="J30">
        <f t="shared" si="1"/>
        <v>1.1415111367908142</v>
      </c>
    </row>
    <row r="31" spans="1:10">
      <c r="A31" s="2">
        <v>2033</v>
      </c>
      <c r="B31">
        <v>9130662571.8958149</v>
      </c>
      <c r="C31">
        <v>4886816710.8274984</v>
      </c>
      <c r="D31">
        <v>71490606847.701141</v>
      </c>
      <c r="E31">
        <v>73471273473.082504</v>
      </c>
      <c r="F31">
        <v>338923327164.38892</v>
      </c>
      <c r="G31">
        <v>672462521656.27979</v>
      </c>
      <c r="I31">
        <f t="shared" si="0"/>
        <v>1.287888765668264</v>
      </c>
      <c r="J31">
        <f t="shared" si="1"/>
        <v>1.1643353214497811</v>
      </c>
    </row>
    <row r="32" spans="1:10">
      <c r="A32" s="2">
        <v>2034</v>
      </c>
      <c r="B32">
        <v>9344451334.122448</v>
      </c>
      <c r="C32">
        <v>4910806640.6227798</v>
      </c>
      <c r="D32">
        <v>72210833198.776138</v>
      </c>
      <c r="E32">
        <v>74319942344.162735</v>
      </c>
      <c r="F32">
        <v>345258941834.91302</v>
      </c>
      <c r="G32">
        <v>687044145573.58228</v>
      </c>
      <c r="I32">
        <f t="shared" si="0"/>
        <v>1.3180438768586928</v>
      </c>
      <c r="J32">
        <f t="shared" si="1"/>
        <v>1.1869055526352403</v>
      </c>
    </row>
    <row r="33" spans="1:10">
      <c r="A33" s="2">
        <v>2035</v>
      </c>
      <c r="B33">
        <v>9557254179.5837173</v>
      </c>
      <c r="C33">
        <v>4936339409.0409155</v>
      </c>
      <c r="D33">
        <v>72970037331.111267</v>
      </c>
      <c r="E33">
        <v>75213863349.47876</v>
      </c>
      <c r="F33">
        <v>350110960990.0827</v>
      </c>
      <c r="G33">
        <v>698101007794.98682</v>
      </c>
      <c r="I33">
        <f t="shared" si="0"/>
        <v>1.3480599235380855</v>
      </c>
      <c r="J33">
        <f t="shared" si="1"/>
        <v>1.2045400548788314</v>
      </c>
    </row>
    <row r="34" spans="1:10">
      <c r="A34" s="2">
        <v>2036</v>
      </c>
      <c r="B34">
        <v>9765987914.0722828</v>
      </c>
      <c r="C34">
        <v>4962347419.781949</v>
      </c>
      <c r="D34">
        <v>73735699337.699814</v>
      </c>
      <c r="E34">
        <v>76121422983.593918</v>
      </c>
      <c r="F34">
        <v>356208920607.4165</v>
      </c>
      <c r="G34">
        <v>711791341704.42529</v>
      </c>
      <c r="I34">
        <f t="shared" si="0"/>
        <v>1.3775020181886153</v>
      </c>
      <c r="J34">
        <f t="shared" si="1"/>
        <v>1.2260849549132224</v>
      </c>
    </row>
    <row r="35" spans="1:10">
      <c r="A35" s="2">
        <v>2037</v>
      </c>
      <c r="B35">
        <v>9970768211.8407822</v>
      </c>
      <c r="C35">
        <v>4990651692.8843241</v>
      </c>
      <c r="D35">
        <v>74523515776.283691</v>
      </c>
      <c r="E35">
        <v>77018368976.256699</v>
      </c>
      <c r="F35">
        <v>362389339701.22571</v>
      </c>
      <c r="G35">
        <v>725008633274.84546</v>
      </c>
      <c r="I35">
        <f t="shared" si="0"/>
        <v>1.4063864767752272</v>
      </c>
      <c r="J35">
        <f t="shared" si="1"/>
        <v>1.2472521031360289</v>
      </c>
    </row>
    <row r="36" spans="1:10">
      <c r="A36" s="2">
        <v>2038</v>
      </c>
      <c r="B36">
        <v>10174343956.725677</v>
      </c>
      <c r="C36">
        <v>5022793157.8074188</v>
      </c>
      <c r="D36">
        <v>75413955689.005859</v>
      </c>
      <c r="E36">
        <v>77976849784.118256</v>
      </c>
      <c r="F36">
        <v>368435198797.36237</v>
      </c>
      <c r="G36">
        <v>738072595159.25732</v>
      </c>
      <c r="I36">
        <f t="shared" si="0"/>
        <v>1.4351010320153699</v>
      </c>
      <c r="J36">
        <f t="shared" si="1"/>
        <v>1.2682990370099485</v>
      </c>
    </row>
    <row r="37" spans="1:10">
      <c r="A37" s="2">
        <v>2039</v>
      </c>
      <c r="B37">
        <v>10376221924.095428</v>
      </c>
      <c r="C37">
        <v>5058793837.7722406</v>
      </c>
      <c r="D37">
        <v>76364400030.52655</v>
      </c>
      <c r="E37">
        <v>78974660480.35405</v>
      </c>
      <c r="F37">
        <v>374569420679.42438</v>
      </c>
      <c r="G37">
        <v>750812652351.07312</v>
      </c>
      <c r="I37">
        <f t="shared" si="0"/>
        <v>1.4635761140988668</v>
      </c>
      <c r="J37">
        <f t="shared" si="1"/>
        <v>1.2892132691074127</v>
      </c>
    </row>
    <row r="38" spans="1:10">
      <c r="A38" s="2">
        <v>2040</v>
      </c>
      <c r="B38">
        <v>10576052711.328314</v>
      </c>
      <c r="C38">
        <v>5098081913.309392</v>
      </c>
      <c r="D38">
        <v>77385701778.176117</v>
      </c>
      <c r="E38">
        <v>80013476686.679184</v>
      </c>
      <c r="F38">
        <v>379012957938.37122</v>
      </c>
      <c r="G38">
        <v>759969258371.91858</v>
      </c>
      <c r="I38">
        <f t="shared" si="0"/>
        <v>1.4917624394487961</v>
      </c>
      <c r="J38">
        <f t="shared" si="1"/>
        <v>1.3049547399902388</v>
      </c>
    </row>
    <row r="39" spans="1:10">
      <c r="A39" s="2">
        <v>2041</v>
      </c>
      <c r="B39">
        <v>10791627184.696362</v>
      </c>
      <c r="C39">
        <v>5148167158.4950619</v>
      </c>
      <c r="D39">
        <v>78548904441.936798</v>
      </c>
      <c r="E39">
        <v>81173360182.324814</v>
      </c>
      <c r="F39">
        <v>386022570746.63257</v>
      </c>
      <c r="G39">
        <v>774954608515.77893</v>
      </c>
      <c r="I39">
        <f t="shared" si="0"/>
        <v>1.5221694269187005</v>
      </c>
      <c r="J39">
        <f t="shared" si="1"/>
        <v>1.329387943127966</v>
      </c>
    </row>
    <row r="40" spans="1:10">
      <c r="A40" s="2">
        <v>2042</v>
      </c>
      <c r="B40">
        <v>11040750378.06086</v>
      </c>
      <c r="C40">
        <v>5217286033.8473825</v>
      </c>
      <c r="D40">
        <v>79881256009.94545</v>
      </c>
      <c r="E40">
        <v>82588687764.849976</v>
      </c>
      <c r="F40">
        <v>394440615309.375</v>
      </c>
      <c r="G40">
        <v>791758591754.1687</v>
      </c>
      <c r="I40">
        <f t="shared" si="0"/>
        <v>1.5573084937142576</v>
      </c>
      <c r="J40">
        <f t="shared" si="1"/>
        <v>1.3575016393652886</v>
      </c>
    </row>
    <row r="41" spans="1:10">
      <c r="A41" s="2">
        <v>2043</v>
      </c>
      <c r="B41">
        <v>11313002644.934456</v>
      </c>
      <c r="C41">
        <v>5300854385.3706903</v>
      </c>
      <c r="D41">
        <v>81344033884.767487</v>
      </c>
      <c r="E41">
        <v>84201980033.423035</v>
      </c>
      <c r="F41">
        <v>403230368662.14862</v>
      </c>
      <c r="G41">
        <v>810489951083.84595</v>
      </c>
      <c r="I41">
        <f t="shared" si="0"/>
        <v>1.5957099386448219</v>
      </c>
      <c r="J41">
        <f t="shared" si="1"/>
        <v>1.3882643155292191</v>
      </c>
    </row>
    <row r="42" spans="1:10">
      <c r="A42" s="2">
        <v>2044</v>
      </c>
      <c r="B42">
        <v>11589210678.975927</v>
      </c>
      <c r="C42">
        <v>5388016557.4163713</v>
      </c>
      <c r="D42">
        <v>82897017306.536194</v>
      </c>
      <c r="E42">
        <v>85877145459.36322</v>
      </c>
      <c r="F42">
        <v>412463609450.92249</v>
      </c>
      <c r="G42">
        <v>829081599867.23132</v>
      </c>
      <c r="I42">
        <f t="shared" si="0"/>
        <v>1.6346693483512162</v>
      </c>
      <c r="J42">
        <f t="shared" si="1"/>
        <v>1.4194876679481623</v>
      </c>
    </row>
    <row r="43" spans="1:10">
      <c r="A43" s="2">
        <v>2045</v>
      </c>
      <c r="B43">
        <v>11861079988.159529</v>
      </c>
      <c r="C43">
        <v>5475286186.2591515</v>
      </c>
      <c r="D43">
        <v>84513304282.660934</v>
      </c>
      <c r="E43">
        <v>87564581571.484634</v>
      </c>
      <c r="F43">
        <v>417760805064.57904</v>
      </c>
      <c r="G43">
        <v>839872050746.74915</v>
      </c>
      <c r="I43">
        <f t="shared" si="0"/>
        <v>1.6730167767301025</v>
      </c>
      <c r="J43">
        <f t="shared" si="1"/>
        <v>1.4390183198111244</v>
      </c>
    </row>
    <row r="44" spans="1:10">
      <c r="A44" s="2">
        <v>2046</v>
      </c>
      <c r="B44">
        <v>12055228527.177462</v>
      </c>
      <c r="C44">
        <v>5531716053.3827238</v>
      </c>
      <c r="D44">
        <v>85945956530.047592</v>
      </c>
      <c r="E44">
        <v>88820201535.800751</v>
      </c>
      <c r="F44">
        <v>424265331528.1767</v>
      </c>
      <c r="G44">
        <v>853396890597.42358</v>
      </c>
      <c r="I44">
        <f t="shared" si="0"/>
        <v>1.7004016154866819</v>
      </c>
      <c r="J44">
        <f t="shared" si="1"/>
        <v>1.4618532004456271</v>
      </c>
    </row>
    <row r="45" spans="1:10">
      <c r="A45" s="2">
        <v>2047</v>
      </c>
      <c r="B45">
        <v>12175541645.334846</v>
      </c>
      <c r="C45">
        <v>5557689422.4695387</v>
      </c>
      <c r="D45">
        <v>87173412767.524506</v>
      </c>
      <c r="E45">
        <v>89693033193.387863</v>
      </c>
      <c r="F45">
        <v>429065403366.41772</v>
      </c>
      <c r="G45">
        <v>861991766373.25415</v>
      </c>
      <c r="I45">
        <f t="shared" si="0"/>
        <v>1.7173718968892988</v>
      </c>
      <c r="J45">
        <f t="shared" si="1"/>
        <v>1.4774158546855165</v>
      </c>
    </row>
    <row r="46" spans="1:10">
      <c r="A46" s="2">
        <v>2048</v>
      </c>
      <c r="B46">
        <v>12293827162.381659</v>
      </c>
      <c r="C46">
        <v>5584246333.7650881</v>
      </c>
      <c r="D46">
        <v>88391162151.773987</v>
      </c>
      <c r="E46" s="15">
        <v>90575730811.967392</v>
      </c>
      <c r="F46">
        <v>433545436619.27722</v>
      </c>
      <c r="G46">
        <v>870826019531.51318</v>
      </c>
      <c r="I46">
        <f t="shared" si="0"/>
        <v>1.7340561831988981</v>
      </c>
      <c r="J46">
        <f t="shared" si="1"/>
        <v>1.4928983769706645</v>
      </c>
    </row>
    <row r="47" spans="1:10">
      <c r="A47" s="2">
        <v>2049</v>
      </c>
      <c r="B47">
        <v>12410494816.184233</v>
      </c>
      <c r="C47">
        <v>5618121080.4157133</v>
      </c>
      <c r="D47">
        <v>89344228855.673309</v>
      </c>
      <c r="E47" s="15">
        <v>91444550978.149826</v>
      </c>
      <c r="F47">
        <v>438549257413.91431</v>
      </c>
      <c r="G47">
        <v>879801674189.83191</v>
      </c>
      <c r="I47">
        <f t="shared" si="0"/>
        <v>1.7505122683368699</v>
      </c>
      <c r="J47">
        <f t="shared" si="1"/>
        <v>1.5087758979328372</v>
      </c>
    </row>
    <row r="48" spans="1:10">
      <c r="A48" s="2">
        <v>2050</v>
      </c>
      <c r="B48">
        <v>12525953196.740656</v>
      </c>
      <c r="C48">
        <v>5653083330.2382631</v>
      </c>
      <c r="D48">
        <v>90301626668.691467</v>
      </c>
      <c r="E48" s="15">
        <v>92338487673.332016</v>
      </c>
      <c r="F48">
        <v>439589530657.10114</v>
      </c>
      <c r="G48">
        <v>880865514516.08972</v>
      </c>
      <c r="I48">
        <f t="shared" si="0"/>
        <v>1.7667977843166804</v>
      </c>
      <c r="J48">
        <f t="shared" si="1"/>
        <v>1.5127769636158588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25"/>
  <sheetViews>
    <sheetView workbookViewId="0"/>
  </sheetViews>
  <sheetFormatPr baseColWidth="10" defaultColWidth="8.83203125" defaultRowHeight="15"/>
  <cols>
    <col min="1" max="1" width="44" customWidth="1"/>
  </cols>
  <sheetData>
    <row r="1" spans="1:39">
      <c r="A1" t="s">
        <v>46</v>
      </c>
    </row>
    <row r="2" spans="1:39">
      <c r="A2" t="s">
        <v>70</v>
      </c>
    </row>
    <row r="3" spans="1:39">
      <c r="A3" t="s">
        <v>66</v>
      </c>
    </row>
    <row r="5" spans="1:39">
      <c r="A5" s="1" t="s">
        <v>67</v>
      </c>
    </row>
    <row r="7" spans="1:39">
      <c r="A7" s="4" t="s">
        <v>9</v>
      </c>
      <c r="B7" s="3">
        <v>2013</v>
      </c>
      <c r="C7" s="3">
        <v>2014</v>
      </c>
      <c r="D7" s="3">
        <v>2015</v>
      </c>
      <c r="E7" s="3">
        <v>2016</v>
      </c>
      <c r="F7" s="3">
        <v>2017</v>
      </c>
      <c r="G7" s="3">
        <v>2018</v>
      </c>
      <c r="H7" s="3">
        <v>2019</v>
      </c>
      <c r="I7" s="3">
        <v>2020</v>
      </c>
      <c r="J7" s="3">
        <v>2021</v>
      </c>
      <c r="K7" s="3">
        <v>2022</v>
      </c>
      <c r="L7" s="3">
        <v>2023</v>
      </c>
      <c r="M7" s="3">
        <v>2024</v>
      </c>
      <c r="N7" s="3">
        <v>2025</v>
      </c>
      <c r="O7" s="3">
        <v>2026</v>
      </c>
      <c r="P7" s="3">
        <v>2027</v>
      </c>
      <c r="Q7" s="3">
        <v>2028</v>
      </c>
      <c r="R7" s="3">
        <v>2029</v>
      </c>
      <c r="S7" s="3">
        <v>2030</v>
      </c>
      <c r="T7" s="3">
        <v>2031</v>
      </c>
      <c r="U7" s="3">
        <v>2032</v>
      </c>
      <c r="V7" s="3">
        <v>2033</v>
      </c>
      <c r="W7" s="3">
        <v>2034</v>
      </c>
      <c r="X7" s="3">
        <v>2035</v>
      </c>
      <c r="Y7" s="3">
        <v>2036</v>
      </c>
      <c r="Z7" s="3">
        <v>2037</v>
      </c>
      <c r="AA7" s="3">
        <v>2038</v>
      </c>
      <c r="AB7" s="3">
        <v>2039</v>
      </c>
      <c r="AC7" s="3">
        <v>2040</v>
      </c>
      <c r="AD7" s="3">
        <v>2041</v>
      </c>
      <c r="AE7" s="3">
        <v>2042</v>
      </c>
      <c r="AF7" s="3">
        <v>2043</v>
      </c>
      <c r="AG7" s="3">
        <v>2044</v>
      </c>
      <c r="AH7" s="3">
        <v>2045</v>
      </c>
      <c r="AI7" s="3">
        <v>2046</v>
      </c>
      <c r="AJ7" s="3">
        <v>2047</v>
      </c>
      <c r="AK7" s="3">
        <v>2048</v>
      </c>
      <c r="AL7" s="3">
        <v>2049</v>
      </c>
      <c r="AM7" s="3">
        <v>2050</v>
      </c>
    </row>
    <row r="8" spans="1:39">
      <c r="A8" t="s">
        <v>45</v>
      </c>
      <c r="B8">
        <v>203255</v>
      </c>
      <c r="C8">
        <v>213577.8571428571</v>
      </c>
      <c r="D8">
        <v>223900.7142857142</v>
      </c>
      <c r="E8">
        <v>234223.5714285713</v>
      </c>
      <c r="F8">
        <v>244546.42857142841</v>
      </c>
      <c r="G8">
        <v>254869.28571428551</v>
      </c>
      <c r="H8">
        <v>265192.14285714261</v>
      </c>
      <c r="I8">
        <v>275514.99999999971</v>
      </c>
      <c r="J8">
        <v>287270.7999999997</v>
      </c>
      <c r="K8">
        <v>299026.59999999969</v>
      </c>
      <c r="L8">
        <v>310782.39999999967</v>
      </c>
      <c r="M8">
        <v>322538.19999999972</v>
      </c>
      <c r="N8">
        <v>334293.99999999971</v>
      </c>
      <c r="O8">
        <v>346049.7999999997</v>
      </c>
      <c r="P8">
        <v>357805.59999999969</v>
      </c>
      <c r="Q8">
        <v>369561.39999999967</v>
      </c>
      <c r="R8">
        <v>381317.19999999972</v>
      </c>
      <c r="S8">
        <v>393072.99999999971</v>
      </c>
      <c r="T8">
        <v>401508.09999999974</v>
      </c>
      <c r="U8">
        <v>409943.19999999978</v>
      </c>
      <c r="V8">
        <v>418378.29999999981</v>
      </c>
      <c r="W8">
        <v>426813.39999999985</v>
      </c>
      <c r="X8">
        <v>435248.49999999988</v>
      </c>
      <c r="Y8">
        <v>443683.59999999986</v>
      </c>
      <c r="Z8">
        <v>452118.6999999999</v>
      </c>
      <c r="AA8">
        <v>460553.79999999993</v>
      </c>
      <c r="AB8">
        <v>468988.89999999997</v>
      </c>
      <c r="AC8">
        <v>477424</v>
      </c>
      <c r="AD8">
        <v>481038.4</v>
      </c>
      <c r="AE8">
        <v>484652.79999999999</v>
      </c>
      <c r="AF8">
        <v>488267.2</v>
      </c>
      <c r="AG8">
        <v>491881.6</v>
      </c>
      <c r="AH8">
        <v>495496</v>
      </c>
      <c r="AI8">
        <v>499110.40000000002</v>
      </c>
      <c r="AJ8">
        <v>502724.8</v>
      </c>
      <c r="AK8">
        <v>506339.2</v>
      </c>
      <c r="AL8">
        <v>509953.6</v>
      </c>
      <c r="AM8">
        <v>513568</v>
      </c>
    </row>
    <row r="9" spans="1:39">
      <c r="A9" t="s">
        <v>14</v>
      </c>
      <c r="B9" s="6">
        <v>203255</v>
      </c>
      <c r="C9" s="6">
        <v>213577.8571428571</v>
      </c>
      <c r="D9" s="6">
        <v>223900.7142857142</v>
      </c>
      <c r="E9" s="6">
        <v>234223.5714285713</v>
      </c>
      <c r="F9" s="6">
        <v>244546.42857142841</v>
      </c>
      <c r="G9" s="6">
        <v>254869.28571428551</v>
      </c>
      <c r="H9" s="6">
        <v>265192.14285714261</v>
      </c>
      <c r="I9" s="6">
        <v>275514.99999999971</v>
      </c>
      <c r="J9" s="6">
        <v>287270.7999999997</v>
      </c>
      <c r="K9" s="6">
        <v>299026.59999999969</v>
      </c>
      <c r="L9" s="6">
        <v>310782.39999999967</v>
      </c>
      <c r="M9" s="6">
        <v>322538.19999999972</v>
      </c>
      <c r="N9" s="6">
        <v>334293.99999999971</v>
      </c>
      <c r="O9" s="6">
        <v>346049.7999999997</v>
      </c>
      <c r="P9" s="6">
        <v>357805.59999999969</v>
      </c>
      <c r="Q9" s="6">
        <v>369561.39999999967</v>
      </c>
      <c r="R9" s="6">
        <v>381317.19999999972</v>
      </c>
      <c r="S9" s="6">
        <v>393072.99999999971</v>
      </c>
      <c r="T9" s="6">
        <v>401508.09999999974</v>
      </c>
      <c r="U9" s="6">
        <v>409943.19999999978</v>
      </c>
      <c r="V9" s="6">
        <v>418378.29999999981</v>
      </c>
      <c r="W9" s="6">
        <v>426813.39999999985</v>
      </c>
      <c r="X9" s="6">
        <v>435248.49999999988</v>
      </c>
      <c r="Y9" s="6">
        <v>443683.59999999986</v>
      </c>
      <c r="Z9" s="6">
        <v>452118.6999999999</v>
      </c>
      <c r="AA9" s="6">
        <v>460553.79999999993</v>
      </c>
      <c r="AB9" s="6">
        <v>468988.89999999997</v>
      </c>
      <c r="AC9" s="6">
        <v>477424</v>
      </c>
      <c r="AD9" s="6">
        <v>481038.4</v>
      </c>
      <c r="AE9" s="6">
        <v>484652.79999999999</v>
      </c>
      <c r="AF9" s="6">
        <v>488267.2</v>
      </c>
      <c r="AG9" s="6">
        <v>491881.6</v>
      </c>
      <c r="AH9" s="6">
        <v>495496</v>
      </c>
      <c r="AI9" s="6">
        <v>499110.40000000002</v>
      </c>
      <c r="AJ9" s="6">
        <v>502724.8</v>
      </c>
      <c r="AK9" s="6">
        <v>506339.2</v>
      </c>
      <c r="AL9">
        <v>509953.6</v>
      </c>
      <c r="AM9">
        <v>513568</v>
      </c>
    </row>
    <row r="10" spans="1:39">
      <c r="A10" s="1" t="s">
        <v>15</v>
      </c>
      <c r="H10">
        <v>1</v>
      </c>
      <c r="I10">
        <f>I9/$H$9</f>
        <v>1.0389259539579119</v>
      </c>
      <c r="J10">
        <f t="shared" ref="J10:AM10" si="0">J9/$H$9</f>
        <v>1.08325532161317</v>
      </c>
      <c r="K10">
        <f t="shared" si="0"/>
        <v>1.1275846892684278</v>
      </c>
      <c r="L10">
        <f t="shared" si="0"/>
        <v>1.1719140569236859</v>
      </c>
      <c r="M10">
        <f t="shared" si="0"/>
        <v>1.2162434245789442</v>
      </c>
      <c r="N10">
        <f t="shared" si="0"/>
        <v>1.2605727922342023</v>
      </c>
      <c r="O10">
        <f t="shared" si="0"/>
        <v>1.3049021598894603</v>
      </c>
      <c r="P10">
        <f t="shared" si="0"/>
        <v>1.3492315275447184</v>
      </c>
      <c r="Q10">
        <f t="shared" si="0"/>
        <v>1.3935608951999763</v>
      </c>
      <c r="R10">
        <f t="shared" si="0"/>
        <v>1.4378902628552346</v>
      </c>
      <c r="S10">
        <f t="shared" si="0"/>
        <v>1.4822196305104927</v>
      </c>
      <c r="T10">
        <f t="shared" si="0"/>
        <v>1.5140271339648614</v>
      </c>
      <c r="U10">
        <f t="shared" si="0"/>
        <v>1.5458346374192304</v>
      </c>
      <c r="V10">
        <f t="shared" si="0"/>
        <v>1.5776421408735992</v>
      </c>
      <c r="W10">
        <f t="shared" si="0"/>
        <v>1.609449644327968</v>
      </c>
      <c r="X10">
        <f t="shared" si="0"/>
        <v>1.6412571477823368</v>
      </c>
      <c r="Y10">
        <f t="shared" si="0"/>
        <v>1.6730646512367053</v>
      </c>
      <c r="Z10">
        <f t="shared" si="0"/>
        <v>1.7048721546910743</v>
      </c>
      <c r="AA10">
        <f t="shared" si="0"/>
        <v>1.7366796581454431</v>
      </c>
      <c r="AB10">
        <f t="shared" si="0"/>
        <v>1.7684871615998119</v>
      </c>
      <c r="AC10">
        <f t="shared" si="0"/>
        <v>1.8002946650541807</v>
      </c>
      <c r="AD10">
        <f t="shared" si="0"/>
        <v>1.8139240281305486</v>
      </c>
      <c r="AE10">
        <f t="shared" si="0"/>
        <v>1.8275533912069164</v>
      </c>
      <c r="AF10">
        <f t="shared" si="0"/>
        <v>1.8411827542832842</v>
      </c>
      <c r="AG10">
        <f t="shared" si="0"/>
        <v>1.8548121173596519</v>
      </c>
      <c r="AH10">
        <f t="shared" si="0"/>
        <v>1.8684414804360199</v>
      </c>
      <c r="AI10">
        <f t="shared" si="0"/>
        <v>1.8820708435123878</v>
      </c>
      <c r="AJ10">
        <f t="shared" si="0"/>
        <v>1.8957002065887554</v>
      </c>
      <c r="AK10">
        <f t="shared" si="0"/>
        <v>1.9093295696651233</v>
      </c>
      <c r="AL10">
        <f t="shared" si="0"/>
        <v>1.9229589327414911</v>
      </c>
      <c r="AM10">
        <f t="shared" si="0"/>
        <v>1.9365882958178589</v>
      </c>
    </row>
    <row r="25" ht="99" customHeight="1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10"/>
  <sheetViews>
    <sheetView workbookViewId="0"/>
  </sheetViews>
  <sheetFormatPr baseColWidth="10" defaultColWidth="8.83203125" defaultRowHeight="15"/>
  <cols>
    <col min="1" max="1" width="36.83203125" customWidth="1"/>
  </cols>
  <sheetData>
    <row r="1" spans="1:39">
      <c r="A1" t="s">
        <v>46</v>
      </c>
    </row>
    <row r="2" spans="1:39">
      <c r="A2" t="s">
        <v>70</v>
      </c>
    </row>
    <row r="3" spans="1:39">
      <c r="A3" t="s">
        <v>66</v>
      </c>
    </row>
    <row r="5" spans="1:39">
      <c r="A5" s="1" t="s">
        <v>67</v>
      </c>
    </row>
    <row r="7" spans="1:39">
      <c r="A7" s="4" t="s">
        <v>8</v>
      </c>
      <c r="B7" s="3">
        <v>2013</v>
      </c>
      <c r="C7" s="3">
        <v>2014</v>
      </c>
      <c r="D7" s="3">
        <v>2015</v>
      </c>
      <c r="E7" s="3">
        <v>2016</v>
      </c>
      <c r="F7" s="3">
        <v>2017</v>
      </c>
      <c r="G7" s="3">
        <v>2018</v>
      </c>
      <c r="H7" s="3">
        <v>2019</v>
      </c>
      <c r="I7" s="3">
        <v>2020</v>
      </c>
      <c r="J7" s="3">
        <v>2021</v>
      </c>
      <c r="K7" s="3">
        <v>2022</v>
      </c>
      <c r="L7" s="3">
        <v>2023</v>
      </c>
      <c r="M7" s="3">
        <v>2024</v>
      </c>
      <c r="N7" s="3">
        <v>2025</v>
      </c>
      <c r="O7" s="3">
        <v>2026</v>
      </c>
      <c r="P7" s="3">
        <v>2027</v>
      </c>
      <c r="Q7" s="3">
        <v>2028</v>
      </c>
      <c r="R7" s="3">
        <v>2029</v>
      </c>
      <c r="S7" s="3">
        <v>2030</v>
      </c>
      <c r="T7" s="3">
        <v>2031</v>
      </c>
      <c r="U7" s="3">
        <v>2032</v>
      </c>
      <c r="V7" s="3">
        <v>2033</v>
      </c>
      <c r="W7" s="3">
        <v>2034</v>
      </c>
      <c r="X7" s="3">
        <v>2035</v>
      </c>
      <c r="Y7" s="3">
        <v>2036</v>
      </c>
      <c r="Z7" s="3">
        <v>2037</v>
      </c>
      <c r="AA7" s="3">
        <v>2038</v>
      </c>
      <c r="AB7" s="3">
        <v>2039</v>
      </c>
      <c r="AC7" s="3">
        <v>2040</v>
      </c>
      <c r="AD7" s="3">
        <v>2041</v>
      </c>
      <c r="AE7" s="3">
        <v>2042</v>
      </c>
      <c r="AF7" s="3">
        <v>2043</v>
      </c>
      <c r="AG7" s="3">
        <v>2044</v>
      </c>
      <c r="AH7" s="3">
        <v>2045</v>
      </c>
      <c r="AI7" s="3">
        <v>2046</v>
      </c>
      <c r="AJ7" s="3">
        <v>2047</v>
      </c>
      <c r="AK7" s="3">
        <v>2048</v>
      </c>
      <c r="AL7" s="3">
        <v>2049</v>
      </c>
      <c r="AM7" s="3">
        <v>2050</v>
      </c>
    </row>
    <row r="8" spans="1:39">
      <c r="A8" t="s">
        <v>45</v>
      </c>
      <c r="B8">
        <v>316462</v>
      </c>
      <c r="C8">
        <v>333025.28571428568</v>
      </c>
      <c r="D8">
        <v>349588.57142857142</v>
      </c>
      <c r="E8">
        <v>366151.8571428571</v>
      </c>
      <c r="F8">
        <v>382715.14285714278</v>
      </c>
      <c r="G8">
        <v>399278.42857142852</v>
      </c>
      <c r="H8">
        <v>415841.7142857142</v>
      </c>
      <c r="I8">
        <v>432404.99999999988</v>
      </c>
      <c r="J8">
        <v>451494.79999999987</v>
      </c>
      <c r="K8">
        <v>470584.59999999986</v>
      </c>
      <c r="L8">
        <v>489674.39999999991</v>
      </c>
      <c r="M8">
        <v>508764.1999999999</v>
      </c>
      <c r="N8">
        <v>527853.99999999988</v>
      </c>
      <c r="O8">
        <v>546943.79999999981</v>
      </c>
      <c r="P8">
        <v>566033.59999999986</v>
      </c>
      <c r="Q8">
        <v>585123.39999999991</v>
      </c>
      <c r="R8">
        <v>604213.19999999984</v>
      </c>
      <c r="S8">
        <v>623302.99999999988</v>
      </c>
      <c r="T8">
        <v>655393.69999999984</v>
      </c>
      <c r="U8">
        <v>687484.39999999991</v>
      </c>
      <c r="V8">
        <v>719575.09999999986</v>
      </c>
      <c r="W8">
        <v>751665.79999999993</v>
      </c>
      <c r="X8">
        <v>783756.49999999988</v>
      </c>
      <c r="Y8">
        <v>815847.2</v>
      </c>
      <c r="Z8">
        <v>847937.89999999991</v>
      </c>
      <c r="AA8">
        <v>880028.59999999986</v>
      </c>
      <c r="AB8">
        <v>912119.29999999981</v>
      </c>
      <c r="AC8">
        <v>944209.99999999988</v>
      </c>
      <c r="AD8">
        <v>992182.39999999991</v>
      </c>
      <c r="AE8">
        <v>1040154.7999999999</v>
      </c>
      <c r="AF8">
        <v>1088127.2</v>
      </c>
      <c r="AG8">
        <v>1136099.5999999999</v>
      </c>
      <c r="AH8">
        <v>1184072</v>
      </c>
      <c r="AI8">
        <v>1232044.3999999999</v>
      </c>
      <c r="AJ8">
        <v>1280016.7999999998</v>
      </c>
      <c r="AK8">
        <v>1327989.2</v>
      </c>
      <c r="AL8">
        <v>1375961.5999999999</v>
      </c>
      <c r="AM8">
        <v>1423934</v>
      </c>
    </row>
    <row r="9" spans="1:39">
      <c r="A9" t="s">
        <v>14</v>
      </c>
      <c r="B9" s="6">
        <v>316462</v>
      </c>
      <c r="C9" s="6">
        <v>333025.28571428568</v>
      </c>
      <c r="D9" s="6">
        <v>349588.57142857142</v>
      </c>
      <c r="E9" s="6">
        <v>366151.8571428571</v>
      </c>
      <c r="F9" s="6">
        <v>382715.14285714278</v>
      </c>
      <c r="G9" s="6">
        <v>399278.42857142852</v>
      </c>
      <c r="H9" s="6">
        <v>415841.7142857142</v>
      </c>
      <c r="I9" s="6">
        <v>432404.99999999988</v>
      </c>
      <c r="J9" s="6">
        <v>451494.79999999987</v>
      </c>
      <c r="K9" s="6">
        <v>470584.59999999986</v>
      </c>
      <c r="L9" s="6">
        <v>489674.39999999991</v>
      </c>
      <c r="M9" s="6">
        <v>508764.1999999999</v>
      </c>
      <c r="N9" s="6">
        <v>527853.99999999988</v>
      </c>
      <c r="O9" s="6">
        <v>546943.79999999981</v>
      </c>
      <c r="P9" s="6">
        <v>566033.59999999986</v>
      </c>
      <c r="Q9" s="6">
        <v>585123.39999999991</v>
      </c>
      <c r="R9" s="6">
        <v>604213.19999999984</v>
      </c>
      <c r="S9" s="6">
        <v>623302.99999999988</v>
      </c>
      <c r="T9" s="6">
        <v>655393.69999999984</v>
      </c>
      <c r="U9" s="6">
        <v>687484.39999999991</v>
      </c>
      <c r="V9" s="6">
        <v>719575.09999999986</v>
      </c>
      <c r="W9" s="6">
        <v>751665.79999999993</v>
      </c>
      <c r="X9" s="6">
        <v>783756.49999999988</v>
      </c>
      <c r="Y9" s="6">
        <v>815847.2</v>
      </c>
      <c r="Z9" s="6">
        <v>847937.89999999991</v>
      </c>
      <c r="AA9" s="6">
        <v>880028.59999999986</v>
      </c>
      <c r="AB9" s="6">
        <v>912119.29999999981</v>
      </c>
      <c r="AC9" s="6">
        <v>944209.99999999988</v>
      </c>
      <c r="AD9" s="6">
        <v>992182.39999999991</v>
      </c>
      <c r="AE9" s="6">
        <v>1040154.7999999999</v>
      </c>
      <c r="AF9" s="6">
        <v>1088127.2</v>
      </c>
      <c r="AG9" s="6">
        <v>1136099.5999999999</v>
      </c>
      <c r="AH9" s="6">
        <v>1184072</v>
      </c>
      <c r="AI9" s="6">
        <v>1232044.3999999999</v>
      </c>
      <c r="AJ9" s="6">
        <v>1280016.7999999998</v>
      </c>
      <c r="AK9" s="6">
        <v>1327989.2</v>
      </c>
      <c r="AL9">
        <v>1375961.5999999999</v>
      </c>
      <c r="AM9">
        <v>1423934</v>
      </c>
    </row>
    <row r="10" spans="1:39">
      <c r="A10" s="1" t="s">
        <v>15</v>
      </c>
      <c r="H10">
        <v>1</v>
      </c>
      <c r="I10">
        <f>I9/$H$9</f>
        <v>1.0398307460393583</v>
      </c>
      <c r="J10">
        <f t="shared" ref="J10:AM10" si="0">J9/$H$9</f>
        <v>1.085737155483611</v>
      </c>
      <c r="K10">
        <f t="shared" si="0"/>
        <v>1.131643564927864</v>
      </c>
      <c r="L10">
        <f t="shared" si="0"/>
        <v>1.1775499743721169</v>
      </c>
      <c r="M10">
        <f t="shared" si="0"/>
        <v>1.2234563838163697</v>
      </c>
      <c r="N10">
        <f t="shared" si="0"/>
        <v>1.2693627932606224</v>
      </c>
      <c r="O10">
        <f t="shared" si="0"/>
        <v>1.3152692027048751</v>
      </c>
      <c r="P10">
        <f t="shared" si="0"/>
        <v>1.3611756121491281</v>
      </c>
      <c r="Q10">
        <f t="shared" si="0"/>
        <v>1.407082021593381</v>
      </c>
      <c r="R10">
        <f t="shared" si="0"/>
        <v>1.4529884310376338</v>
      </c>
      <c r="S10">
        <f t="shared" si="0"/>
        <v>1.4988948404818867</v>
      </c>
      <c r="T10">
        <f t="shared" si="0"/>
        <v>1.5760653091904473</v>
      </c>
      <c r="U10">
        <f t="shared" si="0"/>
        <v>1.6532357778990083</v>
      </c>
      <c r="V10">
        <f t="shared" si="0"/>
        <v>1.7304062466075691</v>
      </c>
      <c r="W10">
        <f t="shared" si="0"/>
        <v>1.8075767153161302</v>
      </c>
      <c r="X10">
        <f t="shared" si="0"/>
        <v>1.8847471840246908</v>
      </c>
      <c r="Y10">
        <f t="shared" si="0"/>
        <v>1.9619176527332518</v>
      </c>
      <c r="Z10">
        <f t="shared" si="0"/>
        <v>2.0390881214418126</v>
      </c>
      <c r="AA10">
        <f t="shared" si="0"/>
        <v>2.1162585901503732</v>
      </c>
      <c r="AB10">
        <f t="shared" si="0"/>
        <v>2.1934290588589338</v>
      </c>
      <c r="AC10">
        <f t="shared" si="0"/>
        <v>2.2705995275674948</v>
      </c>
      <c r="AD10">
        <f t="shared" si="0"/>
        <v>2.3859616914677702</v>
      </c>
      <c r="AE10">
        <f t="shared" si="0"/>
        <v>2.5013238553680455</v>
      </c>
      <c r="AF10">
        <f t="shared" si="0"/>
        <v>2.6166860192683208</v>
      </c>
      <c r="AG10">
        <f t="shared" si="0"/>
        <v>2.7320481831685961</v>
      </c>
      <c r="AH10">
        <f t="shared" si="0"/>
        <v>2.8474103470688714</v>
      </c>
      <c r="AI10">
        <f t="shared" si="0"/>
        <v>2.9627725109691467</v>
      </c>
      <c r="AJ10">
        <f t="shared" si="0"/>
        <v>3.0781346748694216</v>
      </c>
      <c r="AK10">
        <f t="shared" si="0"/>
        <v>3.1934968387696974</v>
      </c>
      <c r="AL10">
        <f t="shared" si="0"/>
        <v>3.3088590026699722</v>
      </c>
      <c r="AM10">
        <f t="shared" si="0"/>
        <v>3.424221166570248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10"/>
  <sheetViews>
    <sheetView workbookViewId="0"/>
  </sheetViews>
  <sheetFormatPr baseColWidth="10" defaultColWidth="8.83203125" defaultRowHeight="15"/>
  <cols>
    <col min="1" max="1" width="40.1640625" customWidth="1"/>
  </cols>
  <sheetData>
    <row r="1" spans="1:39">
      <c r="A1" t="s">
        <v>46</v>
      </c>
    </row>
    <row r="2" spans="1:39">
      <c r="A2" t="s">
        <v>70</v>
      </c>
    </row>
    <row r="3" spans="1:39">
      <c r="A3" t="s">
        <v>66</v>
      </c>
    </row>
    <row r="5" spans="1:39">
      <c r="A5" s="1" t="s">
        <v>67</v>
      </c>
    </row>
    <row r="7" spans="1:39">
      <c r="A7" s="4" t="s">
        <v>16</v>
      </c>
      <c r="B7" s="3">
        <v>2013</v>
      </c>
      <c r="C7" s="3">
        <v>2014</v>
      </c>
      <c r="D7" s="3">
        <v>2015</v>
      </c>
      <c r="E7" s="3">
        <v>2016</v>
      </c>
      <c r="F7" s="3">
        <v>2017</v>
      </c>
      <c r="G7" s="3">
        <v>2018</v>
      </c>
      <c r="H7" s="3">
        <v>2019</v>
      </c>
      <c r="I7" s="3">
        <v>2020</v>
      </c>
      <c r="J7" s="3">
        <v>2021</v>
      </c>
      <c r="K7" s="3">
        <v>2022</v>
      </c>
      <c r="L7" s="3">
        <v>2023</v>
      </c>
      <c r="M7" s="3">
        <v>2024</v>
      </c>
      <c r="N7" s="3">
        <v>2025</v>
      </c>
      <c r="O7" s="3">
        <v>2026</v>
      </c>
      <c r="P7" s="3">
        <v>2027</v>
      </c>
      <c r="Q7" s="3">
        <v>2028</v>
      </c>
      <c r="R7" s="3">
        <v>2029</v>
      </c>
      <c r="S7" s="3">
        <v>2030</v>
      </c>
      <c r="T7" s="3">
        <v>2031</v>
      </c>
      <c r="U7" s="3">
        <v>2032</v>
      </c>
      <c r="V7" s="3">
        <v>2033</v>
      </c>
      <c r="W7" s="3">
        <v>2034</v>
      </c>
      <c r="X7" s="3">
        <v>2035</v>
      </c>
      <c r="Y7" s="3">
        <v>2036</v>
      </c>
      <c r="Z7" s="3">
        <v>2037</v>
      </c>
      <c r="AA7" s="3">
        <v>2038</v>
      </c>
      <c r="AB7" s="3">
        <v>2039</v>
      </c>
      <c r="AC7" s="3">
        <v>2040</v>
      </c>
      <c r="AD7" s="3">
        <v>2041</v>
      </c>
      <c r="AE7" s="3">
        <v>2042</v>
      </c>
      <c r="AF7" s="3">
        <v>2043</v>
      </c>
      <c r="AG7" s="3">
        <v>2044</v>
      </c>
      <c r="AH7" s="3">
        <v>2045</v>
      </c>
      <c r="AI7" s="3">
        <v>2046</v>
      </c>
      <c r="AJ7" s="3">
        <v>2047</v>
      </c>
      <c r="AK7" s="3">
        <v>2048</v>
      </c>
      <c r="AL7" s="3">
        <v>2049</v>
      </c>
      <c r="AM7" s="3">
        <v>2050</v>
      </c>
    </row>
    <row r="8" spans="1:39">
      <c r="A8" t="s">
        <v>45</v>
      </c>
      <c r="B8">
        <v>8635</v>
      </c>
      <c r="C8">
        <v>8716.1428571428569</v>
      </c>
      <c r="D8">
        <v>8797.2857142857138</v>
      </c>
      <c r="E8">
        <v>8878.4285714285706</v>
      </c>
      <c r="F8">
        <v>8959.5714285714275</v>
      </c>
      <c r="G8">
        <v>9040.7142857142862</v>
      </c>
      <c r="H8">
        <v>9121.8571428571431</v>
      </c>
      <c r="I8">
        <v>9203</v>
      </c>
      <c r="J8">
        <v>9114.4</v>
      </c>
      <c r="K8">
        <v>9025.7999999999993</v>
      </c>
      <c r="L8">
        <v>8937.2000000000007</v>
      </c>
      <c r="M8">
        <v>8848.6</v>
      </c>
      <c r="N8">
        <v>8760</v>
      </c>
      <c r="O8">
        <v>8671.4</v>
      </c>
      <c r="P8">
        <v>8582.7999999999993</v>
      </c>
      <c r="Q8">
        <v>8494.2000000000007</v>
      </c>
      <c r="R8">
        <v>8405.6</v>
      </c>
      <c r="S8">
        <v>8317</v>
      </c>
      <c r="T8">
        <v>8442.6</v>
      </c>
      <c r="U8">
        <v>8568.2000000000007</v>
      </c>
      <c r="V8">
        <v>8693.7999999999993</v>
      </c>
      <c r="W8">
        <v>8819.4</v>
      </c>
      <c r="X8">
        <v>8945</v>
      </c>
      <c r="Y8">
        <v>9070.6</v>
      </c>
      <c r="Z8">
        <v>9196.2000000000007</v>
      </c>
      <c r="AA8">
        <v>9321.7999999999993</v>
      </c>
      <c r="AB8">
        <v>9447.4</v>
      </c>
      <c r="AC8">
        <v>9573</v>
      </c>
      <c r="AD8">
        <v>9814.2999999999993</v>
      </c>
      <c r="AE8">
        <v>10055.6</v>
      </c>
      <c r="AF8">
        <v>10296.9</v>
      </c>
      <c r="AG8">
        <v>10538.2</v>
      </c>
      <c r="AH8">
        <v>10779.5</v>
      </c>
      <c r="AI8">
        <v>11020.8</v>
      </c>
      <c r="AJ8">
        <v>11262.1</v>
      </c>
      <c r="AK8">
        <v>11503.4</v>
      </c>
      <c r="AL8">
        <v>11744.7</v>
      </c>
      <c r="AM8">
        <v>11986</v>
      </c>
    </row>
    <row r="9" spans="1:39">
      <c r="A9" t="s">
        <v>14</v>
      </c>
      <c r="B9" s="6">
        <v>8635</v>
      </c>
      <c r="C9" s="6">
        <v>8716.1428571428569</v>
      </c>
      <c r="D9" s="6">
        <v>8797.2857142857138</v>
      </c>
      <c r="E9" s="6">
        <v>8878.4285714285706</v>
      </c>
      <c r="F9" s="6">
        <v>8959.5714285714275</v>
      </c>
      <c r="G9" s="6">
        <v>9040.7142857142862</v>
      </c>
      <c r="H9" s="6">
        <v>9121.8571428571431</v>
      </c>
      <c r="I9" s="6">
        <v>9203</v>
      </c>
      <c r="J9" s="6">
        <v>9114.4</v>
      </c>
      <c r="K9" s="6">
        <v>9025.7999999999993</v>
      </c>
      <c r="L9" s="6">
        <v>8937.2000000000007</v>
      </c>
      <c r="M9" s="6">
        <v>8848.6</v>
      </c>
      <c r="N9" s="6">
        <v>8760</v>
      </c>
      <c r="O9" s="6">
        <v>8671.4</v>
      </c>
      <c r="P9" s="6">
        <v>8582.7999999999993</v>
      </c>
      <c r="Q9" s="6">
        <v>8494.2000000000007</v>
      </c>
      <c r="R9" s="6">
        <v>8405.6</v>
      </c>
      <c r="S9" s="6">
        <v>8317</v>
      </c>
      <c r="T9" s="6">
        <v>8442.6</v>
      </c>
      <c r="U9" s="6">
        <v>8568.2000000000007</v>
      </c>
      <c r="V9" s="6">
        <v>8693.7999999999993</v>
      </c>
      <c r="W9" s="6">
        <v>8819.4</v>
      </c>
      <c r="X9" s="6">
        <v>8945</v>
      </c>
      <c r="Y9" s="6">
        <v>9070.6</v>
      </c>
      <c r="Z9" s="6">
        <v>9196.2000000000007</v>
      </c>
      <c r="AA9" s="6">
        <v>9321.7999999999993</v>
      </c>
      <c r="AB9" s="6">
        <v>9447.4</v>
      </c>
      <c r="AC9" s="6">
        <v>9573</v>
      </c>
      <c r="AD9" s="6">
        <v>9814.2999999999993</v>
      </c>
      <c r="AE9" s="6">
        <v>10055.6</v>
      </c>
      <c r="AF9" s="6">
        <v>10296.9</v>
      </c>
      <c r="AG9" s="6">
        <v>10538.2</v>
      </c>
      <c r="AH9" s="6">
        <v>10779.5</v>
      </c>
      <c r="AI9" s="6">
        <v>11020.8</v>
      </c>
      <c r="AJ9" s="6">
        <v>11262.1</v>
      </c>
      <c r="AK9" s="6">
        <v>11503.4</v>
      </c>
      <c r="AL9">
        <v>11744.7</v>
      </c>
      <c r="AM9">
        <v>11986</v>
      </c>
    </row>
    <row r="10" spans="1:39">
      <c r="A10" s="1" t="s">
        <v>15</v>
      </c>
      <c r="H10">
        <v>1</v>
      </c>
      <c r="I10">
        <f>I9/$H$9</f>
        <v>1.0088954316946737</v>
      </c>
      <c r="J10">
        <f t="shared" ref="J10:AM10" si="0">J9/$H$9</f>
        <v>0.99918249729848241</v>
      </c>
      <c r="K10">
        <f t="shared" si="0"/>
        <v>0.98946956290229104</v>
      </c>
      <c r="L10">
        <f t="shared" si="0"/>
        <v>0.97975662850610001</v>
      </c>
      <c r="M10">
        <f t="shared" si="0"/>
        <v>0.97004369410990876</v>
      </c>
      <c r="N10">
        <f t="shared" si="0"/>
        <v>0.9603307597137174</v>
      </c>
      <c r="O10">
        <f t="shared" si="0"/>
        <v>0.95061782531752614</v>
      </c>
      <c r="P10">
        <f t="shared" si="0"/>
        <v>0.94090489092133478</v>
      </c>
      <c r="Q10">
        <f t="shared" si="0"/>
        <v>0.93119195652514375</v>
      </c>
      <c r="R10">
        <f t="shared" si="0"/>
        <v>0.9214790221289525</v>
      </c>
      <c r="S10">
        <f t="shared" si="0"/>
        <v>0.91176608773276113</v>
      </c>
      <c r="T10">
        <f t="shared" si="0"/>
        <v>0.92553521369395331</v>
      </c>
      <c r="U10">
        <f t="shared" si="0"/>
        <v>0.93930433965514548</v>
      </c>
      <c r="V10">
        <f t="shared" si="0"/>
        <v>0.95307346561633743</v>
      </c>
      <c r="W10">
        <f t="shared" si="0"/>
        <v>0.96684259157752961</v>
      </c>
      <c r="X10">
        <f t="shared" si="0"/>
        <v>0.98061171753872167</v>
      </c>
      <c r="Y10">
        <f t="shared" si="0"/>
        <v>0.99438084349991385</v>
      </c>
      <c r="Z10">
        <f t="shared" si="0"/>
        <v>1.008149969461106</v>
      </c>
      <c r="AA10">
        <f t="shared" si="0"/>
        <v>1.0219190954222981</v>
      </c>
      <c r="AB10">
        <f t="shared" si="0"/>
        <v>1.0356882213834901</v>
      </c>
      <c r="AC10">
        <f t="shared" si="0"/>
        <v>1.0494573473446822</v>
      </c>
      <c r="AD10">
        <f t="shared" si="0"/>
        <v>1.0759102939564311</v>
      </c>
      <c r="AE10">
        <f t="shared" si="0"/>
        <v>1.10236324056818</v>
      </c>
      <c r="AF10">
        <f t="shared" si="0"/>
        <v>1.1288161871799289</v>
      </c>
      <c r="AG10">
        <f t="shared" si="0"/>
        <v>1.1552691337916778</v>
      </c>
      <c r="AH10">
        <f t="shared" si="0"/>
        <v>1.1817220804034265</v>
      </c>
      <c r="AI10">
        <f t="shared" si="0"/>
        <v>1.2081750270151754</v>
      </c>
      <c r="AJ10">
        <f t="shared" si="0"/>
        <v>1.2346279736269243</v>
      </c>
      <c r="AK10">
        <f t="shared" si="0"/>
        <v>1.261080920238673</v>
      </c>
      <c r="AL10">
        <f t="shared" si="0"/>
        <v>1.2875338668504221</v>
      </c>
      <c r="AM10">
        <f t="shared" si="0"/>
        <v>1.3139868134621708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G7"/>
  <sheetViews>
    <sheetView workbookViewId="0">
      <selection activeCell="B2" sqref="B2"/>
    </sheetView>
  </sheetViews>
  <sheetFormatPr baseColWidth="10" defaultColWidth="8.83203125" defaultRowHeight="15"/>
  <cols>
    <col min="1" max="1" width="16.5" customWidth="1"/>
  </cols>
  <sheetData>
    <row r="1" spans="1:33" ht="80">
      <c r="A1" s="23" t="s">
        <v>71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2</v>
      </c>
      <c r="B2" s="18">
        <f>'psgr-Road'!F27</f>
        <v>1</v>
      </c>
      <c r="C2" s="18">
        <f>'psgr-Road'!G27</f>
        <v>1.045446252668814</v>
      </c>
      <c r="D2" s="18">
        <f>'psgr-Road'!H27</f>
        <v>1.0902935629479218</v>
      </c>
      <c r="E2" s="18">
        <f>'psgr-Road'!I27</f>
        <v>1.1348406250887735</v>
      </c>
      <c r="F2" s="18">
        <f>'psgr-Road'!J27</f>
        <v>1.1791133240676028</v>
      </c>
      <c r="G2" s="18">
        <f>'psgr-Road'!K27</f>
        <v>1.2231700708490882</v>
      </c>
      <c r="H2" s="18">
        <f>'psgr-Road'!L27</f>
        <v>1.2657330007299641</v>
      </c>
      <c r="I2" s="18">
        <f>'psgr-Road'!M27</f>
        <v>1.3056969213220244</v>
      </c>
      <c r="J2" s="18">
        <f>'psgr-Road'!N27</f>
        <v>1.343241073439071</v>
      </c>
      <c r="K2" s="18">
        <f>'psgr-Road'!O27</f>
        <v>1.3784815754356821</v>
      </c>
      <c r="L2" s="18">
        <f>'psgr-Road'!P27</f>
        <v>1.4114983566220527</v>
      </c>
      <c r="M2" s="18">
        <f>'psgr-Road'!Q27</f>
        <v>1.4423953773469262</v>
      </c>
      <c r="N2" s="18">
        <f>'psgr-Road'!R27</f>
        <v>1.4713587509557675</v>
      </c>
      <c r="O2" s="18">
        <f>'psgr-Road'!S27</f>
        <v>1.4985631560052062</v>
      </c>
      <c r="P2" s="18">
        <f>'psgr-Road'!T27</f>
        <v>1.524121548043853</v>
      </c>
      <c r="Q2" s="18">
        <f>'psgr-Road'!U27</f>
        <v>1.5481469521569711</v>
      </c>
      <c r="R2" s="18">
        <f>'psgr-Road'!V27</f>
        <v>1.5702233204333562</v>
      </c>
      <c r="S2" s="18">
        <f>'psgr-Road'!W27</f>
        <v>1.5899888525209629</v>
      </c>
      <c r="T2" s="18">
        <f>'psgr-Road'!X27</f>
        <v>1.6076468763655829</v>
      </c>
      <c r="U2" s="18">
        <f>'psgr-Road'!Y27</f>
        <v>1.6233889729416526</v>
      </c>
      <c r="V2" s="18">
        <f>'psgr-Road'!Z27</f>
        <v>1.6373860708685328</v>
      </c>
      <c r="W2" s="18">
        <f>'psgr-Road'!AA27</f>
        <v>1.6498044003651045</v>
      </c>
      <c r="X2" s="18">
        <f>'psgr-Road'!AB27</f>
        <v>1.66080029859011</v>
      </c>
      <c r="Y2" s="18">
        <f>'psgr-Road'!AC27</f>
        <v>1.6705095695720791</v>
      </c>
      <c r="Z2" s="18">
        <f>'psgr-Road'!AD27</f>
        <v>1.6790725939191413</v>
      </c>
      <c r="AA2" s="18">
        <f>'psgr-Road'!AE27</f>
        <v>1.6865746797401524</v>
      </c>
      <c r="AB2" s="18">
        <f>'psgr-Road'!AF27</f>
        <v>1.6931342587674456</v>
      </c>
      <c r="AC2" s="18">
        <f>'psgr-Road'!AG27</f>
        <v>1.6988612030342658</v>
      </c>
      <c r="AD2" s="18">
        <f>'psgr-Road'!AH27</f>
        <v>1.7038582912226363</v>
      </c>
      <c r="AE2" s="18">
        <f>'psgr-Road'!AI27</f>
        <v>1.70822075616749</v>
      </c>
      <c r="AF2" s="18">
        <f>'psgr-Road'!AJ27</f>
        <v>1.7120303262576879</v>
      </c>
      <c r="AG2" s="18">
        <f>'psgr-Road'!AK27</f>
        <v>1.7250769867383136</v>
      </c>
    </row>
    <row r="3" spans="1:33">
      <c r="A3" t="s">
        <v>1</v>
      </c>
      <c r="B3" s="18">
        <f>'psgr-Road'!F29</f>
        <v>1</v>
      </c>
      <c r="C3" s="18">
        <f>'psgr-Road'!G29</f>
        <v>1.0334154346553133</v>
      </c>
      <c r="D3" s="18">
        <f>'psgr-Road'!H29</f>
        <v>1.066251524973816</v>
      </c>
      <c r="E3" s="18">
        <f>'psgr-Road'!I29</f>
        <v>1.0987955896302184</v>
      </c>
      <c r="F3" s="18">
        <f>'psgr-Road'!J29</f>
        <v>1.1308909578813648</v>
      </c>
      <c r="G3" s="18">
        <f>'psgr-Road'!K29</f>
        <v>1.1624396390591314</v>
      </c>
      <c r="H3" s="18">
        <f>'psgr-Road'!L29</f>
        <v>1.193482168829745</v>
      </c>
      <c r="I3" s="18">
        <f>'psgr-Road'!M29</f>
        <v>1.2239425910899728</v>
      </c>
      <c r="J3" s="18">
        <f>'psgr-Road'!N29</f>
        <v>1.2540752953637533</v>
      </c>
      <c r="K3" s="18">
        <f>'psgr-Road'!O29</f>
        <v>1.2839001267622507</v>
      </c>
      <c r="L3" s="18">
        <f>'psgr-Road'!P29</f>
        <v>1.3134271934888433</v>
      </c>
      <c r="M3" s="18">
        <f>'psgr-Road'!Q29</f>
        <v>1.3426870591272548</v>
      </c>
      <c r="N3" s="18">
        <f>'psgr-Road'!R29</f>
        <v>1.3718114147380063</v>
      </c>
      <c r="O3" s="18">
        <f>'psgr-Road'!S29</f>
        <v>1.4008812211949582</v>
      </c>
      <c r="P3" s="18">
        <f>'psgr-Road'!T29</f>
        <v>1.4300517213226596</v>
      </c>
      <c r="Q3" s="18">
        <f>'psgr-Road'!U29</f>
        <v>1.4593741056953635</v>
      </c>
      <c r="R3" s="18">
        <f>'psgr-Road'!V29</f>
        <v>1.4889152586296401</v>
      </c>
      <c r="S3" s="18">
        <f>'psgr-Road'!W29</f>
        <v>1.5185312866584604</v>
      </c>
      <c r="T3" s="18">
        <f>'psgr-Road'!X29</f>
        <v>1.5484057369386854</v>
      </c>
      <c r="U3" s="18">
        <f>'psgr-Road'!Y29</f>
        <v>1.5785633890721567</v>
      </c>
      <c r="V3" s="18">
        <f>'psgr-Road'!Z29</f>
        <v>1.6088066756790091</v>
      </c>
      <c r="W3" s="18">
        <f>'psgr-Road'!AA29</f>
        <v>1.6389738683454314</v>
      </c>
      <c r="X3" s="18">
        <f>'psgr-Road'!AB29</f>
        <v>1.6690607228653191</v>
      </c>
      <c r="Y3" s="18">
        <f>'psgr-Road'!AC29</f>
        <v>1.6990129918383652</v>
      </c>
      <c r="Z3" s="18">
        <f>'psgr-Road'!AD29</f>
        <v>1.7288277588021368</v>
      </c>
      <c r="AA3" s="18">
        <f>'psgr-Road'!AE29</f>
        <v>1.758475629519874</v>
      </c>
      <c r="AB3" s="18">
        <f>'psgr-Road'!AF29</f>
        <v>1.7878926063876766</v>
      </c>
      <c r="AC3" s="18">
        <f>'psgr-Road'!AG29</f>
        <v>1.8170699223678837</v>
      </c>
      <c r="AD3" s="18">
        <f>'psgr-Road'!AH29</f>
        <v>1.8460044597468732</v>
      </c>
      <c r="AE3" s="18">
        <f>'psgr-Road'!AI29</f>
        <v>1.8746716515612003</v>
      </c>
      <c r="AF3" s="18">
        <f>'psgr-Road'!AJ29</f>
        <v>1.9030439404859325</v>
      </c>
      <c r="AG3" s="18">
        <f>'psgr-Road'!AK29</f>
        <v>1.941438984749335</v>
      </c>
    </row>
    <row r="4" spans="1:33">
      <c r="A4" t="s">
        <v>0</v>
      </c>
      <c r="B4" s="18">
        <f>'psgr-Air'!H11</f>
        <v>1</v>
      </c>
      <c r="C4" s="18">
        <f>'psgr-Air'!I11</f>
        <v>1.0551902997123332</v>
      </c>
      <c r="D4" s="18">
        <f>'psgr-Air'!J11</f>
        <v>1.1132049875502257</v>
      </c>
      <c r="E4" s="18">
        <f>'psgr-Air'!K11</f>
        <v>1.1744093408028264</v>
      </c>
      <c r="F4" s="18">
        <f>'psgr-Air'!L11</f>
        <v>1.2389787282575397</v>
      </c>
      <c r="G4" s="18">
        <f>'psgr-Air'!M11</f>
        <v>1.3070981605317424</v>
      </c>
      <c r="H4" s="18">
        <f>'psgr-Air'!N11</f>
        <v>1.3789628201835662</v>
      </c>
      <c r="I4" s="18">
        <f>'psgr-Air'!O11</f>
        <v>1.450168583831408</v>
      </c>
      <c r="J4" s="18">
        <f>'psgr-Air'!P11</f>
        <v>1.5250512129483256</v>
      </c>
      <c r="K4" s="18">
        <f>'psgr-Air'!Q11</f>
        <v>1.6038005705311484</v>
      </c>
      <c r="L4" s="18">
        <f>'psgr-Air'!R11</f>
        <v>1.6866163235681393</v>
      </c>
      <c r="M4" s="18">
        <f>'psgr-Air'!S11</f>
        <v>1.7737084492895554</v>
      </c>
      <c r="N4" s="18">
        <f>'psgr-Air'!T11</f>
        <v>1.8371478691202183</v>
      </c>
      <c r="O4" s="18">
        <f>'psgr-Air'!U11</f>
        <v>1.9028562976992263</v>
      </c>
      <c r="P4" s="18">
        <f>'psgr-Air'!V11</f>
        <v>1.9709148896259396</v>
      </c>
      <c r="Q4" s="18">
        <f>'psgr-Air'!W11</f>
        <v>2.0414077021192023</v>
      </c>
      <c r="R4" s="18">
        <f>'psgr-Air'!X11</f>
        <v>2.1144217988340044</v>
      </c>
      <c r="S4" s="18">
        <f>'psgr-Air'!Y11</f>
        <v>2.1835687169561924</v>
      </c>
      <c r="T4" s="18">
        <f>'psgr-Air'!Z11</f>
        <v>2.2549769134517068</v>
      </c>
      <c r="U4" s="18">
        <f>'psgr-Air'!AA11</f>
        <v>2.3287203378185262</v>
      </c>
      <c r="V4" s="18">
        <f>'psgr-Air'!AB11</f>
        <v>2.4048753578894537</v>
      </c>
      <c r="W4" s="18">
        <f>'psgr-Air'!AC11</f>
        <v>2.4835208389177659</v>
      </c>
      <c r="X4" s="18">
        <f>'psgr-Air'!AD11</f>
        <v>2.5575476710394502</v>
      </c>
      <c r="Y4" s="18">
        <f>'psgr-Air'!AE11</f>
        <v>2.63378103663897</v>
      </c>
      <c r="Z4" s="18">
        <f>'psgr-Air'!AF11</f>
        <v>2.7122867063274558</v>
      </c>
      <c r="AA4" s="18">
        <f>'psgr-Air'!AG11</f>
        <v>2.793132411154589</v>
      </c>
      <c r="AB4" s="18">
        <f>'psgr-Air'!AH11</f>
        <v>2.8763879010438065</v>
      </c>
      <c r="AC4" s="18">
        <f>'psgr-Air'!AI11</f>
        <v>2.9544182930312406</v>
      </c>
      <c r="AD4" s="18">
        <f>'psgr-Air'!AJ11</f>
        <v>3.0345654864665965</v>
      </c>
      <c r="AE4" s="18">
        <f>'psgr-Air'!AK11</f>
        <v>3.1168869057489532</v>
      </c>
      <c r="AF4" s="18">
        <f>'psgr-Air'!AL11</f>
        <v>3.2014415330813217</v>
      </c>
      <c r="AG4" s="18">
        <f>'psgr-Air'!AM11</f>
        <v>3.2882899507306016</v>
      </c>
    </row>
    <row r="5" spans="1:33">
      <c r="A5" t="s">
        <v>3</v>
      </c>
      <c r="B5" s="18">
        <f>'psgr-Rail'!H10</f>
        <v>1</v>
      </c>
      <c r="C5" s="18">
        <f>'psgr-Rail'!I10</f>
        <v>1.0096153846153846</v>
      </c>
      <c r="D5" s="18">
        <f>'psgr-Rail'!J10</f>
        <v>1.0769230769230769</v>
      </c>
      <c r="E5" s="18">
        <f>'psgr-Rail'!K10</f>
        <v>1.1442307692307692</v>
      </c>
      <c r="F5" s="18">
        <f>'psgr-Rail'!L10</f>
        <v>1.2115384615384615</v>
      </c>
      <c r="G5" s="18">
        <f>'psgr-Rail'!M10</f>
        <v>1.2788461538461537</v>
      </c>
      <c r="H5" s="18">
        <f>'psgr-Rail'!N10</f>
        <v>1.346153846153846</v>
      </c>
      <c r="I5" s="18">
        <f>'psgr-Rail'!O10</f>
        <v>1.4134615384615383</v>
      </c>
      <c r="J5" s="18">
        <f>'psgr-Rail'!P10</f>
        <v>1.4807692307692306</v>
      </c>
      <c r="K5" s="18">
        <f>'psgr-Rail'!Q10</f>
        <v>1.5480769230769229</v>
      </c>
      <c r="L5" s="18">
        <f>'psgr-Rail'!R10</f>
        <v>1.6153846153846152</v>
      </c>
      <c r="M5" s="18">
        <f>'psgr-Rail'!S10</f>
        <v>1.6826923076923075</v>
      </c>
      <c r="N5" s="18">
        <f>'psgr-Rail'!T10</f>
        <v>1.7668269230769229</v>
      </c>
      <c r="O5" s="18">
        <f>'psgr-Rail'!U10</f>
        <v>1.8509615384615383</v>
      </c>
      <c r="P5" s="18">
        <f>'psgr-Rail'!V10</f>
        <v>1.9350961538461537</v>
      </c>
      <c r="Q5" s="18">
        <f>'psgr-Rail'!W10</f>
        <v>2.0192307692307692</v>
      </c>
      <c r="R5" s="18">
        <f>'psgr-Rail'!X10</f>
        <v>2.1033653846153846</v>
      </c>
      <c r="S5" s="18">
        <f>'psgr-Rail'!Y10</f>
        <v>2.1874999999999996</v>
      </c>
      <c r="T5" s="18">
        <f>'psgr-Rail'!Z10</f>
        <v>2.271634615384615</v>
      </c>
      <c r="U5" s="18">
        <f>'psgr-Rail'!AA10</f>
        <v>2.3557692307692304</v>
      </c>
      <c r="V5" s="18">
        <f>'psgr-Rail'!AB10</f>
        <v>2.4399038461538458</v>
      </c>
      <c r="W5" s="18">
        <f>'psgr-Rail'!AC10</f>
        <v>2.5240384615384612</v>
      </c>
      <c r="X5" s="18">
        <f>'psgr-Rail'!AD10</f>
        <v>2.5745192307692304</v>
      </c>
      <c r="Y5" s="18">
        <f>'psgr-Rail'!AE10</f>
        <v>2.6249999999999996</v>
      </c>
      <c r="Z5" s="18">
        <f>'psgr-Rail'!AF10</f>
        <v>2.6754807692307692</v>
      </c>
      <c r="AA5" s="18">
        <f>'psgr-Rail'!AG10</f>
        <v>2.7259615384615383</v>
      </c>
      <c r="AB5" s="18">
        <f>'psgr-Rail'!AH10</f>
        <v>2.7764423076923075</v>
      </c>
      <c r="AC5" s="18">
        <f>'psgr-Rail'!AI10</f>
        <v>2.8269230769230766</v>
      </c>
      <c r="AD5" s="18">
        <f>'psgr-Rail'!AJ10</f>
        <v>2.8774038461538458</v>
      </c>
      <c r="AE5" s="18">
        <f>'psgr-Rail'!AK10</f>
        <v>2.927884615384615</v>
      </c>
      <c r="AF5" s="18">
        <f>'psgr-Rail'!AL10</f>
        <v>2.9783653846153841</v>
      </c>
      <c r="AG5" s="18">
        <f>'psgr-Rail'!AM10</f>
        <v>3.0288461538461537</v>
      </c>
    </row>
    <row r="6" spans="1:33">
      <c r="A6" t="s">
        <v>4</v>
      </c>
      <c r="B6" s="18">
        <f>'psgr-Ship'!H10</f>
        <v>1</v>
      </c>
      <c r="C6" s="18">
        <f>'psgr-Ship'!I10</f>
        <v>1.011826544021025</v>
      </c>
      <c r="D6" s="18">
        <f>'psgr-Ship'!J10</f>
        <v>1.0208797288885816</v>
      </c>
      <c r="E6" s="18">
        <f>'psgr-Ship'!K10</f>
        <v>1.0299329137561382</v>
      </c>
      <c r="F6" s="18">
        <f>'psgr-Ship'!L10</f>
        <v>1.0389860986236945</v>
      </c>
      <c r="G6" s="18">
        <f>'psgr-Ship'!M10</f>
        <v>1.0480392834912513</v>
      </c>
      <c r="H6" s="18">
        <f>'psgr-Ship'!N10</f>
        <v>1.0570924683588077</v>
      </c>
      <c r="I6" s="18">
        <f>'psgr-Ship'!O10</f>
        <v>1.0661456532263642</v>
      </c>
      <c r="J6" s="18">
        <f>'psgr-Ship'!P10</f>
        <v>1.0751988380939208</v>
      </c>
      <c r="K6" s="18">
        <f>'psgr-Ship'!Q10</f>
        <v>1.0842520229614774</v>
      </c>
      <c r="L6" s="18">
        <f>'psgr-Ship'!R10</f>
        <v>1.093305207829034</v>
      </c>
      <c r="M6" s="18">
        <f>'psgr-Ship'!S10</f>
        <v>1.1023583926965905</v>
      </c>
      <c r="N6" s="18">
        <f>'psgr-Ship'!T10</f>
        <v>1.1048274431150149</v>
      </c>
      <c r="O6" s="18">
        <f>'psgr-Ship'!U10</f>
        <v>1.1072964935334393</v>
      </c>
      <c r="P6" s="18">
        <f>'psgr-Ship'!V10</f>
        <v>1.1097655439518641</v>
      </c>
      <c r="Q6" s="18">
        <f>'psgr-Ship'!W10</f>
        <v>1.1122345943702885</v>
      </c>
      <c r="R6" s="18">
        <f>'psgr-Ship'!X10</f>
        <v>1.1147036447887131</v>
      </c>
      <c r="S6" s="18">
        <f>'psgr-Ship'!Y10</f>
        <v>1.1171726952071375</v>
      </c>
      <c r="T6" s="18">
        <f>'psgr-Ship'!Z10</f>
        <v>1.1196417456255618</v>
      </c>
      <c r="U6" s="18">
        <f>'psgr-Ship'!AA10</f>
        <v>1.1221107960439867</v>
      </c>
      <c r="V6" s="18">
        <f>'psgr-Ship'!AB10</f>
        <v>1.124579846462411</v>
      </c>
      <c r="W6" s="18">
        <f>'psgr-Ship'!AC10</f>
        <v>1.1270488968808354</v>
      </c>
      <c r="X6" s="18">
        <f>'psgr-Ship'!AD10</f>
        <v>1.1261774673213916</v>
      </c>
      <c r="Y6" s="18">
        <f>'psgr-Ship'!AE10</f>
        <v>1.1253060377619477</v>
      </c>
      <c r="Z6" s="18">
        <f>'psgr-Ship'!AF10</f>
        <v>1.1244346082025036</v>
      </c>
      <c r="AA6" s="18">
        <f>'psgr-Ship'!AG10</f>
        <v>1.1235631786430598</v>
      </c>
      <c r="AB6" s="18">
        <f>'psgr-Ship'!AH10</f>
        <v>1.1226917490836159</v>
      </c>
      <c r="AC6" s="18">
        <f>'psgr-Ship'!AI10</f>
        <v>1.1218203195241718</v>
      </c>
      <c r="AD6" s="18">
        <f>'psgr-Ship'!AJ10</f>
        <v>1.120948889964728</v>
      </c>
      <c r="AE6" s="18">
        <f>'psgr-Ship'!AK10</f>
        <v>1.1200774604052839</v>
      </c>
      <c r="AF6" s="18">
        <f>'psgr-Ship'!AL10</f>
        <v>1.11920603084584</v>
      </c>
      <c r="AG6" s="18">
        <f>'psgr-Ship'!AM10</f>
        <v>1.1183346012863962</v>
      </c>
    </row>
    <row r="7" spans="1:33">
      <c r="A7" t="s">
        <v>5</v>
      </c>
      <c r="B7" s="18">
        <f>'psgr-Road'!F31</f>
        <v>1</v>
      </c>
      <c r="C7" s="18">
        <f>'psgr-Road'!G31</f>
        <v>1.0490351553361907</v>
      </c>
      <c r="D7" s="18">
        <f>'psgr-Road'!H31</f>
        <v>1.1023854854034718</v>
      </c>
      <c r="E7" s="18">
        <f>'psgr-Road'!I31</f>
        <v>1.1604893036824209</v>
      </c>
      <c r="F7" s="18">
        <f>'psgr-Road'!J31</f>
        <v>1.2235049763187984</v>
      </c>
      <c r="G7" s="18">
        <f>'psgr-Road'!K31</f>
        <v>1.2912925606387813</v>
      </c>
      <c r="H7" s="18">
        <f>'psgr-Road'!L31</f>
        <v>1.3587912847546832</v>
      </c>
      <c r="I7" s="18">
        <f>'psgr-Road'!M31</f>
        <v>1.4217727050529438</v>
      </c>
      <c r="J7" s="18">
        <f>'psgr-Road'!N31</f>
        <v>1.4806189281493229</v>
      </c>
      <c r="K7" s="18">
        <f>'psgr-Road'!O31</f>
        <v>1.5355931803399991</v>
      </c>
      <c r="L7" s="18">
        <f>'psgr-Road'!P31</f>
        <v>1.5869409927984415</v>
      </c>
      <c r="M7" s="18">
        <f>'psgr-Road'!Q31</f>
        <v>1.6348917025504113</v>
      </c>
      <c r="N7" s="18">
        <f>'psgr-Road'!R31</f>
        <v>1.6797955304550816</v>
      </c>
      <c r="O7" s="18">
        <f>'psgr-Road'!S31</f>
        <v>1.7219643560942319</v>
      </c>
      <c r="P7" s="18">
        <f>'psgr-Road'!T31</f>
        <v>1.7616516295020754</v>
      </c>
      <c r="Q7" s="18">
        <f>'psgr-Road'!U31</f>
        <v>1.7991456529981786</v>
      </c>
      <c r="R7" s="18">
        <f>'psgr-Road'!V31</f>
        <v>1.833371848027211</v>
      </c>
      <c r="S7" s="18">
        <f>'psgr-Road'!W31</f>
        <v>1.8637338183327448</v>
      </c>
      <c r="T7" s="18">
        <f>'psgr-Road'!X31</f>
        <v>1.8907104059342619</v>
      </c>
      <c r="U7" s="18">
        <f>'psgr-Road'!Y31</f>
        <v>1.9145629155257244</v>
      </c>
      <c r="V7" s="18">
        <f>'psgr-Road'!Z31</f>
        <v>1.9356469852020468</v>
      </c>
      <c r="W7" s="18">
        <f>'psgr-Road'!AA31</f>
        <v>1.9542786166916968</v>
      </c>
      <c r="X7" s="18">
        <f>'psgr-Road'!AB31</f>
        <v>1.9707551314472216</v>
      </c>
      <c r="Y7" s="18">
        <f>'psgr-Road'!AC31</f>
        <v>1.9853489099412565</v>
      </c>
      <c r="Z7" s="18">
        <f>'psgr-Road'!AD31</f>
        <v>1.9982999377095372</v>
      </c>
      <c r="AA7" s="18">
        <f>'psgr-Road'!AE31</f>
        <v>2.0098328960987248</v>
      </c>
      <c r="AB7" s="18">
        <f>'psgr-Road'!AF31</f>
        <v>2.0201437287615081</v>
      </c>
      <c r="AC7" s="18">
        <f>'psgr-Road'!AG31</f>
        <v>2.029420814702223</v>
      </c>
      <c r="AD7" s="18">
        <f>'psgr-Road'!AH31</f>
        <v>2.0378325796985077</v>
      </c>
      <c r="AE7" s="18">
        <f>'psgr-Road'!AI31</f>
        <v>2.0455223602216472</v>
      </c>
      <c r="AF7" s="18">
        <f>'psgr-Road'!AJ31</f>
        <v>2.0526150316359262</v>
      </c>
      <c r="AG7" s="18">
        <f>'psgr-Road'!AK31</f>
        <v>2.0592162665664304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G7"/>
  <sheetViews>
    <sheetView tabSelected="1" workbookViewId="0">
      <selection activeCell="C4" sqref="C4"/>
    </sheetView>
  </sheetViews>
  <sheetFormatPr baseColWidth="10" defaultColWidth="8.83203125" defaultRowHeight="15"/>
  <cols>
    <col min="1" max="1" width="16.5" customWidth="1"/>
  </cols>
  <sheetData>
    <row r="1" spans="1:33" ht="80">
      <c r="A1" s="23" t="s">
        <v>71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2</v>
      </c>
      <c r="B2" s="18">
        <f>INDEX('frgt-Road'!$I12:$I48,COLUMN(F2),1)</f>
        <v>1</v>
      </c>
      <c r="C2" s="18">
        <f>B2</f>
        <v>1</v>
      </c>
      <c r="D2" s="18">
        <f>INDEX('frgt-Road'!$I12:$I48,COLUMN(F2),1)</f>
        <v>1</v>
      </c>
      <c r="E2" s="18">
        <f>INDEX('frgt-Road'!$I12:$I48,COLUMN(G2),1)</f>
        <v>1.0390648100769198</v>
      </c>
      <c r="F2" s="18">
        <f>INDEX('frgt-Road'!$I12:$I48,COLUMN(H2),1)</f>
        <v>1.0645013967929677</v>
      </c>
      <c r="G2" s="18">
        <f>INDEX('frgt-Road'!$I12:$I48,COLUMN(I2),1)</f>
        <v>1.077053413766752</v>
      </c>
      <c r="H2" s="18">
        <f>INDEX('frgt-Road'!$I12:$I48,COLUMN(J2),1)</f>
        <v>1.0890342789314216</v>
      </c>
      <c r="I2" s="18">
        <f>INDEX('frgt-Road'!$I12:$I48,COLUMN(K2),1)</f>
        <v>1.1005033187176918</v>
      </c>
      <c r="J2" s="18">
        <f>INDEX('frgt-Road'!$I12:$I48,COLUMN(L2),1)</f>
        <v>1.1115031207327826</v>
      </c>
      <c r="K2" s="18">
        <f>INDEX('frgt-Road'!$I12:$I48,COLUMN(M2),1)</f>
        <v>1.1235911869889585</v>
      </c>
      <c r="L2" s="18">
        <f>INDEX('frgt-Road'!$I12:$I48,COLUMN(N2),1)</f>
        <v>1.1382984778360816</v>
      </c>
      <c r="M2" s="18">
        <f>INDEX('frgt-Road'!$I12:$I48,COLUMN(O2),1)</f>
        <v>1.1558281556447521</v>
      </c>
      <c r="N2" s="18">
        <f>INDEX('frgt-Road'!$I12:$I48,COLUMN(P2),1)</f>
        <v>1.1764096189575954</v>
      </c>
      <c r="O2" s="18">
        <f>INDEX('frgt-Road'!$I12:$I48,COLUMN(Q2),1)</f>
        <v>1.2003033944094359</v>
      </c>
      <c r="P2" s="18">
        <f>INDEX('frgt-Road'!$I12:$I48,COLUMN(R2),1)</f>
        <v>1.2277701444347882</v>
      </c>
      <c r="Q2" s="18">
        <f>INDEX('frgt-Road'!$I12:$I48,COLUMN(S2),1)</f>
        <v>1.2576047795127689</v>
      </c>
      <c r="R2" s="18">
        <f>INDEX('frgt-Road'!$I12:$I48,COLUMN(T2),1)</f>
        <v>1.287888765668264</v>
      </c>
      <c r="S2" s="18">
        <f>INDEX('frgt-Road'!$I12:$I48,COLUMN(U2),1)</f>
        <v>1.3180438768586928</v>
      </c>
      <c r="T2" s="18">
        <f>INDEX('frgt-Road'!$I12:$I48,COLUMN(V2),1)</f>
        <v>1.3480599235380855</v>
      </c>
      <c r="U2" s="18">
        <f>INDEX('frgt-Road'!$I12:$I48,COLUMN(W2),1)</f>
        <v>1.3775020181886153</v>
      </c>
      <c r="V2" s="18">
        <f>INDEX('frgt-Road'!$I12:$I48,COLUMN(X2),1)</f>
        <v>1.4063864767752272</v>
      </c>
      <c r="W2" s="18">
        <f>INDEX('frgt-Road'!$I12:$I48,COLUMN(Y2),1)</f>
        <v>1.4351010320153699</v>
      </c>
      <c r="X2" s="18">
        <f>INDEX('frgt-Road'!$I12:$I48,COLUMN(Z2),1)</f>
        <v>1.4635761140988668</v>
      </c>
      <c r="Y2" s="18">
        <f>INDEX('frgt-Road'!$I12:$I48,COLUMN(AA2),1)</f>
        <v>1.4917624394487961</v>
      </c>
      <c r="Z2" s="18">
        <f>INDEX('frgt-Road'!$I12:$I48,COLUMN(AB2),1)</f>
        <v>1.5221694269187005</v>
      </c>
      <c r="AA2" s="18">
        <f>INDEX('frgt-Road'!$I12:$I48,COLUMN(AC2),1)</f>
        <v>1.5573084937142576</v>
      </c>
      <c r="AB2" s="18">
        <f>INDEX('frgt-Road'!$I12:$I48,COLUMN(AD2),1)</f>
        <v>1.5957099386448219</v>
      </c>
      <c r="AC2" s="18">
        <f>INDEX('frgt-Road'!$I12:$I48,COLUMN(AE2),1)</f>
        <v>1.6346693483512162</v>
      </c>
      <c r="AD2" s="18">
        <f>INDEX('frgt-Road'!$I12:$I48,COLUMN(AF2),1)</f>
        <v>1.6730167767301025</v>
      </c>
      <c r="AE2" s="18">
        <f>INDEX('frgt-Road'!$I12:$I48,COLUMN(AG2),1)</f>
        <v>1.7004016154866819</v>
      </c>
      <c r="AF2" s="18">
        <f>INDEX('frgt-Road'!$I12:$I48,COLUMN(AH2),1)</f>
        <v>1.7173718968892988</v>
      </c>
      <c r="AG2" s="18">
        <f>INDEX('frgt-Road'!$I12:$I48,COLUMN(AI2),1)</f>
        <v>1.7340561831988981</v>
      </c>
    </row>
    <row r="3" spans="1:33">
      <c r="A3" t="s">
        <v>1</v>
      </c>
      <c r="B3" s="18">
        <f>INDEX('frgt-Road'!$J12:$J48,COLUMN(F2),1)</f>
        <v>1</v>
      </c>
      <c r="C3" s="18">
        <f>B3</f>
        <v>1</v>
      </c>
      <c r="D3" s="18">
        <f>INDEX('frgt-Road'!$J12:$J48,COLUMN(F2),1)</f>
        <v>1</v>
      </c>
      <c r="E3" s="18">
        <f>INDEX('frgt-Road'!$J12:$J48,COLUMN(G2),1)</f>
        <v>1.0169489584131906</v>
      </c>
      <c r="F3" s="18">
        <f>INDEX('frgt-Road'!$J12:$J48,COLUMN(H2),1)</f>
        <v>1.0240149591179308</v>
      </c>
      <c r="G3" s="18">
        <f>INDEX('frgt-Road'!$J12:$J48,COLUMN(I2),1)</f>
        <v>1.0261085539430084</v>
      </c>
      <c r="H3" s="18">
        <f>INDEX('frgt-Road'!$J12:$J48,COLUMN(J2),1)</f>
        <v>1.0290695341615574</v>
      </c>
      <c r="I3" s="18">
        <f>INDEX('frgt-Road'!$J12:$J48,COLUMN(K2),1)</f>
        <v>1.0319424868691993</v>
      </c>
      <c r="J3" s="18">
        <f>INDEX('frgt-Road'!$J12:$J48,COLUMN(L2),1)</f>
        <v>1.0386727706068155</v>
      </c>
      <c r="K3" s="18">
        <f>INDEX('frgt-Road'!$J12:$J48,COLUMN(M2),1)</f>
        <v>1.0460708148022437</v>
      </c>
      <c r="L3" s="18">
        <f>INDEX('frgt-Road'!$J12:$J48,COLUMN(N2),1)</f>
        <v>1.0560949282696999</v>
      </c>
      <c r="M3" s="18">
        <f>INDEX('frgt-Road'!$J12:$J48,COLUMN(O2),1)</f>
        <v>1.068897991666935</v>
      </c>
      <c r="N3" s="18">
        <f>INDEX('frgt-Road'!$J12:$J48,COLUMN(P2),1)</f>
        <v>1.0841095779601548</v>
      </c>
      <c r="O3" s="18">
        <f>INDEX('frgt-Road'!$J12:$J48,COLUMN(Q2),1)</f>
        <v>1.0980806397657055</v>
      </c>
      <c r="P3" s="18">
        <f>INDEX('frgt-Road'!$J12:$J48,COLUMN(R2),1)</f>
        <v>1.1189992979803294</v>
      </c>
      <c r="Q3" s="18">
        <f>INDEX('frgt-Road'!$J12:$J48,COLUMN(S2),1)</f>
        <v>1.1415111367908142</v>
      </c>
      <c r="R3" s="18">
        <f>INDEX('frgt-Road'!$J12:$J48,COLUMN(T2),1)</f>
        <v>1.1643353214497811</v>
      </c>
      <c r="S3" s="18">
        <f>INDEX('frgt-Road'!$J12:$J48,COLUMN(U2),1)</f>
        <v>1.1869055526352403</v>
      </c>
      <c r="T3" s="18">
        <f>INDEX('frgt-Road'!$J12:$J48,COLUMN(V2),1)</f>
        <v>1.2045400548788314</v>
      </c>
      <c r="U3" s="18">
        <f>INDEX('frgt-Road'!$J12:$J48,COLUMN(W2),1)</f>
        <v>1.2260849549132224</v>
      </c>
      <c r="V3" s="18">
        <f>INDEX('frgt-Road'!$J12:$J48,COLUMN(X2),1)</f>
        <v>1.2472521031360289</v>
      </c>
      <c r="W3" s="18">
        <f>INDEX('frgt-Road'!$J12:$J48,COLUMN(Y2),1)</f>
        <v>1.2682990370099485</v>
      </c>
      <c r="X3" s="18">
        <f>INDEX('frgt-Road'!$J12:$J48,COLUMN(Z2),1)</f>
        <v>1.2892132691074127</v>
      </c>
      <c r="Y3" s="18">
        <f>INDEX('frgt-Road'!$J12:$J48,COLUMN(AA2),1)</f>
        <v>1.3049547399902388</v>
      </c>
      <c r="Z3" s="18">
        <f>INDEX('frgt-Road'!$J12:$J48,COLUMN(AB2),1)</f>
        <v>1.329387943127966</v>
      </c>
      <c r="AA3" s="18">
        <f>INDEX('frgt-Road'!$J12:$J48,COLUMN(AC2),1)</f>
        <v>1.3575016393652886</v>
      </c>
      <c r="AB3" s="18">
        <f>INDEX('frgt-Road'!$J12:$J48,COLUMN(AD2),1)</f>
        <v>1.3882643155292191</v>
      </c>
      <c r="AC3" s="18">
        <f>INDEX('frgt-Road'!$J12:$J48,COLUMN(AE2),1)</f>
        <v>1.4194876679481623</v>
      </c>
      <c r="AD3" s="18">
        <f>INDEX('frgt-Road'!$J12:$J48,COLUMN(AF2),1)</f>
        <v>1.4390183198111244</v>
      </c>
      <c r="AE3" s="18">
        <f>INDEX('frgt-Road'!$J12:$J48,COLUMN(AG2),1)</f>
        <v>1.4618532004456271</v>
      </c>
      <c r="AF3" s="18">
        <f>INDEX('frgt-Road'!$J12:$J48,COLUMN(AH2),1)</f>
        <v>1.4774158546855165</v>
      </c>
      <c r="AG3" s="18">
        <f>INDEX('frgt-Road'!$J12:$J48,COLUMN(AI2),1)</f>
        <v>1.4928983769706645</v>
      </c>
    </row>
    <row r="4" spans="1:33">
      <c r="A4" t="s">
        <v>0</v>
      </c>
      <c r="B4" s="18">
        <f>'frgt-Air'!H10</f>
        <v>1</v>
      </c>
      <c r="C4" s="18">
        <f>'frgt-Air'!I10</f>
        <v>1.0088954316946737</v>
      </c>
      <c r="D4" s="18">
        <f>'frgt-Air'!J10</f>
        <v>0.99918249729848241</v>
      </c>
      <c r="E4" s="18">
        <f>'frgt-Air'!K10</f>
        <v>0.98946956290229104</v>
      </c>
      <c r="F4" s="18">
        <f>'frgt-Air'!L10</f>
        <v>0.97975662850610001</v>
      </c>
      <c r="G4" s="18">
        <f>'frgt-Air'!M10</f>
        <v>0.97004369410990876</v>
      </c>
      <c r="H4" s="18">
        <f>'frgt-Air'!N10</f>
        <v>0.9603307597137174</v>
      </c>
      <c r="I4" s="18">
        <f>'frgt-Air'!O10</f>
        <v>0.95061782531752614</v>
      </c>
      <c r="J4" s="18">
        <f>'frgt-Air'!P10</f>
        <v>0.94090489092133478</v>
      </c>
      <c r="K4" s="18">
        <f>'frgt-Air'!Q10</f>
        <v>0.93119195652514375</v>
      </c>
      <c r="L4" s="18">
        <f>'frgt-Air'!R10</f>
        <v>0.9214790221289525</v>
      </c>
      <c r="M4" s="18">
        <f>'frgt-Air'!S10</f>
        <v>0.91176608773276113</v>
      </c>
      <c r="N4" s="18">
        <f>'frgt-Air'!T10</f>
        <v>0.92553521369395331</v>
      </c>
      <c r="O4" s="18">
        <f>'frgt-Air'!U10</f>
        <v>0.93930433965514548</v>
      </c>
      <c r="P4" s="18">
        <f>'frgt-Air'!V10</f>
        <v>0.95307346561633743</v>
      </c>
      <c r="Q4" s="18">
        <f>'frgt-Air'!W10</f>
        <v>0.96684259157752961</v>
      </c>
      <c r="R4" s="18">
        <f>'frgt-Air'!X10</f>
        <v>0.98061171753872167</v>
      </c>
      <c r="S4" s="18">
        <f>'frgt-Air'!Y10</f>
        <v>0.99438084349991385</v>
      </c>
      <c r="T4" s="18">
        <f>'frgt-Air'!Z10</f>
        <v>1.008149969461106</v>
      </c>
      <c r="U4" s="18">
        <f>'frgt-Air'!AA10</f>
        <v>1.0219190954222981</v>
      </c>
      <c r="V4" s="18">
        <f>'frgt-Air'!AB10</f>
        <v>1.0356882213834901</v>
      </c>
      <c r="W4" s="18">
        <f>'frgt-Air'!AC10</f>
        <v>1.0494573473446822</v>
      </c>
      <c r="X4" s="18">
        <f>'frgt-Air'!AD10</f>
        <v>1.0759102939564311</v>
      </c>
      <c r="Y4" s="18">
        <f>'frgt-Air'!AE10</f>
        <v>1.10236324056818</v>
      </c>
      <c r="Z4" s="18">
        <f>'frgt-Air'!AF10</f>
        <v>1.1288161871799289</v>
      </c>
      <c r="AA4" s="18">
        <f>'frgt-Air'!AG10</f>
        <v>1.1552691337916778</v>
      </c>
      <c r="AB4" s="18">
        <f>'frgt-Air'!AH10</f>
        <v>1.1817220804034265</v>
      </c>
      <c r="AC4" s="18">
        <f>'frgt-Air'!AI10</f>
        <v>1.2081750270151754</v>
      </c>
      <c r="AD4" s="18">
        <f>'frgt-Air'!AJ10</f>
        <v>1.2346279736269243</v>
      </c>
      <c r="AE4" s="18">
        <f>'frgt-Air'!AK10</f>
        <v>1.261080920238673</v>
      </c>
      <c r="AF4" s="18">
        <f>'frgt-Air'!AL10</f>
        <v>1.2875338668504221</v>
      </c>
      <c r="AG4" s="18">
        <f>'frgt-Air'!AM10</f>
        <v>1.3139868134621708</v>
      </c>
    </row>
    <row r="5" spans="1:33">
      <c r="A5" t="s">
        <v>3</v>
      </c>
      <c r="B5" s="18">
        <f>'frgt-Rail'!H10</f>
        <v>1</v>
      </c>
      <c r="C5" s="18">
        <f>'frgt-Rail'!I10</f>
        <v>1.0398307460393583</v>
      </c>
      <c r="D5" s="18">
        <f>'frgt-Rail'!J10</f>
        <v>1.085737155483611</v>
      </c>
      <c r="E5" s="18">
        <f>'frgt-Rail'!K10</f>
        <v>1.131643564927864</v>
      </c>
      <c r="F5" s="18">
        <f>'frgt-Rail'!L10</f>
        <v>1.1775499743721169</v>
      </c>
      <c r="G5" s="18">
        <f>'frgt-Rail'!M10</f>
        <v>1.2234563838163697</v>
      </c>
      <c r="H5" s="18">
        <f>'frgt-Rail'!N10</f>
        <v>1.2693627932606224</v>
      </c>
      <c r="I5" s="18">
        <f>'frgt-Rail'!O10</f>
        <v>1.3152692027048751</v>
      </c>
      <c r="J5" s="18">
        <f>'frgt-Rail'!P10</f>
        <v>1.3611756121491281</v>
      </c>
      <c r="K5" s="18">
        <f>'frgt-Rail'!Q10</f>
        <v>1.407082021593381</v>
      </c>
      <c r="L5" s="18">
        <f>'frgt-Rail'!R10</f>
        <v>1.4529884310376338</v>
      </c>
      <c r="M5" s="18">
        <f>'frgt-Rail'!S10</f>
        <v>1.4988948404818867</v>
      </c>
      <c r="N5" s="18">
        <f>'frgt-Rail'!T10</f>
        <v>1.5760653091904473</v>
      </c>
      <c r="O5" s="18">
        <f>'frgt-Rail'!U10</f>
        <v>1.6532357778990083</v>
      </c>
      <c r="P5" s="18">
        <f>'frgt-Rail'!V10</f>
        <v>1.7304062466075691</v>
      </c>
      <c r="Q5" s="18">
        <f>'frgt-Rail'!W10</f>
        <v>1.8075767153161302</v>
      </c>
      <c r="R5" s="18">
        <f>'frgt-Rail'!X10</f>
        <v>1.8847471840246908</v>
      </c>
      <c r="S5" s="18">
        <f>'frgt-Rail'!Y10</f>
        <v>1.9619176527332518</v>
      </c>
      <c r="T5" s="18">
        <f>'frgt-Rail'!Z10</f>
        <v>2.0390881214418126</v>
      </c>
      <c r="U5" s="18">
        <f>'frgt-Rail'!AA10</f>
        <v>2.1162585901503732</v>
      </c>
      <c r="V5" s="18">
        <f>'frgt-Rail'!AB10</f>
        <v>2.1934290588589338</v>
      </c>
      <c r="W5" s="18">
        <f>'frgt-Rail'!AC10</f>
        <v>2.2705995275674948</v>
      </c>
      <c r="X5" s="18">
        <f>'frgt-Rail'!AD10</f>
        <v>2.3859616914677702</v>
      </c>
      <c r="Y5" s="18">
        <f>'frgt-Rail'!AE10</f>
        <v>2.5013238553680455</v>
      </c>
      <c r="Z5" s="18">
        <f>'frgt-Rail'!AF10</f>
        <v>2.6166860192683208</v>
      </c>
      <c r="AA5" s="18">
        <f>'frgt-Rail'!AG10</f>
        <v>2.7320481831685961</v>
      </c>
      <c r="AB5" s="18">
        <f>'frgt-Rail'!AH10</f>
        <v>2.8474103470688714</v>
      </c>
      <c r="AC5" s="18">
        <f>'frgt-Rail'!AI10</f>
        <v>2.9627725109691467</v>
      </c>
      <c r="AD5" s="18">
        <f>'frgt-Rail'!AJ10</f>
        <v>3.0781346748694216</v>
      </c>
      <c r="AE5" s="18">
        <f>'frgt-Rail'!AK10</f>
        <v>3.1934968387696974</v>
      </c>
      <c r="AF5" s="18">
        <f>'frgt-Rail'!AL10</f>
        <v>3.3088590026699722</v>
      </c>
      <c r="AG5" s="18">
        <f>'frgt-Rail'!AM10</f>
        <v>3.424221166570248</v>
      </c>
    </row>
    <row r="6" spans="1:33">
      <c r="A6" t="s">
        <v>4</v>
      </c>
      <c r="B6" s="18">
        <f>'frgt-Ship'!H10</f>
        <v>1</v>
      </c>
      <c r="C6" s="18">
        <f>'frgt-Ship'!I10</f>
        <v>1.0389259539579119</v>
      </c>
      <c r="D6" s="18">
        <f>'frgt-Ship'!J10</f>
        <v>1.08325532161317</v>
      </c>
      <c r="E6" s="18">
        <f>'frgt-Ship'!K10</f>
        <v>1.1275846892684278</v>
      </c>
      <c r="F6" s="18">
        <f>'frgt-Ship'!L10</f>
        <v>1.1719140569236859</v>
      </c>
      <c r="G6" s="18">
        <f>'frgt-Ship'!M10</f>
        <v>1.2162434245789442</v>
      </c>
      <c r="H6" s="18">
        <f>'frgt-Ship'!N10</f>
        <v>1.2605727922342023</v>
      </c>
      <c r="I6" s="18">
        <f>'frgt-Ship'!O10</f>
        <v>1.3049021598894603</v>
      </c>
      <c r="J6" s="18">
        <f>'frgt-Ship'!P10</f>
        <v>1.3492315275447184</v>
      </c>
      <c r="K6" s="18">
        <f>'frgt-Ship'!Q10</f>
        <v>1.3935608951999763</v>
      </c>
      <c r="L6" s="18">
        <f>'frgt-Ship'!R10</f>
        <v>1.4378902628552346</v>
      </c>
      <c r="M6" s="18">
        <f>'frgt-Ship'!S10</f>
        <v>1.4822196305104927</v>
      </c>
      <c r="N6" s="18">
        <f>'frgt-Ship'!T10</f>
        <v>1.5140271339648614</v>
      </c>
      <c r="O6" s="18">
        <f>'frgt-Ship'!U10</f>
        <v>1.5458346374192304</v>
      </c>
      <c r="P6" s="18">
        <f>'frgt-Ship'!V10</f>
        <v>1.5776421408735992</v>
      </c>
      <c r="Q6" s="18">
        <f>'frgt-Ship'!W10</f>
        <v>1.609449644327968</v>
      </c>
      <c r="R6" s="18">
        <f>'frgt-Ship'!X10</f>
        <v>1.6412571477823368</v>
      </c>
      <c r="S6" s="18">
        <f>'frgt-Ship'!Y10</f>
        <v>1.6730646512367053</v>
      </c>
      <c r="T6" s="18">
        <f>'frgt-Ship'!Z10</f>
        <v>1.7048721546910743</v>
      </c>
      <c r="U6" s="18">
        <f>'frgt-Ship'!AA10</f>
        <v>1.7366796581454431</v>
      </c>
      <c r="V6" s="18">
        <f>'frgt-Ship'!AB10</f>
        <v>1.7684871615998119</v>
      </c>
      <c r="W6" s="18">
        <f>'frgt-Ship'!AC10</f>
        <v>1.8002946650541807</v>
      </c>
      <c r="X6" s="18">
        <f>'frgt-Ship'!AD10</f>
        <v>1.8139240281305486</v>
      </c>
      <c r="Y6" s="18">
        <f>'frgt-Ship'!AE10</f>
        <v>1.8275533912069164</v>
      </c>
      <c r="Z6" s="18">
        <f>'frgt-Ship'!AF10</f>
        <v>1.8411827542832842</v>
      </c>
      <c r="AA6" s="18">
        <f>'frgt-Ship'!AG10</f>
        <v>1.8548121173596519</v>
      </c>
      <c r="AB6" s="18">
        <f>'frgt-Ship'!AH10</f>
        <v>1.8684414804360199</v>
      </c>
      <c r="AC6" s="18">
        <f>'frgt-Ship'!AI10</f>
        <v>1.8820708435123878</v>
      </c>
      <c r="AD6" s="18">
        <f>'frgt-Ship'!AJ10</f>
        <v>1.8957002065887554</v>
      </c>
      <c r="AE6" s="18">
        <f>'frgt-Ship'!AK10</f>
        <v>1.9093295696651233</v>
      </c>
      <c r="AF6" s="18">
        <f>'frgt-Ship'!AL10</f>
        <v>1.9229589327414911</v>
      </c>
      <c r="AG6" s="18">
        <f>'frgt-Ship'!AM10</f>
        <v>1.9365882958178589</v>
      </c>
    </row>
    <row r="7" spans="1:33">
      <c r="A7" t="s">
        <v>5</v>
      </c>
      <c r="B7" s="18">
        <v>0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  <c r="AF7" s="18">
        <v>0</v>
      </c>
      <c r="AG7" s="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About</vt:lpstr>
      <vt:lpstr>table 95</vt:lpstr>
      <vt:lpstr>table 94</vt:lpstr>
      <vt:lpstr>psgr-Road</vt:lpstr>
      <vt:lpstr>psgr-Air</vt:lpstr>
      <vt:lpstr>psgr-Rail</vt:lpstr>
      <vt:lpstr>psgr-Ship</vt:lpstr>
      <vt:lpstr>frgt-Road</vt:lpstr>
      <vt:lpstr>frgt-Ship</vt:lpstr>
      <vt:lpstr>frgt-Rail</vt:lpstr>
      <vt:lpstr>frgt-Air</vt:lpstr>
      <vt:lpstr>BCDTRtSY-psgr</vt:lpstr>
      <vt:lpstr>BCDTRtSY-frgt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2017-06-26T22:04:22Z</dcterms:created>
  <dcterms:modified xsi:type="dcterms:W3CDTF">2025-08-16T03:05:29Z</dcterms:modified>
</cp:coreProperties>
</file>