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land/BLAPE/"/>
    </mc:Choice>
  </mc:AlternateContent>
  <xr:revisionPtr revIDLastSave="0" documentId="13_ncr:1_{3C4D3418-731B-BA40-B7BA-6AFA98AEF6B8}" xr6:coauthVersionLast="47" xr6:coauthVersionMax="47" xr10:uidLastSave="{00000000-0000-0000-0000-000000000000}"/>
  <bookViews>
    <workbookView xWindow="0" yWindow="760" windowWidth="34200" windowHeight="21380" activeTab="4" xr2:uid="{00000000-000D-0000-FFFF-FFFF00000000}"/>
  </bookViews>
  <sheets>
    <sheet name="About" sheetId="1" r:id="rId1"/>
    <sheet name="Data" sheetId="6" r:id="rId2"/>
    <sheet name="data from RPEpUACE" sheetId="7" r:id="rId3"/>
    <sheet name="Share of Pollutants" sheetId="3" r:id="rId4"/>
    <sheet name="MA-Smoothing" sheetId="10" r:id="rId5"/>
    <sheet name="Government Data" sheetId="8" r:id="rId6"/>
    <sheet name="BLAPE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" i="8" l="1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B11" i="8" s="1"/>
  <c r="AG7" i="8"/>
  <c r="C10" i="8" s="1"/>
  <c r="AH7" i="8"/>
  <c r="D10" i="8" s="1"/>
  <c r="AI7" i="8"/>
  <c r="E10" i="8" s="1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A7" i="8"/>
  <c r="BB7" i="8"/>
  <c r="BC7" i="8"/>
  <c r="BD7" i="8"/>
  <c r="BE7" i="8"/>
  <c r="BF7" i="8"/>
  <c r="BG7" i="8"/>
  <c r="BH7" i="8"/>
  <c r="BI7" i="8"/>
  <c r="BJ7" i="8"/>
  <c r="B7" i="8"/>
  <c r="B5" i="8"/>
  <c r="D4" i="8"/>
  <c r="L4" i="8"/>
  <c r="T4" i="8"/>
  <c r="AB4" i="8"/>
  <c r="C6" i="8"/>
  <c r="C4" i="8" s="1"/>
  <c r="D6" i="8"/>
  <c r="E6" i="8"/>
  <c r="E4" i="8" s="1"/>
  <c r="F6" i="8"/>
  <c r="F4" i="8" s="1"/>
  <c r="G6" i="8"/>
  <c r="G4" i="8" s="1"/>
  <c r="H6" i="8"/>
  <c r="H4" i="8" s="1"/>
  <c r="I6" i="8"/>
  <c r="I4" i="8" s="1"/>
  <c r="J6" i="8"/>
  <c r="J4" i="8" s="1"/>
  <c r="K6" i="8"/>
  <c r="K4" i="8" s="1"/>
  <c r="L6" i="8"/>
  <c r="M6" i="8"/>
  <c r="M4" i="8" s="1"/>
  <c r="N6" i="8"/>
  <c r="N4" i="8" s="1"/>
  <c r="O6" i="8"/>
  <c r="O4" i="8" s="1"/>
  <c r="P6" i="8"/>
  <c r="P4" i="8" s="1"/>
  <c r="Q6" i="8"/>
  <c r="Q4" i="8" s="1"/>
  <c r="R6" i="8"/>
  <c r="R4" i="8" s="1"/>
  <c r="S6" i="8"/>
  <c r="S4" i="8" s="1"/>
  <c r="T6" i="8"/>
  <c r="U6" i="8"/>
  <c r="U4" i="8" s="1"/>
  <c r="V6" i="8"/>
  <c r="V4" i="8" s="1"/>
  <c r="W6" i="8"/>
  <c r="W4" i="8" s="1"/>
  <c r="X6" i="8"/>
  <c r="X4" i="8" s="1"/>
  <c r="Y6" i="8"/>
  <c r="Y4" i="8" s="1"/>
  <c r="Z6" i="8"/>
  <c r="Z4" i="8" s="1"/>
  <c r="AA6" i="8"/>
  <c r="AA4" i="8" s="1"/>
  <c r="AB6" i="8"/>
  <c r="AC6" i="8"/>
  <c r="AC4" i="8" s="1"/>
  <c r="AD6" i="8"/>
  <c r="AD4" i="8" s="1"/>
  <c r="AE6" i="8"/>
  <c r="AE4" i="8" s="1"/>
  <c r="AF6" i="8"/>
  <c r="AF4" i="8" s="1"/>
  <c r="AG6" i="8"/>
  <c r="AG4" i="8" s="1"/>
  <c r="AH6" i="8"/>
  <c r="AH4" i="8" s="1"/>
  <c r="B6" i="8"/>
  <c r="B4" i="8" s="1"/>
  <c r="AI2" i="8"/>
  <c r="AJ2" i="8" s="1"/>
  <c r="AK2" i="8" s="1"/>
  <c r="B10" i="8" l="1"/>
  <c r="B12" i="8"/>
  <c r="B24" i="8" s="1"/>
  <c r="B12" i="9" s="1"/>
  <c r="C24" i="8"/>
  <c r="C12" i="9" s="1"/>
  <c r="AI6" i="8"/>
  <c r="AL2" i="8"/>
  <c r="D24" i="8"/>
  <c r="D12" i="9" s="1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B19" i="3"/>
  <c r="B18" i="3"/>
  <c r="B11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B16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B14" i="3"/>
  <c r="AE12" i="3"/>
  <c r="AD12" i="3"/>
  <c r="AC12" i="3"/>
  <c r="AB12" i="3"/>
  <c r="AA12" i="3"/>
  <c r="X12" i="3"/>
  <c r="W12" i="3"/>
  <c r="V12" i="3"/>
  <c r="U12" i="3"/>
  <c r="T12" i="3"/>
  <c r="S12" i="3"/>
  <c r="R12" i="3"/>
  <c r="Q12" i="3"/>
  <c r="O12" i="3"/>
  <c r="N12" i="3"/>
  <c r="M12" i="3"/>
  <c r="L12" i="3"/>
  <c r="K12" i="3"/>
  <c r="H12" i="3"/>
  <c r="G12" i="3"/>
  <c r="F12" i="3"/>
  <c r="E12" i="3"/>
  <c r="D12" i="3"/>
  <c r="C12" i="3"/>
  <c r="B12" i="3"/>
  <c r="AF11" i="3"/>
  <c r="AD11" i="3"/>
  <c r="AC11" i="3"/>
  <c r="AB11" i="3"/>
  <c r="AA11" i="3"/>
  <c r="Z11" i="3"/>
  <c r="X11" i="3"/>
  <c r="W11" i="3"/>
  <c r="V11" i="3"/>
  <c r="U11" i="3"/>
  <c r="T11" i="3"/>
  <c r="S11" i="3"/>
  <c r="R11" i="3"/>
  <c r="Q11" i="3"/>
  <c r="P11" i="3"/>
  <c r="N11" i="3"/>
  <c r="M11" i="3"/>
  <c r="L11" i="3"/>
  <c r="K11" i="3"/>
  <c r="J11" i="3"/>
  <c r="H11" i="3"/>
  <c r="G11" i="3"/>
  <c r="F11" i="3"/>
  <c r="E11" i="3"/>
  <c r="D11" i="3"/>
  <c r="C11" i="3"/>
  <c r="AF2" i="3"/>
  <c r="AF12" i="3" s="1"/>
  <c r="AE2" i="3"/>
  <c r="AE11" i="3" s="1"/>
  <c r="AD2" i="3"/>
  <c r="AC2" i="3"/>
  <c r="AB2" i="3"/>
  <c r="AA2" i="3"/>
  <c r="Z2" i="3"/>
  <c r="Z12" i="3" s="1"/>
  <c r="Y2" i="3"/>
  <c r="Y11" i="3" s="1"/>
  <c r="X2" i="3"/>
  <c r="W2" i="3"/>
  <c r="V2" i="3"/>
  <c r="U2" i="3"/>
  <c r="T2" i="3"/>
  <c r="S2" i="3"/>
  <c r="R2" i="3"/>
  <c r="Q2" i="3"/>
  <c r="P2" i="3"/>
  <c r="P12" i="3" s="1"/>
  <c r="O2" i="3"/>
  <c r="O11" i="3" s="1"/>
  <c r="N2" i="3"/>
  <c r="M2" i="3"/>
  <c r="L2" i="3"/>
  <c r="K2" i="3"/>
  <c r="J2" i="3"/>
  <c r="J12" i="3" s="1"/>
  <c r="I2" i="3"/>
  <c r="I11" i="3" s="1"/>
  <c r="H2" i="3"/>
  <c r="G2" i="3"/>
  <c r="F2" i="3"/>
  <c r="E2" i="3"/>
  <c r="D2" i="3"/>
  <c r="C2" i="3"/>
  <c r="B2" i="3"/>
  <c r="J13" i="6"/>
  <c r="J16" i="6" s="1"/>
  <c r="AJ6" i="8" l="1"/>
  <c r="AI4" i="8"/>
  <c r="AM2" i="8"/>
  <c r="AN2" i="8" s="1"/>
  <c r="AO2" i="8" s="1"/>
  <c r="AP2" i="8" s="1"/>
  <c r="AQ2" i="8" s="1"/>
  <c r="C23" i="8"/>
  <c r="C11" i="9" s="1"/>
  <c r="B22" i="8"/>
  <c r="B2" i="9" s="1"/>
  <c r="B23" i="8"/>
  <c r="B11" i="9" s="1"/>
  <c r="D23" i="8"/>
  <c r="D11" i="9" s="1"/>
  <c r="D22" i="8"/>
  <c r="D2" i="9" s="1"/>
  <c r="C22" i="8"/>
  <c r="C2" i="9" s="1"/>
  <c r="B17" i="3"/>
  <c r="I12" i="3"/>
  <c r="Y12" i="3"/>
  <c r="E24" i="8" l="1"/>
  <c r="E12" i="9" s="1"/>
  <c r="AK6" i="8"/>
  <c r="AJ4" i="8"/>
  <c r="AR2" i="8"/>
  <c r="AS2" i="8"/>
  <c r="E23" i="8"/>
  <c r="E11" i="9" s="1"/>
  <c r="E22" i="8"/>
  <c r="E2" i="9" s="1"/>
  <c r="F22" i="8" l="1"/>
  <c r="F2" i="9" s="1"/>
  <c r="F24" i="8"/>
  <c r="F12" i="9" s="1"/>
  <c r="F23" i="8"/>
  <c r="F11" i="9" s="1"/>
  <c r="AL6" i="8"/>
  <c r="AK4" i="8"/>
  <c r="AT2" i="8"/>
  <c r="G23" i="8" l="1"/>
  <c r="G11" i="9" s="1"/>
  <c r="G22" i="8"/>
  <c r="G2" i="9" s="1"/>
  <c r="G24" i="8"/>
  <c r="G12" i="9" s="1"/>
  <c r="AM6" i="8"/>
  <c r="AL4" i="8"/>
  <c r="AU2" i="8"/>
  <c r="AV2" i="8"/>
  <c r="H24" i="8" l="1"/>
  <c r="H12" i="9" s="1"/>
  <c r="H22" i="8"/>
  <c r="H2" i="9" s="1"/>
  <c r="H23" i="8"/>
  <c r="H11" i="9" s="1"/>
  <c r="AN6" i="8"/>
  <c r="AM4" i="8"/>
  <c r="AW2" i="8"/>
  <c r="AX2" i="8" s="1"/>
  <c r="AO6" i="8" l="1"/>
  <c r="AN4" i="8"/>
  <c r="I23" i="8"/>
  <c r="I11" i="9" s="1"/>
  <c r="I22" i="8"/>
  <c r="I2" i="9" s="1"/>
  <c r="I24" i="8"/>
  <c r="I12" i="9" s="1"/>
  <c r="AY2" i="8"/>
  <c r="AZ2" i="8" s="1"/>
  <c r="BA2" i="8"/>
  <c r="BB2" i="8" s="1"/>
  <c r="J24" i="8" l="1"/>
  <c r="J12" i="9" s="1"/>
  <c r="J22" i="8"/>
  <c r="J2" i="9" s="1"/>
  <c r="J23" i="8"/>
  <c r="J11" i="9" s="1"/>
  <c r="AP6" i="8"/>
  <c r="AO4" i="8"/>
  <c r="BC2" i="8"/>
  <c r="BD2" i="8" s="1"/>
  <c r="BE2" i="8" s="1"/>
  <c r="BF2" i="8" s="1"/>
  <c r="BG2" i="8" s="1"/>
  <c r="BH2" i="8" s="1"/>
  <c r="AQ6" i="8" l="1"/>
  <c r="AP4" i="8"/>
  <c r="K22" i="8"/>
  <c r="K2" i="9" s="1"/>
  <c r="K24" i="8"/>
  <c r="K12" i="9" s="1"/>
  <c r="K23" i="8"/>
  <c r="K11" i="9" s="1"/>
  <c r="BI2" i="8"/>
  <c r="BJ2" i="8" s="1"/>
  <c r="L22" i="8" l="1"/>
  <c r="L2" i="9" s="1"/>
  <c r="L23" i="8"/>
  <c r="L11" i="9" s="1"/>
  <c r="L24" i="8"/>
  <c r="L12" i="9" s="1"/>
  <c r="AR6" i="8"/>
  <c r="AQ4" i="8"/>
  <c r="M24" i="8" l="1"/>
  <c r="M12" i="9" s="1"/>
  <c r="M23" i="8"/>
  <c r="M11" i="9" s="1"/>
  <c r="M22" i="8"/>
  <c r="M2" i="9" s="1"/>
  <c r="AS6" i="8"/>
  <c r="AR4" i="8"/>
  <c r="AT6" i="8" l="1"/>
  <c r="AS4" i="8"/>
  <c r="N23" i="8"/>
  <c r="N11" i="9" s="1"/>
  <c r="N22" i="8"/>
  <c r="N2" i="9" s="1"/>
  <c r="N24" i="8"/>
  <c r="N12" i="9" s="1"/>
  <c r="O23" i="8" l="1"/>
  <c r="O11" i="9" s="1"/>
  <c r="O24" i="8"/>
  <c r="O12" i="9" s="1"/>
  <c r="O22" i="8"/>
  <c r="O2" i="9" s="1"/>
  <c r="AU6" i="8"/>
  <c r="AT4" i="8"/>
  <c r="P24" i="8" l="1"/>
  <c r="P12" i="9" s="1"/>
  <c r="P22" i="8"/>
  <c r="P2" i="9" s="1"/>
  <c r="P23" i="8"/>
  <c r="P11" i="9" s="1"/>
  <c r="AV6" i="8"/>
  <c r="AU4" i="8"/>
  <c r="Q23" i="8" l="1"/>
  <c r="Q11" i="9" s="1"/>
  <c r="Q24" i="8"/>
  <c r="Q12" i="9" s="1"/>
  <c r="Q22" i="8"/>
  <c r="Q2" i="9" s="1"/>
  <c r="AW6" i="8"/>
  <c r="AV4" i="8"/>
  <c r="R22" i="8" l="1"/>
  <c r="R2" i="9" s="1"/>
  <c r="R23" i="8"/>
  <c r="R11" i="9" s="1"/>
  <c r="R24" i="8"/>
  <c r="R12" i="9" s="1"/>
  <c r="AX6" i="8"/>
  <c r="AW4" i="8"/>
  <c r="S23" i="8" l="1"/>
  <c r="S11" i="9" s="1"/>
  <c r="S24" i="8"/>
  <c r="S12" i="9" s="1"/>
  <c r="S22" i="8"/>
  <c r="S2" i="9" s="1"/>
  <c r="AY6" i="8"/>
  <c r="AX4" i="8"/>
  <c r="T23" i="8" l="1"/>
  <c r="T11" i="9" s="1"/>
  <c r="T22" i="8"/>
  <c r="T2" i="9" s="1"/>
  <c r="T24" i="8"/>
  <c r="T12" i="9" s="1"/>
  <c r="AZ6" i="8"/>
  <c r="AY4" i="8"/>
  <c r="BA6" i="8" l="1"/>
  <c r="AZ4" i="8"/>
  <c r="U23" i="8"/>
  <c r="U11" i="9" s="1"/>
  <c r="U24" i="8"/>
  <c r="U12" i="9" s="1"/>
  <c r="U22" i="8"/>
  <c r="U2" i="9" s="1"/>
  <c r="V22" i="8" l="1"/>
  <c r="V2" i="9" s="1"/>
  <c r="V23" i="8"/>
  <c r="V11" i="9" s="1"/>
  <c r="V24" i="8"/>
  <c r="V12" i="9" s="1"/>
  <c r="BB6" i="8"/>
  <c r="BA4" i="8"/>
  <c r="W22" i="8" l="1"/>
  <c r="W2" i="9" s="1"/>
  <c r="W24" i="8"/>
  <c r="W12" i="9" s="1"/>
  <c r="W23" i="8"/>
  <c r="W11" i="9" s="1"/>
  <c r="BC6" i="8"/>
  <c r="BB4" i="8"/>
  <c r="X23" i="8" l="1"/>
  <c r="X11" i="9" s="1"/>
  <c r="X24" i="8"/>
  <c r="X12" i="9" s="1"/>
  <c r="X22" i="8"/>
  <c r="X2" i="9" s="1"/>
  <c r="BD6" i="8"/>
  <c r="BC4" i="8"/>
  <c r="Y23" i="8" l="1"/>
  <c r="Y11" i="9" s="1"/>
  <c r="Y24" i="8"/>
  <c r="Y12" i="9" s="1"/>
  <c r="Y22" i="8"/>
  <c r="Y2" i="9" s="1"/>
  <c r="BE6" i="8"/>
  <c r="BD4" i="8"/>
  <c r="Z23" i="8" l="1"/>
  <c r="Z11" i="9" s="1"/>
  <c r="Z24" i="8"/>
  <c r="Z12" i="9" s="1"/>
  <c r="Z22" i="8"/>
  <c r="Z2" i="9" s="1"/>
  <c r="BF6" i="8"/>
  <c r="BE4" i="8"/>
  <c r="AA22" i="8" l="1"/>
  <c r="AA2" i="9" s="1"/>
  <c r="AA24" i="8"/>
  <c r="AA12" i="9" s="1"/>
  <c r="AA23" i="8"/>
  <c r="AA11" i="9" s="1"/>
  <c r="BG6" i="8"/>
  <c r="BF4" i="8"/>
  <c r="AB23" i="8" l="1"/>
  <c r="AB11" i="9" s="1"/>
  <c r="AB22" i="8"/>
  <c r="AB2" i="9" s="1"/>
  <c r="AB24" i="8"/>
  <c r="AB12" i="9" s="1"/>
  <c r="BH6" i="8"/>
  <c r="BG4" i="8"/>
  <c r="AC23" i="8" l="1"/>
  <c r="AC11" i="9" s="1"/>
  <c r="AC22" i="8"/>
  <c r="AC2" i="9" s="1"/>
  <c r="AC24" i="8"/>
  <c r="AC12" i="9" s="1"/>
  <c r="BI6" i="8"/>
  <c r="BH4" i="8"/>
  <c r="AD22" i="8" l="1"/>
  <c r="AD2" i="9" s="1"/>
  <c r="AD23" i="8"/>
  <c r="AD11" i="9" s="1"/>
  <c r="AD24" i="8"/>
  <c r="AD12" i="9" s="1"/>
  <c r="BJ6" i="8"/>
  <c r="BJ4" i="8" s="1"/>
  <c r="BI4" i="8"/>
  <c r="AE24" i="8" l="1"/>
  <c r="AE12" i="9" s="1"/>
  <c r="AE22" i="8"/>
  <c r="AE2" i="9" s="1"/>
  <c r="AE23" i="8"/>
  <c r="AE11" i="9" s="1"/>
  <c r="AF22" i="8"/>
  <c r="AF2" i="9" s="1"/>
  <c r="AF24" i="8"/>
  <c r="AF12" i="9" s="1"/>
  <c r="AF23" i="8"/>
  <c r="AF11" i="9" s="1"/>
</calcChain>
</file>

<file path=xl/sharedStrings.xml><?xml version="1.0" encoding="utf-8"?>
<sst xmlns="http://schemas.openxmlformats.org/spreadsheetml/2006/main" count="93" uniqueCount="72">
  <si>
    <t>Source:</t>
  </si>
  <si>
    <t>Year</t>
  </si>
  <si>
    <t>Notes</t>
  </si>
  <si>
    <t>BLAPE BAU LULUCF Anthropogenic Pollutant Emissions</t>
  </si>
  <si>
    <t>F gases (g CO2e)</t>
  </si>
  <si>
    <t>CO2 (g)</t>
  </si>
  <si>
    <t>VOCs (g)</t>
  </si>
  <si>
    <t>CO (g)</t>
  </si>
  <si>
    <t>NOx (g)</t>
  </si>
  <si>
    <t>PM10 (g)</t>
  </si>
  <si>
    <t>PM25 (g)</t>
  </si>
  <si>
    <t>SOx (g)</t>
  </si>
  <si>
    <t>BC (g)</t>
  </si>
  <si>
    <t>OC (g)</t>
  </si>
  <si>
    <t>CH4 (g)</t>
  </si>
  <si>
    <t>N2O (g)</t>
  </si>
  <si>
    <t>CO2</t>
  </si>
  <si>
    <t>CH4</t>
  </si>
  <si>
    <t>N2O</t>
  </si>
  <si>
    <t>CH4 GWP</t>
  </si>
  <si>
    <t>N2O GWP</t>
  </si>
  <si>
    <t>CO2 Emission</t>
  </si>
  <si>
    <t>Brazilian Ministry of Science, Technology, Innovation and Communication (MCTIC)</t>
  </si>
  <si>
    <t>Report: "Quarta Comunicação Nacional e Relatórios De Atualização Bienal Do Brasil à Convenção-Quadro das Nações Unidas Sobre Mudança do Clima"</t>
  </si>
  <si>
    <t>Version: "Relatório de referência para consulta pública - LULUCF"</t>
  </si>
  <si>
    <t>http://antigo.mctic.gov.br/mctic/opencms/ciencia/SEPED/clima/Comunicacao_Nacional/Comunicacao_Nacional.html</t>
  </si>
  <si>
    <t>Rebound CH4 and N2O Emissions</t>
  </si>
  <si>
    <t>See land/RPEpUACE</t>
  </si>
  <si>
    <t>Projected pollutant emissions data for the land use sector until 2050.</t>
  </si>
  <si>
    <t>In "BLAPE" table, for CH4 and N2O calculation, the signal (-) has been changed to (+) as in Brazil CO2 emission</t>
  </si>
  <si>
    <t>from LULUCF is positive.</t>
  </si>
  <si>
    <t>For the Land sector for Brazil, emissions and removals (net emissions) associated with</t>
  </si>
  <si>
    <t>land use transitions related to deforestation are accounted for.</t>
  </si>
  <si>
    <t xml:space="preserve">For this, data from the Fourth National Communication were used, </t>
  </si>
  <si>
    <t>which presents the annualized biome emissions, the most recent database available.</t>
  </si>
  <si>
    <t xml:space="preserve">From this database, an average was calculated, </t>
  </si>
  <si>
    <t>based on the estimated emissions for the sector between the years 2010 and 2016.</t>
  </si>
  <si>
    <t>This value was considered as a trend for the entire projection period of the scenario BAU.</t>
  </si>
  <si>
    <t>Period</t>
  </si>
  <si>
    <t>Average</t>
  </si>
  <si>
    <t>Emissions (Gg)</t>
  </si>
  <si>
    <t>(g)</t>
  </si>
  <si>
    <t>Rebound Emis Factor</t>
  </si>
  <si>
    <t>VOC</t>
  </si>
  <si>
    <t>CO</t>
  </si>
  <si>
    <t>NOx</t>
  </si>
  <si>
    <t>PM10</t>
  </si>
  <si>
    <t>PM25</t>
  </si>
  <si>
    <t>SOx</t>
  </si>
  <si>
    <t>BC</t>
  </si>
  <si>
    <t>OC</t>
  </si>
  <si>
    <t>F gases</t>
  </si>
  <si>
    <t>Share</t>
  </si>
  <si>
    <t>Total</t>
  </si>
  <si>
    <t>Share of CO2 (g)</t>
  </si>
  <si>
    <t>Share of CH4 (g)</t>
  </si>
  <si>
    <t>Share of N2O (g)</t>
  </si>
  <si>
    <t>LULUCF Emissions (kt CO2e)</t>
  </si>
  <si>
    <t>kt CO2e to g CO2e</t>
  </si>
  <si>
    <t>LULUCF Emissions (g CO2e)</t>
  </si>
  <si>
    <t>CO2 (g CO2e)</t>
  </si>
  <si>
    <t>CH4 (g Co2e)</t>
  </si>
  <si>
    <t>N2O(g CO2e)</t>
  </si>
  <si>
    <t>Global Warming Potential</t>
  </si>
  <si>
    <t>CO2e</t>
  </si>
  <si>
    <t>CO2 (g pollutant)</t>
  </si>
  <si>
    <t>CH4 (g pollutant)</t>
  </si>
  <si>
    <t>N2O (g pollutant)</t>
  </si>
  <si>
    <t>CGR</t>
  </si>
  <si>
    <t>LULUCF Emissions-Smoothing (g CO2e)</t>
  </si>
  <si>
    <t>Smoothing</t>
  </si>
  <si>
    <t>LUE1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</si>
</sst>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.000"/>
    <numFmt numFmtId="166" formatCode="0.000"/>
    <numFmt numFmtId="167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1"/>
    <xf numFmtId="11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/>
    <xf numFmtId="0" fontId="4" fillId="0" borderId="0" xfId="0" applyFont="1"/>
    <xf numFmtId="165" fontId="0" fillId="0" borderId="0" xfId="0" applyNumberFormat="1"/>
    <xf numFmtId="166" fontId="0" fillId="0" borderId="0" xfId="0" applyNumberFormat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167" fontId="0" fillId="0" borderId="0" xfId="2" applyNumberFormat="1" applyFont="1"/>
    <xf numFmtId="0" fontId="0" fillId="0" borderId="0" xfId="0" applyAlignment="1">
      <alignment horizontal="right"/>
    </xf>
    <xf numFmtId="4" fontId="3" fillId="0" borderId="0" xfId="0" applyNumberFormat="1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  <xf numFmtId="0" fontId="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4" fontId="3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11" fontId="6" fillId="0" borderId="0" xfId="0" applyNumberFormat="1" applyFont="1"/>
    <xf numFmtId="11" fontId="7" fillId="0" borderId="0" xfId="2" applyNumberFormat="1" applyFont="1" applyFill="1" applyBorder="1" applyAlignment="1">
      <alignment horizontal="right" vertical="center" wrapText="1"/>
    </xf>
    <xf numFmtId="11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'MA-Smoothing'!$A$2</c:f>
              <c:strCache>
                <c:ptCount val="1"/>
                <c:pt idx="0">
                  <c:v>LUE1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'MA-Smoothing'!$B$1:$BJ$1</c:f>
              <c:numCache>
                <c:formatCode>General</c:formatCode>
                <c:ptCount val="6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</c:numCache>
            </c:numRef>
          </c:cat>
          <c:val>
            <c:numRef>
              <c:f>'MA-Smoothing'!$B$2:$BJ$2</c:f>
              <c:numCache>
                <c:formatCode>General</c:formatCode>
                <c:ptCount val="61"/>
                <c:pt idx="0">
                  <c:v>908066332363945.25</c:v>
                </c:pt>
                <c:pt idx="1">
                  <c:v>726204322679458.5</c:v>
                </c:pt>
                <c:pt idx="2">
                  <c:v>839121579035849.25</c:v>
                </c:pt>
                <c:pt idx="3">
                  <c:v>874712069778537.62</c:v>
                </c:pt>
                <c:pt idx="4">
                  <c:v>854112479205995.62</c:v>
                </c:pt>
                <c:pt idx="5">
                  <c:v>1973225015654828</c:v>
                </c:pt>
                <c:pt idx="6">
                  <c:v>1245646946790318.2</c:v>
                </c:pt>
                <c:pt idx="7">
                  <c:v>915577409855144.38</c:v>
                </c:pt>
                <c:pt idx="8">
                  <c:v>1179953485182655.8</c:v>
                </c:pt>
                <c:pt idx="9">
                  <c:v>1132596244208690.5</c:v>
                </c:pt>
                <c:pt idx="10">
                  <c:v>1184463676030746</c:v>
                </c:pt>
                <c:pt idx="11">
                  <c:v>1129708865473567.2</c:v>
                </c:pt>
                <c:pt idx="12">
                  <c:v>1339596237688777</c:v>
                </c:pt>
                <c:pt idx="13">
                  <c:v>2427047908322861</c:v>
                </c:pt>
                <c:pt idx="14">
                  <c:v>2621326240834337</c:v>
                </c:pt>
                <c:pt idx="15">
                  <c:v>1573713706255844.2</c:v>
                </c:pt>
                <c:pt idx="16">
                  <c:v>1201775417449594.5</c:v>
                </c:pt>
                <c:pt idx="17">
                  <c:v>852790016028065</c:v>
                </c:pt>
                <c:pt idx="18">
                  <c:v>963933618742378.88</c:v>
                </c:pt>
                <c:pt idx="19">
                  <c:v>342440028055332.06</c:v>
                </c:pt>
                <c:pt idx="20">
                  <c:v>277144032250903.78</c:v>
                </c:pt>
                <c:pt idx="21">
                  <c:v>324149965481829.88</c:v>
                </c:pt>
                <c:pt idx="22">
                  <c:v>172897475778987.47</c:v>
                </c:pt>
                <c:pt idx="23">
                  <c:v>411276025337924.81</c:v>
                </c:pt>
                <c:pt idx="24">
                  <c:v>259775337434062.5</c:v>
                </c:pt>
                <c:pt idx="25">
                  <c:v>373263852526950.88</c:v>
                </c:pt>
                <c:pt idx="26">
                  <c:v>436546377161111.81</c:v>
                </c:pt>
                <c:pt idx="27">
                  <c:v>313282465310611.69</c:v>
                </c:pt>
                <c:pt idx="28">
                  <c:v>362155719578151.5</c:v>
                </c:pt>
                <c:pt idx="29">
                  <c:v>567067303185964</c:v>
                </c:pt>
                <c:pt idx="30">
                  <c:v>665083900964468</c:v>
                </c:pt>
                <c:pt idx="31">
                  <c:v>882477987272240.88</c:v>
                </c:pt>
                <c:pt idx="32">
                  <c:v>805693940844518</c:v>
                </c:pt>
                <c:pt idx="33">
                  <c:v>737554850928654.75</c:v>
                </c:pt>
                <c:pt idx="34">
                  <c:v>675178415215819.88</c:v>
                </c:pt>
                <c:pt idx="35">
                  <c:v>618077274929946.75</c:v>
                </c:pt>
                <c:pt idx="36">
                  <c:v>565805288166264.88</c:v>
                </c:pt>
                <c:pt idx="37">
                  <c:v>517954044101029.88</c:v>
                </c:pt>
                <c:pt idx="38">
                  <c:v>474149672001257.69</c:v>
                </c:pt>
                <c:pt idx="39">
                  <c:v>434049920102657.31</c:v>
                </c:pt>
                <c:pt idx="40">
                  <c:v>397341481532488.56</c:v>
                </c:pt>
                <c:pt idx="41">
                  <c:v>363737546384279.06</c:v>
                </c:pt>
                <c:pt idx="42">
                  <c:v>332975560818302.44</c:v>
                </c:pt>
                <c:pt idx="43">
                  <c:v>304815175679249.12</c:v>
                </c:pt>
                <c:pt idx="44">
                  <c:v>279036368603255.31</c:v>
                </c:pt>
                <c:pt idx="45">
                  <c:v>255437724941961.66</c:v>
                </c:pt>
                <c:pt idx="46">
                  <c:v>233834864072138.25</c:v>
                </c:pt>
                <c:pt idx="47">
                  <c:v>214058998795338.44</c:v>
                </c:pt>
                <c:pt idx="48">
                  <c:v>195955616571901.84</c:v>
                </c:pt>
                <c:pt idx="49">
                  <c:v>179383272285539.69</c:v>
                </c:pt>
                <c:pt idx="50">
                  <c:v>164212483106147.12</c:v>
                </c:pt>
                <c:pt idx="51">
                  <c:v>150324716816197.78</c:v>
                </c:pt>
                <c:pt idx="52">
                  <c:v>137611465696325.88</c:v>
                </c:pt>
                <c:pt idx="53">
                  <c:v>125973398734189.95</c:v>
                </c:pt>
                <c:pt idx="54">
                  <c:v>115319585532667.64</c:v>
                </c:pt>
                <c:pt idx="55">
                  <c:v>105566785853630.58</c:v>
                </c:pt>
                <c:pt idx="56">
                  <c:v>96638799246372.031</c:v>
                </c:pt>
                <c:pt idx="57">
                  <c:v>88465869679212.312</c:v>
                </c:pt>
                <c:pt idx="58">
                  <c:v>80984140522557.078</c:v>
                </c:pt>
                <c:pt idx="59">
                  <c:v>74135155625089.281</c:v>
                </c:pt>
                <c:pt idx="60">
                  <c:v>67865402584909.328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9-BF46-AD5E-07B14D214D66}"/>
            </c:ext>
          </c:extLst>
        </c:ser>
        <c:ser>
          <c:idx val="1"/>
          <c:order val="1"/>
          <c:tx>
            <c:strRef>
              <c:f>'MA-Smoothing'!$A$3</c:f>
              <c:strCache>
                <c:ptCount val="1"/>
                <c:pt idx="0">
                  <c:v>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'MA-Smoothing'!$B$1:$BJ$1</c:f>
              <c:numCache>
                <c:formatCode>General</c:formatCode>
                <c:ptCount val="6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</c:numCache>
            </c:numRef>
          </c:cat>
          <c:val>
            <c:numRef>
              <c:f>'MA-Smoothing'!$B$3:$BJ$3</c:f>
              <c:numCache>
                <c:formatCode>0.00E+00</c:formatCode>
                <c:ptCount val="61"/>
                <c:pt idx="0">
                  <c:v>837000000000000</c:v>
                </c:pt>
                <c:pt idx="1">
                  <c:v>840000000000000</c:v>
                </c:pt>
                <c:pt idx="2">
                  <c:v>1050000000000000</c:v>
                </c:pt>
                <c:pt idx="3">
                  <c:v>1160000000000000</c:v>
                </c:pt>
                <c:pt idx="4">
                  <c:v>1170000000000000</c:v>
                </c:pt>
                <c:pt idx="5">
                  <c:v>1230000000000000</c:v>
                </c:pt>
                <c:pt idx="6">
                  <c:v>1290000000000000</c:v>
                </c:pt>
                <c:pt idx="7">
                  <c:v>1130000000000000</c:v>
                </c:pt>
                <c:pt idx="8">
                  <c:v>1110000000000000</c:v>
                </c:pt>
                <c:pt idx="9">
                  <c:v>1190000000000000</c:v>
                </c:pt>
                <c:pt idx="10">
                  <c:v>1440000000000000</c:v>
                </c:pt>
                <c:pt idx="11">
                  <c:v>1740000000000000</c:v>
                </c:pt>
                <c:pt idx="12">
                  <c:v>1820000000000000</c:v>
                </c:pt>
                <c:pt idx="13">
                  <c:v>1830000000000000</c:v>
                </c:pt>
                <c:pt idx="14">
                  <c:v>1740000000000000</c:v>
                </c:pt>
                <c:pt idx="15">
                  <c:v>1440000000000000</c:v>
                </c:pt>
                <c:pt idx="16">
                  <c:v>987000000000000</c:v>
                </c:pt>
                <c:pt idx="17">
                  <c:v>728000000000000</c:v>
                </c:pt>
                <c:pt idx="18">
                  <c:v>552000000000000</c:v>
                </c:pt>
                <c:pt idx="19">
                  <c:v>416000000000000</c:v>
                </c:pt>
                <c:pt idx="20">
                  <c:v>306000000000000</c:v>
                </c:pt>
                <c:pt idx="21">
                  <c:v>289000000000000</c:v>
                </c:pt>
                <c:pt idx="22">
                  <c:v>308000000000000</c:v>
                </c:pt>
                <c:pt idx="23">
                  <c:v>331000000000000</c:v>
                </c:pt>
                <c:pt idx="24">
                  <c:v>359000000000000</c:v>
                </c:pt>
                <c:pt idx="25">
                  <c:v>349000000000000</c:v>
                </c:pt>
                <c:pt idx="26">
                  <c:v>410000000000000</c:v>
                </c:pt>
                <c:pt idx="27">
                  <c:v>469000000000000</c:v>
                </c:pt>
                <c:pt idx="28">
                  <c:v>558000000000000</c:v>
                </c:pt>
                <c:pt idx="29">
                  <c:v>556000000000000</c:v>
                </c:pt>
                <c:pt idx="30">
                  <c:v>632000000000000</c:v>
                </c:pt>
                <c:pt idx="31">
                  <c:v>853000000000000</c:v>
                </c:pt>
                <c:pt idx="32">
                  <c:v>844000000000000</c:v>
                </c:pt>
                <c:pt idx="33">
                  <c:v>780000000000000</c:v>
                </c:pt>
                <c:pt idx="34">
                  <c:v>623000000000000</c:v>
                </c:pt>
                <c:pt idx="35">
                  <c:v>570000000000000</c:v>
                </c:pt>
                <c:pt idx="36">
                  <c:v>522000000000000</c:v>
                </c:pt>
                <c:pt idx="37">
                  <c:v>478000000000000</c:v>
                </c:pt>
                <c:pt idx="38">
                  <c:v>437000000000000</c:v>
                </c:pt>
                <c:pt idx="39">
                  <c:v>400000000000000</c:v>
                </c:pt>
                <c:pt idx="40">
                  <c:v>367000000000000</c:v>
                </c:pt>
                <c:pt idx="41">
                  <c:v>336000000000000</c:v>
                </c:pt>
                <c:pt idx="42">
                  <c:v>307000000000000</c:v>
                </c:pt>
                <c:pt idx="43">
                  <c:v>281000000000000</c:v>
                </c:pt>
                <c:pt idx="44">
                  <c:v>257000000000000</c:v>
                </c:pt>
                <c:pt idx="45">
                  <c:v>236000000000000</c:v>
                </c:pt>
                <c:pt idx="46">
                  <c:v>216000000000000</c:v>
                </c:pt>
                <c:pt idx="47">
                  <c:v>197000000000000</c:v>
                </c:pt>
                <c:pt idx="48">
                  <c:v>181000000000000</c:v>
                </c:pt>
                <c:pt idx="49">
                  <c:v>165000000000000</c:v>
                </c:pt>
                <c:pt idx="50">
                  <c:v>152000000000000</c:v>
                </c:pt>
                <c:pt idx="51">
                  <c:v>139000000000000</c:v>
                </c:pt>
                <c:pt idx="52">
                  <c:v>127000000000000</c:v>
                </c:pt>
                <c:pt idx="53">
                  <c:v>116000000000000</c:v>
                </c:pt>
                <c:pt idx="54">
                  <c:v>106000000000000</c:v>
                </c:pt>
                <c:pt idx="55">
                  <c:v>97400000000000</c:v>
                </c:pt>
                <c:pt idx="56">
                  <c:v>89200000000000</c:v>
                </c:pt>
                <c:pt idx="57">
                  <c:v>81600000000000</c:v>
                </c:pt>
                <c:pt idx="58">
                  <c:v>77900000000000</c:v>
                </c:pt>
                <c:pt idx="59">
                  <c:v>74300000000000</c:v>
                </c:pt>
                <c:pt idx="60">
                  <c:v>71000000000000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89-BF46-AD5E-07B14D214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439488"/>
        <c:axId val="601441200"/>
      </c:lineChart>
      <c:catAx>
        <c:axId val="60143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41200"/>
        <c:crosses val="autoZero"/>
        <c:auto val="1"/>
        <c:lblAlgn val="ctr"/>
        <c:lblOffset val="100"/>
        <c:noMultiLvlLbl val="0"/>
      </c:catAx>
      <c:valAx>
        <c:axId val="6014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3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5</xdr:row>
      <xdr:rowOff>25400</xdr:rowOff>
    </xdr:from>
    <xdr:to>
      <xdr:col>11</xdr:col>
      <xdr:colOff>203200</xdr:colOff>
      <xdr:row>29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0FB2B0-28B0-AC5A-9CF3-008A7F336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antigo.mctic.gov.br/mctic/opencms/ciencia/SEPED/clima/Comunicacao_Nacional/Comunicacao_Nacional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opLeftCell="A7" workbookViewId="0">
      <selection activeCell="A18" sqref="A18:A21"/>
    </sheetView>
  </sheetViews>
  <sheetFormatPr baseColWidth="10" defaultColWidth="8.83203125" defaultRowHeight="15" x14ac:dyDescent="0.2"/>
  <cols>
    <col min="1" max="1" width="9.33203125" customWidth="1"/>
    <col min="2" max="2" width="51.6640625" customWidth="1"/>
  </cols>
  <sheetData>
    <row r="1" spans="1:2" x14ac:dyDescent="0.2">
      <c r="A1" s="1" t="s">
        <v>3</v>
      </c>
    </row>
    <row r="3" spans="1:2" x14ac:dyDescent="0.2">
      <c r="A3" s="1" t="s">
        <v>0</v>
      </c>
      <c r="B3" s="5" t="s">
        <v>21</v>
      </c>
    </row>
    <row r="4" spans="1:2" x14ac:dyDescent="0.2">
      <c r="B4" t="s">
        <v>22</v>
      </c>
    </row>
    <row r="5" spans="1:2" x14ac:dyDescent="0.2">
      <c r="B5" s="4">
        <v>2020</v>
      </c>
    </row>
    <row r="6" spans="1:2" x14ac:dyDescent="0.2">
      <c r="B6" t="s">
        <v>23</v>
      </c>
    </row>
    <row r="7" spans="1:2" x14ac:dyDescent="0.2">
      <c r="B7" t="s">
        <v>24</v>
      </c>
    </row>
    <row r="8" spans="1:2" x14ac:dyDescent="0.2">
      <c r="B8" s="2" t="s">
        <v>25</v>
      </c>
    </row>
    <row r="10" spans="1:2" x14ac:dyDescent="0.2">
      <c r="B10" s="5" t="s">
        <v>26</v>
      </c>
    </row>
    <row r="11" spans="1:2" x14ac:dyDescent="0.2">
      <c r="B11" s="6" t="s">
        <v>27</v>
      </c>
    </row>
    <row r="14" spans="1:2" x14ac:dyDescent="0.2">
      <c r="A14" t="s">
        <v>19</v>
      </c>
      <c r="B14">
        <v>28</v>
      </c>
    </row>
    <row r="15" spans="1:2" x14ac:dyDescent="0.2">
      <c r="A15" t="s">
        <v>20</v>
      </c>
      <c r="B15">
        <v>265</v>
      </c>
    </row>
    <row r="17" spans="1:1" x14ac:dyDescent="0.2">
      <c r="A17" s="1" t="s">
        <v>2</v>
      </c>
    </row>
    <row r="18" spans="1:1" x14ac:dyDescent="0.2">
      <c r="A18" t="s">
        <v>28</v>
      </c>
    </row>
    <row r="20" spans="1:1" x14ac:dyDescent="0.2">
      <c r="A20" t="s">
        <v>29</v>
      </c>
    </row>
    <row r="21" spans="1:1" x14ac:dyDescent="0.2">
      <c r="A21" t="s">
        <v>30</v>
      </c>
    </row>
  </sheetData>
  <hyperlinks>
    <hyperlink ref="B8" r:id="rId1" xr:uid="{28E45434-BF4A-40CF-BA05-2BB4327A7C6D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63694-8548-4798-9876-F1B5EF923EAF}">
  <dimension ref="A1:J18"/>
  <sheetViews>
    <sheetView workbookViewId="0">
      <selection activeCell="J18" sqref="J18"/>
    </sheetView>
  </sheetViews>
  <sheetFormatPr baseColWidth="10" defaultColWidth="8.83203125" defaultRowHeight="15" x14ac:dyDescent="0.2"/>
  <cols>
    <col min="1" max="1" width="25.5" customWidth="1"/>
    <col min="2" max="6" width="11.5" bestFit="1" customWidth="1"/>
    <col min="10" max="10" width="29.1640625" bestFit="1" customWidth="1"/>
  </cols>
  <sheetData>
    <row r="1" spans="1:10" x14ac:dyDescent="0.2">
      <c r="A1" s="1"/>
    </row>
    <row r="2" spans="1:10" x14ac:dyDescent="0.2">
      <c r="A2" s="1"/>
    </row>
    <row r="3" spans="1:10" x14ac:dyDescent="0.2">
      <c r="A3" t="s">
        <v>31</v>
      </c>
    </row>
    <row r="4" spans="1:10" x14ac:dyDescent="0.2">
      <c r="A4" t="s">
        <v>32</v>
      </c>
      <c r="B4" s="7"/>
      <c r="C4" s="7"/>
      <c r="D4" s="7"/>
      <c r="E4" s="7"/>
      <c r="F4" s="7"/>
    </row>
    <row r="5" spans="1:10" x14ac:dyDescent="0.2">
      <c r="A5" t="s">
        <v>33</v>
      </c>
    </row>
    <row r="6" spans="1:10" x14ac:dyDescent="0.2">
      <c r="A6" t="s">
        <v>34</v>
      </c>
      <c r="B6" s="8"/>
      <c r="C6" s="8"/>
      <c r="D6" s="8"/>
      <c r="E6" s="8"/>
      <c r="F6" s="8"/>
    </row>
    <row r="7" spans="1:10" x14ac:dyDescent="0.2">
      <c r="A7" t="s">
        <v>35</v>
      </c>
    </row>
    <row r="8" spans="1:10" x14ac:dyDescent="0.2">
      <c r="A8" t="s">
        <v>36</v>
      </c>
    </row>
    <row r="9" spans="1:10" x14ac:dyDescent="0.2">
      <c r="A9" t="s">
        <v>37</v>
      </c>
    </row>
    <row r="12" spans="1:10" x14ac:dyDescent="0.2">
      <c r="B12" s="9" t="s">
        <v>38</v>
      </c>
      <c r="C12" s="9">
        <v>2010</v>
      </c>
      <c r="D12" s="9">
        <v>2011</v>
      </c>
      <c r="E12" s="9">
        <v>2012</v>
      </c>
      <c r="F12" s="9">
        <v>2013</v>
      </c>
      <c r="G12" s="9">
        <v>2014</v>
      </c>
      <c r="H12" s="9">
        <v>2015</v>
      </c>
      <c r="I12" s="9">
        <v>2016</v>
      </c>
      <c r="J12" s="10" t="s">
        <v>39</v>
      </c>
    </row>
    <row r="13" spans="1:10" x14ac:dyDescent="0.2">
      <c r="B13" s="11" t="s">
        <v>40</v>
      </c>
      <c r="C13" s="11">
        <v>927770.20031314949</v>
      </c>
      <c r="D13" s="11">
        <v>616949.31445093325</v>
      </c>
      <c r="E13" s="11">
        <v>503513.54636207997</v>
      </c>
      <c r="F13" s="11">
        <v>647875.0387680378</v>
      </c>
      <c r="G13" s="11">
        <v>550263.09780875617</v>
      </c>
      <c r="H13" s="11">
        <v>641495.50583126117</v>
      </c>
      <c r="I13" s="11">
        <v>678383.16603900539</v>
      </c>
      <c r="J13" s="11">
        <f>AVERAGE(C13:I13)</f>
        <v>652321.40993903182</v>
      </c>
    </row>
    <row r="16" spans="1:10" x14ac:dyDescent="0.2">
      <c r="I16" t="s">
        <v>41</v>
      </c>
      <c r="J16">
        <f>J13*10^9</f>
        <v>652321409939031.88</v>
      </c>
    </row>
    <row r="18" spans="10:10" x14ac:dyDescent="0.2">
      <c r="J18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98E0-C79E-4926-91C2-517BD5042907}">
  <dimension ref="A1:B13"/>
  <sheetViews>
    <sheetView workbookViewId="0">
      <selection activeCell="G11" sqref="G11"/>
    </sheetView>
  </sheetViews>
  <sheetFormatPr baseColWidth="10" defaultColWidth="8.83203125" defaultRowHeight="15" x14ac:dyDescent="0.2"/>
  <cols>
    <col min="2" max="2" width="23" customWidth="1"/>
    <col min="3" max="3" width="10" bestFit="1" customWidth="1"/>
  </cols>
  <sheetData>
    <row r="1" spans="1:2" x14ac:dyDescent="0.2">
      <c r="B1" s="13" t="s">
        <v>42</v>
      </c>
    </row>
    <row r="2" spans="1:2" x14ac:dyDescent="0.2">
      <c r="A2" t="s">
        <v>16</v>
      </c>
      <c r="B2">
        <v>0</v>
      </c>
    </row>
    <row r="3" spans="1:2" x14ac:dyDescent="0.2">
      <c r="A3" t="s">
        <v>43</v>
      </c>
      <c r="B3">
        <v>0</v>
      </c>
    </row>
    <row r="4" spans="1:2" x14ac:dyDescent="0.2">
      <c r="A4" t="s">
        <v>44</v>
      </c>
      <c r="B4">
        <v>0</v>
      </c>
    </row>
    <row r="5" spans="1:2" x14ac:dyDescent="0.2">
      <c r="A5" t="s">
        <v>45</v>
      </c>
      <c r="B5">
        <v>0</v>
      </c>
    </row>
    <row r="6" spans="1:2" x14ac:dyDescent="0.2">
      <c r="A6" t="s">
        <v>46</v>
      </c>
      <c r="B6">
        <v>0</v>
      </c>
    </row>
    <row r="7" spans="1:2" x14ac:dyDescent="0.2">
      <c r="A7" t="s">
        <v>47</v>
      </c>
      <c r="B7">
        <v>0</v>
      </c>
    </row>
    <row r="8" spans="1:2" x14ac:dyDescent="0.2">
      <c r="A8" t="s">
        <v>48</v>
      </c>
      <c r="B8">
        <v>0</v>
      </c>
    </row>
    <row r="9" spans="1:2" x14ac:dyDescent="0.2">
      <c r="A9" t="s">
        <v>49</v>
      </c>
      <c r="B9">
        <v>0</v>
      </c>
    </row>
    <row r="10" spans="1:2" x14ac:dyDescent="0.2">
      <c r="A10" t="s">
        <v>50</v>
      </c>
      <c r="B10">
        <v>0</v>
      </c>
    </row>
    <row r="11" spans="1:2" x14ac:dyDescent="0.2">
      <c r="A11" t="s">
        <v>17</v>
      </c>
      <c r="B11" s="3">
        <v>4.3636084384378205E-3</v>
      </c>
    </row>
    <row r="12" spans="1:2" x14ac:dyDescent="0.2">
      <c r="A12" t="s">
        <v>18</v>
      </c>
      <c r="B12" s="3">
        <v>1.335357177073511E-4</v>
      </c>
    </row>
    <row r="13" spans="1:2" x14ac:dyDescent="0.2">
      <c r="A13" t="s">
        <v>51</v>
      </c>
      <c r="B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AF19"/>
  <sheetViews>
    <sheetView workbookViewId="0">
      <selection activeCell="J40" sqref="J40"/>
    </sheetView>
  </sheetViews>
  <sheetFormatPr baseColWidth="10" defaultColWidth="8.83203125" defaultRowHeight="15" x14ac:dyDescent="0.2"/>
  <cols>
    <col min="1" max="1" width="16.83203125" customWidth="1"/>
    <col min="2" max="17" width="11.1640625" bestFit="1" customWidth="1"/>
  </cols>
  <sheetData>
    <row r="1" spans="1:32" x14ac:dyDescent="0.2">
      <c r="A1" t="s">
        <v>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t="s">
        <v>5</v>
      </c>
      <c r="B2" s="3">
        <f>Data!$J$16</f>
        <v>652321409939031.88</v>
      </c>
      <c r="C2" s="3">
        <f>Data!$J$16</f>
        <v>652321409939031.88</v>
      </c>
      <c r="D2" s="3">
        <f>Data!$J$16</f>
        <v>652321409939031.88</v>
      </c>
      <c r="E2" s="3">
        <f>Data!$J$16</f>
        <v>652321409939031.88</v>
      </c>
      <c r="F2" s="3">
        <f>Data!$J$16</f>
        <v>652321409939031.88</v>
      </c>
      <c r="G2" s="3">
        <f>Data!$J$16</f>
        <v>652321409939031.88</v>
      </c>
      <c r="H2" s="3">
        <f>Data!$J$16</f>
        <v>652321409939031.88</v>
      </c>
      <c r="I2" s="3">
        <f>Data!$J$16</f>
        <v>652321409939031.88</v>
      </c>
      <c r="J2" s="3">
        <f>Data!$J$16</f>
        <v>652321409939031.88</v>
      </c>
      <c r="K2" s="3">
        <f>Data!$J$16</f>
        <v>652321409939031.88</v>
      </c>
      <c r="L2" s="3">
        <f>Data!$J$16</f>
        <v>652321409939031.88</v>
      </c>
      <c r="M2" s="3">
        <f>Data!$J$16</f>
        <v>652321409939031.88</v>
      </c>
      <c r="N2" s="3">
        <f>Data!$J$16</f>
        <v>652321409939031.88</v>
      </c>
      <c r="O2" s="3">
        <f>Data!$J$16</f>
        <v>652321409939031.88</v>
      </c>
      <c r="P2" s="3">
        <f>Data!$J$16</f>
        <v>652321409939031.88</v>
      </c>
      <c r="Q2" s="3">
        <f>Data!$J$16</f>
        <v>652321409939031.88</v>
      </c>
      <c r="R2" s="3">
        <f>Data!$J$16</f>
        <v>652321409939031.88</v>
      </c>
      <c r="S2" s="3">
        <f>Data!$J$16</f>
        <v>652321409939031.88</v>
      </c>
      <c r="T2" s="3">
        <f>Data!$J$16</f>
        <v>652321409939031.88</v>
      </c>
      <c r="U2" s="3">
        <f>Data!$J$16</f>
        <v>652321409939031.88</v>
      </c>
      <c r="V2" s="3">
        <f>Data!$J$16</f>
        <v>652321409939031.88</v>
      </c>
      <c r="W2" s="3">
        <f>Data!$J$16</f>
        <v>652321409939031.88</v>
      </c>
      <c r="X2" s="3">
        <f>Data!$J$16</f>
        <v>652321409939031.88</v>
      </c>
      <c r="Y2" s="3">
        <f>Data!$J$16</f>
        <v>652321409939031.88</v>
      </c>
      <c r="Z2" s="3">
        <f>Data!$J$16</f>
        <v>652321409939031.88</v>
      </c>
      <c r="AA2" s="3">
        <f>Data!$J$16</f>
        <v>652321409939031.88</v>
      </c>
      <c r="AB2" s="3">
        <f>Data!$J$16</f>
        <v>652321409939031.88</v>
      </c>
      <c r="AC2" s="3">
        <f>Data!$J$16</f>
        <v>652321409939031.88</v>
      </c>
      <c r="AD2" s="3">
        <f>Data!$J$16</f>
        <v>652321409939031.88</v>
      </c>
      <c r="AE2" s="3">
        <f>Data!$J$16</f>
        <v>652321409939031.88</v>
      </c>
      <c r="AF2" s="3">
        <f>Data!$J$16</f>
        <v>652321409939031.88</v>
      </c>
    </row>
    <row r="3" spans="1:32" x14ac:dyDescent="0.2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14</v>
      </c>
      <c r="B11" s="3">
        <f>B$2*'data from RPEpUACE'!$B11</f>
        <v>2846475208983.6162</v>
      </c>
      <c r="C11" s="3">
        <f>C$2*'data from RPEpUACE'!$B11</f>
        <v>2846475208983.6162</v>
      </c>
      <c r="D11" s="3">
        <f>D$2*'data from RPEpUACE'!$B11</f>
        <v>2846475208983.6162</v>
      </c>
      <c r="E11" s="3">
        <f>E$2*'data from RPEpUACE'!$B11</f>
        <v>2846475208983.6162</v>
      </c>
      <c r="F11" s="3">
        <f>F$2*'data from RPEpUACE'!$B11</f>
        <v>2846475208983.6162</v>
      </c>
      <c r="G11" s="3">
        <f>G$2*'data from RPEpUACE'!$B11</f>
        <v>2846475208983.6162</v>
      </c>
      <c r="H11" s="3">
        <f>H$2*'data from RPEpUACE'!$B11</f>
        <v>2846475208983.6162</v>
      </c>
      <c r="I11" s="3">
        <f>I$2*'data from RPEpUACE'!$B11</f>
        <v>2846475208983.6162</v>
      </c>
      <c r="J11" s="3">
        <f>J$2*'data from RPEpUACE'!$B11</f>
        <v>2846475208983.6162</v>
      </c>
      <c r="K11" s="3">
        <f>K$2*'data from RPEpUACE'!$B11</f>
        <v>2846475208983.6162</v>
      </c>
      <c r="L11" s="3">
        <f>L$2*'data from RPEpUACE'!$B11</f>
        <v>2846475208983.6162</v>
      </c>
      <c r="M11" s="3">
        <f>M$2*'data from RPEpUACE'!$B11</f>
        <v>2846475208983.6162</v>
      </c>
      <c r="N11" s="3">
        <f>N$2*'data from RPEpUACE'!$B11</f>
        <v>2846475208983.6162</v>
      </c>
      <c r="O11" s="3">
        <f>O$2*'data from RPEpUACE'!$B11</f>
        <v>2846475208983.6162</v>
      </c>
      <c r="P11" s="3">
        <f>P$2*'data from RPEpUACE'!$B11</f>
        <v>2846475208983.6162</v>
      </c>
      <c r="Q11" s="3">
        <f>Q$2*'data from RPEpUACE'!$B11</f>
        <v>2846475208983.6162</v>
      </c>
      <c r="R11" s="3">
        <f>R$2*'data from RPEpUACE'!$B11</f>
        <v>2846475208983.6162</v>
      </c>
      <c r="S11" s="3">
        <f>S$2*'data from RPEpUACE'!$B11</f>
        <v>2846475208983.6162</v>
      </c>
      <c r="T11" s="3">
        <f>T$2*'data from RPEpUACE'!$B11</f>
        <v>2846475208983.6162</v>
      </c>
      <c r="U11" s="3">
        <f>U$2*'data from RPEpUACE'!$B11</f>
        <v>2846475208983.6162</v>
      </c>
      <c r="V11" s="3">
        <f>V$2*'data from RPEpUACE'!$B11</f>
        <v>2846475208983.6162</v>
      </c>
      <c r="W11" s="3">
        <f>W$2*'data from RPEpUACE'!$B11</f>
        <v>2846475208983.6162</v>
      </c>
      <c r="X11" s="3">
        <f>X$2*'data from RPEpUACE'!$B11</f>
        <v>2846475208983.6162</v>
      </c>
      <c r="Y11" s="3">
        <f>Y$2*'data from RPEpUACE'!$B11</f>
        <v>2846475208983.6162</v>
      </c>
      <c r="Z11" s="3">
        <f>Z$2*'data from RPEpUACE'!$B11</f>
        <v>2846475208983.6162</v>
      </c>
      <c r="AA11" s="3">
        <f>AA$2*'data from RPEpUACE'!$B11</f>
        <v>2846475208983.6162</v>
      </c>
      <c r="AB11" s="3">
        <f>AB$2*'data from RPEpUACE'!$B11</f>
        <v>2846475208983.6162</v>
      </c>
      <c r="AC11" s="3">
        <f>AC$2*'data from RPEpUACE'!$B11</f>
        <v>2846475208983.6162</v>
      </c>
      <c r="AD11" s="3">
        <f>AD$2*'data from RPEpUACE'!$B11</f>
        <v>2846475208983.6162</v>
      </c>
      <c r="AE11" s="3">
        <f>AE$2*'data from RPEpUACE'!$B11</f>
        <v>2846475208983.6162</v>
      </c>
      <c r="AF11" s="3">
        <f>AF$2*'data from RPEpUACE'!$B11</f>
        <v>2846475208983.6162</v>
      </c>
    </row>
    <row r="12" spans="1:32" x14ac:dyDescent="0.2">
      <c r="A12" t="s">
        <v>15</v>
      </c>
      <c r="B12" s="3">
        <f>B$2*'data from RPEpUACE'!$B12</f>
        <v>87108207652.079819</v>
      </c>
      <c r="C12" s="3">
        <f>C$2*'data from RPEpUACE'!$B12</f>
        <v>87108207652.079819</v>
      </c>
      <c r="D12" s="3">
        <f>D$2*'data from RPEpUACE'!$B12</f>
        <v>87108207652.079819</v>
      </c>
      <c r="E12" s="3">
        <f>E$2*'data from RPEpUACE'!$B12</f>
        <v>87108207652.079819</v>
      </c>
      <c r="F12" s="3">
        <f>F$2*'data from RPEpUACE'!$B12</f>
        <v>87108207652.079819</v>
      </c>
      <c r="G12" s="3">
        <f>G$2*'data from RPEpUACE'!$B12</f>
        <v>87108207652.079819</v>
      </c>
      <c r="H12" s="3">
        <f>H$2*'data from RPEpUACE'!$B12</f>
        <v>87108207652.079819</v>
      </c>
      <c r="I12" s="3">
        <f>I$2*'data from RPEpUACE'!$B12</f>
        <v>87108207652.079819</v>
      </c>
      <c r="J12" s="3">
        <f>J$2*'data from RPEpUACE'!$B12</f>
        <v>87108207652.079819</v>
      </c>
      <c r="K12" s="3">
        <f>K$2*'data from RPEpUACE'!$B12</f>
        <v>87108207652.079819</v>
      </c>
      <c r="L12" s="3">
        <f>L$2*'data from RPEpUACE'!$B12</f>
        <v>87108207652.079819</v>
      </c>
      <c r="M12" s="3">
        <f>M$2*'data from RPEpUACE'!$B12</f>
        <v>87108207652.079819</v>
      </c>
      <c r="N12" s="3">
        <f>N$2*'data from RPEpUACE'!$B12</f>
        <v>87108207652.079819</v>
      </c>
      <c r="O12" s="3">
        <f>O$2*'data from RPEpUACE'!$B12</f>
        <v>87108207652.079819</v>
      </c>
      <c r="P12" s="3">
        <f>P$2*'data from RPEpUACE'!$B12</f>
        <v>87108207652.079819</v>
      </c>
      <c r="Q12" s="3">
        <f>Q$2*'data from RPEpUACE'!$B12</f>
        <v>87108207652.079819</v>
      </c>
      <c r="R12" s="3">
        <f>R$2*'data from RPEpUACE'!$B12</f>
        <v>87108207652.079819</v>
      </c>
      <c r="S12" s="3">
        <f>S$2*'data from RPEpUACE'!$B12</f>
        <v>87108207652.079819</v>
      </c>
      <c r="T12" s="3">
        <f>T$2*'data from RPEpUACE'!$B12</f>
        <v>87108207652.079819</v>
      </c>
      <c r="U12" s="3">
        <f>U$2*'data from RPEpUACE'!$B12</f>
        <v>87108207652.079819</v>
      </c>
      <c r="V12" s="3">
        <f>V$2*'data from RPEpUACE'!$B12</f>
        <v>87108207652.079819</v>
      </c>
      <c r="W12" s="3">
        <f>W$2*'data from RPEpUACE'!$B12</f>
        <v>87108207652.079819</v>
      </c>
      <c r="X12" s="3">
        <f>X$2*'data from RPEpUACE'!$B12</f>
        <v>87108207652.079819</v>
      </c>
      <c r="Y12" s="3">
        <f>Y$2*'data from RPEpUACE'!$B12</f>
        <v>87108207652.079819</v>
      </c>
      <c r="Z12" s="3">
        <f>Z$2*'data from RPEpUACE'!$B12</f>
        <v>87108207652.079819</v>
      </c>
      <c r="AA12" s="3">
        <f>AA$2*'data from RPEpUACE'!$B12</f>
        <v>87108207652.079819</v>
      </c>
      <c r="AB12" s="3">
        <f>AB$2*'data from RPEpUACE'!$B12</f>
        <v>87108207652.079819</v>
      </c>
      <c r="AC12" s="3">
        <f>AC$2*'data from RPEpUACE'!$B12</f>
        <v>87108207652.079819</v>
      </c>
      <c r="AD12" s="3">
        <f>AD$2*'data from RPEpUACE'!$B12</f>
        <v>87108207652.079819</v>
      </c>
      <c r="AE12" s="3">
        <f>AE$2*'data from RPEpUACE'!$B12</f>
        <v>87108207652.079819</v>
      </c>
      <c r="AF12" s="3">
        <f>AF$2*'data from RPEpUACE'!$B12</f>
        <v>87108207652.079819</v>
      </c>
    </row>
    <row r="13" spans="1:32" x14ac:dyDescent="0.2">
      <c r="A13" t="s">
        <v>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">
      <c r="A14" t="s">
        <v>53</v>
      </c>
      <c r="B14" s="3">
        <f>SUM(B2:B13)</f>
        <v>655254993355667.62</v>
      </c>
      <c r="C14" s="3">
        <f t="shared" ref="C14:AF14" si="0">SUM(C2:C13)</f>
        <v>655254993355667.62</v>
      </c>
      <c r="D14" s="3">
        <f t="shared" si="0"/>
        <v>655254993355667.62</v>
      </c>
      <c r="E14" s="3">
        <f t="shared" si="0"/>
        <v>655254993355667.62</v>
      </c>
      <c r="F14" s="3">
        <f t="shared" si="0"/>
        <v>655254993355667.62</v>
      </c>
      <c r="G14" s="3">
        <f t="shared" si="0"/>
        <v>655254993355667.62</v>
      </c>
      <c r="H14" s="3">
        <f t="shared" si="0"/>
        <v>655254993355667.62</v>
      </c>
      <c r="I14" s="3">
        <f t="shared" si="0"/>
        <v>655254993355667.62</v>
      </c>
      <c r="J14" s="3">
        <f t="shared" si="0"/>
        <v>655254993355667.62</v>
      </c>
      <c r="K14" s="3">
        <f t="shared" si="0"/>
        <v>655254993355667.62</v>
      </c>
      <c r="L14" s="3">
        <f t="shared" si="0"/>
        <v>655254993355667.62</v>
      </c>
      <c r="M14" s="3">
        <f t="shared" si="0"/>
        <v>655254993355667.62</v>
      </c>
      <c r="N14" s="3">
        <f t="shared" si="0"/>
        <v>655254993355667.62</v>
      </c>
      <c r="O14" s="3">
        <f t="shared" si="0"/>
        <v>655254993355667.62</v>
      </c>
      <c r="P14" s="3">
        <f t="shared" si="0"/>
        <v>655254993355667.62</v>
      </c>
      <c r="Q14" s="3">
        <f t="shared" si="0"/>
        <v>655254993355667.62</v>
      </c>
      <c r="R14" s="3">
        <f t="shared" si="0"/>
        <v>655254993355667.62</v>
      </c>
      <c r="S14" s="3">
        <f t="shared" si="0"/>
        <v>655254993355667.62</v>
      </c>
      <c r="T14" s="3">
        <f t="shared" si="0"/>
        <v>655254993355667.62</v>
      </c>
      <c r="U14" s="3">
        <f t="shared" si="0"/>
        <v>655254993355667.62</v>
      </c>
      <c r="V14" s="3">
        <f t="shared" si="0"/>
        <v>655254993355667.62</v>
      </c>
      <c r="W14" s="3">
        <f t="shared" si="0"/>
        <v>655254993355667.62</v>
      </c>
      <c r="X14" s="3">
        <f t="shared" si="0"/>
        <v>655254993355667.62</v>
      </c>
      <c r="Y14" s="3">
        <f t="shared" si="0"/>
        <v>655254993355667.62</v>
      </c>
      <c r="Z14" s="3">
        <f t="shared" si="0"/>
        <v>655254993355667.62</v>
      </c>
      <c r="AA14" s="3">
        <f t="shared" si="0"/>
        <v>655254993355667.62</v>
      </c>
      <c r="AB14" s="3">
        <f t="shared" si="0"/>
        <v>655254993355667.62</v>
      </c>
      <c r="AC14" s="3">
        <f t="shared" si="0"/>
        <v>655254993355667.62</v>
      </c>
      <c r="AD14" s="3">
        <f t="shared" si="0"/>
        <v>655254993355667.62</v>
      </c>
      <c r="AE14" s="3">
        <f t="shared" si="0"/>
        <v>655254993355667.62</v>
      </c>
      <c r="AF14" s="3">
        <f t="shared" si="0"/>
        <v>655254993355667.62</v>
      </c>
    </row>
    <row r="16" spans="1:32" x14ac:dyDescent="0.2">
      <c r="A16" t="s">
        <v>52</v>
      </c>
      <c r="B16">
        <f>B1</f>
        <v>2020</v>
      </c>
      <c r="C16">
        <f t="shared" ref="C16:AF16" si="1">C1</f>
        <v>2021</v>
      </c>
      <c r="D16">
        <f t="shared" si="1"/>
        <v>2022</v>
      </c>
      <c r="E16">
        <f t="shared" si="1"/>
        <v>2023</v>
      </c>
      <c r="F16">
        <f t="shared" si="1"/>
        <v>2024</v>
      </c>
      <c r="G16">
        <f t="shared" si="1"/>
        <v>2025</v>
      </c>
      <c r="H16">
        <f t="shared" si="1"/>
        <v>2026</v>
      </c>
      <c r="I16">
        <f t="shared" si="1"/>
        <v>2027</v>
      </c>
      <c r="J16">
        <f t="shared" si="1"/>
        <v>2028</v>
      </c>
      <c r="K16">
        <f t="shared" si="1"/>
        <v>2029</v>
      </c>
      <c r="L16">
        <f t="shared" si="1"/>
        <v>2030</v>
      </c>
      <c r="M16">
        <f t="shared" si="1"/>
        <v>2031</v>
      </c>
      <c r="N16">
        <f t="shared" si="1"/>
        <v>2032</v>
      </c>
      <c r="O16">
        <f t="shared" si="1"/>
        <v>2033</v>
      </c>
      <c r="P16">
        <f t="shared" si="1"/>
        <v>2034</v>
      </c>
      <c r="Q16">
        <f t="shared" si="1"/>
        <v>2035</v>
      </c>
      <c r="R16">
        <f t="shared" si="1"/>
        <v>2036</v>
      </c>
      <c r="S16">
        <f t="shared" si="1"/>
        <v>2037</v>
      </c>
      <c r="T16">
        <f t="shared" si="1"/>
        <v>2038</v>
      </c>
      <c r="U16">
        <f t="shared" si="1"/>
        <v>2039</v>
      </c>
      <c r="V16">
        <f t="shared" si="1"/>
        <v>2040</v>
      </c>
      <c r="W16">
        <f t="shared" si="1"/>
        <v>2041</v>
      </c>
      <c r="X16">
        <f t="shared" si="1"/>
        <v>2042</v>
      </c>
      <c r="Y16">
        <f t="shared" si="1"/>
        <v>2043</v>
      </c>
      <c r="Z16">
        <f t="shared" si="1"/>
        <v>2044</v>
      </c>
      <c r="AA16">
        <f t="shared" si="1"/>
        <v>2045</v>
      </c>
      <c r="AB16">
        <f t="shared" si="1"/>
        <v>2046</v>
      </c>
      <c r="AC16">
        <f t="shared" si="1"/>
        <v>2047</v>
      </c>
      <c r="AD16">
        <f t="shared" si="1"/>
        <v>2048</v>
      </c>
      <c r="AE16">
        <f t="shared" si="1"/>
        <v>2049</v>
      </c>
      <c r="AF16">
        <f t="shared" si="1"/>
        <v>2050</v>
      </c>
    </row>
    <row r="17" spans="1:32" x14ac:dyDescent="0.2">
      <c r="A17" s="14" t="s">
        <v>54</v>
      </c>
      <c r="B17" s="3">
        <f>B2/B$14</f>
        <v>0.99552298960498964</v>
      </c>
      <c r="C17" s="3">
        <f t="shared" ref="C17:AF17" si="2">C2/C$14</f>
        <v>0.99552298960498964</v>
      </c>
      <c r="D17" s="3">
        <f t="shared" si="2"/>
        <v>0.99552298960498964</v>
      </c>
      <c r="E17" s="3">
        <f t="shared" si="2"/>
        <v>0.99552298960498964</v>
      </c>
      <c r="F17" s="3">
        <f t="shared" si="2"/>
        <v>0.99552298960498964</v>
      </c>
      <c r="G17" s="3">
        <f t="shared" si="2"/>
        <v>0.99552298960498964</v>
      </c>
      <c r="H17" s="3">
        <f t="shared" si="2"/>
        <v>0.99552298960498964</v>
      </c>
      <c r="I17" s="3">
        <f t="shared" si="2"/>
        <v>0.99552298960498964</v>
      </c>
      <c r="J17" s="3">
        <f t="shared" si="2"/>
        <v>0.99552298960498964</v>
      </c>
      <c r="K17" s="3">
        <f t="shared" si="2"/>
        <v>0.99552298960498964</v>
      </c>
      <c r="L17" s="3">
        <f t="shared" si="2"/>
        <v>0.99552298960498964</v>
      </c>
      <c r="M17" s="3">
        <f t="shared" si="2"/>
        <v>0.99552298960498964</v>
      </c>
      <c r="N17" s="3">
        <f t="shared" si="2"/>
        <v>0.99552298960498964</v>
      </c>
      <c r="O17" s="3">
        <f t="shared" si="2"/>
        <v>0.99552298960498964</v>
      </c>
      <c r="P17" s="3">
        <f t="shared" si="2"/>
        <v>0.99552298960498964</v>
      </c>
      <c r="Q17" s="3">
        <f t="shared" si="2"/>
        <v>0.99552298960498964</v>
      </c>
      <c r="R17" s="3">
        <f t="shared" si="2"/>
        <v>0.99552298960498964</v>
      </c>
      <c r="S17" s="3">
        <f t="shared" si="2"/>
        <v>0.99552298960498964</v>
      </c>
      <c r="T17" s="3">
        <f t="shared" si="2"/>
        <v>0.99552298960498964</v>
      </c>
      <c r="U17" s="3">
        <f t="shared" si="2"/>
        <v>0.99552298960498964</v>
      </c>
      <c r="V17" s="3">
        <f t="shared" si="2"/>
        <v>0.99552298960498964</v>
      </c>
      <c r="W17" s="3">
        <f t="shared" si="2"/>
        <v>0.99552298960498964</v>
      </c>
      <c r="X17" s="3">
        <f t="shared" si="2"/>
        <v>0.99552298960498964</v>
      </c>
      <c r="Y17" s="3">
        <f t="shared" si="2"/>
        <v>0.99552298960498964</v>
      </c>
      <c r="Z17" s="3">
        <f t="shared" si="2"/>
        <v>0.99552298960498964</v>
      </c>
      <c r="AA17" s="3">
        <f t="shared" si="2"/>
        <v>0.99552298960498964</v>
      </c>
      <c r="AB17" s="3">
        <f t="shared" si="2"/>
        <v>0.99552298960498964</v>
      </c>
      <c r="AC17" s="3">
        <f t="shared" si="2"/>
        <v>0.99552298960498964</v>
      </c>
      <c r="AD17" s="3">
        <f t="shared" si="2"/>
        <v>0.99552298960498964</v>
      </c>
      <c r="AE17" s="3">
        <f t="shared" si="2"/>
        <v>0.99552298960498964</v>
      </c>
      <c r="AF17" s="3">
        <f t="shared" si="2"/>
        <v>0.99552298960498964</v>
      </c>
    </row>
    <row r="18" spans="1:32" x14ac:dyDescent="0.2">
      <c r="A18" s="14" t="s">
        <v>55</v>
      </c>
      <c r="B18" s="3">
        <f>B11/B14</f>
        <v>4.3440725180991799E-3</v>
      </c>
      <c r="C18" s="3">
        <f t="shared" ref="C18:AF18" si="3">C11/C14</f>
        <v>4.3440725180991799E-3</v>
      </c>
      <c r="D18" s="3">
        <f t="shared" si="3"/>
        <v>4.3440725180991799E-3</v>
      </c>
      <c r="E18" s="3">
        <f t="shared" si="3"/>
        <v>4.3440725180991799E-3</v>
      </c>
      <c r="F18" s="3">
        <f t="shared" si="3"/>
        <v>4.3440725180991799E-3</v>
      </c>
      <c r="G18" s="3">
        <f t="shared" si="3"/>
        <v>4.3440725180991799E-3</v>
      </c>
      <c r="H18" s="3">
        <f t="shared" si="3"/>
        <v>4.3440725180991799E-3</v>
      </c>
      <c r="I18" s="3">
        <f t="shared" si="3"/>
        <v>4.3440725180991799E-3</v>
      </c>
      <c r="J18" s="3">
        <f t="shared" si="3"/>
        <v>4.3440725180991799E-3</v>
      </c>
      <c r="K18" s="3">
        <f t="shared" si="3"/>
        <v>4.3440725180991799E-3</v>
      </c>
      <c r="L18" s="3">
        <f t="shared" si="3"/>
        <v>4.3440725180991799E-3</v>
      </c>
      <c r="M18" s="3">
        <f t="shared" si="3"/>
        <v>4.3440725180991799E-3</v>
      </c>
      <c r="N18" s="3">
        <f t="shared" si="3"/>
        <v>4.3440725180991799E-3</v>
      </c>
      <c r="O18" s="3">
        <f t="shared" si="3"/>
        <v>4.3440725180991799E-3</v>
      </c>
      <c r="P18" s="3">
        <f t="shared" si="3"/>
        <v>4.3440725180991799E-3</v>
      </c>
      <c r="Q18" s="3">
        <f t="shared" si="3"/>
        <v>4.3440725180991799E-3</v>
      </c>
      <c r="R18" s="3">
        <f t="shared" si="3"/>
        <v>4.3440725180991799E-3</v>
      </c>
      <c r="S18" s="3">
        <f t="shared" si="3"/>
        <v>4.3440725180991799E-3</v>
      </c>
      <c r="T18" s="3">
        <f t="shared" si="3"/>
        <v>4.3440725180991799E-3</v>
      </c>
      <c r="U18" s="3">
        <f t="shared" si="3"/>
        <v>4.3440725180991799E-3</v>
      </c>
      <c r="V18" s="3">
        <f t="shared" si="3"/>
        <v>4.3440725180991799E-3</v>
      </c>
      <c r="W18" s="3">
        <f t="shared" si="3"/>
        <v>4.3440725180991799E-3</v>
      </c>
      <c r="X18" s="3">
        <f t="shared" si="3"/>
        <v>4.3440725180991799E-3</v>
      </c>
      <c r="Y18" s="3">
        <f t="shared" si="3"/>
        <v>4.3440725180991799E-3</v>
      </c>
      <c r="Z18" s="3">
        <f t="shared" si="3"/>
        <v>4.3440725180991799E-3</v>
      </c>
      <c r="AA18" s="3">
        <f t="shared" si="3"/>
        <v>4.3440725180991799E-3</v>
      </c>
      <c r="AB18" s="3">
        <f t="shared" si="3"/>
        <v>4.3440725180991799E-3</v>
      </c>
      <c r="AC18" s="3">
        <f t="shared" si="3"/>
        <v>4.3440725180991799E-3</v>
      </c>
      <c r="AD18" s="3">
        <f t="shared" si="3"/>
        <v>4.3440725180991799E-3</v>
      </c>
      <c r="AE18" s="3">
        <f t="shared" si="3"/>
        <v>4.3440725180991799E-3</v>
      </c>
      <c r="AF18" s="3">
        <f t="shared" si="3"/>
        <v>4.3440725180991799E-3</v>
      </c>
    </row>
    <row r="19" spans="1:32" x14ac:dyDescent="0.2">
      <c r="A19" s="14" t="s">
        <v>56</v>
      </c>
      <c r="B19" s="3">
        <f>B12/B14</f>
        <v>1.3293787691107014E-4</v>
      </c>
      <c r="C19" s="3">
        <f t="shared" ref="C19:AF19" si="4">C12/C14</f>
        <v>1.3293787691107014E-4</v>
      </c>
      <c r="D19" s="3">
        <f t="shared" si="4"/>
        <v>1.3293787691107014E-4</v>
      </c>
      <c r="E19" s="3">
        <f t="shared" si="4"/>
        <v>1.3293787691107014E-4</v>
      </c>
      <c r="F19" s="3">
        <f t="shared" si="4"/>
        <v>1.3293787691107014E-4</v>
      </c>
      <c r="G19" s="3">
        <f t="shared" si="4"/>
        <v>1.3293787691107014E-4</v>
      </c>
      <c r="H19" s="3">
        <f t="shared" si="4"/>
        <v>1.3293787691107014E-4</v>
      </c>
      <c r="I19" s="3">
        <f t="shared" si="4"/>
        <v>1.3293787691107014E-4</v>
      </c>
      <c r="J19" s="3">
        <f t="shared" si="4"/>
        <v>1.3293787691107014E-4</v>
      </c>
      <c r="K19" s="3">
        <f t="shared" si="4"/>
        <v>1.3293787691107014E-4</v>
      </c>
      <c r="L19" s="3">
        <f t="shared" si="4"/>
        <v>1.3293787691107014E-4</v>
      </c>
      <c r="M19" s="3">
        <f t="shared" si="4"/>
        <v>1.3293787691107014E-4</v>
      </c>
      <c r="N19" s="3">
        <f t="shared" si="4"/>
        <v>1.3293787691107014E-4</v>
      </c>
      <c r="O19" s="3">
        <f t="shared" si="4"/>
        <v>1.3293787691107014E-4</v>
      </c>
      <c r="P19" s="3">
        <f t="shared" si="4"/>
        <v>1.3293787691107014E-4</v>
      </c>
      <c r="Q19" s="3">
        <f t="shared" si="4"/>
        <v>1.3293787691107014E-4</v>
      </c>
      <c r="R19" s="3">
        <f t="shared" si="4"/>
        <v>1.3293787691107014E-4</v>
      </c>
      <c r="S19" s="3">
        <f t="shared" si="4"/>
        <v>1.3293787691107014E-4</v>
      </c>
      <c r="T19" s="3">
        <f t="shared" si="4"/>
        <v>1.3293787691107014E-4</v>
      </c>
      <c r="U19" s="3">
        <f t="shared" si="4"/>
        <v>1.3293787691107014E-4</v>
      </c>
      <c r="V19" s="3">
        <f t="shared" si="4"/>
        <v>1.3293787691107014E-4</v>
      </c>
      <c r="W19" s="3">
        <f t="shared" si="4"/>
        <v>1.3293787691107014E-4</v>
      </c>
      <c r="X19" s="3">
        <f t="shared" si="4"/>
        <v>1.3293787691107014E-4</v>
      </c>
      <c r="Y19" s="3">
        <f t="shared" si="4"/>
        <v>1.3293787691107014E-4</v>
      </c>
      <c r="Z19" s="3">
        <f t="shared" si="4"/>
        <v>1.3293787691107014E-4</v>
      </c>
      <c r="AA19" s="3">
        <f t="shared" si="4"/>
        <v>1.3293787691107014E-4</v>
      </c>
      <c r="AB19" s="3">
        <f t="shared" si="4"/>
        <v>1.3293787691107014E-4</v>
      </c>
      <c r="AC19" s="3">
        <f t="shared" si="4"/>
        <v>1.3293787691107014E-4</v>
      </c>
      <c r="AD19" s="3">
        <f t="shared" si="4"/>
        <v>1.3293787691107014E-4</v>
      </c>
      <c r="AE19" s="3">
        <f t="shared" si="4"/>
        <v>1.3293787691107014E-4</v>
      </c>
      <c r="AF19" s="3">
        <f t="shared" si="4"/>
        <v>1.3293787691107014E-4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C772B-9942-6049-8D64-C5B578D545E8}">
  <dimension ref="A1:BJ36"/>
  <sheetViews>
    <sheetView tabSelected="1" topLeftCell="S1" workbookViewId="0">
      <selection activeCell="AD18" sqref="AD18"/>
    </sheetView>
  </sheetViews>
  <sheetFormatPr baseColWidth="10" defaultRowHeight="15" x14ac:dyDescent="0.2"/>
  <sheetData>
    <row r="1" spans="1:62" x14ac:dyDescent="0.2">
      <c r="A1" s="23" t="s">
        <v>1</v>
      </c>
      <c r="B1" s="13">
        <v>1990</v>
      </c>
      <c r="C1" s="13">
        <v>1991</v>
      </c>
      <c r="D1" s="13">
        <v>1992</v>
      </c>
      <c r="E1" s="13">
        <v>1993</v>
      </c>
      <c r="F1" s="13">
        <v>1994</v>
      </c>
      <c r="G1" s="13">
        <v>1995</v>
      </c>
      <c r="H1" s="13">
        <v>1996</v>
      </c>
      <c r="I1" s="13">
        <v>1997</v>
      </c>
      <c r="J1" s="13">
        <v>1998</v>
      </c>
      <c r="K1" s="13">
        <v>1999</v>
      </c>
      <c r="L1" s="13">
        <v>2000</v>
      </c>
      <c r="M1" s="13">
        <v>2001</v>
      </c>
      <c r="N1" s="13">
        <v>2002</v>
      </c>
      <c r="O1" s="13">
        <v>2003</v>
      </c>
      <c r="P1" s="13">
        <v>2004</v>
      </c>
      <c r="Q1" s="13">
        <v>2005</v>
      </c>
      <c r="R1" s="13">
        <v>2006</v>
      </c>
      <c r="S1" s="13">
        <v>2007</v>
      </c>
      <c r="T1" s="13">
        <v>2008</v>
      </c>
      <c r="U1" s="13">
        <v>2009</v>
      </c>
      <c r="V1" s="13">
        <v>2010</v>
      </c>
      <c r="W1" s="13">
        <v>2011</v>
      </c>
      <c r="X1" s="13">
        <v>2012</v>
      </c>
      <c r="Y1" s="13">
        <v>2013</v>
      </c>
      <c r="Z1" s="13">
        <v>2014</v>
      </c>
      <c r="AA1" s="13">
        <v>2015</v>
      </c>
      <c r="AB1" s="13">
        <v>2016</v>
      </c>
      <c r="AC1" s="13">
        <v>2017</v>
      </c>
      <c r="AD1" s="13">
        <v>2018</v>
      </c>
      <c r="AE1" s="13">
        <v>2019</v>
      </c>
      <c r="AF1" s="13">
        <v>2020</v>
      </c>
      <c r="AG1" s="13">
        <v>2021</v>
      </c>
      <c r="AH1" s="13">
        <v>2022</v>
      </c>
      <c r="AI1" s="13">
        <v>2023</v>
      </c>
      <c r="AJ1" s="13">
        <v>2024</v>
      </c>
      <c r="AK1" s="13">
        <v>2025</v>
      </c>
      <c r="AL1" s="13">
        <v>2026</v>
      </c>
      <c r="AM1" s="13">
        <v>2027</v>
      </c>
      <c r="AN1" s="13">
        <v>2028</v>
      </c>
      <c r="AO1" s="13">
        <v>2029</v>
      </c>
      <c r="AP1" s="13">
        <v>2030</v>
      </c>
      <c r="AQ1" s="13">
        <v>2031</v>
      </c>
      <c r="AR1" s="13">
        <v>2032</v>
      </c>
      <c r="AS1" s="13">
        <v>2033</v>
      </c>
      <c r="AT1" s="13">
        <v>2034</v>
      </c>
      <c r="AU1" s="13">
        <v>2035</v>
      </c>
      <c r="AV1" s="13">
        <v>2036</v>
      </c>
      <c r="AW1" s="13">
        <v>2037</v>
      </c>
      <c r="AX1" s="13">
        <v>2038</v>
      </c>
      <c r="AY1" s="13">
        <v>2039</v>
      </c>
      <c r="AZ1" s="13">
        <v>2040</v>
      </c>
      <c r="BA1" s="13">
        <v>2041</v>
      </c>
      <c r="BB1" s="13">
        <v>2042</v>
      </c>
      <c r="BC1" s="13">
        <v>2043</v>
      </c>
      <c r="BD1" s="13">
        <v>2044</v>
      </c>
      <c r="BE1" s="13">
        <v>2045</v>
      </c>
      <c r="BF1" s="13">
        <v>2046</v>
      </c>
      <c r="BG1" s="13">
        <v>2047</v>
      </c>
      <c r="BH1" s="13">
        <v>2048</v>
      </c>
      <c r="BI1" s="13">
        <v>2049</v>
      </c>
      <c r="BJ1" s="13">
        <v>2050</v>
      </c>
    </row>
    <row r="2" spans="1:62" x14ac:dyDescent="0.2">
      <c r="A2" s="23" t="s">
        <v>71</v>
      </c>
      <c r="B2" s="13">
        <v>908066332363945.25</v>
      </c>
      <c r="C2" s="13">
        <v>726204322679458.5</v>
      </c>
      <c r="D2" s="13">
        <v>839121579035849.25</v>
      </c>
      <c r="E2" s="13">
        <v>874712069778537.62</v>
      </c>
      <c r="F2" s="13">
        <v>854112479205995.62</v>
      </c>
      <c r="G2" s="13">
        <v>1973225015654828</v>
      </c>
      <c r="H2" s="13">
        <v>1245646946790318.2</v>
      </c>
      <c r="I2" s="13">
        <v>915577409855144.38</v>
      </c>
      <c r="J2" s="13">
        <v>1179953485182655.8</v>
      </c>
      <c r="K2" s="13">
        <v>1132596244208690.5</v>
      </c>
      <c r="L2" s="13">
        <v>1184463676030746</v>
      </c>
      <c r="M2" s="13">
        <v>1129708865473567.2</v>
      </c>
      <c r="N2" s="13">
        <v>1339596237688777</v>
      </c>
      <c r="O2" s="13">
        <v>2427047908322861</v>
      </c>
      <c r="P2" s="13">
        <v>2621326240834337</v>
      </c>
      <c r="Q2" s="13">
        <v>1573713706255844.2</v>
      </c>
      <c r="R2" s="13">
        <v>1201775417449594.5</v>
      </c>
      <c r="S2" s="13">
        <v>852790016028065</v>
      </c>
      <c r="T2" s="13">
        <v>963933618742378.88</v>
      </c>
      <c r="U2" s="13">
        <v>342440028055332.06</v>
      </c>
      <c r="V2" s="13">
        <v>277144032250903.78</v>
      </c>
      <c r="W2" s="13">
        <v>324149965481829.88</v>
      </c>
      <c r="X2" s="13">
        <v>172897475778987.47</v>
      </c>
      <c r="Y2" s="13">
        <v>411276025337924.81</v>
      </c>
      <c r="Z2" s="13">
        <v>259775337434062.5</v>
      </c>
      <c r="AA2" s="13">
        <v>373263852526950.88</v>
      </c>
      <c r="AB2" s="13">
        <v>436546377161111.81</v>
      </c>
      <c r="AC2" s="13">
        <v>313282465310611.69</v>
      </c>
      <c r="AD2" s="13">
        <v>362155719578151.5</v>
      </c>
      <c r="AE2" s="13">
        <v>567067303185964</v>
      </c>
      <c r="AF2" s="13">
        <v>665083900964468</v>
      </c>
      <c r="AG2" s="13">
        <v>882477987272240.88</v>
      </c>
      <c r="AH2" s="13">
        <v>805693940844518</v>
      </c>
      <c r="AI2" s="13">
        <v>737554850928654.75</v>
      </c>
      <c r="AJ2" s="13">
        <v>675178415215819.88</v>
      </c>
      <c r="AK2" s="13">
        <v>618077274929946.75</v>
      </c>
      <c r="AL2" s="13">
        <v>565805288166264.88</v>
      </c>
      <c r="AM2" s="13">
        <v>517954044101029.88</v>
      </c>
      <c r="AN2" s="13">
        <v>474149672001257.69</v>
      </c>
      <c r="AO2" s="13">
        <v>434049920102657.31</v>
      </c>
      <c r="AP2" s="13">
        <v>397341481532488.56</v>
      </c>
      <c r="AQ2" s="13">
        <v>363737546384279.06</v>
      </c>
      <c r="AR2" s="13">
        <v>332975560818302.44</v>
      </c>
      <c r="AS2" s="13">
        <v>304815175679249.12</v>
      </c>
      <c r="AT2" s="13">
        <v>279036368603255.31</v>
      </c>
      <c r="AU2" s="13">
        <v>255437724941961.66</v>
      </c>
      <c r="AV2" s="13">
        <v>233834864072138.25</v>
      </c>
      <c r="AW2" s="13">
        <v>214058998795338.44</v>
      </c>
      <c r="AX2" s="13">
        <v>195955616571901.84</v>
      </c>
      <c r="AY2" s="13">
        <v>179383272285539.69</v>
      </c>
      <c r="AZ2" s="13">
        <v>164212483106147.12</v>
      </c>
      <c r="BA2" s="13">
        <v>150324716816197.78</v>
      </c>
      <c r="BB2" s="13">
        <v>137611465696325.88</v>
      </c>
      <c r="BC2" s="13">
        <v>125973398734189.95</v>
      </c>
      <c r="BD2" s="13">
        <v>115319585532667.64</v>
      </c>
      <c r="BE2" s="13">
        <v>105566785853630.58</v>
      </c>
      <c r="BF2" s="13">
        <v>96638799246372.031</v>
      </c>
      <c r="BG2" s="13">
        <v>88465869679212.312</v>
      </c>
      <c r="BH2" s="13">
        <v>80984140522557.078</v>
      </c>
      <c r="BI2" s="13">
        <v>74135155625089.281</v>
      </c>
      <c r="BJ2" s="13">
        <v>67865402584909.328</v>
      </c>
    </row>
    <row r="3" spans="1:62" x14ac:dyDescent="0.2">
      <c r="A3" s="24" t="s">
        <v>70</v>
      </c>
      <c r="B3" s="22">
        <v>837000000000000</v>
      </c>
      <c r="C3" s="22">
        <v>840000000000000</v>
      </c>
      <c r="D3" s="22">
        <v>1050000000000000</v>
      </c>
      <c r="E3" s="22">
        <v>1160000000000000</v>
      </c>
      <c r="F3" s="22">
        <v>1170000000000000</v>
      </c>
      <c r="G3" s="22">
        <v>1230000000000000</v>
      </c>
      <c r="H3" s="22">
        <v>1290000000000000</v>
      </c>
      <c r="I3" s="22">
        <v>1130000000000000</v>
      </c>
      <c r="J3" s="22">
        <v>1110000000000000</v>
      </c>
      <c r="K3" s="22">
        <v>1190000000000000</v>
      </c>
      <c r="L3" s="22">
        <v>1440000000000000</v>
      </c>
      <c r="M3" s="22">
        <v>1740000000000000</v>
      </c>
      <c r="N3" s="22">
        <v>1820000000000000</v>
      </c>
      <c r="O3" s="22">
        <v>1830000000000000</v>
      </c>
      <c r="P3" s="22">
        <v>1740000000000000</v>
      </c>
      <c r="Q3" s="22">
        <v>1440000000000000</v>
      </c>
      <c r="R3" s="22">
        <v>987000000000000</v>
      </c>
      <c r="S3" s="22">
        <v>728000000000000</v>
      </c>
      <c r="T3" s="22">
        <v>552000000000000</v>
      </c>
      <c r="U3" s="22">
        <v>416000000000000</v>
      </c>
      <c r="V3" s="22">
        <v>306000000000000</v>
      </c>
      <c r="W3" s="22">
        <v>289000000000000</v>
      </c>
      <c r="X3" s="22">
        <v>308000000000000</v>
      </c>
      <c r="Y3" s="22">
        <v>331000000000000</v>
      </c>
      <c r="Z3" s="22">
        <v>359000000000000</v>
      </c>
      <c r="AA3" s="22">
        <v>349000000000000</v>
      </c>
      <c r="AB3" s="22">
        <v>410000000000000</v>
      </c>
      <c r="AC3" s="22">
        <v>469000000000000</v>
      </c>
      <c r="AD3" s="22">
        <v>558000000000000</v>
      </c>
      <c r="AE3" s="22">
        <v>556000000000000</v>
      </c>
      <c r="AF3" s="22">
        <v>632000000000000</v>
      </c>
      <c r="AG3" s="22">
        <v>853000000000000</v>
      </c>
      <c r="AH3" s="22">
        <v>844000000000000</v>
      </c>
      <c r="AI3" s="22">
        <v>780000000000000</v>
      </c>
      <c r="AJ3" s="22">
        <v>623000000000000</v>
      </c>
      <c r="AK3" s="22">
        <v>570000000000000</v>
      </c>
      <c r="AL3" s="22">
        <v>522000000000000</v>
      </c>
      <c r="AM3" s="22">
        <v>478000000000000</v>
      </c>
      <c r="AN3" s="22">
        <v>437000000000000</v>
      </c>
      <c r="AO3" s="22">
        <v>400000000000000</v>
      </c>
      <c r="AP3" s="22">
        <v>367000000000000</v>
      </c>
      <c r="AQ3" s="22">
        <v>336000000000000</v>
      </c>
      <c r="AR3" s="22">
        <v>307000000000000</v>
      </c>
      <c r="AS3" s="22">
        <v>281000000000000</v>
      </c>
      <c r="AT3" s="22">
        <v>257000000000000</v>
      </c>
      <c r="AU3" s="22">
        <v>236000000000000</v>
      </c>
      <c r="AV3" s="22">
        <v>216000000000000</v>
      </c>
      <c r="AW3" s="22">
        <v>197000000000000</v>
      </c>
      <c r="AX3" s="22">
        <v>181000000000000</v>
      </c>
      <c r="AY3" s="22">
        <v>165000000000000</v>
      </c>
      <c r="AZ3" s="22">
        <v>152000000000000</v>
      </c>
      <c r="BA3" s="22">
        <v>139000000000000</v>
      </c>
      <c r="BB3" s="22">
        <v>127000000000000</v>
      </c>
      <c r="BC3" s="22">
        <v>116000000000000</v>
      </c>
      <c r="BD3" s="22">
        <v>106000000000000</v>
      </c>
      <c r="BE3" s="22">
        <v>97400000000000</v>
      </c>
      <c r="BF3" s="22">
        <v>89200000000000</v>
      </c>
      <c r="BG3" s="22">
        <v>81600000000000</v>
      </c>
      <c r="BH3" s="22">
        <v>77900000000000</v>
      </c>
      <c r="BI3" s="22">
        <v>74300000000000</v>
      </c>
      <c r="BJ3" s="22">
        <v>71000000000000</v>
      </c>
    </row>
    <row r="4" spans="1:62" x14ac:dyDescent="0.2">
      <c r="A4" s="4"/>
    </row>
    <row r="5" spans="1:62" x14ac:dyDescent="0.2">
      <c r="A5" s="4"/>
    </row>
    <row r="6" spans="1:62" x14ac:dyDescent="0.2">
      <c r="A6" s="4"/>
    </row>
    <row r="7" spans="1:62" x14ac:dyDescent="0.2">
      <c r="A7" s="4"/>
    </row>
    <row r="8" spans="1:62" x14ac:dyDescent="0.2">
      <c r="A8" s="4"/>
    </row>
    <row r="9" spans="1:62" x14ac:dyDescent="0.2">
      <c r="A9" s="4"/>
    </row>
    <row r="10" spans="1:62" x14ac:dyDescent="0.2">
      <c r="A10" s="4"/>
    </row>
    <row r="11" spans="1:62" x14ac:dyDescent="0.2">
      <c r="A11" s="4"/>
    </row>
    <row r="12" spans="1:62" x14ac:dyDescent="0.2">
      <c r="A12" s="4"/>
    </row>
    <row r="13" spans="1:62" x14ac:dyDescent="0.2">
      <c r="A13" s="4"/>
    </row>
    <row r="14" spans="1:62" x14ac:dyDescent="0.2">
      <c r="A14" s="4"/>
    </row>
    <row r="15" spans="1:62" x14ac:dyDescent="0.2">
      <c r="A15" s="4"/>
    </row>
    <row r="16" spans="1:62" x14ac:dyDescent="0.2">
      <c r="A16" s="4"/>
    </row>
    <row r="17" spans="1:1" x14ac:dyDescent="0.2">
      <c r="A17" s="4"/>
    </row>
    <row r="18" spans="1:1" x14ac:dyDescent="0.2">
      <c r="A18" s="4"/>
    </row>
    <row r="19" spans="1:1" x14ac:dyDescent="0.2">
      <c r="A19" s="4"/>
    </row>
    <row r="20" spans="1:1" x14ac:dyDescent="0.2">
      <c r="A20" s="4"/>
    </row>
    <row r="21" spans="1:1" x14ac:dyDescent="0.2">
      <c r="A21" s="4"/>
    </row>
    <row r="22" spans="1:1" x14ac:dyDescent="0.2">
      <c r="A22" s="4"/>
    </row>
    <row r="23" spans="1:1" x14ac:dyDescent="0.2">
      <c r="A23" s="4"/>
    </row>
    <row r="24" spans="1:1" x14ac:dyDescent="0.2">
      <c r="A24" s="4"/>
    </row>
    <row r="25" spans="1:1" x14ac:dyDescent="0.2">
      <c r="A25" s="4"/>
    </row>
    <row r="26" spans="1:1" x14ac:dyDescent="0.2">
      <c r="A26" s="4"/>
    </row>
    <row r="27" spans="1:1" x14ac:dyDescent="0.2">
      <c r="A27" s="4"/>
    </row>
    <row r="28" spans="1:1" x14ac:dyDescent="0.2">
      <c r="A28" s="4"/>
    </row>
    <row r="29" spans="1:1" x14ac:dyDescent="0.2">
      <c r="A29" s="4"/>
    </row>
    <row r="30" spans="1:1" x14ac:dyDescent="0.2">
      <c r="A30" s="4"/>
    </row>
    <row r="31" spans="1:1" x14ac:dyDescent="0.2">
      <c r="A31" s="4"/>
    </row>
    <row r="32" spans="1:1" x14ac:dyDescent="0.2">
      <c r="A32" s="4"/>
    </row>
    <row r="33" spans="1:1" x14ac:dyDescent="0.2">
      <c r="A33" s="4"/>
    </row>
    <row r="34" spans="1:1" x14ac:dyDescent="0.2">
      <c r="A34" s="4"/>
    </row>
    <row r="35" spans="1:1" x14ac:dyDescent="0.2">
      <c r="A35" s="4"/>
    </row>
    <row r="36" spans="1:1" x14ac:dyDescent="0.2">
      <c r="A36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E7FB-2748-A046-8AEB-50CFC4E5E4C4}">
  <dimension ref="A1:BJ24"/>
  <sheetViews>
    <sheetView zoomScale="99" workbookViewId="0">
      <selection activeCell="B7" sqref="B7"/>
    </sheetView>
  </sheetViews>
  <sheetFormatPr baseColWidth="10" defaultRowHeight="15" x14ac:dyDescent="0.2"/>
  <cols>
    <col min="1" max="1" width="34.5" customWidth="1"/>
    <col min="2" max="11" width="14.1640625" customWidth="1"/>
    <col min="12" max="12" width="12.1640625" customWidth="1"/>
    <col min="13" max="13" width="10.83203125" customWidth="1"/>
    <col min="14" max="17" width="14.1640625" customWidth="1"/>
    <col min="18" max="18" width="11.83203125" bestFit="1" customWidth="1"/>
    <col min="19" max="19" width="11" bestFit="1" customWidth="1"/>
    <col min="20" max="31" width="11.83203125" bestFit="1" customWidth="1"/>
    <col min="32" max="32" width="11" bestFit="1" customWidth="1"/>
    <col min="33" max="34" width="11.83203125" bestFit="1" customWidth="1"/>
  </cols>
  <sheetData>
    <row r="1" spans="1:62" s="1" customFormat="1" x14ac:dyDescent="0.2">
      <c r="A1" s="15" t="s">
        <v>1</v>
      </c>
      <c r="B1" s="15">
        <v>1990</v>
      </c>
      <c r="C1" s="15">
        <v>1991</v>
      </c>
      <c r="D1" s="15">
        <v>1992</v>
      </c>
      <c r="E1" s="15">
        <v>1993</v>
      </c>
      <c r="F1" s="15">
        <v>1994</v>
      </c>
      <c r="G1" s="15">
        <v>1995</v>
      </c>
      <c r="H1" s="15">
        <v>1996</v>
      </c>
      <c r="I1" s="15">
        <v>1997</v>
      </c>
      <c r="J1" s="15">
        <v>1998</v>
      </c>
      <c r="K1" s="15">
        <v>1999</v>
      </c>
      <c r="L1" s="15">
        <v>2000</v>
      </c>
      <c r="M1" s="15">
        <v>2001</v>
      </c>
      <c r="N1" s="15">
        <v>2002</v>
      </c>
      <c r="O1" s="15">
        <v>2003</v>
      </c>
      <c r="P1" s="15">
        <v>2004</v>
      </c>
      <c r="Q1" s="15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 x14ac:dyDescent="0.2">
      <c r="A2" s="15" t="s">
        <v>57</v>
      </c>
      <c r="B2" s="21">
        <v>908066.3323639452</v>
      </c>
      <c r="C2" s="21">
        <v>726204.32267945854</v>
      </c>
      <c r="D2" s="21">
        <v>839121.57903584931</v>
      </c>
      <c r="E2" s="21">
        <v>874712.06977853761</v>
      </c>
      <c r="F2" s="21">
        <v>854112.47920599568</v>
      </c>
      <c r="G2" s="21">
        <v>1973225.0156548279</v>
      </c>
      <c r="H2" s="21">
        <v>1245646.9467903182</v>
      </c>
      <c r="I2" s="21">
        <v>915577.40985514433</v>
      </c>
      <c r="J2" s="21">
        <v>1179953.4851826557</v>
      </c>
      <c r="K2" s="21">
        <v>1132596.2442086905</v>
      </c>
      <c r="L2" s="21">
        <v>1184463.676030746</v>
      </c>
      <c r="M2" s="21">
        <v>1129708.8654735673</v>
      </c>
      <c r="N2" s="21">
        <v>1339596.237688777</v>
      </c>
      <c r="O2" s="21">
        <v>2427047.908322861</v>
      </c>
      <c r="P2" s="21">
        <v>2621326.2408343372</v>
      </c>
      <c r="Q2" s="21">
        <v>1573713.7062558443</v>
      </c>
      <c r="R2" s="21">
        <v>1201775.4174495945</v>
      </c>
      <c r="S2" s="21">
        <v>852790.016028065</v>
      </c>
      <c r="T2" s="21">
        <v>963933.61874237889</v>
      </c>
      <c r="U2" s="21">
        <v>342440.02805533208</v>
      </c>
      <c r="V2" s="21">
        <v>277144.03225090378</v>
      </c>
      <c r="W2" s="21">
        <v>324149.96548182989</v>
      </c>
      <c r="X2" s="21">
        <v>172897.47577898746</v>
      </c>
      <c r="Y2" s="21">
        <v>411276.02533792483</v>
      </c>
      <c r="Z2" s="21">
        <v>259775.3374340625</v>
      </c>
      <c r="AA2" s="21">
        <v>373263.85252695088</v>
      </c>
      <c r="AB2" s="21">
        <v>436546.3771611118</v>
      </c>
      <c r="AC2" s="21">
        <v>313282.4653106117</v>
      </c>
      <c r="AD2" s="21">
        <v>362155.71957815147</v>
      </c>
      <c r="AE2" s="21">
        <v>567067.303185964</v>
      </c>
      <c r="AF2" s="21">
        <v>665083.90096446802</v>
      </c>
      <c r="AG2" s="21">
        <v>882477.98727224092</v>
      </c>
      <c r="AH2" s="21">
        <v>805693.94084451802</v>
      </c>
      <c r="AI2" s="22">
        <f>AVERAGE(R2:AH2)</f>
        <v>541867.85078841727</v>
      </c>
      <c r="AJ2" s="22">
        <f t="shared" ref="AJ2:BJ2" si="0">AVERAGE(S2:AI2)</f>
        <v>503049.7586318776</v>
      </c>
      <c r="AK2" s="22">
        <f t="shared" si="0"/>
        <v>482476.80231445475</v>
      </c>
      <c r="AL2" s="22">
        <f t="shared" si="0"/>
        <v>454155.81311281217</v>
      </c>
      <c r="AM2" s="22">
        <f t="shared" si="0"/>
        <v>460727.32988089928</v>
      </c>
      <c r="AN2" s="22">
        <f t="shared" si="0"/>
        <v>471526.34738854604</v>
      </c>
      <c r="AO2" s="22">
        <f t="shared" si="0"/>
        <v>480195.54632423527</v>
      </c>
      <c r="AP2" s="22">
        <f t="shared" si="0"/>
        <v>498271.9034151322</v>
      </c>
      <c r="AQ2" s="22">
        <f t="shared" si="0"/>
        <v>503389.3080079091</v>
      </c>
      <c r="AR2" s="22">
        <f t="shared" si="0"/>
        <v>517719.54157107649</v>
      </c>
      <c r="AS2" s="22">
        <f t="shared" si="0"/>
        <v>526216.93504426035</v>
      </c>
      <c r="AT2" s="22">
        <f t="shared" si="0"/>
        <v>531491.67374326917</v>
      </c>
      <c r="AU2" s="22">
        <f t="shared" si="0"/>
        <v>544327.50953342544</v>
      </c>
      <c r="AV2" s="22">
        <f t="shared" si="0"/>
        <v>555043.49717785325</v>
      </c>
      <c r="AW2" s="22">
        <f t="shared" si="0"/>
        <v>554336.21447149385</v>
      </c>
      <c r="AX2" s="22">
        <f t="shared" si="0"/>
        <v>547821.64467778953</v>
      </c>
      <c r="AY2" s="22">
        <f t="shared" si="0"/>
        <v>528135.97746635135</v>
      </c>
      <c r="AZ2" s="22">
        <f t="shared" si="0"/>
        <v>511809.03844410618</v>
      </c>
      <c r="BA2" s="22">
        <f t="shared" si="0"/>
        <v>510040.87301208777</v>
      </c>
      <c r="BB2" s="22">
        <f t="shared" si="0"/>
        <v>510452.11503445311</v>
      </c>
      <c r="BC2" s="22">
        <f t="shared" si="0"/>
        <v>512097.72166504129</v>
      </c>
      <c r="BD2" s="22">
        <f t="shared" si="0"/>
        <v>515506.06922693714</v>
      </c>
      <c r="BE2" s="22">
        <f t="shared" si="0"/>
        <v>518728.34801199811</v>
      </c>
      <c r="BF2" s="22">
        <f t="shared" si="0"/>
        <v>521504.936283966</v>
      </c>
      <c r="BG2" s="22">
        <f t="shared" si="0"/>
        <v>523934.90039924433</v>
      </c>
      <c r="BH2" s="22">
        <f t="shared" si="0"/>
        <v>525444.48845713306</v>
      </c>
      <c r="BI2" s="22">
        <f t="shared" si="0"/>
        <v>526741.85201296979</v>
      </c>
      <c r="BJ2" s="22">
        <f t="shared" si="0"/>
        <v>527272.57615661051</v>
      </c>
    </row>
    <row r="3" spans="1:62" x14ac:dyDescent="0.2">
      <c r="A3" s="1" t="s">
        <v>58</v>
      </c>
      <c r="B3" s="22">
        <v>1000000000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</row>
    <row r="4" spans="1:62" x14ac:dyDescent="0.2">
      <c r="A4" s="15" t="s">
        <v>59</v>
      </c>
      <c r="B4" s="20">
        <f>B6*$B$3</f>
        <v>908066332363945.25</v>
      </c>
      <c r="C4" s="20">
        <f t="shared" ref="C4:BJ4" si="1">C6*$B$3</f>
        <v>726204322679458.5</v>
      </c>
      <c r="D4" s="20">
        <f t="shared" si="1"/>
        <v>839121579035849.25</v>
      </c>
      <c r="E4" s="20">
        <f t="shared" si="1"/>
        <v>874712069778537.62</v>
      </c>
      <c r="F4" s="20">
        <f t="shared" si="1"/>
        <v>854112479205995.62</v>
      </c>
      <c r="G4" s="20">
        <f t="shared" si="1"/>
        <v>1973225015654828</v>
      </c>
      <c r="H4" s="20">
        <f t="shared" si="1"/>
        <v>1245646946790318.2</v>
      </c>
      <c r="I4" s="20">
        <f t="shared" si="1"/>
        <v>915577409855144.38</v>
      </c>
      <c r="J4" s="20">
        <f t="shared" si="1"/>
        <v>1179953485182655.8</v>
      </c>
      <c r="K4" s="20">
        <f t="shared" si="1"/>
        <v>1132596244208690.5</v>
      </c>
      <c r="L4" s="20">
        <f t="shared" si="1"/>
        <v>1184463676030746</v>
      </c>
      <c r="M4" s="20">
        <f t="shared" si="1"/>
        <v>1129708865473567.2</v>
      </c>
      <c r="N4" s="20">
        <f t="shared" si="1"/>
        <v>1339596237688777</v>
      </c>
      <c r="O4" s="20">
        <f t="shared" si="1"/>
        <v>2427047908322861</v>
      </c>
      <c r="P4" s="20">
        <f t="shared" si="1"/>
        <v>2621326240834337</v>
      </c>
      <c r="Q4" s="20">
        <f t="shared" si="1"/>
        <v>1573713706255844.2</v>
      </c>
      <c r="R4" s="20">
        <f t="shared" si="1"/>
        <v>1201775417449594.5</v>
      </c>
      <c r="S4" s="20">
        <f t="shared" si="1"/>
        <v>852790016028065</v>
      </c>
      <c r="T4" s="20">
        <f t="shared" si="1"/>
        <v>963933618742378.88</v>
      </c>
      <c r="U4" s="20">
        <f t="shared" si="1"/>
        <v>342440028055332.06</v>
      </c>
      <c r="V4" s="20">
        <f t="shared" si="1"/>
        <v>277144032250903.78</v>
      </c>
      <c r="W4" s="20">
        <f t="shared" si="1"/>
        <v>324149965481829.88</v>
      </c>
      <c r="X4" s="20">
        <f t="shared" si="1"/>
        <v>172897475778987.47</v>
      </c>
      <c r="Y4" s="20">
        <f t="shared" si="1"/>
        <v>411276025337924.81</v>
      </c>
      <c r="Z4" s="20">
        <f t="shared" si="1"/>
        <v>259775337434062.5</v>
      </c>
      <c r="AA4" s="20">
        <f t="shared" si="1"/>
        <v>373263852526950.88</v>
      </c>
      <c r="AB4" s="20">
        <f t="shared" si="1"/>
        <v>436546377161111.81</v>
      </c>
      <c r="AC4" s="20">
        <f t="shared" si="1"/>
        <v>313282465310611.69</v>
      </c>
      <c r="AD4" s="20">
        <f t="shared" si="1"/>
        <v>362155719578151.5</v>
      </c>
      <c r="AE4" s="20">
        <f t="shared" si="1"/>
        <v>567067303185964</v>
      </c>
      <c r="AF4" s="20">
        <f t="shared" si="1"/>
        <v>665083900964468</v>
      </c>
      <c r="AG4" s="20">
        <f t="shared" si="1"/>
        <v>882477987272240.88</v>
      </c>
      <c r="AH4" s="20">
        <f t="shared" si="1"/>
        <v>805693940844518</v>
      </c>
      <c r="AI4" s="20">
        <f t="shared" si="1"/>
        <v>737554850928654.75</v>
      </c>
      <c r="AJ4" s="20">
        <f t="shared" si="1"/>
        <v>675178415215819.88</v>
      </c>
      <c r="AK4" s="20">
        <f t="shared" si="1"/>
        <v>618077274929946.75</v>
      </c>
      <c r="AL4" s="20">
        <f t="shared" si="1"/>
        <v>565805288166264.88</v>
      </c>
      <c r="AM4" s="20">
        <f t="shared" si="1"/>
        <v>517954044101029.88</v>
      </c>
      <c r="AN4" s="20">
        <f t="shared" si="1"/>
        <v>474149672001257.69</v>
      </c>
      <c r="AO4" s="20">
        <f t="shared" si="1"/>
        <v>434049920102657.31</v>
      </c>
      <c r="AP4" s="20">
        <f t="shared" si="1"/>
        <v>397341481532488.56</v>
      </c>
      <c r="AQ4" s="20">
        <f t="shared" si="1"/>
        <v>363737546384279.06</v>
      </c>
      <c r="AR4" s="20">
        <f t="shared" si="1"/>
        <v>332975560818302.44</v>
      </c>
      <c r="AS4" s="20">
        <f t="shared" si="1"/>
        <v>304815175679249.12</v>
      </c>
      <c r="AT4" s="20">
        <f t="shared" si="1"/>
        <v>279036368603255.31</v>
      </c>
      <c r="AU4" s="20">
        <f t="shared" si="1"/>
        <v>255437724941961.66</v>
      </c>
      <c r="AV4" s="20">
        <f t="shared" si="1"/>
        <v>233834864072138.25</v>
      </c>
      <c r="AW4" s="20">
        <f t="shared" si="1"/>
        <v>214058998795338.44</v>
      </c>
      <c r="AX4" s="20">
        <f t="shared" si="1"/>
        <v>195955616571901.84</v>
      </c>
      <c r="AY4" s="20">
        <f t="shared" si="1"/>
        <v>179383272285539.69</v>
      </c>
      <c r="AZ4" s="20">
        <f t="shared" si="1"/>
        <v>164212483106147.12</v>
      </c>
      <c r="BA4" s="20">
        <f t="shared" si="1"/>
        <v>150324716816197.78</v>
      </c>
      <c r="BB4" s="20">
        <f t="shared" si="1"/>
        <v>137611465696325.88</v>
      </c>
      <c r="BC4" s="20">
        <f t="shared" si="1"/>
        <v>125973398734189.95</v>
      </c>
      <c r="BD4" s="20">
        <f t="shared" si="1"/>
        <v>115319585532667.64</v>
      </c>
      <c r="BE4" s="20">
        <f t="shared" si="1"/>
        <v>105566785853630.58</v>
      </c>
      <c r="BF4" s="20">
        <f t="shared" si="1"/>
        <v>96638799246372.031</v>
      </c>
      <c r="BG4" s="20">
        <f t="shared" si="1"/>
        <v>88465869679212.312</v>
      </c>
      <c r="BH4" s="20">
        <f t="shared" si="1"/>
        <v>80984140522557.078</v>
      </c>
      <c r="BI4" s="20">
        <f t="shared" si="1"/>
        <v>74135155625089.281</v>
      </c>
      <c r="BJ4" s="20">
        <f t="shared" si="1"/>
        <v>67865402584909.328</v>
      </c>
    </row>
    <row r="5" spans="1:62" x14ac:dyDescent="0.2">
      <c r="A5" s="1" t="s">
        <v>68</v>
      </c>
      <c r="B5" s="3">
        <f>((AH2/B2)*EXP(1/32)-1)</f>
        <v>-8.4571927951252457E-2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</row>
    <row r="6" spans="1:62" x14ac:dyDescent="0.2">
      <c r="A6" s="15" t="s">
        <v>59</v>
      </c>
      <c r="B6" s="3">
        <f>B2</f>
        <v>908066.3323639452</v>
      </c>
      <c r="C6" s="3">
        <f t="shared" ref="C6:AH6" si="2">C2</f>
        <v>726204.32267945854</v>
      </c>
      <c r="D6" s="3">
        <f t="shared" si="2"/>
        <v>839121.57903584931</v>
      </c>
      <c r="E6" s="3">
        <f t="shared" si="2"/>
        <v>874712.06977853761</v>
      </c>
      <c r="F6" s="3">
        <f t="shared" si="2"/>
        <v>854112.47920599568</v>
      </c>
      <c r="G6" s="3">
        <f t="shared" si="2"/>
        <v>1973225.0156548279</v>
      </c>
      <c r="H6" s="3">
        <f t="shared" si="2"/>
        <v>1245646.9467903182</v>
      </c>
      <c r="I6" s="3">
        <f t="shared" si="2"/>
        <v>915577.40985514433</v>
      </c>
      <c r="J6" s="3">
        <f t="shared" si="2"/>
        <v>1179953.4851826557</v>
      </c>
      <c r="K6" s="3">
        <f t="shared" si="2"/>
        <v>1132596.2442086905</v>
      </c>
      <c r="L6" s="3">
        <f t="shared" si="2"/>
        <v>1184463.676030746</v>
      </c>
      <c r="M6" s="3">
        <f t="shared" si="2"/>
        <v>1129708.8654735673</v>
      </c>
      <c r="N6" s="3">
        <f t="shared" si="2"/>
        <v>1339596.237688777</v>
      </c>
      <c r="O6" s="3">
        <f t="shared" si="2"/>
        <v>2427047.908322861</v>
      </c>
      <c r="P6" s="3">
        <f t="shared" si="2"/>
        <v>2621326.2408343372</v>
      </c>
      <c r="Q6" s="3">
        <f t="shared" si="2"/>
        <v>1573713.7062558443</v>
      </c>
      <c r="R6" s="3">
        <f t="shared" si="2"/>
        <v>1201775.4174495945</v>
      </c>
      <c r="S6" s="3">
        <f t="shared" si="2"/>
        <v>852790.016028065</v>
      </c>
      <c r="T6" s="3">
        <f t="shared" si="2"/>
        <v>963933.61874237889</v>
      </c>
      <c r="U6" s="3">
        <f t="shared" si="2"/>
        <v>342440.02805533208</v>
      </c>
      <c r="V6" s="3">
        <f t="shared" si="2"/>
        <v>277144.03225090378</v>
      </c>
      <c r="W6" s="3">
        <f t="shared" si="2"/>
        <v>324149.96548182989</v>
      </c>
      <c r="X6" s="3">
        <f t="shared" si="2"/>
        <v>172897.47577898746</v>
      </c>
      <c r="Y6" s="3">
        <f t="shared" si="2"/>
        <v>411276.02533792483</v>
      </c>
      <c r="Z6" s="3">
        <f t="shared" si="2"/>
        <v>259775.3374340625</v>
      </c>
      <c r="AA6" s="3">
        <f t="shared" si="2"/>
        <v>373263.85252695088</v>
      </c>
      <c r="AB6" s="3">
        <f t="shared" si="2"/>
        <v>436546.3771611118</v>
      </c>
      <c r="AC6" s="3">
        <f t="shared" si="2"/>
        <v>313282.4653106117</v>
      </c>
      <c r="AD6" s="3">
        <f t="shared" si="2"/>
        <v>362155.71957815147</v>
      </c>
      <c r="AE6" s="3">
        <f t="shared" si="2"/>
        <v>567067.303185964</v>
      </c>
      <c r="AF6" s="3">
        <f t="shared" si="2"/>
        <v>665083.90096446802</v>
      </c>
      <c r="AG6" s="3">
        <f t="shared" si="2"/>
        <v>882477.98727224092</v>
      </c>
      <c r="AH6" s="3">
        <f t="shared" si="2"/>
        <v>805693.94084451802</v>
      </c>
      <c r="AI6" s="22">
        <f>AH6+AH6*$B$5</f>
        <v>737554.85092865478</v>
      </c>
      <c r="AJ6" s="22">
        <f>AI6+AI6*$B$5</f>
        <v>675178.41521581984</v>
      </c>
      <c r="AK6" s="22">
        <f t="shared" ref="AK6:BJ6" si="3">AJ6+AJ6*$B$5</f>
        <v>618077.27492994675</v>
      </c>
      <c r="AL6" s="22">
        <f t="shared" si="3"/>
        <v>565805.28816626489</v>
      </c>
      <c r="AM6" s="22">
        <f t="shared" si="3"/>
        <v>517954.04410102987</v>
      </c>
      <c r="AN6" s="22">
        <f t="shared" si="3"/>
        <v>474149.67200125771</v>
      </c>
      <c r="AO6" s="22">
        <f t="shared" si="3"/>
        <v>434049.92010265734</v>
      </c>
      <c r="AP6" s="22">
        <f t="shared" si="3"/>
        <v>397341.48153248854</v>
      </c>
      <c r="AQ6" s="22">
        <f t="shared" si="3"/>
        <v>363737.54638427903</v>
      </c>
      <c r="AR6" s="22">
        <f t="shared" si="3"/>
        <v>332975.56081830245</v>
      </c>
      <c r="AS6" s="22">
        <f t="shared" si="3"/>
        <v>304815.17567924911</v>
      </c>
      <c r="AT6" s="22">
        <f t="shared" si="3"/>
        <v>279036.36860325531</v>
      </c>
      <c r="AU6" s="22">
        <f t="shared" si="3"/>
        <v>255437.72494196167</v>
      </c>
      <c r="AV6" s="22">
        <f t="shared" si="3"/>
        <v>233834.86407213824</v>
      </c>
      <c r="AW6" s="22">
        <f t="shared" si="3"/>
        <v>214058.99879533844</v>
      </c>
      <c r="AX6" s="22">
        <f t="shared" si="3"/>
        <v>195955.61657190183</v>
      </c>
      <c r="AY6" s="22">
        <f t="shared" si="3"/>
        <v>179383.27228553969</v>
      </c>
      <c r="AZ6" s="22">
        <f t="shared" si="3"/>
        <v>164212.48310614712</v>
      </c>
      <c r="BA6" s="22">
        <f t="shared" si="3"/>
        <v>150324.71681619779</v>
      </c>
      <c r="BB6" s="22">
        <f t="shared" si="3"/>
        <v>137611.46569632587</v>
      </c>
      <c r="BC6" s="22">
        <f t="shared" si="3"/>
        <v>125973.39873418995</v>
      </c>
      <c r="BD6" s="22">
        <f t="shared" si="3"/>
        <v>115319.58553266764</v>
      </c>
      <c r="BE6" s="22">
        <f t="shared" si="3"/>
        <v>105566.78585363057</v>
      </c>
      <c r="BF6" s="22">
        <f t="shared" si="3"/>
        <v>96638.799246372029</v>
      </c>
      <c r="BG6" s="22">
        <f t="shared" si="3"/>
        <v>88465.869679212308</v>
      </c>
      <c r="BH6" s="22">
        <f t="shared" si="3"/>
        <v>80984.140522557078</v>
      </c>
      <c r="BI6" s="22">
        <f t="shared" si="3"/>
        <v>74135.155625089275</v>
      </c>
      <c r="BJ6" s="22">
        <f t="shared" si="3"/>
        <v>67865.40258490933</v>
      </c>
    </row>
    <row r="7" spans="1:62" x14ac:dyDescent="0.2">
      <c r="A7" s="15" t="s">
        <v>69</v>
      </c>
      <c r="B7" s="3">
        <f>'MA-Smoothing'!B3</f>
        <v>837000000000000</v>
      </c>
      <c r="C7" s="3">
        <f>'MA-Smoothing'!C3</f>
        <v>840000000000000</v>
      </c>
      <c r="D7" s="3">
        <f>'MA-Smoothing'!D3</f>
        <v>1050000000000000</v>
      </c>
      <c r="E7" s="3">
        <f>'MA-Smoothing'!E3</f>
        <v>1160000000000000</v>
      </c>
      <c r="F7" s="3">
        <f>'MA-Smoothing'!F3</f>
        <v>1170000000000000</v>
      </c>
      <c r="G7" s="3">
        <f>'MA-Smoothing'!G3</f>
        <v>1230000000000000</v>
      </c>
      <c r="H7" s="3">
        <f>'MA-Smoothing'!H3</f>
        <v>1290000000000000</v>
      </c>
      <c r="I7" s="3">
        <f>'MA-Smoothing'!I3</f>
        <v>1130000000000000</v>
      </c>
      <c r="J7" s="3">
        <f>'MA-Smoothing'!J3</f>
        <v>1110000000000000</v>
      </c>
      <c r="K7" s="3">
        <f>'MA-Smoothing'!K3</f>
        <v>1190000000000000</v>
      </c>
      <c r="L7" s="3">
        <f>'MA-Smoothing'!L3</f>
        <v>1440000000000000</v>
      </c>
      <c r="M7" s="3">
        <f>'MA-Smoothing'!M3</f>
        <v>1740000000000000</v>
      </c>
      <c r="N7" s="3">
        <f>'MA-Smoothing'!N3</f>
        <v>1820000000000000</v>
      </c>
      <c r="O7" s="3">
        <f>'MA-Smoothing'!O3</f>
        <v>1830000000000000</v>
      </c>
      <c r="P7" s="3">
        <f>'MA-Smoothing'!P3</f>
        <v>1740000000000000</v>
      </c>
      <c r="Q7" s="3">
        <f>'MA-Smoothing'!Q3</f>
        <v>1440000000000000</v>
      </c>
      <c r="R7" s="3">
        <f>'MA-Smoothing'!R3</f>
        <v>987000000000000</v>
      </c>
      <c r="S7" s="3">
        <f>'MA-Smoothing'!S3</f>
        <v>728000000000000</v>
      </c>
      <c r="T7" s="3">
        <f>'MA-Smoothing'!T3</f>
        <v>552000000000000</v>
      </c>
      <c r="U7" s="3">
        <f>'MA-Smoothing'!U3</f>
        <v>416000000000000</v>
      </c>
      <c r="V7" s="3">
        <f>'MA-Smoothing'!V3</f>
        <v>306000000000000</v>
      </c>
      <c r="W7" s="3">
        <f>'MA-Smoothing'!W3</f>
        <v>289000000000000</v>
      </c>
      <c r="X7" s="3">
        <f>'MA-Smoothing'!X3</f>
        <v>308000000000000</v>
      </c>
      <c r="Y7" s="3">
        <f>'MA-Smoothing'!Y3</f>
        <v>331000000000000</v>
      </c>
      <c r="Z7" s="3">
        <f>'MA-Smoothing'!Z3</f>
        <v>359000000000000</v>
      </c>
      <c r="AA7" s="3">
        <f>'MA-Smoothing'!AA3</f>
        <v>349000000000000</v>
      </c>
      <c r="AB7" s="3">
        <f>'MA-Smoothing'!AB3</f>
        <v>410000000000000</v>
      </c>
      <c r="AC7" s="3">
        <f>'MA-Smoothing'!AC3</f>
        <v>469000000000000</v>
      </c>
      <c r="AD7" s="3">
        <f>'MA-Smoothing'!AD3</f>
        <v>558000000000000</v>
      </c>
      <c r="AE7" s="3">
        <f>'MA-Smoothing'!AE3</f>
        <v>556000000000000</v>
      </c>
      <c r="AF7" s="3">
        <f>'MA-Smoothing'!AF3</f>
        <v>632000000000000</v>
      </c>
      <c r="AG7" s="3">
        <f>'MA-Smoothing'!AG3</f>
        <v>853000000000000</v>
      </c>
      <c r="AH7" s="3">
        <f>'MA-Smoothing'!AH3</f>
        <v>844000000000000</v>
      </c>
      <c r="AI7" s="3">
        <f>'MA-Smoothing'!AI3</f>
        <v>780000000000000</v>
      </c>
      <c r="AJ7" s="3">
        <f>'MA-Smoothing'!AJ3</f>
        <v>623000000000000</v>
      </c>
      <c r="AK7" s="3">
        <f>'MA-Smoothing'!AK3</f>
        <v>570000000000000</v>
      </c>
      <c r="AL7" s="3">
        <f>'MA-Smoothing'!AL3</f>
        <v>522000000000000</v>
      </c>
      <c r="AM7" s="3">
        <f>'MA-Smoothing'!AM3</f>
        <v>478000000000000</v>
      </c>
      <c r="AN7" s="3">
        <f>'MA-Smoothing'!AN3</f>
        <v>437000000000000</v>
      </c>
      <c r="AO7" s="3">
        <f>'MA-Smoothing'!AO3</f>
        <v>400000000000000</v>
      </c>
      <c r="AP7" s="3">
        <f>'MA-Smoothing'!AP3</f>
        <v>367000000000000</v>
      </c>
      <c r="AQ7" s="3">
        <f>'MA-Smoothing'!AQ3</f>
        <v>336000000000000</v>
      </c>
      <c r="AR7" s="3">
        <f>'MA-Smoothing'!AR3</f>
        <v>307000000000000</v>
      </c>
      <c r="AS7" s="3">
        <f>'MA-Smoothing'!AS3</f>
        <v>281000000000000</v>
      </c>
      <c r="AT7" s="3">
        <f>'MA-Smoothing'!AT3</f>
        <v>257000000000000</v>
      </c>
      <c r="AU7" s="3">
        <f>'MA-Smoothing'!AU3</f>
        <v>236000000000000</v>
      </c>
      <c r="AV7" s="3">
        <f>'MA-Smoothing'!AV3</f>
        <v>216000000000000</v>
      </c>
      <c r="AW7" s="3">
        <f>'MA-Smoothing'!AW3</f>
        <v>197000000000000</v>
      </c>
      <c r="AX7" s="3">
        <f>'MA-Smoothing'!AX3</f>
        <v>181000000000000</v>
      </c>
      <c r="AY7" s="3">
        <f>'MA-Smoothing'!AY3</f>
        <v>165000000000000</v>
      </c>
      <c r="AZ7" s="3">
        <f>'MA-Smoothing'!AZ3</f>
        <v>152000000000000</v>
      </c>
      <c r="BA7" s="3">
        <f>'MA-Smoothing'!BA3</f>
        <v>139000000000000</v>
      </c>
      <c r="BB7" s="3">
        <f>'MA-Smoothing'!BB3</f>
        <v>127000000000000</v>
      </c>
      <c r="BC7" s="3">
        <f>'MA-Smoothing'!BC3</f>
        <v>116000000000000</v>
      </c>
      <c r="BD7" s="3">
        <f>'MA-Smoothing'!BD3</f>
        <v>106000000000000</v>
      </c>
      <c r="BE7" s="3">
        <f>'MA-Smoothing'!BE3</f>
        <v>97400000000000</v>
      </c>
      <c r="BF7" s="3">
        <f>'MA-Smoothing'!BF3</f>
        <v>89200000000000</v>
      </c>
      <c r="BG7" s="3">
        <f>'MA-Smoothing'!BG3</f>
        <v>81600000000000</v>
      </c>
      <c r="BH7" s="3">
        <f>'MA-Smoothing'!BH3</f>
        <v>77900000000000</v>
      </c>
      <c r="BI7" s="3">
        <f>'MA-Smoothing'!BI3</f>
        <v>74300000000000</v>
      </c>
      <c r="BJ7" s="3">
        <f>'MA-Smoothing'!BJ3</f>
        <v>71000000000000</v>
      </c>
    </row>
    <row r="8" spans="1:62" x14ac:dyDescent="0.2">
      <c r="A8" s="15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</row>
    <row r="9" spans="1:62" x14ac:dyDescent="0.2">
      <c r="A9" s="1" t="s">
        <v>1</v>
      </c>
      <c r="B9" s="17">
        <v>2020</v>
      </c>
      <c r="C9" s="17">
        <v>2021</v>
      </c>
      <c r="D9" s="17">
        <v>2022</v>
      </c>
      <c r="E9" s="17">
        <v>2023</v>
      </c>
      <c r="F9" s="17">
        <v>2024</v>
      </c>
      <c r="G9" s="17">
        <v>2025</v>
      </c>
      <c r="H9" s="17">
        <v>2026</v>
      </c>
      <c r="I9" s="17">
        <v>2027</v>
      </c>
      <c r="J9" s="17">
        <v>2028</v>
      </c>
      <c r="K9" s="17">
        <v>2029</v>
      </c>
      <c r="L9" s="17">
        <v>2030</v>
      </c>
      <c r="M9" s="17">
        <v>2031</v>
      </c>
      <c r="N9" s="17">
        <v>2032</v>
      </c>
      <c r="O9" s="17">
        <v>2033</v>
      </c>
      <c r="P9" s="17">
        <v>2034</v>
      </c>
      <c r="Q9" s="17">
        <v>2035</v>
      </c>
      <c r="R9" s="17">
        <v>2036</v>
      </c>
      <c r="S9" s="17">
        <v>2037</v>
      </c>
      <c r="T9" s="17">
        <v>2038</v>
      </c>
      <c r="U9" s="17">
        <v>2039</v>
      </c>
      <c r="V9" s="17">
        <v>2040</v>
      </c>
      <c r="W9" s="17">
        <v>2041</v>
      </c>
      <c r="X9" s="17">
        <v>2042</v>
      </c>
      <c r="Y9" s="17">
        <v>2043</v>
      </c>
      <c r="Z9" s="17">
        <v>2044</v>
      </c>
      <c r="AA9" s="17">
        <v>2045</v>
      </c>
      <c r="AB9" s="17">
        <v>2046</v>
      </c>
      <c r="AC9" s="17">
        <v>2047</v>
      </c>
      <c r="AD9" s="17">
        <v>2048</v>
      </c>
      <c r="AE9" s="17">
        <v>2049</v>
      </c>
      <c r="AF9" s="17">
        <v>2050</v>
      </c>
      <c r="AW9" s="17"/>
      <c r="AX9" s="17"/>
      <c r="AY9" s="17"/>
      <c r="AZ9" s="17"/>
      <c r="BA9" s="17"/>
      <c r="BB9" s="17"/>
      <c r="BC9" s="17"/>
      <c r="BD9" s="17"/>
      <c r="BE9" s="13"/>
      <c r="BF9" s="13"/>
      <c r="BG9" s="13"/>
      <c r="BH9" s="13"/>
      <c r="BI9" s="13"/>
      <c r="BJ9" s="13"/>
    </row>
    <row r="10" spans="1:62" x14ac:dyDescent="0.2">
      <c r="A10" s="15" t="s">
        <v>60</v>
      </c>
      <c r="B10" s="22">
        <f>AF7*'Share of Pollutants'!$B$17</f>
        <v>629170529430353.5</v>
      </c>
      <c r="C10" s="22">
        <f>AG7*'Share of Pollutants'!$B$17</f>
        <v>849181110133056.12</v>
      </c>
      <c r="D10" s="22">
        <f>AH7*'Share of Pollutants'!$B$17</f>
        <v>840221403226611.25</v>
      </c>
      <c r="E10" s="22">
        <f>AI7*'Share of Pollutants'!$B$17</f>
        <v>776507931891891.88</v>
      </c>
      <c r="F10" s="22">
        <f>AJ7*'Share of Pollutants'!$B$17</f>
        <v>620210822523908.5</v>
      </c>
      <c r="G10" s="22">
        <f>AK7*'Share of Pollutants'!$B$17</f>
        <v>567448104074844.12</v>
      </c>
      <c r="H10" s="22">
        <f>AL7*'Share of Pollutants'!$B$17</f>
        <v>519663000573804.56</v>
      </c>
      <c r="I10" s="22">
        <f>AM7*'Share of Pollutants'!$B$17</f>
        <v>475859989031185.06</v>
      </c>
      <c r="J10" s="22">
        <f>AN7*'Share of Pollutants'!$B$17</f>
        <v>435043546457380.5</v>
      </c>
      <c r="K10" s="22">
        <f>AO7*'Share of Pollutants'!$B$17</f>
        <v>398209195841995.88</v>
      </c>
      <c r="L10" s="22">
        <f>AP7*'Share of Pollutants'!$B$17</f>
        <v>365356937185031.19</v>
      </c>
      <c r="M10" s="22">
        <f>AQ7*'Share of Pollutants'!$B$17</f>
        <v>334495724507276.5</v>
      </c>
      <c r="N10" s="22">
        <f>AR7*'Share of Pollutants'!$B$17</f>
        <v>305625557808731.81</v>
      </c>
      <c r="O10" s="22">
        <f>AS7*'Share of Pollutants'!$B$17</f>
        <v>279741960079002.09</v>
      </c>
      <c r="P10" s="22">
        <f>AT7*'Share of Pollutants'!$B$17</f>
        <v>255849408328482.34</v>
      </c>
      <c r="Q10" s="22">
        <f>AU7*'Share of Pollutants'!$B$17</f>
        <v>234943425546777.56</v>
      </c>
      <c r="R10" s="22">
        <f>AV7*'Share of Pollutants'!$B$17</f>
        <v>215032965754677.75</v>
      </c>
      <c r="S10" s="22">
        <f>AW7*'Share of Pollutants'!$B$17</f>
        <v>196118028952182.97</v>
      </c>
      <c r="T10" s="22">
        <f>AX7*'Share of Pollutants'!$B$17</f>
        <v>180189661118503.12</v>
      </c>
      <c r="U10" s="22">
        <f>AY7*'Share of Pollutants'!$B$17</f>
        <v>164261293284823.28</v>
      </c>
      <c r="V10" s="22">
        <f>AZ7*'Share of Pollutants'!$B$17</f>
        <v>151319494419958.44</v>
      </c>
      <c r="W10" s="22">
        <f>BA7*'Share of Pollutants'!$B$17</f>
        <v>138377695555093.56</v>
      </c>
      <c r="X10" s="22">
        <f>BB7*'Share of Pollutants'!$B$17</f>
        <v>126431419679833.69</v>
      </c>
      <c r="Y10" s="22">
        <f>BC7*'Share of Pollutants'!$B$17</f>
        <v>115480666794178.8</v>
      </c>
      <c r="Z10" s="22">
        <f>BD7*'Share of Pollutants'!$B$17</f>
        <v>105525436898128.91</v>
      </c>
      <c r="AA10" s="22">
        <f>BE7*'Share of Pollutants'!$B$17</f>
        <v>96963939187525.984</v>
      </c>
      <c r="AB10" s="22">
        <f>BF7*'Share of Pollutants'!$B$17</f>
        <v>88800650672765.078</v>
      </c>
      <c r="AC10" s="22">
        <f>BG7*'Share of Pollutants'!$B$17</f>
        <v>81234675951767.156</v>
      </c>
      <c r="AD10" s="22">
        <f>BH7*'Share of Pollutants'!$B$17</f>
        <v>77551240890228.688</v>
      </c>
      <c r="AE10" s="22">
        <f>BI7*'Share of Pollutants'!$B$17</f>
        <v>73967358127650.734</v>
      </c>
      <c r="AF10" s="22">
        <f>BJ7*'Share of Pollutants'!$B$17</f>
        <v>70682132261954.266</v>
      </c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 x14ac:dyDescent="0.2">
      <c r="A11" s="15" t="s">
        <v>61</v>
      </c>
      <c r="B11" s="22">
        <f>AF7*'Share of Pollutants'!$B$18</f>
        <v>2745453831438.6816</v>
      </c>
      <c r="C11" s="22">
        <f>AG7*'Share of Pollutants'!$B$18</f>
        <v>3705493857938.6006</v>
      </c>
      <c r="D11" s="22">
        <f>AH7*'Share of Pollutants'!$B$18</f>
        <v>3666397205275.708</v>
      </c>
      <c r="E11" s="22">
        <f>AI7*'Share of Pollutants'!$B$18</f>
        <v>3388376564117.3604</v>
      </c>
      <c r="F11" s="22">
        <f>AJ7*'Share of Pollutants'!$B$18</f>
        <v>2706357178775.7891</v>
      </c>
      <c r="G11" s="22">
        <f>AK7*'Share of Pollutants'!$B$18</f>
        <v>2476121335316.5327</v>
      </c>
      <c r="H11" s="22">
        <f>AL7*'Share of Pollutants'!$B$18</f>
        <v>2267605854447.772</v>
      </c>
      <c r="I11" s="22">
        <f>AM7*'Share of Pollutants'!$B$18</f>
        <v>2076466663651.408</v>
      </c>
      <c r="J11" s="22">
        <f>AN7*'Share of Pollutants'!$B$18</f>
        <v>1898359690409.3416</v>
      </c>
      <c r="K11" s="22">
        <f>AO7*'Share of Pollutants'!$B$18</f>
        <v>1737629007239.6719</v>
      </c>
      <c r="L11" s="22">
        <f>AP7*'Share of Pollutants'!$B$18</f>
        <v>1594274614142.3989</v>
      </c>
      <c r="M11" s="22">
        <f>AQ7*'Share of Pollutants'!$B$18</f>
        <v>1459608366081.3245</v>
      </c>
      <c r="N11" s="22">
        <f>AR7*'Share of Pollutants'!$B$18</f>
        <v>1333630263056.4482</v>
      </c>
      <c r="O11" s="22">
        <f>AS7*'Share of Pollutants'!$B$18</f>
        <v>1220684377585.8696</v>
      </c>
      <c r="P11" s="22">
        <f>AT7*'Share of Pollutants'!$B$18</f>
        <v>1116426637151.4893</v>
      </c>
      <c r="Q11" s="22">
        <f>AU7*'Share of Pollutants'!$B$18</f>
        <v>1025201114271.4065</v>
      </c>
      <c r="R11" s="22">
        <f>AV7*'Share of Pollutants'!$B$18</f>
        <v>938319663909.42285</v>
      </c>
      <c r="S11" s="22">
        <f>AW7*'Share of Pollutants'!$B$18</f>
        <v>855782286065.53845</v>
      </c>
      <c r="T11" s="22">
        <f>AX7*'Share of Pollutants'!$B$18</f>
        <v>786277125775.95154</v>
      </c>
      <c r="U11" s="22">
        <f>AY7*'Share of Pollutants'!$B$18</f>
        <v>716771965486.36475</v>
      </c>
      <c r="V11" s="22">
        <f>AZ7*'Share of Pollutants'!$B$18</f>
        <v>660299022751.07532</v>
      </c>
      <c r="W11" s="22">
        <f>BA7*'Share of Pollutants'!$B$18</f>
        <v>603826080015.78601</v>
      </c>
      <c r="X11" s="22">
        <f>BB7*'Share of Pollutants'!$B$18</f>
        <v>551697209798.59583</v>
      </c>
      <c r="Y11" s="22">
        <f>BC7*'Share of Pollutants'!$B$18</f>
        <v>503912412099.50488</v>
      </c>
      <c r="Z11" s="22">
        <f>BD7*'Share of Pollutants'!$B$18</f>
        <v>460471686918.51306</v>
      </c>
      <c r="AA11" s="22">
        <f>BE7*'Share of Pollutants'!$B$18</f>
        <v>423112663262.86011</v>
      </c>
      <c r="AB11" s="22">
        <f>BF7*'Share of Pollutants'!$B$18</f>
        <v>387491268614.44684</v>
      </c>
      <c r="AC11" s="22">
        <f>BG7*'Share of Pollutants'!$B$18</f>
        <v>354476317476.89307</v>
      </c>
      <c r="AD11" s="22">
        <f>BH7*'Share of Pollutants'!$B$18</f>
        <v>338403249159.92609</v>
      </c>
      <c r="AE11" s="22">
        <f>BI7*'Share of Pollutants'!$B$18</f>
        <v>322764588094.76904</v>
      </c>
      <c r="AF11" s="22">
        <f>BJ7*'Share of Pollutants'!$B$18</f>
        <v>308429148785.04175</v>
      </c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 x14ac:dyDescent="0.2">
      <c r="A12" s="15" t="s">
        <v>62</v>
      </c>
      <c r="B12" s="3">
        <f>AF7*'Share of Pollutants'!$B$19</f>
        <v>84016738207.796326</v>
      </c>
      <c r="C12" s="3">
        <f>AG7*'Share of Pollutants'!$B$19</f>
        <v>113396009005.14284</v>
      </c>
      <c r="D12" s="3">
        <f>AH7*'Share of Pollutants'!$B$19</f>
        <v>112199568112.94321</v>
      </c>
      <c r="E12" s="3">
        <f>AI7*'Share of Pollutants'!$B$19</f>
        <v>103691543990.6347</v>
      </c>
      <c r="F12" s="3">
        <f>AJ7*'Share of Pollutants'!$B$19</f>
        <v>82820297315.596695</v>
      </c>
      <c r="G12" s="3">
        <f>AK7*'Share of Pollutants'!$B$19</f>
        <v>75774589839.309982</v>
      </c>
      <c r="H12" s="3">
        <f>AL7*'Share of Pollutants'!$B$19</f>
        <v>69393571747.578613</v>
      </c>
      <c r="I12" s="3">
        <f>AM7*'Share of Pollutants'!$B$19</f>
        <v>63544305163.491531</v>
      </c>
      <c r="J12" s="3">
        <f>AN7*'Share of Pollutants'!$B$19</f>
        <v>58093852210.13765</v>
      </c>
      <c r="K12" s="3">
        <f>AO7*'Share of Pollutants'!$B$19</f>
        <v>53175150764.428055</v>
      </c>
      <c r="L12" s="3">
        <f>AP7*'Share of Pollutants'!$B$19</f>
        <v>48788200826.36274</v>
      </c>
      <c r="M12" s="3">
        <f>AQ7*'Share of Pollutants'!$B$19</f>
        <v>44667126642.119568</v>
      </c>
      <c r="N12" s="3">
        <f>AR7*'Share of Pollutants'!$B$19</f>
        <v>40811928211.698532</v>
      </c>
      <c r="O12" s="3">
        <f>AS7*'Share of Pollutants'!$B$19</f>
        <v>37355543412.010712</v>
      </c>
      <c r="P12" s="3">
        <f>AT7*'Share of Pollutants'!$B$19</f>
        <v>34165034366.145027</v>
      </c>
      <c r="Q12" s="3">
        <f>AU7*'Share of Pollutants'!$B$19</f>
        <v>31373338951.012554</v>
      </c>
      <c r="R12" s="3">
        <f>AV7*'Share of Pollutants'!$B$19</f>
        <v>28714581412.791149</v>
      </c>
      <c r="S12" s="3">
        <f>AW7*'Share of Pollutants'!$B$19</f>
        <v>26188761751.48082</v>
      </c>
      <c r="T12" s="3">
        <f>AX7*'Share of Pollutants'!$B$19</f>
        <v>24061755720.903694</v>
      </c>
      <c r="U12" s="3">
        <f>AY7*'Share of Pollutants'!$B$19</f>
        <v>21934749690.326572</v>
      </c>
      <c r="V12" s="3">
        <f>AZ7*'Share of Pollutants'!$B$19</f>
        <v>20206557290.482662</v>
      </c>
      <c r="W12" s="3">
        <f>BA7*'Share of Pollutants'!$B$19</f>
        <v>18478364890.638748</v>
      </c>
      <c r="X12" s="3">
        <f>BB7*'Share of Pollutants'!$B$19</f>
        <v>16883110367.705908</v>
      </c>
      <c r="Y12" s="3">
        <f>BC7*'Share of Pollutants'!$B$19</f>
        <v>15420793721.684137</v>
      </c>
      <c r="Z12" s="3">
        <f>BD7*'Share of Pollutants'!$B$19</f>
        <v>14091414952.573435</v>
      </c>
      <c r="AA12" s="3">
        <f>BE7*'Share of Pollutants'!$B$19</f>
        <v>12948149211.138231</v>
      </c>
      <c r="AB12" s="3">
        <f>BF7*'Share of Pollutants'!$B$19</f>
        <v>11858058620.467457</v>
      </c>
      <c r="AC12" s="3">
        <f>BG7*'Share of Pollutants'!$B$19</f>
        <v>10847730755.943323</v>
      </c>
      <c r="AD12" s="3">
        <f>BH7*'Share of Pollutants'!$B$19</f>
        <v>10355860611.372364</v>
      </c>
      <c r="AE12" s="3">
        <f>BI7*'Share of Pollutants'!$B$19</f>
        <v>9877284254.4925117</v>
      </c>
      <c r="AF12" s="3">
        <f>BJ7*'Share of Pollutants'!$B$19</f>
        <v>9438589260.6859798</v>
      </c>
    </row>
    <row r="15" spans="1:62" x14ac:dyDescent="0.2">
      <c r="A15" s="15" t="s">
        <v>63</v>
      </c>
      <c r="B15" s="17" t="s">
        <v>64</v>
      </c>
    </row>
    <row r="16" spans="1:62" x14ac:dyDescent="0.2">
      <c r="A16" s="15" t="s">
        <v>16</v>
      </c>
      <c r="B16" s="13">
        <v>1</v>
      </c>
    </row>
    <row r="17" spans="1:62" x14ac:dyDescent="0.2">
      <c r="A17" s="15" t="s">
        <v>17</v>
      </c>
      <c r="B17" s="13">
        <v>28</v>
      </c>
    </row>
    <row r="18" spans="1:62" x14ac:dyDescent="0.2">
      <c r="A18" s="15" t="s">
        <v>18</v>
      </c>
      <c r="B18" s="13">
        <v>265</v>
      </c>
    </row>
    <row r="21" spans="1:62" x14ac:dyDescent="0.2">
      <c r="A21" s="1" t="s">
        <v>1</v>
      </c>
      <c r="B21" s="17">
        <v>2020</v>
      </c>
      <c r="C21" s="17">
        <v>2021</v>
      </c>
      <c r="D21" s="17">
        <v>2022</v>
      </c>
      <c r="E21" s="17">
        <v>2023</v>
      </c>
      <c r="F21" s="17">
        <v>2024</v>
      </c>
      <c r="G21" s="17">
        <v>2025</v>
      </c>
      <c r="H21" s="17">
        <v>2026</v>
      </c>
      <c r="I21" s="17">
        <v>2027</v>
      </c>
      <c r="J21" s="17">
        <v>2028</v>
      </c>
      <c r="K21" s="17">
        <v>2029</v>
      </c>
      <c r="L21" s="17">
        <v>2030</v>
      </c>
      <c r="M21" s="17">
        <v>2031</v>
      </c>
      <c r="N21" s="17">
        <v>2032</v>
      </c>
      <c r="O21" s="17">
        <v>2033</v>
      </c>
      <c r="P21" s="17">
        <v>2034</v>
      </c>
      <c r="Q21" s="17">
        <v>2035</v>
      </c>
      <c r="R21" s="17">
        <v>2036</v>
      </c>
      <c r="S21" s="17">
        <v>2037</v>
      </c>
      <c r="T21" s="17">
        <v>2038</v>
      </c>
      <c r="U21" s="17">
        <v>2039</v>
      </c>
      <c r="V21" s="17">
        <v>2040</v>
      </c>
      <c r="W21" s="17">
        <v>2041</v>
      </c>
      <c r="X21" s="17">
        <v>2042</v>
      </c>
      <c r="Y21" s="17">
        <v>2043</v>
      </c>
      <c r="Z21" s="17">
        <v>2044</v>
      </c>
      <c r="AA21" s="17">
        <v>2045</v>
      </c>
      <c r="AB21" s="17">
        <v>2046</v>
      </c>
      <c r="AC21" s="17">
        <v>2047</v>
      </c>
      <c r="AD21" s="17">
        <v>2048</v>
      </c>
      <c r="AE21" s="17">
        <v>2049</v>
      </c>
      <c r="AF21" s="17">
        <v>2050</v>
      </c>
      <c r="AW21" s="17"/>
      <c r="AX21" s="17"/>
      <c r="AY21" s="17"/>
      <c r="AZ21" s="17"/>
      <c r="BA21" s="17"/>
      <c r="BB21" s="17"/>
      <c r="BC21" s="17"/>
      <c r="BD21" s="17"/>
      <c r="BE21" s="13"/>
      <c r="BF21" s="13"/>
      <c r="BG21" s="13"/>
      <c r="BH21" s="13"/>
      <c r="BI21" s="13"/>
      <c r="BJ21" s="13"/>
    </row>
    <row r="22" spans="1:62" x14ac:dyDescent="0.2">
      <c r="A22" s="16" t="s">
        <v>65</v>
      </c>
      <c r="B22" s="3">
        <f t="shared" ref="B22:AF22" si="4">B10/$B$16</f>
        <v>629170529430353.5</v>
      </c>
      <c r="C22" s="3">
        <f t="shared" si="4"/>
        <v>849181110133056.12</v>
      </c>
      <c r="D22" s="3">
        <f t="shared" si="4"/>
        <v>840221403226611.25</v>
      </c>
      <c r="E22" s="3">
        <f t="shared" si="4"/>
        <v>776507931891891.88</v>
      </c>
      <c r="F22" s="3">
        <f t="shared" si="4"/>
        <v>620210822523908.5</v>
      </c>
      <c r="G22" s="3">
        <f t="shared" si="4"/>
        <v>567448104074844.12</v>
      </c>
      <c r="H22" s="3">
        <f t="shared" si="4"/>
        <v>519663000573804.56</v>
      </c>
      <c r="I22" s="3">
        <f t="shared" si="4"/>
        <v>475859989031185.06</v>
      </c>
      <c r="J22" s="3">
        <f t="shared" si="4"/>
        <v>435043546457380.5</v>
      </c>
      <c r="K22" s="3">
        <f t="shared" si="4"/>
        <v>398209195841995.88</v>
      </c>
      <c r="L22" s="3">
        <f t="shared" si="4"/>
        <v>365356937185031.19</v>
      </c>
      <c r="M22" s="3">
        <f t="shared" si="4"/>
        <v>334495724507276.5</v>
      </c>
      <c r="N22" s="3">
        <f t="shared" si="4"/>
        <v>305625557808731.81</v>
      </c>
      <c r="O22" s="3">
        <f t="shared" si="4"/>
        <v>279741960079002.09</v>
      </c>
      <c r="P22" s="3">
        <f t="shared" si="4"/>
        <v>255849408328482.34</v>
      </c>
      <c r="Q22" s="3">
        <f t="shared" si="4"/>
        <v>234943425546777.56</v>
      </c>
      <c r="R22" s="3">
        <f t="shared" si="4"/>
        <v>215032965754677.75</v>
      </c>
      <c r="S22" s="3">
        <f t="shared" si="4"/>
        <v>196118028952182.97</v>
      </c>
      <c r="T22" s="3">
        <f t="shared" si="4"/>
        <v>180189661118503.12</v>
      </c>
      <c r="U22" s="3">
        <f t="shared" si="4"/>
        <v>164261293284823.28</v>
      </c>
      <c r="V22" s="3">
        <f t="shared" si="4"/>
        <v>151319494419958.44</v>
      </c>
      <c r="W22" s="3">
        <f t="shared" si="4"/>
        <v>138377695555093.56</v>
      </c>
      <c r="X22" s="3">
        <f t="shared" si="4"/>
        <v>126431419679833.69</v>
      </c>
      <c r="Y22" s="3">
        <f t="shared" si="4"/>
        <v>115480666794178.8</v>
      </c>
      <c r="Z22" s="3">
        <f t="shared" si="4"/>
        <v>105525436898128.91</v>
      </c>
      <c r="AA22" s="3">
        <f t="shared" si="4"/>
        <v>96963939187525.984</v>
      </c>
      <c r="AB22" s="3">
        <f t="shared" si="4"/>
        <v>88800650672765.078</v>
      </c>
      <c r="AC22" s="3">
        <f t="shared" si="4"/>
        <v>81234675951767.156</v>
      </c>
      <c r="AD22" s="3">
        <f t="shared" si="4"/>
        <v>77551240890228.688</v>
      </c>
      <c r="AE22" s="3">
        <f t="shared" si="4"/>
        <v>73967358127650.734</v>
      </c>
      <c r="AF22" s="3">
        <f t="shared" si="4"/>
        <v>70682132261954.266</v>
      </c>
    </row>
    <row r="23" spans="1:62" x14ac:dyDescent="0.2">
      <c r="A23" s="16" t="s">
        <v>66</v>
      </c>
      <c r="B23" s="3">
        <f t="shared" ref="B23:AF23" si="5">B11/$B$17</f>
        <v>98051922551.381485</v>
      </c>
      <c r="C23" s="3">
        <f t="shared" si="5"/>
        <v>132339066354.95003</v>
      </c>
      <c r="D23" s="3">
        <f t="shared" si="5"/>
        <v>130942757331.27528</v>
      </c>
      <c r="E23" s="3">
        <f t="shared" si="5"/>
        <v>121013448718.47716</v>
      </c>
      <c r="F23" s="3">
        <f t="shared" si="5"/>
        <v>96655613527.706757</v>
      </c>
      <c r="G23" s="3">
        <f t="shared" si="5"/>
        <v>88432904832.733307</v>
      </c>
      <c r="H23" s="3">
        <f t="shared" si="5"/>
        <v>80985923373.13472</v>
      </c>
      <c r="I23" s="3">
        <f t="shared" si="5"/>
        <v>74159523701.835999</v>
      </c>
      <c r="J23" s="3">
        <f t="shared" si="5"/>
        <v>67798560371.762199</v>
      </c>
      <c r="K23" s="3">
        <f t="shared" si="5"/>
        <v>62058178829.988281</v>
      </c>
      <c r="L23" s="3">
        <f t="shared" si="5"/>
        <v>56938379076.514244</v>
      </c>
      <c r="M23" s="3">
        <f t="shared" si="5"/>
        <v>52128870217.190163</v>
      </c>
      <c r="N23" s="3">
        <f t="shared" si="5"/>
        <v>47629652252.016006</v>
      </c>
      <c r="O23" s="3">
        <f t="shared" si="5"/>
        <v>43595870628.066772</v>
      </c>
      <c r="P23" s="3">
        <f t="shared" si="5"/>
        <v>39872379898.267471</v>
      </c>
      <c r="Q23" s="3">
        <f t="shared" si="5"/>
        <v>36614325509.693092</v>
      </c>
      <c r="R23" s="3">
        <f t="shared" si="5"/>
        <v>33511416568.193672</v>
      </c>
      <c r="S23" s="3">
        <f t="shared" si="5"/>
        <v>30563653073.76923</v>
      </c>
      <c r="T23" s="3">
        <f t="shared" si="5"/>
        <v>28081325920.569698</v>
      </c>
      <c r="U23" s="3">
        <f t="shared" si="5"/>
        <v>25598998767.370171</v>
      </c>
      <c r="V23" s="3">
        <f t="shared" si="5"/>
        <v>23582107955.395546</v>
      </c>
      <c r="W23" s="3">
        <f t="shared" si="5"/>
        <v>21565217143.420929</v>
      </c>
      <c r="X23" s="3">
        <f t="shared" si="5"/>
        <v>19703471778.521278</v>
      </c>
      <c r="Y23" s="3">
        <f t="shared" si="5"/>
        <v>17996871860.696602</v>
      </c>
      <c r="Z23" s="3">
        <f t="shared" si="5"/>
        <v>16445417389.946896</v>
      </c>
      <c r="AA23" s="3">
        <f t="shared" si="5"/>
        <v>15111166545.102146</v>
      </c>
      <c r="AB23" s="3">
        <f t="shared" si="5"/>
        <v>13838973879.087387</v>
      </c>
      <c r="AC23" s="3">
        <f t="shared" si="5"/>
        <v>12659868481.31761</v>
      </c>
      <c r="AD23" s="3">
        <f t="shared" si="5"/>
        <v>12085830327.140217</v>
      </c>
      <c r="AE23" s="3">
        <f t="shared" si="5"/>
        <v>11527306717.670322</v>
      </c>
      <c r="AF23" s="3">
        <f t="shared" si="5"/>
        <v>11015326742.32292</v>
      </c>
    </row>
    <row r="24" spans="1:62" x14ac:dyDescent="0.2">
      <c r="A24" s="16" t="s">
        <v>67</v>
      </c>
      <c r="B24" s="3">
        <f t="shared" ref="B24:AF24" si="6">B12/$B$18</f>
        <v>317044295.12375975</v>
      </c>
      <c r="C24" s="3">
        <f t="shared" si="6"/>
        <v>427909467.94393522</v>
      </c>
      <c r="D24" s="3">
        <f t="shared" si="6"/>
        <v>423394596.65261585</v>
      </c>
      <c r="E24" s="3">
        <f t="shared" si="6"/>
        <v>391288845.2476781</v>
      </c>
      <c r="F24" s="3">
        <f t="shared" si="6"/>
        <v>312529423.83244038</v>
      </c>
      <c r="G24" s="3">
        <f t="shared" si="6"/>
        <v>285941848.45022637</v>
      </c>
      <c r="H24" s="3">
        <f t="shared" si="6"/>
        <v>261862534.89652306</v>
      </c>
      <c r="I24" s="3">
        <f t="shared" si="6"/>
        <v>239789830.80562842</v>
      </c>
      <c r="J24" s="3">
        <f t="shared" si="6"/>
        <v>219222083.81184018</v>
      </c>
      <c r="K24" s="3">
        <f t="shared" si="6"/>
        <v>200660946.28086057</v>
      </c>
      <c r="L24" s="3">
        <f t="shared" si="6"/>
        <v>184106418.21268958</v>
      </c>
      <c r="M24" s="3">
        <f t="shared" si="6"/>
        <v>168555194.87592289</v>
      </c>
      <c r="N24" s="3">
        <f t="shared" si="6"/>
        <v>154007276.2705605</v>
      </c>
      <c r="O24" s="3">
        <f t="shared" si="6"/>
        <v>140964314.76230457</v>
      </c>
      <c r="P24" s="3">
        <f t="shared" si="6"/>
        <v>128924657.98545294</v>
      </c>
      <c r="Q24" s="3">
        <f t="shared" si="6"/>
        <v>118389958.30570775</v>
      </c>
      <c r="R24" s="3">
        <f t="shared" si="6"/>
        <v>108356910.99166471</v>
      </c>
      <c r="S24" s="3">
        <f t="shared" si="6"/>
        <v>98825516.043323845</v>
      </c>
      <c r="T24" s="3">
        <f t="shared" si="6"/>
        <v>90799078.192089409</v>
      </c>
      <c r="U24" s="3">
        <f t="shared" si="6"/>
        <v>82772640.340854988</v>
      </c>
      <c r="V24" s="3">
        <f t="shared" si="6"/>
        <v>76251159.586727023</v>
      </c>
      <c r="W24" s="3">
        <f t="shared" si="6"/>
        <v>69729678.832599044</v>
      </c>
      <c r="X24" s="3">
        <f t="shared" si="6"/>
        <v>63709850.444173239</v>
      </c>
      <c r="Y24" s="3">
        <f t="shared" si="6"/>
        <v>58191674.421449572</v>
      </c>
      <c r="Z24" s="3">
        <f t="shared" si="6"/>
        <v>53175150.764428057</v>
      </c>
      <c r="AA24" s="3">
        <f t="shared" si="6"/>
        <v>48860940.419389553</v>
      </c>
      <c r="AB24" s="3">
        <f t="shared" si="6"/>
        <v>44747391.020631909</v>
      </c>
      <c r="AC24" s="3">
        <f t="shared" si="6"/>
        <v>40934833.041295558</v>
      </c>
      <c r="AD24" s="3">
        <f t="shared" si="6"/>
        <v>39078719.288197599</v>
      </c>
      <c r="AE24" s="3">
        <f t="shared" si="6"/>
        <v>37272770.771669857</v>
      </c>
      <c r="AF24" s="3">
        <f t="shared" si="6"/>
        <v>35617317.964852758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93CF6-1A61-ED4A-A755-362718C8F2D9}">
  <sheetPr>
    <tabColor rgb="FF0070C0"/>
  </sheetPr>
  <dimension ref="A1:AF13"/>
  <sheetViews>
    <sheetView workbookViewId="0">
      <selection activeCell="P45" sqref="P45"/>
    </sheetView>
  </sheetViews>
  <sheetFormatPr baseColWidth="10" defaultRowHeight="15" x14ac:dyDescent="0.2"/>
  <sheetData>
    <row r="1" spans="1:32" x14ac:dyDescent="0.2">
      <c r="A1" s="18" t="s">
        <v>1</v>
      </c>
      <c r="B1" s="13">
        <v>2020</v>
      </c>
      <c r="C1" s="13">
        <v>2021</v>
      </c>
      <c r="D1" s="13">
        <v>2022</v>
      </c>
      <c r="E1" s="13">
        <v>2023</v>
      </c>
      <c r="F1" s="13">
        <v>2024</v>
      </c>
      <c r="G1" s="13">
        <v>2025</v>
      </c>
      <c r="H1" s="13">
        <v>2026</v>
      </c>
      <c r="I1" s="13">
        <v>2027</v>
      </c>
      <c r="J1" s="13">
        <v>2028</v>
      </c>
      <c r="K1" s="13">
        <v>2029</v>
      </c>
      <c r="L1" s="13">
        <v>2030</v>
      </c>
      <c r="M1" s="13">
        <v>2031</v>
      </c>
      <c r="N1" s="13">
        <v>2032</v>
      </c>
      <c r="O1" s="13">
        <v>2033</v>
      </c>
      <c r="P1" s="13">
        <v>2034</v>
      </c>
      <c r="Q1" s="13">
        <v>2035</v>
      </c>
      <c r="R1" s="13">
        <v>2036</v>
      </c>
      <c r="S1" s="13">
        <v>2037</v>
      </c>
      <c r="T1" s="13">
        <v>2038</v>
      </c>
      <c r="U1" s="13">
        <v>2039</v>
      </c>
      <c r="V1" s="13">
        <v>2040</v>
      </c>
      <c r="W1" s="13">
        <v>2041</v>
      </c>
      <c r="X1" s="13">
        <v>2042</v>
      </c>
      <c r="Y1" s="13">
        <v>2043</v>
      </c>
      <c r="Z1" s="13">
        <v>2044</v>
      </c>
      <c r="AA1" s="13">
        <v>2045</v>
      </c>
      <c r="AB1" s="13">
        <v>2046</v>
      </c>
      <c r="AC1" s="13">
        <v>2047</v>
      </c>
      <c r="AD1" s="13">
        <v>2048</v>
      </c>
      <c r="AE1" s="13">
        <v>2049</v>
      </c>
      <c r="AF1" s="13">
        <v>2050</v>
      </c>
    </row>
    <row r="2" spans="1:32" x14ac:dyDescent="0.2">
      <c r="A2" s="19" t="s">
        <v>5</v>
      </c>
      <c r="B2" s="3">
        <f>'Government Data'!B22</f>
        <v>629170529430353.5</v>
      </c>
      <c r="C2" s="3">
        <f>'Government Data'!C22</f>
        <v>849181110133056.12</v>
      </c>
      <c r="D2" s="3">
        <f>'Government Data'!D22</f>
        <v>840221403226611.25</v>
      </c>
      <c r="E2" s="3">
        <f>'Government Data'!E22</f>
        <v>776507931891891.88</v>
      </c>
      <c r="F2" s="3">
        <f>'Government Data'!F22</f>
        <v>620210822523908.5</v>
      </c>
      <c r="G2" s="3">
        <f>'Government Data'!G22</f>
        <v>567448104074844.12</v>
      </c>
      <c r="H2" s="3">
        <f>'Government Data'!H22</f>
        <v>519663000573804.56</v>
      </c>
      <c r="I2" s="3">
        <f>'Government Data'!I22</f>
        <v>475859989031185.06</v>
      </c>
      <c r="J2" s="3">
        <f>'Government Data'!J22</f>
        <v>435043546457380.5</v>
      </c>
      <c r="K2" s="3">
        <f>'Government Data'!K22</f>
        <v>398209195841995.88</v>
      </c>
      <c r="L2" s="3">
        <f>'Government Data'!L22</f>
        <v>365356937185031.19</v>
      </c>
      <c r="M2" s="3">
        <f>'Government Data'!M22</f>
        <v>334495724507276.5</v>
      </c>
      <c r="N2" s="3">
        <f>'Government Data'!N22</f>
        <v>305625557808731.81</v>
      </c>
      <c r="O2" s="3">
        <f>'Government Data'!O22</f>
        <v>279741960079002.09</v>
      </c>
      <c r="P2" s="3">
        <f>'Government Data'!P22</f>
        <v>255849408328482.34</v>
      </c>
      <c r="Q2" s="3">
        <f>'Government Data'!Q22</f>
        <v>234943425546777.56</v>
      </c>
      <c r="R2" s="3">
        <f>'Government Data'!R22</f>
        <v>215032965754677.75</v>
      </c>
      <c r="S2" s="3">
        <f>'Government Data'!S22</f>
        <v>196118028952182.97</v>
      </c>
      <c r="T2" s="3">
        <f>'Government Data'!T22</f>
        <v>180189661118503.12</v>
      </c>
      <c r="U2" s="3">
        <f>'Government Data'!U22</f>
        <v>164261293284823.28</v>
      </c>
      <c r="V2" s="3">
        <f>'Government Data'!V22</f>
        <v>151319494419958.44</v>
      </c>
      <c r="W2" s="3">
        <f>'Government Data'!W22</f>
        <v>138377695555093.56</v>
      </c>
      <c r="X2" s="3">
        <f>'Government Data'!X22</f>
        <v>126431419679833.69</v>
      </c>
      <c r="Y2" s="3">
        <f>'Government Data'!Y22</f>
        <v>115480666794178.8</v>
      </c>
      <c r="Z2" s="3">
        <f>'Government Data'!Z22</f>
        <v>105525436898128.91</v>
      </c>
      <c r="AA2" s="3">
        <f>'Government Data'!AA22</f>
        <v>96963939187525.984</v>
      </c>
      <c r="AB2" s="3">
        <f>'Government Data'!AB22</f>
        <v>88800650672765.078</v>
      </c>
      <c r="AC2" s="3">
        <f>'Government Data'!AC22</f>
        <v>81234675951767.156</v>
      </c>
      <c r="AD2" s="3">
        <f>'Government Data'!AD22</f>
        <v>77551240890228.688</v>
      </c>
      <c r="AE2" s="3">
        <f>'Government Data'!AE22</f>
        <v>73967358127650.734</v>
      </c>
      <c r="AF2" s="3">
        <f>'Government Data'!AF22</f>
        <v>70682132261954.266</v>
      </c>
    </row>
    <row r="3" spans="1:32" x14ac:dyDescent="0.2">
      <c r="A3" s="19" t="s">
        <v>6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</row>
    <row r="4" spans="1:32" x14ac:dyDescent="0.2">
      <c r="A4" s="19" t="s">
        <v>7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</row>
    <row r="5" spans="1:32" x14ac:dyDescent="0.2">
      <c r="A5" s="19" t="s">
        <v>8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</row>
    <row r="6" spans="1:32" x14ac:dyDescent="0.2">
      <c r="A6" s="19" t="s">
        <v>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</row>
    <row r="7" spans="1:32" x14ac:dyDescent="0.2">
      <c r="A7" s="19" t="s">
        <v>10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</row>
    <row r="8" spans="1:32" x14ac:dyDescent="0.2">
      <c r="A8" s="19" t="s">
        <v>11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A9" s="19" t="s">
        <v>12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</row>
    <row r="10" spans="1:32" x14ac:dyDescent="0.2">
      <c r="A10" s="19" t="s">
        <v>13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</row>
    <row r="11" spans="1:32" x14ac:dyDescent="0.2">
      <c r="A11" s="19" t="s">
        <v>14</v>
      </c>
      <c r="B11" s="3">
        <f>'Government Data'!B23</f>
        <v>98051922551.381485</v>
      </c>
      <c r="C11" s="3">
        <f>'Government Data'!C23</f>
        <v>132339066354.95003</v>
      </c>
      <c r="D11" s="3">
        <f>'Government Data'!D23</f>
        <v>130942757331.27528</v>
      </c>
      <c r="E11" s="3">
        <f>'Government Data'!E23</f>
        <v>121013448718.47716</v>
      </c>
      <c r="F11" s="3">
        <f>'Government Data'!F23</f>
        <v>96655613527.706757</v>
      </c>
      <c r="G11" s="3">
        <f>'Government Data'!G23</f>
        <v>88432904832.733307</v>
      </c>
      <c r="H11" s="3">
        <f>'Government Data'!H23</f>
        <v>80985923373.13472</v>
      </c>
      <c r="I11" s="3">
        <f>'Government Data'!I23</f>
        <v>74159523701.835999</v>
      </c>
      <c r="J11" s="3">
        <f>'Government Data'!J23</f>
        <v>67798560371.762199</v>
      </c>
      <c r="K11" s="3">
        <f>'Government Data'!K23</f>
        <v>62058178829.988281</v>
      </c>
      <c r="L11" s="3">
        <f>'Government Data'!L23</f>
        <v>56938379076.514244</v>
      </c>
      <c r="M11" s="3">
        <f>'Government Data'!M23</f>
        <v>52128870217.190163</v>
      </c>
      <c r="N11" s="3">
        <f>'Government Data'!N23</f>
        <v>47629652252.016006</v>
      </c>
      <c r="O11" s="3">
        <f>'Government Data'!O23</f>
        <v>43595870628.066772</v>
      </c>
      <c r="P11" s="3">
        <f>'Government Data'!P23</f>
        <v>39872379898.267471</v>
      </c>
      <c r="Q11" s="3">
        <f>'Government Data'!Q23</f>
        <v>36614325509.693092</v>
      </c>
      <c r="R11" s="3">
        <f>'Government Data'!R23</f>
        <v>33511416568.193672</v>
      </c>
      <c r="S11" s="3">
        <f>'Government Data'!S23</f>
        <v>30563653073.76923</v>
      </c>
      <c r="T11" s="3">
        <f>'Government Data'!T23</f>
        <v>28081325920.569698</v>
      </c>
      <c r="U11" s="3">
        <f>'Government Data'!U23</f>
        <v>25598998767.370171</v>
      </c>
      <c r="V11" s="3">
        <f>'Government Data'!V23</f>
        <v>23582107955.395546</v>
      </c>
      <c r="W11" s="3">
        <f>'Government Data'!W23</f>
        <v>21565217143.420929</v>
      </c>
      <c r="X11" s="3">
        <f>'Government Data'!X23</f>
        <v>19703471778.521278</v>
      </c>
      <c r="Y11" s="3">
        <f>'Government Data'!Y23</f>
        <v>17996871860.696602</v>
      </c>
      <c r="Z11" s="3">
        <f>'Government Data'!Z23</f>
        <v>16445417389.946896</v>
      </c>
      <c r="AA11" s="3">
        <f>'Government Data'!AA23</f>
        <v>15111166545.102146</v>
      </c>
      <c r="AB11" s="3">
        <f>'Government Data'!AB23</f>
        <v>13838973879.087387</v>
      </c>
      <c r="AC11" s="3">
        <f>'Government Data'!AC23</f>
        <v>12659868481.31761</v>
      </c>
      <c r="AD11" s="3">
        <f>'Government Data'!AD23</f>
        <v>12085830327.140217</v>
      </c>
      <c r="AE11" s="3">
        <f>'Government Data'!AE23</f>
        <v>11527306717.670322</v>
      </c>
      <c r="AF11" s="3">
        <f>'Government Data'!AF23</f>
        <v>11015326742.32292</v>
      </c>
    </row>
    <row r="12" spans="1:32" x14ac:dyDescent="0.2">
      <c r="A12" s="19" t="s">
        <v>15</v>
      </c>
      <c r="B12" s="3">
        <f>'Government Data'!B24</f>
        <v>317044295.12375975</v>
      </c>
      <c r="C12" s="3">
        <f>'Government Data'!C24</f>
        <v>427909467.94393522</v>
      </c>
      <c r="D12" s="3">
        <f>'Government Data'!D24</f>
        <v>423394596.65261585</v>
      </c>
      <c r="E12" s="3">
        <f>'Government Data'!E24</f>
        <v>391288845.2476781</v>
      </c>
      <c r="F12" s="3">
        <f>'Government Data'!F24</f>
        <v>312529423.83244038</v>
      </c>
      <c r="G12" s="3">
        <f>'Government Data'!G24</f>
        <v>285941848.45022637</v>
      </c>
      <c r="H12" s="3">
        <f>'Government Data'!H24</f>
        <v>261862534.89652306</v>
      </c>
      <c r="I12" s="3">
        <f>'Government Data'!I24</f>
        <v>239789830.80562842</v>
      </c>
      <c r="J12" s="3">
        <f>'Government Data'!J24</f>
        <v>219222083.81184018</v>
      </c>
      <c r="K12" s="3">
        <f>'Government Data'!K24</f>
        <v>200660946.28086057</v>
      </c>
      <c r="L12" s="3">
        <f>'Government Data'!L24</f>
        <v>184106418.21268958</v>
      </c>
      <c r="M12" s="3">
        <f>'Government Data'!M24</f>
        <v>168555194.87592289</v>
      </c>
      <c r="N12" s="3">
        <f>'Government Data'!N24</f>
        <v>154007276.2705605</v>
      </c>
      <c r="O12" s="3">
        <f>'Government Data'!O24</f>
        <v>140964314.76230457</v>
      </c>
      <c r="P12" s="3">
        <f>'Government Data'!P24</f>
        <v>128924657.98545294</v>
      </c>
      <c r="Q12" s="3">
        <f>'Government Data'!Q24</f>
        <v>118389958.30570775</v>
      </c>
      <c r="R12" s="3">
        <f>'Government Data'!R24</f>
        <v>108356910.99166471</v>
      </c>
      <c r="S12" s="3">
        <f>'Government Data'!S24</f>
        <v>98825516.043323845</v>
      </c>
      <c r="T12" s="3">
        <f>'Government Data'!T24</f>
        <v>90799078.192089409</v>
      </c>
      <c r="U12" s="3">
        <f>'Government Data'!U24</f>
        <v>82772640.340854988</v>
      </c>
      <c r="V12" s="3">
        <f>'Government Data'!V24</f>
        <v>76251159.586727023</v>
      </c>
      <c r="W12" s="3">
        <f>'Government Data'!W24</f>
        <v>69729678.832599044</v>
      </c>
      <c r="X12" s="3">
        <f>'Government Data'!X24</f>
        <v>63709850.444173239</v>
      </c>
      <c r="Y12" s="3">
        <f>'Government Data'!Y24</f>
        <v>58191674.421449572</v>
      </c>
      <c r="Z12" s="3">
        <f>'Government Data'!Z24</f>
        <v>53175150.764428057</v>
      </c>
      <c r="AA12" s="3">
        <f>'Government Data'!AA24</f>
        <v>48860940.419389553</v>
      </c>
      <c r="AB12" s="3">
        <f>'Government Data'!AB24</f>
        <v>44747391.020631909</v>
      </c>
      <c r="AC12" s="3">
        <f>'Government Data'!AC24</f>
        <v>40934833.041295558</v>
      </c>
      <c r="AD12" s="3">
        <f>'Government Data'!AD24</f>
        <v>39078719.288197599</v>
      </c>
      <c r="AE12" s="3">
        <f>'Government Data'!AE24</f>
        <v>37272770.771669857</v>
      </c>
      <c r="AF12" s="3">
        <f>'Government Data'!AF24</f>
        <v>35617317.964852758</v>
      </c>
    </row>
    <row r="13" spans="1:32" x14ac:dyDescent="0.2">
      <c r="A13" s="19" t="s">
        <v>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data from RPEpUACE</vt:lpstr>
      <vt:lpstr>Share of Pollutants</vt:lpstr>
      <vt:lpstr>MA-Smoothing</vt:lpstr>
      <vt:lpstr>Government Data</vt:lpstr>
      <vt:lpstr>BLAPE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2015-08-06T00:31:42Z</dcterms:created>
  <dcterms:modified xsi:type="dcterms:W3CDTF">2025-08-11T03:09:38Z</dcterms:modified>
</cp:coreProperties>
</file>